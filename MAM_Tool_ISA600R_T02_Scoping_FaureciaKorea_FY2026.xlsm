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sheets/sheet4.xml" ContentType="application/vnd.openxmlformats-officedocument.spreadsheetml.worksheet+xml"/>
  <Override PartName="/xl/comments/comment2.xml" ContentType="application/vnd.openxmlformats-officedocument.spreadsheetml.comments+xml"/>
  <Override PartName="/xl/worksheets/sheet5.xml" ContentType="application/vnd.openxmlformats-officedocument.spreadsheetml.worksheet+xml"/>
  <Override PartName="/xl/comments/comment3.xml" ContentType="application/vnd.openxmlformats-officedocument.spreadsheetml.comments+xml"/>
  <Override PartName="/xl/worksheets/sheet6.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7520" tabRatio="600" firstSheet="0" activeTab="0" autoFilterDateGrouping="1"/>
  </bookViews>
  <sheets>
    <sheet name="Guidance" sheetId="1" state="visible" r:id="rId1"/>
    <sheet name="Scope decision tree" sheetId="2" state="visible" r:id="rId2"/>
    <sheet name="Conso" sheetId="3" state="visible" r:id="rId3"/>
    <sheet name="Template identifying components" sheetId="4" state="visible" r:id="rId4"/>
    <sheet name="Material component - rebuttal" sheetId="5" state="visible" r:id="rId5"/>
    <sheet name="Stand-back" sheetId="6" state="visible" r:id="rId6"/>
  </sheets>
  <definedNames>
    <definedName name="Auditor">'Template identifying components'!$AJ$2:$AJ$4</definedName>
    <definedName name="InScope">Conso!$B$1:$C$1</definedName>
    <definedName name="InScope" localSheetId="0">#REF!</definedName>
    <definedName name="InScope" localSheetId="5">#REF!</definedName>
  </definedNames>
  <calcPr calcId="191028" fullCalcOnLoad="1"/>
</workbook>
</file>

<file path=xl/styles.xml><?xml version="1.0" encoding="utf-8"?>
<styleSheet xmlns="http://schemas.openxmlformats.org/spreadsheetml/2006/main">
  <numFmts count="0"/>
  <fonts count="79">
    <font>
      <name val="Arial"/>
      <sz val="10"/>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Arial"/>
      <family val="2"/>
      <sz val="10"/>
    </font>
    <font>
      <name val="Arial"/>
      <family val="2"/>
      <sz val="10"/>
    </font>
    <font>
      <name val="Arial"/>
      <family val="2"/>
      <sz val="8"/>
    </font>
    <font>
      <name val="Calibri "/>
      <sz val="10"/>
    </font>
    <font>
      <name val="Calibri "/>
      <b val="1"/>
      <sz val="10"/>
    </font>
    <font>
      <name val="Calibri "/>
      <b val="1"/>
      <i val="1"/>
      <color indexed="48"/>
      <sz val="10"/>
      <u val="single"/>
    </font>
    <font>
      <name val="Calibri "/>
      <sz val="8"/>
    </font>
    <font>
      <name val="Calibri "/>
      <b val="1"/>
      <sz val="9"/>
    </font>
    <font>
      <name val="Calibri "/>
      <sz val="9.5"/>
    </font>
    <font>
      <name val="Calibri "/>
      <sz val="14"/>
    </font>
    <font>
      <name val="Calibri "/>
      <sz val="11"/>
    </font>
    <font>
      <name val="Calibri "/>
      <i val="1"/>
      <sz val="9"/>
    </font>
    <font>
      <name val="Calibri "/>
      <b val="1"/>
      <color theme="0"/>
      <sz val="10"/>
    </font>
    <font>
      <name val="Calibri "/>
      <b val="1"/>
      <color theme="0"/>
      <sz val="18"/>
    </font>
    <font>
      <name val="Calibri "/>
      <b val="1"/>
      <color theme="0"/>
      <sz val="14"/>
    </font>
    <font>
      <name val="Calibri "/>
      <b val="1"/>
      <i val="1"/>
      <sz val="9"/>
    </font>
    <font>
      <name val="Calibri "/>
      <b val="1"/>
      <color theme="0"/>
      <sz val="11"/>
    </font>
    <font>
      <name val="Calibri "/>
      <b val="1"/>
      <sz val="9"/>
      <u val="single"/>
    </font>
    <font>
      <name val="Tahoma"/>
      <family val="2"/>
      <color indexed="81"/>
      <sz val="9"/>
    </font>
    <font>
      <name val="Tahoma"/>
      <family val="2"/>
      <b val="1"/>
      <color indexed="81"/>
      <sz val="9"/>
    </font>
    <font>
      <name val="Calibri (Body)"/>
      <sz val="10"/>
    </font>
    <font>
      <name val="Calibri (Body)"/>
      <color rgb="FF0070C0"/>
      <sz val="10"/>
    </font>
    <font>
      <name val="Arial"/>
      <family val="2"/>
      <b val="1"/>
      <sz val="10"/>
    </font>
    <font>
      <name val="Arial"/>
      <family val="2"/>
      <b val="1"/>
      <color theme="0"/>
      <sz val="10"/>
    </font>
    <font>
      <name val="Arial"/>
      <family val="2"/>
      <b val="1"/>
      <color theme="0"/>
      <sz val="10"/>
      <u val="single"/>
    </font>
    <font>
      <name val="Arial"/>
      <family val="2"/>
      <color theme="0"/>
      <sz val="10"/>
    </font>
    <font>
      <name val="Calibri "/>
      <sz val="9"/>
    </font>
    <font>
      <name val="Calibri (body)"/>
      <b val="1"/>
      <sz val="10"/>
    </font>
    <font>
      <name val="Calibri (body)"/>
      <b val="1"/>
      <color theme="0"/>
      <sz val="18"/>
    </font>
    <font>
      <name val="Calibri (body)"/>
      <b val="1"/>
      <color theme="0"/>
      <sz val="10"/>
    </font>
    <font>
      <name val="Calibri (body)"/>
      <b val="1"/>
      <color theme="1"/>
      <sz val="9"/>
    </font>
    <font>
      <name val="Calibri (body)"/>
      <color theme="1"/>
      <sz val="10"/>
    </font>
    <font>
      <name val="Calibri (body)"/>
      <b val="1"/>
      <color rgb="FFFF0000"/>
      <sz val="10"/>
    </font>
    <font>
      <name val="Calibri (body)"/>
      <b val="1"/>
      <color theme="1"/>
      <sz val="10"/>
    </font>
    <font>
      <name val="Calibri (body)"/>
      <b val="1"/>
      <i val="1"/>
      <color rgb="FF0070C0"/>
      <sz val="10"/>
    </font>
    <font>
      <name val="Calibri (body)"/>
      <b val="1"/>
      <color theme="1"/>
      <sz val="10"/>
      <u val="single"/>
    </font>
    <font>
      <name val="Calibri (body)"/>
      <color rgb="FFFF0000"/>
      <sz val="10"/>
    </font>
    <font>
      <name val="Calibri (body)"/>
      <color theme="1"/>
      <sz val="10"/>
      <u val="single"/>
    </font>
    <font>
      <name val="Calibri (body)"/>
      <sz val="14"/>
    </font>
    <font>
      <name val="Tahoma"/>
      <family val="2"/>
      <i val="1"/>
      <color indexed="81"/>
      <sz val="9"/>
    </font>
    <font>
      <name val="Calibri "/>
      <i val="1"/>
      <sz val="8"/>
    </font>
    <font>
      <name val="Arial"/>
      <family val="2"/>
      <sz val="8"/>
    </font>
    <font>
      <name val="Calibri "/>
      <color theme="0"/>
      <sz val="10"/>
    </font>
    <font>
      <name val="Calibri "/>
      <color theme="0" tint="-0.1499984740745262"/>
      <sz val="2"/>
    </font>
    <font>
      <name val="Calibri (Body)"/>
      <i val="1"/>
      <sz val="10"/>
    </font>
    <font>
      <name val="Calibri (body)"/>
      <b val="1"/>
      <color rgb="FF0070C0"/>
      <sz val="10"/>
    </font>
    <font>
      <name val="Calibri (body)"/>
      <color rgb="FFFF0000"/>
      <sz val="10"/>
      <u val="single"/>
    </font>
    <font>
      <name val="Arial"/>
      <family val="2"/>
      <i val="1"/>
      <sz val="10"/>
    </font>
    <font>
      <name val="Calibri (body)"/>
      <b val="1"/>
      <color rgb="FF3333CC"/>
      <sz val="10"/>
    </font>
    <font>
      <name val="Arial"/>
      <family val="2"/>
      <sz val="12"/>
    </font>
    <font>
      <name val="Arial"/>
      <family val="2"/>
      <b val="1"/>
      <sz val="9"/>
    </font>
    <font>
      <name val="Arial"/>
      <family val="2"/>
      <b val="1"/>
      <color rgb="FF000000"/>
      <sz val="9"/>
    </font>
    <font>
      <name val="Arial"/>
      <family val="2"/>
      <b val="1"/>
      <color theme="0"/>
      <sz val="18"/>
    </font>
    <font>
      <name val="Arial"/>
      <family val="2"/>
      <b val="1"/>
      <color rgb="FF0033CC"/>
      <sz val="10"/>
    </font>
    <font>
      <name val="Arial"/>
      <family val="2"/>
      <b val="1"/>
      <color theme="1"/>
      <sz val="10"/>
    </font>
    <font>
      <name val="Arial"/>
      <family val="2"/>
      <color rgb="FF25282A"/>
      <sz val="10"/>
    </font>
    <font>
      <name val="Calibri"/>
      <family val="2"/>
      <b val="1"/>
      <color theme="0"/>
      <sz val="10"/>
      <scheme val="minor"/>
    </font>
    <font>
      <name val="Arial"/>
      <family val="2"/>
      <i val="1"/>
      <color rgb="FFFF0000"/>
      <sz val="10"/>
    </font>
    <font>
      <name val="Arial"/>
      <family val="2"/>
      <i val="1"/>
      <sz val="9"/>
    </font>
    <font>
      <name val="Arial"/>
      <family val="2"/>
      <b val="1"/>
      <i val="1"/>
      <color rgb="FFFF0000"/>
      <sz val="9"/>
    </font>
    <font>
      <name val="Calibri (Body)"/>
      <i val="1"/>
      <color rgb="FF0070C0"/>
      <sz val="10"/>
    </font>
    <font>
      <name val="Arial"/>
      <family val="2"/>
      <b val="1"/>
      <i val="1"/>
      <color rgb="FFFF0000"/>
      <sz val="10"/>
    </font>
    <font>
      <name val="Arial"/>
      <family val="2"/>
      <color theme="1"/>
      <sz val="10"/>
    </font>
    <font>
      <name val="Arial"/>
      <family val="2"/>
      <i val="1"/>
      <color rgb="FF25282A"/>
      <sz val="10"/>
    </font>
    <font>
      <name val="Arial"/>
      <family val="2"/>
      <color rgb="FFFF0000"/>
      <sz val="10"/>
    </font>
    <font>
      <name val="Arial"/>
      <family val="2"/>
      <b val="1"/>
      <i val="1"/>
      <color rgb="FF0070C0"/>
      <sz val="10"/>
    </font>
    <font>
      <name val="Calibri "/>
      <b val="1"/>
      <i val="1"/>
      <color rgb="FFFF0000"/>
      <sz val="9"/>
    </font>
    <font>
      <name val="Times New Roman"/>
      <family val="1"/>
      <b val="1"/>
      <color theme="1"/>
      <sz val="7"/>
    </font>
    <font>
      <name val="Times New Roman"/>
      <family val="1"/>
      <color theme="1"/>
      <sz val="7"/>
    </font>
    <font>
      <name val="Arial"/>
      <family val="2"/>
      <color rgb="FF000000"/>
      <sz val="10"/>
    </font>
    <font>
      <name val="Arial"/>
      <family val="2"/>
      <b val="1"/>
      <color rgb="FF000000"/>
      <sz val="10"/>
    </font>
    <font>
      <name val="Calibri (body)"/>
      <color theme="1"/>
      <sz val="9"/>
    </font>
    <font>
      <name val="Arial"/>
      <b val="1"/>
      <sz val="10"/>
    </font>
    <font>
      <name val="Arial"/>
      <sz val="9"/>
    </font>
  </fonts>
  <fills count="18">
    <fill>
      <patternFill/>
    </fill>
    <fill>
      <patternFill patternType="gray125"/>
    </fill>
    <fill>
      <patternFill patternType="solid">
        <fgColor theme="0"/>
        <bgColor indexed="64"/>
      </patternFill>
    </fill>
    <fill>
      <patternFill patternType="solid">
        <fgColor theme="0" tint="-0.1499984740745262"/>
        <bgColor indexed="64"/>
      </patternFill>
    </fill>
    <fill>
      <patternFill patternType="solid">
        <fgColor rgb="FF002060"/>
        <bgColor indexed="64"/>
      </patternFill>
    </fill>
    <fill>
      <patternFill patternType="solid">
        <fgColor theme="7" tint="0.7999816888943144"/>
        <bgColor indexed="64"/>
      </patternFill>
    </fill>
    <fill>
      <patternFill patternType="solid">
        <fgColor theme="5" tint="0.7999816888943144"/>
        <bgColor indexed="64"/>
      </patternFill>
    </fill>
    <fill>
      <patternFill patternType="solid">
        <fgColor theme="8" tint="0.7999816888943144"/>
        <bgColor indexed="64"/>
      </patternFill>
    </fill>
    <fill>
      <patternFill patternType="solid">
        <fgColor rgb="FF0070C0"/>
        <bgColor indexed="64"/>
      </patternFill>
    </fill>
    <fill>
      <patternFill patternType="solid">
        <fgColor rgb="FFFFFF00"/>
        <bgColor indexed="64"/>
      </patternFill>
    </fill>
    <fill>
      <patternFill patternType="solid">
        <fgColor theme="8" tint="0.5999938962981048"/>
        <bgColor indexed="64"/>
      </patternFill>
    </fill>
    <fill>
      <patternFill patternType="solid">
        <fgColor theme="5" tint="0.5999938962981048"/>
        <bgColor indexed="64"/>
      </patternFill>
    </fill>
    <fill>
      <patternFill patternType="solid">
        <fgColor theme="6" tint="0.5999938962981048"/>
        <bgColor indexed="64"/>
      </patternFill>
    </fill>
    <fill>
      <patternFill patternType="solid">
        <fgColor theme="4" tint="0.5999938962981048"/>
        <bgColor indexed="64"/>
      </patternFill>
    </fill>
    <fill>
      <patternFill patternType="solid">
        <fgColor theme="4" tint="0.3999755851924192"/>
        <bgColor indexed="64"/>
      </patternFill>
    </fill>
    <fill>
      <patternFill patternType="solid">
        <fgColor theme="9" tint="0.5999938962981048"/>
        <bgColor indexed="64"/>
      </patternFill>
    </fill>
    <fill>
      <patternFill patternType="solid">
        <fgColor rgb="FFFFE697"/>
        <bgColor indexed="64"/>
      </patternFill>
    </fill>
    <fill>
      <patternFill patternType="solid">
        <fgColor theme="7" tint="0.5999938962981048"/>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right/>
      <top style="thin">
        <color indexed="64"/>
      </top>
      <bottom style="double">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right/>
      <top/>
      <bottom style="double">
        <color indexed="64"/>
      </bottom>
      <diagonal/>
    </border>
    <border>
      <left/>
      <right/>
      <top/>
      <bottom style="thin">
        <color indexed="64"/>
      </bottom>
      <diagonal/>
    </border>
    <border>
      <left style="medium">
        <color indexed="64"/>
      </left>
      <right style="medium">
        <color indexed="64"/>
      </right>
      <top/>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style="thin">
        <color indexed="64"/>
      </left>
      <right style="medium">
        <color indexed="64"/>
      </right>
      <top/>
      <bottom/>
      <diagonal/>
    </border>
    <border>
      <left style="thin">
        <color indexed="64"/>
      </left>
      <right style="thin">
        <color indexed="64"/>
      </right>
      <top/>
      <bottom/>
      <diagonal/>
    </border>
    <border>
      <left style="medium">
        <color indexed="64"/>
      </left>
      <right style="thin">
        <color indexed="64"/>
      </right>
      <top/>
      <bottom/>
      <diagonal/>
    </border>
  </borders>
  <cellStyleXfs count="14">
    <xf numFmtId="0" fontId="0" fillId="0" borderId="0"/>
    <xf numFmtId="38" fontId="6" fillId="0" borderId="0"/>
    <xf numFmtId="9" fontId="6" fillId="0" borderId="0"/>
    <xf numFmtId="0" fontId="6" fillId="0" borderId="0"/>
    <xf numFmtId="0" fontId="6" fillId="0" borderId="0"/>
    <xf numFmtId="0" fontId="4" fillId="0" borderId="0"/>
    <xf numFmtId="0" fontId="4" fillId="0" borderId="0"/>
    <xf numFmtId="0" fontId="4" fillId="0" borderId="0"/>
    <xf numFmtId="0" fontId="6" fillId="0" borderId="0"/>
    <xf numFmtId="38" fontId="6" fillId="0" borderId="0"/>
    <xf numFmtId="0" fontId="6" fillId="0" borderId="0"/>
    <xf numFmtId="0" fontId="4" fillId="0" borderId="0"/>
    <xf numFmtId="0" fontId="4" fillId="0" borderId="0"/>
    <xf numFmtId="0" fontId="4" fillId="0" borderId="0"/>
  </cellStyleXfs>
  <cellXfs count="623">
    <xf numFmtId="0" fontId="0" fillId="0" borderId="0" pivotButton="0" quotePrefix="0" xfId="0"/>
    <xf numFmtId="0" fontId="9" fillId="2" borderId="0" applyAlignment="1" pivotButton="0" quotePrefix="0" xfId="0">
      <alignment vertical="center"/>
    </xf>
    <xf numFmtId="0" fontId="8" fillId="2" borderId="0" applyAlignment="1" pivotButton="0" quotePrefix="0" xfId="0">
      <alignment vertical="center"/>
    </xf>
    <xf numFmtId="0" fontId="11" fillId="2" borderId="0" applyAlignment="1" pivotButton="0" quotePrefix="0" xfId="1">
      <alignment horizontal="center" vertical="center"/>
    </xf>
    <xf numFmtId="0" fontId="11" fillId="2" borderId="0" applyAlignment="1" pivotButton="0" quotePrefix="0" xfId="0">
      <alignment horizontal="center" vertical="center"/>
    </xf>
    <xf numFmtId="0" fontId="8" fillId="2" borderId="0" applyAlignment="1" pivotButton="0" quotePrefix="0" xfId="0">
      <alignment horizontal="left" vertical="center"/>
    </xf>
    <xf numFmtId="0" fontId="8" fillId="2" borderId="3" applyAlignment="1" pivotButton="0" quotePrefix="0" xfId="0">
      <alignment vertical="center"/>
    </xf>
    <xf numFmtId="0" fontId="8" fillId="2" borderId="4" applyAlignment="1" pivotButton="0" quotePrefix="0" xfId="0">
      <alignment vertical="center"/>
    </xf>
    <xf numFmtId="0" fontId="10" fillId="2" borderId="0" applyAlignment="1" pivotButton="0" quotePrefix="0" xfId="0">
      <alignment horizontal="left" vertical="center"/>
    </xf>
    <xf numFmtId="0" fontId="9" fillId="2" borderId="3" applyAlignment="1" pivotButton="0" quotePrefix="0" xfId="0">
      <alignment horizontal="center" vertical="center"/>
    </xf>
    <xf numFmtId="0" fontId="12" fillId="2" borderId="0" applyAlignment="1" pivotButton="0" quotePrefix="0" xfId="0">
      <alignment horizontal="center" vertical="center"/>
    </xf>
    <xf numFmtId="0" fontId="9" fillId="2" borderId="0" applyAlignment="1" pivotButton="0" quotePrefix="0" xfId="0">
      <alignment horizontal="center" vertical="center"/>
    </xf>
    <xf numFmtId="0" fontId="9" fillId="2" borderId="4" applyAlignment="1" pivotButton="0" quotePrefix="0" xfId="0">
      <alignment horizontal="center" vertical="center"/>
    </xf>
    <xf numFmtId="0" fontId="9" fillId="2" borderId="3" applyAlignment="1" pivotButton="0" quotePrefix="0" xfId="0">
      <alignment vertical="center"/>
    </xf>
    <xf numFmtId="0" fontId="9" fillId="2" borderId="4" applyAlignment="1" pivotButton="0" quotePrefix="0" xfId="0">
      <alignment vertical="center"/>
    </xf>
    <xf numFmtId="0" fontId="17" fillId="4" borderId="8" applyAlignment="1" pivotButton="0" quotePrefix="0" xfId="0">
      <alignment vertical="center"/>
    </xf>
    <xf numFmtId="0" fontId="18" fillId="4" borderId="9" applyAlignment="1" pivotButton="0" quotePrefix="0" xfId="0">
      <alignment horizontal="left" vertical="center"/>
    </xf>
    <xf numFmtId="0" fontId="17" fillId="4" borderId="9" applyAlignment="1" pivotButton="0" quotePrefix="0" xfId="0">
      <alignment horizontal="left" vertical="center"/>
    </xf>
    <xf numFmtId="0" fontId="17" fillId="4" borderId="9" applyAlignment="1" pivotButton="0" quotePrefix="0" xfId="0">
      <alignment vertical="center"/>
    </xf>
    <xf numFmtId="0" fontId="17" fillId="4" borderId="10" applyAlignment="1" pivotButton="0" quotePrefix="0" xfId="0">
      <alignment vertical="center"/>
    </xf>
    <xf numFmtId="0" fontId="8" fillId="2" borderId="2" applyAlignment="1" pivotButton="0" quotePrefix="0" xfId="0">
      <alignment horizontal="center" vertical="center" wrapText="1"/>
    </xf>
    <xf numFmtId="0" fontId="9" fillId="2" borderId="27" applyAlignment="1" pivotButton="0" quotePrefix="0" xfId="0">
      <alignment horizontal="left" vertical="center"/>
    </xf>
    <xf numFmtId="0" fontId="9" fillId="2" borderId="27" applyAlignment="1" pivotButton="0" quotePrefix="0" xfId="0">
      <alignment vertical="center"/>
    </xf>
    <xf numFmtId="9" fontId="9" fillId="2" borderId="27" applyAlignment="1" pivotButton="0" quotePrefix="0" xfId="0">
      <alignment horizontal="center" vertical="center" wrapText="1"/>
    </xf>
    <xf numFmtId="0" fontId="19" fillId="8" borderId="9" applyAlignment="1" pivotButton="0" quotePrefix="0" xfId="0">
      <alignment vertical="center"/>
    </xf>
    <xf numFmtId="0" fontId="8" fillId="0" borderId="0" applyAlignment="1" pivotButton="0" quotePrefix="0" xfId="0">
      <alignment vertical="center"/>
    </xf>
    <xf numFmtId="0" fontId="9" fillId="2" borderId="36" applyAlignment="1" pivotButton="0" quotePrefix="0" xfId="0">
      <alignment vertical="center"/>
    </xf>
    <xf numFmtId="0" fontId="22" fillId="0" borderId="0" applyAlignment="1" pivotButton="0" quotePrefix="0" xfId="0">
      <alignment horizontal="center" vertical="center" wrapText="1"/>
    </xf>
    <xf numFmtId="0" fontId="12" fillId="0" borderId="0" applyAlignment="1" pivotButton="0" quotePrefix="0" xfId="0">
      <alignment horizontal="center" vertical="center" wrapText="1"/>
    </xf>
    <xf numFmtId="0" fontId="8" fillId="0" borderId="0" applyAlignment="1" pivotButton="0" quotePrefix="0" xfId="0">
      <alignment horizontal="center" vertical="center"/>
    </xf>
    <xf numFmtId="0" fontId="21" fillId="0" borderId="0" applyAlignment="1" pivotButton="0" quotePrefix="0" xfId="0">
      <alignment horizontal="center" vertical="center"/>
    </xf>
    <xf numFmtId="0" fontId="9" fillId="0" borderId="0" applyAlignment="1" pivotButton="0" quotePrefix="0" xfId="0">
      <alignment vertical="center"/>
    </xf>
    <xf numFmtId="0" fontId="8" fillId="2" borderId="28" applyAlignment="1" pivotButton="0" quotePrefix="0" xfId="0">
      <alignment horizontal="center" vertical="center"/>
    </xf>
    <xf numFmtId="0" fontId="8" fillId="2" borderId="0" applyAlignment="1" pivotButton="0" quotePrefix="0" xfId="0">
      <alignment horizontal="center" vertical="center"/>
    </xf>
    <xf numFmtId="0" fontId="22" fillId="10" borderId="32" applyAlignment="1" pivotButton="0" quotePrefix="0" xfId="0">
      <alignment horizontal="center" vertical="center" wrapText="1"/>
    </xf>
    <xf numFmtId="0" fontId="8" fillId="0" borderId="12" applyAlignment="1" pivotButton="0" quotePrefix="0" xfId="0">
      <alignment horizontal="center" vertical="center"/>
    </xf>
    <xf numFmtId="0" fontId="8" fillId="2" borderId="5" applyAlignment="1" pivotButton="0" quotePrefix="0" xfId="0">
      <alignment vertical="center"/>
    </xf>
    <xf numFmtId="0" fontId="8" fillId="2" borderId="6" applyAlignment="1" pivotButton="0" quotePrefix="0" xfId="0">
      <alignment horizontal="left" vertical="center"/>
    </xf>
    <xf numFmtId="0" fontId="15" fillId="2" borderId="6" applyAlignment="1" pivotButton="0" quotePrefix="0" xfId="0">
      <alignment horizontal="left" vertical="center"/>
    </xf>
    <xf numFmtId="0" fontId="8" fillId="2" borderId="6" applyAlignment="1" pivotButton="0" quotePrefix="0" xfId="0">
      <alignment vertical="center"/>
    </xf>
    <xf numFmtId="0" fontId="8" fillId="0" borderId="6" applyAlignment="1" pivotButton="0" quotePrefix="0" xfId="0">
      <alignment vertical="center"/>
    </xf>
    <xf numFmtId="0" fontId="8" fillId="2" borderId="7" applyAlignment="1" pivotButton="0" quotePrefix="0" xfId="0">
      <alignment vertical="center"/>
    </xf>
    <xf numFmtId="0" fontId="8" fillId="2" borderId="37" applyAlignment="1" pivotButton="0" quotePrefix="0" xfId="0">
      <alignment vertical="center"/>
    </xf>
    <xf numFmtId="0" fontId="8" fillId="0" borderId="37" applyAlignment="1" pivotButton="0" quotePrefix="0" xfId="0">
      <alignment vertical="center"/>
    </xf>
    <xf numFmtId="0" fontId="22" fillId="15" borderId="41" applyAlignment="1" pivotButton="0" quotePrefix="0" xfId="0">
      <alignment horizontal="center" vertical="center" wrapText="1"/>
    </xf>
    <xf numFmtId="0" fontId="12" fillId="15" borderId="21" applyAlignment="1" pivotButton="0" quotePrefix="0" xfId="0">
      <alignment horizontal="center" vertical="center" wrapText="1"/>
    </xf>
    <xf numFmtId="0" fontId="12" fillId="10" borderId="29" applyAlignment="1" pivotButton="0" quotePrefix="0" xfId="0">
      <alignment horizontal="center" vertical="center" wrapText="1"/>
    </xf>
    <xf numFmtId="0" fontId="25" fillId="0" borderId="0" applyAlignment="1" pivotButton="0" quotePrefix="0" xfId="0">
      <alignment vertical="center"/>
    </xf>
    <xf numFmtId="0" fontId="32" fillId="0" borderId="0" applyAlignment="1" pivotButton="0" quotePrefix="0" xfId="0">
      <alignment vertical="center"/>
    </xf>
    <xf numFmtId="0" fontId="34" fillId="4" borderId="9" applyAlignment="1" pivotButton="0" quotePrefix="0" xfId="0">
      <alignment vertical="center"/>
    </xf>
    <xf numFmtId="0" fontId="25" fillId="0" borderId="0" pivotButton="0" quotePrefix="0" xfId="4"/>
    <xf numFmtId="0" fontId="32" fillId="12" borderId="0" applyAlignment="1" pivotButton="0" quotePrefix="0" xfId="4">
      <alignment horizontal="center"/>
    </xf>
    <xf numFmtId="0" fontId="32" fillId="11" borderId="0" applyAlignment="1" pivotButton="0" quotePrefix="0" xfId="4">
      <alignment horizontal="center"/>
    </xf>
    <xf numFmtId="0" fontId="25" fillId="0" borderId="0" applyAlignment="1" pivotButton="0" quotePrefix="0" xfId="4">
      <alignment horizontal="center"/>
    </xf>
    <xf numFmtId="0" fontId="25" fillId="0" borderId="0" applyAlignment="1" pivotButton="0" quotePrefix="0" xfId="4">
      <alignment horizontal="right"/>
    </xf>
    <xf numFmtId="0" fontId="26" fillId="0" borderId="0" applyAlignment="1" pivotButton="0" quotePrefix="0" xfId="4">
      <alignment horizontal="right"/>
    </xf>
    <xf numFmtId="0" fontId="26" fillId="0" borderId="0" pivotButton="0" quotePrefix="0" xfId="4"/>
    <xf numFmtId="0" fontId="34" fillId="4" borderId="10" applyAlignment="1" pivotButton="0" quotePrefix="0" xfId="0">
      <alignment vertical="center"/>
    </xf>
    <xf numFmtId="0" fontId="25" fillId="0" borderId="3" pivotButton="0" quotePrefix="0" xfId="4"/>
    <xf numFmtId="0" fontId="25" fillId="0" borderId="4" pivotButton="0" quotePrefix="0" xfId="4"/>
    <xf numFmtId="0" fontId="25" fillId="0" borderId="5" pivotButton="0" quotePrefix="0" xfId="4"/>
    <xf numFmtId="0" fontId="25" fillId="0" borderId="6" pivotButton="0" quotePrefix="0" xfId="4"/>
    <xf numFmtId="0" fontId="25" fillId="0" borderId="7" pivotButton="0" quotePrefix="0" xfId="4"/>
    <xf numFmtId="0" fontId="34" fillId="4" borderId="30" applyAlignment="1" pivotButton="0" quotePrefix="0" xfId="0">
      <alignment vertical="center"/>
    </xf>
    <xf numFmtId="0" fontId="33" fillId="4" borderId="31" applyAlignment="1" pivotButton="0" quotePrefix="0" xfId="0">
      <alignment horizontal="left" vertical="center"/>
    </xf>
    <xf numFmtId="0" fontId="34" fillId="4" borderId="31" applyAlignment="1" pivotButton="0" quotePrefix="0" xfId="0">
      <alignment horizontal="left" vertical="center"/>
    </xf>
    <xf numFmtId="0" fontId="34" fillId="4" borderId="31" applyAlignment="1" pivotButton="0" quotePrefix="0" xfId="0">
      <alignment vertical="center"/>
    </xf>
    <xf numFmtId="0" fontId="19" fillId="8" borderId="8" applyAlignment="1" pivotButton="0" quotePrefix="0" xfId="0">
      <alignment vertical="center"/>
    </xf>
    <xf numFmtId="0" fontId="22" fillId="10" borderId="23" applyAlignment="1" pivotButton="0" quotePrefix="0" xfId="0">
      <alignment horizontal="center" vertical="center" wrapText="1"/>
    </xf>
    <xf numFmtId="0" fontId="22" fillId="10" borderId="41" applyAlignment="1" pivotButton="0" quotePrefix="0" xfId="0">
      <alignment horizontal="center" vertical="center" wrapText="1"/>
    </xf>
    <xf numFmtId="9" fontId="8" fillId="2" borderId="12" applyAlignment="1" pivotButton="0" quotePrefix="0" xfId="2">
      <alignment horizontal="center" vertical="center" wrapText="1"/>
    </xf>
    <xf numFmtId="0" fontId="8" fillId="2" borderId="39" applyAlignment="1" pivotButton="0" quotePrefix="0" xfId="0">
      <alignment horizontal="center" vertical="center" wrapText="1"/>
    </xf>
    <xf numFmtId="0" fontId="45" fillId="2" borderId="0" applyAlignment="1" pivotButton="0" quotePrefix="0" xfId="1">
      <alignment horizontal="left" vertical="center"/>
    </xf>
    <xf numFmtId="0" fontId="25" fillId="0" borderId="30" applyAlignment="1" pivotButton="0" quotePrefix="0" xfId="0">
      <alignment vertical="center"/>
    </xf>
    <xf numFmtId="0" fontId="25" fillId="0" borderId="31" applyAlignment="1" pivotButton="0" quotePrefix="0" xfId="0">
      <alignment horizontal="left" vertical="center"/>
    </xf>
    <xf numFmtId="0" fontId="32" fillId="0" borderId="31" applyAlignment="1" pivotButton="0" quotePrefix="0" xfId="0">
      <alignment horizontal="left" vertical="center"/>
    </xf>
    <xf numFmtId="0" fontId="32" fillId="0" borderId="31" applyAlignment="1" pivotButton="0" quotePrefix="0" xfId="0">
      <alignment vertical="center"/>
    </xf>
    <xf numFmtId="0" fontId="25" fillId="0" borderId="31" applyAlignment="1" pivotButton="0" quotePrefix="0" xfId="0">
      <alignment vertical="center"/>
    </xf>
    <xf numFmtId="0" fontId="25" fillId="0" borderId="32" applyAlignment="1" pivotButton="0" quotePrefix="0" xfId="0">
      <alignment vertical="center"/>
    </xf>
    <xf numFmtId="0" fontId="25" fillId="0" borderId="3" applyAlignment="1" pivotButton="0" quotePrefix="0" xfId="0">
      <alignment vertical="center"/>
    </xf>
    <xf numFmtId="0" fontId="25" fillId="0" borderId="0" applyAlignment="1" pivotButton="0" quotePrefix="0" xfId="0">
      <alignment horizontal="left" vertical="center"/>
    </xf>
    <xf numFmtId="0" fontId="32" fillId="0" borderId="0" applyAlignment="1" pivotButton="0" quotePrefix="0" xfId="0">
      <alignment horizontal="left" vertical="center"/>
    </xf>
    <xf numFmtId="0" fontId="25" fillId="0" borderId="4" applyAlignment="1" pivotButton="0" quotePrefix="0" xfId="0">
      <alignment vertical="center"/>
    </xf>
    <xf numFmtId="0" fontId="25" fillId="0" borderId="5" applyAlignment="1" pivotButton="0" quotePrefix="0" xfId="0">
      <alignment vertical="center"/>
    </xf>
    <xf numFmtId="0" fontId="25" fillId="0" borderId="6" applyAlignment="1" pivotButton="0" quotePrefix="0" xfId="0">
      <alignment horizontal="left" vertical="center"/>
    </xf>
    <xf numFmtId="0" fontId="32" fillId="0" borderId="6" applyAlignment="1" pivotButton="0" quotePrefix="0" xfId="0">
      <alignment horizontal="left" vertical="center"/>
    </xf>
    <xf numFmtId="0" fontId="32" fillId="0" borderId="6" applyAlignment="1" pivotButton="0" quotePrefix="0" xfId="0">
      <alignment vertical="center"/>
    </xf>
    <xf numFmtId="0" fontId="25" fillId="0" borderId="6" applyAlignment="1" pivotButton="0" quotePrefix="0" xfId="0">
      <alignment vertical="center"/>
    </xf>
    <xf numFmtId="0" fontId="25" fillId="0" borderId="7" applyAlignment="1" pivotButton="0" quotePrefix="0" xfId="0">
      <alignment vertical="center"/>
    </xf>
    <xf numFmtId="0" fontId="8" fillId="0" borderId="30" applyAlignment="1" pivotButton="0" quotePrefix="0" xfId="0">
      <alignment vertical="center"/>
    </xf>
    <xf numFmtId="0" fontId="8" fillId="0" borderId="31" applyAlignment="1" pivotButton="0" quotePrefix="0" xfId="0">
      <alignment horizontal="left" vertical="center"/>
    </xf>
    <xf numFmtId="0" fontId="9" fillId="0" borderId="31" applyAlignment="1" pivotButton="0" quotePrefix="0" xfId="0">
      <alignment horizontal="left" vertical="center"/>
    </xf>
    <xf numFmtId="0" fontId="9" fillId="0" borderId="31" applyAlignment="1" pivotButton="0" quotePrefix="0" xfId="0">
      <alignment vertical="center"/>
    </xf>
    <xf numFmtId="0" fontId="8" fillId="0" borderId="31" applyAlignment="1" pivotButton="0" quotePrefix="0" xfId="0">
      <alignment vertical="center"/>
    </xf>
    <xf numFmtId="0" fontId="8" fillId="0" borderId="32" applyAlignment="1" pivotButton="0" quotePrefix="0" xfId="0">
      <alignment vertical="center"/>
    </xf>
    <xf numFmtId="0" fontId="8" fillId="0" borderId="3" applyAlignment="1" pivotButton="0" quotePrefix="0" xfId="0">
      <alignment vertical="center"/>
    </xf>
    <xf numFmtId="0" fontId="8" fillId="0" borderId="0" applyAlignment="1" pivotButton="0" quotePrefix="0" xfId="0">
      <alignment horizontal="left" vertical="center"/>
    </xf>
    <xf numFmtId="0" fontId="9" fillId="0" borderId="0" applyAlignment="1" pivotButton="0" quotePrefix="0" xfId="0">
      <alignment horizontal="left" vertical="center"/>
    </xf>
    <xf numFmtId="0" fontId="8" fillId="0" borderId="4" applyAlignment="1" pivotButton="0" quotePrefix="0" xfId="0">
      <alignment vertical="center"/>
    </xf>
    <xf numFmtId="0" fontId="8" fillId="0" borderId="5" applyAlignment="1" pivotButton="0" quotePrefix="0" xfId="0">
      <alignment vertical="center"/>
    </xf>
    <xf numFmtId="0" fontId="8" fillId="0" borderId="6" applyAlignment="1" pivotButton="0" quotePrefix="0" xfId="0">
      <alignment horizontal="left" vertical="center"/>
    </xf>
    <xf numFmtId="0" fontId="9" fillId="0" borderId="6" applyAlignment="1" pivotButton="0" quotePrefix="0" xfId="0">
      <alignment horizontal="left" vertical="center"/>
    </xf>
    <xf numFmtId="0" fontId="9" fillId="0" borderId="6" applyAlignment="1" pivotButton="0" quotePrefix="0" xfId="0">
      <alignment vertical="center"/>
    </xf>
    <xf numFmtId="0" fontId="8" fillId="0" borderId="7" applyAlignment="1" pivotButton="0" quotePrefix="0" xfId="0">
      <alignment vertical="center"/>
    </xf>
    <xf numFmtId="0" fontId="12" fillId="7" borderId="29" applyAlignment="1" pivotButton="0" quotePrefix="0" xfId="0">
      <alignment horizontal="center" vertical="center" wrapText="1"/>
    </xf>
    <xf numFmtId="0" fontId="8" fillId="2" borderId="18" applyAlignment="1" pivotButton="0" quotePrefix="0" xfId="0">
      <alignment horizontal="center" vertical="center"/>
    </xf>
    <xf numFmtId="0" fontId="8" fillId="2" borderId="18" applyAlignment="1" pivotButton="0" quotePrefix="0" xfId="0">
      <alignment horizontal="center" vertical="center" wrapText="1"/>
    </xf>
    <xf numFmtId="0" fontId="12" fillId="10" borderId="21" applyAlignment="1" pivotButton="0" quotePrefix="0" xfId="0">
      <alignment horizontal="center" vertical="center" wrapText="1"/>
    </xf>
    <xf numFmtId="0" fontId="12" fillId="10" borderId="7" applyAlignment="1" pivotButton="0" quotePrefix="0" xfId="0">
      <alignment horizontal="center" vertical="center" wrapText="1"/>
    </xf>
    <xf numFmtId="0" fontId="12" fillId="7" borderId="23" applyAlignment="1" pivotButton="0" quotePrefix="0" xfId="0">
      <alignment horizontal="center" vertical="center" wrapText="1"/>
    </xf>
    <xf numFmtId="0" fontId="8" fillId="2" borderId="6" applyAlignment="1" pivotButton="0" quotePrefix="0" xfId="0">
      <alignment horizontal="center" vertical="center"/>
    </xf>
    <xf numFmtId="0" fontId="8" fillId="2" borderId="48" applyAlignment="1" pivotButton="0" quotePrefix="0" xfId="0">
      <alignment horizontal="left" vertical="center"/>
    </xf>
    <xf numFmtId="0" fontId="8" fillId="2" borderId="48" applyAlignment="1" pivotButton="0" quotePrefix="0" xfId="0">
      <alignment vertical="center"/>
    </xf>
    <xf numFmtId="0" fontId="47" fillId="0" borderId="31" applyAlignment="1" pivotButton="0" quotePrefix="0" xfId="0">
      <alignment vertical="center"/>
    </xf>
    <xf numFmtId="0" fontId="47" fillId="0" borderId="0" applyAlignment="1" pivotButton="0" quotePrefix="0" xfId="0">
      <alignment vertical="center"/>
    </xf>
    <xf numFmtId="0" fontId="47" fillId="0" borderId="6" applyAlignment="1" pivotButton="0" quotePrefix="0" xfId="0">
      <alignment vertical="center"/>
    </xf>
    <xf numFmtId="0" fontId="32" fillId="10" borderId="0" applyAlignment="1" pivotButton="0" quotePrefix="0" xfId="4">
      <alignment horizontal="center"/>
    </xf>
    <xf numFmtId="0" fontId="32" fillId="17" borderId="0" applyAlignment="1" pivotButton="0" quotePrefix="0" xfId="4">
      <alignment horizontal="center"/>
    </xf>
    <xf numFmtId="0" fontId="25" fillId="0" borderId="0" applyAlignment="1" pivotButton="0" quotePrefix="0" xfId="4">
      <alignment horizontal="left"/>
    </xf>
    <xf numFmtId="0" fontId="37" fillId="0" borderId="0" applyAlignment="1" pivotButton="0" quotePrefix="0" xfId="4">
      <alignment horizontal="right"/>
    </xf>
    <xf numFmtId="0" fontId="9" fillId="0" borderId="31" applyAlignment="1" pivotButton="0" quotePrefix="0" xfId="0">
      <alignment horizontal="center" vertical="center"/>
    </xf>
    <xf numFmtId="0" fontId="9" fillId="0" borderId="0" applyAlignment="1" pivotButton="0" quotePrefix="0" xfId="0">
      <alignment horizontal="center" vertical="center"/>
    </xf>
    <xf numFmtId="0" fontId="9" fillId="0" borderId="6" applyAlignment="1" pivotButton="0" quotePrefix="0" xfId="0">
      <alignment horizontal="center" vertical="center"/>
    </xf>
    <xf numFmtId="0" fontId="17" fillId="4" borderId="9" applyAlignment="1" pivotButton="0" quotePrefix="0" xfId="0">
      <alignment horizontal="center" vertical="center"/>
    </xf>
    <xf numFmtId="0" fontId="0" fillId="0" borderId="3" pivotButton="0" quotePrefix="0" xfId="0"/>
    <xf numFmtId="0" fontId="27" fillId="0" borderId="8" applyAlignment="1" pivotButton="0" quotePrefix="0" xfId="0">
      <alignment horizontal="center" vertical="center" wrapText="1"/>
    </xf>
    <xf numFmtId="0" fontId="0" fillId="0" borderId="0" applyAlignment="1" pivotButton="0" quotePrefix="0" xfId="0">
      <alignment horizontal="center"/>
    </xf>
    <xf numFmtId="0" fontId="0" fillId="0" borderId="4" pivotButton="0" quotePrefix="0" xfId="0"/>
    <xf numFmtId="0" fontId="0" fillId="0" borderId="3" applyAlignment="1" pivotButton="0" quotePrefix="0" xfId="0">
      <alignment vertical="center"/>
    </xf>
    <xf numFmtId="0" fontId="0" fillId="0" borderId="0" applyAlignment="1" pivotButton="0" quotePrefix="0" xfId="0">
      <alignment vertical="center"/>
    </xf>
    <xf numFmtId="0" fontId="0" fillId="0" borderId="4" applyAlignment="1" pivotButton="0" quotePrefix="0" xfId="0">
      <alignment vertical="center"/>
    </xf>
    <xf numFmtId="0" fontId="27" fillId="0" borderId="0" pivotButton="0" quotePrefix="0" xfId="0"/>
    <xf numFmtId="0" fontId="27" fillId="0" borderId="4" pivotButton="0" quotePrefix="0" xfId="0"/>
    <xf numFmtId="0" fontId="30" fillId="8" borderId="3" pivotButton="0" quotePrefix="0" xfId="0"/>
    <xf numFmtId="0" fontId="30" fillId="8" borderId="0" pivotButton="0" quotePrefix="0" xfId="0"/>
    <xf numFmtId="0" fontId="29" fillId="8" borderId="0" applyAlignment="1" pivotButton="0" quotePrefix="0" xfId="0">
      <alignment horizontal="right"/>
    </xf>
    <xf numFmtId="0" fontId="29" fillId="8" borderId="0" pivotButton="0" quotePrefix="0" xfId="0"/>
    <xf numFmtId="0" fontId="30" fillId="8" borderId="0" applyAlignment="1" pivotButton="0" quotePrefix="0" xfId="0">
      <alignment horizontal="center"/>
    </xf>
    <xf numFmtId="0" fontId="30" fillId="8" borderId="4" pivotButton="0" quotePrefix="0" xfId="0"/>
    <xf numFmtId="0" fontId="30" fillId="0" borderId="3" pivotButton="0" quotePrefix="0" xfId="0"/>
    <xf numFmtId="0" fontId="30" fillId="0" borderId="0" pivotButton="0" quotePrefix="0" xfId="0"/>
    <xf numFmtId="0" fontId="30" fillId="0" borderId="0" applyAlignment="1" pivotButton="0" quotePrefix="0" xfId="0">
      <alignment horizontal="center"/>
    </xf>
    <xf numFmtId="0" fontId="30" fillId="0" borderId="4" pivotButton="0" quotePrefix="0" xfId="0"/>
    <xf numFmtId="0" fontId="5" fillId="16" borderId="34"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28" fillId="4" borderId="34" applyAlignment="1" pivotButton="0" quotePrefix="0" xfId="0">
      <alignment horizontal="center" vertical="center" wrapText="1"/>
    </xf>
    <xf numFmtId="3" fontId="28" fillId="4" borderId="34" applyAlignment="1" pivotButton="0" quotePrefix="0" xfId="0">
      <alignment horizontal="center" vertical="center" wrapText="1"/>
    </xf>
    <xf numFmtId="0" fontId="28" fillId="4" borderId="50" applyAlignment="1" pivotButton="0" quotePrefix="0" xfId="0">
      <alignment horizontal="center" vertical="center" wrapText="1"/>
    </xf>
    <xf numFmtId="0" fontId="28" fillId="4" borderId="22" applyAlignment="1" pivotButton="0" quotePrefix="0" xfId="0">
      <alignment horizontal="center" vertical="center" wrapText="1"/>
    </xf>
    <xf numFmtId="0" fontId="28" fillId="4" borderId="11" applyAlignment="1" pivotButton="0" quotePrefix="0" xfId="0">
      <alignment horizontal="center" vertical="center" wrapText="1"/>
    </xf>
    <xf numFmtId="0" fontId="28" fillId="4" borderId="26" applyAlignment="1" pivotButton="0" quotePrefix="0" xfId="0">
      <alignment horizontal="center" vertical="center" wrapText="1"/>
    </xf>
    <xf numFmtId="0" fontId="28" fillId="4" borderId="23" applyAlignment="1" pivotButton="0" quotePrefix="0" xfId="0">
      <alignment horizontal="center" vertical="center" wrapText="1"/>
    </xf>
    <xf numFmtId="0" fontId="0" fillId="0" borderId="4" applyAlignment="1" pivotButton="0" quotePrefix="0" xfId="0">
      <alignment horizontal="center" vertical="center" wrapText="1"/>
    </xf>
    <xf numFmtId="0" fontId="0" fillId="0" borderId="2" pivotButton="0" quotePrefix="0" xfId="0"/>
    <xf numFmtId="0" fontId="0" fillId="0" borderId="2" applyAlignment="1" pivotButton="0" quotePrefix="0" xfId="0">
      <alignment horizontal="center"/>
    </xf>
    <xf numFmtId="4" fontId="0" fillId="0" borderId="13" pivotButton="0" quotePrefix="0" xfId="0"/>
    <xf numFmtId="4" fontId="0" fillId="0" borderId="14" pivotButton="0" quotePrefix="0" xfId="0"/>
    <xf numFmtId="4" fontId="0" fillId="0" borderId="1" pivotButton="0" quotePrefix="0" xfId="0"/>
    <xf numFmtId="0" fontId="0" fillId="0" borderId="14" pivotButton="0" quotePrefix="0" xfId="0"/>
    <xf numFmtId="0" fontId="0" fillId="0" borderId="24" applyAlignment="1" pivotButton="0" quotePrefix="0" xfId="0">
      <alignment horizontal="center"/>
    </xf>
    <xf numFmtId="0" fontId="27" fillId="13" borderId="25" applyAlignment="1" pivotButton="0" quotePrefix="0" xfId="0">
      <alignment horizontal="right" vertical="top"/>
    </xf>
    <xf numFmtId="4" fontId="27" fillId="13" borderId="44" pivotButton="0" quotePrefix="0" xfId="0"/>
    <xf numFmtId="9" fontId="0" fillId="13" borderId="16" pivotButton="0" quotePrefix="0" xfId="2"/>
    <xf numFmtId="0" fontId="0" fillId="13" borderId="16" applyAlignment="1" pivotButton="0" quotePrefix="0" xfId="0">
      <alignment horizontal="center"/>
    </xf>
    <xf numFmtId="4" fontId="27" fillId="13" borderId="15" pivotButton="0" quotePrefix="0" xfId="0"/>
    <xf numFmtId="4" fontId="27" fillId="13" borderId="17" pivotButton="0" quotePrefix="0" xfId="0"/>
    <xf numFmtId="4" fontId="0" fillId="13" borderId="15" pivotButton="0" quotePrefix="0" xfId="0"/>
    <xf numFmtId="4" fontId="0" fillId="13" borderId="16" pivotButton="0" quotePrefix="0" xfId="0"/>
    <xf numFmtId="0" fontId="0" fillId="13" borderId="17" pivotButton="0" quotePrefix="0" xfId="0"/>
    <xf numFmtId="0" fontId="0" fillId="13" borderId="25" pivotButton="0" quotePrefix="0" xfId="0"/>
    <xf numFmtId="0" fontId="27" fillId="0" borderId="0" applyAlignment="1" pivotButton="0" quotePrefix="0" xfId="0">
      <alignment horizontal="right"/>
    </xf>
    <xf numFmtId="0" fontId="27" fillId="0" borderId="0" applyAlignment="1" pivotButton="0" quotePrefix="0" xfId="0">
      <alignment horizontal="center"/>
    </xf>
    <xf numFmtId="0" fontId="27" fillId="0" borderId="0" applyAlignment="1" pivotButton="0" quotePrefix="0" xfId="0">
      <alignment horizontal="right" vertical="center"/>
    </xf>
    <xf numFmtId="0" fontId="27" fillId="0" borderId="0" applyAlignment="1" pivotButton="0" quotePrefix="0" xfId="0">
      <alignment horizontal="center" vertical="center"/>
    </xf>
    <xf numFmtId="0" fontId="0" fillId="16" borderId="34" applyAlignment="1" pivotButton="0" quotePrefix="0" xfId="0">
      <alignment horizontal="center" vertical="center" wrapText="1"/>
    </xf>
    <xf numFmtId="0" fontId="28" fillId="4" borderId="49" applyAlignment="1" pivotButton="0" quotePrefix="0" xfId="0">
      <alignment horizontal="center" vertical="center" wrapText="1"/>
    </xf>
    <xf numFmtId="0" fontId="0" fillId="0" borderId="0" applyAlignment="1" pivotButton="0" quotePrefix="0" xfId="0">
      <alignment vertical="top"/>
    </xf>
    <xf numFmtId="0" fontId="0" fillId="0" borderId="4" applyAlignment="1" pivotButton="0" quotePrefix="0" xfId="0">
      <alignment vertical="top"/>
    </xf>
    <xf numFmtId="9" fontId="0" fillId="13" borderId="16" applyAlignment="1" pivotButton="0" quotePrefix="0" xfId="2">
      <alignment horizontal="center"/>
    </xf>
    <xf numFmtId="0" fontId="28" fillId="4" borderId="13" applyAlignment="1" pivotButton="0" quotePrefix="0" xfId="0">
      <alignment horizontal="center" vertical="center" wrapText="1"/>
    </xf>
    <xf numFmtId="0" fontId="28" fillId="4" borderId="1" applyAlignment="1" pivotButton="0" quotePrefix="0" xfId="0">
      <alignment horizontal="center" vertical="center" wrapText="1"/>
    </xf>
    <xf numFmtId="0" fontId="28" fillId="4" borderId="14" applyAlignment="1" pivotButton="0" quotePrefix="0" xfId="0">
      <alignment horizontal="center" vertical="center" wrapText="1"/>
    </xf>
    <xf numFmtId="0" fontId="28" fillId="4" borderId="18" applyAlignment="1" pivotButton="0" quotePrefix="0" xfId="0">
      <alignment horizontal="center" vertical="center" wrapText="1"/>
    </xf>
    <xf numFmtId="0" fontId="28" fillId="4" borderId="2" applyAlignment="1" pivotButton="0" quotePrefix="0" xfId="0">
      <alignment horizontal="center" vertical="center" wrapText="1"/>
    </xf>
    <xf numFmtId="0" fontId="28" fillId="4" borderId="12" applyAlignment="1" pivotButton="0" quotePrefix="0" xfId="0">
      <alignment horizontal="center" vertical="center" wrapText="1"/>
    </xf>
    <xf numFmtId="0" fontId="0" fillId="0" borderId="1" pivotButton="0" quotePrefix="0" xfId="0"/>
    <xf numFmtId="0" fontId="0" fillId="0" borderId="5" pivotButton="0" quotePrefix="0" xfId="0"/>
    <xf numFmtId="0" fontId="0" fillId="0" borderId="6" pivotButton="0" quotePrefix="0" xfId="0"/>
    <xf numFmtId="0" fontId="0" fillId="0" borderId="6" applyAlignment="1" pivotButton="0" quotePrefix="0" xfId="0">
      <alignment horizontal="center"/>
    </xf>
    <xf numFmtId="0" fontId="0" fillId="0" borderId="7" pivotButton="0" quotePrefix="0" xfId="0"/>
    <xf numFmtId="0" fontId="27" fillId="0" borderId="10" applyAlignment="1" applyProtection="1" pivotButton="0" quotePrefix="0" xfId="0">
      <alignment vertical="center"/>
      <protection locked="0" hidden="0"/>
    </xf>
    <xf numFmtId="3" fontId="9" fillId="2" borderId="18" applyAlignment="1" applyProtection="1" pivotButton="0" quotePrefix="0" xfId="0">
      <alignment horizontal="center" vertical="center" wrapText="1"/>
      <protection locked="0" hidden="0"/>
    </xf>
    <xf numFmtId="0" fontId="9" fillId="2" borderId="2" applyAlignment="1" applyProtection="1" pivotButton="0" quotePrefix="0" xfId="0">
      <alignment horizontal="center" vertical="center" wrapText="1"/>
      <protection locked="0" hidden="0"/>
    </xf>
    <xf numFmtId="0" fontId="13" fillId="2" borderId="2" applyAlignment="1" applyProtection="1" pivotButton="0" quotePrefix="0" xfId="0">
      <alignment horizontal="center" vertical="center" wrapText="1"/>
      <protection locked="0" hidden="0"/>
    </xf>
    <xf numFmtId="0" fontId="8" fillId="2" borderId="2" applyAlignment="1" applyProtection="1" pivotButton="0" quotePrefix="0" xfId="0">
      <alignment horizontal="center" vertical="center" wrapText="1"/>
      <protection locked="0" hidden="0"/>
    </xf>
    <xf numFmtId="15" fontId="8" fillId="2" borderId="2" applyAlignment="1" applyProtection="1" pivotButton="0" quotePrefix="0" xfId="0">
      <alignment horizontal="center" vertical="center" wrapText="1"/>
      <protection locked="0" hidden="0"/>
    </xf>
    <xf numFmtId="0" fontId="8" fillId="0" borderId="2" applyAlignment="1" applyProtection="1" pivotButton="0" quotePrefix="0" xfId="0">
      <alignment horizontal="center" vertical="center" wrapText="1"/>
      <protection locked="0" hidden="0"/>
    </xf>
    <xf numFmtId="0" fontId="8" fillId="2" borderId="18" applyAlignment="1" applyProtection="1" pivotButton="0" quotePrefix="0" xfId="0">
      <alignment horizontal="center" vertical="center" wrapText="1"/>
      <protection locked="0" hidden="0"/>
    </xf>
    <xf numFmtId="0" fontId="5" fillId="0" borderId="2" applyAlignment="1" applyProtection="1" pivotButton="0" quotePrefix="0" xfId="0">
      <alignment horizontal="center"/>
      <protection locked="0" hidden="0"/>
    </xf>
    <xf numFmtId="0" fontId="27" fillId="13" borderId="24" applyAlignment="1" applyProtection="1" pivotButton="0" quotePrefix="0" xfId="0">
      <alignment horizontal="right" vertical="top"/>
      <protection locked="0" hidden="0"/>
    </xf>
    <xf numFmtId="0" fontId="27" fillId="13" borderId="25" applyAlignment="1" applyProtection="1" pivotButton="0" quotePrefix="0" xfId="0">
      <alignment horizontal="right" vertical="top"/>
      <protection locked="0" hidden="0"/>
    </xf>
    <xf numFmtId="0" fontId="32" fillId="0" borderId="0" applyAlignment="1" pivotButton="0" quotePrefix="0" xfId="0">
      <alignment horizontal="center" vertical="center"/>
    </xf>
    <xf numFmtId="0" fontId="43" fillId="0" borderId="0" applyAlignment="1" pivotButton="0" quotePrefix="0" xfId="0">
      <alignment vertical="center"/>
    </xf>
    <xf numFmtId="0" fontId="34" fillId="0" borderId="0" applyAlignment="1" pivotButton="0" quotePrefix="0" xfId="0">
      <alignment vertical="center"/>
    </xf>
    <xf numFmtId="0" fontId="48" fillId="0" borderId="0" applyAlignment="1" pivotButton="0" quotePrefix="0" xfId="0">
      <alignment vertical="center"/>
    </xf>
    <xf numFmtId="0" fontId="14" fillId="0" borderId="0" applyAlignment="1" pivotButton="0" quotePrefix="0" xfId="0">
      <alignment vertical="center"/>
    </xf>
    <xf numFmtId="4" fontId="47" fillId="0" borderId="0" applyAlignment="1" pivotButton="0" quotePrefix="0" xfId="0">
      <alignment vertical="center"/>
    </xf>
    <xf numFmtId="0" fontId="47" fillId="0" borderId="0" applyAlignment="1" pivotButton="0" quotePrefix="0" xfId="0">
      <alignment horizontal="left" vertical="center"/>
    </xf>
    <xf numFmtId="0" fontId="17" fillId="0" borderId="0" applyAlignment="1" pivotButton="0" quotePrefix="0" xfId="0">
      <alignment horizontal="left" vertical="center"/>
    </xf>
    <xf numFmtId="0" fontId="17" fillId="0" borderId="0" applyAlignment="1" pivotButton="0" quotePrefix="0" xfId="0">
      <alignment vertical="center"/>
    </xf>
    <xf numFmtId="0" fontId="17" fillId="0" borderId="0" applyAlignment="1" pivotButton="0" quotePrefix="0" xfId="0">
      <alignment horizontal="center" vertical="center"/>
    </xf>
    <xf numFmtId="9" fontId="8" fillId="0" borderId="0" applyAlignment="1" pivotButton="0" quotePrefix="0" xfId="0">
      <alignment vertical="center"/>
    </xf>
    <xf numFmtId="0" fontId="17" fillId="0" borderId="0" applyAlignment="1" pivotButton="0" quotePrefix="0" xfId="0">
      <alignment horizontal="right" vertical="center"/>
    </xf>
    <xf numFmtId="0" fontId="5" fillId="0" borderId="0" pivotButton="0" quotePrefix="0" xfId="0"/>
    <xf numFmtId="0" fontId="27" fillId="0" borderId="47" applyAlignment="1" pivotButton="0" quotePrefix="0" xfId="0">
      <alignment vertical="center" wrapText="1"/>
    </xf>
    <xf numFmtId="0" fontId="27" fillId="0" borderId="5" applyAlignment="1" pivotButton="0" quotePrefix="0" xfId="0">
      <alignment vertical="center" wrapText="1"/>
    </xf>
    <xf numFmtId="0" fontId="0" fillId="9" borderId="20" applyAlignment="1" applyProtection="1" pivotButton="0" quotePrefix="0" xfId="0">
      <alignment horizontal="center" vertical="center"/>
      <protection locked="0" hidden="0"/>
    </xf>
    <xf numFmtId="0" fontId="0" fillId="0" borderId="3" applyAlignment="1" pivotButton="0" quotePrefix="0" xfId="0">
      <alignment horizontal="center" vertical="center" wrapText="1"/>
    </xf>
    <xf numFmtId="3" fontId="28" fillId="4" borderId="49" applyAlignment="1" pivotButton="0" quotePrefix="0" xfId="0">
      <alignment horizontal="center" vertical="center" wrapText="1"/>
    </xf>
    <xf numFmtId="0" fontId="5" fillId="0" borderId="0" applyAlignment="1" pivotButton="0" quotePrefix="0" xfId="8">
      <alignment wrapText="1"/>
    </xf>
    <xf numFmtId="0" fontId="5" fillId="0" borderId="0" pivotButton="0" quotePrefix="0" xfId="8"/>
    <xf numFmtId="0" fontId="0" fillId="0" borderId="0" applyProtection="1" pivotButton="0" quotePrefix="0" xfId="0">
      <protection locked="0" hidden="0"/>
    </xf>
    <xf numFmtId="0" fontId="0" fillId="0" borderId="0" applyAlignment="1" applyProtection="1" pivotButton="0" quotePrefix="0" xfId="0">
      <alignment vertical="top"/>
      <protection locked="0" hidden="0"/>
    </xf>
    <xf numFmtId="0" fontId="8" fillId="2" borderId="12" applyAlignment="1" pivotButton="0" quotePrefix="0" xfId="0">
      <alignment horizontal="center" vertical="center" wrapText="1"/>
    </xf>
    <xf numFmtId="9" fontId="0" fillId="13" borderId="1" applyProtection="1" pivotButton="0" quotePrefix="0" xfId="2">
      <protection locked="0" hidden="0"/>
    </xf>
    <xf numFmtId="4" fontId="0" fillId="13" borderId="1" applyProtection="1" pivotButton="0" quotePrefix="0" xfId="0">
      <protection locked="0" hidden="0"/>
    </xf>
    <xf numFmtId="4" fontId="0" fillId="13" borderId="13" applyProtection="1" pivotButton="0" quotePrefix="0" xfId="0">
      <protection locked="0" hidden="0"/>
    </xf>
    <xf numFmtId="4" fontId="0" fillId="13" borderId="14" applyProtection="1" pivotButton="0" quotePrefix="0" xfId="0">
      <protection locked="0" hidden="0"/>
    </xf>
    <xf numFmtId="9" fontId="0" fillId="13" borderId="16" applyProtection="1" pivotButton="0" quotePrefix="0" xfId="2">
      <protection locked="0" hidden="0"/>
    </xf>
    <xf numFmtId="4" fontId="0" fillId="13" borderId="16" applyProtection="1" pivotButton="0" quotePrefix="0" xfId="0">
      <protection locked="0" hidden="0"/>
    </xf>
    <xf numFmtId="4" fontId="0" fillId="13" borderId="15" applyProtection="1" pivotButton="0" quotePrefix="0" xfId="0">
      <protection locked="0" hidden="0"/>
    </xf>
    <xf numFmtId="4" fontId="0" fillId="13" borderId="17" applyProtection="1" pivotButton="0" quotePrefix="0" xfId="0">
      <protection locked="0" hidden="0"/>
    </xf>
    <xf numFmtId="0" fontId="0" fillId="13" borderId="1" applyAlignment="1" applyProtection="1" pivotButton="0" quotePrefix="0" xfId="0">
      <alignment horizontal="center"/>
      <protection locked="0" hidden="0"/>
    </xf>
    <xf numFmtId="0" fontId="0" fillId="13" borderId="14" applyProtection="1" pivotButton="0" quotePrefix="0" xfId="0">
      <protection locked="0" hidden="0"/>
    </xf>
    <xf numFmtId="0" fontId="0" fillId="13" borderId="24" applyProtection="1" pivotButton="0" quotePrefix="0" xfId="0">
      <protection locked="0" hidden="0"/>
    </xf>
    <xf numFmtId="0" fontId="0" fillId="13" borderId="25" applyProtection="1" pivotButton="0" quotePrefix="0" xfId="0">
      <protection locked="0" hidden="0"/>
    </xf>
    <xf numFmtId="0" fontId="0" fillId="13" borderId="17" applyProtection="1" pivotButton="0" quotePrefix="0" xfId="0">
      <protection locked="0" hidden="0"/>
    </xf>
    <xf numFmtId="0" fontId="0" fillId="13" borderId="16" applyAlignment="1" applyProtection="1" pivotButton="0" quotePrefix="0" xfId="0">
      <alignment horizontal="center"/>
      <protection locked="0" hidden="0"/>
    </xf>
    <xf numFmtId="0" fontId="32" fillId="0" borderId="0" pivotButton="0" quotePrefix="0" xfId="4"/>
    <xf numFmtId="0" fontId="53" fillId="0" borderId="0" pivotButton="0" quotePrefix="0" xfId="4"/>
    <xf numFmtId="0" fontId="53" fillId="0" borderId="0" pivotButton="0" quotePrefix="1" xfId="4"/>
    <xf numFmtId="0" fontId="54" fillId="0" borderId="0" pivotButton="0" quotePrefix="0" xfId="0"/>
    <xf numFmtId="0" fontId="28" fillId="4" borderId="30" applyAlignment="1" pivotButton="0" quotePrefix="0" xfId="0">
      <alignment vertical="center"/>
    </xf>
    <xf numFmtId="0" fontId="57" fillId="4" borderId="31" applyAlignment="1" pivotButton="0" quotePrefix="0" xfId="0">
      <alignment horizontal="left" vertical="center"/>
    </xf>
    <xf numFmtId="0" fontId="28" fillId="4" borderId="31" applyAlignment="1" pivotButton="0" quotePrefix="0" xfId="0">
      <alignment horizontal="left" vertical="center"/>
    </xf>
    <xf numFmtId="0" fontId="28" fillId="4" borderId="31" applyAlignment="1" pivotButton="0" quotePrefix="0" xfId="0">
      <alignment vertical="center"/>
    </xf>
    <xf numFmtId="0" fontId="54" fillId="0" borderId="30" pivotButton="0" quotePrefix="0" xfId="0"/>
    <xf numFmtId="0" fontId="54" fillId="0" borderId="31" pivotButton="0" quotePrefix="0" xfId="0"/>
    <xf numFmtId="0" fontId="54" fillId="0" borderId="32" pivotButton="0" quotePrefix="0" xfId="0"/>
    <xf numFmtId="0" fontId="54" fillId="0" borderId="3" pivotButton="0" quotePrefix="0" xfId="0"/>
    <xf numFmtId="0" fontId="54" fillId="0" borderId="4" pivotButton="0" quotePrefix="0" xfId="0"/>
    <xf numFmtId="0" fontId="28" fillId="4" borderId="32" applyAlignment="1" pivotButton="0" quotePrefix="0" xfId="0">
      <alignment vertical="center"/>
    </xf>
    <xf numFmtId="0" fontId="54" fillId="0" borderId="5" pivotButton="0" quotePrefix="0" xfId="0"/>
    <xf numFmtId="0" fontId="54" fillId="0" borderId="6" pivotButton="0" quotePrefix="0" xfId="0"/>
    <xf numFmtId="0" fontId="54" fillId="0" borderId="7" pivotButton="0" quotePrefix="0" xfId="0"/>
    <xf numFmtId="0" fontId="5" fillId="0" borderId="3" pivotButton="0" quotePrefix="0" xfId="0"/>
    <xf numFmtId="0" fontId="5" fillId="4" borderId="0" pivotButton="0" quotePrefix="0" xfId="0"/>
    <xf numFmtId="0" fontId="28" fillId="4" borderId="60" pivotButton="0" quotePrefix="0" xfId="0"/>
    <xf numFmtId="0" fontId="62" fillId="0" borderId="0" pivotButton="0" quotePrefix="0" xfId="0"/>
    <xf numFmtId="0" fontId="59" fillId="0" borderId="47" applyAlignment="1" pivotButton="0" quotePrefix="0" xfId="0">
      <alignment horizontal="right"/>
    </xf>
    <xf numFmtId="0" fontId="59" fillId="0" borderId="39" applyAlignment="1" pivotButton="0" quotePrefix="0" xfId="0">
      <alignment horizontal="right"/>
    </xf>
    <xf numFmtId="0" fontId="59" fillId="0" borderId="5" applyAlignment="1" pivotButton="0" quotePrefix="0" xfId="0">
      <alignment horizontal="right"/>
    </xf>
    <xf numFmtId="0" fontId="5" fillId="0" borderId="3" applyAlignment="1" pivotButton="0" quotePrefix="0" xfId="8">
      <alignment wrapText="1"/>
    </xf>
    <xf numFmtId="0" fontId="5" fillId="0" borderId="4" applyAlignment="1" pivotButton="0" quotePrefix="0" xfId="8">
      <alignment wrapText="1"/>
    </xf>
    <xf numFmtId="0" fontId="5" fillId="0" borderId="3" pivotButton="0" quotePrefix="0" xfId="8"/>
    <xf numFmtId="0" fontId="5" fillId="0" borderId="4" pivotButton="0" quotePrefix="0" xfId="8"/>
    <xf numFmtId="0" fontId="28" fillId="4" borderId="3" applyAlignment="1" pivotButton="0" quotePrefix="0" xfId="0">
      <alignment vertical="center"/>
    </xf>
    <xf numFmtId="0" fontId="28" fillId="4" borderId="4" applyAlignment="1" pivotButton="0" quotePrefix="0" xfId="0">
      <alignment vertical="center"/>
    </xf>
    <xf numFmtId="0" fontId="63" fillId="0" borderId="3" pivotButton="0" quotePrefix="0" xfId="8"/>
    <xf numFmtId="0" fontId="5" fillId="0" borderId="5" pivotButton="0" quotePrefix="0" xfId="8"/>
    <xf numFmtId="0" fontId="5" fillId="0" borderId="6" pivotButton="0" quotePrefix="0" xfId="8"/>
    <xf numFmtId="0" fontId="5" fillId="0" borderId="7" pivotButton="0" quotePrefix="0" xfId="8"/>
    <xf numFmtId="0" fontId="62" fillId="0" borderId="0" pivotButton="0" quotePrefix="0" xfId="8"/>
    <xf numFmtId="0" fontId="28" fillId="4" borderId="51" applyAlignment="1" pivotButton="0" quotePrefix="0" xfId="0">
      <alignment horizontal="center" vertical="center" wrapText="1"/>
    </xf>
    <xf numFmtId="0" fontId="5" fillId="0" borderId="12" applyAlignment="1" applyProtection="1" pivotButton="0" quotePrefix="0" xfId="0">
      <alignment horizontal="center"/>
      <protection locked="0" hidden="0"/>
    </xf>
    <xf numFmtId="0" fontId="0" fillId="13" borderId="17" applyAlignment="1" pivotButton="0" quotePrefix="0" xfId="0">
      <alignment horizontal="center"/>
    </xf>
    <xf numFmtId="9" fontId="0" fillId="13" borderId="17" applyAlignment="1" pivotButton="0" quotePrefix="0" xfId="2">
      <alignment horizontal="center"/>
    </xf>
    <xf numFmtId="0" fontId="0" fillId="13" borderId="14" applyAlignment="1" applyProtection="1" pivotButton="0" quotePrefix="0" xfId="0">
      <alignment horizontal="center"/>
      <protection locked="0" hidden="0"/>
    </xf>
    <xf numFmtId="0" fontId="0" fillId="13" borderId="17" applyAlignment="1" applyProtection="1" pivotButton="0" quotePrefix="0" xfId="0">
      <alignment horizontal="center"/>
      <protection locked="0" hidden="0"/>
    </xf>
    <xf numFmtId="0" fontId="60" fillId="0" borderId="3" applyAlignment="1" pivotButton="0" quotePrefix="0" xfId="0">
      <alignment horizontal="left" vertical="center" wrapText="1" readingOrder="1"/>
    </xf>
    <xf numFmtId="0" fontId="60" fillId="0" borderId="0" applyAlignment="1" pivotButton="0" quotePrefix="0" xfId="0">
      <alignment horizontal="left" vertical="center" wrapText="1" readingOrder="1"/>
    </xf>
    <xf numFmtId="0" fontId="57" fillId="4" borderId="0" applyAlignment="1" pivotButton="0" quotePrefix="0" xfId="0">
      <alignment horizontal="left" vertical="center"/>
    </xf>
    <xf numFmtId="0" fontId="28" fillId="4" borderId="0" applyAlignment="1" pivotButton="0" quotePrefix="0" xfId="0">
      <alignment horizontal="left" vertical="center"/>
    </xf>
    <xf numFmtId="0" fontId="28" fillId="4" borderId="0" applyAlignment="1" pivotButton="0" quotePrefix="0" xfId="0">
      <alignment vertical="center"/>
    </xf>
    <xf numFmtId="0" fontId="27" fillId="0" borderId="0" pivotButton="0" quotePrefix="0" xfId="8"/>
    <xf numFmtId="0" fontId="52" fillId="0" borderId="3" pivotButton="0" quotePrefix="0" xfId="8"/>
    <xf numFmtId="0" fontId="67" fillId="0" borderId="65" pivotButton="0" quotePrefix="0" xfId="8"/>
    <xf numFmtId="0" fontId="5" fillId="0" borderId="66" applyAlignment="1" pivotButton="0" quotePrefix="0" xfId="8">
      <alignment wrapText="1"/>
    </xf>
    <xf numFmtId="0" fontId="67" fillId="0" borderId="65" pivotButton="0" quotePrefix="0" xfId="4"/>
    <xf numFmtId="0" fontId="69" fillId="0" borderId="65" pivotButton="0" quotePrefix="0" xfId="4"/>
    <xf numFmtId="0" fontId="58" fillId="0" borderId="65" pivotButton="0" quotePrefix="0" xfId="8"/>
    <xf numFmtId="0" fontId="5" fillId="0" borderId="65" applyAlignment="1" pivotButton="0" quotePrefix="0" xfId="8">
      <alignment wrapText="1"/>
    </xf>
    <xf numFmtId="0" fontId="5" fillId="0" borderId="66" pivotButton="0" quotePrefix="0" xfId="8"/>
    <xf numFmtId="0" fontId="5" fillId="0" borderId="65" pivotButton="0" quotePrefix="0" xfId="8"/>
    <xf numFmtId="0" fontId="67" fillId="0" borderId="52" pivotButton="0" quotePrefix="0" xfId="4"/>
    <xf numFmtId="0" fontId="27" fillId="0" borderId="37" pivotButton="0" quotePrefix="0" xfId="8"/>
    <xf numFmtId="0" fontId="5" fillId="0" borderId="37" pivotButton="0" quotePrefix="0" xfId="8"/>
    <xf numFmtId="0" fontId="5" fillId="0" borderId="67" pivotButton="0" quotePrefix="0" xfId="8"/>
    <xf numFmtId="0" fontId="27" fillId="3" borderId="56" pivotButton="0" quotePrefix="0" xfId="8"/>
    <xf numFmtId="0" fontId="5" fillId="3" borderId="46" applyAlignment="1" pivotButton="0" quotePrefix="0" xfId="8">
      <alignment wrapText="1"/>
    </xf>
    <xf numFmtId="0" fontId="5" fillId="3" borderId="57" applyAlignment="1" pivotButton="0" quotePrefix="0" xfId="8">
      <alignment wrapText="1"/>
    </xf>
    <xf numFmtId="0" fontId="5" fillId="0" borderId="65" pivotButton="0" quotePrefix="0" xfId="0"/>
    <xf numFmtId="0" fontId="5" fillId="0" borderId="52" pivotButton="0" quotePrefix="0" xfId="0"/>
    <xf numFmtId="0" fontId="54" fillId="0" borderId="37" pivotButton="0" quotePrefix="0" xfId="0"/>
    <xf numFmtId="0" fontId="37" fillId="0" borderId="3" applyAlignment="1" pivotButton="0" quotePrefix="1" xfId="4">
      <alignment horizontal="right"/>
    </xf>
    <xf numFmtId="0" fontId="67" fillId="0" borderId="0" pivotButton="0" quotePrefix="0" xfId="4"/>
    <xf numFmtId="0" fontId="19" fillId="8" borderId="10" applyAlignment="1" pivotButton="0" quotePrefix="0" xfId="0">
      <alignment horizontal="center" vertical="center"/>
    </xf>
    <xf numFmtId="0" fontId="21" fillId="4" borderId="38" applyAlignment="1" pivotButton="0" quotePrefix="0" xfId="0">
      <alignment horizontal="center" vertical="center"/>
    </xf>
    <xf numFmtId="0" fontId="54" fillId="0" borderId="0" applyAlignment="1" pivotButton="0" quotePrefix="0" xfId="0">
      <alignment horizontal="center" vertical="center"/>
    </xf>
    <xf numFmtId="0" fontId="54" fillId="0" borderId="31" applyAlignment="1" pivotButton="0" quotePrefix="0" xfId="0">
      <alignment horizontal="center" vertical="center"/>
    </xf>
    <xf numFmtId="0" fontId="28" fillId="4" borderId="31" applyAlignment="1" pivotButton="0" quotePrefix="0" xfId="0">
      <alignment horizontal="center" vertical="center"/>
    </xf>
    <xf numFmtId="0" fontId="5" fillId="3" borderId="46" applyAlignment="1" pivotButton="0" quotePrefix="0" xfId="8">
      <alignment horizontal="center" vertical="center" wrapText="1"/>
    </xf>
    <xf numFmtId="0" fontId="5" fillId="3" borderId="57" applyAlignment="1" pivotButton="0" quotePrefix="0" xfId="8">
      <alignment horizontal="center" vertical="center" wrapText="1"/>
    </xf>
    <xf numFmtId="0" fontId="54" fillId="0" borderId="66" applyAlignment="1" pivotButton="0" quotePrefix="0" xfId="0">
      <alignment horizontal="center" vertical="center"/>
    </xf>
    <xf numFmtId="0" fontId="54" fillId="0" borderId="37" applyAlignment="1" pivotButton="0" quotePrefix="0" xfId="0">
      <alignment horizontal="center" vertical="center"/>
    </xf>
    <xf numFmtId="0" fontId="54" fillId="0" borderId="67" applyAlignment="1" pivotButton="0" quotePrefix="0" xfId="0">
      <alignment horizontal="center" vertical="center"/>
    </xf>
    <xf numFmtId="0" fontId="59" fillId="0" borderId="22" applyAlignment="1" pivotButton="0" quotePrefix="0" xfId="0">
      <alignment horizontal="center" vertical="center"/>
    </xf>
    <xf numFmtId="0" fontId="28" fillId="4" borderId="62" applyAlignment="1" pivotButton="0" quotePrefix="0" xfId="0">
      <alignment horizontal="center" vertical="center"/>
    </xf>
    <xf numFmtId="0" fontId="28" fillId="4" borderId="63" applyAlignment="1" pivotButton="0" quotePrefix="0" xfId="0">
      <alignment horizontal="center" vertical="center"/>
    </xf>
    <xf numFmtId="0" fontId="5" fillId="0" borderId="13" applyAlignment="1" pivotButton="0" quotePrefix="0" xfId="0">
      <alignment horizontal="center" vertical="center"/>
    </xf>
    <xf numFmtId="0" fontId="5" fillId="0" borderId="1" applyAlignment="1" pivotButton="0" quotePrefix="0" xfId="0">
      <alignment wrapText="1"/>
    </xf>
    <xf numFmtId="0" fontId="5" fillId="0" borderId="14" applyAlignment="1" pivotButton="0" quotePrefix="0" xfId="0">
      <alignment horizontal="center" vertical="center"/>
    </xf>
    <xf numFmtId="0" fontId="54" fillId="0" borderId="0" applyAlignment="1" pivotButton="0" quotePrefix="0" xfId="0">
      <alignment vertical="center"/>
    </xf>
    <xf numFmtId="0" fontId="54" fillId="0" borderId="4" applyAlignment="1" pivotButton="0" quotePrefix="0" xfId="0">
      <alignment vertical="center"/>
    </xf>
    <xf numFmtId="0" fontId="54" fillId="0" borderId="6" applyAlignment="1" pivotButton="0" quotePrefix="0" xfId="0">
      <alignment horizontal="center" vertical="center"/>
    </xf>
    <xf numFmtId="0" fontId="5" fillId="9" borderId="11" applyAlignment="1" applyProtection="1" pivotButton="0" quotePrefix="0" xfId="0">
      <alignment horizontal="center" vertical="center" wrapText="1"/>
      <protection locked="0" hidden="0"/>
    </xf>
    <xf numFmtId="3" fontId="8" fillId="2" borderId="2" applyAlignment="1" applyProtection="1" pivotButton="0" quotePrefix="0" xfId="0">
      <alignment horizontal="right" vertical="center" wrapText="1"/>
      <protection locked="0" hidden="0"/>
    </xf>
    <xf numFmtId="0" fontId="36" fillId="0" borderId="0" applyAlignment="1" pivotButton="0" quotePrefix="0" xfId="4">
      <alignment horizontal="left"/>
    </xf>
    <xf numFmtId="0" fontId="67" fillId="0" borderId="0" applyAlignment="1" pivotButton="0" quotePrefix="0" xfId="4">
      <alignment horizontal="left"/>
    </xf>
    <xf numFmtId="3" fontId="5" fillId="0" borderId="10" applyAlignment="1" applyProtection="1" pivotButton="0" quotePrefix="0" xfId="0">
      <alignment vertical="center"/>
      <protection locked="0" hidden="0"/>
    </xf>
    <xf numFmtId="0" fontId="5" fillId="16" borderId="43" applyAlignment="1" applyProtection="1" pivotButton="0" quotePrefix="0" xfId="0">
      <alignment horizontal="right" wrapText="1"/>
      <protection locked="0" hidden="0"/>
    </xf>
    <xf numFmtId="0" fontId="5" fillId="16" borderId="28" applyAlignment="1" applyProtection="1" pivotButton="0" quotePrefix="0" xfId="0">
      <alignment horizontal="right" wrapText="1"/>
      <protection locked="0" hidden="0"/>
    </xf>
    <xf numFmtId="4" fontId="0" fillId="16" borderId="1" applyAlignment="1" applyProtection="1" pivotButton="0" quotePrefix="0" xfId="0">
      <alignment wrapText="1"/>
      <protection locked="0" hidden="0"/>
    </xf>
    <xf numFmtId="0" fontId="5" fillId="16" borderId="24" applyAlignment="1" applyProtection="1" pivotButton="0" quotePrefix="0" xfId="0">
      <alignment horizontal="right" wrapText="1"/>
      <protection locked="0" hidden="0"/>
    </xf>
    <xf numFmtId="4" fontId="0" fillId="13" borderId="1" applyAlignment="1" applyProtection="1" pivotButton="0" quotePrefix="0" xfId="0">
      <alignment wrapText="1"/>
      <protection locked="0" hidden="0"/>
    </xf>
    <xf numFmtId="4" fontId="0" fillId="13" borderId="16" applyAlignment="1" applyProtection="1" pivotButton="0" quotePrefix="0" xfId="0">
      <alignment wrapText="1"/>
      <protection locked="0" hidden="0"/>
    </xf>
    <xf numFmtId="4" fontId="0" fillId="16" borderId="18" applyAlignment="1" applyProtection="1" pivotButton="0" quotePrefix="0" xfId="0">
      <alignment wrapText="1"/>
      <protection locked="0" hidden="0"/>
    </xf>
    <xf numFmtId="4" fontId="0" fillId="13" borderId="13" applyAlignment="1" applyProtection="1" pivotButton="0" quotePrefix="0" xfId="0">
      <alignment wrapText="1"/>
      <protection locked="0" hidden="0"/>
    </xf>
    <xf numFmtId="4" fontId="0" fillId="16" borderId="13" applyAlignment="1" applyProtection="1" pivotButton="0" quotePrefix="0" xfId="0">
      <alignment wrapText="1"/>
      <protection locked="0" hidden="0"/>
    </xf>
    <xf numFmtId="4" fontId="0" fillId="13" borderId="15" applyAlignment="1" applyProtection="1" pivotButton="0" quotePrefix="0" xfId="0">
      <alignment wrapText="1"/>
      <protection locked="0" hidden="0"/>
    </xf>
    <xf numFmtId="4" fontId="27" fillId="13" borderId="15" applyAlignment="1" pivotButton="0" quotePrefix="0" xfId="0">
      <alignment wrapText="1"/>
    </xf>
    <xf numFmtId="0" fontId="8" fillId="0" borderId="52" applyAlignment="1" applyProtection="1" pivotButton="0" quotePrefix="0" xfId="0">
      <alignment horizontal="center" vertical="center" wrapText="1"/>
      <protection locked="0" hidden="0"/>
    </xf>
    <xf numFmtId="0" fontId="8" fillId="0" borderId="12" applyAlignment="1" applyProtection="1" pivotButton="0" quotePrefix="0" xfId="0">
      <alignment horizontal="center" vertical="center" wrapText="1"/>
      <protection locked="0" hidden="0"/>
    </xf>
    <xf numFmtId="3" fontId="8" fillId="0" borderId="26" applyAlignment="1" applyProtection="1" pivotButton="0" quotePrefix="0" xfId="1">
      <alignment horizontal="right" vertical="center" wrapText="1"/>
      <protection locked="0" hidden="0"/>
    </xf>
    <xf numFmtId="3" fontId="8" fillId="0" borderId="14" applyAlignment="1" applyProtection="1" pivotButton="0" quotePrefix="0" xfId="1">
      <alignment horizontal="right" vertical="center" wrapText="1"/>
      <protection locked="0" hidden="0"/>
    </xf>
    <xf numFmtId="0" fontId="8" fillId="0" borderId="17" applyAlignment="1" applyProtection="1" pivotButton="0" quotePrefix="0" xfId="1">
      <alignment horizontal="right" vertical="center" wrapText="1"/>
      <protection locked="0" hidden="0"/>
    </xf>
    <xf numFmtId="9" fontId="8" fillId="0" borderId="23" applyAlignment="1" applyProtection="1" pivotButton="0" quotePrefix="0" xfId="2">
      <alignment horizontal="center" vertical="center"/>
      <protection locked="0" hidden="0"/>
    </xf>
    <xf numFmtId="9" fontId="8" fillId="0" borderId="23" applyAlignment="1" applyProtection="1" pivotButton="0" quotePrefix="0" xfId="2">
      <alignment horizontal="center" vertical="center" wrapText="1"/>
      <protection locked="0" hidden="0"/>
    </xf>
    <xf numFmtId="3" fontId="9" fillId="2" borderId="27" applyAlignment="1" pivotButton="0" quotePrefix="0" xfId="0">
      <alignment horizontal="right" vertical="center" wrapText="1"/>
    </xf>
    <xf numFmtId="0" fontId="25" fillId="0" borderId="0" applyAlignment="1" pivotButton="0" quotePrefix="0" xfId="4">
      <alignment vertical="center"/>
    </xf>
    <xf numFmtId="0" fontId="25" fillId="0" borderId="0" applyAlignment="1" pivotButton="0" quotePrefix="0" xfId="4">
      <alignment horizontal="left" vertical="center"/>
    </xf>
    <xf numFmtId="0" fontId="32" fillId="0" borderId="0" applyAlignment="1" pivotButton="0" quotePrefix="0" xfId="4">
      <alignment horizontal="left" vertical="center"/>
    </xf>
    <xf numFmtId="0" fontId="32" fillId="0" borderId="0" applyAlignment="1" pivotButton="0" quotePrefix="0" xfId="4">
      <alignment vertical="center"/>
    </xf>
    <xf numFmtId="0" fontId="25" fillId="2" borderId="30" pivotButton="0" quotePrefix="0" xfId="4"/>
    <xf numFmtId="0" fontId="25" fillId="2" borderId="31" pivotButton="0" quotePrefix="0" xfId="4"/>
    <xf numFmtId="0" fontId="25" fillId="2" borderId="32" pivotButton="0" quotePrefix="0" xfId="4"/>
    <xf numFmtId="0" fontId="25" fillId="2" borderId="3" pivotButton="0" quotePrefix="0" xfId="4"/>
    <xf numFmtId="0" fontId="25" fillId="2" borderId="0" pivotButton="0" quotePrefix="0" xfId="4"/>
    <xf numFmtId="0" fontId="25" fillId="2" borderId="4" pivotButton="0" quotePrefix="0" xfId="4"/>
    <xf numFmtId="0" fontId="49" fillId="2" borderId="0" pivotButton="0" quotePrefix="0" xfId="4"/>
    <xf numFmtId="0" fontId="33" fillId="4" borderId="8" applyAlignment="1" pivotButton="0" quotePrefix="0" xfId="4">
      <alignment horizontal="left" vertical="center"/>
    </xf>
    <xf numFmtId="0" fontId="33" fillId="4" borderId="9" applyAlignment="1" pivotButton="0" quotePrefix="0" xfId="4">
      <alignment horizontal="left" vertical="center"/>
    </xf>
    <xf numFmtId="0" fontId="34" fillId="4" borderId="9" applyAlignment="1" pivotButton="0" quotePrefix="0" xfId="4">
      <alignment horizontal="left" vertical="center"/>
    </xf>
    <xf numFmtId="0" fontId="34" fillId="4" borderId="9" applyAlignment="1" pivotButton="0" quotePrefix="0" xfId="4">
      <alignment vertical="center"/>
    </xf>
    <xf numFmtId="0" fontId="34" fillId="4" borderId="10" applyAlignment="1" pivotButton="0" quotePrefix="0" xfId="4">
      <alignment vertical="center"/>
    </xf>
    <xf numFmtId="0" fontId="35" fillId="3" borderId="8" pivotButton="0" quotePrefix="0" xfId="4"/>
    <xf numFmtId="0" fontId="35" fillId="3" borderId="9" pivotButton="0" quotePrefix="0" xfId="4"/>
    <xf numFmtId="0" fontId="35" fillId="3" borderId="10" pivotButton="0" quotePrefix="0" xfId="4"/>
    <xf numFmtId="0" fontId="32" fillId="0" borderId="0" applyAlignment="1" pivotButton="0" quotePrefix="0" xfId="4">
      <alignment horizontal="center" vertical="center"/>
    </xf>
    <xf numFmtId="0" fontId="36" fillId="0" borderId="0" applyAlignment="1" pivotButton="0" quotePrefix="0" xfId="4">
      <alignment horizontal="left" vertical="top" wrapText="1"/>
    </xf>
    <xf numFmtId="0" fontId="36" fillId="0" borderId="3" applyAlignment="1" pivotButton="0" quotePrefix="0" xfId="4">
      <alignment vertical="top" wrapText="1"/>
    </xf>
    <xf numFmtId="0" fontId="36" fillId="0" borderId="0" applyAlignment="1" pivotButton="0" quotePrefix="0" xfId="4">
      <alignment vertical="top" wrapText="1"/>
    </xf>
    <xf numFmtId="0" fontId="36" fillId="0" borderId="4" applyAlignment="1" pivotButton="0" quotePrefix="0" xfId="4">
      <alignment vertical="top" wrapText="1"/>
    </xf>
    <xf numFmtId="0" fontId="36" fillId="0" borderId="5" applyAlignment="1" pivotButton="0" quotePrefix="0" xfId="4">
      <alignment vertical="top" wrapText="1"/>
    </xf>
    <xf numFmtId="0" fontId="36" fillId="0" borderId="6" applyAlignment="1" pivotButton="0" quotePrefix="0" xfId="4">
      <alignment vertical="top" wrapText="1"/>
    </xf>
    <xf numFmtId="0" fontId="36" fillId="0" borderId="7" applyAlignment="1" pivotButton="0" quotePrefix="0" xfId="4">
      <alignment vertical="top" wrapText="1"/>
    </xf>
    <xf numFmtId="0" fontId="76" fillId="0" borderId="3" pivotButton="0" quotePrefix="0" xfId="4"/>
    <xf numFmtId="0" fontId="35" fillId="0" borderId="4" pivotButton="0" quotePrefix="0" xfId="4"/>
    <xf numFmtId="0" fontId="35" fillId="0" borderId="3" pivotButton="0" quotePrefix="0" xfId="4"/>
    <xf numFmtId="0" fontId="25" fillId="2" borderId="5" pivotButton="0" quotePrefix="0" xfId="4"/>
    <xf numFmtId="0" fontId="25" fillId="2" borderId="6" pivotButton="0" quotePrefix="0" xfId="4"/>
    <xf numFmtId="0" fontId="25" fillId="2" borderId="7" pivotButton="0" quotePrefix="0" xfId="4"/>
    <xf numFmtId="0" fontId="35" fillId="3" borderId="8" pivotButton="0" quotePrefix="0" xfId="0"/>
    <xf numFmtId="0" fontId="35" fillId="3" borderId="9" pivotButton="0" quotePrefix="0" xfId="0"/>
    <xf numFmtId="0" fontId="35" fillId="3" borderId="10" pivotButton="0" quotePrefix="0" xfId="0"/>
    <xf numFmtId="0" fontId="25" fillId="0" borderId="3" pivotButton="0" quotePrefix="0" xfId="0"/>
    <xf numFmtId="0" fontId="25" fillId="0" borderId="0" pivotButton="0" quotePrefix="0" xfId="0"/>
    <xf numFmtId="0" fontId="25" fillId="0" borderId="4" pivotButton="0" quotePrefix="0" xfId="0"/>
    <xf numFmtId="0" fontId="25" fillId="0" borderId="5" pivotButton="0" quotePrefix="0" xfId="0"/>
    <xf numFmtId="0" fontId="25" fillId="0" borderId="6" pivotButton="0" quotePrefix="0" xfId="0"/>
    <xf numFmtId="0" fontId="25" fillId="0" borderId="7" pivotButton="0" quotePrefix="0" xfId="0"/>
    <xf numFmtId="0" fontId="35" fillId="0" borderId="0" pivotButton="0" quotePrefix="0" xfId="4"/>
    <xf numFmtId="0" fontId="36" fillId="0" borderId="30" applyAlignment="1" pivotButton="0" quotePrefix="0" xfId="4">
      <alignment horizontal="left" vertical="top" wrapText="1"/>
    </xf>
    <xf numFmtId="0" fontId="36" fillId="0" borderId="31" applyAlignment="1" pivotButton="0" quotePrefix="0" xfId="4">
      <alignment horizontal="left" vertical="top" wrapText="1"/>
    </xf>
    <xf numFmtId="0" fontId="36" fillId="0" borderId="32" applyAlignment="1" pivotButton="0" quotePrefix="0" xfId="4">
      <alignment horizontal="left" vertical="top" wrapText="1"/>
    </xf>
    <xf numFmtId="0" fontId="36" fillId="0" borderId="3" applyAlignment="1" pivotButton="0" quotePrefix="0" xfId="4">
      <alignment horizontal="left" vertical="top" wrapText="1"/>
    </xf>
    <xf numFmtId="0" fontId="36" fillId="0" borderId="0" applyAlignment="1" pivotButton="0" quotePrefix="0" xfId="4">
      <alignment horizontal="left" vertical="top" wrapText="1"/>
    </xf>
    <xf numFmtId="0" fontId="36" fillId="0" borderId="4" applyAlignment="1" pivotButton="0" quotePrefix="0" xfId="4">
      <alignment horizontal="left" vertical="top" wrapText="1"/>
    </xf>
    <xf numFmtId="0" fontId="36" fillId="0" borderId="5" applyAlignment="1" pivotButton="0" quotePrefix="0" xfId="4">
      <alignment horizontal="left" vertical="top" wrapText="1"/>
    </xf>
    <xf numFmtId="0" fontId="36" fillId="0" borderId="6" applyAlignment="1" pivotButton="0" quotePrefix="0" xfId="4">
      <alignment horizontal="left" vertical="top" wrapText="1"/>
    </xf>
    <xf numFmtId="0" fontId="36" fillId="0" borderId="7" applyAlignment="1" pivotButton="0" quotePrefix="0" xfId="4">
      <alignment horizontal="left" vertical="top" wrapText="1"/>
    </xf>
    <xf numFmtId="0" fontId="41" fillId="0" borderId="3" applyAlignment="1" pivotButton="0" quotePrefix="0" xfId="4">
      <alignment horizontal="left" vertical="top" wrapText="1"/>
    </xf>
    <xf numFmtId="0" fontId="27" fillId="0" borderId="30" applyAlignment="1" pivotButton="0" quotePrefix="0" xfId="0">
      <alignment horizontal="center" vertical="center"/>
    </xf>
    <xf numFmtId="0" fontId="27" fillId="0" borderId="31" applyAlignment="1" pivotButton="0" quotePrefix="0" xfId="0">
      <alignment horizontal="center" vertical="center"/>
    </xf>
    <xf numFmtId="0" fontId="27" fillId="0" borderId="32" applyAlignment="1" pivotButton="0" quotePrefix="0" xfId="0">
      <alignment horizontal="center" vertical="center"/>
    </xf>
    <xf numFmtId="0" fontId="27" fillId="0" borderId="5" applyAlignment="1" pivotButton="0" quotePrefix="0" xfId="0">
      <alignment horizontal="center" vertical="center"/>
    </xf>
    <xf numFmtId="0" fontId="27" fillId="0" borderId="6" applyAlignment="1" pivotButton="0" quotePrefix="0" xfId="0">
      <alignment horizontal="center" vertical="center"/>
    </xf>
    <xf numFmtId="0" fontId="27" fillId="0" borderId="7" applyAlignment="1" pivotButton="0" quotePrefix="0" xfId="0">
      <alignment horizontal="center" vertical="center"/>
    </xf>
    <xf numFmtId="0" fontId="27" fillId="14" borderId="49" applyAlignment="1" pivotButton="0" quotePrefix="0" xfId="0">
      <alignment horizontal="center" vertical="center"/>
    </xf>
    <xf numFmtId="0" fontId="27" fillId="14" borderId="50" applyAlignment="1" pivotButton="0" quotePrefix="0" xfId="0">
      <alignment horizontal="center" vertical="center"/>
    </xf>
    <xf numFmtId="0" fontId="27" fillId="14" borderId="51" applyAlignment="1" pivotButton="0" quotePrefix="0" xfId="0">
      <alignment horizontal="center" vertical="center"/>
    </xf>
    <xf numFmtId="0" fontId="27" fillId="14" borderId="22" applyAlignment="1" pivotButton="0" quotePrefix="0" xfId="0">
      <alignment horizontal="center" vertical="center"/>
    </xf>
    <xf numFmtId="0" fontId="27" fillId="14" borderId="11" applyAlignment="1" pivotButton="0" quotePrefix="0" xfId="0">
      <alignment horizontal="center" vertical="center"/>
    </xf>
    <xf numFmtId="0" fontId="27" fillId="14" borderId="26" applyAlignment="1" pivotButton="0" quotePrefix="0" xfId="0">
      <alignment horizontal="center" vertical="center"/>
    </xf>
    <xf numFmtId="0" fontId="27" fillId="14" borderId="8" applyAlignment="1" pivotButton="0" quotePrefix="0" xfId="0">
      <alignment horizontal="center" vertical="center"/>
    </xf>
    <xf numFmtId="0" fontId="27" fillId="14" borderId="9" applyAlignment="1" pivotButton="0" quotePrefix="0" xfId="0">
      <alignment horizontal="center" vertical="center"/>
    </xf>
    <xf numFmtId="0" fontId="27" fillId="14" borderId="10" applyAlignment="1" pivotButton="0" quotePrefix="0" xfId="0">
      <alignment horizontal="center" vertical="center"/>
    </xf>
    <xf numFmtId="0" fontId="27" fillId="14" borderId="30" applyAlignment="1" pivotButton="0" quotePrefix="0" xfId="0">
      <alignment horizontal="center" vertical="center"/>
    </xf>
    <xf numFmtId="0" fontId="27" fillId="14" borderId="31" applyAlignment="1" pivotButton="0" quotePrefix="0" xfId="0">
      <alignment horizontal="center" vertical="center"/>
    </xf>
    <xf numFmtId="0" fontId="27" fillId="14" borderId="32" applyAlignment="1" pivotButton="0" quotePrefix="0" xfId="0">
      <alignment horizontal="center" vertical="center"/>
    </xf>
    <xf numFmtId="0" fontId="27" fillId="0" borderId="47" applyAlignment="1" pivotButton="0" quotePrefix="0" xfId="0">
      <alignment horizontal="center" vertical="center" wrapText="1"/>
    </xf>
    <xf numFmtId="0" fontId="27" fillId="0" borderId="48" applyAlignment="1" pivotButton="0" quotePrefix="0" xfId="0">
      <alignment horizontal="center" vertical="center" wrapText="1"/>
    </xf>
    <xf numFmtId="0" fontId="27" fillId="0" borderId="55" applyAlignment="1" pivotButton="0" quotePrefix="0" xfId="0">
      <alignment horizontal="center" vertical="center" wrapText="1"/>
    </xf>
    <xf numFmtId="0" fontId="27" fillId="0" borderId="40" applyAlignment="1" pivotButton="0" quotePrefix="0" xfId="0">
      <alignment horizontal="center" vertical="center" wrapText="1"/>
    </xf>
    <xf numFmtId="0" fontId="27" fillId="0" borderId="42" applyAlignment="1" pivotButton="0" quotePrefix="0" xfId="0">
      <alignment horizontal="center" vertical="center" wrapText="1"/>
    </xf>
    <xf numFmtId="0" fontId="27" fillId="0" borderId="44" applyAlignment="1" pivotButton="0" quotePrefix="0" xfId="0">
      <alignment horizontal="center" vertical="center" wrapText="1"/>
    </xf>
    <xf numFmtId="0" fontId="5" fillId="0" borderId="41" applyAlignment="1" pivotButton="0" quotePrefix="0" xfId="0">
      <alignment horizontal="center" vertical="center"/>
    </xf>
    <xf numFmtId="0" fontId="5" fillId="0" borderId="21" applyAlignment="1" pivotButton="0" quotePrefix="0" xfId="0">
      <alignment horizontal="center" vertical="center"/>
    </xf>
    <xf numFmtId="0" fontId="12" fillId="6" borderId="14" applyAlignment="1" pivotButton="0" quotePrefix="0" xfId="0">
      <alignment horizontal="center" vertical="center" wrapText="1"/>
    </xf>
    <xf numFmtId="0" fontId="12" fillId="6" borderId="17" applyAlignment="1" pivotButton="0" quotePrefix="0" xfId="0">
      <alignment horizontal="center" vertical="center" wrapText="1"/>
    </xf>
    <xf numFmtId="0" fontId="21" fillId="4" borderId="39" applyAlignment="1" pivotButton="0" quotePrefix="0" xfId="0">
      <alignment horizontal="center" vertical="center" wrapText="1"/>
    </xf>
    <xf numFmtId="0" fontId="21" fillId="4" borderId="37" applyAlignment="1" pivotButton="0" quotePrefix="0" xfId="0">
      <alignment horizontal="center" vertical="center" wrapText="1"/>
    </xf>
    <xf numFmtId="0" fontId="21" fillId="4" borderId="5" applyAlignment="1" pivotButton="0" quotePrefix="0" xfId="0">
      <alignment horizontal="center" vertical="center" wrapText="1"/>
    </xf>
    <xf numFmtId="0" fontId="21" fillId="4" borderId="6" applyAlignment="1" pivotButton="0" quotePrefix="0" xfId="0">
      <alignment horizontal="center" vertical="center" wrapText="1"/>
    </xf>
    <xf numFmtId="0" fontId="21" fillId="4" borderId="7" applyAlignment="1" pivotButton="0" quotePrefix="0" xfId="0">
      <alignment horizontal="center" vertical="center" wrapText="1"/>
    </xf>
    <xf numFmtId="0" fontId="31" fillId="7" borderId="35" applyAlignment="1" pivotButton="0" quotePrefix="0" xfId="0">
      <alignment horizontal="center" vertical="center" wrapText="1"/>
    </xf>
    <xf numFmtId="0" fontId="31" fillId="7" borderId="19" applyAlignment="1" pivotButton="0" quotePrefix="0" xfId="0">
      <alignment horizontal="center" vertical="center" wrapText="1"/>
    </xf>
    <xf numFmtId="0" fontId="12" fillId="7" borderId="33" applyAlignment="1" pivotButton="0" quotePrefix="0" xfId="0">
      <alignment horizontal="center" vertical="center" wrapText="1"/>
    </xf>
    <xf numFmtId="0" fontId="12" fillId="7" borderId="20" applyAlignment="1" pivotButton="0" quotePrefix="0" xfId="0">
      <alignment horizontal="center" vertical="center" wrapText="1"/>
    </xf>
    <xf numFmtId="0" fontId="12" fillId="7" borderId="35" applyAlignment="1" pivotButton="0" quotePrefix="0" xfId="0">
      <alignment horizontal="center" vertical="center" wrapText="1"/>
    </xf>
    <xf numFmtId="0" fontId="12" fillId="7" borderId="19" applyAlignment="1" pivotButton="0" quotePrefix="0" xfId="0">
      <alignment horizontal="center" vertical="center" wrapText="1"/>
    </xf>
    <xf numFmtId="0" fontId="56" fillId="7" borderId="23" applyAlignment="1" pivotButton="0" quotePrefix="0" xfId="0">
      <alignment horizontal="center" vertical="center" wrapText="1"/>
    </xf>
    <xf numFmtId="0" fontId="55" fillId="7" borderId="29" applyAlignment="1" pivotButton="0" quotePrefix="0" xfId="0">
      <alignment horizontal="center" vertical="center" wrapText="1"/>
    </xf>
    <xf numFmtId="0" fontId="12" fillId="6" borderId="13" applyAlignment="1" pivotButton="0" quotePrefix="0" xfId="0">
      <alignment horizontal="center" vertical="center" wrapText="1"/>
    </xf>
    <xf numFmtId="0" fontId="12" fillId="6" borderId="15" applyAlignment="1" pivotButton="0" quotePrefix="0" xfId="0">
      <alignment horizontal="center" vertical="center" wrapText="1"/>
    </xf>
    <xf numFmtId="0" fontId="12" fillId="6" borderId="1" applyAlignment="1" pivotButton="0" quotePrefix="0" xfId="0">
      <alignment horizontal="center" vertical="center" wrapText="1"/>
    </xf>
    <xf numFmtId="0" fontId="12" fillId="6" borderId="16" applyAlignment="1" pivotButton="0" quotePrefix="0" xfId="0">
      <alignment horizontal="center" vertical="center" wrapText="1"/>
    </xf>
    <xf numFmtId="0" fontId="12" fillId="5" borderId="35" applyAlignment="1" pivotButton="0" quotePrefix="0" xfId="0">
      <alignment horizontal="center" vertical="center" wrapText="1"/>
    </xf>
    <xf numFmtId="0" fontId="12" fillId="5" borderId="19" applyAlignment="1" pivotButton="0" quotePrefix="0" xfId="0">
      <alignment horizontal="center" vertical="center" wrapText="1"/>
    </xf>
    <xf numFmtId="0" fontId="12" fillId="5" borderId="33" applyAlignment="1" pivotButton="0" quotePrefix="0" xfId="0">
      <alignment horizontal="center" vertical="center" wrapText="1"/>
    </xf>
    <xf numFmtId="0" fontId="12" fillId="5" borderId="20" applyAlignment="1" pivotButton="0" quotePrefix="0" xfId="0">
      <alignment horizontal="center" vertical="center" wrapText="1"/>
    </xf>
    <xf numFmtId="0" fontId="12" fillId="5" borderId="41" applyAlignment="1" pivotButton="0" quotePrefix="0" xfId="0">
      <alignment horizontal="center" vertical="center" wrapText="1"/>
    </xf>
    <xf numFmtId="0" fontId="12" fillId="5" borderId="21" applyAlignment="1" pivotButton="0" quotePrefix="0" xfId="0">
      <alignment horizontal="center" vertical="center" wrapText="1"/>
    </xf>
    <xf numFmtId="0" fontId="21" fillId="4" borderId="8" applyAlignment="1" pivotButton="0" quotePrefix="0" xfId="0">
      <alignment horizontal="center" vertical="center" wrapText="1"/>
    </xf>
    <xf numFmtId="0" fontId="21" fillId="4" borderId="9" applyAlignment="1" pivotButton="0" quotePrefix="0" xfId="0">
      <alignment horizontal="center" vertical="center" wrapText="1"/>
    </xf>
    <xf numFmtId="0" fontId="17" fillId="4" borderId="8" applyAlignment="1" pivotButton="0" quotePrefix="0" xfId="0">
      <alignment horizontal="left" vertical="center"/>
    </xf>
    <xf numFmtId="0" fontId="17" fillId="4" borderId="9" applyAlignment="1" pivotButton="0" quotePrefix="0" xfId="0">
      <alignment horizontal="left" vertical="center"/>
    </xf>
    <xf numFmtId="0" fontId="17" fillId="8" borderId="40" applyAlignment="1" pivotButton="0" quotePrefix="0" xfId="0">
      <alignment horizontal="left" vertical="center"/>
    </xf>
    <xf numFmtId="0" fontId="17" fillId="8" borderId="42" applyAlignment="1" pivotButton="0" quotePrefix="0" xfId="0">
      <alignment horizontal="left" vertical="center"/>
    </xf>
    <xf numFmtId="0" fontId="17" fillId="8" borderId="45" applyAlignment="1" pivotButton="0" quotePrefix="0" xfId="0">
      <alignment horizontal="left" vertical="center"/>
    </xf>
    <xf numFmtId="0" fontId="17" fillId="8" borderId="46" applyAlignment="1" pivotButton="0" quotePrefix="0" xfId="0">
      <alignment horizontal="left" vertical="center"/>
    </xf>
    <xf numFmtId="0" fontId="17" fillId="8" borderId="47" applyAlignment="1" pivotButton="0" quotePrefix="0" xfId="0">
      <alignment horizontal="left" vertical="center"/>
    </xf>
    <xf numFmtId="0" fontId="17" fillId="8" borderId="48" applyAlignment="1" pivotButton="0" quotePrefix="0" xfId="0">
      <alignment horizontal="left" vertical="center"/>
    </xf>
    <xf numFmtId="0" fontId="21" fillId="4" borderId="10" applyAlignment="1" pivotButton="0" quotePrefix="0" xfId="0">
      <alignment horizontal="center" vertical="center" wrapText="1"/>
    </xf>
    <xf numFmtId="0" fontId="12" fillId="15" borderId="33" applyAlignment="1" pivotButton="0" quotePrefix="0" xfId="0">
      <alignment horizontal="center" vertical="center" wrapText="1"/>
    </xf>
    <xf numFmtId="0" fontId="12" fillId="15" borderId="20" applyAlignment="1" pivotButton="0" quotePrefix="0" xfId="0">
      <alignment horizontal="center" vertical="center" wrapText="1"/>
    </xf>
    <xf numFmtId="0" fontId="31" fillId="7" borderId="33" applyAlignment="1" pivotButton="0" quotePrefix="0" xfId="0">
      <alignment horizontal="center" vertical="center" wrapText="1"/>
    </xf>
    <xf numFmtId="0" fontId="31" fillId="7" borderId="20" applyAlignment="1" pivotButton="0" quotePrefix="0" xfId="0">
      <alignment horizontal="center" vertical="center" wrapText="1"/>
    </xf>
    <xf numFmtId="0" fontId="12" fillId="15" borderId="41" applyAlignment="1" pivotButton="0" quotePrefix="0" xfId="0">
      <alignment horizontal="center" vertical="center" wrapText="1"/>
    </xf>
    <xf numFmtId="0" fontId="12" fillId="15" borderId="21" applyAlignment="1" pivotButton="0" quotePrefix="0" xfId="0">
      <alignment horizontal="center" vertical="center" wrapText="1"/>
    </xf>
    <xf numFmtId="0" fontId="12" fillId="15" borderId="35" applyAlignment="1" pivotButton="0" quotePrefix="0" xfId="0">
      <alignment horizontal="center" vertical="center" wrapText="1"/>
    </xf>
    <xf numFmtId="0" fontId="12" fillId="15" borderId="19" applyAlignment="1" pivotButton="0" quotePrefix="0" xfId="0">
      <alignment horizontal="center" vertical="center" wrapText="1"/>
    </xf>
    <xf numFmtId="0" fontId="59" fillId="16" borderId="58" applyAlignment="1" pivotButton="0" quotePrefix="0" xfId="0">
      <alignment horizontal="left"/>
    </xf>
    <xf numFmtId="0" fontId="59" fillId="16" borderId="54" applyAlignment="1" pivotButton="0" quotePrefix="0" xfId="0">
      <alignment horizontal="left"/>
    </xf>
    <xf numFmtId="0" fontId="60" fillId="0" borderId="13" applyAlignment="1" pivotButton="0" quotePrefix="0" xfId="0">
      <alignment horizontal="left" vertical="top" wrapText="1" readingOrder="1"/>
    </xf>
    <xf numFmtId="0" fontId="5" fillId="0" borderId="1" applyAlignment="1" pivotButton="0" quotePrefix="0" xfId="0">
      <alignment horizontal="left" vertical="top" wrapText="1" readingOrder="1"/>
    </xf>
    <xf numFmtId="0" fontId="5" fillId="0" borderId="56" applyAlignment="1" pivotButton="0" quotePrefix="0" xfId="0">
      <alignment horizontal="left" vertical="top" wrapText="1" readingOrder="1"/>
    </xf>
    <xf numFmtId="0" fontId="58" fillId="0" borderId="65" applyAlignment="1" pivotButton="0" quotePrefix="0" xfId="0">
      <alignment horizontal="left" vertical="center" wrapText="1"/>
    </xf>
    <xf numFmtId="0" fontId="58" fillId="0" borderId="0" applyAlignment="1" pivotButton="0" quotePrefix="0" xfId="0">
      <alignment horizontal="left" vertical="center" wrapText="1"/>
    </xf>
    <xf numFmtId="0" fontId="58" fillId="0" borderId="66" applyAlignment="1" pivotButton="0" quotePrefix="0" xfId="0">
      <alignment horizontal="left" vertical="center" wrapText="1"/>
    </xf>
    <xf numFmtId="0" fontId="28" fillId="4" borderId="22" applyAlignment="1" pivotButton="0" quotePrefix="0" xfId="0">
      <alignment horizontal="left"/>
    </xf>
    <xf numFmtId="0" fontId="28" fillId="4" borderId="11" applyAlignment="1" pivotButton="0" quotePrefix="0" xfId="0">
      <alignment horizontal="left"/>
    </xf>
    <xf numFmtId="0" fontId="28" fillId="4" borderId="58" applyAlignment="1" pivotButton="0" quotePrefix="0" xfId="0">
      <alignment horizontal="left"/>
    </xf>
    <xf numFmtId="0" fontId="5" fillId="0" borderId="13" applyAlignment="1" pivotButton="0" quotePrefix="0" xfId="0">
      <alignment horizontal="left" vertical="top" wrapText="1" readingOrder="1"/>
    </xf>
    <xf numFmtId="0" fontId="60" fillId="0" borderId="13" applyAlignment="1" pivotButton="0" quotePrefix="0" xfId="0">
      <alignment horizontal="left" vertical="center" wrapText="1" readingOrder="1"/>
    </xf>
    <xf numFmtId="0" fontId="5" fillId="0" borderId="1" applyAlignment="1" pivotButton="0" quotePrefix="0" xfId="0">
      <alignment horizontal="left" vertical="center" wrapText="1" readingOrder="1"/>
    </xf>
    <xf numFmtId="0" fontId="5" fillId="0" borderId="56" applyAlignment="1" pivotButton="0" quotePrefix="0" xfId="0">
      <alignment horizontal="left" vertical="center" wrapText="1" readingOrder="1"/>
    </xf>
    <xf numFmtId="0" fontId="5" fillId="3" borderId="45" applyAlignment="1" pivotButton="0" quotePrefix="0" xfId="0">
      <alignment horizontal="center" vertical="center"/>
    </xf>
    <xf numFmtId="0" fontId="5" fillId="3" borderId="46" applyAlignment="1" pivotButton="0" quotePrefix="0" xfId="0">
      <alignment horizontal="center" vertical="center"/>
    </xf>
    <xf numFmtId="0" fontId="5" fillId="3" borderId="53" applyAlignment="1" pivotButton="0" quotePrefix="0" xfId="0">
      <alignment horizontal="center" vertical="center"/>
    </xf>
    <xf numFmtId="0" fontId="5" fillId="0" borderId="13" applyAlignment="1" pivotButton="0" quotePrefix="1" xfId="0">
      <alignment horizontal="left" vertical="top" wrapText="1" readingOrder="1"/>
    </xf>
    <xf numFmtId="0" fontId="61" fillId="4" borderId="13" applyAlignment="1" pivotButton="0" quotePrefix="0" xfId="0">
      <alignment horizontal="center"/>
    </xf>
    <xf numFmtId="0" fontId="61" fillId="4" borderId="46" applyAlignment="1" pivotButton="0" quotePrefix="0" xfId="0">
      <alignment horizontal="center"/>
    </xf>
    <xf numFmtId="0" fontId="61" fillId="4" borderId="14" applyAlignment="1" pivotButton="0" quotePrefix="0" xfId="0">
      <alignment horizontal="center"/>
    </xf>
    <xf numFmtId="0" fontId="0" fillId="0" borderId="59" applyAlignment="1" pivotButton="0" quotePrefix="0" xfId="0">
      <alignment horizontal="center" vertical="center"/>
    </xf>
    <xf numFmtId="0" fontId="0" fillId="0" borderId="60" applyAlignment="1" pivotButton="0" quotePrefix="0" xfId="0">
      <alignment horizontal="center" vertical="center"/>
    </xf>
    <xf numFmtId="0" fontId="0" fillId="0" borderId="61" applyAlignment="1" pivotButton="0" quotePrefix="0" xfId="0">
      <alignment horizontal="center" vertical="center"/>
    </xf>
    <xf numFmtId="0" fontId="0" fillId="0" borderId="3" applyAlignment="1" pivotButton="0" quotePrefix="0" xfId="0">
      <alignment horizontal="center" vertical="center"/>
    </xf>
    <xf numFmtId="0" fontId="0" fillId="0" borderId="0" applyAlignment="1" pivotButton="0" quotePrefix="0" xfId="0">
      <alignment horizontal="center" vertical="center"/>
    </xf>
    <xf numFmtId="0" fontId="0" fillId="0" borderId="4" applyAlignment="1" pivotButton="0" quotePrefix="0" xfId="0">
      <alignment horizontal="center" vertical="center"/>
    </xf>
    <xf numFmtId="0" fontId="0" fillId="0" borderId="5" applyAlignment="1" pivotButton="0" quotePrefix="0" xfId="0">
      <alignment horizontal="center" vertical="center"/>
    </xf>
    <xf numFmtId="0" fontId="0" fillId="0" borderId="6" applyAlignment="1" pivotButton="0" quotePrefix="0" xfId="0">
      <alignment horizontal="center" vertical="center"/>
    </xf>
    <xf numFmtId="0" fontId="0" fillId="0" borderId="7" applyAlignment="1" pivotButton="0" quotePrefix="0" xfId="0">
      <alignment horizontal="center" vertical="center"/>
    </xf>
    <xf numFmtId="0" fontId="5" fillId="0" borderId="45" applyAlignment="1" pivotButton="0" quotePrefix="0" xfId="0">
      <alignment horizontal="center" vertical="center"/>
    </xf>
    <xf numFmtId="0" fontId="5" fillId="0" borderId="46" applyAlignment="1" pivotButton="0" quotePrefix="0" xfId="0">
      <alignment horizontal="center" vertical="center"/>
    </xf>
    <xf numFmtId="0" fontId="5" fillId="0" borderId="53" applyAlignment="1" pivotButton="0" quotePrefix="0" xfId="0">
      <alignment horizontal="center" vertical="center"/>
    </xf>
    <xf numFmtId="0" fontId="60" fillId="0" borderId="59" applyAlignment="1" pivotButton="0" quotePrefix="0" xfId="0">
      <alignment horizontal="left" vertical="center" wrapText="1" readingOrder="1"/>
    </xf>
    <xf numFmtId="0" fontId="60" fillId="0" borderId="60" applyAlignment="1" pivotButton="0" quotePrefix="0" xfId="0">
      <alignment horizontal="left" vertical="center" wrapText="1" readingOrder="1"/>
    </xf>
    <xf numFmtId="0" fontId="60" fillId="0" borderId="3" applyAlignment="1" pivotButton="0" quotePrefix="0" xfId="0">
      <alignment horizontal="left" vertical="center" wrapText="1" readingOrder="1"/>
    </xf>
    <xf numFmtId="0" fontId="60" fillId="0" borderId="0" applyAlignment="1" pivotButton="0" quotePrefix="0" xfId="0">
      <alignment horizontal="left" vertical="center" wrapText="1" readingOrder="1"/>
    </xf>
    <xf numFmtId="0" fontId="60" fillId="0" borderId="5" applyAlignment="1" pivotButton="0" quotePrefix="0" xfId="0">
      <alignment horizontal="left" vertical="center" wrapText="1" readingOrder="1"/>
    </xf>
    <xf numFmtId="0" fontId="60" fillId="0" borderId="6" applyAlignment="1" pivotButton="0" quotePrefix="0" xfId="0">
      <alignment horizontal="left" vertical="center" wrapText="1" readingOrder="1"/>
    </xf>
    <xf numFmtId="0" fontId="59" fillId="0" borderId="8" applyAlignment="1" pivotButton="0" quotePrefix="0" xfId="0">
      <alignment horizontal="center"/>
    </xf>
    <xf numFmtId="0" fontId="59" fillId="0" borderId="9" applyAlignment="1" pivotButton="0" quotePrefix="0" xfId="0">
      <alignment horizontal="center"/>
    </xf>
    <xf numFmtId="0" fontId="59" fillId="0" borderId="10" applyAlignment="1" pivotButton="0" quotePrefix="0" xfId="0">
      <alignment horizontal="center"/>
    </xf>
    <xf numFmtId="0" fontId="59" fillId="16" borderId="58" applyAlignment="1" pivotButton="0" quotePrefix="0" xfId="0">
      <alignment horizontal="center"/>
    </xf>
    <xf numFmtId="0" fontId="59" fillId="16" borderId="48" applyAlignment="1" pivotButton="0" quotePrefix="0" xfId="0">
      <alignment horizontal="center"/>
    </xf>
    <xf numFmtId="0" fontId="59" fillId="16" borderId="54" applyAlignment="1" pivotButton="0" quotePrefix="0" xfId="0">
      <alignment horizontal="center"/>
    </xf>
    <xf numFmtId="4" fontId="59" fillId="16" borderId="56" applyAlignment="1" pivotButton="0" quotePrefix="0" xfId="0">
      <alignment horizontal="center"/>
    </xf>
    <xf numFmtId="4" fontId="59" fillId="16" borderId="46" applyAlignment="1" pivotButton="0" quotePrefix="0" xfId="0">
      <alignment horizontal="center"/>
    </xf>
    <xf numFmtId="4" fontId="59" fillId="16" borderId="53" applyAlignment="1" pivotButton="0" quotePrefix="0" xfId="0">
      <alignment horizontal="center"/>
    </xf>
    <xf numFmtId="0" fontId="59" fillId="16" borderId="56" applyAlignment="1" pivotButton="0" quotePrefix="0" xfId="0">
      <alignment horizontal="center"/>
    </xf>
    <xf numFmtId="0" fontId="59" fillId="16" borderId="46" applyAlignment="1" pivotButton="0" quotePrefix="0" xfId="0">
      <alignment horizontal="center"/>
    </xf>
    <xf numFmtId="0" fontId="59" fillId="16" borderId="53" applyAlignment="1" pivotButton="0" quotePrefix="0" xfId="0">
      <alignment horizontal="center"/>
    </xf>
    <xf numFmtId="10" fontId="59" fillId="16" borderId="56" applyAlignment="1" pivotButton="0" quotePrefix="0" xfId="2">
      <alignment horizontal="center"/>
    </xf>
    <xf numFmtId="10" fontId="59" fillId="16" borderId="46" applyAlignment="1" pivotButton="0" quotePrefix="0" xfId="2">
      <alignment horizontal="center"/>
    </xf>
    <xf numFmtId="10" fontId="59" fillId="16" borderId="53" applyAlignment="1" pivotButton="0" quotePrefix="0" xfId="2">
      <alignment horizontal="center"/>
    </xf>
    <xf numFmtId="0" fontId="28" fillId="4" borderId="22" applyAlignment="1" pivotButton="0" quotePrefix="0" xfId="0">
      <alignment horizontal="left" vertical="center" wrapText="1"/>
    </xf>
    <xf numFmtId="0" fontId="28" fillId="4" borderId="11" applyAlignment="1" pivotButton="0" quotePrefix="0" xfId="0">
      <alignment horizontal="left" vertical="center" wrapText="1"/>
    </xf>
    <xf numFmtId="0" fontId="28" fillId="4" borderId="58" applyAlignment="1" pivotButton="0" quotePrefix="0" xfId="0">
      <alignment horizontal="left" vertical="center" wrapText="1"/>
    </xf>
    <xf numFmtId="0" fontId="28" fillId="4" borderId="39" applyAlignment="1" pivotButton="0" quotePrefix="0" xfId="0">
      <alignment horizontal="center" vertical="center"/>
    </xf>
    <xf numFmtId="0" fontId="28" fillId="4" borderId="37" applyAlignment="1" pivotButton="0" quotePrefix="0" xfId="0">
      <alignment horizontal="center" vertical="center"/>
    </xf>
    <xf numFmtId="0" fontId="28" fillId="4" borderId="64" applyAlignment="1" pivotButton="0" quotePrefix="0" xfId="0">
      <alignment horizontal="center" vertical="center"/>
    </xf>
    <xf numFmtId="0" fontId="5" fillId="0" borderId="13" applyAlignment="1" pivotButton="0" quotePrefix="0" xfId="0">
      <alignment horizontal="center" vertical="top" wrapText="1"/>
    </xf>
    <xf numFmtId="0" fontId="5" fillId="0" borderId="1" applyAlignment="1" pivotButton="0" quotePrefix="0" xfId="0">
      <alignment horizontal="center" vertical="top" wrapText="1"/>
    </xf>
    <xf numFmtId="0" fontId="5" fillId="0" borderId="14" applyAlignment="1" pivotButton="0" quotePrefix="0" xfId="0">
      <alignment horizontal="center" vertical="top" wrapText="1"/>
    </xf>
    <xf numFmtId="0" fontId="5" fillId="0" borderId="45" applyAlignment="1" pivotButton="0" quotePrefix="0" xfId="0">
      <alignment horizontal="center" vertical="top" wrapText="1"/>
    </xf>
    <xf numFmtId="0" fontId="5" fillId="0" borderId="46" applyAlignment="1" pivotButton="0" quotePrefix="0" xfId="0">
      <alignment horizontal="center" vertical="top" wrapText="1"/>
    </xf>
    <xf numFmtId="0" fontId="5" fillId="0" borderId="53" applyAlignment="1" pivotButton="0" quotePrefix="0" xfId="0">
      <alignment horizontal="center" vertical="top" wrapText="1"/>
    </xf>
    <xf numFmtId="0" fontId="5" fillId="0" borderId="57" applyAlignment="1" pivotButton="0" quotePrefix="0" xfId="0">
      <alignment horizontal="center" vertical="top" wrapText="1"/>
    </xf>
    <xf numFmtId="0" fontId="5" fillId="0" borderId="45" applyAlignment="1" pivotButton="0" quotePrefix="0" xfId="0">
      <alignment horizontal="center" wrapText="1"/>
    </xf>
    <xf numFmtId="0" fontId="5" fillId="0" borderId="46" applyAlignment="1" pivotButton="0" quotePrefix="0" xfId="0">
      <alignment horizontal="center" wrapText="1"/>
    </xf>
    <xf numFmtId="0" fontId="5" fillId="0" borderId="53" applyAlignment="1" pivotButton="0" quotePrefix="0" xfId="0">
      <alignment horizontal="center" wrapText="1"/>
    </xf>
    <xf numFmtId="0" fontId="0" fillId="0" borderId="59" applyAlignment="1" pivotButton="0" quotePrefix="0" xfId="0">
      <alignment horizontal="center" vertical="center" wrapText="1"/>
    </xf>
    <xf numFmtId="0" fontId="0" fillId="0" borderId="60" applyAlignment="1" pivotButton="0" quotePrefix="0" xfId="0">
      <alignment horizontal="center" vertical="center" wrapText="1"/>
    </xf>
    <xf numFmtId="0" fontId="0" fillId="0" borderId="61" applyAlignment="1" pivotButton="0" quotePrefix="0" xfId="0">
      <alignment horizontal="center" vertical="center" wrapText="1"/>
    </xf>
    <xf numFmtId="0" fontId="0" fillId="0" borderId="3" applyAlignment="1" pivotButton="0" quotePrefix="0" xfId="0">
      <alignment horizontal="center" vertical="center" wrapText="1"/>
    </xf>
    <xf numFmtId="0" fontId="0" fillId="0" borderId="0" applyAlignment="1" pivotButton="0" quotePrefix="0" xfId="0">
      <alignment horizontal="center" vertical="center" wrapText="1"/>
    </xf>
    <xf numFmtId="0" fontId="0" fillId="0" borderId="4" applyAlignment="1" pivotButton="0" quotePrefix="0" xfId="0">
      <alignment horizontal="center" vertical="center" wrapText="1"/>
    </xf>
    <xf numFmtId="0" fontId="0" fillId="0" borderId="5" applyAlignment="1" pivotButton="0" quotePrefix="0" xfId="0">
      <alignment horizontal="center" vertical="center" wrapText="1"/>
    </xf>
    <xf numFmtId="0" fontId="0" fillId="0" borderId="6" applyAlignment="1" pivotButton="0" quotePrefix="0" xfId="0">
      <alignment horizontal="center" vertical="center" wrapText="1"/>
    </xf>
    <xf numFmtId="0" fontId="0" fillId="0" borderId="7" applyAlignment="1" pivotButton="0" quotePrefix="0" xfId="0">
      <alignment horizontal="center" vertical="center" wrapText="1"/>
    </xf>
    <xf numFmtId="0" fontId="61" fillId="4" borderId="45" applyAlignment="1" pivotButton="0" quotePrefix="0" xfId="0">
      <alignment horizontal="center"/>
    </xf>
    <xf numFmtId="0" fontId="61" fillId="4" borderId="53" applyAlignment="1" pivotButton="0" quotePrefix="0" xfId="0">
      <alignment horizontal="center"/>
    </xf>
    <xf numFmtId="0" fontId="36" fillId="0" borderId="34" applyAlignment="1" pivotButton="0" quotePrefix="0" xfId="4">
      <alignment horizontal="left" vertical="top" wrapText="1"/>
    </xf>
    <xf numFmtId="0" fontId="0" fillId="0" borderId="31" pivotButton="0" quotePrefix="0" xfId="0"/>
    <xf numFmtId="0" fontId="0" fillId="0" borderId="32" pivotButton="0" quotePrefix="0" xfId="0"/>
    <xf numFmtId="0" fontId="36" fillId="0" borderId="23" applyAlignment="1" pivotButton="0" quotePrefix="0" xfId="4">
      <alignment horizontal="left" vertical="top" wrapText="1"/>
    </xf>
    <xf numFmtId="0" fontId="41" fillId="0" borderId="38" applyAlignment="1" pivotButton="0" quotePrefix="0" xfId="4">
      <alignment horizontal="left" vertical="top" wrapText="1"/>
    </xf>
    <xf numFmtId="0" fontId="27" fillId="0" borderId="34" applyAlignment="1" pivotButton="0" quotePrefix="0" xfId="0">
      <alignment horizontal="center" vertical="center"/>
    </xf>
    <xf numFmtId="0" fontId="27" fillId="0" borderId="22" applyAlignment="1" pivotButton="0" quotePrefix="0" xfId="0">
      <alignment horizontal="center" vertical="center" wrapText="1"/>
    </xf>
    <xf numFmtId="0" fontId="0" fillId="0" borderId="48" pivotButton="0" quotePrefix="0" xfId="0"/>
    <xf numFmtId="0" fontId="0" fillId="0" borderId="55" pivotButton="0" quotePrefix="0" xfId="0"/>
    <xf numFmtId="0" fontId="5" fillId="0" borderId="51" applyAlignment="1" pivotButton="0" quotePrefix="0" xfId="0">
      <alignment horizontal="center" vertical="center"/>
    </xf>
    <xf numFmtId="0" fontId="27" fillId="0" borderId="15" applyAlignment="1" pivotButton="0" quotePrefix="0" xfId="0">
      <alignment horizontal="center" vertical="center" wrapText="1"/>
    </xf>
    <xf numFmtId="0" fontId="0" fillId="0" borderId="42" pivotButton="0" quotePrefix="0" xfId="0"/>
    <xf numFmtId="0" fontId="0" fillId="0" borderId="44" pivotButton="0" quotePrefix="0" xfId="0"/>
    <xf numFmtId="0" fontId="0" fillId="0" borderId="21" pivotButton="0" quotePrefix="0" xfId="0"/>
    <xf numFmtId="0" fontId="0" fillId="0" borderId="9" pivotButton="0" quotePrefix="0" xfId="0"/>
    <xf numFmtId="0" fontId="0" fillId="0" borderId="10" pivotButton="0" quotePrefix="0" xfId="0"/>
    <xf numFmtId="0" fontId="27" fillId="14" borderId="23" applyAlignment="1" pivotButton="0" quotePrefix="0" xfId="0">
      <alignment horizontal="center" vertical="center"/>
    </xf>
    <xf numFmtId="0" fontId="27" fillId="14" borderId="34" applyAlignment="1" pivotButton="0" quotePrefix="0" xfId="0">
      <alignment horizontal="center" vertical="center"/>
    </xf>
    <xf numFmtId="0" fontId="0" fillId="0" borderId="69" pivotButton="0" quotePrefix="0" xfId="0"/>
    <xf numFmtId="0" fontId="77" fillId="0" borderId="0" applyAlignment="1" pivotButton="0" quotePrefix="0" xfId="0">
      <alignment vertical="top"/>
    </xf>
    <xf numFmtId="0" fontId="78" fillId="0" borderId="0" applyAlignment="1" pivotButton="0" quotePrefix="0" xfId="0">
      <alignment vertical="top"/>
    </xf>
    <xf numFmtId="0" fontId="0" fillId="0" borderId="46" pivotButton="0" quotePrefix="0" xfId="0"/>
    <xf numFmtId="0" fontId="77" fillId="2" borderId="0" applyAlignment="1" pivotButton="0" quotePrefix="0" xfId="0">
      <alignment horizontal="left" vertical="center"/>
    </xf>
    <xf numFmtId="0" fontId="0" fillId="2" borderId="0" applyAlignment="1" pivotButton="0" quotePrefix="0" xfId="1">
      <alignment horizontal="center" vertical="center"/>
    </xf>
    <xf numFmtId="0" fontId="21" fillId="4" borderId="29" applyAlignment="1" pivotButton="0" quotePrefix="0" xfId="0">
      <alignment horizontal="center" vertical="center" wrapText="1"/>
    </xf>
    <xf numFmtId="0" fontId="21" fillId="4" borderId="34" applyAlignment="1" pivotButton="0" quotePrefix="0" xfId="0">
      <alignment horizontal="center" vertical="center" wrapText="1"/>
    </xf>
    <xf numFmtId="0" fontId="0" fillId="0" borderId="37" pivotButton="0" quotePrefix="0" xfId="0"/>
    <xf numFmtId="0" fontId="12" fillId="15" borderId="49" applyAlignment="1" pivotButton="0" quotePrefix="0" xfId="0">
      <alignment horizontal="center" vertical="center" wrapText="1"/>
    </xf>
    <xf numFmtId="0" fontId="12" fillId="15" borderId="50" applyAlignment="1" pivotButton="0" quotePrefix="0" xfId="0">
      <alignment horizontal="center" vertical="center" wrapText="1"/>
    </xf>
    <xf numFmtId="0" fontId="12" fillId="15" borderId="51" applyAlignment="1" pivotButton="0" quotePrefix="0" xfId="0">
      <alignment horizontal="center" vertical="center" wrapText="1"/>
    </xf>
    <xf numFmtId="0" fontId="31" fillId="7" borderId="49" applyAlignment="1" pivotButton="0" quotePrefix="0" xfId="0">
      <alignment horizontal="center" vertical="center" wrapText="1"/>
    </xf>
    <xf numFmtId="0" fontId="31" fillId="7" borderId="50" applyAlignment="1" pivotButton="0" quotePrefix="0" xfId="0">
      <alignment horizontal="center" vertical="center" wrapText="1"/>
    </xf>
    <xf numFmtId="0" fontId="12" fillId="7" borderId="50" applyAlignment="1" pivotButton="0" quotePrefix="0" xfId="0">
      <alignment horizontal="center" vertical="center" wrapText="1"/>
    </xf>
    <xf numFmtId="0" fontId="12" fillId="7" borderId="49" applyAlignment="1" pivotButton="0" quotePrefix="0" xfId="0">
      <alignment horizontal="center" vertical="center" wrapText="1"/>
    </xf>
    <xf numFmtId="0" fontId="56" fillId="7" borderId="34" applyAlignment="1" pivotButton="0" quotePrefix="0" xfId="0">
      <alignment horizontal="center" vertical="center" wrapText="1"/>
    </xf>
    <xf numFmtId="0" fontId="12" fillId="5" borderId="49" applyAlignment="1" pivotButton="0" quotePrefix="0" xfId="0">
      <alignment horizontal="center" vertical="center" wrapText="1"/>
    </xf>
    <xf numFmtId="0" fontId="12" fillId="5" borderId="50" applyAlignment="1" pivotButton="0" quotePrefix="0" xfId="0">
      <alignment horizontal="center" vertical="center" wrapText="1"/>
    </xf>
    <xf numFmtId="0" fontId="12" fillId="5" borderId="51" applyAlignment="1" pivotButton="0" quotePrefix="0" xfId="0">
      <alignment horizontal="center" vertical="center" wrapText="1"/>
    </xf>
    <xf numFmtId="0" fontId="0" fillId="0" borderId="19" pivotButton="0" quotePrefix="0" xfId="0"/>
    <xf numFmtId="0" fontId="0" fillId="0" borderId="20" pivotButton="0" quotePrefix="0" xfId="0"/>
    <xf numFmtId="0" fontId="0" fillId="0" borderId="29" pivotButton="0" quotePrefix="0" xfId="0"/>
    <xf numFmtId="0" fontId="0" fillId="0" borderId="18" pivotButton="0" quotePrefix="0" xfId="0"/>
    <xf numFmtId="0" fontId="0" fillId="0" borderId="12" pivotButton="0" quotePrefix="0" xfId="0"/>
    <xf numFmtId="0" fontId="58" fillId="0" borderId="72" applyAlignment="1" pivotButton="0" quotePrefix="0" xfId="0">
      <alignment horizontal="left" vertical="center" wrapText="1"/>
    </xf>
    <xf numFmtId="0" fontId="0" fillId="0" borderId="66" pivotButton="0" quotePrefix="0" xfId="0"/>
    <xf numFmtId="0" fontId="77" fillId="0" borderId="0" pivotButton="0" quotePrefix="0" xfId="0"/>
    <xf numFmtId="0" fontId="59" fillId="16" borderId="26" applyAlignment="1" pivotButton="0" quotePrefix="0" xfId="0">
      <alignment horizontal="left"/>
    </xf>
    <xf numFmtId="0" fontId="0" fillId="0" borderId="54" pivotButton="0" quotePrefix="0" xfId="0"/>
    <xf numFmtId="0" fontId="0" fillId="0" borderId="57" pivotButton="0" quotePrefix="0" xfId="0"/>
    <xf numFmtId="0" fontId="5" fillId="3" borderId="24" applyAlignment="1" pivotButton="0" quotePrefix="0" xfId="0">
      <alignment horizontal="center" vertical="center"/>
    </xf>
    <xf numFmtId="0" fontId="0" fillId="0" borderId="53" pivotButton="0" quotePrefix="0" xfId="0"/>
    <xf numFmtId="0" fontId="5" fillId="0" borderId="24" applyAlignment="1" pivotButton="0" quotePrefix="0" xfId="0">
      <alignment horizontal="center" vertical="center"/>
    </xf>
    <xf numFmtId="0" fontId="60" fillId="0" borderId="40" applyAlignment="1" pivotButton="0" quotePrefix="0" xfId="0">
      <alignment horizontal="left" vertical="center" wrapText="1" readingOrder="1"/>
    </xf>
    <xf numFmtId="0" fontId="0" fillId="0" borderId="60" pivotButton="0" quotePrefix="0" xfId="0"/>
    <xf numFmtId="0" fontId="0" fillId="0" borderId="25" applyAlignment="1" pivotButton="0" quotePrefix="0" xfId="0">
      <alignment horizontal="center" vertical="center"/>
    </xf>
    <xf numFmtId="0" fontId="0" fillId="0" borderId="61" pivotButton="0" quotePrefix="0" xfId="0"/>
    <xf numFmtId="0" fontId="77" fillId="0" borderId="0" pivotButton="0" quotePrefix="0" xfId="4"/>
    <xf numFmtId="0" fontId="59" fillId="0" borderId="34" applyAlignment="1" pivotButton="0" quotePrefix="0" xfId="0">
      <alignment horizontal="center"/>
    </xf>
    <xf numFmtId="0" fontId="59" fillId="16" borderId="26" applyAlignment="1" pivotButton="0" quotePrefix="0" xfId="0">
      <alignment horizontal="center"/>
    </xf>
    <xf numFmtId="4" fontId="59" fillId="16" borderId="14" applyAlignment="1" pivotButton="0" quotePrefix="0" xfId="0">
      <alignment horizontal="center"/>
    </xf>
    <xf numFmtId="0" fontId="59" fillId="16" borderId="14" applyAlignment="1" pivotButton="0" quotePrefix="0" xfId="0">
      <alignment horizontal="center"/>
    </xf>
    <xf numFmtId="10" fontId="59" fillId="16" borderId="14" applyAlignment="1" pivotButton="0" quotePrefix="0" xfId="2">
      <alignment horizontal="center"/>
    </xf>
    <xf numFmtId="0" fontId="28" fillId="4" borderId="28" applyAlignment="1" pivotButton="0" quotePrefix="0" xfId="0">
      <alignment horizontal="center" vertical="center"/>
    </xf>
    <xf numFmtId="0" fontId="0" fillId="0" borderId="64" pivotButton="0" quotePrefix="0" xfId="0"/>
    <xf numFmtId="0" fontId="5" fillId="0" borderId="24" applyAlignment="1" pivotButton="0" quotePrefix="0" xfId="0">
      <alignment horizontal="center" vertical="top" wrapText="1"/>
    </xf>
    <xf numFmtId="0" fontId="61" fillId="4" borderId="24" applyAlignment="1" pivotButton="0" quotePrefix="0" xfId="0">
      <alignment horizontal="center"/>
    </xf>
    <xf numFmtId="0" fontId="5" fillId="0" borderId="24" applyAlignment="1" pivotButton="0" quotePrefix="0" xfId="0">
      <alignment horizontal="center" wrapText="1"/>
    </xf>
    <xf numFmtId="0" fontId="0" fillId="0" borderId="25" applyAlignment="1" pivotButton="0" quotePrefix="0" xfId="0">
      <alignment horizontal="center" vertical="center" wrapText="1"/>
    </xf>
  </cellXfs>
  <cellStyles count="14">
    <cellStyle name="Normal" xfId="0" builtinId="0"/>
    <cellStyle name="Custom - Style8" xfId="1"/>
    <cellStyle name="Percent" xfId="2" builtinId="5"/>
    <cellStyle name="Standaard 2" xfId="3"/>
    <cellStyle name="Normal 2" xfId="4"/>
    <cellStyle name="Normal 3" xfId="5"/>
    <cellStyle name="Normal 4" xfId="6"/>
    <cellStyle name="Normal 4 2" xfId="7"/>
    <cellStyle name="Standaard 3" xfId="8"/>
    <cellStyle name="Custom - Style8 2" xfId="9"/>
    <cellStyle name="Standaard 2 2" xfId="10"/>
    <cellStyle name="Normal 3 2" xfId="11"/>
    <cellStyle name="Normal 4 3" xfId="12"/>
    <cellStyle name="Normal 4 2 2" xfId="13"/>
  </cellStyles>
  <dxfs count="155">
    <dxf>
      <fill>
        <patternFill>
          <bgColor theme="8" tint="0.5999633777886288"/>
        </patternFill>
      </fill>
    </dxf>
    <dxf>
      <fill>
        <patternFill>
          <bgColor theme="9" tint="0.7999816888943144"/>
        </patternFill>
      </fill>
    </dxf>
    <dxf>
      <fill>
        <patternFill>
          <bgColor theme="8" tint="0.5999633777886288"/>
        </patternFill>
      </fill>
    </dxf>
    <dxf>
      <fill>
        <patternFill>
          <bgColor theme="9" tint="0.7999816888943144"/>
        </patternFill>
      </fill>
    </dxf>
    <dxf>
      <fill>
        <patternFill>
          <bgColor theme="8" tint="0.5999633777886288"/>
        </patternFill>
      </fill>
    </dxf>
    <dxf>
      <fill>
        <patternFill>
          <bgColor theme="9" tint="0.7999816888943144"/>
        </patternFill>
      </fill>
    </dxf>
    <dxf>
      <fill>
        <patternFill>
          <bgColor theme="8" tint="0.5999633777886288"/>
        </patternFill>
      </fill>
    </dxf>
    <dxf>
      <fill>
        <patternFill>
          <bgColor theme="9" tint="0.7999816888943144"/>
        </patternFill>
      </fill>
    </dxf>
    <dxf>
      <font>
        <color rgb="FF9C0006"/>
      </font>
      <fill>
        <patternFill>
          <bgColor rgb="FFFFC7CE"/>
        </patternFill>
      </fill>
    </dxf>
    <dxf>
      <font>
        <color rgb="FF006100"/>
      </font>
      <fill>
        <patternFill>
          <bgColor rgb="FFC6EFCE"/>
        </patternFill>
      </fill>
    </dxf>
    <dxf>
      <fill>
        <patternFill>
          <bgColor theme="8" tint="0.5999633777886288"/>
        </patternFill>
      </fill>
    </dxf>
    <dxf>
      <fill>
        <patternFill>
          <bgColor theme="9" tint="0.7999816888943144"/>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5" tint="0.7999816888943144"/>
        </patternFill>
      </fill>
    </dxf>
    <dxf>
      <fill>
        <patternFill>
          <bgColor theme="8" tint="0.5999633777886288"/>
        </patternFill>
      </fill>
    </dxf>
    <dxf>
      <fill>
        <patternFill>
          <bgColor theme="0" tint="-0.0499893185216834"/>
        </patternFill>
      </fill>
    </dxf>
    <dxf>
      <fill>
        <patternFill>
          <bgColor theme="3" tint="0.5999633777886288"/>
        </patternFill>
      </fill>
    </dxf>
    <dxf>
      <fill>
        <patternFill>
          <bgColor auto="1"/>
        </patternFill>
      </fill>
    </dxf>
    <dxf>
      <fill>
        <patternFill>
          <bgColor theme="2" tint="-0.09994811853389081"/>
        </patternFill>
      </fill>
    </dxf>
    <dxf>
      <fill>
        <patternFill>
          <bgColor theme="3" tint="0.5999633777886288"/>
        </patternFill>
      </fill>
    </dxf>
    <dxf>
      <fill>
        <patternFill>
          <bgColor theme="7" tint="0.5999633777886288"/>
        </patternFill>
      </fill>
    </dxf>
    <dxf>
      <fill>
        <patternFill>
          <bgColor theme="2" tint="-0.09994811853389081"/>
        </patternFill>
      </fill>
    </dxf>
    <dxf>
      <fill>
        <patternFill>
          <bgColor theme="0" tint="-0.1499679555650502"/>
        </patternFill>
      </fill>
    </dxf>
    <dxf>
      <fill>
        <patternFill>
          <bgColor theme="0" tint="-0.1499679555650502"/>
        </patternFill>
      </fill>
    </dxf>
    <dxf>
      <fill>
        <patternFill>
          <bgColor theme="8" tint="0.5999633777886288"/>
        </patternFill>
      </fill>
    </dxf>
    <dxf>
      <fill>
        <patternFill>
          <bgColor theme="7" tint="0.5999633777886288"/>
        </patternFill>
      </fill>
    </dxf>
    <dxf>
      <fill>
        <patternFill>
          <bgColor theme="0" tint="-0.1499679555650502"/>
        </patternFill>
      </fill>
    </dxf>
    <dxf>
      <fill>
        <patternFill>
          <bgColor theme="6" tint="0.7999816888943144"/>
        </patternFill>
      </fill>
    </dxf>
    <dxf>
      <fill>
        <patternFill>
          <bgColor theme="9" tint="0.7999816888943144"/>
        </patternFill>
      </fill>
    </dxf>
    <dxf>
      <fill>
        <patternFill>
          <bgColor theme="3" tint="0.5999633777886288"/>
        </patternFill>
      </fill>
    </dxf>
    <dxf>
      <fill>
        <patternFill>
          <bgColor theme="7" tint="0.5999633777886288"/>
        </patternFill>
      </fill>
    </dxf>
    <dxf>
      <fill>
        <patternFill>
          <bgColor theme="0" tint="-0.0499893185216834"/>
        </patternFill>
      </fill>
    </dxf>
    <dxf>
      <fill>
        <patternFill>
          <bgColor theme="8" tint="0.5999633777886288"/>
        </patternFill>
      </fill>
    </dxf>
    <dxf>
      <fill>
        <patternFill>
          <bgColor theme="0" tint="-0.1499679555650502"/>
        </patternFill>
      </fill>
    </dxf>
    <dxf>
      <fill>
        <patternFill>
          <bgColor theme="9" tint="0.7999816888943144"/>
        </patternFill>
      </fill>
    </dxf>
    <dxf>
      <fill>
        <patternFill>
          <bgColor auto="1"/>
        </patternFill>
      </fill>
    </dxf>
    <dxf>
      <fill>
        <patternFill>
          <bgColor theme="3" tint="0.5999633777886288"/>
        </patternFill>
      </fill>
    </dxf>
    <dxf>
      <fill>
        <patternFill>
          <bgColor auto="1"/>
        </patternFill>
      </fill>
    </dxf>
    <dxf>
      <fill>
        <patternFill>
          <bgColor rgb="FFFFFF00"/>
        </patternFill>
      </fill>
    </dxf>
    <dxf>
      <fill>
        <patternFill>
          <bgColor theme="0" tint="-0.1499679555650502"/>
        </patternFill>
      </fill>
    </dxf>
    <dxf>
      <fill>
        <patternFill>
          <bgColor theme="9" tint="0.7999816888943144"/>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0" tint="-0.1499679555650502"/>
        </patternFill>
      </fill>
    </dxf>
    <dxf>
      <fill>
        <patternFill>
          <bgColor theme="2" tint="-0.09994811853389081"/>
        </patternFill>
      </fill>
    </dxf>
    <dxf>
      <fill>
        <patternFill>
          <bgColor theme="2" tint="-0.09994811853389081"/>
        </patternFill>
      </fill>
    </dxf>
    <dxf>
      <fill>
        <patternFill>
          <bgColor theme="0" tint="-0.1499679555650502"/>
        </patternFill>
      </fill>
    </dxf>
    <dxf>
      <fill>
        <patternFill>
          <bgColor theme="0" tint="-0.1499679555650502"/>
        </patternFill>
      </fill>
    </dxf>
    <dxf>
      <fill>
        <patternFill>
          <bgColor theme="2" tint="-0.09994811853389081"/>
        </patternFill>
      </fill>
    </dxf>
    <dxf>
      <fill>
        <patternFill>
          <bgColor theme="2" tint="-0.09994811853389081"/>
        </patternFill>
      </fill>
    </dxf>
    <dxf>
      <fill>
        <patternFill>
          <bgColor theme="0" tint="-0.1499679555650502"/>
        </patternFill>
      </fill>
    </dxf>
    <dxf>
      <fill>
        <patternFill>
          <bgColor theme="7" tint="0.3999450666829432"/>
        </patternFill>
      </fill>
    </dxf>
    <dxf>
      <fill>
        <patternFill>
          <bgColor theme="7" tint="0.3999450666829432"/>
        </patternFill>
      </fill>
    </dxf>
    <dxf>
      <fill>
        <patternFill>
          <bgColor theme="0" tint="-0.1499679555650502"/>
        </patternFill>
      </fill>
    </dxf>
    <dxf>
      <fill>
        <patternFill>
          <bgColor theme="6"/>
        </patternFill>
      </fill>
    </dxf>
    <dxf>
      <fill>
        <patternFill>
          <bgColor rgb="FFFF0000"/>
        </patternFill>
      </fill>
    </dxf>
    <dxf>
      <fill>
        <patternFill>
          <bgColor theme="0" tint="-0.499984740745262"/>
        </patternFill>
      </fill>
    </dxf>
    <dxf>
      <font>
        <color rgb="FF006100"/>
      </font>
      <fill>
        <patternFill>
          <bgColor rgb="FFC6EFCE"/>
        </patternFill>
      </fill>
    </dxf>
    <dxf>
      <fill>
        <patternFill>
          <bgColor theme="2" tint="-0.09994811853389081"/>
        </patternFill>
      </fill>
    </dxf>
    <dxf>
      <fill>
        <patternFill>
          <bgColor theme="0" tint="-0.1499679555650502"/>
        </patternFill>
      </fill>
    </dxf>
    <dxf>
      <fill>
        <patternFill>
          <bgColor theme="7" tint="0.3999450666829432"/>
        </patternFill>
      </fill>
    </dxf>
    <dxf>
      <fill>
        <patternFill>
          <bgColor theme="7" tint="0.3999450666829432"/>
        </patternFill>
      </fill>
    </dxf>
    <dxf>
      <fill>
        <patternFill>
          <bgColor theme="0" tint="-0.1499679555650502"/>
        </patternFill>
      </fill>
    </dxf>
    <dxf>
      <fill>
        <patternFill>
          <bgColor theme="0" tint="-0.1499679555650502"/>
        </patternFill>
      </fill>
    </dxf>
    <dxf>
      <fill>
        <patternFill>
          <bgColor theme="7" tint="0.3999450666829432"/>
        </patternFill>
      </fill>
    </dxf>
    <dxf>
      <fill>
        <patternFill>
          <bgColor theme="7" tint="0.3999450666829432"/>
        </patternFill>
      </fill>
    </dxf>
    <dxf>
      <fill>
        <patternFill>
          <bgColor theme="0" tint="-0.1499679555650502"/>
        </patternFill>
      </fill>
    </dxf>
    <dxf>
      <font>
        <color theme="0"/>
      </font>
      <fill>
        <patternFill>
          <bgColor rgb="FF3333CC"/>
        </patternFill>
      </fill>
    </dxf>
    <dxf>
      <font>
        <color theme="0"/>
      </font>
      <fill>
        <patternFill>
          <bgColor rgb="FF7030A0"/>
        </patternFill>
      </fill>
    </dxf>
    <dxf>
      <font>
        <color theme="0"/>
      </font>
      <fill>
        <patternFill>
          <bgColor theme="5" tint="-0.499984740745262"/>
        </patternFill>
      </fill>
    </dxf>
    <dxf>
      <font>
        <color theme="0"/>
      </font>
      <fill>
        <patternFill>
          <bgColor theme="8"/>
        </patternFill>
      </fill>
    </dxf>
    <dxf>
      <fill>
        <patternFill>
          <bgColor theme="0"/>
        </patternFill>
      </fill>
    </dxf>
    <dxf>
      <fill>
        <patternFill>
          <bgColor theme="0" tint="-0.1499679555650502"/>
        </patternFill>
      </fill>
    </dxf>
    <dxf>
      <fill>
        <patternFill>
          <bgColor theme="3" tint="0.5999633777886288"/>
        </patternFill>
      </fill>
    </dxf>
    <dxf>
      <fill>
        <patternFill>
          <bgColor theme="7" tint="0.5999633777886288"/>
        </patternFill>
      </fill>
    </dxf>
    <dxf>
      <fill>
        <patternFill>
          <bgColor theme="8" tint="0.7999816888943144"/>
        </patternFill>
      </fill>
    </dxf>
    <dxf>
      <fill>
        <patternFill>
          <bgColor theme="0" tint="-0.1499679555650502"/>
        </patternFill>
      </fill>
    </dxf>
    <dxf>
      <fill>
        <patternFill>
          <bgColor theme="2" tint="-0.09994811853389081"/>
        </patternFill>
      </fill>
    </dxf>
    <dxf>
      <fill>
        <patternFill>
          <bgColor theme="2" tint="-0.09994811853389081"/>
        </patternFill>
      </fill>
    </dxf>
    <dxf>
      <fill>
        <patternFill>
          <bgColor theme="3" tint="0.5999633777886288"/>
        </patternFill>
      </fill>
    </dxf>
    <dxf>
      <fill>
        <patternFill>
          <bgColor theme="7" tint="0.5999633777886288"/>
        </patternFill>
      </fill>
    </dxf>
    <dxf>
      <fill>
        <patternFill>
          <bgColor theme="8" tint="0.7999816888943144"/>
        </patternFill>
      </fill>
    </dxf>
    <dxf>
      <fill>
        <patternFill>
          <bgColor theme="7" tint="0.3999450666829432"/>
        </patternFill>
      </fill>
    </dxf>
    <dxf>
      <fill>
        <patternFill>
          <bgColor theme="0" tint="-0.1499679555650502"/>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0" tint="-0.1499679555650502"/>
        </patternFill>
      </fill>
    </dxf>
    <dxf>
      <fill>
        <patternFill>
          <bgColor theme="3" tint="0.5999633777886288"/>
        </patternFill>
      </fill>
    </dxf>
    <dxf>
      <fill>
        <patternFill>
          <bgColor theme="7" tint="0.5999633777886288"/>
        </patternFill>
      </fill>
    </dxf>
    <dxf>
      <fill>
        <patternFill>
          <bgColor theme="8" tint="0.7999816888943144"/>
        </patternFill>
      </fill>
    </dxf>
    <dxf>
      <fill>
        <patternFill>
          <bgColor theme="2" tint="-0.09994811853389081"/>
        </patternFill>
      </fill>
    </dxf>
    <dxf>
      <fill>
        <patternFill>
          <bgColor theme="0" tint="-0.1499679555650502"/>
        </patternFill>
      </fill>
    </dxf>
    <dxf>
      <fill>
        <patternFill>
          <bgColor theme="2" tint="-0.09994811853389081"/>
        </patternFill>
      </fill>
    </dxf>
    <dxf>
      <fill>
        <patternFill>
          <bgColor theme="0" tint="-0.1499679555650502"/>
        </patternFill>
      </fill>
    </dxf>
    <dxf>
      <fill>
        <patternFill>
          <bgColor theme="7" tint="0.3999450666829432"/>
        </patternFill>
      </fill>
    </dxf>
    <dxf>
      <fill>
        <patternFill>
          <bgColor theme="0" tint="-0.1499679555650502"/>
        </patternFill>
      </fill>
    </dxf>
    <dxf>
      <fill>
        <patternFill>
          <bgColor theme="3" tint="0.5999633777886288"/>
        </patternFill>
      </fill>
    </dxf>
    <dxf>
      <fill>
        <patternFill>
          <bgColor theme="7" tint="0.5999633777886288"/>
        </patternFill>
      </fill>
    </dxf>
    <dxf>
      <fill>
        <patternFill>
          <bgColor theme="8" tint="0.7999816888943144"/>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0" tint="-0.1499679555650502"/>
        </patternFill>
      </fill>
    </dxf>
    <dxf>
      <fill>
        <patternFill>
          <bgColor theme="7" tint="0.3999450666829432"/>
        </patternFill>
      </fill>
    </dxf>
    <dxf>
      <fill>
        <patternFill>
          <bgColor theme="7" tint="0.3999450666829432"/>
        </patternFill>
      </fill>
    </dxf>
    <dxf>
      <fill>
        <patternFill>
          <bgColor theme="0" tint="-0.1499679555650502"/>
        </patternFill>
      </fill>
    </dxf>
    <dxf>
      <fill>
        <patternFill>
          <bgColor rgb="FFFFFF00"/>
        </patternFill>
      </fill>
    </dxf>
    <dxf>
      <font>
        <b val="1"/>
        <color rgb="FF9C0006"/>
      </font>
    </dxf>
    <dxf>
      <font>
        <b val="1"/>
        <color rgb="FF9C0006"/>
      </font>
      <fill>
        <patternFill patternType="solid">
          <fgColor rgb="FFFFC7CE"/>
          <bgColor rgb="FFFFC7CE"/>
        </patternFill>
      </fill>
    </dxf>
    <dxf>
      <font>
        <color rgb="FF006100"/>
      </font>
    </dxf>
    <dxf>
      <font>
        <color rgb="FF006100"/>
      </font>
      <fill>
        <patternFill patternType="solid">
          <fgColor rgb="FFC6EFCE"/>
          <bgColor rgb="FFC6EFCE"/>
        </patternFill>
      </fill>
    </dxf>
    <dxf>
      <font>
        <color rgb="FF9C6500"/>
      </font>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styles" Target="styles.xml" Id="rId7" /><Relationship Type="http://schemas.openxmlformats.org/officeDocument/2006/relationships/theme" Target="theme/theme1.xml" Id="rId8" /><Relationship Type="http://schemas.microsoft.com/office/2006/relationships/vbaProject" Target="vbaProject.bin" Id="rId9" /></Relationships>
</file>

<file path=xl/comments/comment1.xml><?xml version="1.0" encoding="utf-8"?>
<comments xmlns="http://schemas.openxmlformats.org/spreadsheetml/2006/main">
  <authors>
    <author>LYSIK Ewa</author>
  </authors>
  <commentList>
    <comment ref="D6" authorId="0" shapeId="0">
      <text>
        <t>Guidance:
Please fill in with the total number of entities in the group and click 'Add entities'. Wait until you see a message: 'Done'. Now the template should be prepared for further work. 
Attention! 
If you want to add more entities when the form is already filled in, you can input a new number of entities and click 'Add entities'. This should not remove your previous input. (Example: your template currently has 15 entities and you want to add 2 more. You fill in the section 'Group size' with '17' and click 'Add entities'. The macro should add 2 additional entities.)
If you want to remove entities when the form is already filled in, it is recommended to leave the additional, excess cells that will not be used blank. Otherwise you can use the button 'Clear form' and input the new number of entities and click 'Add entities' but this will remove all your previous input for all components.
(Example: your template has 15 entities and you want to remove 2. You delete all the input in the template for the entities that you don't need. You don't use the 'Clear form' and 'Group size' button unless you want to start over with a clean template).</t>
      </text>
    </comment>
    <comment ref="L9" authorId="0" shapeId="0">
      <text>
        <t>Guidance:
To be filled in manually based on the auditor's assessment</t>
      </text>
    </comment>
    <comment ref="L10" authorId="0" shapeId="0">
      <text>
        <t>Guidance:
Please refer to Scope decision tree tab</t>
      </text>
    </comment>
    <comment ref="C15" authorId="0" shapeId="0">
      <text>
        <t xml:space="preserve">Guidance:
If you need more rows please click 'Add row'. 
If you need less rows it is recommended to leave the additional, excess rows that will not be used blank. </t>
      </text>
    </comment>
    <comment ref="L15" authorId="0" shapeId="0">
      <text>
        <t>Guidance:
To be filled manually if an FSA should be included in specific scope.
Please select from drop down list 'in scope' if you wish to include the particular account in specific scope.</t>
      </text>
    </comment>
    <comment ref="M15" authorId="0" shapeId="0">
      <text>
        <t>Guidance:
To be filled manually if an FSA should be included in GET instructed engagement procedures scope. 
Please select from drop down list 'in scope' if you wish to include the particular account in GET scope.</t>
      </text>
    </comment>
    <comment ref="AB15" authorId="0" shapeId="0">
      <text>
        <t>Guidance:
When the aggregate amount of the un-scoped balance is below group financial statement materiality, the auditor may conclude they reduced the audit risk related to un-scoped entities to an acceptably low level.
When the aggregate amount of the un-scoped balance is above group financial statement materiality, the auditor should refer to tab 'Stand-back'.</t>
      </text>
    </comment>
    <comment ref="C42" authorId="0" shapeId="0">
      <text>
        <t xml:space="preserve">Guidance:
If you need more rows please click 'Add row'. 
If you need less rows it is recommended to leave the additional, excess rows that will not be used blank. </t>
      </text>
    </comment>
    <comment ref="L42" authorId="0" shapeId="0">
      <text>
        <t>Guidance:
To be filled manually if an FSA should be included in specific scope.
Please select from drop down list 'in scope' if you wish to include the particular account in specific scope.</t>
      </text>
    </comment>
    <comment ref="M42" authorId="0" shapeId="0">
      <text>
        <t>Guidance:
To be filled manually if an FSA should be included in GET instructed engagement procedures scope. 
Please select from drop down list 'in scope' if you wish to include the particular account in GET scope.</t>
      </text>
    </comment>
    <comment ref="AB42" authorId="0" shapeId="0">
      <text>
        <t>Guidance:
When the aggregate amount of the un-scoped balance is below group financial statement materiality, the auditor may conclude they reduced the audit risk related to un-scoped entities to an acceptably low level.
When the aggregate amount of the un-scoped balance is above group financial statement materiality, the auditor should refer to tab 'Stand-back'.</t>
      </text>
    </comment>
    <comment ref="C71" authorId="0" shapeId="0">
      <text>
        <t xml:space="preserve">Guidance:
If you need more rows please click 'Add row'. 
If you need less rows it is recommended to leave the additional, excess rows that will not be used blank. </t>
      </text>
    </comment>
    <comment ref="L71" authorId="0" shapeId="0">
      <text>
        <t>Guidance:
To be filled manually if an FSA should be included in specific scope.
Please select from drop down list 'in scope' if you wish to include the particular account in specific scope.</t>
      </text>
    </comment>
    <comment ref="M71" authorId="0" shapeId="0">
      <text>
        <t>Guidance:
To be filled manually if an FSA should be included in GET instructed engagement procedures scope. 
Please select from drop down list 'in scope' if you wish to include the particular account in GET scope.</t>
      </text>
    </comment>
    <comment ref="AB71" authorId="0" shapeId="0">
      <text>
        <t>Guidance:
When the aggregate amount of the un-scoped balance is below group financial statement materiality, the auditor may conclude they reduced the audit risk related to un-scoped entities to an acceptably low level.
When the aggregate amount of the un-scoped balance is above group financial statement materiality, the auditor should refer to tab 'Stand-back'.</t>
      </text>
    </comment>
  </commentList>
</comments>
</file>

<file path=xl/comments/comment2.xml><?xml version="1.0" encoding="utf-8"?>
<comments xmlns="http://schemas.openxmlformats.org/spreadsheetml/2006/main">
  <authors>
    <author>LYSIK Ewa</author>
    <author>Niels Verhagen</author>
  </authors>
  <commentList>
    <comment ref="M16" authorId="0" shapeId="0">
      <text>
        <t xml:space="preserve">Guidance:
Examples of considerations for a Group Engagement Team to classify a component as Key by size due to other criteria could be if a component:  
a. Contributes 15% or more to one or more key benchmarks of the group. For example, a component that represents 15% or more of the group’s profit before tax, total assets, net assets or revenue is presumed to be a key component; or 
b. Contributes 15% or less to one or more key benchmarks but considered key due to its relative size in proportionate to the other components of the group.  For example, the three largest components individually contribute 5%-10% of the key benchmarks of the group while all other components contribute less than 2%. </t>
      </text>
    </comment>
    <comment ref="N16" authorId="0" shapeId="0">
      <text>
        <t>Guidance:
Please fill in based on risk assessment</t>
      </text>
    </comment>
    <comment ref="O16" authorId="0" shapeId="0">
      <text>
        <t>Guidance:
If the component is key due to risk(s) of material misstatement or key due to size based on professional judgement, please comment.</t>
      </text>
    </comment>
    <comment ref="P16" authorId="0" shapeId="0">
      <text>
        <t>Guidance:
One and/or two conditions must be met
to assess a component as a key component.
If none of the conditions are met further analysis is required.</t>
      </text>
    </comment>
    <comment ref="R16" authorId="0" shapeId="0">
      <text>
        <t>Guidance:
Please fill in based on conclusions from tab Conso
Please fill in with 'N/A' if the component is already assessed as 'Key component'</t>
      </text>
    </comment>
    <comment ref="S16" authorId="0" shapeId="0">
      <text>
        <t>Guidance: 
If you decide to rebut the assumption that a material component should be scoped in please remember to input in the tab 'Conso':
- in the section Final conclusion about the component  - Material component - rebutted
- in the section Final conclusion about assigned scope - Out of scope / Other procedures
And fill in the tab 'Material component - rebuttal'</t>
      </text>
    </comment>
    <comment ref="T16" authorId="0" shapeId="0">
      <text>
        <t>Guidance:
Please comment if component is material.
If the component has already been assessed as 'key' in the previous section no comment required.
If the component has no material COTABDs and therefore has not been assessed as 'material' no comment required.
If you decide to rebut the assumption that a material component should be scoped in please document the rationale in the tab 'Material component - rebuttal'.</t>
      </text>
    </comment>
    <comment ref="U16" authorId="0" shapeId="0">
      <text>
        <t>Guidance:
If the component has already been assessed as 'key' in the previous section, please fill in with 'N/A'.
If the component has not been assessed as 'key' or 'material' further analysis is required.</t>
      </text>
    </comment>
    <comment ref="W16" authorId="0" shapeId="0">
      <text>
        <t xml:space="preserve">Guidance:
Please fill in based on conclusions from tab Conso.
Please fill in with 'N/A' if the component is already assessed as 'Key component' or 'Material component' </t>
      </text>
    </comment>
    <comment ref="X16" authorId="0" shapeId="0">
      <text>
        <t>Guidance:
Please comment if component has been additionally scoped in as non-material component.
If the component has already been assessed as 'key' or 'material' in the previous section no comment required.</t>
      </text>
    </comment>
    <comment ref="AE16" authorId="0" shapeId="0">
      <text>
        <t>Guidance:
Fills in automatically based on conclusions from tab Conso, section: Final conclusion about assigned scope</t>
      </text>
    </comment>
    <comment ref="AF16" authorId="0" shapeId="0">
      <text>
        <t>Guidance:
Fills in automatically based on conclusions from tab Conso, section: Final conclusion about assigned scope</t>
      </text>
    </comment>
    <comment ref="AG16" authorId="0" shapeId="0">
      <text>
        <t>Guidance:
Fills in automatically based on conclusions from tab Conso, section: Final conclusion about assigned scope</t>
      </text>
    </comment>
    <comment ref="AH16" authorId="0" shapeId="0">
      <text>
        <t>Guidance:
Other audit procedures on group level
Fills in automatically based on conclusions from tab Conso, section: Final conclusion about assigned scope</t>
      </text>
    </comment>
    <comment ref="AJ16" authorId="0" shapeId="0">
      <text>
        <t>Guidance:
Please fill in if the work will be performed by group or component auditor</t>
      </text>
    </comment>
    <comment ref="AL16" authorId="1" shapeId="0">
      <text>
        <t>Guidance:
This column was designed to assist the Group Auditor in determining sufficient and appropriate resources for purposes of the group audit, based on the scoping decisions (in particular weather or not to involve component auditors).
Please see tab Guidance of this tool for further assistance</t>
      </text>
    </comment>
    <comment ref="Z17" authorId="0" shapeId="0">
      <text>
        <t>Guidance:
Please fill in based on conclusions from tab Conso, section: Check if un-scoped balance is below group materiality</t>
      </text>
    </comment>
  </commentList>
</comments>
</file>

<file path=xl/comments/comment3.xml><?xml version="1.0" encoding="utf-8"?>
<comments xmlns="http://schemas.openxmlformats.org/spreadsheetml/2006/main">
  <authors>
    <author>LYSIK Ewa</author>
  </authors>
  <commentList>
    <comment ref="I29" authorId="0" shapeId="0">
      <text>
        <t>Guidance:
Please describe an other factor (if applicable)</t>
      </text>
    </comment>
    <comment ref="L29" authorId="0" shapeId="0">
      <text>
        <t>Guidance:
Please describe an other factor (if applicable)</t>
      </text>
    </comment>
    <comment ref="O29" authorId="0" shapeId="0">
      <text>
        <t>Guidance:
Please describe an other factor (if applicable)</t>
      </text>
    </comment>
    <comment ref="R29" authorId="0" shapeId="0">
      <text>
        <t>Guidance:
Please describe an other factor (if applicable)</t>
      </text>
    </comment>
    <comment ref="U29" authorId="0" shapeId="0">
      <text>
        <t>Guidance:
Please describe an other factor (if applicable)</t>
      </text>
    </comment>
    <comment ref="I31" authorId="0" shapeId="0">
      <text>
        <t>Guidance:
Please select 'Yes' if you decide to rebut the assumption that this is a material component. Please select 'No' if you decide not to rebut.</t>
      </text>
    </comment>
    <comment ref="L31" authorId="0" shapeId="0">
      <text>
        <t>Guidance:
Please select 'Yes' if you decide to rebut the assumption that this is a material component. Please select 'No' if you decide not to rebut.</t>
      </text>
    </comment>
    <comment ref="O31" authorId="0" shapeId="0">
      <text>
        <t>Guidance:
Please select 'Yes' if you decide to rebut the assumption that this is a material component. Please select 'No' if you decide not to rebut.</t>
      </text>
    </comment>
    <comment ref="R31" authorId="0" shapeId="0">
      <text>
        <t>Guidance:
Please select 'Yes' if you decide to rebut the assumption that this is a material component. Please select 'No' if you decide not to rebut.</t>
      </text>
    </comment>
    <comment ref="U31" authorId="0" shapeId="0">
      <text>
        <t>Guidance:
Please select 'Yes' if you decide to rebut the assumption that this is a material component. Please select 'No' if you decide not to rebut.</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4.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5.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sheet1.xml><?xml version="1.0" encoding="utf-8"?>
<worksheet xmlns="http://schemas.openxmlformats.org/spreadsheetml/2006/main">
  <sheetPr codeName="Blad7">
    <tabColor rgb="FF0070C0"/>
    <outlinePr summaryBelow="1" summaryRight="1"/>
    <pageSetUpPr fitToPage="1"/>
  </sheetPr>
  <dimension ref="A1:AL152"/>
  <sheetViews>
    <sheetView showGridLines="0" tabSelected="1" workbookViewId="0">
      <selection activeCell="G5" sqref="G5"/>
    </sheetView>
  </sheetViews>
  <sheetFormatPr baseColWidth="8" defaultColWidth="0" defaultRowHeight="12.75" customHeight="1" zeroHeight="1"/>
  <cols>
    <col width="2.7109375" customWidth="1" style="350" min="1" max="1"/>
    <col width="1.85546875" customWidth="1" style="50" min="2" max="2"/>
    <col width="7.85546875" customWidth="1" style="50" min="3" max="3"/>
    <col width="3.85546875" customWidth="1" style="50" min="4" max="4"/>
    <col width="11.42578125" customWidth="1" style="50" min="5" max="7"/>
    <col width="22.7109375" customWidth="1" style="50" min="8" max="8"/>
    <col width="16.7109375" customWidth="1" style="50" min="9" max="9"/>
    <col width="16.5703125" customWidth="1" style="50" min="10" max="10"/>
    <col width="40.140625" customWidth="1" style="50" min="11" max="11"/>
    <col width="11.42578125" customWidth="1" style="50" min="12" max="12"/>
    <col width="2.7109375" customWidth="1" style="350" min="13" max="13"/>
    <col hidden="1" style="50" min="14" max="38"/>
    <col hidden="1" width="11.42578125" customWidth="1" style="50" min="39" max="16384"/>
  </cols>
  <sheetData>
    <row r="1" ht="13.5" customFormat="1" customHeight="1" s="350" thickBot="1">
      <c r="C1" s="351" t="n"/>
      <c r="D1" s="352" t="n"/>
      <c r="E1" s="352" t="n"/>
      <c r="F1" s="353" t="n"/>
      <c r="H1" s="353" t="n"/>
      <c r="I1" s="353" t="n"/>
      <c r="J1" s="353" t="n"/>
      <c r="AL1" s="353" t="n"/>
    </row>
    <row r="2">
      <c r="B2" s="354" t="n"/>
      <c r="C2" s="355" t="n"/>
      <c r="D2" s="355" t="n"/>
      <c r="E2" s="355" t="n"/>
      <c r="F2" s="355" t="n"/>
      <c r="G2" s="355" t="n"/>
      <c r="H2" s="355" t="n"/>
      <c r="I2" s="355" t="n"/>
      <c r="J2" s="355" t="n"/>
      <c r="K2" s="355" t="n"/>
      <c r="L2" s="356" t="n"/>
      <c r="M2" s="353" t="n"/>
    </row>
    <row r="3">
      <c r="B3" s="357" t="n"/>
      <c r="C3" s="358" t="n"/>
      <c r="D3" s="358" t="n"/>
      <c r="E3" s="358" t="n"/>
      <c r="F3" s="358" t="n"/>
      <c r="G3" s="358" t="n"/>
      <c r="H3" s="358" t="n"/>
      <c r="I3" s="358" t="n"/>
      <c r="J3" s="358" t="n"/>
      <c r="K3" s="358" t="n"/>
      <c r="L3" s="359" t="n"/>
      <c r="M3" s="353" t="n"/>
    </row>
    <row r="4">
      <c r="B4" s="357" t="n"/>
      <c r="C4" s="358" t="n"/>
      <c r="D4" s="358" t="n"/>
      <c r="E4" s="358" t="n"/>
      <c r="F4" s="358" t="n"/>
      <c r="G4" s="360" t="inlineStr">
        <is>
          <t>Version March 2026</t>
        </is>
      </c>
      <c r="H4" s="358" t="n"/>
      <c r="I4" s="358" t="n"/>
      <c r="J4" s="358" t="n"/>
      <c r="K4" s="358" t="n"/>
      <c r="L4" s="359" t="n"/>
      <c r="M4" s="353" t="n"/>
    </row>
    <row r="5">
      <c r="B5" s="357" t="n"/>
      <c r="C5" s="358" t="n"/>
      <c r="D5" s="358" t="n"/>
      <c r="E5" s="358" t="n"/>
      <c r="F5" s="358" t="n"/>
      <c r="G5" s="358" t="n"/>
      <c r="H5" s="358" t="n"/>
      <c r="I5" s="358" t="n"/>
      <c r="J5" s="358" t="n"/>
      <c r="K5" s="358" t="n"/>
      <c r="L5" s="359" t="n"/>
      <c r="M5" s="353" t="n"/>
    </row>
    <row r="6">
      <c r="A6" s="353" t="n"/>
      <c r="B6" s="357" t="n"/>
      <c r="C6" s="358" t="n"/>
      <c r="D6" s="358" t="n"/>
      <c r="E6" s="358" t="n"/>
      <c r="F6" s="358" t="n"/>
      <c r="G6" s="358" t="n"/>
      <c r="H6" s="358" t="n"/>
      <c r="I6" s="358" t="n"/>
      <c r="J6" s="358" t="n"/>
      <c r="K6" s="358" t="n"/>
      <c r="L6" s="359" t="n"/>
    </row>
    <row r="7" ht="13.5" customHeight="1" thickBot="1">
      <c r="B7" s="357" t="n"/>
      <c r="C7" s="358" t="n"/>
      <c r="D7" s="358" t="n"/>
      <c r="E7" s="358" t="n"/>
      <c r="F7" s="358" t="n"/>
      <c r="G7" s="358" t="n"/>
      <c r="H7" s="358" t="n"/>
      <c r="I7" s="358" t="n"/>
      <c r="J7" s="358" t="n"/>
      <c r="K7" s="358" t="n"/>
      <c r="L7" s="359" t="n"/>
    </row>
    <row r="8" ht="24" customHeight="1" thickBot="1">
      <c r="B8" s="361" t="n"/>
      <c r="C8" s="362" t="inlineStr">
        <is>
          <t>Identifying components at which audit procedures are to be performed</t>
        </is>
      </c>
      <c r="D8" s="363" t="n"/>
      <c r="E8" s="363" t="n"/>
      <c r="F8" s="364" t="n"/>
      <c r="G8" s="364" t="n"/>
      <c r="H8" s="364" t="n"/>
      <c r="I8" s="364" t="n"/>
      <c r="J8" s="364" t="n"/>
      <c r="K8" s="364" t="n"/>
      <c r="L8" s="365" t="n"/>
    </row>
    <row r="9" ht="13.5" customHeight="1" thickBot="1">
      <c r="B9" s="357" t="n"/>
      <c r="C9" s="358" t="n"/>
      <c r="D9" s="358" t="n"/>
      <c r="E9" s="358" t="n"/>
      <c r="F9" s="358" t="n"/>
      <c r="G9" s="358" t="n"/>
      <c r="H9" s="358" t="n"/>
      <c r="I9" s="358" t="n"/>
      <c r="J9" s="358" t="n"/>
      <c r="K9" s="358" t="n"/>
      <c r="L9" s="359" t="n"/>
    </row>
    <row r="10" ht="13.5" customHeight="1" thickBot="1">
      <c r="B10" s="357" t="n"/>
      <c r="C10" s="366" t="inlineStr">
        <is>
          <t>Using this template</t>
        </is>
      </c>
      <c r="D10" s="367" t="n"/>
      <c r="E10" s="367" t="n"/>
      <c r="F10" s="367" t="n"/>
      <c r="G10" s="367" t="n"/>
      <c r="H10" s="367" t="n"/>
      <c r="I10" s="367" t="n"/>
      <c r="J10" s="367" t="n"/>
      <c r="K10" s="368" t="n"/>
      <c r="L10" s="59" t="n"/>
      <c r="M10" s="369" t="n"/>
    </row>
    <row r="11" ht="12.75" customHeight="1">
      <c r="A11" s="369" t="n"/>
      <c r="B11" s="357" t="n"/>
      <c r="C11" s="555" t="inlineStr">
        <is>
          <t xml:space="preserve">This template should be used to identify key, material, non-material and out of scope components within the group and to record the appropriate audit response and scope of work. 
It must be completed during planning although it may be appropriate to revisit and revise the original assessment if the group financial statements or group financial statement materiality is revised, our risk assessment changes or we note additional significant risks in the group or specific component, etc. 
This template is required to be reviewed by the Group Engagement Partner.
Please begin the work with this tool by reading the content of this tab and the tab Scope decision tree. Than go to tab 'Conso' and see 'User guidance - Step 1' which should direct you to the next steps. You can also refer to the guidance comments that are included in some of the cells for further explanations.
Attention! As a prerequisite, you need to have the group consolidation sheet with all component's data after eliminations.
Also, there is a worksheet 'Engagement Resources' designed to assist the Group Auditor in determining sufficient and appropriate resources for purposes of the group audit, based on the scoping decisions as documented in the worksheet 'Template identifying components' of this TOOL. In particular, this worksheet assists the group auditor in determining whether to involve component auditors. </t>
        </is>
      </c>
      <c r="D11" s="556" t="n"/>
      <c r="E11" s="556" t="n"/>
      <c r="F11" s="556" t="n"/>
      <c r="G11" s="556" t="n"/>
      <c r="H11" s="556" t="n"/>
      <c r="I11" s="556" t="n"/>
      <c r="J11" s="556" t="n"/>
      <c r="K11" s="557" t="n"/>
      <c r="L11" s="59" t="n"/>
      <c r="M11" s="369" t="n"/>
    </row>
    <row r="12">
      <c r="A12" s="369" t="n"/>
      <c r="B12" s="357" t="n"/>
      <c r="C12" s="124" t="n"/>
      <c r="K12" s="127" t="n"/>
      <c r="L12" s="59" t="n"/>
    </row>
    <row r="13">
      <c r="B13" s="357" t="n"/>
      <c r="C13" s="124" t="n"/>
      <c r="K13" s="127" t="n"/>
      <c r="L13" s="59" t="n"/>
    </row>
    <row r="14">
      <c r="B14" s="357" t="n"/>
      <c r="C14" s="124" t="n"/>
      <c r="K14" s="127" t="n"/>
      <c r="L14" s="59" t="n"/>
    </row>
    <row r="15">
      <c r="B15" s="357" t="n"/>
      <c r="C15" s="124" t="n"/>
      <c r="K15" s="127" t="n"/>
      <c r="L15" s="59" t="n"/>
    </row>
    <row r="16">
      <c r="B16" s="357" t="n"/>
      <c r="C16" s="124" t="n"/>
      <c r="K16" s="127" t="n"/>
      <c r="L16" s="59" t="n"/>
    </row>
    <row r="17">
      <c r="B17" s="357" t="n"/>
      <c r="C17" s="124" t="n"/>
      <c r="K17" s="127" t="n"/>
      <c r="L17" s="59" t="n"/>
    </row>
    <row r="18">
      <c r="B18" s="357" t="n"/>
      <c r="C18" s="124" t="n"/>
      <c r="K18" s="127" t="n"/>
      <c r="L18" s="59" t="n"/>
    </row>
    <row r="19">
      <c r="B19" s="357" t="n"/>
      <c r="C19" s="124" t="n"/>
      <c r="K19" s="127" t="n"/>
      <c r="L19" s="59" t="n"/>
    </row>
    <row r="20">
      <c r="B20" s="357" t="n"/>
      <c r="C20" s="124" t="n"/>
      <c r="K20" s="127" t="n"/>
      <c r="L20" s="59" t="n"/>
    </row>
    <row r="21">
      <c r="B21" s="357" t="n"/>
      <c r="C21" s="124" t="n"/>
      <c r="K21" s="127" t="n"/>
      <c r="L21" s="59" t="n"/>
    </row>
    <row r="22">
      <c r="B22" s="357" t="n"/>
      <c r="C22" s="124" t="n"/>
      <c r="K22" s="127" t="n"/>
      <c r="L22" s="59" t="n"/>
    </row>
    <row r="23">
      <c r="B23" s="357" t="n"/>
      <c r="C23" s="124" t="n"/>
      <c r="K23" s="127" t="n"/>
      <c r="L23" s="59" t="n"/>
    </row>
    <row r="24" ht="13.5" customHeight="1" thickBot="1">
      <c r="B24" s="357" t="n"/>
      <c r="C24" s="187" t="n"/>
      <c r="D24" s="188" t="n"/>
      <c r="E24" s="188" t="n"/>
      <c r="F24" s="188" t="n"/>
      <c r="G24" s="188" t="n"/>
      <c r="H24" s="188" t="n"/>
      <c r="I24" s="188" t="n"/>
      <c r="J24" s="188" t="n"/>
      <c r="K24" s="190" t="n"/>
      <c r="L24" s="59" t="n"/>
    </row>
    <row r="25" ht="13.5" customFormat="1" customHeight="1" s="350" thickBot="1">
      <c r="B25" s="357" t="n"/>
      <c r="C25" s="397" t="n"/>
      <c r="D25" s="397" t="n"/>
      <c r="E25" s="397" t="n"/>
      <c r="F25" s="397" t="n"/>
      <c r="G25" s="397" t="n"/>
      <c r="H25" s="397" t="n"/>
      <c r="I25" s="397" t="n"/>
      <c r="J25" s="397" t="n"/>
      <c r="K25" s="397" t="n"/>
      <c r="L25" s="59" t="n"/>
      <c r="N25" s="50" t="n"/>
      <c r="O25" s="50" t="n"/>
      <c r="P25" s="50" t="n"/>
      <c r="Q25" s="50" t="n"/>
      <c r="R25" s="50" t="n"/>
      <c r="S25" s="50" t="n"/>
      <c r="T25" s="50" t="n"/>
      <c r="U25" s="50" t="n"/>
      <c r="V25" s="50" t="n"/>
      <c r="W25" s="50" t="n"/>
      <c r="X25" s="50" t="n"/>
      <c r="Y25" s="50" t="n"/>
      <c r="Z25" s="50" t="n"/>
      <c r="AA25" s="50" t="n"/>
      <c r="AB25" s="50" t="n"/>
      <c r="AC25" s="50" t="n"/>
      <c r="AD25" s="50" t="n"/>
      <c r="AE25" s="50" t="n"/>
      <c r="AF25" s="50" t="n"/>
      <c r="AG25" s="50" t="n"/>
      <c r="AH25" s="50" t="n"/>
      <c r="AI25" s="50" t="n"/>
      <c r="AJ25" s="50" t="n"/>
      <c r="AK25" s="50" t="n"/>
      <c r="AL25" s="50" t="n"/>
    </row>
    <row r="26" ht="13.5" customFormat="1" customHeight="1" s="350" thickBot="1">
      <c r="B26" s="357" t="n"/>
      <c r="C26" s="366" t="inlineStr">
        <is>
          <t>Key, material and non-material components</t>
        </is>
      </c>
      <c r="D26" s="367" t="n"/>
      <c r="E26" s="367" t="n"/>
      <c r="F26" s="367" t="n"/>
      <c r="G26" s="367" t="n"/>
      <c r="H26" s="367" t="n"/>
      <c r="I26" s="367" t="n"/>
      <c r="J26" s="367" t="n"/>
      <c r="K26" s="368" t="n"/>
      <c r="L26" s="359" t="n"/>
      <c r="N26" s="50" t="n"/>
      <c r="O26" s="50" t="n"/>
      <c r="P26" s="50" t="n"/>
      <c r="Q26" s="50" t="n"/>
      <c r="R26" s="50" t="n"/>
      <c r="S26" s="50" t="n"/>
      <c r="T26" s="50" t="n"/>
      <c r="U26" s="50" t="n"/>
      <c r="V26" s="50" t="n"/>
      <c r="W26" s="50" t="n"/>
      <c r="X26" s="50" t="n"/>
      <c r="Y26" s="50" t="n"/>
      <c r="Z26" s="50" t="n"/>
      <c r="AA26" s="50" t="n"/>
      <c r="AB26" s="50" t="n"/>
      <c r="AC26" s="50" t="n"/>
      <c r="AD26" s="50" t="n"/>
      <c r="AE26" s="50" t="n"/>
      <c r="AF26" s="50" t="n"/>
      <c r="AG26" s="50" t="n"/>
      <c r="AH26" s="50" t="n"/>
      <c r="AI26" s="50" t="n"/>
      <c r="AJ26" s="50" t="n"/>
      <c r="AK26" s="50" t="n"/>
      <c r="AL26" s="50" t="n"/>
    </row>
    <row r="27" customFormat="1" s="350">
      <c r="B27" s="357" t="n"/>
      <c r="C27" s="555" t="inlineStr">
        <is>
          <t xml:space="preserve">Please include all the components in the tab 'Template identifying components' and 'Conso' and identify if the component is a key, material, non-material or out of scope.
Key component
Any component:
1) Key by size - a component is key component by size if it:  
i. is greater or equal to 15% of the benchmark chosen for calculating group materiality (mandatory); or  
ii. is based on professional judgement, considered key due to relative financial significance to the group. 
or
2) Key by risk -  where the specific nature or circumstance of its financial information due to the presence of high complexity, subjectivity, or estimation uncertainty inherent risk factors make it likely to include significant risks of misstatement in the group financial statements but are not pervasive in nature. 
Material component
Any component, other than a key component, that contributes to one or more group COTABD an amount above group financial statements materiality.
There is a rebuttable presumption that all material components are scoped-in, unless the group auditor determines that sufficient and appropriate audit evidence can be obtained for the group financial statements based on planned audit evidence from a selected number of components. 
Non-material component
Additional component scoped in to reduce the risk of material misstatement to an acceptably low level (based on size or risk) in situations when after assessing which components are key components and material components the aggregate amount of an COTABD for un-scoped entities was still above group financial statement materiality. 
If the aggregate amount of a Material or Significant COTABD for un-scoped components is still above group financial statement materiality, the group auditor must perform a stand-back assessment to evaluate sufficiency and appropriateness of audit evidence planned. 
</t>
        </is>
      </c>
      <c r="D27" s="556" t="n"/>
      <c r="E27" s="556" t="n"/>
      <c r="F27" s="556" t="n"/>
      <c r="G27" s="556" t="n"/>
      <c r="H27" s="556" t="n"/>
      <c r="I27" s="556" t="n"/>
      <c r="J27" s="556" t="n"/>
      <c r="K27" s="557" t="n"/>
      <c r="L27" s="59" t="n"/>
      <c r="N27" s="50" t="n"/>
      <c r="O27" s="50" t="n"/>
      <c r="P27" s="50" t="n"/>
      <c r="Q27" s="50" t="n"/>
      <c r="R27" s="50" t="n"/>
      <c r="S27" s="50" t="n"/>
      <c r="T27" s="50" t="n"/>
      <c r="U27" s="50" t="n"/>
      <c r="V27" s="50" t="n"/>
      <c r="W27" s="50" t="n"/>
      <c r="X27" s="50" t="n"/>
      <c r="Y27" s="50" t="n"/>
      <c r="Z27" s="50" t="n"/>
      <c r="AA27" s="50" t="n"/>
      <c r="AB27" s="50" t="n"/>
      <c r="AC27" s="50" t="n"/>
      <c r="AD27" s="50" t="n"/>
      <c r="AE27" s="50" t="n"/>
      <c r="AF27" s="50" t="n"/>
      <c r="AG27" s="50" t="n"/>
      <c r="AH27" s="50" t="n"/>
      <c r="AI27" s="50" t="n"/>
      <c r="AJ27" s="50" t="n"/>
      <c r="AK27" s="50" t="n"/>
      <c r="AL27" s="50" t="n"/>
    </row>
    <row r="28" customFormat="1" s="350">
      <c r="B28" s="357" t="n"/>
      <c r="C28" s="124" t="n"/>
      <c r="K28" s="127" t="n"/>
      <c r="L28" s="359" t="n"/>
      <c r="N28" s="50" t="n"/>
      <c r="O28" s="50" t="n"/>
      <c r="P28" s="50" t="n"/>
      <c r="Q28" s="50" t="n"/>
      <c r="R28" s="50" t="n"/>
      <c r="S28" s="50" t="n"/>
      <c r="T28" s="50" t="n"/>
      <c r="U28" s="50" t="n"/>
      <c r="V28" s="50" t="n"/>
      <c r="W28" s="50" t="n"/>
      <c r="X28" s="50" t="n"/>
      <c r="Y28" s="50" t="n"/>
      <c r="Z28" s="50" t="n"/>
      <c r="AA28" s="50" t="n"/>
      <c r="AB28" s="50" t="n"/>
      <c r="AC28" s="50" t="n"/>
      <c r="AD28" s="50" t="n"/>
      <c r="AE28" s="50" t="n"/>
      <c r="AF28" s="50" t="n"/>
      <c r="AG28" s="50" t="n"/>
      <c r="AH28" s="50" t="n"/>
      <c r="AI28" s="50" t="n"/>
      <c r="AJ28" s="50" t="n"/>
      <c r="AK28" s="50" t="n"/>
      <c r="AL28" s="50" t="n"/>
    </row>
    <row r="29" customFormat="1" s="350">
      <c r="B29" s="357" t="n"/>
      <c r="C29" s="124" t="n"/>
      <c r="K29" s="127" t="n"/>
      <c r="L29" s="359" t="n"/>
      <c r="N29" s="50" t="n"/>
      <c r="O29" s="50" t="n"/>
      <c r="P29" s="50" t="n"/>
      <c r="Q29" s="50" t="n"/>
      <c r="R29" s="50" t="n"/>
      <c r="S29" s="50" t="n"/>
      <c r="T29" s="50" t="n"/>
      <c r="U29" s="50" t="n"/>
      <c r="V29" s="50" t="n"/>
      <c r="W29" s="50" t="n"/>
      <c r="X29" s="50" t="n"/>
      <c r="Y29" s="50" t="n"/>
      <c r="Z29" s="50" t="n"/>
      <c r="AA29" s="50" t="n"/>
      <c r="AB29" s="50" t="n"/>
      <c r="AC29" s="50" t="n"/>
      <c r="AD29" s="50" t="n"/>
      <c r="AE29" s="50" t="n"/>
      <c r="AF29" s="50" t="n"/>
      <c r="AG29" s="50" t="n"/>
      <c r="AH29" s="50" t="n"/>
      <c r="AI29" s="50" t="n"/>
      <c r="AJ29" s="50" t="n"/>
      <c r="AK29" s="50" t="n"/>
      <c r="AL29" s="50" t="n"/>
    </row>
    <row r="30" customFormat="1" s="350">
      <c r="B30" s="357" t="n"/>
      <c r="C30" s="124" t="n"/>
      <c r="K30" s="127" t="n"/>
      <c r="L30" s="359" t="n"/>
      <c r="N30" s="50" t="n"/>
      <c r="O30" s="50" t="n"/>
      <c r="P30" s="50" t="n"/>
      <c r="Q30" s="50" t="n"/>
      <c r="R30" s="50" t="n"/>
      <c r="S30" s="50" t="n"/>
      <c r="T30" s="50" t="n"/>
      <c r="U30" s="50" t="n"/>
      <c r="V30" s="50" t="n"/>
      <c r="W30" s="50" t="n"/>
      <c r="X30" s="50" t="n"/>
      <c r="Y30" s="50" t="n"/>
      <c r="Z30" s="50" t="n"/>
      <c r="AA30" s="50" t="n"/>
      <c r="AB30" s="50" t="n"/>
      <c r="AC30" s="50" t="n"/>
      <c r="AD30" s="50" t="n"/>
      <c r="AE30" s="50" t="n"/>
      <c r="AF30" s="50" t="n"/>
      <c r="AG30" s="50" t="n"/>
      <c r="AH30" s="50" t="n"/>
      <c r="AI30" s="50" t="n"/>
      <c r="AJ30" s="50" t="n"/>
      <c r="AK30" s="50" t="n"/>
      <c r="AL30" s="50" t="n"/>
    </row>
    <row r="31" customFormat="1" s="350">
      <c r="B31" s="357" t="n"/>
      <c r="C31" s="124" t="n"/>
      <c r="K31" s="127" t="n"/>
      <c r="L31" s="359" t="n"/>
      <c r="N31" s="50" t="n"/>
      <c r="O31" s="50" t="n"/>
      <c r="P31" s="50" t="n"/>
      <c r="Q31" s="50" t="n"/>
      <c r="R31" s="50" t="n"/>
      <c r="S31" s="50" t="n"/>
      <c r="T31" s="50" t="n"/>
      <c r="U31" s="50" t="n"/>
      <c r="V31" s="50" t="n"/>
      <c r="W31" s="50" t="n"/>
      <c r="X31" s="50" t="n"/>
      <c r="Y31" s="50" t="n"/>
      <c r="Z31" s="50" t="n"/>
      <c r="AA31" s="50" t="n"/>
      <c r="AB31" s="50" t="n"/>
      <c r="AC31" s="50" t="n"/>
      <c r="AD31" s="50" t="n"/>
      <c r="AE31" s="50" t="n"/>
      <c r="AF31" s="50" t="n"/>
      <c r="AG31" s="50" t="n"/>
      <c r="AH31" s="50" t="n"/>
      <c r="AI31" s="50" t="n"/>
      <c r="AJ31" s="50" t="n"/>
      <c r="AK31" s="50" t="n"/>
      <c r="AL31" s="50" t="n"/>
    </row>
    <row r="32" customFormat="1" s="350">
      <c r="B32" s="357" t="n"/>
      <c r="C32" s="124" t="n"/>
      <c r="K32" s="127" t="n"/>
      <c r="L32" s="359" t="n"/>
      <c r="N32" s="50" t="n"/>
      <c r="O32" s="50" t="n"/>
      <c r="P32" s="50" t="n"/>
      <c r="Q32" s="50" t="n"/>
      <c r="R32" s="50" t="n"/>
      <c r="S32" s="50" t="n"/>
      <c r="T32" s="50" t="n"/>
      <c r="U32" s="50" t="n"/>
      <c r="V32" s="50" t="n"/>
      <c r="W32" s="50" t="n"/>
      <c r="X32" s="50" t="n"/>
      <c r="Y32" s="50" t="n"/>
      <c r="Z32" s="50" t="n"/>
      <c r="AA32" s="50" t="n"/>
      <c r="AB32" s="50" t="n"/>
      <c r="AC32" s="50" t="n"/>
      <c r="AD32" s="50" t="n"/>
      <c r="AE32" s="50" t="n"/>
      <c r="AF32" s="50" t="n"/>
      <c r="AG32" s="50" t="n"/>
      <c r="AH32" s="50" t="n"/>
      <c r="AI32" s="50" t="n"/>
      <c r="AJ32" s="50" t="n"/>
      <c r="AK32" s="50" t="n"/>
      <c r="AL32" s="50" t="n"/>
    </row>
    <row r="33" customFormat="1" s="350">
      <c r="B33" s="357" t="n"/>
      <c r="C33" s="124" t="n"/>
      <c r="K33" s="127" t="n"/>
      <c r="L33" s="359" t="n"/>
      <c r="N33" s="50" t="n"/>
      <c r="O33" s="50" t="n"/>
      <c r="P33" s="50" t="n"/>
      <c r="Q33" s="50" t="n"/>
      <c r="R33" s="50" t="n"/>
      <c r="S33" s="50" t="n"/>
      <c r="T33" s="50" t="n"/>
      <c r="U33" s="50" t="n"/>
      <c r="V33" s="50" t="n"/>
      <c r="W33" s="50" t="n"/>
      <c r="X33" s="50" t="n"/>
      <c r="Y33" s="50" t="n"/>
      <c r="Z33" s="50" t="n"/>
      <c r="AA33" s="50" t="n"/>
      <c r="AB33" s="50" t="n"/>
      <c r="AC33" s="50" t="n"/>
      <c r="AD33" s="50" t="n"/>
      <c r="AE33" s="50" t="n"/>
      <c r="AF33" s="50" t="n"/>
      <c r="AG33" s="50" t="n"/>
      <c r="AH33" s="50" t="n"/>
      <c r="AI33" s="50" t="n"/>
      <c r="AJ33" s="50" t="n"/>
      <c r="AK33" s="50" t="n"/>
      <c r="AL33" s="50" t="n"/>
    </row>
    <row r="34" customFormat="1" s="350">
      <c r="B34" s="357" t="n"/>
      <c r="C34" s="124" t="n"/>
      <c r="K34" s="127" t="n"/>
      <c r="L34" s="59" t="n"/>
      <c r="N34" s="50" t="n"/>
      <c r="O34" s="50" t="n"/>
      <c r="P34" s="50" t="n"/>
      <c r="Q34" s="50" t="n"/>
      <c r="R34" s="50" t="n"/>
      <c r="S34" s="50" t="n"/>
      <c r="T34" s="50" t="n"/>
      <c r="U34" s="50" t="n"/>
      <c r="V34" s="50" t="n"/>
      <c r="W34" s="50" t="n"/>
      <c r="X34" s="50" t="n"/>
      <c r="Y34" s="50" t="n"/>
      <c r="Z34" s="50" t="n"/>
      <c r="AA34" s="50" t="n"/>
      <c r="AB34" s="50" t="n"/>
      <c r="AC34" s="50" t="n"/>
      <c r="AD34" s="50" t="n"/>
      <c r="AE34" s="50" t="n"/>
      <c r="AF34" s="50" t="n"/>
      <c r="AG34" s="50" t="n"/>
      <c r="AH34" s="50" t="n"/>
      <c r="AI34" s="50" t="n"/>
      <c r="AJ34" s="50" t="n"/>
      <c r="AK34" s="50" t="n"/>
      <c r="AL34" s="50" t="n"/>
    </row>
    <row r="35" customFormat="1" s="350">
      <c r="B35" s="357" t="n"/>
      <c r="C35" s="124" t="n"/>
      <c r="K35" s="127" t="n"/>
      <c r="L35" s="59" t="n"/>
      <c r="N35" s="50" t="n"/>
      <c r="O35" s="50" t="n"/>
      <c r="P35" s="50" t="n"/>
      <c r="Q35" s="50" t="n"/>
      <c r="R35" s="50" t="n"/>
      <c r="S35" s="50" t="n"/>
      <c r="T35" s="50" t="n"/>
      <c r="U35" s="50" t="n"/>
      <c r="V35" s="50" t="n"/>
      <c r="W35" s="50" t="n"/>
      <c r="X35" s="50" t="n"/>
      <c r="Y35" s="50" t="n"/>
      <c r="Z35" s="50" t="n"/>
      <c r="AA35" s="50" t="n"/>
      <c r="AB35" s="50" t="n"/>
      <c r="AC35" s="50" t="n"/>
      <c r="AD35" s="50" t="n"/>
      <c r="AE35" s="50" t="n"/>
      <c r="AF35" s="50" t="n"/>
      <c r="AG35" s="50" t="n"/>
      <c r="AH35" s="50" t="n"/>
      <c r="AI35" s="50" t="n"/>
      <c r="AJ35" s="50" t="n"/>
      <c r="AK35" s="50" t="n"/>
      <c r="AL35" s="50" t="n"/>
    </row>
    <row r="36" customFormat="1" s="350">
      <c r="B36" s="357" t="n"/>
      <c r="C36" s="124" t="n"/>
      <c r="K36" s="127" t="n"/>
      <c r="L36" s="59" t="n"/>
      <c r="N36" s="50" t="n"/>
      <c r="O36" s="50" t="n"/>
      <c r="P36" s="50" t="n"/>
      <c r="Q36" s="50" t="n"/>
      <c r="R36" s="50" t="n"/>
      <c r="S36" s="50" t="n"/>
      <c r="T36" s="50" t="n"/>
      <c r="U36" s="50" t="n"/>
      <c r="V36" s="50" t="n"/>
      <c r="W36" s="50" t="n"/>
      <c r="X36" s="50" t="n"/>
      <c r="Y36" s="50" t="n"/>
      <c r="Z36" s="50" t="n"/>
      <c r="AA36" s="50" t="n"/>
      <c r="AB36" s="50" t="n"/>
      <c r="AC36" s="50" t="n"/>
      <c r="AD36" s="50" t="n"/>
      <c r="AE36" s="50" t="n"/>
      <c r="AF36" s="50" t="n"/>
      <c r="AG36" s="50" t="n"/>
      <c r="AH36" s="50" t="n"/>
      <c r="AI36" s="50" t="n"/>
      <c r="AJ36" s="50" t="n"/>
      <c r="AK36" s="50" t="n"/>
      <c r="AL36" s="50" t="n"/>
    </row>
    <row r="37" customFormat="1" s="350">
      <c r="B37" s="357" t="n"/>
      <c r="C37" s="124" t="n"/>
      <c r="K37" s="127" t="n"/>
      <c r="L37" s="59" t="n"/>
      <c r="N37" s="50" t="n"/>
      <c r="O37" s="50" t="n"/>
      <c r="P37" s="50" t="n"/>
      <c r="Q37" s="50" t="n"/>
      <c r="R37" s="50" t="n"/>
      <c r="S37" s="50" t="n"/>
      <c r="T37" s="50" t="n"/>
      <c r="U37" s="50" t="n"/>
      <c r="V37" s="50" t="n"/>
      <c r="W37" s="50" t="n"/>
      <c r="X37" s="50" t="n"/>
      <c r="Y37" s="50" t="n"/>
      <c r="Z37" s="50" t="n"/>
      <c r="AA37" s="50" t="n"/>
      <c r="AB37" s="50" t="n"/>
      <c r="AC37" s="50" t="n"/>
      <c r="AD37" s="50" t="n"/>
      <c r="AE37" s="50" t="n"/>
      <c r="AF37" s="50" t="n"/>
      <c r="AG37" s="50" t="n"/>
      <c r="AH37" s="50" t="n"/>
      <c r="AI37" s="50" t="n"/>
      <c r="AJ37" s="50" t="n"/>
      <c r="AK37" s="50" t="n"/>
      <c r="AL37" s="50" t="n"/>
    </row>
    <row r="38" customFormat="1" s="350">
      <c r="B38" s="357" t="n"/>
      <c r="C38" s="124" t="n"/>
      <c r="K38" s="127" t="n"/>
      <c r="L38" s="59" t="n"/>
      <c r="N38" s="50" t="n"/>
      <c r="O38" s="50" t="n"/>
      <c r="P38" s="50" t="n"/>
      <c r="Q38" s="50" t="n"/>
      <c r="R38" s="50" t="n"/>
      <c r="S38" s="50" t="n"/>
      <c r="T38" s="50" t="n"/>
      <c r="U38" s="50" t="n"/>
      <c r="V38" s="50" t="n"/>
      <c r="W38" s="50" t="n"/>
      <c r="X38" s="50" t="n"/>
      <c r="Y38" s="50" t="n"/>
      <c r="Z38" s="50" t="n"/>
      <c r="AA38" s="50" t="n"/>
      <c r="AB38" s="50" t="n"/>
      <c r="AC38" s="50" t="n"/>
      <c r="AD38" s="50" t="n"/>
      <c r="AE38" s="50" t="n"/>
      <c r="AF38" s="50" t="n"/>
      <c r="AG38" s="50" t="n"/>
      <c r="AH38" s="50" t="n"/>
      <c r="AI38" s="50" t="n"/>
      <c r="AJ38" s="50" t="n"/>
      <c r="AK38" s="50" t="n"/>
      <c r="AL38" s="50" t="n"/>
    </row>
    <row r="39" customFormat="1" s="350">
      <c r="B39" s="357" t="n"/>
      <c r="C39" s="124" t="n"/>
      <c r="K39" s="127" t="n"/>
      <c r="L39" s="59" t="n"/>
      <c r="N39" s="50" t="n"/>
      <c r="O39" s="50" t="n"/>
      <c r="P39" s="50" t="n"/>
      <c r="Q39" s="50" t="n"/>
      <c r="R39" s="50" t="n"/>
      <c r="S39" s="50" t="n"/>
      <c r="T39" s="50" t="n"/>
      <c r="U39" s="50" t="n"/>
      <c r="V39" s="50" t="n"/>
      <c r="W39" s="50" t="n"/>
      <c r="X39" s="50" t="n"/>
      <c r="Y39" s="50" t="n"/>
      <c r="Z39" s="50" t="n"/>
      <c r="AA39" s="50" t="n"/>
      <c r="AB39" s="50" t="n"/>
      <c r="AC39" s="50" t="n"/>
      <c r="AD39" s="50" t="n"/>
      <c r="AE39" s="50" t="n"/>
      <c r="AF39" s="50" t="n"/>
      <c r="AG39" s="50" t="n"/>
      <c r="AH39" s="50" t="n"/>
      <c r="AI39" s="50" t="n"/>
      <c r="AJ39" s="50" t="n"/>
      <c r="AK39" s="50" t="n"/>
      <c r="AL39" s="50" t="n"/>
    </row>
    <row r="40" customFormat="1" s="350">
      <c r="B40" s="357" t="n"/>
      <c r="C40" s="124" t="n"/>
      <c r="K40" s="127" t="n"/>
      <c r="L40" s="59" t="n"/>
      <c r="N40" s="50" t="n"/>
      <c r="O40" s="50" t="n"/>
      <c r="P40" s="50" t="n"/>
      <c r="Q40" s="50" t="n"/>
      <c r="R40" s="50" t="n"/>
      <c r="S40" s="50" t="n"/>
      <c r="T40" s="50" t="n"/>
      <c r="U40" s="50" t="n"/>
      <c r="V40" s="50" t="n"/>
      <c r="W40" s="50" t="n"/>
      <c r="X40" s="50" t="n"/>
      <c r="Y40" s="50" t="n"/>
      <c r="Z40" s="50" t="n"/>
      <c r="AA40" s="50" t="n"/>
      <c r="AB40" s="50" t="n"/>
      <c r="AC40" s="50" t="n"/>
      <c r="AD40" s="50" t="n"/>
      <c r="AE40" s="50" t="n"/>
      <c r="AF40" s="50" t="n"/>
      <c r="AG40" s="50" t="n"/>
      <c r="AH40" s="50" t="n"/>
      <c r="AI40" s="50" t="n"/>
      <c r="AJ40" s="50" t="n"/>
      <c r="AK40" s="50" t="n"/>
      <c r="AL40" s="50" t="n"/>
    </row>
    <row r="41" customFormat="1" s="350">
      <c r="B41" s="357" t="n"/>
      <c r="C41" s="124" t="n"/>
      <c r="K41" s="127" t="n"/>
      <c r="L41" s="59" t="n"/>
      <c r="N41" s="50" t="n"/>
      <c r="O41" s="50" t="n"/>
      <c r="P41" s="50" t="n"/>
      <c r="Q41" s="50" t="n"/>
      <c r="R41" s="50" t="n"/>
      <c r="S41" s="50" t="n"/>
      <c r="T41" s="50" t="n"/>
      <c r="U41" s="50" t="n"/>
      <c r="V41" s="50" t="n"/>
      <c r="W41" s="50" t="n"/>
      <c r="X41" s="50" t="n"/>
      <c r="Y41" s="50" t="n"/>
      <c r="Z41" s="50" t="n"/>
      <c r="AA41" s="50" t="n"/>
      <c r="AB41" s="50" t="n"/>
      <c r="AC41" s="50" t="n"/>
      <c r="AD41" s="50" t="n"/>
      <c r="AE41" s="50" t="n"/>
      <c r="AF41" s="50" t="n"/>
      <c r="AG41" s="50" t="n"/>
      <c r="AH41" s="50" t="n"/>
      <c r="AI41" s="50" t="n"/>
      <c r="AJ41" s="50" t="n"/>
      <c r="AK41" s="50" t="n"/>
      <c r="AL41" s="50" t="n"/>
    </row>
    <row r="42" customFormat="1" s="350">
      <c r="B42" s="357" t="n"/>
      <c r="C42" s="124" t="n"/>
      <c r="K42" s="127" t="n"/>
      <c r="L42" s="59" t="n"/>
      <c r="N42" s="50" t="n"/>
      <c r="O42" s="50" t="n"/>
      <c r="P42" s="50" t="n"/>
      <c r="Q42" s="50" t="n"/>
      <c r="R42" s="50" t="n"/>
      <c r="S42" s="50" t="n"/>
      <c r="T42" s="50" t="n"/>
      <c r="U42" s="50" t="n"/>
      <c r="V42" s="50" t="n"/>
      <c r="W42" s="50" t="n"/>
      <c r="X42" s="50" t="n"/>
      <c r="Y42" s="50" t="n"/>
      <c r="Z42" s="50" t="n"/>
      <c r="AA42" s="50" t="n"/>
      <c r="AB42" s="50" t="n"/>
      <c r="AC42" s="50" t="n"/>
      <c r="AD42" s="50" t="n"/>
      <c r="AE42" s="50" t="n"/>
      <c r="AF42" s="50" t="n"/>
      <c r="AG42" s="50" t="n"/>
      <c r="AH42" s="50" t="n"/>
      <c r="AI42" s="50" t="n"/>
      <c r="AJ42" s="50" t="n"/>
      <c r="AK42" s="50" t="n"/>
      <c r="AL42" s="50" t="n"/>
    </row>
    <row r="43" customFormat="1" s="350">
      <c r="B43" s="357" t="n"/>
      <c r="C43" s="124" t="n"/>
      <c r="K43" s="127" t="n"/>
      <c r="L43" s="59" t="n"/>
      <c r="N43" s="50" t="n"/>
      <c r="O43" s="50" t="n"/>
      <c r="P43" s="50" t="n"/>
      <c r="Q43" s="50" t="n"/>
      <c r="R43" s="50" t="n"/>
      <c r="S43" s="50" t="n"/>
      <c r="T43" s="50" t="n"/>
      <c r="U43" s="50" t="n"/>
      <c r="V43" s="50" t="n"/>
      <c r="W43" s="50" t="n"/>
      <c r="X43" s="50" t="n"/>
      <c r="Y43" s="50" t="n"/>
      <c r="Z43" s="50" t="n"/>
      <c r="AA43" s="50" t="n"/>
      <c r="AB43" s="50" t="n"/>
      <c r="AC43" s="50" t="n"/>
      <c r="AD43" s="50" t="n"/>
      <c r="AE43" s="50" t="n"/>
      <c r="AF43" s="50" t="n"/>
      <c r="AG43" s="50" t="n"/>
      <c r="AH43" s="50" t="n"/>
      <c r="AI43" s="50" t="n"/>
      <c r="AJ43" s="50" t="n"/>
      <c r="AK43" s="50" t="n"/>
      <c r="AL43" s="50" t="n"/>
    </row>
    <row r="44" customFormat="1" s="350">
      <c r="B44" s="357" t="n"/>
      <c r="C44" s="124" t="n"/>
      <c r="K44" s="127" t="n"/>
      <c r="L44" s="59" t="n"/>
      <c r="N44" s="50" t="n"/>
      <c r="O44" s="50" t="n"/>
      <c r="P44" s="50" t="n"/>
      <c r="Q44" s="50" t="n"/>
      <c r="R44" s="50" t="n"/>
      <c r="S44" s="50" t="n"/>
      <c r="T44" s="50" t="n"/>
      <c r="U44" s="50" t="n"/>
      <c r="V44" s="50" t="n"/>
      <c r="W44" s="50" t="n"/>
      <c r="X44" s="50" t="n"/>
      <c r="Y44" s="50" t="n"/>
      <c r="Z44" s="50" t="n"/>
      <c r="AA44" s="50" t="n"/>
      <c r="AB44" s="50" t="n"/>
      <c r="AC44" s="50" t="n"/>
      <c r="AD44" s="50" t="n"/>
      <c r="AE44" s="50" t="n"/>
      <c r="AF44" s="50" t="n"/>
      <c r="AG44" s="50" t="n"/>
      <c r="AH44" s="50" t="n"/>
      <c r="AI44" s="50" t="n"/>
      <c r="AJ44" s="50" t="n"/>
      <c r="AK44" s="50" t="n"/>
      <c r="AL44" s="50" t="n"/>
    </row>
    <row r="45" customFormat="1" s="350">
      <c r="B45" s="357" t="n"/>
      <c r="C45" s="124" t="n"/>
      <c r="K45" s="127" t="n"/>
      <c r="L45" s="59" t="n"/>
      <c r="N45" s="50" t="n"/>
      <c r="O45" s="50" t="n"/>
      <c r="P45" s="50" t="n"/>
      <c r="Q45" s="50" t="n"/>
      <c r="R45" s="50" t="n"/>
      <c r="S45" s="50" t="n"/>
      <c r="T45" s="50" t="n"/>
      <c r="U45" s="50" t="n"/>
      <c r="V45" s="50" t="n"/>
      <c r="W45" s="50" t="n"/>
      <c r="X45" s="50" t="n"/>
      <c r="Y45" s="50" t="n"/>
      <c r="Z45" s="50" t="n"/>
      <c r="AA45" s="50" t="n"/>
      <c r="AB45" s="50" t="n"/>
      <c r="AC45" s="50" t="n"/>
      <c r="AD45" s="50" t="n"/>
      <c r="AE45" s="50" t="n"/>
      <c r="AF45" s="50" t="n"/>
      <c r="AG45" s="50" t="n"/>
      <c r="AH45" s="50" t="n"/>
      <c r="AI45" s="50" t="n"/>
      <c r="AJ45" s="50" t="n"/>
      <c r="AK45" s="50" t="n"/>
      <c r="AL45" s="50" t="n"/>
    </row>
    <row r="46" customFormat="1" s="350">
      <c r="B46" s="357" t="n"/>
      <c r="C46" s="124" t="n"/>
      <c r="K46" s="127" t="n"/>
      <c r="L46" s="59" t="n"/>
      <c r="N46" s="50" t="n"/>
      <c r="O46" s="50" t="n"/>
      <c r="P46" s="50" t="n"/>
      <c r="Q46" s="50" t="n"/>
      <c r="R46" s="50" t="n"/>
      <c r="S46" s="50" t="n"/>
      <c r="T46" s="50" t="n"/>
      <c r="U46" s="50" t="n"/>
      <c r="V46" s="50" t="n"/>
      <c r="W46" s="50" t="n"/>
      <c r="X46" s="50" t="n"/>
      <c r="Y46" s="50" t="n"/>
      <c r="Z46" s="50" t="n"/>
      <c r="AA46" s="50" t="n"/>
      <c r="AB46" s="50" t="n"/>
      <c r="AC46" s="50" t="n"/>
      <c r="AD46" s="50" t="n"/>
      <c r="AE46" s="50" t="n"/>
      <c r="AF46" s="50" t="n"/>
      <c r="AG46" s="50" t="n"/>
      <c r="AH46" s="50" t="n"/>
      <c r="AI46" s="50" t="n"/>
      <c r="AJ46" s="50" t="n"/>
      <c r="AK46" s="50" t="n"/>
      <c r="AL46" s="50" t="n"/>
    </row>
    <row r="47" customFormat="1" s="350">
      <c r="B47" s="357" t="n"/>
      <c r="C47" s="124" t="n"/>
      <c r="K47" s="127" t="n"/>
      <c r="L47" s="59" t="n"/>
      <c r="N47" s="50" t="n"/>
      <c r="O47" s="50" t="n"/>
      <c r="P47" s="50" t="n"/>
      <c r="Q47" s="50" t="n"/>
      <c r="R47" s="50" t="n"/>
      <c r="S47" s="50" t="n"/>
      <c r="T47" s="50" t="n"/>
      <c r="U47" s="50" t="n"/>
      <c r="V47" s="50" t="n"/>
      <c r="W47" s="50" t="n"/>
      <c r="X47" s="50" t="n"/>
      <c r="Y47" s="50" t="n"/>
      <c r="Z47" s="50" t="n"/>
      <c r="AA47" s="50" t="n"/>
      <c r="AB47" s="50" t="n"/>
      <c r="AC47" s="50" t="n"/>
      <c r="AD47" s="50" t="n"/>
      <c r="AE47" s="50" t="n"/>
      <c r="AF47" s="50" t="n"/>
      <c r="AG47" s="50" t="n"/>
      <c r="AH47" s="50" t="n"/>
      <c r="AI47" s="50" t="n"/>
      <c r="AJ47" s="50" t="n"/>
      <c r="AK47" s="50" t="n"/>
      <c r="AL47" s="50" t="n"/>
    </row>
    <row r="48" customFormat="1" s="350">
      <c r="B48" s="357" t="n"/>
      <c r="C48" s="124" t="n"/>
      <c r="K48" s="127" t="n"/>
      <c r="L48" s="59" t="n"/>
      <c r="N48" s="50" t="n"/>
      <c r="O48" s="50" t="n"/>
      <c r="P48" s="50" t="n"/>
      <c r="Q48" s="50" t="n"/>
      <c r="R48" s="50" t="n"/>
      <c r="S48" s="50" t="n"/>
      <c r="T48" s="50" t="n"/>
      <c r="U48" s="50" t="n"/>
      <c r="V48" s="50" t="n"/>
      <c r="W48" s="50" t="n"/>
      <c r="X48" s="50" t="n"/>
      <c r="Y48" s="50" t="n"/>
      <c r="Z48" s="50" t="n"/>
      <c r="AA48" s="50" t="n"/>
      <c r="AB48" s="50" t="n"/>
      <c r="AC48" s="50" t="n"/>
      <c r="AD48" s="50" t="n"/>
      <c r="AE48" s="50" t="n"/>
      <c r="AF48" s="50" t="n"/>
      <c r="AG48" s="50" t="n"/>
      <c r="AH48" s="50" t="n"/>
      <c r="AI48" s="50" t="n"/>
      <c r="AJ48" s="50" t="n"/>
      <c r="AK48" s="50" t="n"/>
      <c r="AL48" s="50" t="n"/>
    </row>
    <row r="49" customFormat="1" s="350">
      <c r="B49" s="357" t="n"/>
      <c r="C49" s="124" t="n"/>
      <c r="K49" s="127" t="n"/>
      <c r="L49" s="59" t="n"/>
      <c r="N49" s="50" t="n"/>
      <c r="O49" s="50" t="n"/>
      <c r="P49" s="50" t="n"/>
      <c r="Q49" s="50" t="n"/>
      <c r="R49" s="50" t="n"/>
      <c r="S49" s="50" t="n"/>
      <c r="T49" s="50" t="n"/>
      <c r="U49" s="50" t="n"/>
      <c r="V49" s="50" t="n"/>
      <c r="W49" s="50" t="n"/>
      <c r="X49" s="50" t="n"/>
      <c r="Y49" s="50" t="n"/>
      <c r="Z49" s="50" t="n"/>
      <c r="AA49" s="50" t="n"/>
      <c r="AB49" s="50" t="n"/>
      <c r="AC49" s="50" t="n"/>
      <c r="AD49" s="50" t="n"/>
      <c r="AE49" s="50" t="n"/>
      <c r="AF49" s="50" t="n"/>
      <c r="AG49" s="50" t="n"/>
      <c r="AH49" s="50" t="n"/>
      <c r="AI49" s="50" t="n"/>
      <c r="AJ49" s="50" t="n"/>
      <c r="AK49" s="50" t="n"/>
      <c r="AL49" s="50" t="n"/>
    </row>
    <row r="50" customFormat="1" s="350">
      <c r="B50" s="357" t="n"/>
      <c r="C50" s="124" t="n"/>
      <c r="K50" s="127" t="n"/>
      <c r="L50" s="59" t="n"/>
      <c r="N50" s="50" t="n"/>
      <c r="O50" s="50" t="n"/>
      <c r="P50" s="50" t="n"/>
      <c r="Q50" s="50" t="n"/>
      <c r="R50" s="50" t="n"/>
      <c r="S50" s="50" t="n"/>
      <c r="T50" s="50" t="n"/>
      <c r="U50" s="50" t="n"/>
      <c r="V50" s="50" t="n"/>
      <c r="W50" s="50" t="n"/>
      <c r="X50" s="50" t="n"/>
      <c r="Y50" s="50" t="n"/>
      <c r="Z50" s="50" t="n"/>
      <c r="AA50" s="50" t="n"/>
      <c r="AB50" s="50" t="n"/>
      <c r="AC50" s="50" t="n"/>
      <c r="AD50" s="50" t="n"/>
      <c r="AE50" s="50" t="n"/>
      <c r="AF50" s="50" t="n"/>
      <c r="AG50" s="50" t="n"/>
      <c r="AH50" s="50" t="n"/>
      <c r="AI50" s="50" t="n"/>
      <c r="AJ50" s="50" t="n"/>
      <c r="AK50" s="50" t="n"/>
      <c r="AL50" s="50" t="n"/>
    </row>
    <row r="51" ht="13.5" customFormat="1" customHeight="1" s="350" thickBot="1">
      <c r="B51" s="357" t="n"/>
      <c r="C51" s="187" t="n"/>
      <c r="D51" s="188" t="n"/>
      <c r="E51" s="188" t="n"/>
      <c r="F51" s="188" t="n"/>
      <c r="G51" s="188" t="n"/>
      <c r="H51" s="188" t="n"/>
      <c r="I51" s="188" t="n"/>
      <c r="J51" s="188" t="n"/>
      <c r="K51" s="190" t="n"/>
      <c r="L51" s="359" t="n"/>
      <c r="N51" s="50" t="n"/>
      <c r="O51" s="50" t="n"/>
      <c r="P51" s="50" t="n"/>
      <c r="Q51" s="50" t="n"/>
      <c r="R51" s="50" t="n"/>
      <c r="S51" s="50" t="n"/>
      <c r="T51" s="50" t="n"/>
      <c r="U51" s="50" t="n"/>
      <c r="V51" s="50" t="n"/>
      <c r="W51" s="50" t="n"/>
      <c r="X51" s="50" t="n"/>
      <c r="Y51" s="50" t="n"/>
      <c r="Z51" s="50" t="n"/>
      <c r="AA51" s="50" t="n"/>
      <c r="AB51" s="50" t="n"/>
      <c r="AC51" s="50" t="n"/>
      <c r="AD51" s="50" t="n"/>
      <c r="AE51" s="50" t="n"/>
      <c r="AF51" s="50" t="n"/>
      <c r="AG51" s="50" t="n"/>
      <c r="AH51" s="50" t="n"/>
      <c r="AI51" s="50" t="n"/>
      <c r="AJ51" s="50" t="n"/>
      <c r="AK51" s="50" t="n"/>
      <c r="AL51" s="50" t="n"/>
    </row>
    <row r="52" ht="13.5" customFormat="1" customHeight="1" s="350" thickBot="1">
      <c r="B52" s="357" t="n"/>
      <c r="C52" s="358" t="n"/>
      <c r="D52" s="358" t="n"/>
      <c r="E52" s="358" t="n"/>
      <c r="F52" s="358" t="n"/>
      <c r="G52" s="358" t="n"/>
      <c r="H52" s="358" t="n"/>
      <c r="I52" s="358" t="n"/>
      <c r="J52" s="358" t="n"/>
      <c r="K52" s="358" t="n"/>
      <c r="L52" s="359" t="n"/>
      <c r="N52" s="50" t="n"/>
      <c r="O52" s="50" t="n"/>
      <c r="P52" s="50" t="n"/>
      <c r="Q52" s="50" t="n"/>
      <c r="R52" s="50" t="n"/>
      <c r="S52" s="50" t="n"/>
      <c r="T52" s="50" t="n"/>
      <c r="U52" s="50" t="n"/>
      <c r="V52" s="50" t="n"/>
      <c r="W52" s="50" t="n"/>
      <c r="X52" s="50" t="n"/>
      <c r="Y52" s="50" t="n"/>
      <c r="Z52" s="50" t="n"/>
      <c r="AA52" s="50" t="n"/>
      <c r="AB52" s="50" t="n"/>
      <c r="AC52" s="50" t="n"/>
      <c r="AD52" s="50" t="n"/>
      <c r="AE52" s="50" t="n"/>
      <c r="AF52" s="50" t="n"/>
      <c r="AG52" s="50" t="n"/>
      <c r="AH52" s="50" t="n"/>
      <c r="AI52" s="50" t="n"/>
      <c r="AJ52" s="50" t="n"/>
      <c r="AK52" s="50" t="n"/>
      <c r="AL52" s="50" t="n"/>
    </row>
    <row r="53" ht="13.5" customFormat="1" customHeight="1" s="350" thickBot="1">
      <c r="B53" s="357" t="n"/>
      <c r="C53" s="366" t="inlineStr">
        <is>
          <t>Scope</t>
        </is>
      </c>
      <c r="D53" s="367" t="n"/>
      <c r="E53" s="367" t="n"/>
      <c r="F53" s="367" t="n"/>
      <c r="G53" s="367" t="n"/>
      <c r="H53" s="367" t="n"/>
      <c r="I53" s="367" t="n"/>
      <c r="J53" s="367" t="n"/>
      <c r="K53" s="368" t="n"/>
      <c r="L53" s="359" t="n"/>
      <c r="N53" s="50" t="n"/>
      <c r="O53" s="50" t="n"/>
      <c r="P53" s="50" t="n"/>
      <c r="Q53" s="50" t="n"/>
      <c r="R53" s="50" t="n"/>
      <c r="S53" s="50" t="n"/>
      <c r="T53" s="50" t="n"/>
      <c r="U53" s="50" t="n"/>
      <c r="V53" s="50" t="n"/>
      <c r="W53" s="50" t="n"/>
      <c r="X53" s="50" t="n"/>
      <c r="Y53" s="50" t="n"/>
      <c r="Z53" s="50" t="n"/>
      <c r="AA53" s="50" t="n"/>
      <c r="AB53" s="50" t="n"/>
      <c r="AC53" s="50" t="n"/>
      <c r="AD53" s="50" t="n"/>
      <c r="AE53" s="50" t="n"/>
      <c r="AF53" s="50" t="n"/>
      <c r="AG53" s="50" t="n"/>
      <c r="AH53" s="50" t="n"/>
      <c r="AI53" s="50" t="n"/>
      <c r="AJ53" s="50" t="n"/>
      <c r="AK53" s="50" t="n"/>
      <c r="AL53" s="50" t="n"/>
    </row>
    <row r="54" customFormat="1" s="350">
      <c r="B54" s="357" t="n"/>
      <c r="C54" s="555" t="inlineStr">
        <is>
          <t>Types of group scope that can be assigned to a component
1) Designing and performing further audit procedures on the entire financial information of the component (aka full scope);
2) Designing and performing further audit procedures on one or more classes of transactions, account balances or disclosures (aka specific scope); 
3) Performing GET instructed engagement procedures (GET procedures) (aka previously referred to as specified procedures with report of factual findings). 
Other audit procedures on group level
In rare instances, a group may be comprised of a large number of components whose financial information is individually immaterial but material in the aggregate to the group financial statements. Under these circumstances, the selection of additional components for scoping purposes may not be practical. In such a case, the group auditor may perform other audit procedures on group level to mitigate the risk of material misstatement on group level to an acceptable level. 
For additional guidance on assigning scope please refer to tab: 'Scope decision tree'</t>
        </is>
      </c>
      <c r="D54" s="556" t="n"/>
      <c r="E54" s="556" t="n"/>
      <c r="F54" s="556" t="n"/>
      <c r="G54" s="556" t="n"/>
      <c r="H54" s="556" t="n"/>
      <c r="I54" s="556" t="n"/>
      <c r="J54" s="556" t="n"/>
      <c r="K54" s="557" t="n"/>
      <c r="L54" s="359" t="n"/>
      <c r="N54" s="50" t="n"/>
      <c r="O54" s="50" t="n"/>
      <c r="P54" s="50" t="n"/>
      <c r="Q54" s="50" t="n"/>
      <c r="R54" s="50" t="n"/>
      <c r="S54" s="50" t="n"/>
      <c r="T54" s="50" t="n"/>
      <c r="U54" s="50" t="n"/>
      <c r="V54" s="50" t="n"/>
      <c r="W54" s="50" t="n"/>
      <c r="X54" s="50" t="n"/>
      <c r="Y54" s="50" t="n"/>
      <c r="Z54" s="50" t="n"/>
      <c r="AA54" s="50" t="n"/>
      <c r="AB54" s="50" t="n"/>
      <c r="AC54" s="50" t="n"/>
      <c r="AD54" s="50" t="n"/>
      <c r="AE54" s="50" t="n"/>
      <c r="AF54" s="50" t="n"/>
      <c r="AG54" s="50" t="n"/>
      <c r="AH54" s="50" t="n"/>
      <c r="AI54" s="50" t="n"/>
      <c r="AJ54" s="50" t="n"/>
      <c r="AK54" s="50" t="n"/>
      <c r="AL54" s="50" t="n"/>
    </row>
    <row r="55" customFormat="1" s="350">
      <c r="B55" s="357" t="n"/>
      <c r="C55" s="124" t="n"/>
      <c r="K55" s="127" t="n"/>
      <c r="L55" s="359" t="n"/>
      <c r="N55" s="50" t="n"/>
      <c r="O55" s="50" t="n"/>
      <c r="P55" s="50" t="n"/>
      <c r="Q55" s="50" t="n"/>
      <c r="R55" s="50" t="n"/>
      <c r="S55" s="50" t="n"/>
      <c r="T55" s="50" t="n"/>
      <c r="U55" s="50" t="n"/>
      <c r="V55" s="50" t="n"/>
      <c r="W55" s="50" t="n"/>
      <c r="X55" s="50" t="n"/>
      <c r="Y55" s="50" t="n"/>
      <c r="Z55" s="50" t="n"/>
      <c r="AA55" s="50" t="n"/>
      <c r="AB55" s="50" t="n"/>
      <c r="AC55" s="50" t="n"/>
      <c r="AD55" s="50" t="n"/>
      <c r="AE55" s="50" t="n"/>
      <c r="AF55" s="50" t="n"/>
      <c r="AG55" s="50" t="n"/>
      <c r="AH55" s="50" t="n"/>
      <c r="AI55" s="50" t="n"/>
      <c r="AJ55" s="50" t="n"/>
      <c r="AK55" s="50" t="n"/>
      <c r="AL55" s="50" t="n"/>
    </row>
    <row r="56" customFormat="1" s="350">
      <c r="B56" s="357" t="n"/>
      <c r="C56" s="124" t="n"/>
      <c r="K56" s="127" t="n"/>
      <c r="L56" s="359" t="n"/>
      <c r="N56" s="50" t="n"/>
      <c r="O56" s="50" t="n"/>
      <c r="P56" s="50" t="n"/>
      <c r="Q56" s="50" t="n"/>
      <c r="R56" s="50" t="n"/>
      <c r="S56" s="50" t="n"/>
      <c r="T56" s="50" t="n"/>
      <c r="U56" s="50" t="n"/>
      <c r="V56" s="50" t="n"/>
      <c r="W56" s="50" t="n"/>
      <c r="X56" s="50" t="n"/>
      <c r="Y56" s="50" t="n"/>
      <c r="Z56" s="50" t="n"/>
      <c r="AA56" s="50" t="n"/>
      <c r="AB56" s="50" t="n"/>
      <c r="AC56" s="50" t="n"/>
      <c r="AD56" s="50" t="n"/>
      <c r="AE56" s="50" t="n"/>
      <c r="AF56" s="50" t="n"/>
      <c r="AG56" s="50" t="n"/>
      <c r="AH56" s="50" t="n"/>
      <c r="AI56" s="50" t="n"/>
      <c r="AJ56" s="50" t="n"/>
      <c r="AK56" s="50" t="n"/>
      <c r="AL56" s="50" t="n"/>
    </row>
    <row r="57">
      <c r="B57" s="357" t="n"/>
      <c r="C57" s="124" t="n"/>
      <c r="K57" s="127" t="n"/>
      <c r="L57" s="359" t="n"/>
    </row>
    <row r="58">
      <c r="B58" s="357" t="n"/>
      <c r="C58" s="124" t="n"/>
      <c r="K58" s="127" t="n"/>
      <c r="L58" s="359" t="n"/>
    </row>
    <row r="59">
      <c r="B59" s="357" t="n"/>
      <c r="C59" s="124" t="n"/>
      <c r="K59" s="127" t="n"/>
      <c r="L59" s="359" t="n"/>
    </row>
    <row r="60">
      <c r="B60" s="357" t="n"/>
      <c r="C60" s="124" t="n"/>
      <c r="K60" s="127" t="n"/>
      <c r="L60" s="359" t="n"/>
    </row>
    <row r="61">
      <c r="B61" s="357" t="n"/>
      <c r="C61" s="124" t="n"/>
      <c r="K61" s="127" t="n"/>
      <c r="L61" s="359" t="n"/>
    </row>
    <row r="62">
      <c r="B62" s="357" t="n"/>
      <c r="C62" s="124" t="n"/>
      <c r="K62" s="127" t="n"/>
      <c r="L62" s="359" t="n"/>
    </row>
    <row r="63">
      <c r="B63" s="357" t="n"/>
      <c r="C63" s="124" t="n"/>
      <c r="K63" s="127" t="n"/>
      <c r="L63" s="359" t="n"/>
    </row>
    <row r="64">
      <c r="B64" s="357" t="n"/>
      <c r="C64" s="124" t="n"/>
      <c r="K64" s="127" t="n"/>
      <c r="L64" s="359" t="n"/>
    </row>
    <row r="65" ht="13.5" customHeight="1" thickBot="1">
      <c r="B65" s="357" t="n"/>
      <c r="C65" s="187" t="n"/>
      <c r="D65" s="188" t="n"/>
      <c r="E65" s="188" t="n"/>
      <c r="F65" s="188" t="n"/>
      <c r="G65" s="188" t="n"/>
      <c r="H65" s="188" t="n"/>
      <c r="I65" s="188" t="n"/>
      <c r="J65" s="188" t="n"/>
      <c r="K65" s="190" t="n"/>
      <c r="L65" s="359" t="n"/>
    </row>
    <row r="66" ht="13.5" customHeight="1" thickBot="1">
      <c r="B66" s="357" t="n"/>
      <c r="C66" s="358" t="n"/>
      <c r="D66" s="358" t="n"/>
      <c r="E66" s="358" t="n"/>
      <c r="F66" s="358" t="n"/>
      <c r="G66" s="358" t="n"/>
      <c r="H66" s="358" t="n"/>
      <c r="I66" s="358" t="n"/>
      <c r="J66" s="358" t="n"/>
      <c r="K66" s="358" t="n"/>
      <c r="L66" s="359" t="n"/>
    </row>
    <row r="67" ht="13.5" customHeight="1" thickBot="1">
      <c r="B67" s="357" t="n"/>
      <c r="C67" s="366" t="inlineStr">
        <is>
          <t>Approach to group audit plan and strategy</t>
        </is>
      </c>
      <c r="D67" s="367" t="n"/>
      <c r="E67" s="367" t="n"/>
      <c r="F67" s="367" t="n"/>
      <c r="G67" s="367" t="n"/>
      <c r="H67" s="367" t="n"/>
      <c r="I67" s="367" t="n"/>
      <c r="J67" s="367" t="n"/>
      <c r="K67" s="368" t="n"/>
      <c r="L67" s="359" t="n"/>
    </row>
    <row r="68" ht="12.75" customHeight="1">
      <c r="B68" s="357" t="n"/>
      <c r="C68" s="558" t="inlineStr">
        <is>
          <t>The following chart summarizes the approach to group audit plan and strategy:</t>
        </is>
      </c>
      <c r="D68" s="556" t="n"/>
      <c r="E68" s="556" t="n"/>
      <c r="F68" s="556" t="n"/>
      <c r="G68" s="556" t="n"/>
      <c r="H68" s="556" t="n"/>
      <c r="I68" s="556" t="n"/>
      <c r="J68" s="556" t="n"/>
      <c r="K68" s="557" t="n"/>
      <c r="L68" s="359" t="n"/>
    </row>
    <row r="69">
      <c r="B69" s="357" t="n"/>
      <c r="C69" s="124" t="n"/>
      <c r="K69" s="127" t="n"/>
      <c r="L69" s="359" t="n"/>
    </row>
    <row r="70">
      <c r="B70" s="357" t="n"/>
      <c r="C70" s="124" t="n"/>
      <c r="K70" s="127" t="n"/>
      <c r="L70" s="359" t="n"/>
    </row>
    <row r="71">
      <c r="B71" s="357" t="n"/>
      <c r="C71" s="371" t="n"/>
      <c r="D71" s="372" t="n"/>
      <c r="E71" s="372" t="n"/>
      <c r="F71" s="372" t="n"/>
      <c r="G71" s="372" t="n"/>
      <c r="H71" s="372" t="n"/>
      <c r="I71" s="372" t="n"/>
      <c r="J71" s="372" t="n"/>
      <c r="K71" s="373" t="n"/>
      <c r="L71" s="359" t="n"/>
    </row>
    <row r="72">
      <c r="B72" s="357" t="n"/>
      <c r="C72" s="371" t="n"/>
      <c r="D72" s="372" t="n"/>
      <c r="E72" s="372" t="n"/>
      <c r="F72" s="372" t="n"/>
      <c r="G72" s="372" t="n"/>
      <c r="H72" s="372" t="n"/>
      <c r="I72" s="372" t="n"/>
      <c r="J72" s="372" t="n"/>
      <c r="K72" s="373" t="n"/>
      <c r="L72" s="359" t="n"/>
    </row>
    <row r="73">
      <c r="B73" s="357" t="n"/>
      <c r="C73" s="371" t="n"/>
      <c r="D73" s="372" t="n"/>
      <c r="E73" s="372" t="n"/>
      <c r="F73" s="372" t="n"/>
      <c r="G73" s="372" t="n"/>
      <c r="H73" s="372" t="n"/>
      <c r="I73" s="372" t="n"/>
      <c r="J73" s="372" t="n"/>
      <c r="K73" s="373" t="n"/>
      <c r="L73" s="359" t="n"/>
    </row>
    <row r="74">
      <c r="B74" s="357" t="n"/>
      <c r="C74" s="371" t="n"/>
      <c r="D74" s="372" t="n"/>
      <c r="E74" s="372" t="n"/>
      <c r="F74" s="372" t="n"/>
      <c r="G74" s="372" t="n"/>
      <c r="H74" s="372" t="n"/>
      <c r="I74" s="372" t="n"/>
      <c r="J74" s="372" t="n"/>
      <c r="K74" s="373" t="n"/>
      <c r="L74" s="359" t="n"/>
    </row>
    <row r="75">
      <c r="B75" s="357" t="n"/>
      <c r="C75" s="371" t="n"/>
      <c r="D75" s="372" t="n"/>
      <c r="E75" s="372" t="n"/>
      <c r="F75" s="372" t="n"/>
      <c r="G75" s="372" t="n"/>
      <c r="H75" s="372" t="n"/>
      <c r="I75" s="372" t="n"/>
      <c r="J75" s="372" t="n"/>
      <c r="K75" s="373" t="n"/>
      <c r="L75" s="359" t="n"/>
    </row>
    <row r="76">
      <c r="B76" s="357" t="n"/>
      <c r="C76" s="371" t="n"/>
      <c r="D76" s="372" t="n"/>
      <c r="E76" s="372" t="n"/>
      <c r="F76" s="372" t="n"/>
      <c r="G76" s="372" t="n"/>
      <c r="H76" s="372" t="n"/>
      <c r="I76" s="372" t="n"/>
      <c r="J76" s="372" t="n"/>
      <c r="K76" s="373" t="n"/>
      <c r="L76" s="359" t="n"/>
    </row>
    <row r="77">
      <c r="B77" s="357" t="n"/>
      <c r="C77" s="371" t="n"/>
      <c r="D77" s="372" t="n"/>
      <c r="E77" s="372" t="n"/>
      <c r="F77" s="372" t="n"/>
      <c r="G77" s="372" t="n"/>
      <c r="H77" s="372" t="n"/>
      <c r="I77" s="372" t="n"/>
      <c r="J77" s="372" t="n"/>
      <c r="K77" s="373" t="n"/>
      <c r="L77" s="359" t="n"/>
    </row>
    <row r="78">
      <c r="B78" s="357" t="n"/>
      <c r="C78" s="371" t="n"/>
      <c r="D78" s="372" t="n"/>
      <c r="E78" s="372" t="n"/>
      <c r="F78" s="372" t="n"/>
      <c r="G78" s="372" t="n"/>
      <c r="H78" s="372" t="n"/>
      <c r="I78" s="372" t="n"/>
      <c r="J78" s="372" t="n"/>
      <c r="K78" s="373" t="n"/>
      <c r="L78" s="359" t="n"/>
    </row>
    <row r="79">
      <c r="B79" s="357" t="n"/>
      <c r="C79" s="371" t="n"/>
      <c r="D79" s="372" t="n"/>
      <c r="E79" s="372" t="n"/>
      <c r="F79" s="372" t="n"/>
      <c r="G79" s="372" t="n"/>
      <c r="H79" s="372" t="n"/>
      <c r="I79" s="372" t="n"/>
      <c r="J79" s="372" t="n"/>
      <c r="K79" s="373" t="n"/>
      <c r="L79" s="359" t="n"/>
    </row>
    <row r="80">
      <c r="B80" s="357" t="n"/>
      <c r="C80" s="371" t="n"/>
      <c r="D80" s="372" t="n"/>
      <c r="E80" s="372" t="n"/>
      <c r="F80" s="372" t="n"/>
      <c r="G80" s="372" t="n"/>
      <c r="H80" s="372" t="n"/>
      <c r="I80" s="372" t="n"/>
      <c r="J80" s="372" t="n"/>
      <c r="K80" s="373" t="n"/>
      <c r="L80" s="359" t="n"/>
    </row>
    <row r="81">
      <c r="B81" s="357" t="n"/>
      <c r="C81" s="371" t="n"/>
      <c r="D81" s="372" t="n"/>
      <c r="E81" s="372" t="n"/>
      <c r="F81" s="372" t="n"/>
      <c r="G81" s="372" t="n"/>
      <c r="H81" s="372" t="n"/>
      <c r="I81" s="372" t="n"/>
      <c r="J81" s="372" t="n"/>
      <c r="K81" s="373" t="n"/>
      <c r="L81" s="359" t="n"/>
    </row>
    <row r="82">
      <c r="B82" s="357" t="n"/>
      <c r="C82" s="371" t="n"/>
      <c r="D82" s="372" t="n"/>
      <c r="E82" s="372" t="n"/>
      <c r="F82" s="372" t="n"/>
      <c r="G82" s="372" t="n"/>
      <c r="H82" s="372" t="n"/>
      <c r="I82" s="372" t="n"/>
      <c r="J82" s="372" t="n"/>
      <c r="K82" s="373" t="n"/>
      <c r="L82" s="359" t="n"/>
    </row>
    <row r="83">
      <c r="B83" s="357" t="n"/>
      <c r="C83" s="371" t="n"/>
      <c r="D83" s="372" t="n"/>
      <c r="E83" s="372" t="n"/>
      <c r="F83" s="372" t="n"/>
      <c r="G83" s="372" t="n"/>
      <c r="H83" s="372" t="n"/>
      <c r="I83" s="372" t="n"/>
      <c r="J83" s="372" t="n"/>
      <c r="K83" s="373" t="n"/>
      <c r="L83" s="359" t="n"/>
    </row>
    <row r="84">
      <c r="B84" s="357" t="n"/>
      <c r="C84" s="371" t="n"/>
      <c r="D84" s="372" t="n"/>
      <c r="E84" s="372" t="n"/>
      <c r="F84" s="372" t="n"/>
      <c r="G84" s="372" t="n"/>
      <c r="H84" s="372" t="n"/>
      <c r="I84" s="372" t="n"/>
      <c r="J84" s="372" t="n"/>
      <c r="K84" s="373" t="n"/>
      <c r="L84" s="359" t="n"/>
    </row>
    <row r="85">
      <c r="B85" s="357" t="n"/>
      <c r="C85" s="371" t="n"/>
      <c r="D85" s="372" t="n"/>
      <c r="E85" s="372" t="n"/>
      <c r="F85" s="372" t="n"/>
      <c r="G85" s="372" t="n"/>
      <c r="H85" s="372" t="n"/>
      <c r="I85" s="372" t="n"/>
      <c r="J85" s="372" t="n"/>
      <c r="K85" s="373" t="n"/>
      <c r="L85" s="359" t="n"/>
    </row>
    <row r="86">
      <c r="B86" s="357" t="n"/>
      <c r="C86" s="371" t="n"/>
      <c r="D86" s="372" t="n"/>
      <c r="E86" s="372" t="n"/>
      <c r="F86" s="372" t="n"/>
      <c r="G86" s="372" t="n"/>
      <c r="H86" s="372" t="n"/>
      <c r="I86" s="372" t="n"/>
      <c r="J86" s="372" t="n"/>
      <c r="K86" s="373" t="n"/>
      <c r="L86" s="359" t="n"/>
    </row>
    <row r="87">
      <c r="B87" s="357" t="n"/>
      <c r="C87" s="371" t="n"/>
      <c r="D87" s="372" t="n"/>
      <c r="E87" s="372" t="n"/>
      <c r="F87" s="372" t="n"/>
      <c r="G87" s="372" t="n"/>
      <c r="H87" s="372" t="n"/>
      <c r="I87" s="372" t="n"/>
      <c r="J87" s="372" t="n"/>
      <c r="K87" s="373" t="n"/>
      <c r="L87" s="359" t="n"/>
    </row>
    <row r="88">
      <c r="B88" s="357" t="n"/>
      <c r="C88" s="371" t="n"/>
      <c r="D88" s="372" t="n"/>
      <c r="E88" s="372" t="n"/>
      <c r="F88" s="372" t="n"/>
      <c r="G88" s="372" t="n"/>
      <c r="H88" s="372" t="n"/>
      <c r="I88" s="372" t="n"/>
      <c r="J88" s="372" t="n"/>
      <c r="K88" s="373" t="n"/>
      <c r="L88" s="359" t="n"/>
    </row>
    <row r="89">
      <c r="B89" s="357" t="n"/>
      <c r="C89" s="371" t="n"/>
      <c r="D89" s="372" t="n"/>
      <c r="E89" s="372" t="n"/>
      <c r="F89" s="372" t="n"/>
      <c r="G89" s="372" t="n"/>
      <c r="H89" s="372" t="n"/>
      <c r="I89" s="372" t="n"/>
      <c r="J89" s="372" t="n"/>
      <c r="K89" s="373" t="n"/>
      <c r="L89" s="359" t="n"/>
    </row>
    <row r="90">
      <c r="B90" s="357" t="n"/>
      <c r="C90" s="371" t="n"/>
      <c r="D90" s="372" t="n"/>
      <c r="E90" s="372" t="n"/>
      <c r="F90" s="372" t="n"/>
      <c r="G90" s="372" t="n"/>
      <c r="H90" s="372" t="n"/>
      <c r="I90" s="372" t="n"/>
      <c r="J90" s="372" t="n"/>
      <c r="K90" s="373" t="n"/>
      <c r="L90" s="359" t="n"/>
    </row>
    <row r="91">
      <c r="B91" s="357" t="n"/>
      <c r="C91" s="371" t="n"/>
      <c r="D91" s="372" t="n"/>
      <c r="E91" s="372" t="n"/>
      <c r="F91" s="372" t="n"/>
      <c r="G91" s="372" t="n"/>
      <c r="H91" s="372" t="n"/>
      <c r="I91" s="372" t="n"/>
      <c r="J91" s="372" t="n"/>
      <c r="K91" s="373" t="n"/>
      <c r="L91" s="359" t="n"/>
    </row>
    <row r="92">
      <c r="B92" s="357" t="n"/>
      <c r="C92" s="371" t="n"/>
      <c r="D92" s="372" t="n"/>
      <c r="E92" s="372" t="n"/>
      <c r="F92" s="372" t="n"/>
      <c r="G92" s="372" t="n"/>
      <c r="H92" s="372" t="n"/>
      <c r="I92" s="372" t="n"/>
      <c r="J92" s="372" t="n"/>
      <c r="K92" s="373" t="n"/>
      <c r="L92" s="359" t="n"/>
    </row>
    <row r="93">
      <c r="B93" s="357" t="n"/>
      <c r="C93" s="371" t="n"/>
      <c r="D93" s="372" t="n"/>
      <c r="E93" s="372" t="n"/>
      <c r="F93" s="372" t="n"/>
      <c r="G93" s="372" t="n"/>
      <c r="H93" s="372" t="n"/>
      <c r="I93" s="372" t="n"/>
      <c r="J93" s="372" t="n"/>
      <c r="K93" s="373" t="n"/>
      <c r="L93" s="359" t="n"/>
    </row>
    <row r="94">
      <c r="B94" s="357" t="n"/>
      <c r="C94" s="371" t="n"/>
      <c r="D94" s="372" t="n"/>
      <c r="E94" s="372" t="n"/>
      <c r="F94" s="372" t="n"/>
      <c r="G94" s="372" t="n"/>
      <c r="H94" s="372" t="n"/>
      <c r="I94" s="372" t="n"/>
      <c r="J94" s="372" t="n"/>
      <c r="K94" s="373" t="n"/>
      <c r="L94" s="359" t="n"/>
    </row>
    <row r="95">
      <c r="B95" s="357" t="n"/>
      <c r="C95" s="371" t="n"/>
      <c r="D95" s="372" t="n"/>
      <c r="E95" s="372" t="n"/>
      <c r="F95" s="372" t="n"/>
      <c r="G95" s="372" t="n"/>
      <c r="H95" s="372" t="n"/>
      <c r="I95" s="372" t="n"/>
      <c r="J95" s="372" t="n"/>
      <c r="K95" s="373" t="n"/>
      <c r="L95" s="359" t="n"/>
    </row>
    <row r="96">
      <c r="B96" s="357" t="n"/>
      <c r="C96" s="371" t="n"/>
      <c r="D96" s="372" t="n"/>
      <c r="E96" s="372" t="n"/>
      <c r="F96" s="372" t="n"/>
      <c r="G96" s="372" t="n"/>
      <c r="H96" s="372" t="n"/>
      <c r="I96" s="372" t="n"/>
      <c r="J96" s="372" t="n"/>
      <c r="K96" s="373" t="n"/>
      <c r="L96" s="359" t="n"/>
    </row>
    <row r="97">
      <c r="B97" s="357" t="n"/>
      <c r="C97" s="371" t="n"/>
      <c r="D97" s="372" t="n"/>
      <c r="E97" s="372" t="n"/>
      <c r="F97" s="372" t="n"/>
      <c r="G97" s="372" t="n"/>
      <c r="H97" s="372" t="n"/>
      <c r="I97" s="372" t="n"/>
      <c r="J97" s="372" t="n"/>
      <c r="K97" s="373" t="n"/>
      <c r="L97" s="359" t="n"/>
    </row>
    <row r="98">
      <c r="B98" s="357" t="n"/>
      <c r="C98" s="371" t="n"/>
      <c r="D98" s="372" t="n"/>
      <c r="E98" s="372" t="n"/>
      <c r="F98" s="372" t="n"/>
      <c r="G98" s="372" t="n"/>
      <c r="H98" s="372" t="n"/>
      <c r="I98" s="372" t="n"/>
      <c r="J98" s="372" t="n"/>
      <c r="K98" s="373" t="n"/>
      <c r="L98" s="359" t="n"/>
    </row>
    <row r="99">
      <c r="B99" s="357" t="n"/>
      <c r="C99" s="371" t="n"/>
      <c r="D99" s="372" t="n"/>
      <c r="E99" s="372" t="n"/>
      <c r="F99" s="372" t="n"/>
      <c r="G99" s="372" t="n"/>
      <c r="H99" s="372" t="n"/>
      <c r="I99" s="372" t="n"/>
      <c r="J99" s="372" t="n"/>
      <c r="K99" s="373" t="n"/>
      <c r="L99" s="359" t="n"/>
    </row>
    <row r="100">
      <c r="B100" s="357" t="n"/>
      <c r="C100" s="371" t="n"/>
      <c r="D100" s="372" t="n"/>
      <c r="E100" s="372" t="n"/>
      <c r="F100" s="372" t="n"/>
      <c r="G100" s="372" t="n"/>
      <c r="H100" s="372" t="n"/>
      <c r="I100" s="372" t="n"/>
      <c r="J100" s="372" t="n"/>
      <c r="K100" s="373" t="n"/>
      <c r="L100" s="359" t="n"/>
    </row>
    <row r="101">
      <c r="B101" s="357" t="n"/>
      <c r="C101" s="371" t="n"/>
      <c r="D101" s="372" t="n"/>
      <c r="E101" s="372" t="n"/>
      <c r="F101" s="372" t="n"/>
      <c r="G101" s="372" t="n"/>
      <c r="H101" s="372" t="n"/>
      <c r="I101" s="372" t="n"/>
      <c r="J101" s="372" t="n"/>
      <c r="K101" s="373" t="n"/>
      <c r="L101" s="359" t="n"/>
    </row>
    <row r="102">
      <c r="B102" s="357" t="n"/>
      <c r="C102" s="371" t="n"/>
      <c r="D102" s="372" t="n"/>
      <c r="E102" s="372" t="n"/>
      <c r="F102" s="372" t="n"/>
      <c r="G102" s="372" t="n"/>
      <c r="H102" s="372" t="n"/>
      <c r="I102" s="372" t="n"/>
      <c r="J102" s="372" t="n"/>
      <c r="K102" s="373" t="n"/>
      <c r="L102" s="359" t="n"/>
    </row>
    <row r="103">
      <c r="B103" s="357" t="n"/>
      <c r="C103" s="371" t="n"/>
      <c r="D103" s="372" t="n"/>
      <c r="E103" s="372" t="n"/>
      <c r="F103" s="372" t="n"/>
      <c r="G103" s="372" t="n"/>
      <c r="H103" s="372" t="n"/>
      <c r="I103" s="372" t="n"/>
      <c r="J103" s="372" t="n"/>
      <c r="K103" s="373" t="n"/>
      <c r="L103" s="359" t="n"/>
    </row>
    <row r="104">
      <c r="B104" s="357" t="n"/>
      <c r="C104" s="371" t="n"/>
      <c r="D104" s="372" t="n"/>
      <c r="E104" s="372" t="n"/>
      <c r="F104" s="372" t="n"/>
      <c r="G104" s="372" t="n"/>
      <c r="H104" s="372" t="n"/>
      <c r="I104" s="372" t="n"/>
      <c r="J104" s="372" t="n"/>
      <c r="K104" s="373" t="n"/>
      <c r="L104" s="359" t="n"/>
    </row>
    <row r="105">
      <c r="B105" s="357" t="n"/>
      <c r="C105" s="371" t="n"/>
      <c r="D105" s="372" t="n"/>
      <c r="E105" s="372" t="n"/>
      <c r="F105" s="372" t="n"/>
      <c r="G105" s="372" t="n"/>
      <c r="H105" s="372" t="n"/>
      <c r="I105" s="372" t="n"/>
      <c r="J105" s="372" t="n"/>
      <c r="K105" s="373" t="n"/>
      <c r="L105" s="359" t="n"/>
    </row>
    <row r="106">
      <c r="B106" s="357" t="n"/>
      <c r="C106" s="371" t="n"/>
      <c r="D106" s="372" t="n"/>
      <c r="E106" s="372" t="n"/>
      <c r="F106" s="372" t="n"/>
      <c r="G106" s="372" t="n"/>
      <c r="H106" s="372" t="n"/>
      <c r="I106" s="372" t="n"/>
      <c r="J106" s="372" t="n"/>
      <c r="K106" s="373" t="n"/>
      <c r="L106" s="359" t="n"/>
    </row>
    <row r="107">
      <c r="B107" s="357" t="n"/>
      <c r="C107" s="371" t="n"/>
      <c r="D107" s="372" t="n"/>
      <c r="E107" s="372" t="n"/>
      <c r="F107" s="372" t="n"/>
      <c r="G107" s="372" t="n"/>
      <c r="H107" s="372" t="n"/>
      <c r="I107" s="372" t="n"/>
      <c r="J107" s="372" t="n"/>
      <c r="K107" s="373" t="n"/>
      <c r="L107" s="359" t="n"/>
    </row>
    <row r="108">
      <c r="B108" s="357" t="n"/>
      <c r="C108" s="371" t="n"/>
      <c r="D108" s="372" t="n"/>
      <c r="E108" s="372" t="n"/>
      <c r="F108" s="372" t="n"/>
      <c r="G108" s="372" t="n"/>
      <c r="H108" s="372" t="n"/>
      <c r="I108" s="372" t="n"/>
      <c r="J108" s="372" t="n"/>
      <c r="K108" s="373" t="n"/>
      <c r="L108" s="359" t="n"/>
    </row>
    <row r="109">
      <c r="B109" s="357" t="n"/>
      <c r="C109" s="371" t="n"/>
      <c r="D109" s="372" t="n"/>
      <c r="E109" s="372" t="n"/>
      <c r="F109" s="372" t="n"/>
      <c r="G109" s="372" t="n"/>
      <c r="H109" s="372" t="n"/>
      <c r="I109" s="372" t="n"/>
      <c r="J109" s="372" t="n"/>
      <c r="K109" s="373" t="n"/>
      <c r="L109" s="359" t="n"/>
    </row>
    <row r="110">
      <c r="B110" s="357" t="n"/>
      <c r="C110" s="371" t="n"/>
      <c r="D110" s="372" t="n"/>
      <c r="E110" s="372" t="n"/>
      <c r="F110" s="372" t="n"/>
      <c r="G110" s="372" t="n"/>
      <c r="H110" s="372" t="n"/>
      <c r="I110" s="372" t="n"/>
      <c r="J110" s="372" t="n"/>
      <c r="K110" s="373" t="n"/>
      <c r="L110" s="359" t="n"/>
    </row>
    <row r="111">
      <c r="B111" s="357" t="n"/>
      <c r="C111" s="559" t="inlineStr">
        <is>
          <t>Attention! In certain situations, a COTABD can sit at a lower level than an FSA therefore an FSA may include multiple COTABDs. The auditor should perform scoping on the COTABD level unless not practical. In this case scoping could be performed on the FSA level.</t>
        </is>
      </c>
      <c r="K111" s="127" t="n"/>
      <c r="L111" s="359" t="n"/>
    </row>
    <row r="112">
      <c r="B112" s="357" t="n"/>
      <c r="C112" s="124" t="n"/>
      <c r="K112" s="127" t="n"/>
      <c r="L112" s="359" t="n"/>
    </row>
    <row r="113" ht="13.5" customHeight="1" thickBot="1">
      <c r="B113" s="357" t="n"/>
      <c r="C113" s="374" t="n"/>
      <c r="D113" s="375" t="n"/>
      <c r="E113" s="375" t="n"/>
      <c r="F113" s="375" t="n"/>
      <c r="G113" s="375" t="n"/>
      <c r="H113" s="375" t="n"/>
      <c r="I113" s="375" t="n"/>
      <c r="J113" s="375" t="n"/>
      <c r="K113" s="376" t="n"/>
      <c r="L113" s="359" t="n"/>
    </row>
    <row r="114" ht="13.5" customHeight="1" thickBot="1">
      <c r="B114" s="357" t="n"/>
      <c r="C114" s="358" t="n"/>
      <c r="D114" s="358" t="n"/>
      <c r="E114" s="358" t="n"/>
      <c r="F114" s="358" t="n"/>
      <c r="G114" s="358" t="n"/>
      <c r="H114" s="358" t="n"/>
      <c r="I114" s="358" t="n"/>
      <c r="J114" s="358" t="n"/>
      <c r="K114" s="358" t="n"/>
      <c r="L114" s="359" t="n"/>
    </row>
    <row r="115" ht="13.5" customHeight="1" thickBot="1">
      <c r="B115" s="58" t="n"/>
      <c r="C115" s="366" t="inlineStr">
        <is>
          <t>Engagement Resources</t>
        </is>
      </c>
      <c r="D115" s="367" t="n"/>
      <c r="E115" s="367" t="n"/>
      <c r="F115" s="367" t="n"/>
      <c r="G115" s="367" t="n"/>
      <c r="H115" s="367" t="n"/>
      <c r="I115" s="367" t="n"/>
      <c r="J115" s="367" t="n"/>
      <c r="K115" s="368" t="n"/>
      <c r="L115" s="59" t="n"/>
    </row>
    <row r="116">
      <c r="B116" s="58" t="n"/>
      <c r="C116" s="377" t="inlineStr">
        <is>
          <t xml:space="preserve">The MAM requires the Group Engagement Partner to determine that sufficient and appropriate resources to perform the group engagement are assigned or made available </t>
        </is>
      </c>
      <c r="D116" s="392" t="n"/>
      <c r="E116" s="392" t="n"/>
      <c r="F116" s="392" t="n"/>
      <c r="G116" s="392" t="n"/>
      <c r="H116" s="392" t="n"/>
      <c r="I116" s="392" t="n"/>
      <c r="J116" s="392" t="n"/>
      <c r="K116" s="378" t="n"/>
      <c r="L116" s="59" t="n"/>
    </row>
    <row r="117">
      <c r="B117" s="58" t="n"/>
      <c r="C117" s="377" t="inlineStr">
        <is>
          <t xml:space="preserve">to the engagement team in a timely manner. </t>
        </is>
      </c>
      <c r="D117" s="392" t="n"/>
      <c r="E117" s="392" t="n"/>
      <c r="F117" s="392" t="n"/>
      <c r="G117" s="392" t="n"/>
      <c r="H117" s="392" t="n"/>
      <c r="I117" s="392" t="n"/>
      <c r="J117" s="392" t="n"/>
      <c r="K117" s="378" t="n"/>
      <c r="L117" s="59" t="n"/>
    </row>
    <row r="118">
      <c r="B118" s="58" t="n"/>
      <c r="C118" s="379" t="n"/>
      <c r="D118" s="392" t="n"/>
      <c r="E118" s="392" t="n"/>
      <c r="F118" s="392" t="n"/>
      <c r="G118" s="392" t="n"/>
      <c r="H118" s="392" t="n"/>
      <c r="I118" s="392" t="n"/>
      <c r="J118" s="392" t="n"/>
      <c r="K118" s="378" t="n"/>
      <c r="L118" s="59" t="n"/>
    </row>
    <row r="119">
      <c r="B119" s="58" t="n"/>
      <c r="C119" s="58" t="inlineStr">
        <is>
          <t xml:space="preserve">The process of establishing the overall group audit strategy and group audit plan and initial expectations about the COTABDs that may be significant at the group </t>
        </is>
      </c>
      <c r="K119" s="59" t="n"/>
      <c r="L119" s="59" t="n"/>
    </row>
    <row r="120">
      <c r="B120" s="58" t="n"/>
      <c r="C120" s="357" t="inlineStr">
        <is>
          <t>financial statement level may assist the group auditor in developing a preliminary determination of matters such as:</t>
        </is>
      </c>
      <c r="D120" s="358" t="n"/>
      <c r="E120" s="358" t="n"/>
      <c r="F120" s="358" t="n"/>
      <c r="G120" s="358" t="n"/>
      <c r="H120" s="358" t="n"/>
      <c r="I120" s="358" t="n"/>
      <c r="J120" s="358" t="n"/>
      <c r="K120" s="359" t="n"/>
      <c r="L120" s="59" t="n"/>
    </row>
    <row r="121">
      <c r="B121" s="58" t="n"/>
      <c r="C121" s="357" t="inlineStr">
        <is>
          <t>(a) Whether to perform audit work centrally, at components or a combination thereof; and</t>
        </is>
      </c>
      <c r="D121" s="358" t="n"/>
      <c r="E121" s="358" t="n"/>
      <c r="F121" s="358" t="n"/>
      <c r="G121" s="358" t="n"/>
      <c r="H121" s="358" t="n"/>
      <c r="I121" s="358" t="n"/>
      <c r="J121" s="358" t="n"/>
      <c r="K121" s="359" t="n"/>
      <c r="L121" s="59" t="n"/>
    </row>
    <row r="122">
      <c r="B122" s="58" t="n"/>
      <c r="C122" s="357" t="inlineStr">
        <is>
          <t>(b) The nature, timing and extent of audit work to be performed with respect to the financial information of components (e.g., design and perform risk assessment</t>
        </is>
      </c>
      <c r="D122" s="358" t="n"/>
      <c r="E122" s="358" t="n"/>
      <c r="F122" s="358" t="n"/>
      <c r="G122" s="358" t="n"/>
      <c r="H122" s="358" t="n"/>
      <c r="I122" s="358" t="n"/>
      <c r="J122" s="358" t="n"/>
      <c r="K122" s="359" t="n"/>
      <c r="L122" s="59" t="n"/>
    </row>
    <row r="123">
      <c r="B123" s="58" t="n"/>
      <c r="C123" s="58" t="inlineStr">
        <is>
          <t>procedures, further audit procedures, or a combination thereof).</t>
        </is>
      </c>
      <c r="D123" s="358" t="n"/>
      <c r="E123" s="358" t="n"/>
      <c r="F123" s="358" t="n"/>
      <c r="G123" s="358" t="n"/>
      <c r="H123" s="358" t="n"/>
      <c r="I123" s="358" t="n"/>
      <c r="J123" s="358" t="n"/>
      <c r="K123" s="359" t="n"/>
      <c r="L123" s="59" t="n"/>
    </row>
    <row r="124">
      <c r="B124" s="58" t="n"/>
      <c r="C124" s="58" t="n"/>
      <c r="D124" s="358" t="n"/>
      <c r="E124" s="358" t="n"/>
      <c r="F124" s="358" t="n"/>
      <c r="H124" s="358" t="n"/>
      <c r="I124" s="358" t="n"/>
      <c r="J124" s="358" t="n"/>
      <c r="K124" s="359" t="n"/>
      <c r="L124" s="59" t="n"/>
    </row>
    <row r="125">
      <c r="B125" s="58" t="n"/>
      <c r="C125" s="58" t="inlineStr">
        <is>
          <t>The auditor needs to document their rationale / professional judgment for the determination of engagement resources - please see guidance below.</t>
        </is>
      </c>
      <c r="K125" s="59" t="n"/>
      <c r="L125" s="59" t="n"/>
    </row>
    <row r="126" ht="13.5" customHeight="1" thickBot="1">
      <c r="B126" s="58" t="n"/>
      <c r="C126" s="60" t="n"/>
      <c r="D126" s="61" t="n"/>
      <c r="E126" s="61" t="n"/>
      <c r="F126" s="61" t="n"/>
      <c r="G126" s="61" t="n"/>
      <c r="H126" s="61" t="n"/>
      <c r="I126" s="61" t="n"/>
      <c r="J126" s="61" t="n"/>
      <c r="K126" s="62" t="n"/>
      <c r="L126" s="59" t="n"/>
    </row>
    <row r="127" ht="13.5" customHeight="1" thickBot="1">
      <c r="B127" s="58" t="n"/>
      <c r="C127" s="387" t="n"/>
      <c r="D127" s="387" t="n"/>
      <c r="E127" s="387" t="n"/>
      <c r="F127" s="387" t="n"/>
      <c r="G127" s="387" t="n"/>
      <c r="H127" s="387" t="n"/>
      <c r="I127" s="387" t="n"/>
      <c r="J127" s="387" t="n"/>
      <c r="K127" s="387" t="n"/>
      <c r="L127" s="59" t="n"/>
    </row>
    <row r="128" ht="13.5" customHeight="1" thickBot="1">
      <c r="B128" s="58" t="n"/>
      <c r="C128" s="383" t="inlineStr">
        <is>
          <t>Centralized procedures</t>
        </is>
      </c>
      <c r="D128" s="384" t="n"/>
      <c r="E128" s="384" t="n"/>
      <c r="F128" s="384" t="n"/>
      <c r="G128" s="384" t="n"/>
      <c r="H128" s="384" t="n"/>
      <c r="I128" s="384" t="n"/>
      <c r="J128" s="384" t="n"/>
      <c r="K128" s="385" t="n"/>
      <c r="L128" s="59" t="n"/>
    </row>
    <row r="129">
      <c r="B129" s="58" t="n"/>
      <c r="C129" s="386" t="inlineStr">
        <is>
          <t xml:space="preserve">In case of centralized procedures performed at group level on one or more COTABD, please refer to and document the MAM Tool ISA 600R T02A Scoping supplement </t>
        </is>
      </c>
      <c r="D129" s="387" t="n"/>
      <c r="E129" s="387" t="n"/>
      <c r="F129" s="387" t="n"/>
      <c r="G129" s="387" t="n"/>
      <c r="H129" s="387" t="n"/>
      <c r="I129" s="387" t="n"/>
      <c r="J129" s="387" t="n"/>
      <c r="K129" s="388" t="n"/>
      <c r="L129" s="59" t="n"/>
    </row>
    <row r="130">
      <c r="B130" s="58" t="n"/>
      <c r="C130" s="386" t="inlineStr">
        <is>
          <t>centralized procedures.</t>
        </is>
      </c>
      <c r="D130" s="387" t="n"/>
      <c r="E130" s="387" t="n"/>
      <c r="F130" s="387" t="n"/>
      <c r="G130" s="387" t="n"/>
      <c r="H130" s="387" t="n"/>
      <c r="I130" s="387" t="n"/>
      <c r="J130" s="387" t="n"/>
      <c r="K130" s="388" t="n"/>
      <c r="L130" s="59" t="n"/>
    </row>
    <row r="131" ht="13.5" customHeight="1" thickBot="1">
      <c r="B131" s="58" t="n"/>
      <c r="C131" s="389" t="n"/>
      <c r="D131" s="390" t="n"/>
      <c r="E131" s="390" t="n"/>
      <c r="F131" s="390" t="n"/>
      <c r="G131" s="390" t="n"/>
      <c r="H131" s="390" t="n"/>
      <c r="I131" s="390" t="n"/>
      <c r="J131" s="390" t="n"/>
      <c r="K131" s="391" t="n"/>
      <c r="L131" s="59" t="n"/>
    </row>
    <row r="132" ht="13.5" customHeight="1" thickBot="1">
      <c r="B132" s="58" t="n"/>
      <c r="L132" s="59" t="n"/>
    </row>
    <row r="133" ht="13.5" customHeight="1" thickBot="1">
      <c r="B133" s="58" t="n"/>
      <c r="C133" s="366" t="inlineStr">
        <is>
          <t>Guidance for documenting your rationale / professional judgment for the determination of engagement resources</t>
        </is>
      </c>
      <c r="D133" s="367" t="n"/>
      <c r="E133" s="367" t="n"/>
      <c r="F133" s="367" t="n"/>
      <c r="G133" s="367" t="n"/>
      <c r="H133" s="367" t="n"/>
      <c r="I133" s="367" t="n"/>
      <c r="J133" s="367" t="n"/>
      <c r="K133" s="368" t="n"/>
      <c r="L133" s="59" t="n"/>
    </row>
    <row r="134">
      <c r="B134" s="58" t="n"/>
      <c r="C134" s="357" t="inlineStr">
        <is>
          <t xml:space="preserve">Matters that influence the group auditor’s determination of the resources needed to perform the group audit and the nature, timing and extent to which component auditors </t>
        </is>
      </c>
      <c r="D134" s="358" t="n"/>
      <c r="E134" s="358" t="n"/>
      <c r="F134" s="358" t="n"/>
      <c r="G134" s="358" t="n"/>
      <c r="H134" s="358" t="n"/>
      <c r="I134" s="358" t="n"/>
      <c r="J134" s="358" t="n"/>
      <c r="K134" s="359" t="n"/>
      <c r="L134" s="59" t="n"/>
    </row>
    <row r="135">
      <c r="B135" s="58" t="n"/>
      <c r="C135" s="357" t="inlineStr">
        <is>
          <t>are to be involved are a matter of professional judgment and may include, for example:</t>
        </is>
      </c>
      <c r="D135" s="358" t="n"/>
      <c r="E135" s="358" t="n"/>
      <c r="F135" s="358" t="n"/>
      <c r="G135" s="358" t="n"/>
      <c r="H135" s="358" t="n"/>
      <c r="I135" s="358" t="n"/>
      <c r="J135" s="358" t="n"/>
      <c r="K135" s="359" t="n"/>
      <c r="L135" s="59" t="n"/>
    </row>
    <row r="136">
      <c r="B136" s="58" t="n"/>
      <c r="C136" s="357" t="inlineStr">
        <is>
          <t>(a) The understanding of the group, the components within the group at which audit work is to be performed and whether to perform work centrally, at components</t>
        </is>
      </c>
      <c r="D136" s="358" t="n"/>
      <c r="E136" s="358" t="n"/>
      <c r="F136" s="358" t="n"/>
      <c r="G136" s="358" t="n"/>
      <c r="H136" s="358" t="n"/>
      <c r="I136" s="358" t="n"/>
      <c r="J136" s="358" t="n"/>
      <c r="K136" s="359" t="n"/>
      <c r="L136" s="59" t="n"/>
    </row>
    <row r="137">
      <c r="B137" s="58" t="n"/>
      <c r="C137" s="357" t="inlineStr">
        <is>
          <t xml:space="preserve">     or a combination thereof. </t>
        </is>
      </c>
      <c r="D137" s="358" t="n"/>
      <c r="E137" s="358" t="n"/>
      <c r="F137" s="358" t="n"/>
      <c r="G137" s="358" t="n"/>
      <c r="H137" s="358" t="n"/>
      <c r="I137" s="358" t="n"/>
      <c r="J137" s="358" t="n"/>
      <c r="K137" s="359" t="n"/>
      <c r="L137" s="59" t="n"/>
    </row>
    <row r="138">
      <c r="B138" s="58" t="n"/>
      <c r="C138" s="357" t="inlineStr">
        <is>
          <t>(b) The knowledge and experience of the engagement team. For example, component auditors may have greater experience and a more in-depth knowledge than</t>
        </is>
      </c>
      <c r="D138" s="358" t="n"/>
      <c r="E138" s="358" t="n"/>
      <c r="F138" s="358" t="n"/>
      <c r="G138" s="358" t="n"/>
      <c r="H138" s="358" t="n"/>
      <c r="I138" s="358" t="n"/>
      <c r="J138" s="358" t="n"/>
      <c r="K138" s="359" t="n"/>
      <c r="L138" s="59" t="n"/>
    </row>
    <row r="139">
      <c r="B139" s="58" t="n"/>
      <c r="C139" s="357" t="inlineStr">
        <is>
          <t xml:space="preserve"> the group auditor of the local industries in which components operate, local laws or regulations, business practices, language and culture. In addition, the involvement</t>
        </is>
      </c>
      <c r="D139" s="358" t="n"/>
      <c r="E139" s="358" t="n"/>
      <c r="F139" s="358" t="n"/>
      <c r="G139" s="358" t="n"/>
      <c r="H139" s="358" t="n"/>
      <c r="I139" s="358" t="n"/>
      <c r="J139" s="358" t="n"/>
      <c r="K139" s="359" t="n"/>
      <c r="L139" s="59" t="n"/>
    </row>
    <row r="140">
      <c r="B140" s="357" t="n"/>
      <c r="C140" s="357" t="inlineStr">
        <is>
          <t xml:space="preserve">     of auditor’s experts may be needed on complex matters. </t>
        </is>
      </c>
      <c r="D140" s="358" t="n"/>
      <c r="E140" s="358" t="n"/>
      <c r="F140" s="358" t="n"/>
      <c r="G140" s="358" t="n"/>
      <c r="H140" s="358" t="n"/>
      <c r="I140" s="358" t="n"/>
      <c r="J140" s="358" t="n"/>
      <c r="K140" s="359" t="n"/>
      <c r="L140" s="359" t="n"/>
    </row>
    <row r="141">
      <c r="B141" s="357" t="n"/>
      <c r="C141" s="357" t="inlineStr">
        <is>
          <t xml:space="preserve">(c) The initial expectations about the potential risks of material misstatement. </t>
        </is>
      </c>
      <c r="D141" s="358" t="n"/>
      <c r="E141" s="358" t="n"/>
      <c r="F141" s="358" t="n"/>
      <c r="G141" s="358" t="n"/>
      <c r="H141" s="358" t="n"/>
      <c r="I141" s="358" t="n"/>
      <c r="J141" s="358" t="n"/>
      <c r="K141" s="359" t="n"/>
      <c r="L141" s="359" t="n"/>
    </row>
    <row r="142">
      <c r="B142" s="357" t="n"/>
      <c r="C142" s="357" t="inlineStr">
        <is>
          <t>(d) The amount or location of resources to allocate to specific audit areas. For example, the extent to which components are dispersed across multiple locations</t>
        </is>
      </c>
      <c r="D142" s="358" t="n"/>
      <c r="E142" s="358" t="n"/>
      <c r="F142" s="358" t="n"/>
      <c r="G142" s="358" t="n"/>
      <c r="H142" s="358" t="n"/>
      <c r="I142" s="358" t="n"/>
      <c r="J142" s="358" t="n"/>
      <c r="K142" s="359" t="n"/>
      <c r="L142" s="359" t="n"/>
    </row>
    <row r="143">
      <c r="B143" s="357" t="n"/>
      <c r="C143" s="357" t="inlineStr">
        <is>
          <t xml:space="preserve">     may impact the need to involve component auditors in specific locations. </t>
        </is>
      </c>
      <c r="D143" s="358" t="n"/>
      <c r="E143" s="358" t="n"/>
      <c r="F143" s="358" t="n"/>
      <c r="G143" s="358" t="n"/>
      <c r="H143" s="358" t="n"/>
      <c r="I143" s="358" t="n"/>
      <c r="J143" s="358" t="n"/>
      <c r="K143" s="359" t="n"/>
      <c r="L143" s="359" t="n"/>
    </row>
    <row r="144">
      <c r="B144" s="357" t="n"/>
      <c r="C144" s="357" t="inlineStr">
        <is>
          <t>(e) Access arrangements. For example, when the group auditor’s access to a component in a particular jurisdiction is restricted, component auditors may need to</t>
        </is>
      </c>
      <c r="D144" s="358" t="n"/>
      <c r="E144" s="358" t="n"/>
      <c r="F144" s="358" t="n"/>
      <c r="G144" s="358" t="n"/>
      <c r="H144" s="358" t="n"/>
      <c r="I144" s="358" t="n"/>
      <c r="J144" s="358" t="n"/>
      <c r="K144" s="359" t="n"/>
      <c r="L144" s="359" t="n"/>
    </row>
    <row r="145">
      <c r="B145" s="357" t="n"/>
      <c r="C145" s="357" t="inlineStr">
        <is>
          <t xml:space="preserve">     be involved. </t>
        </is>
      </c>
      <c r="D145" s="358" t="n"/>
      <c r="E145" s="358" t="n"/>
      <c r="F145" s="358" t="n"/>
      <c r="G145" s="358" t="n"/>
      <c r="H145" s="358" t="n"/>
      <c r="I145" s="358" t="n"/>
      <c r="J145" s="358" t="n"/>
      <c r="K145" s="359" t="n"/>
      <c r="L145" s="359" t="n"/>
    </row>
    <row r="146">
      <c r="B146" s="357" t="n"/>
      <c r="C146" s="357" t="inlineStr">
        <is>
          <t xml:space="preserve">(f) The nature of the components’ activities, including their complexity or specialization of operations. </t>
        </is>
      </c>
      <c r="D146" s="358" t="n"/>
      <c r="E146" s="358" t="n"/>
      <c r="F146" s="358" t="n"/>
      <c r="G146" s="358" t="n"/>
      <c r="H146" s="358" t="n"/>
      <c r="I146" s="358" t="n"/>
      <c r="J146" s="358" t="n"/>
      <c r="K146" s="359" t="n"/>
      <c r="L146" s="359" t="n"/>
    </row>
    <row r="147">
      <c r="B147" s="357" t="n"/>
      <c r="C147" s="357" t="inlineStr">
        <is>
          <t>(g) The group’s system of internal control, including the information system in place, and its degree of centralization. For example, the involvement of component auditors</t>
        </is>
      </c>
      <c r="D147" s="358" t="n"/>
      <c r="E147" s="358" t="n"/>
      <c r="F147" s="358" t="n"/>
      <c r="G147" s="358" t="n"/>
      <c r="H147" s="358" t="n"/>
      <c r="I147" s="358" t="n"/>
      <c r="J147" s="358" t="n"/>
      <c r="K147" s="359" t="n"/>
      <c r="L147" s="359" t="n"/>
    </row>
    <row r="148">
      <c r="B148" s="58" t="n"/>
      <c r="C148" s="357" t="inlineStr">
        <is>
          <t xml:space="preserve">     may be more likely when the system of internal control is decentralized.</t>
        </is>
      </c>
      <c r="D148" s="358" t="n"/>
      <c r="E148" s="358" t="n"/>
      <c r="F148" s="358" t="n"/>
      <c r="G148" s="358" t="n"/>
      <c r="H148" s="358" t="n"/>
      <c r="I148" s="358" t="n"/>
      <c r="J148" s="358" t="n"/>
      <c r="K148" s="359" t="n"/>
      <c r="L148" s="59" t="n"/>
    </row>
    <row r="149">
      <c r="B149" s="58" t="n"/>
      <c r="C149" s="357" t="inlineStr">
        <is>
          <t xml:space="preserve">(h) Previous experience with the component auditor. </t>
        </is>
      </c>
      <c r="D149" s="358" t="n"/>
      <c r="E149" s="358" t="n"/>
      <c r="F149" s="358" t="n"/>
      <c r="G149" s="358" t="n"/>
      <c r="H149" s="358" t="n"/>
      <c r="I149" s="358" t="n"/>
      <c r="J149" s="358" t="n"/>
      <c r="K149" s="359" t="n"/>
      <c r="L149" s="59" t="n"/>
    </row>
    <row r="150" ht="13.5" customHeight="1" thickBot="1">
      <c r="B150" s="58" t="n"/>
      <c r="C150" s="380" t="n"/>
      <c r="D150" s="381" t="n"/>
      <c r="E150" s="381" t="n"/>
      <c r="F150" s="381" t="n"/>
      <c r="G150" s="381" t="n"/>
      <c r="H150" s="381" t="n"/>
      <c r="I150" s="381" t="n"/>
      <c r="J150" s="381" t="n"/>
      <c r="K150" s="382" t="n"/>
      <c r="L150" s="59" t="n"/>
    </row>
    <row r="151">
      <c r="B151" s="357" t="n"/>
      <c r="C151" s="358" t="n"/>
      <c r="D151" s="358" t="n"/>
      <c r="E151" s="358" t="n"/>
      <c r="F151" s="358" t="n"/>
      <c r="G151" s="358" t="n"/>
      <c r="H151" s="358" t="n"/>
      <c r="I151" s="358" t="n"/>
      <c r="J151" s="358" t="n"/>
      <c r="K151" s="358" t="n"/>
      <c r="L151" s="359" t="n"/>
    </row>
    <row r="152" ht="13.5" customHeight="1" thickBot="1">
      <c r="B152" s="380" t="n"/>
      <c r="C152" s="61" t="n"/>
      <c r="D152" s="61" t="n"/>
      <c r="E152" s="61" t="n"/>
      <c r="F152" s="61" t="n"/>
      <c r="G152" s="61" t="n"/>
      <c r="H152" s="61" t="n"/>
      <c r="I152" s="61" t="n"/>
      <c r="J152" s="61" t="n"/>
      <c r="K152" s="61" t="n"/>
      <c r="L152" s="382" t="n"/>
    </row>
  </sheetData>
  <sheetProtection selectLockedCells="0" selectUnlockedCells="0" algorithmName="SHA-512" sheet="1" objects="1" insertRows="1" insertHyperlinks="1" autoFilter="1" scenarios="1" formatColumns="1" deleteColumns="1" insertColumns="1" pivotTables="1" deleteRows="1" formatCells="1" saltValue="8+TG/EFdRGmw7KQCFHEkUA==" formatRows="1" sort="1" spinCount="100000" hashValue="kBWmjROjcnrQvi8CqyAbUBmL7/p7SsTMIV8sDAr2sNetsbOBYvX/nf5k4PW69Pw/OKJLS6Qsv72loWO+OkNbXQ=="/>
  <mergeCells count="5">
    <mergeCell ref="C68:K70"/>
    <mergeCell ref="C111:K112"/>
    <mergeCell ref="C11:K24"/>
    <mergeCell ref="C27:K51"/>
    <mergeCell ref="C54:K65"/>
  </mergeCells>
  <pageMargins left="0.7086614173228347" right="0.7086614173228347" top="0.7480314960629921" bottom="0.7480314960629921" header="0.3149606299212598" footer="0.3149606299212598"/>
  <pageSetup orientation="landscape" paperSize="9"/>
</worksheet>
</file>

<file path=xl/worksheets/sheet2.xml><?xml version="1.0" encoding="utf-8"?>
<worksheet xmlns="http://schemas.openxmlformats.org/spreadsheetml/2006/main">
  <sheetPr codeName="Blad3">
    <tabColor rgb="FF0070C0"/>
    <outlinePr summaryBelow="1" summaryRight="1"/>
    <pageSetUpPr/>
  </sheetPr>
  <dimension ref="A1:AT135"/>
  <sheetViews>
    <sheetView showGridLines="0" zoomScaleNormal="90" workbookViewId="0">
      <selection activeCell="E11" sqref="E11"/>
    </sheetView>
  </sheetViews>
  <sheetFormatPr baseColWidth="8" defaultColWidth="0" defaultRowHeight="12.75" zeroHeight="1"/>
  <cols>
    <col width="2.7109375" customWidth="1" style="47" min="1" max="1"/>
    <col width="9.140625" customWidth="1" style="50" min="2" max="28"/>
    <col width="11.7109375" customWidth="1" style="50" min="29" max="29"/>
    <col width="9.140625" customWidth="1" style="50" min="30" max="30"/>
    <col width="12.85546875" customWidth="1" style="50" min="31" max="31"/>
    <col width="9.140625" customWidth="1" style="50" min="32" max="32"/>
    <col width="2.7109375" customWidth="1" style="47" min="33" max="33"/>
    <col hidden="1" style="50" min="34" max="46"/>
    <col hidden="1" width="9.140625" customWidth="1" style="50" min="47" max="16384"/>
  </cols>
  <sheetData>
    <row r="1" ht="13.5" customFormat="1" customHeight="1" s="47" thickBot="1">
      <c r="C1" s="80" t="n"/>
      <c r="D1" s="81" t="n"/>
      <c r="E1" s="81" t="n"/>
      <c r="F1" s="48" t="n"/>
      <c r="H1" s="48" t="n"/>
      <c r="I1" s="48" t="n"/>
      <c r="J1" s="48" t="n"/>
      <c r="K1" s="48" t="n"/>
      <c r="L1" s="48" t="n"/>
      <c r="M1" s="48" t="n"/>
      <c r="N1" s="48" t="n"/>
      <c r="O1" s="48" t="n"/>
      <c r="P1" s="48" t="n"/>
      <c r="Q1" s="48" t="n"/>
      <c r="AQ1" s="48" t="n"/>
    </row>
    <row r="2" customFormat="1" s="47">
      <c r="B2" s="73" t="n"/>
      <c r="C2" s="74" t="n"/>
      <c r="D2" s="75" t="n"/>
      <c r="E2" s="75" t="n"/>
      <c r="F2" s="76" t="n"/>
      <c r="G2" s="77" t="n"/>
      <c r="H2" s="76" t="n"/>
      <c r="I2" s="76" t="n"/>
      <c r="J2" s="76" t="n"/>
      <c r="K2" s="76" t="n"/>
      <c r="L2" s="76" t="n"/>
      <c r="M2" s="76" t="n"/>
      <c r="N2" s="76" t="n"/>
      <c r="O2" s="76" t="n"/>
      <c r="P2" s="76" t="n"/>
      <c r="Q2" s="76" t="n"/>
      <c r="R2" s="77" t="n"/>
      <c r="S2" s="77" t="n"/>
      <c r="T2" s="77" t="n"/>
      <c r="U2" s="77" t="n"/>
      <c r="V2" s="77" t="n"/>
      <c r="W2" s="77" t="n"/>
      <c r="X2" s="77" t="n"/>
      <c r="Y2" s="77" t="n"/>
      <c r="Z2" s="77" t="n"/>
      <c r="AA2" s="77" t="n"/>
      <c r="AB2" s="77" t="n"/>
      <c r="AC2" s="77" t="n"/>
      <c r="AD2" s="77" t="n"/>
      <c r="AE2" s="77" t="n"/>
      <c r="AF2" s="78" t="n"/>
      <c r="AQ2" s="48" t="n"/>
    </row>
    <row r="3" customFormat="1" s="47">
      <c r="B3" s="79" t="n"/>
      <c r="C3" s="80" t="n"/>
      <c r="D3" s="81" t="n"/>
      <c r="E3" s="81" t="n"/>
      <c r="F3" s="48" t="n"/>
      <c r="H3" s="48" t="n"/>
      <c r="I3" s="48" t="n"/>
      <c r="J3" s="48" t="n"/>
      <c r="K3" s="48" t="n"/>
      <c r="L3" s="48" t="n"/>
      <c r="M3" s="48" t="n"/>
      <c r="N3" s="48" t="n"/>
      <c r="O3" s="48" t="n"/>
      <c r="P3" s="48" t="n"/>
      <c r="Q3" s="48" t="n"/>
      <c r="AF3" s="82" t="n"/>
      <c r="AQ3" s="48" t="n"/>
    </row>
    <row r="4" customFormat="1" s="47">
      <c r="B4" s="79" t="n"/>
      <c r="C4" s="80" t="n"/>
      <c r="D4" s="81" t="n"/>
      <c r="E4" s="81" t="n"/>
      <c r="F4" s="48" t="n"/>
      <c r="H4" s="48" t="n"/>
      <c r="I4" s="48" t="n"/>
      <c r="J4" s="48" t="n"/>
      <c r="K4" s="48" t="n"/>
      <c r="L4" s="48" t="n"/>
      <c r="M4" s="48" t="n"/>
      <c r="N4" s="48" t="n"/>
      <c r="O4" s="48" t="n"/>
      <c r="P4" s="48" t="n"/>
      <c r="Q4" s="48" t="n"/>
      <c r="AF4" s="82" t="n"/>
      <c r="AQ4" s="48" t="n"/>
    </row>
    <row r="5" customFormat="1" s="47">
      <c r="B5" s="79" t="n"/>
      <c r="C5" s="80" t="n"/>
      <c r="D5" s="81" t="n"/>
      <c r="E5" s="81" t="n"/>
      <c r="F5" s="48" t="n"/>
      <c r="H5" s="48" t="n"/>
      <c r="I5" s="48" t="n"/>
      <c r="J5" s="48" t="n"/>
      <c r="K5" s="48" t="n"/>
      <c r="L5" s="48" t="n"/>
      <c r="M5" s="48" t="n"/>
      <c r="N5" s="48" t="n"/>
      <c r="O5" s="48" t="n"/>
      <c r="P5" s="48" t="n"/>
      <c r="Q5" s="48" t="n"/>
      <c r="AF5" s="82" t="n"/>
      <c r="AQ5" s="48" t="n"/>
    </row>
    <row r="6" customFormat="1" s="47">
      <c r="B6" s="79" t="n"/>
      <c r="C6" s="80" t="n"/>
      <c r="D6" s="81" t="n"/>
      <c r="E6" s="81" t="n"/>
      <c r="F6" s="48" t="n"/>
      <c r="H6" s="48" t="n"/>
      <c r="I6" s="48" t="n"/>
      <c r="J6" s="48" t="n"/>
      <c r="K6" s="48" t="n"/>
      <c r="L6" s="48" t="n"/>
      <c r="M6" s="48" t="n"/>
      <c r="N6" s="48" t="n"/>
      <c r="O6" s="48" t="n"/>
      <c r="P6" s="48" t="n"/>
      <c r="Q6" s="48" t="n"/>
      <c r="AF6" s="82" t="n"/>
      <c r="AQ6" s="48" t="n"/>
    </row>
    <row r="7" ht="13.5" customFormat="1" customHeight="1" s="47" thickBot="1">
      <c r="B7" s="83" t="n"/>
      <c r="C7" s="84" t="n"/>
      <c r="D7" s="85" t="n"/>
      <c r="E7" s="85" t="n"/>
      <c r="F7" s="86" t="n"/>
      <c r="G7" s="87" t="n"/>
      <c r="H7" s="86" t="n"/>
      <c r="I7" s="86" t="n"/>
      <c r="J7" s="86" t="n"/>
      <c r="K7" s="86" t="n"/>
      <c r="L7" s="86" t="n"/>
      <c r="M7" s="86" t="n"/>
      <c r="N7" s="86" t="n"/>
      <c r="O7" s="86" t="n"/>
      <c r="P7" s="86" t="n"/>
      <c r="Q7" s="86" t="n"/>
      <c r="R7" s="87" t="n"/>
      <c r="S7" s="87" t="n"/>
      <c r="T7" s="87" t="n"/>
      <c r="U7" s="87" t="n"/>
      <c r="V7" s="87" t="n"/>
      <c r="W7" s="87" t="n"/>
      <c r="X7" s="87" t="n"/>
      <c r="Y7" s="87" t="n"/>
      <c r="Z7" s="87" t="n"/>
      <c r="AA7" s="87" t="n"/>
      <c r="AB7" s="87" t="n"/>
      <c r="AC7" s="87" t="n"/>
      <c r="AD7" s="87" t="n"/>
      <c r="AE7" s="87" t="n"/>
      <c r="AF7" s="88" t="n"/>
      <c r="AQ7" s="48" t="n"/>
    </row>
    <row r="8" ht="24" customFormat="1" customHeight="1" s="48" thickBot="1">
      <c r="B8" s="63" t="n"/>
      <c r="C8" s="64" t="inlineStr">
        <is>
          <t>Decision tree on type of scope (full, specific, GET instructed engagement procedures)</t>
        </is>
      </c>
      <c r="D8" s="65" t="n"/>
      <c r="E8" s="65" t="n"/>
      <c r="F8" s="66" t="n"/>
      <c r="G8" s="66" t="n"/>
      <c r="H8" s="66" t="n"/>
      <c r="I8" s="66" t="n"/>
      <c r="J8" s="66" t="n"/>
      <c r="K8" s="66" t="n"/>
      <c r="L8" s="66" t="n"/>
      <c r="M8" s="66" t="n"/>
      <c r="N8" s="66" t="n"/>
      <c r="O8" s="66" t="n"/>
      <c r="P8" s="66" t="n"/>
      <c r="Q8" s="66" t="n"/>
      <c r="R8" s="66" t="n"/>
      <c r="S8" s="66" t="n"/>
      <c r="T8" s="49" t="n"/>
      <c r="U8" s="49" t="n"/>
      <c r="V8" s="49" t="n"/>
      <c r="W8" s="49" t="n"/>
      <c r="X8" s="49" t="n"/>
      <c r="Y8" s="49" t="n"/>
      <c r="Z8" s="49" t="n"/>
      <c r="AA8" s="49" t="n"/>
      <c r="AB8" s="49" t="n"/>
      <c r="AC8" s="49" t="n"/>
      <c r="AD8" s="49" t="n"/>
      <c r="AE8" s="49" t="n"/>
      <c r="AF8" s="57" t="n"/>
      <c r="AH8" s="204" t="n"/>
      <c r="AI8" s="204" t="n"/>
      <c r="AJ8" s="204" t="n"/>
      <c r="AK8" s="204" t="n"/>
      <c r="AL8" s="204" t="n"/>
      <c r="AM8" s="204" t="n"/>
      <c r="AN8" s="204" t="n"/>
      <c r="AO8" s="204" t="n"/>
      <c r="AP8" s="204" t="n"/>
      <c r="AQ8" s="204" t="n"/>
      <c r="AR8" s="204" t="n"/>
      <c r="AS8" s="204" t="n"/>
      <c r="AT8" s="204" t="n"/>
    </row>
    <row r="9">
      <c r="B9" s="58" t="n"/>
      <c r="AF9" s="59" t="n"/>
    </row>
    <row r="10">
      <c r="B10" s="58" t="n"/>
      <c r="AF10" s="59" t="n"/>
    </row>
    <row r="11">
      <c r="A11" s="202" t="n"/>
      <c r="B11" s="58" t="n"/>
      <c r="AF11" s="59" t="n"/>
      <c r="AG11" s="202" t="n"/>
    </row>
    <row r="12">
      <c r="A12" s="202" t="n"/>
      <c r="B12" s="58" t="n"/>
      <c r="AF12" s="59" t="n"/>
      <c r="AG12" s="202" t="n"/>
    </row>
    <row r="13">
      <c r="B13" s="58" t="n"/>
      <c r="W13" s="52" t="inlineStr">
        <is>
          <t>No</t>
        </is>
      </c>
      <c r="AF13" s="59" t="n"/>
    </row>
    <row r="14">
      <c r="B14" s="58" t="n"/>
      <c r="AF14" s="59" t="n"/>
    </row>
    <row r="15">
      <c r="B15" s="58" t="n"/>
      <c r="AF15" s="59" t="n"/>
    </row>
    <row r="16">
      <c r="B16" s="58" t="n"/>
      <c r="G16" s="51" t="inlineStr">
        <is>
          <t>Yes</t>
        </is>
      </c>
      <c r="AF16" s="59" t="n"/>
    </row>
    <row r="17">
      <c r="B17" s="58" t="n"/>
      <c r="AF17" s="59" t="n"/>
    </row>
    <row r="18">
      <c r="B18" s="58" t="n"/>
      <c r="AF18" s="59" t="n"/>
    </row>
    <row r="19">
      <c r="B19" s="58" t="n"/>
      <c r="AF19" s="59" t="n"/>
    </row>
    <row r="20">
      <c r="B20" s="58" t="n"/>
      <c r="F20" s="53" t="n"/>
      <c r="AF20" s="59" t="n"/>
    </row>
    <row r="21">
      <c r="B21" s="58" t="n"/>
      <c r="F21" s="53" t="n"/>
      <c r="AF21" s="59" t="n"/>
    </row>
    <row r="22">
      <c r="B22" s="58" t="n"/>
      <c r="F22" s="53" t="n"/>
      <c r="AF22" s="59" t="n"/>
    </row>
    <row r="23">
      <c r="B23" s="58" t="n"/>
      <c r="AF23" s="59" t="n"/>
    </row>
    <row r="24">
      <c r="B24" s="58" t="n"/>
      <c r="AF24" s="59" t="n"/>
    </row>
    <row r="25">
      <c r="B25" s="58" t="n"/>
      <c r="AA25" s="52" t="inlineStr">
        <is>
          <t>No</t>
        </is>
      </c>
      <c r="AF25" s="59" t="n"/>
    </row>
    <row r="26">
      <c r="B26" s="58" t="n"/>
      <c r="AF26" s="59" t="n"/>
    </row>
    <row r="27">
      <c r="B27" s="58" t="n"/>
      <c r="AF27" s="59" t="n"/>
    </row>
    <row r="28">
      <c r="B28" s="58" t="n"/>
      <c r="D28" s="116" t="inlineStr">
        <is>
          <t>size</t>
        </is>
      </c>
      <c r="J28" s="117" t="inlineStr">
        <is>
          <t>risk</t>
        </is>
      </c>
      <c r="AF28" s="59" t="n"/>
    </row>
    <row r="29">
      <c r="B29" s="58" t="n"/>
      <c r="AF29" s="59" t="n"/>
    </row>
    <row r="30">
      <c r="B30" s="58" t="n"/>
      <c r="AF30" s="59" t="n"/>
    </row>
    <row r="31">
      <c r="B31" s="58" t="n"/>
      <c r="Q31" s="51" t="inlineStr">
        <is>
          <t>Yes</t>
        </is>
      </c>
      <c r="AF31" s="59" t="n"/>
    </row>
    <row r="32">
      <c r="B32" s="58" t="n"/>
      <c r="AF32" s="59" t="n"/>
    </row>
    <row r="33">
      <c r="B33" s="58" t="n"/>
      <c r="AF33" s="59" t="n"/>
    </row>
    <row r="34">
      <c r="B34" s="58" t="n"/>
      <c r="AC34" s="52" t="inlineStr">
        <is>
          <t>No</t>
        </is>
      </c>
      <c r="AF34" s="59" t="n"/>
    </row>
    <row r="35">
      <c r="B35" s="58" t="n"/>
      <c r="AF35" s="59" t="n"/>
    </row>
    <row r="36">
      <c r="B36" s="58" t="n"/>
      <c r="AF36" s="59" t="n"/>
    </row>
    <row r="37">
      <c r="B37" s="58" t="n"/>
      <c r="AF37" s="59" t="n"/>
    </row>
    <row r="38">
      <c r="B38" s="58" t="n"/>
      <c r="X38" s="51" t="inlineStr">
        <is>
          <t>Yes</t>
        </is>
      </c>
      <c r="AF38" s="59" t="n"/>
    </row>
    <row r="39">
      <c r="B39" s="58" t="n"/>
      <c r="AF39" s="59" t="n"/>
    </row>
    <row r="40">
      <c r="B40" s="58" t="n"/>
      <c r="AF40" s="59" t="n"/>
    </row>
    <row r="41">
      <c r="B41" s="58" t="n"/>
      <c r="AF41" s="59" t="n"/>
    </row>
    <row r="42">
      <c r="B42" s="58" t="n"/>
      <c r="AF42" s="59" t="n"/>
    </row>
    <row r="43">
      <c r="B43" s="58" t="n"/>
      <c r="AF43" s="59" t="n"/>
    </row>
    <row r="44">
      <c r="B44" s="58" t="n"/>
      <c r="AF44" s="59" t="n"/>
    </row>
    <row r="45">
      <c r="B45" s="58" t="n"/>
      <c r="AF45" s="59" t="n"/>
    </row>
    <row r="46">
      <c r="B46" s="58" t="n"/>
      <c r="AF46" s="59" t="n"/>
    </row>
    <row r="47">
      <c r="B47" s="58" t="n"/>
      <c r="AF47" s="59" t="n"/>
    </row>
    <row r="48">
      <c r="B48" s="58" t="n"/>
      <c r="AF48" s="59" t="n"/>
    </row>
    <row r="49">
      <c r="B49" s="58" t="n"/>
      <c r="C49" s="52" t="inlineStr">
        <is>
          <t>No</t>
        </is>
      </c>
      <c r="E49" s="51" t="inlineStr">
        <is>
          <t>Yes</t>
        </is>
      </c>
      <c r="H49" s="52" t="inlineStr">
        <is>
          <t>No</t>
        </is>
      </c>
      <c r="L49" s="51" t="inlineStr">
        <is>
          <t>Yes (2.b.)</t>
        </is>
      </c>
      <c r="AF49" s="59" t="n"/>
    </row>
    <row r="50">
      <c r="B50" s="58" t="n"/>
      <c r="AF50" s="59" t="n"/>
    </row>
    <row r="51">
      <c r="B51" s="58" t="n"/>
      <c r="AF51" s="59" t="n"/>
    </row>
    <row r="52">
      <c r="B52" s="58" t="n"/>
      <c r="AF52" s="59" t="n"/>
    </row>
    <row r="53">
      <c r="B53" s="58" t="n"/>
      <c r="AF53" s="59" t="n"/>
    </row>
    <row r="54">
      <c r="B54" s="58" t="n"/>
      <c r="AF54" s="59" t="n"/>
    </row>
    <row r="55">
      <c r="B55" s="58" t="n"/>
      <c r="AA55" s="50" t="inlineStr">
        <is>
          <t> </t>
        </is>
      </c>
      <c r="AF55" s="59" t="n"/>
    </row>
    <row r="56">
      <c r="B56" s="58" t="n"/>
      <c r="AF56" s="59" t="n"/>
    </row>
    <row r="57">
      <c r="B57" s="58" t="n"/>
      <c r="AF57" s="59" t="n"/>
    </row>
    <row r="58">
      <c r="B58" s="58" t="n"/>
      <c r="AF58" s="59" t="n"/>
    </row>
    <row r="59">
      <c r="B59" s="58" t="n"/>
      <c r="AF59" s="59" t="n"/>
    </row>
    <row r="60">
      <c r="B60" s="58" t="n"/>
      <c r="AF60" s="59" t="n"/>
    </row>
    <row r="61">
      <c r="B61" s="58" t="n"/>
      <c r="AF61" s="59" t="n"/>
    </row>
    <row r="62">
      <c r="B62" s="58" t="n"/>
      <c r="AF62" s="59" t="n"/>
    </row>
    <row r="63">
      <c r="B63" s="58" t="n"/>
      <c r="AF63" s="59" t="n"/>
    </row>
    <row r="64">
      <c r="B64" s="58" t="n"/>
      <c r="AF64" s="59" t="n"/>
    </row>
    <row r="65">
      <c r="B65" s="58" t="n"/>
      <c r="AF65" s="59" t="n"/>
    </row>
    <row r="66">
      <c r="B66" s="58" t="n"/>
      <c r="AF66" s="59" t="n"/>
    </row>
    <row r="67">
      <c r="B67" s="58" t="n"/>
      <c r="AF67" s="59" t="n"/>
    </row>
    <row r="68">
      <c r="B68" s="58" t="n"/>
      <c r="AF68" s="59" t="n"/>
    </row>
    <row r="69">
      <c r="B69" s="58" t="n"/>
      <c r="AF69" s="59" t="n"/>
    </row>
    <row r="70">
      <c r="B70" s="58" t="n"/>
      <c r="AF70" s="59" t="n"/>
    </row>
    <row r="71">
      <c r="B71" s="58" t="n"/>
      <c r="AF71" s="59" t="n"/>
    </row>
    <row r="72">
      <c r="B72" s="58" t="n"/>
      <c r="AF72" s="59" t="n"/>
    </row>
    <row r="73">
      <c r="B73" s="58" t="n"/>
      <c r="AF73" s="59" t="n"/>
    </row>
    <row r="74">
      <c r="B74" s="58" t="n"/>
      <c r="AF74" s="59" t="n"/>
    </row>
    <row r="75">
      <c r="B75" s="58" t="n"/>
      <c r="AF75" s="59" t="n"/>
    </row>
    <row r="76">
      <c r="B76" s="58" t="n"/>
      <c r="AF76" s="59" t="n"/>
    </row>
    <row r="77">
      <c r="B77" s="58" t="n"/>
      <c r="X77" s="51" t="inlineStr">
        <is>
          <t>Yes</t>
        </is>
      </c>
      <c r="AE77" s="52" t="inlineStr">
        <is>
          <t>No</t>
        </is>
      </c>
      <c r="AF77" s="59" t="n"/>
    </row>
    <row r="78">
      <c r="B78" s="58" t="n"/>
      <c r="AF78" s="59" t="n"/>
    </row>
    <row r="79">
      <c r="B79" s="58" t="n"/>
      <c r="AF79" s="59" t="n"/>
    </row>
    <row r="80">
      <c r="B80" s="58" t="n"/>
      <c r="AF80" s="59" t="n"/>
    </row>
    <row r="81">
      <c r="B81" s="58" t="n"/>
      <c r="AF81" s="59" t="n"/>
    </row>
    <row r="82">
      <c r="B82" s="58" t="n"/>
      <c r="AF82" s="59" t="n"/>
    </row>
    <row r="83">
      <c r="B83" s="305" t="n"/>
      <c r="C83" s="240" t="inlineStr">
        <is>
          <t xml:space="preserve">(1) MAM POLICY: In determining the scoping of components, as a starting point, there is a rebuttable presumption that:  </t>
        </is>
      </c>
      <c r="AF83" s="59" t="n"/>
    </row>
    <row r="84">
      <c r="B84" s="58" t="n"/>
      <c r="C84" s="240" t="inlineStr">
        <is>
          <t xml:space="preserve">Any key component which is greater or equal (in absolute value) to 15% of the benchmark chosen for calculating group materiality would most likely be scoped as a “full scope” component (i.e., audit of component). This is due to the fact that the size (inherent risk factor) component (i.e., audit of component). </t>
        </is>
      </c>
      <c r="AF84" s="59" t="n"/>
    </row>
    <row r="85">
      <c r="B85" s="58" t="n"/>
      <c r="C85" s="240" t="inlineStr">
        <is>
          <t xml:space="preserve">This is due to the fact that the size (inherent risk factor) of the component makes it susceptible to pervasive risks of material misstatement. Engagement teams may use other criteria in selecting key components, including assessment of risk or significance of other Key Performance Indicators. </t>
        </is>
      </c>
      <c r="AF85" s="59" t="n"/>
    </row>
    <row r="86">
      <c r="B86" s="58" t="n"/>
      <c r="AF86" s="59" t="n"/>
    </row>
    <row r="87">
      <c r="B87" s="58" t="n"/>
      <c r="C87" s="50" t="inlineStr">
        <is>
          <t>(2) Despite the presumption, there may be circumstances where it would not be practical or beneficial to scope key components as “full scope” components. For example:</t>
        </is>
      </c>
      <c r="AF87" s="59" t="n"/>
    </row>
    <row r="88">
      <c r="B88" s="58" t="n"/>
      <c r="C88" s="119" t="inlineStr">
        <is>
          <t>a.</t>
        </is>
      </c>
      <c r="D88" s="118" t="inlineStr">
        <is>
          <t>A component’s financial statements may only include a few of the FSAs that are material to the group and that contribute to more than 15% of the benchmark chosen for materiality (component key by size). In terms of the presumption, the component may be classified as a key component,</t>
        </is>
      </c>
      <c r="AF88" s="59" t="n"/>
    </row>
    <row r="89">
      <c r="B89" s="58" t="n"/>
      <c r="C89" s="54" t="n"/>
      <c r="D89" s="118" t="inlineStr">
        <is>
          <t>meaning a full-scope audit is required. However, the assessed risk of material misstatement in such component may be limited to one or two account balances or classes of transactions. The presumption that a full-scope audit is required may be rebutted,  as specific scope audit procedures</t>
        </is>
      </c>
      <c r="AF89" s="59" t="n"/>
    </row>
    <row r="90">
      <c r="B90" s="58" t="n"/>
      <c r="C90" s="54" t="n"/>
      <c r="D90" s="50" t="inlineStr">
        <is>
          <t>may be more appropriate. Nevertheless, the group auditor should not scope key components (key by size) in the category of “GET instructed engagement procedures”.</t>
        </is>
      </c>
      <c r="AF90" s="59" t="n"/>
    </row>
    <row r="91">
      <c r="B91" s="58" t="n"/>
      <c r="C91" s="119" t="inlineStr">
        <is>
          <t>b.</t>
        </is>
      </c>
      <c r="D91" s="50" t="inlineStr">
        <is>
          <t xml:space="preserve">A key component may be classified as key based on risk not based on size. Under these circumstances, the presumption that a full-scope audit is required may be rebutted, as specific scope audit procedures or GET procedures (targeting the assessed risk of material misstatement) may be </t>
        </is>
      </c>
      <c r="AF91" s="59" t="n"/>
    </row>
    <row r="92">
      <c r="B92" s="58" t="n"/>
      <c r="C92" s="54" t="n"/>
      <c r="D92" s="50" t="inlineStr">
        <is>
          <t xml:space="preserve">more appropriate under the circumstances. </t>
        </is>
      </c>
      <c r="AF92" s="59" t="n"/>
    </row>
    <row r="93">
      <c r="B93" s="58" t="n"/>
      <c r="AF93" s="59" t="n"/>
    </row>
    <row r="94">
      <c r="B94" s="58" t="n"/>
      <c r="C94" s="241" t="inlineStr">
        <is>
          <t>(3) MAM Policy: In determining the components at which to perform audit procedures, the group auditor 
evaluates their identification and assessment of risks of material misstatement of the group financial 
statements, and scope-in key components.</t>
        </is>
      </c>
      <c r="AF94" s="59" t="n"/>
    </row>
    <row r="95">
      <c r="B95" s="58" t="n"/>
      <c r="C95" s="241" t="inlineStr">
        <is>
          <t xml:space="preserve">Where further audit evidence is required after this assessment, the group auditor exercises professional judgment to determine at which material components these procedures should be performed.  </t>
        </is>
      </c>
      <c r="AF95" s="59" t="n"/>
    </row>
    <row r="96">
      <c r="B96" s="58" t="n"/>
      <c r="C96" s="240" t="inlineStr">
        <is>
          <t>The group auditor should document their justification for material components for which substantive procedures are not planned.</t>
        </is>
      </c>
      <c r="AF96" s="59" t="n"/>
    </row>
    <row r="97">
      <c r="B97" s="58" t="n"/>
      <c r="C97" s="50" t="inlineStr">
        <is>
          <t>Please refer to tab: Material component - rebuttal</t>
        </is>
      </c>
      <c r="AF97" s="59" t="n"/>
    </row>
    <row r="98">
      <c r="B98" s="58" t="n"/>
      <c r="C98" s="50" t="inlineStr">
        <is>
          <t>Please note that the material components where the presumption that they should be scoped in was rebutted should be analysed further in the stand-back procedures as a part of remaining population.</t>
        </is>
      </c>
      <c r="AF98" s="59" t="n"/>
    </row>
    <row r="99">
      <c r="B99" s="58" t="n"/>
      <c r="AF99" s="59" t="n"/>
    </row>
    <row r="100">
      <c r="B100" s="58" t="n"/>
      <c r="C100" s="239" t="inlineStr">
        <is>
          <t>(4) MAM Policy: having assessed which components in the group are key components and material components, if the aggregate amount of a Material or Significant COTABD for un-scoped components is still above group financial statement materiality,</t>
        </is>
      </c>
      <c r="AF100" s="59" t="n"/>
    </row>
    <row r="101">
      <c r="B101" s="58" t="n"/>
      <c r="C101" s="240" t="inlineStr">
        <is>
          <t>the group auditor must perform a stand-back assessment to evaluate sufficiency and appropriateness of audit evidence planned.</t>
        </is>
      </c>
      <c r="AF101" s="59" t="n"/>
    </row>
    <row r="102">
      <c r="B102" s="58" t="n"/>
      <c r="C102" s="50" t="inlineStr">
        <is>
          <t>Please refer to tab: Stand-back</t>
        </is>
      </c>
      <c r="AF102" s="59" t="n"/>
    </row>
    <row r="103">
      <c r="B103" s="58" t="n"/>
      <c r="AF103" s="59" t="n"/>
    </row>
    <row r="104">
      <c r="B104" s="58" t="n"/>
      <c r="C104" s="50" t="inlineStr">
        <is>
          <t>(5) Exception if not practical:</t>
        </is>
      </c>
      <c r="AF104" s="59" t="n"/>
    </row>
    <row r="105">
      <c r="B105" s="58" t="n"/>
      <c r="C105" s="118" t="inlineStr">
        <is>
          <t>In rare instances, a group may be comprised of a large number of components whose financial information is individually immaterial but material in the aggregate to the group financial statements. Under these circumstances, the selection of additional components for scoping purposes may not be practical.</t>
        </is>
      </c>
      <c r="AF105" s="59" t="n"/>
    </row>
    <row r="106">
      <c r="B106" s="58" t="n"/>
      <c r="C106" s="118" t="inlineStr">
        <is>
          <t>In such a case, the group auditor may perform ‘other assurance procedures’ (other than scoping in more components) as below to mitigate the risk of material misstatement on group level to an acceptable level.</t>
        </is>
      </c>
      <c r="AF106" s="59" t="n"/>
    </row>
    <row r="107">
      <c r="B107" s="58" t="n"/>
      <c r="C107" s="328" t="inlineStr">
        <is>
          <t xml:space="preserve"> In other cases, it maybe necessary to perform further audit procedures at selected components to address the risk of material misstatement of the group financial statements.</t>
        </is>
      </c>
      <c r="AF107" s="59" t="n"/>
    </row>
    <row r="108">
      <c r="B108" s="58" t="n"/>
      <c r="C108" s="328" t="inlineStr">
        <is>
          <t>i.	Review the results of any relevant audit work performed at component level by the group’s internal audit function during the period and the previous period including where relevant inspecting a sample of working papers on key risk areas; or</t>
        </is>
      </c>
      <c r="AF108" s="59" t="n"/>
    </row>
    <row r="109">
      <c r="B109" s="58" t="n"/>
      <c r="C109" s="329" t="inlineStr">
        <is>
          <t>ii. Review the results and reperform a sample of key internal controls tested during the period/ review the results of the previous period by the group’s internal audit function; or</t>
        </is>
      </c>
      <c r="AF109" s="59" t="n"/>
    </row>
    <row r="110">
      <c r="B110" s="58" t="n"/>
      <c r="C110" s="328" t="inlineStr">
        <is>
          <t>iii. Where the group auditor concluded on the D&amp;I of common controls that should be operating across the whole group, extending these controls to test the operating effectiveness; or</t>
        </is>
      </c>
      <c r="AF110" s="59" t="n"/>
    </row>
    <row r="111">
      <c r="B111" s="58" t="n"/>
      <c r="C111" s="328" t="inlineStr">
        <is>
          <t xml:space="preserve">iv.	 For selected components use the audited financial statement for the previous financial period and perform the following procedures: or </t>
        </is>
      </c>
      <c r="AF111" s="59" t="n"/>
    </row>
    <row r="112">
      <c r="B112" s="58" t="n"/>
      <c r="C112" s="328" t="inlineStr">
        <is>
          <t>•	 reconcile to the previous year’s reporting package;</t>
        </is>
      </c>
      <c r="AF112" s="59" t="n"/>
    </row>
    <row r="113">
      <c r="B113" s="58" t="n"/>
      <c r="C113" s="328" t="inlineStr">
        <is>
          <t>•	 review the key audit findings and consider the impact of these findings on the current year audit; and</t>
        </is>
      </c>
      <c r="AF113" s="59" t="n"/>
    </row>
    <row r="114">
      <c r="B114" s="58" t="n"/>
      <c r="C114" s="328" t="inlineStr">
        <is>
          <t xml:space="preserve">
•	 document whether there are any significant changes to the component this year and consider any changes that may warrant further audit work.  </t>
        </is>
      </c>
      <c r="AF114" s="59" t="n"/>
    </row>
    <row r="115">
      <c r="B115" s="58" t="n"/>
      <c r="C115" s="328" t="inlineStr">
        <is>
          <t xml:space="preserve">v.  Perform substantive analytical procedures at an appropriate level of disaggregation on the remaining components.   </t>
        </is>
      </c>
      <c r="AF115" s="59" t="n"/>
    </row>
    <row r="116">
      <c r="B116" s="58" t="n"/>
      <c r="C116" s="328" t="inlineStr">
        <is>
          <t xml:space="preserve">For substantive analytical procedures on the remaining components the following rules apply: </t>
        </is>
      </c>
      <c r="D116" s="55" t="n"/>
      <c r="E116" s="56" t="n"/>
      <c r="F116" s="56" t="n"/>
      <c r="G116" s="56" t="n"/>
      <c r="H116" s="56" t="n"/>
      <c r="I116" s="56" t="n"/>
      <c r="J116" s="56" t="n"/>
      <c r="K116" s="56" t="n"/>
      <c r="L116" s="56" t="n"/>
      <c r="M116" s="56" t="n"/>
      <c r="N116" s="56" t="n"/>
      <c r="O116" s="56" t="n"/>
      <c r="P116" s="56" t="n"/>
      <c r="Q116" s="56" t="n"/>
      <c r="R116" s="56" t="n"/>
      <c r="S116" s="56" t="n"/>
      <c r="T116" s="56" t="n"/>
      <c r="U116" s="56" t="n"/>
      <c r="V116" s="56" t="n"/>
      <c r="W116" s="56" t="n"/>
      <c r="AF116" s="59" t="n"/>
    </row>
    <row r="117">
      <c r="B117" s="58" t="n"/>
      <c r="C117" s="328" t="inlineStr">
        <is>
          <t xml:space="preserve">•	  Build expectation based on interview with group management and where relevant and other risk assessment procedures evidence (if any)  </t>
        </is>
      </c>
      <c r="D117" s="55" t="n"/>
      <c r="E117" s="56" t="n"/>
      <c r="F117" s="56" t="n"/>
      <c r="G117" s="56" t="n"/>
      <c r="H117" s="56" t="n"/>
      <c r="I117" s="56" t="n"/>
      <c r="J117" s="56" t="n"/>
      <c r="K117" s="56" t="n"/>
      <c r="L117" s="56" t="n"/>
      <c r="M117" s="56" t="n"/>
      <c r="N117" s="56" t="n"/>
      <c r="O117" s="56" t="n"/>
      <c r="P117" s="56" t="n"/>
      <c r="Q117" s="56" t="n"/>
      <c r="R117" s="56" t="n"/>
      <c r="S117" s="56" t="n"/>
      <c r="T117" s="56" t="n"/>
      <c r="U117" s="56" t="n"/>
      <c r="V117" s="56" t="n"/>
      <c r="W117" s="56" t="n"/>
      <c r="AF117" s="59" t="n"/>
    </row>
    <row r="118">
      <c r="B118" s="58" t="n"/>
      <c r="C118" s="328" t="inlineStr">
        <is>
          <t xml:space="preserve">•	 Use a 15% threshold.   </t>
        </is>
      </c>
      <c r="D118" s="55" t="n"/>
      <c r="E118" s="56" t="n"/>
      <c r="F118" s="56" t="n"/>
      <c r="G118" s="56" t="n"/>
      <c r="H118" s="56" t="n"/>
      <c r="I118" s="56" t="n"/>
      <c r="J118" s="56" t="n"/>
      <c r="K118" s="56" t="n"/>
      <c r="L118" s="56" t="n"/>
      <c r="M118" s="56" t="n"/>
      <c r="N118" s="56" t="n"/>
      <c r="O118" s="56" t="n"/>
      <c r="P118" s="56" t="n"/>
      <c r="Q118" s="56" t="n"/>
      <c r="R118" s="56" t="n"/>
      <c r="S118" s="56" t="n"/>
      <c r="T118" s="56" t="n"/>
      <c r="U118" s="56" t="n"/>
      <c r="V118" s="56" t="n"/>
      <c r="W118" s="56" t="n"/>
      <c r="AF118" s="59" t="n"/>
    </row>
    <row r="119">
      <c r="B119" s="58" t="n"/>
      <c r="C119" s="328" t="inlineStr">
        <is>
          <t xml:space="preserve">•	 Follow up deviations above 15% by scoping in the component in the overall audit approach.  </t>
        </is>
      </c>
      <c r="D119" s="55" t="n"/>
      <c r="E119" s="56" t="n"/>
      <c r="F119" s="56" t="n"/>
      <c r="G119" s="56" t="n"/>
      <c r="H119" s="56" t="n"/>
      <c r="I119" s="56" t="n"/>
      <c r="J119" s="56" t="n"/>
      <c r="K119" s="56" t="n"/>
      <c r="L119" s="56" t="n"/>
      <c r="M119" s="56" t="n"/>
      <c r="N119" s="56" t="n"/>
      <c r="O119" s="56" t="n"/>
      <c r="P119" s="56" t="n"/>
      <c r="Q119" s="56" t="n"/>
      <c r="R119" s="56" t="n"/>
      <c r="S119" s="56" t="n"/>
      <c r="T119" s="56" t="n"/>
      <c r="U119" s="56" t="n"/>
      <c r="V119" s="56" t="n"/>
      <c r="W119" s="56" t="n"/>
      <c r="AF119" s="59" t="n"/>
    </row>
    <row r="120">
      <c r="B120" s="58" t="n"/>
      <c r="C120" s="118" t="n"/>
      <c r="D120" s="55" t="n"/>
      <c r="E120" s="56" t="n"/>
      <c r="F120" s="56" t="n"/>
      <c r="G120" s="56" t="n"/>
      <c r="H120" s="56" t="n"/>
      <c r="I120" s="56" t="n"/>
      <c r="J120" s="56" t="n"/>
      <c r="K120" s="56" t="n"/>
      <c r="L120" s="56" t="n"/>
      <c r="M120" s="56" t="n"/>
      <c r="N120" s="56" t="n"/>
      <c r="O120" s="56" t="n"/>
      <c r="P120" s="56" t="n"/>
      <c r="Q120" s="56" t="n"/>
      <c r="R120" s="56" t="n"/>
      <c r="S120" s="56" t="n"/>
      <c r="T120" s="56" t="n"/>
      <c r="U120" s="56" t="n"/>
      <c r="V120" s="56" t="n"/>
      <c r="W120" s="56" t="n"/>
      <c r="AF120" s="59" t="n"/>
    </row>
    <row r="121" ht="13.5" customHeight="1" thickBot="1">
      <c r="B121" s="60" t="n"/>
      <c r="C121" s="61" t="n"/>
      <c r="D121" s="61" t="n"/>
      <c r="E121" s="61" t="n"/>
      <c r="F121" s="61" t="n"/>
      <c r="G121" s="61" t="n"/>
      <c r="H121" s="61" t="n"/>
      <c r="I121" s="61" t="n"/>
      <c r="J121" s="61" t="n"/>
      <c r="K121" s="61" t="n"/>
      <c r="L121" s="61" t="n"/>
      <c r="M121" s="61" t="n"/>
      <c r="N121" s="61" t="n"/>
      <c r="O121" s="61" t="n"/>
      <c r="P121" s="61" t="n"/>
      <c r="Q121" s="61" t="n"/>
      <c r="R121" s="61" t="n"/>
      <c r="S121" s="61" t="n"/>
      <c r="T121" s="61" t="n"/>
      <c r="U121" s="61" t="n"/>
      <c r="V121" s="61" t="n"/>
      <c r="W121" s="61" t="n"/>
      <c r="X121" s="61" t="n"/>
      <c r="Y121" s="61" t="n"/>
      <c r="Z121" s="61" t="n"/>
      <c r="AA121" s="61" t="n"/>
      <c r="AB121" s="61" t="n"/>
      <c r="AC121" s="61" t="n"/>
      <c r="AD121" s="61" t="n"/>
      <c r="AE121" s="61" t="n"/>
      <c r="AF121" s="62" t="n"/>
    </row>
    <row r="122" customFormat="1" s="47">
      <c r="C122" s="80" t="n"/>
      <c r="D122" s="81" t="n"/>
      <c r="E122" s="81" t="n"/>
      <c r="F122" s="48" t="n"/>
      <c r="H122" s="48" t="n"/>
      <c r="I122" s="48" t="n"/>
      <c r="J122" s="48" t="n"/>
      <c r="K122" s="48" t="n"/>
      <c r="L122" s="48" t="n"/>
      <c r="M122" s="48" t="n"/>
      <c r="N122" s="48" t="n"/>
      <c r="O122" s="48" t="n"/>
      <c r="P122" s="48" t="n"/>
      <c r="Q122" s="48" t="n"/>
      <c r="AQ122" s="48" t="n"/>
    </row>
    <row r="130" hidden="1">
      <c r="A130" s="48" t="n"/>
      <c r="AG130" s="48" t="n"/>
    </row>
    <row r="135" hidden="1" ht="18" customHeight="1">
      <c r="A135" s="203" t="n"/>
      <c r="AG135" s="203" t="n"/>
    </row>
  </sheetData>
  <sheetProtection selectLockedCells="0" selectUnlockedCells="0" algorithmName="SHA-512" sheet="1" objects="1" insertRows="1" insertHyperlinks="1" autoFilter="1" scenarios="1" formatColumns="1" deleteColumns="1" insertColumns="1" pivotTables="1" deleteRows="1" formatCells="1" saltValue="zjYPW/Weg942HskbAwhecg==" formatRows="1" sort="1" spinCount="100000" hashValue="ZEgb0xYv3RCMTbGyaXnhciwAvKUEvg448D+Ey1RLku9ZxB+VTEWBrPrRjEr/9el/0goCWAcG1zbXyiM0j+aQdg=="/>
  <pageMargins left="0.7" right="0.7" top="0.75" bottom="0.75" header="0.3" footer="0.3"/>
  <pageSetup orientation="portrait" paperSize="9"/>
</worksheet>
</file>

<file path=xl/worksheets/sheet3.xml><?xml version="1.0" encoding="utf-8"?>
<worksheet xmlns="http://schemas.openxmlformats.org/spreadsheetml/2006/main">
  <sheetPr codeName="Blad5">
    <tabColor theme="1"/>
    <outlinePr summaryBelow="1" summaryRight="1"/>
    <pageSetUpPr/>
  </sheetPr>
  <dimension ref="A1:BG140"/>
  <sheetViews>
    <sheetView showGridLines="0" zoomScaleNormal="100" workbookViewId="0">
      <selection activeCell="D6" sqref="D6"/>
    </sheetView>
  </sheetViews>
  <sheetFormatPr baseColWidth="8" defaultColWidth="9.140625" defaultRowHeight="12.75"/>
  <cols>
    <col width="2.7109375" customWidth="1" style="25" min="1" max="1"/>
    <col width="16.42578125" customWidth="1" min="2" max="2"/>
    <col width="27.5703125" customWidth="1" min="3" max="3"/>
    <col width="25" bestFit="1" customWidth="1" min="4" max="4"/>
    <col width="23.42578125" customWidth="1" min="5" max="5"/>
    <col width="19.5703125" customWidth="1" min="6" max="6"/>
    <col width="21" customWidth="1" min="7" max="7"/>
    <col width="24.28515625" customWidth="1" min="8" max="8"/>
    <col width="26.43" customWidth="1" min="9" max="9"/>
    <col width="20.71" customWidth="1" min="10" max="10"/>
    <col width="17.29" bestFit="1" customWidth="1" style="126" min="11" max="11"/>
    <col width="22.86" customWidth="1" style="126" min="12" max="12"/>
    <col width="15.57" customWidth="1" style="126" min="13" max="13"/>
    <col width="26.43" customWidth="1" min="14" max="15"/>
    <col width="20.71" customWidth="1" min="15" max="15"/>
    <col width="17.29" customWidth="1" min="16" max="17"/>
    <col width="22.86" customWidth="1" min="17" max="17"/>
    <col width="15.57" customWidth="1" min="18" max="18"/>
    <col width="26.43" customWidth="1" min="19" max="19"/>
    <col width="20.71" customWidth="1" min="20" max="20"/>
    <col width="17.29" customWidth="1" min="21" max="21"/>
    <col width="22.86" bestFit="1" customWidth="1" min="22" max="22"/>
    <col width="15.57" customWidth="1" min="23" max="23"/>
    <col width="26.43" customWidth="1" min="24" max="24"/>
    <col width="20.71" customWidth="1" min="25" max="25"/>
    <col width="17.29" bestFit="1" customWidth="1" min="26" max="26"/>
    <col width="22.86" customWidth="1" min="27" max="27"/>
    <col width="15.57" customWidth="1" style="126" min="28" max="28"/>
    <col width="2.71" customWidth="1" min="29" max="31"/>
    <col width="2.71" customWidth="1" min="30" max="30"/>
    <col width="24.43" customWidth="1" min="31" max="31"/>
    <col width="22.71" customWidth="1" min="32" max="32"/>
    <col width="34.57" customWidth="1" min="33" max="33"/>
    <col width="4.14" customWidth="1" min="34" max="34"/>
    <col width="24.86" customWidth="1" min="35" max="35"/>
    <col width="22.71" customWidth="1" min="36" max="36"/>
    <col width="34.29" customWidth="1" min="37" max="37"/>
    <col width="4.14" customWidth="1" min="38" max="38"/>
    <col width="24.57" customWidth="1" min="39" max="39"/>
    <col width="22.14" customWidth="1" min="40" max="40"/>
    <col width="34.29" customWidth="1" min="41" max="41"/>
    <col width="3.86" customWidth="1" min="42" max="42"/>
    <col width="62.71" customWidth="1" min="43" max="43"/>
    <col width="9.140000000000001" customWidth="1" min="44" max="44"/>
    <col hidden="1" width="13" customWidth="1" min="45" max="45"/>
    <col hidden="1" width="13" customWidth="1" min="46" max="46"/>
    <col hidden="1" width="13" customWidth="1" min="47" max="47"/>
    <col hidden="1" width="13" customWidth="1" min="48" max="48"/>
    <col hidden="1" width="13" customWidth="1" min="49" max="49"/>
    <col hidden="1" width="13" customWidth="1" min="50" max="50"/>
    <col hidden="1" width="13" customWidth="1" min="51" max="51"/>
    <col hidden="1" width="13" customWidth="1" min="52" max="52"/>
    <col hidden="1" width="13" customWidth="1" min="53" max="53"/>
    <col hidden="1" width="13" customWidth="1" min="54" max="54"/>
    <col hidden="1" width="13" customWidth="1" min="55" max="55"/>
    <col hidden="1" width="13" customWidth="1" min="56" max="56"/>
    <col hidden="1" width="13" customWidth="1" min="57" max="57"/>
    <col hidden="1" width="13" customWidth="1" min="58" max="58"/>
    <col hidden="1" width="13" customWidth="1" min="59" max="59"/>
  </cols>
  <sheetData>
    <row r="1" ht="13.5" customFormat="1" customHeight="1" s="140" thickBot="1">
      <c r="A1" s="207" t="n"/>
      <c r="B1" s="114" t="inlineStr">
        <is>
          <t>in scope</t>
        </is>
      </c>
      <c r="C1" s="208" t="inlineStr">
        <is>
          <t>n/a</t>
        </is>
      </c>
      <c r="D1" s="209" t="n"/>
      <c r="E1" s="114" t="n"/>
      <c r="F1" s="211" t="n"/>
      <c r="G1" s="114" t="n"/>
      <c r="H1" s="211" t="n"/>
      <c r="I1" s="210" t="inlineStr">
        <is>
          <t>full scope</t>
        </is>
      </c>
      <c r="J1" s="211" t="inlineStr">
        <is>
          <t>specific scope</t>
        </is>
      </c>
      <c r="K1" s="210" t="inlineStr">
        <is>
          <t>GET procedures</t>
        </is>
      </c>
      <c r="L1" s="210" t="inlineStr">
        <is>
          <t>other procedures</t>
        </is>
      </c>
      <c r="M1" s="210" t="inlineStr">
        <is>
          <t>Out of scope</t>
        </is>
      </c>
      <c r="N1" s="210" t="n"/>
      <c r="O1" s="211" t="n"/>
      <c r="P1" s="210" t="n"/>
      <c r="Q1" s="210" t="n"/>
      <c r="R1" s="210" t="n"/>
      <c r="S1" s="210" t="n"/>
      <c r="T1" s="211" t="n"/>
      <c r="U1" s="210" t="n"/>
      <c r="V1" s="210" t="n"/>
      <c r="W1" s="210" t="n"/>
      <c r="X1" s="210" t="n"/>
      <c r="Y1" s="211" t="n"/>
      <c r="Z1" s="210" t="n"/>
      <c r="AA1" s="210" t="n"/>
      <c r="AB1" s="210" t="n"/>
      <c r="AC1" s="114" t="n"/>
      <c r="AD1" s="114" t="n"/>
      <c r="AE1" s="114" t="n"/>
      <c r="AF1" s="114" t="n"/>
      <c r="AG1" s="114" t="n"/>
      <c r="AH1" s="114" t="n"/>
      <c r="AI1" s="114" t="n"/>
      <c r="AJ1" s="114" t="n"/>
      <c r="AK1" s="114" t="n"/>
      <c r="AL1" s="114" t="n"/>
      <c r="AM1" s="114" t="n"/>
      <c r="AN1" s="114" t="n"/>
      <c r="AO1" s="114" t="n"/>
      <c r="AP1" s="114" t="n"/>
      <c r="AQ1" s="114" t="n"/>
      <c r="AR1" s="114" t="n"/>
    </row>
    <row r="2">
      <c r="A2" s="213" t="inlineStr">
        <is>
          <t>full scope</t>
        </is>
      </c>
      <c r="B2" s="89" t="n"/>
      <c r="C2" s="90" t="n"/>
      <c r="D2" s="91" t="n"/>
      <c r="E2" s="93" t="n"/>
      <c r="F2" s="120" t="n"/>
      <c r="G2" s="93" t="n"/>
      <c r="H2" s="120" t="n"/>
      <c r="I2" s="93" t="n"/>
      <c r="J2" s="92" t="n"/>
      <c r="K2" s="120" t="n"/>
      <c r="L2" s="92" t="n"/>
      <c r="M2" s="92" t="n"/>
      <c r="N2" s="93" t="n"/>
      <c r="O2" s="92" t="n"/>
      <c r="P2" s="120" t="n"/>
      <c r="Q2" s="92" t="n"/>
      <c r="R2" s="92" t="n"/>
      <c r="S2" s="93" t="n"/>
      <c r="T2" s="92" t="n"/>
      <c r="U2" s="120" t="n"/>
      <c r="V2" s="92" t="n"/>
      <c r="W2" s="92" t="n"/>
      <c r="X2" s="93" t="n"/>
      <c r="Y2" s="92" t="n"/>
      <c r="Z2" s="120" t="n"/>
      <c r="AA2" s="92" t="n"/>
      <c r="AB2" s="92" t="n"/>
      <c r="AC2" s="93" t="n"/>
      <c r="AD2" s="93" t="n"/>
      <c r="AE2" s="93" t="n"/>
      <c r="AF2" s="93" t="n"/>
      <c r="AG2" s="93" t="n"/>
      <c r="AH2" s="93" t="n"/>
      <c r="AI2" s="93" t="n"/>
      <c r="AJ2" s="93" t="n"/>
      <c r="AK2" s="93" t="n"/>
      <c r="AL2" s="93" t="n"/>
      <c r="AM2" s="93" t="n"/>
      <c r="AN2" s="93" t="n"/>
      <c r="AO2" s="93" t="n"/>
      <c r="AP2" s="93" t="n"/>
      <c r="AQ2" s="93" t="n"/>
      <c r="AR2" s="93" t="n"/>
    </row>
    <row r="3">
      <c r="A3" s="213" t="inlineStr">
        <is>
          <t>specific scope</t>
        </is>
      </c>
      <c r="B3" s="95" t="n"/>
      <c r="C3" s="96" t="n"/>
      <c r="D3" s="97" t="n"/>
      <c r="E3" s="25" t="n"/>
      <c r="F3" s="121" t="n"/>
      <c r="G3" s="25" t="n"/>
      <c r="H3" s="121" t="n"/>
      <c r="I3" s="25" t="n"/>
      <c r="J3" s="31" t="n"/>
      <c r="K3" s="121" t="n"/>
      <c r="L3" s="31" t="n"/>
      <c r="M3" s="31" t="n"/>
      <c r="N3" s="25" t="n"/>
      <c r="O3" s="31" t="n"/>
      <c r="P3" s="121" t="n"/>
      <c r="Q3" s="31" t="n"/>
      <c r="R3" s="31" t="n"/>
      <c r="S3" s="25" t="n"/>
      <c r="T3" s="31" t="n"/>
      <c r="U3" s="121" t="n"/>
      <c r="V3" s="31" t="n"/>
      <c r="W3" s="31" t="n"/>
      <c r="X3" s="25" t="n"/>
      <c r="Y3" s="31" t="n"/>
      <c r="Z3" s="121" t="n"/>
      <c r="AA3" s="31" t="n"/>
      <c r="AB3" s="31" t="n"/>
      <c r="AC3" s="25" t="n"/>
      <c r="AD3" s="25" t="n"/>
      <c r="AE3" s="25" t="n"/>
      <c r="AF3" s="25" t="n"/>
      <c r="AG3" s="25" t="n"/>
      <c r="AH3" s="25" t="n"/>
      <c r="AI3" s="25" t="n"/>
      <c r="AJ3" s="25" t="n"/>
      <c r="AK3" s="25" t="n"/>
      <c r="AL3" s="25" t="n"/>
      <c r="AM3" s="25" t="n"/>
      <c r="AN3" s="25" t="n"/>
      <c r="AO3" s="25" t="n"/>
      <c r="AP3" s="25" t="n"/>
      <c r="AQ3" s="25" t="n"/>
      <c r="AR3" s="25" t="n"/>
    </row>
    <row r="4" ht="13.5" customHeight="1" thickBot="1">
      <c r="A4" s="213" t="inlineStr">
        <is>
          <t>GET procedures</t>
        </is>
      </c>
      <c r="B4" s="99" t="n"/>
      <c r="C4" s="100" t="n"/>
      <c r="D4" s="101" t="n"/>
      <c r="E4" s="40" t="n"/>
      <c r="F4" s="122" t="n"/>
      <c r="G4" s="40" t="n"/>
      <c r="H4" s="122" t="n"/>
      <c r="I4" s="40" t="n"/>
      <c r="J4" s="102" t="n"/>
      <c r="K4" s="122" t="n"/>
      <c r="L4" s="102" t="n"/>
      <c r="M4" s="102" t="n"/>
      <c r="N4" s="40" t="n"/>
      <c r="O4" s="102" t="n"/>
      <c r="P4" s="122" t="n"/>
      <c r="Q4" s="102" t="n"/>
      <c r="R4" s="102" t="n"/>
      <c r="S4" s="40" t="n"/>
      <c r="T4" s="102" t="n"/>
      <c r="U4" s="122" t="n"/>
      <c r="V4" s="102" t="n"/>
      <c r="W4" s="102" t="n"/>
      <c r="X4" s="40" t="n"/>
      <c r="Y4" s="102" t="n"/>
      <c r="Z4" s="122" t="n"/>
      <c r="AA4" s="102" t="n"/>
      <c r="AB4" s="102" t="n"/>
      <c r="AC4" s="40" t="n"/>
      <c r="AD4" s="40" t="n"/>
      <c r="AE4" s="40" t="n"/>
      <c r="AF4" s="40" t="n"/>
      <c r="AG4" s="40" t="n"/>
      <c r="AH4" s="40" t="n"/>
      <c r="AI4" s="40" t="n"/>
      <c r="AJ4" s="40" t="n"/>
      <c r="AK4" s="40" t="n"/>
      <c r="AL4" s="40" t="n"/>
      <c r="AM4" s="40" t="n"/>
      <c r="AN4" s="40" t="n"/>
      <c r="AO4" s="40" t="n"/>
      <c r="AP4" s="40" t="n"/>
      <c r="AQ4" s="40" t="n"/>
      <c r="AR4" s="40" t="n"/>
    </row>
    <row r="5" ht="24" customHeight="1" thickBot="1">
      <c r="A5" s="213" t="inlineStr">
        <is>
          <t>other procedures</t>
        </is>
      </c>
      <c r="B5" s="15" t="n"/>
      <c r="C5" s="16" t="inlineStr">
        <is>
          <t>Conso</t>
        </is>
      </c>
      <c r="D5" s="457" t="n"/>
      <c r="E5" s="18" t="n"/>
      <c r="F5" s="18" t="n"/>
      <c r="G5" s="18" t="n"/>
      <c r="H5" s="18" t="n"/>
      <c r="I5" s="18" t="n"/>
      <c r="J5" s="18" t="n"/>
      <c r="K5" s="123" t="n"/>
      <c r="L5" s="18" t="n"/>
      <c r="M5" s="18" t="n"/>
      <c r="N5" s="18" t="n"/>
      <c r="O5" s="18" t="n"/>
      <c r="P5" s="123" t="n"/>
      <c r="Q5" s="18" t="n"/>
      <c r="R5" s="18" t="n"/>
      <c r="S5" s="18" t="n"/>
      <c r="T5" s="18" t="n"/>
      <c r="U5" s="123" t="n"/>
      <c r="V5" s="18" t="n"/>
      <c r="W5" s="18" t="n"/>
      <c r="X5" s="18" t="n"/>
      <c r="Y5" s="18" t="n"/>
      <c r="Z5" s="123" t="n"/>
      <c r="AA5" s="18" t="n"/>
      <c r="AB5" s="18" t="n"/>
      <c r="AC5" s="18" t="n"/>
      <c r="AD5" s="18" t="n"/>
      <c r="AE5" s="18" t="n"/>
      <c r="AF5" s="18" t="n"/>
      <c r="AG5" s="18" t="n"/>
      <c r="AH5" s="18" t="n"/>
      <c r="AI5" s="18" t="n"/>
      <c r="AJ5" s="18" t="n"/>
      <c r="AK5" s="18" t="n"/>
      <c r="AL5" s="18" t="n"/>
      <c r="AM5" s="18" t="n"/>
      <c r="AN5" s="18" t="n"/>
      <c r="AO5" s="18" t="n"/>
      <c r="AP5" s="18" t="n"/>
      <c r="AQ5" s="18" t="n"/>
      <c r="AR5" s="18" t="n"/>
    </row>
    <row r="6" ht="35.25" customHeight="1" thickBot="1">
      <c r="A6" s="213" t="inlineStr">
        <is>
          <t>Out of scope</t>
        </is>
      </c>
      <c r="B6" s="124" t="n"/>
      <c r="C6" s="125" t="inlineStr">
        <is>
          <t>Group size</t>
        </is>
      </c>
      <c r="D6" s="191" t="n">
        <v>4</v>
      </c>
    </row>
    <row r="7" ht="37.5" customHeight="1" thickBot="1">
      <c r="B7" s="124" t="n"/>
      <c r="C7" s="125">
        <f>'Template identifying components'!D8</f>
        <v/>
      </c>
      <c r="D7" s="330" t="n">
        <v>8908960663.85</v>
      </c>
      <c r="J7" s="126" t="n"/>
      <c r="O7" s="126" t="n"/>
      <c r="T7" s="126" t="n"/>
      <c r="Y7" s="126" t="n"/>
    </row>
    <row r="8" ht="27" customHeight="1" thickBot="1">
      <c r="B8" s="124" t="n"/>
    </row>
    <row r="9" ht="27.75" customFormat="1" customHeight="1" s="129">
      <c r="A9" s="121" t="n"/>
      <c r="B9" s="128" t="n"/>
      <c r="C9" s="560" t="inlineStr">
        <is>
          <t>Data check</t>
        </is>
      </c>
      <c r="D9" s="556" t="n"/>
      <c r="E9" s="556" t="n"/>
      <c r="F9" s="556" t="n"/>
      <c r="G9" s="557" t="n"/>
      <c r="H9" s="215" t="inlineStr">
        <is>
          <t>Final conclusion about the component</t>
        </is>
      </c>
      <c r="I9" s="561" t="inlineStr">
        <is>
          <t>Key / Material component / Material component (rebutted) / Non-material component / N/A</t>
        </is>
      </c>
      <c r="J9" s="562" t="n"/>
      <c r="K9" s="563" t="n"/>
      <c r="L9" s="326" t="inlineStr">
        <is>
          <t>Key component</t>
        </is>
      </c>
      <c r="M9" s="564" t="n">
        <v>1</v>
      </c>
      <c r="N9" s="561" t="inlineStr">
        <is>
          <t>Key / Material component / Material component (rebutted) / Non-material component / N/A</t>
        </is>
      </c>
      <c r="O9" s="562" t="n"/>
      <c r="P9" s="563" t="n"/>
      <c r="Q9" s="326" t="inlineStr">
        <is>
          <t>Key component</t>
        </is>
      </c>
      <c r="R9" s="564" t="n">
        <v>2</v>
      </c>
      <c r="S9" s="561" t="inlineStr">
        <is>
          <t>Key / Material component / Material component (rebutted) / Non-material component / N/A</t>
        </is>
      </c>
      <c r="T9" s="562" t="n"/>
      <c r="U9" s="563" t="n"/>
      <c r="V9" s="326" t="inlineStr">
        <is>
          <t>Key component</t>
        </is>
      </c>
      <c r="W9" s="564" t="n">
        <v>3</v>
      </c>
      <c r="X9" s="561" t="inlineStr">
        <is>
          <t>Key / Material component / Material component (rebutted) / Non-material component / N/A</t>
        </is>
      </c>
      <c r="Y9" s="562" t="n"/>
      <c r="Z9" s="563" t="n"/>
      <c r="AA9" s="326" t="inlineStr">
        <is>
          <t>Key component</t>
        </is>
      </c>
      <c r="AB9" s="564" t="n">
        <v>4</v>
      </c>
      <c r="AE9" s="560" t="inlineStr">
        <is>
          <t>Check if un-scoped aggregate value of a COTABD is below group materiality</t>
        </is>
      </c>
      <c r="AF9" s="556" t="n"/>
      <c r="AG9" s="556" t="n"/>
      <c r="AH9" s="556" t="n"/>
      <c r="AI9" s="556" t="n"/>
      <c r="AJ9" s="556" t="n"/>
      <c r="AK9" s="556" t="n"/>
      <c r="AL9" s="556" t="n"/>
      <c r="AM9" s="556" t="n"/>
      <c r="AN9" s="556" t="n"/>
      <c r="AO9" s="556" t="n"/>
      <c r="AP9" s="556" t="n"/>
      <c r="AQ9" s="557" t="n"/>
    </row>
    <row r="10" ht="27" customFormat="1" customHeight="1" s="129" thickBot="1">
      <c r="A10" s="121" t="n"/>
      <c r="B10" s="128" t="n"/>
      <c r="C10" s="187" t="n"/>
      <c r="D10" s="188" t="n"/>
      <c r="E10" s="188" t="n"/>
      <c r="F10" s="188" t="n"/>
      <c r="G10" s="190" t="n"/>
      <c r="H10" s="216" t="inlineStr">
        <is>
          <t>Final conclusion about assigned scope</t>
        </is>
      </c>
      <c r="I10" s="565" t="inlineStr">
        <is>
          <t>Full / Specific / GET procedures / other assurance procedures / out of scope</t>
        </is>
      </c>
      <c r="J10" s="566" t="n"/>
      <c r="K10" s="567" t="n"/>
      <c r="L10" s="217" t="inlineStr">
        <is>
          <t>full scope</t>
        </is>
      </c>
      <c r="M10" s="568" t="n"/>
      <c r="N10" s="565" t="inlineStr">
        <is>
          <t>Full / Specific / GET procedures / other assurance procedures / out of scope</t>
        </is>
      </c>
      <c r="O10" s="566" t="n"/>
      <c r="P10" s="567" t="n"/>
      <c r="Q10" s="217" t="inlineStr">
        <is>
          <t>full scope</t>
        </is>
      </c>
      <c r="R10" s="568" t="n"/>
      <c r="S10" s="565" t="inlineStr">
        <is>
          <t>Full / Specific / GET procedures / other assurance procedures / out of scope</t>
        </is>
      </c>
      <c r="T10" s="566" t="n"/>
      <c r="U10" s="567" t="n"/>
      <c r="V10" s="217" t="inlineStr">
        <is>
          <t>full scope</t>
        </is>
      </c>
      <c r="W10" s="568" t="n"/>
      <c r="X10" s="565" t="inlineStr">
        <is>
          <t>Full / Specific / GET procedures / other assurance procedures / out of scope</t>
        </is>
      </c>
      <c r="Y10" s="566" t="n"/>
      <c r="Z10" s="567" t="n"/>
      <c r="AA10" s="217" t="inlineStr">
        <is>
          <t>full scope</t>
        </is>
      </c>
      <c r="AB10" s="568" t="n"/>
      <c r="AE10" s="187" t="n"/>
      <c r="AF10" s="188" t="n"/>
      <c r="AG10" s="188" t="n"/>
      <c r="AH10" s="188" t="n"/>
      <c r="AI10" s="188" t="n"/>
      <c r="AJ10" s="188" t="n"/>
      <c r="AK10" s="188" t="n"/>
      <c r="AL10" s="188" t="n"/>
      <c r="AM10" s="188" t="n"/>
      <c r="AN10" s="188" t="n"/>
      <c r="AO10" s="188" t="n"/>
      <c r="AP10" s="188" t="n"/>
      <c r="AQ10" s="190" t="n"/>
    </row>
    <row r="11" ht="22.5" customHeight="1">
      <c r="A11" s="121" t="n"/>
      <c r="B11" s="124" t="n"/>
      <c r="C11" s="131" t="n"/>
      <c r="E11" s="131" t="n"/>
      <c r="F11" s="131" t="n"/>
      <c r="G11" s="131" t="n"/>
      <c r="H11" s="131" t="n"/>
      <c r="I11" s="131" t="n"/>
      <c r="J11" s="131" t="n"/>
      <c r="K11" s="131" t="n"/>
      <c r="L11" s="131" t="n"/>
      <c r="M11" s="131" t="n"/>
      <c r="N11" s="131" t="n"/>
      <c r="O11" s="131" t="n"/>
      <c r="P11" s="131" t="n"/>
      <c r="Q11" s="131" t="n"/>
      <c r="R11" s="131" t="n"/>
      <c r="S11" s="131" t="n"/>
      <c r="T11" s="131" t="n"/>
      <c r="U11" s="131" t="n"/>
      <c r="V11" s="131" t="n"/>
      <c r="W11" s="131" t="n"/>
      <c r="X11" s="131" t="n"/>
      <c r="Y11" s="131" t="n"/>
      <c r="Z11" s="131" t="n"/>
      <c r="AA11" s="131" t="n"/>
      <c r="AB11" s="131" t="n"/>
      <c r="AC11" s="131" t="n"/>
      <c r="AD11" s="131" t="n"/>
      <c r="AE11" s="131" t="n"/>
      <c r="AF11" s="131" t="n"/>
      <c r="AG11" s="131" t="n"/>
      <c r="AH11" s="131" t="n"/>
      <c r="AI11" s="131" t="n"/>
      <c r="AJ11" s="131" t="n"/>
      <c r="AK11" s="131" t="n"/>
      <c r="AL11" s="131" t="n"/>
      <c r="AM11" s="131" t="n"/>
      <c r="AN11" s="131" t="n"/>
      <c r="AO11" s="131" t="n"/>
      <c r="AP11" s="131" t="n"/>
      <c r="AQ11" s="131" t="n"/>
      <c r="AR11" s="131" t="n"/>
    </row>
    <row r="12">
      <c r="B12" s="133" t="n"/>
      <c r="C12" s="134" t="n"/>
      <c r="D12" s="135" t="inlineStr">
        <is>
          <t>Assets</t>
        </is>
      </c>
      <c r="E12" s="134" t="n"/>
      <c r="F12" s="134" t="n"/>
      <c r="G12" s="134" t="n"/>
      <c r="H12" s="134" t="n"/>
      <c r="I12" s="136" t="n"/>
      <c r="J12" s="134" t="n"/>
      <c r="K12" s="137" t="n"/>
      <c r="L12" s="137" t="n"/>
      <c r="M12" s="137" t="n"/>
      <c r="N12" s="136" t="n"/>
      <c r="O12" s="134" t="n"/>
      <c r="P12" s="137" t="n"/>
      <c r="Q12" s="137" t="n"/>
      <c r="R12" s="137" t="n"/>
      <c r="S12" s="136" t="n"/>
      <c r="T12" s="134" t="n"/>
      <c r="U12" s="137" t="n"/>
      <c r="V12" s="137" t="n"/>
      <c r="W12" s="137" t="n"/>
      <c r="X12" s="136" t="n"/>
      <c r="Y12" s="134" t="n"/>
      <c r="Z12" s="137" t="n"/>
      <c r="AA12" s="137" t="n"/>
      <c r="AB12" s="137" t="n"/>
      <c r="AC12" s="134" t="n"/>
      <c r="AD12" s="134" t="n"/>
      <c r="AE12" s="134" t="n"/>
      <c r="AF12" s="134" t="n"/>
      <c r="AG12" s="134" t="n"/>
      <c r="AH12" s="134" t="n"/>
      <c r="AI12" s="134" t="n"/>
      <c r="AJ12" s="134" t="n"/>
      <c r="AK12" s="134" t="n"/>
      <c r="AL12" s="134" t="n"/>
      <c r="AM12" s="134" t="n"/>
      <c r="AN12" s="134" t="n"/>
      <c r="AO12" s="134" t="n"/>
      <c r="AP12" s="134" t="n"/>
      <c r="AQ12" s="137" t="n"/>
      <c r="AR12" s="134" t="n"/>
    </row>
    <row r="13" ht="19.5" customFormat="1" customHeight="1" s="140" thickBot="1">
      <c r="A13" s="25" t="n"/>
      <c r="B13" s="139" t="n"/>
      <c r="K13" s="141" t="n"/>
      <c r="L13" s="141" t="n"/>
      <c r="M13" s="141" t="n"/>
      <c r="P13" s="141" t="n"/>
      <c r="Q13" s="141" t="n"/>
      <c r="R13" s="141" t="n"/>
      <c r="U13" s="141" t="n"/>
      <c r="V13" s="141" t="n"/>
      <c r="W13" s="141" t="n"/>
      <c r="Z13" s="141" t="n"/>
      <c r="AA13" s="141" t="n"/>
      <c r="AB13" s="141" t="n"/>
      <c r="AQ13" s="141" t="n"/>
    </row>
    <row r="14" ht="51.75" customFormat="1" customHeight="1" s="129" thickBot="1">
      <c r="A14" s="25" t="n"/>
      <c r="B14" s="128" t="n"/>
      <c r="E14" s="143" t="inlineStr">
        <is>
          <t>To be filled in by total COTABD value as per group financial statements</t>
        </is>
      </c>
      <c r="I14" s="143" t="inlineStr">
        <is>
          <t>To be filled in by consolidation data after eliminations</t>
        </is>
      </c>
      <c r="J14" s="569" t="n"/>
      <c r="K14" s="569" t="n"/>
      <c r="L14" s="569" t="n"/>
      <c r="M14" s="570" t="n"/>
      <c r="N14" s="143" t="inlineStr">
        <is>
          <t>To be filled in by consolidation data after eliminations</t>
        </is>
      </c>
      <c r="O14" s="569" t="n"/>
      <c r="P14" s="569" t="n"/>
      <c r="Q14" s="569" t="n"/>
      <c r="R14" s="570" t="n"/>
      <c r="S14" s="143" t="inlineStr">
        <is>
          <t>To be filled in by consolidation data after eliminations</t>
        </is>
      </c>
      <c r="T14" s="569" t="n"/>
      <c r="U14" s="569" t="n"/>
      <c r="V14" s="569" t="n"/>
      <c r="W14" s="570" t="n"/>
      <c r="X14" s="143" t="inlineStr">
        <is>
          <t>To be filled in by consolidation data after eliminations</t>
        </is>
      </c>
      <c r="Y14" s="569" t="n"/>
      <c r="Z14" s="569" t="n"/>
      <c r="AA14" s="569" t="n"/>
      <c r="AB14" s="570" t="n"/>
      <c r="AE14" s="571" t="inlineStr">
        <is>
          <t>Full scope</t>
        </is>
      </c>
      <c r="AF14" s="556" t="n"/>
      <c r="AG14" s="557" t="n"/>
      <c r="AI14" s="571" t="inlineStr">
        <is>
          <t>Full + specific scope</t>
        </is>
      </c>
      <c r="AJ14" s="556" t="n"/>
      <c r="AK14" s="557" t="n"/>
      <c r="AM14" s="572" t="inlineStr">
        <is>
          <t>Full + specific + GET instructed engagement procedures scope</t>
        </is>
      </c>
      <c r="AN14" s="569" t="n"/>
      <c r="AO14" s="570" t="n"/>
      <c r="AQ14" s="499" t="n"/>
    </row>
    <row r="15" ht="64.5" customFormat="1" customHeight="1" s="548" thickBot="1">
      <c r="A15" s="25" t="n"/>
      <c r="B15" s="547" t="n"/>
      <c r="C15" s="146" t="inlineStr">
        <is>
          <t>COTABD Name</t>
        </is>
      </c>
      <c r="D15" s="148" t="inlineStr">
        <is>
          <t>COTABD assessment</t>
        </is>
      </c>
      <c r="E15" s="150" t="inlineStr">
        <is>
          <t>Total of COTABD as per consolidation sheet</t>
        </is>
      </c>
      <c r="F15" s="149" t="inlineStr">
        <is>
          <t>Total of COTABDs</t>
        </is>
      </c>
      <c r="G15" s="151" t="inlineStr">
        <is>
          <t>Check</t>
        </is>
      </c>
      <c r="I15" s="147">
        <f>'Template identifying components'!$D$18</f>
        <v/>
      </c>
      <c r="J15" s="148" t="inlineStr">
        <is>
          <t>Component share in the COTABD above materiality?</t>
        </is>
      </c>
      <c r="K15" s="148" t="inlineStr">
        <is>
          <t>Key / Material component check</t>
        </is>
      </c>
      <c r="L15" s="148" t="inlineStr">
        <is>
          <t>COTABD in scope of specific scope?</t>
        </is>
      </c>
      <c r="M15" s="274" t="inlineStr">
        <is>
          <t>COTABD in scope of GET instructed engagement procedures?</t>
        </is>
      </c>
      <c r="N15" s="147">
        <f>'Template identifying components'!$D$19</f>
        <v/>
      </c>
      <c r="O15" s="148" t="inlineStr">
        <is>
          <t>Component share in the COTABD above materiality?</t>
        </is>
      </c>
      <c r="P15" s="148" t="inlineStr">
        <is>
          <t>Key / Material component check</t>
        </is>
      </c>
      <c r="Q15" s="148" t="inlineStr">
        <is>
          <t>COTABD in scope of specific scope?</t>
        </is>
      </c>
      <c r="R15" s="274" t="inlineStr">
        <is>
          <t>COTABD in scope of GET instructed engagement procedures?</t>
        </is>
      </c>
      <c r="S15" s="147">
        <f>'Template identifying components'!$D$20</f>
        <v/>
      </c>
      <c r="T15" s="148" t="inlineStr">
        <is>
          <t>Component share in the COTABD above materiality?</t>
        </is>
      </c>
      <c r="U15" s="148" t="inlineStr">
        <is>
          <t>Key / Material component check</t>
        </is>
      </c>
      <c r="V15" s="148" t="inlineStr">
        <is>
          <t>COTABD in scope of specific scope?</t>
        </is>
      </c>
      <c r="W15" s="274" t="inlineStr">
        <is>
          <t>COTABD in scope of GET instructed engagement procedures?</t>
        </is>
      </c>
      <c r="X15" s="147">
        <f>'Template identifying components'!$D$21</f>
        <v/>
      </c>
      <c r="Y15" s="148" t="inlineStr">
        <is>
          <t>Component share in the COTABD above materiality?</t>
        </is>
      </c>
      <c r="Z15" s="148" t="inlineStr">
        <is>
          <t>Key / Material component check</t>
        </is>
      </c>
      <c r="AA15" s="148" t="inlineStr">
        <is>
          <t>COTABD in scope of specific scope?</t>
        </is>
      </c>
      <c r="AB15" s="274" t="inlineStr">
        <is>
          <t>COTABD in scope of GET instructed engagement procedures?</t>
        </is>
      </c>
      <c r="AE15" s="149" t="inlineStr">
        <is>
          <t>Total of COTABD covered by full scope</t>
        </is>
      </c>
      <c r="AF15" s="150" t="inlineStr">
        <is>
          <t>Unscoped balance</t>
        </is>
      </c>
      <c r="AG15" s="151" t="inlineStr">
        <is>
          <t>Conclusion</t>
        </is>
      </c>
      <c r="AI15" s="149" t="inlineStr">
        <is>
          <t>Total of COTABD covered by specific scope</t>
        </is>
      </c>
      <c r="AJ15" s="150" t="inlineStr">
        <is>
          <t>Unscoped balance</t>
        </is>
      </c>
      <c r="AK15" s="151" t="inlineStr">
        <is>
          <t>Conclusion</t>
        </is>
      </c>
      <c r="AM15" s="149" t="inlineStr">
        <is>
          <t>Total of COTABD covered by GET instructed engagament procedures</t>
        </is>
      </c>
      <c r="AN15" s="150" t="inlineStr">
        <is>
          <t>Unscoped balance</t>
        </is>
      </c>
      <c r="AO15" s="151" t="inlineStr">
        <is>
          <t>Conclusion</t>
        </is>
      </c>
      <c r="AQ15" s="152" t="inlineStr">
        <is>
          <t>Attention</t>
        </is>
      </c>
    </row>
    <row r="16">
      <c r="B16" s="547" t="n"/>
      <c r="C16" s="331" t="inlineStr">
        <is>
          <t>01.현금및현금등가물</t>
        </is>
      </c>
      <c r="D16" s="222" t="inlineStr">
        <is>
          <t>MCOTABD</t>
        </is>
      </c>
      <c r="E16" s="333" t="n">
        <v>91669580814</v>
      </c>
      <c r="F16" s="156">
        <f>$I$16+$N$16+$S$16+$X$16</f>
        <v/>
      </c>
      <c r="G16" s="157">
        <f>E16-F16</f>
        <v/>
      </c>
      <c r="I16" s="337" t="n">
        <v>79153122516</v>
      </c>
      <c r="J16" s="154">
        <f>IF(ABS(I16)&gt;$D$7,"above","below")</f>
        <v/>
      </c>
      <c r="K16" s="155">
        <f>IF('Template identifying components'!$P$18="key component","Key component",IF($J$16="above","Material component","n/a"))</f>
        <v/>
      </c>
      <c r="L16" s="199" t="inlineStr">
        <is>
          <t>n/a</t>
        </is>
      </c>
      <c r="M16" s="275" t="inlineStr">
        <is>
          <t>n/a</t>
        </is>
      </c>
      <c r="N16" s="337" t="n">
        <v>3260794205</v>
      </c>
      <c r="O16" s="154">
        <f>IF(ABS(N16)&gt;$D$7,"above","below")</f>
        <v/>
      </c>
      <c r="P16" s="155">
        <f>IF('Template identifying components'!$P$19="key component","Key component",IF($O$16="above","Material component","n/a"))</f>
        <v/>
      </c>
      <c r="Q16" s="199" t="inlineStr">
        <is>
          <t>n/a</t>
        </is>
      </c>
      <c r="R16" s="275" t="inlineStr">
        <is>
          <t>n/a</t>
        </is>
      </c>
      <c r="S16" s="337" t="n">
        <v>736819923</v>
      </c>
      <c r="T16" s="154">
        <f>IF(ABS(S16)&gt;$D$7,"above","below")</f>
        <v/>
      </c>
      <c r="U16" s="155">
        <f>IF('Template identifying components'!$P$20="key component","Key component",IF($T$16="above","Material component","n/a"))</f>
        <v/>
      </c>
      <c r="V16" s="199" t="inlineStr">
        <is>
          <t>n/a</t>
        </is>
      </c>
      <c r="W16" s="275" t="inlineStr">
        <is>
          <t>n/a</t>
        </is>
      </c>
      <c r="X16" s="337" t="n">
        <v>8518844170</v>
      </c>
      <c r="Y16" s="154">
        <f>IF(ABS(X16)&gt;$D$7,"above","below")</f>
        <v/>
      </c>
      <c r="Z16" s="155">
        <f>IF('Template identifying components'!$P$21="key component","Key component",IF($Y$16="above","Material component","n/a"))</f>
        <v/>
      </c>
      <c r="AA16" s="199" t="inlineStr">
        <is>
          <t>n/a</t>
        </is>
      </c>
      <c r="AB16" s="275" t="inlineStr">
        <is>
          <t>n/a</t>
        </is>
      </c>
      <c r="AE16" s="156">
        <f>$AY$16</f>
        <v/>
      </c>
      <c r="AF16" s="158">
        <f>E16-AE16</f>
        <v/>
      </c>
      <c r="AG16" s="159">
        <f>IF(ABS(AF16)&gt;$D$7,"untested population above materiality","untested population below materiality")</f>
        <v/>
      </c>
      <c r="AI16" s="156">
        <f>$BC$16</f>
        <v/>
      </c>
      <c r="AJ16" s="158">
        <f>AF16-AI16</f>
        <v/>
      </c>
      <c r="AK16" s="159">
        <f>IF(ABS(AJ16)&gt;$D$7,"untested population above materiality","untested population below materiality")</f>
        <v/>
      </c>
      <c r="AL16" s="548" t="n"/>
      <c r="AM16" s="156">
        <f>$BG$16</f>
        <v/>
      </c>
      <c r="AN16" s="158">
        <f>AJ16-AM16</f>
        <v/>
      </c>
      <c r="AO16" s="159">
        <f>IF(ABS(AN16)&gt;$D$7,"untested population above materiality","untested population below materiality")</f>
        <v/>
      </c>
      <c r="AP16" s="548" t="n"/>
      <c r="AQ16" s="160">
        <f>IF(AO16="untested population above materiality","scope in more components or perform a stand-back assessment","ok")</f>
        <v/>
      </c>
      <c r="AY16">
        <f>IF(L10="full scope",I16,0)+IF(Q10="full scope",N16,0)+IF(V10="full scope",S16,0)+IF(AA10="full scope",X16,0)</f>
        <v/>
      </c>
      <c r="BC16">
        <f>IF(L16="in scope",I16,0)+IF(Q16="in scope",N16,0)+IF(V16="in scope",S16,0)+IF(AA16="in scope",X16,0)</f>
        <v/>
      </c>
      <c r="BG16">
        <f>IF(M16="in scope",I16,0)+IF(R16="in scope",N16,0)+IF(W16="in scope",S16,0)+IF(AB16="in scope",X16,0)</f>
        <v/>
      </c>
    </row>
    <row r="17">
      <c r="B17" s="547" t="n"/>
      <c r="C17" s="332" t="inlineStr">
        <is>
          <t>02.매출채권(대손충당금 차감후)</t>
        </is>
      </c>
      <c r="D17" s="222" t="inlineStr">
        <is>
          <t>SCOTABD</t>
        </is>
      </c>
      <c r="E17" s="333" t="n">
        <v>80442603103</v>
      </c>
      <c r="F17" s="156">
        <f>$I$17+$N$17+$S$17+$X$17</f>
        <v/>
      </c>
      <c r="G17" s="157">
        <f>E17-F17</f>
        <v/>
      </c>
      <c r="I17" s="337" t="n">
        <v>25910705927</v>
      </c>
      <c r="J17" s="154">
        <f>IF(ABS(I17)&gt;$D$7,"above","below")</f>
        <v/>
      </c>
      <c r="K17" s="155">
        <f>IF('Template identifying components'!$P$18="key component","Key component",IF($J$17="above","Material component","n/a"))</f>
        <v/>
      </c>
      <c r="L17" s="199" t="inlineStr">
        <is>
          <t>n/a</t>
        </is>
      </c>
      <c r="M17" s="275" t="inlineStr">
        <is>
          <t>n/a</t>
        </is>
      </c>
      <c r="N17" s="337" t="n">
        <v>1815614408</v>
      </c>
      <c r="O17" s="154">
        <f>IF(ABS(N17)&gt;$D$7,"above","below")</f>
        <v/>
      </c>
      <c r="P17" s="155">
        <f>IF('Template identifying components'!$P$19="key component","Key component",IF($O$17="above","Material component","n/a"))</f>
        <v/>
      </c>
      <c r="Q17" s="199" t="inlineStr">
        <is>
          <t>n/a</t>
        </is>
      </c>
      <c r="R17" s="275" t="inlineStr">
        <is>
          <t>n/a</t>
        </is>
      </c>
      <c r="S17" s="337" t="n">
        <v>31459137542</v>
      </c>
      <c r="T17" s="154">
        <f>IF(ABS(S17)&gt;$D$7,"above","below")</f>
        <v/>
      </c>
      <c r="U17" s="155">
        <f>IF('Template identifying components'!$P$20="key component","Key component",IF($T$17="above","Material component","n/a"))</f>
        <v/>
      </c>
      <c r="V17" s="199" t="inlineStr">
        <is>
          <t>n/a</t>
        </is>
      </c>
      <c r="W17" s="275" t="inlineStr">
        <is>
          <t>n/a</t>
        </is>
      </c>
      <c r="X17" s="337" t="n">
        <v>21257145226</v>
      </c>
      <c r="Y17" s="154">
        <f>IF(ABS(X17)&gt;$D$7,"above","below")</f>
        <v/>
      </c>
      <c r="Z17" s="155">
        <f>IF('Template identifying components'!$P$21="key component","Key component",IF($Y$17="above","Material component","n/a"))</f>
        <v/>
      </c>
      <c r="AA17" s="199" t="inlineStr">
        <is>
          <t>n/a</t>
        </is>
      </c>
      <c r="AB17" s="275" t="inlineStr">
        <is>
          <t>n/a</t>
        </is>
      </c>
      <c r="AE17" s="156">
        <f>$AY$17</f>
        <v/>
      </c>
      <c r="AF17" s="158">
        <f>E17-AE17</f>
        <v/>
      </c>
      <c r="AG17" s="159">
        <f>IF(ABS(AF17)&gt;$D$7,"untested population above materiality","untested population below materiality")</f>
        <v/>
      </c>
      <c r="AI17" s="156">
        <f>$BC$17</f>
        <v/>
      </c>
      <c r="AJ17" s="158">
        <f>AF17-AI17</f>
        <v/>
      </c>
      <c r="AK17" s="159">
        <f>IF(ABS(AJ17)&gt;$D$7,"untested population above materiality","untested population below materiality")</f>
        <v/>
      </c>
      <c r="AL17" s="548" t="n"/>
      <c r="AM17" s="156">
        <f>$BG$17</f>
        <v/>
      </c>
      <c r="AN17" s="158">
        <f>AJ17-AM17</f>
        <v/>
      </c>
      <c r="AO17" s="159">
        <f>IF(ABS(AN17)&gt;$D$7,"untested population above materiality","untested population below materiality")</f>
        <v/>
      </c>
      <c r="AP17" s="548" t="n"/>
      <c r="AQ17" s="160">
        <f>IF(AO17="untested population above materiality","scope in more components or perform a stand-back assessment","ok")</f>
        <v/>
      </c>
      <c r="AY17">
        <f>IF(L10="full scope",I17,0)+IF(Q10="full scope",N17,0)+IF(V10="full scope",S17,0)+IF(AA10="full scope",X17,0)</f>
        <v/>
      </c>
      <c r="BC17">
        <f>IF(L17="in scope",I17,0)+IF(Q17="in scope",N17,0)+IF(V17="in scope",S17,0)+IF(AA17="in scope",X17,0)</f>
        <v/>
      </c>
      <c r="BG17">
        <f>IF(M17="in scope",I17,0)+IF(R17="in scope",N17,0)+IF(W17="in scope",S17,0)+IF(AB17="in scope",X17,0)</f>
        <v/>
      </c>
    </row>
    <row r="18">
      <c r="B18" s="547" t="n"/>
      <c r="C18" s="332" t="inlineStr">
        <is>
          <t>03.미수금</t>
        </is>
      </c>
      <c r="D18" s="222" t="inlineStr">
        <is>
          <t>MCOTABD</t>
        </is>
      </c>
      <c r="E18" s="333" t="n">
        <v>16207241500</v>
      </c>
      <c r="F18" s="156">
        <f>$I$18+$N$18+$S$18+$X$18</f>
        <v/>
      </c>
      <c r="G18" s="157">
        <f>E18-F18</f>
        <v/>
      </c>
      <c r="I18" s="337" t="n">
        <v>15624084148</v>
      </c>
      <c r="J18" s="154">
        <f>IF(ABS(I18)&gt;$D$7,"above","below")</f>
        <v/>
      </c>
      <c r="K18" s="155">
        <f>IF('Template identifying components'!$P$18="key component","Key component",IF($J$18="above","Material component","n/a"))</f>
        <v/>
      </c>
      <c r="L18" s="199" t="inlineStr">
        <is>
          <t>n/a</t>
        </is>
      </c>
      <c r="M18" s="275" t="inlineStr">
        <is>
          <t>n/a</t>
        </is>
      </c>
      <c r="N18" s="337" t="n">
        <v>0</v>
      </c>
      <c r="O18" s="154">
        <f>IF(ABS(N18)&gt;$D$7,"above","below")</f>
        <v/>
      </c>
      <c r="P18" s="155">
        <f>IF('Template identifying components'!$P$19="key component","Key component",IF($O$18="above","Material component","n/a"))</f>
        <v/>
      </c>
      <c r="Q18" s="199" t="inlineStr">
        <is>
          <t>n/a</t>
        </is>
      </c>
      <c r="R18" s="275" t="inlineStr">
        <is>
          <t>n/a</t>
        </is>
      </c>
      <c r="S18" s="337" t="n">
        <v>527311083</v>
      </c>
      <c r="T18" s="154">
        <f>IF(ABS(S18)&gt;$D$7,"above","below")</f>
        <v/>
      </c>
      <c r="U18" s="155">
        <f>IF('Template identifying components'!$P$20="key component","Key component",IF($T$18="above","Material component","n/a"))</f>
        <v/>
      </c>
      <c r="V18" s="199" t="inlineStr">
        <is>
          <t>n/a</t>
        </is>
      </c>
      <c r="W18" s="275" t="inlineStr">
        <is>
          <t>n/a</t>
        </is>
      </c>
      <c r="X18" s="337" t="n">
        <v>55846269</v>
      </c>
      <c r="Y18" s="154">
        <f>IF(ABS(X18)&gt;$D$7,"above","below")</f>
        <v/>
      </c>
      <c r="Z18" s="155">
        <f>IF('Template identifying components'!$P$21="key component","Key component",IF($Y$18="above","Material component","n/a"))</f>
        <v/>
      </c>
      <c r="AA18" s="199" t="inlineStr">
        <is>
          <t>n/a</t>
        </is>
      </c>
      <c r="AB18" s="275" t="inlineStr">
        <is>
          <t>n/a</t>
        </is>
      </c>
      <c r="AE18" s="156">
        <f>$AY$18</f>
        <v/>
      </c>
      <c r="AF18" s="158">
        <f>E18-AE18</f>
        <v/>
      </c>
      <c r="AG18" s="159">
        <f>IF(ABS(AF18)&gt;$D$7,"untested population above materiality","untested population below materiality")</f>
        <v/>
      </c>
      <c r="AI18" s="156">
        <f>$BC$18</f>
        <v/>
      </c>
      <c r="AJ18" s="158">
        <f>AF18-AI18</f>
        <v/>
      </c>
      <c r="AK18" s="159">
        <f>IF(ABS(AJ18)&gt;$D$7,"untested population above materiality","untested population below materiality")</f>
        <v/>
      </c>
      <c r="AL18" s="548" t="n"/>
      <c r="AM18" s="156">
        <f>$BG$18</f>
        <v/>
      </c>
      <c r="AN18" s="158">
        <f>AJ18-AM18</f>
        <v/>
      </c>
      <c r="AO18" s="159">
        <f>IF(ABS(AN18)&gt;$D$7,"untested population above materiality","untested population below materiality")</f>
        <v/>
      </c>
      <c r="AP18" s="548" t="n"/>
      <c r="AQ18" s="160">
        <f>IF(AO18="untested population above materiality","scope in more components or perform a stand-back assessment","ok")</f>
        <v/>
      </c>
      <c r="AY18">
        <f>IF(L10="full scope",I18,0)+IF(Q10="full scope",N18,0)+IF(V10="full scope",S18,0)+IF(AA10="full scope",X18,0)</f>
        <v/>
      </c>
      <c r="BC18">
        <f>IF(L18="in scope",I18,0)+IF(Q18="in scope",N18,0)+IF(V18="in scope",S18,0)+IF(AA18="in scope",X18,0)</f>
        <v/>
      </c>
      <c r="BG18">
        <f>IF(M18="in scope",I18,0)+IF(R18="in scope",N18,0)+IF(W18="in scope",S18,0)+IF(AB18="in scope",X18,0)</f>
        <v/>
      </c>
    </row>
    <row r="19">
      <c r="B19" s="547" t="n"/>
      <c r="C19" s="332" t="inlineStr">
        <is>
          <t>04.선급금</t>
        </is>
      </c>
      <c r="D19" s="222" t="inlineStr">
        <is>
          <t>non material COTABD</t>
        </is>
      </c>
      <c r="E19" s="333" t="n">
        <v>5058180628</v>
      </c>
      <c r="F19" s="156">
        <f>$I$19+$N$19+$S$19+$X$19</f>
        <v/>
      </c>
      <c r="G19" s="157">
        <f>E19-F19</f>
        <v/>
      </c>
      <c r="I19" s="337" t="n">
        <v>1613208000</v>
      </c>
      <c r="J19" s="154">
        <f>IF(ABS(I19)&gt;$D$7,"above","below")</f>
        <v/>
      </c>
      <c r="K19" s="155">
        <f>IF('Template identifying components'!$P$18="key component","Key component",IF($J$19="above","Material component","n/a"))</f>
        <v/>
      </c>
      <c r="L19" s="199" t="inlineStr">
        <is>
          <t>n/a</t>
        </is>
      </c>
      <c r="M19" s="275" t="inlineStr">
        <is>
          <t>n/a</t>
        </is>
      </c>
      <c r="N19" s="337" t="n">
        <v>0</v>
      </c>
      <c r="O19" s="154">
        <f>IF(ABS(N19)&gt;$D$7,"above","below")</f>
        <v/>
      </c>
      <c r="P19" s="155">
        <f>IF('Template identifying components'!$P$19="key component","Key component",IF($O$19="above","Material component","n/a"))</f>
        <v/>
      </c>
      <c r="Q19" s="199" t="inlineStr">
        <is>
          <t>n/a</t>
        </is>
      </c>
      <c r="R19" s="275" t="inlineStr">
        <is>
          <t>n/a</t>
        </is>
      </c>
      <c r="S19" s="337" t="n">
        <v>63876813</v>
      </c>
      <c r="T19" s="154">
        <f>IF(ABS(S19)&gt;$D$7,"above","below")</f>
        <v/>
      </c>
      <c r="U19" s="155">
        <f>IF('Template identifying components'!$P$20="key component","Key component",IF($T$19="above","Material component","n/a"))</f>
        <v/>
      </c>
      <c r="V19" s="199" t="inlineStr">
        <is>
          <t>n/a</t>
        </is>
      </c>
      <c r="W19" s="275" t="inlineStr">
        <is>
          <t>n/a</t>
        </is>
      </c>
      <c r="X19" s="337" t="n">
        <v>3381095815</v>
      </c>
      <c r="Y19" s="154">
        <f>IF(ABS(X19)&gt;$D$7,"above","below")</f>
        <v/>
      </c>
      <c r="Z19" s="155">
        <f>IF('Template identifying components'!$P$21="key component","Key component",IF($Y$19="above","Material component","n/a"))</f>
        <v/>
      </c>
      <c r="AA19" s="199" t="inlineStr">
        <is>
          <t>n/a</t>
        </is>
      </c>
      <c r="AB19" s="275" t="inlineStr">
        <is>
          <t>n/a</t>
        </is>
      </c>
      <c r="AE19" s="156">
        <f>$AY$19</f>
        <v/>
      </c>
      <c r="AF19" s="158">
        <f>E19-AE19</f>
        <v/>
      </c>
      <c r="AG19" s="159">
        <f>IF(ABS(AF19)&gt;$D$7,"untested population above materiality","untested population below materiality")</f>
        <v/>
      </c>
      <c r="AI19" s="156">
        <f>$BC$19</f>
        <v/>
      </c>
      <c r="AJ19" s="158">
        <f>AF19-AI19</f>
        <v/>
      </c>
      <c r="AK19" s="159">
        <f>IF(ABS(AJ19)&gt;$D$7,"untested population above materiality","untested population below materiality")</f>
        <v/>
      </c>
      <c r="AL19" s="548" t="n"/>
      <c r="AM19" s="156">
        <f>$BG$19</f>
        <v/>
      </c>
      <c r="AN19" s="158">
        <f>AJ19-AM19</f>
        <v/>
      </c>
      <c r="AO19" s="159">
        <f>IF(ABS(AN19)&gt;$D$7,"untested population above materiality","untested population below materiality")</f>
        <v/>
      </c>
      <c r="AP19" s="548" t="n"/>
      <c r="AQ19" s="160">
        <f>IF(AO19="untested population above materiality","scope in more components or perform a stand-back assessment","ok")</f>
        <v/>
      </c>
      <c r="AY19">
        <f>IF(L10="full scope",I19,0)+IF(Q10="full scope",N19,0)+IF(V10="full scope",S19,0)+IF(AA10="full scope",X19,0)</f>
        <v/>
      </c>
      <c r="BC19">
        <f>IF(L19="in scope",I19,0)+IF(Q19="in scope",N19,0)+IF(V19="in scope",S19,0)+IF(AA19="in scope",X19,0)</f>
        <v/>
      </c>
      <c r="BG19">
        <f>IF(M19="in scope",I19,0)+IF(R19="in scope",N19,0)+IF(W19="in scope",S19,0)+IF(AB19="in scope",X19,0)</f>
        <v/>
      </c>
    </row>
    <row r="20">
      <c r="B20" s="547" t="n"/>
      <c r="C20" s="332" t="inlineStr">
        <is>
          <t>05.선급비용</t>
        </is>
      </c>
      <c r="D20" s="222" t="inlineStr">
        <is>
          <t>non material COTABD</t>
        </is>
      </c>
      <c r="E20" s="333" t="n">
        <v>1437430585</v>
      </c>
      <c r="F20" s="156">
        <f>$I$20+$N$20+$S$20+$X$20</f>
        <v/>
      </c>
      <c r="G20" s="157">
        <f>E20-F20</f>
        <v/>
      </c>
      <c r="I20" s="337" t="n">
        <v>500321279</v>
      </c>
      <c r="J20" s="154">
        <f>IF(ABS(I20)&gt;$D$7,"above","below")</f>
        <v/>
      </c>
      <c r="K20" s="155">
        <f>IF('Template identifying components'!$P$18="key component","Key component",IF($J$20="above","Material component","n/a"))</f>
        <v/>
      </c>
      <c r="L20" s="199" t="inlineStr">
        <is>
          <t>n/a</t>
        </is>
      </c>
      <c r="M20" s="275" t="inlineStr">
        <is>
          <t>n/a</t>
        </is>
      </c>
      <c r="N20" s="337" t="n">
        <v>133186679</v>
      </c>
      <c r="O20" s="154">
        <f>IF(ABS(N20)&gt;$D$7,"above","below")</f>
        <v/>
      </c>
      <c r="P20" s="155">
        <f>IF('Template identifying components'!$P$19="key component","Key component",IF($O$20="above","Material component","n/a"))</f>
        <v/>
      </c>
      <c r="Q20" s="199" t="inlineStr">
        <is>
          <t>n/a</t>
        </is>
      </c>
      <c r="R20" s="275" t="inlineStr">
        <is>
          <t>n/a</t>
        </is>
      </c>
      <c r="S20" s="337" t="n">
        <v>417517074</v>
      </c>
      <c r="T20" s="154">
        <f>IF(ABS(S20)&gt;$D$7,"above","below")</f>
        <v/>
      </c>
      <c r="U20" s="155">
        <f>IF('Template identifying components'!$P$20="key component","Key component",IF($T$20="above","Material component","n/a"))</f>
        <v/>
      </c>
      <c r="V20" s="199" t="inlineStr">
        <is>
          <t>n/a</t>
        </is>
      </c>
      <c r="W20" s="275" t="inlineStr">
        <is>
          <t>n/a</t>
        </is>
      </c>
      <c r="X20" s="337" t="n">
        <v>386405553</v>
      </c>
      <c r="Y20" s="154">
        <f>IF(ABS(X20)&gt;$D$7,"above","below")</f>
        <v/>
      </c>
      <c r="Z20" s="155">
        <f>IF('Template identifying components'!$P$21="key component","Key component",IF($Y$20="above","Material component","n/a"))</f>
        <v/>
      </c>
      <c r="AA20" s="199" t="inlineStr">
        <is>
          <t>n/a</t>
        </is>
      </c>
      <c r="AB20" s="275" t="inlineStr">
        <is>
          <t>n/a</t>
        </is>
      </c>
      <c r="AE20" s="156">
        <f>$AY$20</f>
        <v/>
      </c>
      <c r="AF20" s="158">
        <f>E20-AE20</f>
        <v/>
      </c>
      <c r="AG20" s="159">
        <f>IF(ABS(AF20)&gt;$D$7,"untested population above materiality","untested population below materiality")</f>
        <v/>
      </c>
      <c r="AI20" s="156">
        <f>$BC$20</f>
        <v/>
      </c>
      <c r="AJ20" s="158">
        <f>AF20-AI20</f>
        <v/>
      </c>
      <c r="AK20" s="159">
        <f>IF(ABS(AJ20)&gt;$D$7,"untested population above materiality","untested population below materiality")</f>
        <v/>
      </c>
      <c r="AL20" s="548" t="n"/>
      <c r="AM20" s="156">
        <f>$BG$20</f>
        <v/>
      </c>
      <c r="AN20" s="158">
        <f>AJ20-AM20</f>
        <v/>
      </c>
      <c r="AO20" s="159">
        <f>IF(ABS(AN20)&gt;$D$7,"untested population above materiality","untested population below materiality")</f>
        <v/>
      </c>
      <c r="AP20" s="548" t="n"/>
      <c r="AQ20" s="160">
        <f>IF(AO20="untested population above materiality","scope in more components or perform a stand-back assessment","ok")</f>
        <v/>
      </c>
      <c r="AY20">
        <f>IF(L10="full scope",I20,0)+IF(Q10="full scope",N20,0)+IF(V10="full scope",S20,0)+IF(AA10="full scope",X20,0)</f>
        <v/>
      </c>
      <c r="BC20">
        <f>IF(L20="in scope",I20,0)+IF(Q20="in scope",N20,0)+IF(V20="in scope",S20,0)+IF(AA20="in scope",X20,0)</f>
        <v/>
      </c>
      <c r="BG20">
        <f>IF(M20="in scope",I20,0)+IF(R20="in scope",N20,0)+IF(W20="in scope",S20,0)+IF(AB20="in scope",X20,0)</f>
        <v/>
      </c>
    </row>
    <row r="21">
      <c r="B21" s="547" t="n"/>
      <c r="C21" s="332" t="inlineStr">
        <is>
          <t>06.단기대여금</t>
        </is>
      </c>
      <c r="D21" s="222" t="inlineStr">
        <is>
          <t>non material COTABD</t>
        </is>
      </c>
      <c r="E21" s="333" t="n">
        <v>2099916</v>
      </c>
      <c r="F21" s="156">
        <f>$I$21+$N$21+$S$21+$X$21</f>
        <v/>
      </c>
      <c r="G21" s="157">
        <f>E21-F21</f>
        <v/>
      </c>
      <c r="I21" s="337" t="n">
        <v>0</v>
      </c>
      <c r="J21" s="154">
        <f>IF(ABS(I21)&gt;$D$7,"above","below")</f>
        <v/>
      </c>
      <c r="K21" s="155">
        <f>IF('Template identifying components'!$P$18="key component","Key component",IF($J$21="above","Material component","n/a"))</f>
        <v/>
      </c>
      <c r="L21" s="199" t="inlineStr">
        <is>
          <t>n/a</t>
        </is>
      </c>
      <c r="M21" s="275" t="inlineStr">
        <is>
          <t>n/a</t>
        </is>
      </c>
      <c r="N21" s="337" t="n">
        <v>0</v>
      </c>
      <c r="O21" s="154">
        <f>IF(ABS(N21)&gt;$D$7,"above","below")</f>
        <v/>
      </c>
      <c r="P21" s="155">
        <f>IF('Template identifying components'!$P$19="key component","Key component",IF($O$21="above","Material component","n/a"))</f>
        <v/>
      </c>
      <c r="Q21" s="199" t="inlineStr">
        <is>
          <t>n/a</t>
        </is>
      </c>
      <c r="R21" s="275" t="inlineStr">
        <is>
          <t>n/a</t>
        </is>
      </c>
      <c r="S21" s="337" t="n">
        <v>0</v>
      </c>
      <c r="T21" s="154">
        <f>IF(ABS(S21)&gt;$D$7,"above","below")</f>
        <v/>
      </c>
      <c r="U21" s="155">
        <f>IF('Template identifying components'!$P$20="key component","Key component",IF($T$21="above","Material component","n/a"))</f>
        <v/>
      </c>
      <c r="V21" s="199" t="inlineStr">
        <is>
          <t>n/a</t>
        </is>
      </c>
      <c r="W21" s="275" t="inlineStr">
        <is>
          <t>n/a</t>
        </is>
      </c>
      <c r="X21" s="337" t="n">
        <v>2099916</v>
      </c>
      <c r="Y21" s="154">
        <f>IF(ABS(X21)&gt;$D$7,"above","below")</f>
        <v/>
      </c>
      <c r="Z21" s="155">
        <f>IF('Template identifying components'!$P$21="key component","Key component",IF($Y$21="above","Material component","n/a"))</f>
        <v/>
      </c>
      <c r="AA21" s="199" t="inlineStr">
        <is>
          <t>n/a</t>
        </is>
      </c>
      <c r="AB21" s="275" t="inlineStr">
        <is>
          <t>n/a</t>
        </is>
      </c>
      <c r="AE21" s="156">
        <f>$AY$21</f>
        <v/>
      </c>
      <c r="AF21" s="158">
        <f>E21-AE21</f>
        <v/>
      </c>
      <c r="AG21" s="159">
        <f>IF(ABS(AF21)&gt;$D$7,"untested population above materiality","untested population below materiality")</f>
        <v/>
      </c>
      <c r="AI21" s="156">
        <f>$BC$21</f>
        <v/>
      </c>
      <c r="AJ21" s="158">
        <f>AF21-AI21</f>
        <v/>
      </c>
      <c r="AK21" s="159">
        <f>IF(ABS(AJ21)&gt;$D$7,"untested population above materiality","untested population below materiality")</f>
        <v/>
      </c>
      <c r="AL21" s="548" t="n"/>
      <c r="AM21" s="156">
        <f>$BG$21</f>
        <v/>
      </c>
      <c r="AN21" s="158">
        <f>AJ21-AM21</f>
        <v/>
      </c>
      <c r="AO21" s="159">
        <f>IF(ABS(AN21)&gt;$D$7,"untested population above materiality","untested population below materiality")</f>
        <v/>
      </c>
      <c r="AP21" s="548" t="n"/>
      <c r="AQ21" s="160">
        <f>IF(AO21="untested population above materiality","scope in more components or perform a stand-back assessment","ok")</f>
        <v/>
      </c>
      <c r="AY21">
        <f>IF(L10="full scope",I21,0)+IF(Q10="full scope",N21,0)+IF(V10="full scope",S21,0)+IF(AA10="full scope",X21,0)</f>
        <v/>
      </c>
      <c r="BC21">
        <f>IF(L21="in scope",I21,0)+IF(Q21="in scope",N21,0)+IF(V21="in scope",S21,0)+IF(AA21="in scope",X21,0)</f>
        <v/>
      </c>
      <c r="BG21">
        <f>IF(M21="in scope",I21,0)+IF(R21="in scope",N21,0)+IF(W21="in scope",S21,0)+IF(AB21="in scope",X21,0)</f>
        <v/>
      </c>
    </row>
    <row r="22">
      <c r="B22" s="547" t="n"/>
      <c r="C22" s="332" t="inlineStr">
        <is>
          <t>07.선급부가세</t>
        </is>
      </c>
      <c r="D22" s="222" t="inlineStr">
        <is>
          <t>non material COTABD</t>
        </is>
      </c>
      <c r="E22" s="333" t="n">
        <v>1516933989</v>
      </c>
      <c r="F22" s="156">
        <f>$I$22+$N$22+$S$22+$X$22</f>
        <v/>
      </c>
      <c r="G22" s="157">
        <f>E22-F22</f>
        <v/>
      </c>
      <c r="I22" s="337" t="n">
        <v>0</v>
      </c>
      <c r="J22" s="154">
        <f>IF(ABS(I22)&gt;$D$7,"above","below")</f>
        <v/>
      </c>
      <c r="K22" s="155">
        <f>IF('Template identifying components'!$P$18="key component","Key component",IF($J$22="above","Material component","n/a"))</f>
        <v/>
      </c>
      <c r="L22" s="199" t="inlineStr">
        <is>
          <t>n/a</t>
        </is>
      </c>
      <c r="M22" s="275" t="inlineStr">
        <is>
          <t>n/a</t>
        </is>
      </c>
      <c r="N22" s="337" t="n">
        <v>0</v>
      </c>
      <c r="O22" s="154">
        <f>IF(ABS(N22)&gt;$D$7,"above","below")</f>
        <v/>
      </c>
      <c r="P22" s="155">
        <f>IF('Template identifying components'!$P$19="key component","Key component",IF($O$22="above","Material component","n/a"))</f>
        <v/>
      </c>
      <c r="Q22" s="199" t="inlineStr">
        <is>
          <t>n/a</t>
        </is>
      </c>
      <c r="R22" s="275" t="inlineStr">
        <is>
          <t>n/a</t>
        </is>
      </c>
      <c r="S22" s="337" t="n">
        <v>0</v>
      </c>
      <c r="T22" s="154">
        <f>IF(ABS(S22)&gt;$D$7,"above","below")</f>
        <v/>
      </c>
      <c r="U22" s="155">
        <f>IF('Template identifying components'!$P$20="key component","Key component",IF($T$22="above","Material component","n/a"))</f>
        <v/>
      </c>
      <c r="V22" s="199" t="inlineStr">
        <is>
          <t>n/a</t>
        </is>
      </c>
      <c r="W22" s="275" t="inlineStr">
        <is>
          <t>n/a</t>
        </is>
      </c>
      <c r="X22" s="337" t="n">
        <v>1516933989</v>
      </c>
      <c r="Y22" s="154">
        <f>IF(ABS(X22)&gt;$D$7,"above","below")</f>
        <v/>
      </c>
      <c r="Z22" s="155">
        <f>IF('Template identifying components'!$P$21="key component","Key component",IF($Y$22="above","Material component","n/a"))</f>
        <v/>
      </c>
      <c r="AA22" s="199" t="inlineStr">
        <is>
          <t>n/a</t>
        </is>
      </c>
      <c r="AB22" s="275" t="inlineStr">
        <is>
          <t>n/a</t>
        </is>
      </c>
      <c r="AE22" s="156">
        <f>$AY$22</f>
        <v/>
      </c>
      <c r="AF22" s="158">
        <f>E22-AE22</f>
        <v/>
      </c>
      <c r="AG22" s="159">
        <f>IF(ABS(AF22)&gt;$D$7,"untested population above materiality","untested population below materiality")</f>
        <v/>
      </c>
      <c r="AI22" s="156">
        <f>$BC$22</f>
        <v/>
      </c>
      <c r="AJ22" s="158">
        <f>AF22-AI22</f>
        <v/>
      </c>
      <c r="AK22" s="159">
        <f>IF(ABS(AJ22)&gt;$D$7,"untested population above materiality","untested population below materiality")</f>
        <v/>
      </c>
      <c r="AL22" s="548" t="n"/>
      <c r="AM22" s="156">
        <f>$BG$22</f>
        <v/>
      </c>
      <c r="AN22" s="158">
        <f>AJ22-AM22</f>
        <v/>
      </c>
      <c r="AO22" s="159">
        <f>IF(ABS(AN22)&gt;$D$7,"untested population above materiality","untested population below materiality")</f>
        <v/>
      </c>
      <c r="AP22" s="548" t="n"/>
      <c r="AQ22" s="160">
        <f>IF(AO22="untested population above materiality","scope in more components or perform a stand-back assessment","ok")</f>
        <v/>
      </c>
      <c r="AY22">
        <f>IF(L10="full scope",I22,0)+IF(Q10="full scope",N22,0)+IF(V10="full scope",S22,0)+IF(AA10="full scope",X22,0)</f>
        <v/>
      </c>
      <c r="BC22">
        <f>IF(L22="in scope",I22,0)+IF(Q22="in scope",N22,0)+IF(V22="in scope",S22,0)+IF(AA22="in scope",X22,0)</f>
        <v/>
      </c>
      <c r="BG22">
        <f>IF(M22="in scope",I22,0)+IF(R22="in scope",N22,0)+IF(W22="in scope",S22,0)+IF(AB22="in scope",X22,0)</f>
        <v/>
      </c>
    </row>
    <row r="23">
      <c r="B23" s="547" t="n"/>
      <c r="C23" s="332" t="inlineStr">
        <is>
          <t>08.미수법인세환급액</t>
        </is>
      </c>
      <c r="D23" s="222" t="inlineStr">
        <is>
          <t>non material COTABD</t>
        </is>
      </c>
      <c r="E23" s="333" t="n">
        <v>5386576210</v>
      </c>
      <c r="F23" s="156">
        <f>$I$23+$N$23+$S$23+$X$23</f>
        <v/>
      </c>
      <c r="G23" s="157">
        <f>E23-F23</f>
        <v/>
      </c>
      <c r="I23" s="337" t="n">
        <v>0</v>
      </c>
      <c r="J23" s="154">
        <f>IF(ABS(I23)&gt;$D$7,"above","below")</f>
        <v/>
      </c>
      <c r="K23" s="155">
        <f>IF('Template identifying components'!$P$18="key component","Key component",IF($J$23="above","Material component","n/a"))</f>
        <v/>
      </c>
      <c r="L23" s="199" t="inlineStr">
        <is>
          <t>n/a</t>
        </is>
      </c>
      <c r="M23" s="275" t="inlineStr">
        <is>
          <t>n/a</t>
        </is>
      </c>
      <c r="N23" s="337" t="n">
        <v>0</v>
      </c>
      <c r="O23" s="154">
        <f>IF(ABS(N23)&gt;$D$7,"above","below")</f>
        <v/>
      </c>
      <c r="P23" s="155">
        <f>IF('Template identifying components'!$P$19="key component","Key component",IF($O$23="above","Material component","n/a"))</f>
        <v/>
      </c>
      <c r="Q23" s="199" t="inlineStr">
        <is>
          <t>n/a</t>
        </is>
      </c>
      <c r="R23" s="275" t="inlineStr">
        <is>
          <t>n/a</t>
        </is>
      </c>
      <c r="S23" s="337" t="n">
        <v>322435</v>
      </c>
      <c r="T23" s="154">
        <f>IF(ABS(S23)&gt;$D$7,"above","below")</f>
        <v/>
      </c>
      <c r="U23" s="155">
        <f>IF('Template identifying components'!$P$20="key component","Key component",IF($T$23="above","Material component","n/a"))</f>
        <v/>
      </c>
      <c r="V23" s="199" t="inlineStr">
        <is>
          <t>n/a</t>
        </is>
      </c>
      <c r="W23" s="275" t="inlineStr">
        <is>
          <t>n/a</t>
        </is>
      </c>
      <c r="X23" s="337" t="n">
        <v>5386253775</v>
      </c>
      <c r="Y23" s="154">
        <f>IF(ABS(X23)&gt;$D$7,"above","below")</f>
        <v/>
      </c>
      <c r="Z23" s="155">
        <f>IF('Template identifying components'!$P$21="key component","Key component",IF($Y$23="above","Material component","n/a"))</f>
        <v/>
      </c>
      <c r="AA23" s="199" t="inlineStr">
        <is>
          <t>n/a</t>
        </is>
      </c>
      <c r="AB23" s="275" t="inlineStr">
        <is>
          <t>n/a</t>
        </is>
      </c>
      <c r="AE23" s="156">
        <f>$AY$23</f>
        <v/>
      </c>
      <c r="AF23" s="158">
        <f>E23-AE23</f>
        <v/>
      </c>
      <c r="AG23" s="159">
        <f>IF(ABS(AF23)&gt;$D$7,"untested population above materiality","untested population below materiality")</f>
        <v/>
      </c>
      <c r="AI23" s="156">
        <f>$BC$23</f>
        <v/>
      </c>
      <c r="AJ23" s="158">
        <f>AF23-AI23</f>
        <v/>
      </c>
      <c r="AK23" s="159">
        <f>IF(ABS(AJ23)&gt;$D$7,"untested population above materiality","untested population below materiality")</f>
        <v/>
      </c>
      <c r="AL23" s="548" t="n"/>
      <c r="AM23" s="156">
        <f>$BG$23</f>
        <v/>
      </c>
      <c r="AN23" s="158">
        <f>AJ23-AM23</f>
        <v/>
      </c>
      <c r="AO23" s="159">
        <f>IF(ABS(AN23)&gt;$D$7,"untested population above materiality","untested population below materiality")</f>
        <v/>
      </c>
      <c r="AP23" s="548" t="n"/>
      <c r="AQ23" s="160">
        <f>IF(AO23="untested population above materiality","scope in more components or perform a stand-back assessment","ok")</f>
        <v/>
      </c>
      <c r="AY23">
        <f>IF(L10="full scope",I23,0)+IF(Q10="full scope",N23,0)+IF(V10="full scope",S23,0)+IF(AA10="full scope",X23,0)</f>
        <v/>
      </c>
      <c r="BC23">
        <f>IF(L23="in scope",I23,0)+IF(Q23="in scope",N23,0)+IF(V23="in scope",S23,0)+IF(AA23="in scope",X23,0)</f>
        <v/>
      </c>
      <c r="BG23">
        <f>IF(M23="in scope",I23,0)+IF(R23="in scope",N23,0)+IF(W23="in scope",S23,0)+IF(AB23="in scope",X23,0)</f>
        <v/>
      </c>
    </row>
    <row r="24">
      <c r="B24" s="547" t="n"/>
      <c r="C24" s="332" t="inlineStr">
        <is>
          <t>09.단기매매증권</t>
        </is>
      </c>
      <c r="D24" s="222" t="inlineStr">
        <is>
          <t>MCOTABD</t>
        </is>
      </c>
      <c r="E24" s="333" t="n">
        <v>39324298808</v>
      </c>
      <c r="F24" s="156">
        <f>$I$24+$N$24+$S$24+$X$24</f>
        <v/>
      </c>
      <c r="G24" s="157">
        <f>E24-F24</f>
        <v/>
      </c>
      <c r="I24" s="337" t="n">
        <v>0</v>
      </c>
      <c r="J24" s="154">
        <f>IF(ABS(I24)&gt;$D$7,"above","below")</f>
        <v/>
      </c>
      <c r="K24" s="155">
        <f>IF('Template identifying components'!$P$18="key component","Key component",IF($J$24="above","Material component","n/a"))</f>
        <v/>
      </c>
      <c r="L24" s="199" t="inlineStr">
        <is>
          <t>n/a</t>
        </is>
      </c>
      <c r="M24" s="275" t="inlineStr">
        <is>
          <t>n/a</t>
        </is>
      </c>
      <c r="N24" s="337" t="n">
        <v>0</v>
      </c>
      <c r="O24" s="154">
        <f>IF(ABS(N24)&gt;$D$7,"above","below")</f>
        <v/>
      </c>
      <c r="P24" s="155">
        <f>IF('Template identifying components'!$P$19="key component","Key component",IF($O$24="above","Material component","n/a"))</f>
        <v/>
      </c>
      <c r="Q24" s="199" t="inlineStr">
        <is>
          <t>n/a</t>
        </is>
      </c>
      <c r="R24" s="275" t="inlineStr">
        <is>
          <t>n/a</t>
        </is>
      </c>
      <c r="S24" s="337" t="n">
        <v>0</v>
      </c>
      <c r="T24" s="154">
        <f>IF(ABS(S24)&gt;$D$7,"above","below")</f>
        <v/>
      </c>
      <c r="U24" s="155">
        <f>IF('Template identifying components'!$P$20="key component","Key component",IF($T$24="above","Material component","n/a"))</f>
        <v/>
      </c>
      <c r="V24" s="199" t="inlineStr">
        <is>
          <t>n/a</t>
        </is>
      </c>
      <c r="W24" s="275" t="inlineStr">
        <is>
          <t>n/a</t>
        </is>
      </c>
      <c r="X24" s="337" t="n">
        <v>39324298808</v>
      </c>
      <c r="Y24" s="154">
        <f>IF(ABS(X24)&gt;$D$7,"above","below")</f>
        <v/>
      </c>
      <c r="Z24" s="155">
        <f>IF('Template identifying components'!$P$21="key component","Key component",IF($Y$24="above","Material component","n/a"))</f>
        <v/>
      </c>
      <c r="AA24" s="199" t="inlineStr">
        <is>
          <t>n/a</t>
        </is>
      </c>
      <c r="AB24" s="275" t="inlineStr">
        <is>
          <t>n/a</t>
        </is>
      </c>
      <c r="AE24" s="156">
        <f>$AY$24</f>
        <v/>
      </c>
      <c r="AF24" s="158">
        <f>E24-AE24</f>
        <v/>
      </c>
      <c r="AG24" s="159">
        <f>IF(ABS(AF24)&gt;$D$7,"untested population above materiality","untested population below materiality")</f>
        <v/>
      </c>
      <c r="AI24" s="156">
        <f>$BC$24</f>
        <v/>
      </c>
      <c r="AJ24" s="158">
        <f>AF24-AI24</f>
        <v/>
      </c>
      <c r="AK24" s="159">
        <f>IF(ABS(AJ24)&gt;$D$7,"untested population above materiality","untested population below materiality")</f>
        <v/>
      </c>
      <c r="AL24" s="548" t="n"/>
      <c r="AM24" s="156">
        <f>$BG$24</f>
        <v/>
      </c>
      <c r="AN24" s="158">
        <f>AJ24-AM24</f>
        <v/>
      </c>
      <c r="AO24" s="159">
        <f>IF(ABS(AN24)&gt;$D$7,"untested population above materiality","untested population below materiality")</f>
        <v/>
      </c>
      <c r="AP24" s="548" t="n"/>
      <c r="AQ24" s="160">
        <f>IF(AO24="untested population above materiality","scope in more components or perform a stand-back assessment","ok")</f>
        <v/>
      </c>
      <c r="AY24">
        <f>IF(L10="full scope",I24,0)+IF(Q10="full scope",N24,0)+IF(V10="full scope",S24,0)+IF(AA10="full scope",X24,0)</f>
        <v/>
      </c>
      <c r="BC24">
        <f>IF(L24="in scope",I24,0)+IF(Q24="in scope",N24,0)+IF(V24="in scope",S24,0)+IF(AA24="in scope",X24,0)</f>
        <v/>
      </c>
      <c r="BG24">
        <f>IF(M24="in scope",I24,0)+IF(R24="in scope",N24,0)+IF(W24="in scope",S24,0)+IF(AB24="in scope",X24,0)</f>
        <v/>
      </c>
    </row>
    <row r="25">
      <c r="B25" s="547" t="n"/>
      <c r="C25" s="332" t="inlineStr">
        <is>
          <t>10.재고자산(충당금 차감후)</t>
        </is>
      </c>
      <c r="D25" s="222" t="inlineStr">
        <is>
          <t>SCOTABD</t>
        </is>
      </c>
      <c r="E25" s="333" t="n">
        <v>49297053710</v>
      </c>
      <c r="F25" s="156">
        <f>$I$25+$N$25+$S$25+$X$25</f>
        <v/>
      </c>
      <c r="G25" s="157">
        <f>E25-F25</f>
        <v/>
      </c>
      <c r="I25" s="337" t="n">
        <v>15963928795</v>
      </c>
      <c r="J25" s="154">
        <f>IF(ABS(I25)&gt;$D$7,"above","below")</f>
        <v/>
      </c>
      <c r="K25" s="155">
        <f>IF('Template identifying components'!$P$18="key component","Key component",IF($J$25="above","Material component","n/a"))</f>
        <v/>
      </c>
      <c r="L25" s="199" t="inlineStr">
        <is>
          <t>n/a</t>
        </is>
      </c>
      <c r="M25" s="275" t="inlineStr">
        <is>
          <t>n/a</t>
        </is>
      </c>
      <c r="N25" s="337" t="n">
        <v>4721312448</v>
      </c>
      <c r="O25" s="154">
        <f>IF(ABS(N25)&gt;$D$7,"above","below")</f>
        <v/>
      </c>
      <c r="P25" s="155">
        <f>IF('Template identifying components'!$P$19="key component","Key component",IF($O$25="above","Material component","n/a"))</f>
        <v/>
      </c>
      <c r="Q25" s="199" t="inlineStr">
        <is>
          <t>n/a</t>
        </is>
      </c>
      <c r="R25" s="275" t="inlineStr">
        <is>
          <t>n/a</t>
        </is>
      </c>
      <c r="S25" s="337" t="n">
        <v>13795489262</v>
      </c>
      <c r="T25" s="154">
        <f>IF(ABS(S25)&gt;$D$7,"above","below")</f>
        <v/>
      </c>
      <c r="U25" s="155">
        <f>IF('Template identifying components'!$P$20="key component","Key component",IF($T$25="above","Material component","n/a"))</f>
        <v/>
      </c>
      <c r="V25" s="199" t="inlineStr">
        <is>
          <t>n/a</t>
        </is>
      </c>
      <c r="W25" s="275" t="inlineStr">
        <is>
          <t>n/a</t>
        </is>
      </c>
      <c r="X25" s="337" t="n">
        <v>14816323205</v>
      </c>
      <c r="Y25" s="154">
        <f>IF(ABS(X25)&gt;$D$7,"above","below")</f>
        <v/>
      </c>
      <c r="Z25" s="155">
        <f>IF('Template identifying components'!$P$21="key component","Key component",IF($Y$25="above","Material component","n/a"))</f>
        <v/>
      </c>
      <c r="AA25" s="199" t="inlineStr">
        <is>
          <t>n/a</t>
        </is>
      </c>
      <c r="AB25" s="275" t="inlineStr">
        <is>
          <t>n/a</t>
        </is>
      </c>
      <c r="AE25" s="156">
        <f>$AY$25</f>
        <v/>
      </c>
      <c r="AF25" s="158">
        <f>E25-AE25</f>
        <v/>
      </c>
      <c r="AG25" s="159">
        <f>IF(ABS(AF25)&gt;$D$7,"untested population above materiality","untested population below materiality")</f>
        <v/>
      </c>
      <c r="AI25" s="156">
        <f>$BC$25</f>
        <v/>
      </c>
      <c r="AJ25" s="158">
        <f>AF25-AI25</f>
        <v/>
      </c>
      <c r="AK25" s="159">
        <f>IF(ABS(AJ25)&gt;$D$7,"untested population above materiality","untested population below materiality")</f>
        <v/>
      </c>
      <c r="AL25" s="548" t="n"/>
      <c r="AM25" s="156">
        <f>$BG$25</f>
        <v/>
      </c>
      <c r="AN25" s="158">
        <f>AJ25-AM25</f>
        <v/>
      </c>
      <c r="AO25" s="159">
        <f>IF(ABS(AN25)&gt;$D$7,"untested population above materiality","untested population below materiality")</f>
        <v/>
      </c>
      <c r="AP25" s="548" t="n"/>
      <c r="AQ25" s="160">
        <f>IF(AO25="untested population above materiality","scope in more components or perform a stand-back assessment","ok")</f>
        <v/>
      </c>
      <c r="AY25">
        <f>IF(L10="full scope",I25,0)+IF(Q10="full scope",N25,0)+IF(V10="full scope",S25,0)+IF(AA10="full scope",X25,0)</f>
        <v/>
      </c>
      <c r="BC25">
        <f>IF(L25="in scope",I25,0)+IF(Q25="in scope",N25,0)+IF(V25="in scope",S25,0)+IF(AA25="in scope",X25,0)</f>
        <v/>
      </c>
      <c r="BG25">
        <f>IF(M25="in scope",I25,0)+IF(R25="in scope",N25,0)+IF(W25="in scope",S25,0)+IF(AB25="in scope",X25,0)</f>
        <v/>
      </c>
    </row>
    <row r="26">
      <c r="B26" s="547" t="n"/>
      <c r="C26" s="332" t="inlineStr">
        <is>
          <t>11.투자자산</t>
        </is>
      </c>
      <c r="D26" s="222" t="inlineStr">
        <is>
          <t>non material COTABD</t>
        </is>
      </c>
      <c r="E26" s="333" t="n">
        <v>1000000</v>
      </c>
      <c r="F26" s="156">
        <f>$I$26+$N$26+$S$26+$X$26</f>
        <v/>
      </c>
      <c r="G26" s="157">
        <f>E26-F26</f>
        <v/>
      </c>
      <c r="I26" s="339" t="n">
        <v>1000000</v>
      </c>
      <c r="J26" s="154">
        <f>IF(ABS(I26)&gt;$D$7,"above","below")</f>
        <v/>
      </c>
      <c r="K26" s="155">
        <f>IF('Template identifying components'!$P$18="key component","Key component",IF($J$26="above","Material component","n/a"))</f>
        <v/>
      </c>
      <c r="L26" s="199" t="inlineStr">
        <is>
          <t>n/a</t>
        </is>
      </c>
      <c r="M26" s="275" t="inlineStr">
        <is>
          <t>n/a</t>
        </is>
      </c>
      <c r="N26" s="339" t="n">
        <v>0</v>
      </c>
      <c r="O26" s="154">
        <f>IF(ABS(N26)&gt;$D$7,"above","below")</f>
        <v/>
      </c>
      <c r="P26" s="155">
        <f>IF('Template identifying components'!$P$19="key component","Key component",IF($O$26="above","Material component","n/a"))</f>
        <v/>
      </c>
      <c r="Q26" s="199" t="inlineStr">
        <is>
          <t>n/a</t>
        </is>
      </c>
      <c r="R26" s="275" t="inlineStr">
        <is>
          <t>n/a</t>
        </is>
      </c>
      <c r="S26" s="339" t="n">
        <v>0</v>
      </c>
      <c r="T26" s="154">
        <f>IF(ABS(S26)&gt;$D$7,"above","below")</f>
        <v/>
      </c>
      <c r="U26" s="155">
        <f>IF('Template identifying components'!$P$20="key component","Key component",IF($T$26="above","Material component","n/a"))</f>
        <v/>
      </c>
      <c r="V26" s="199" t="inlineStr">
        <is>
          <t>n/a</t>
        </is>
      </c>
      <c r="W26" s="275" t="inlineStr">
        <is>
          <t>n/a</t>
        </is>
      </c>
      <c r="X26" s="339" t="n">
        <v>0</v>
      </c>
      <c r="Y26" s="154">
        <f>IF(ABS(X26)&gt;$D$7,"above","below")</f>
        <v/>
      </c>
      <c r="Z26" s="155">
        <f>IF('Template identifying components'!$P$21="key component","Key component",IF($Y$26="above","Material component","n/a"))</f>
        <v/>
      </c>
      <c r="AA26" s="199" t="inlineStr">
        <is>
          <t>n/a</t>
        </is>
      </c>
      <c r="AB26" s="275" t="inlineStr">
        <is>
          <t>n/a</t>
        </is>
      </c>
      <c r="AE26" s="156">
        <f>$AY$26</f>
        <v/>
      </c>
      <c r="AF26" s="158">
        <f>E26-AE26</f>
        <v/>
      </c>
      <c r="AG26" s="159">
        <f>IF(ABS(AF26)&gt;$D$7,"untested population above materiality","untested population below materiality")</f>
        <v/>
      </c>
      <c r="AI26" s="156">
        <f>$BC$26</f>
        <v/>
      </c>
      <c r="AJ26" s="158">
        <f>AF26-AI26</f>
        <v/>
      </c>
      <c r="AK26" s="159">
        <f>IF(ABS(AJ26)&gt;$D$7,"untested population above materiality","untested population below materiality")</f>
        <v/>
      </c>
      <c r="AL26" s="548" t="n"/>
      <c r="AM26" s="156">
        <f>$BG$26</f>
        <v/>
      </c>
      <c r="AN26" s="158">
        <f>AJ26-AM26</f>
        <v/>
      </c>
      <c r="AO26" s="159">
        <f>IF(ABS(AN26)&gt;$D$7,"untested population above materiality","untested population below materiality")</f>
        <v/>
      </c>
      <c r="AP26" s="548" t="n"/>
      <c r="AQ26" s="160">
        <f>IF(AO26="untested population above materiality","scope in more components or perform a stand-back assessment","ok")</f>
        <v/>
      </c>
      <c r="AY26">
        <f>IF(L10="full scope",I26,0)+IF(Q10="full scope",N26,0)+IF(V10="full scope",S26,0)+IF(AA10="full scope",X26,0)</f>
        <v/>
      </c>
      <c r="BC26">
        <f>IF(L26="in scope",I26,0)+IF(Q26="in scope",N26,0)+IF(V26="in scope",S26,0)+IF(AA26="in scope",X26,0)</f>
        <v/>
      </c>
      <c r="BG26">
        <f>IF(M26="in scope",I26,0)+IF(R26="in scope",N26,0)+IF(W26="in scope",S26,0)+IF(AB26="in scope",X26,0)</f>
        <v/>
      </c>
    </row>
    <row r="27">
      <c r="B27" s="547" t="n"/>
      <c r="C27" s="332" t="inlineStr">
        <is>
          <t>12.유형자산(감가상각누계액 차감후)</t>
        </is>
      </c>
      <c r="D27" s="222" t="inlineStr">
        <is>
          <t>SCOTABD</t>
        </is>
      </c>
      <c r="E27" s="333" t="n">
        <v>137067606066</v>
      </c>
      <c r="F27" s="156">
        <f>$I$27+$N$27+$S$27+$X$27</f>
        <v/>
      </c>
      <c r="G27" s="157">
        <f>E27-F27</f>
        <v/>
      </c>
      <c r="I27" s="339" t="n">
        <v>52795000836</v>
      </c>
      <c r="J27" s="154">
        <f>IF(ABS(I27)&gt;$D$7,"above","below")</f>
        <v/>
      </c>
      <c r="K27" s="155">
        <f>IF('Template identifying components'!$P$18="key component","Key component",IF($J$27="above","Material component","n/a"))</f>
        <v/>
      </c>
      <c r="L27" s="199" t="inlineStr">
        <is>
          <t>n/a</t>
        </is>
      </c>
      <c r="M27" s="275" t="inlineStr">
        <is>
          <t>n/a</t>
        </is>
      </c>
      <c r="N27" s="339" t="n">
        <v>13107893214</v>
      </c>
      <c r="O27" s="154">
        <f>IF(ABS(N27)&gt;$D$7,"above","below")</f>
        <v/>
      </c>
      <c r="P27" s="155">
        <f>IF('Template identifying components'!$P$19="key component","Key component",IF($O$27="above","Material component","n/a"))</f>
        <v/>
      </c>
      <c r="Q27" s="199" t="inlineStr">
        <is>
          <t>n/a</t>
        </is>
      </c>
      <c r="R27" s="275" t="inlineStr">
        <is>
          <t>n/a</t>
        </is>
      </c>
      <c r="S27" s="339" t="n">
        <v>15932482636</v>
      </c>
      <c r="T27" s="154">
        <f>IF(ABS(S27)&gt;$D$7,"above","below")</f>
        <v/>
      </c>
      <c r="U27" s="155">
        <f>IF('Template identifying components'!$P$20="key component","Key component",IF($T$27="above","Material component","n/a"))</f>
        <v/>
      </c>
      <c r="V27" s="199" t="inlineStr">
        <is>
          <t>n/a</t>
        </is>
      </c>
      <c r="W27" s="275" t="inlineStr">
        <is>
          <t>n/a</t>
        </is>
      </c>
      <c r="X27" s="339" t="n">
        <v>55232229380</v>
      </c>
      <c r="Y27" s="154">
        <f>IF(ABS(X27)&gt;$D$7,"above","below")</f>
        <v/>
      </c>
      <c r="Z27" s="155">
        <f>IF('Template identifying components'!$P$21="key component","Key component",IF($Y$27="above","Material component","n/a"))</f>
        <v/>
      </c>
      <c r="AA27" s="199" t="inlineStr">
        <is>
          <t>n/a</t>
        </is>
      </c>
      <c r="AB27" s="275" t="inlineStr">
        <is>
          <t>n/a</t>
        </is>
      </c>
      <c r="AE27" s="156">
        <f>$AY$27</f>
        <v/>
      </c>
      <c r="AF27" s="158">
        <f>E27-AE27</f>
        <v/>
      </c>
      <c r="AG27" s="159">
        <f>IF(ABS(AF27)&gt;$D$7,"untested population above materiality","untested population below materiality")</f>
        <v/>
      </c>
      <c r="AI27" s="156">
        <f>$BC$27</f>
        <v/>
      </c>
      <c r="AJ27" s="158">
        <f>AF27-AI27</f>
        <v/>
      </c>
      <c r="AK27" s="159">
        <f>IF(ABS(AJ27)&gt;$D$7,"untested population above materiality","untested population below materiality")</f>
        <v/>
      </c>
      <c r="AL27" s="548" t="n"/>
      <c r="AM27" s="156">
        <f>$BG$27</f>
        <v/>
      </c>
      <c r="AN27" s="158">
        <f>AJ27-AM27</f>
        <v/>
      </c>
      <c r="AO27" s="159">
        <f>IF(ABS(AN27)&gt;$D$7,"untested population above materiality","untested population below materiality")</f>
        <v/>
      </c>
      <c r="AP27" s="548" t="n"/>
      <c r="AQ27" s="160">
        <f>IF(AO27="untested population above materiality","scope in more components or perform a stand-back assessment","ok")</f>
        <v/>
      </c>
      <c r="AY27">
        <f>IF(L10="full scope",I27,0)+IF(Q10="full scope",N27,0)+IF(V10="full scope",S27,0)+IF(AA10="full scope",X27,0)</f>
        <v/>
      </c>
      <c r="BC27">
        <f>IF(L27="in scope",I27,0)+IF(Q27="in scope",N27,0)+IF(V27="in scope",S27,0)+IF(AA27="in scope",X27,0)</f>
        <v/>
      </c>
      <c r="BG27">
        <f>IF(M27="in scope",I27,0)+IF(R27="in scope",N27,0)+IF(W27="in scope",S27,0)+IF(AB27="in scope",X27,0)</f>
        <v/>
      </c>
    </row>
    <row r="28">
      <c r="B28" s="547" t="n"/>
      <c r="C28" s="332" t="inlineStr">
        <is>
          <t>13.무형자산(상각누계액 차감후)</t>
        </is>
      </c>
      <c r="D28" s="222" t="inlineStr">
        <is>
          <t>MCOTABD</t>
        </is>
      </c>
      <c r="E28" s="333" t="n">
        <v>12028663553</v>
      </c>
      <c r="F28" s="156">
        <f>$I$28+$N$28+$S$28+$X$28</f>
        <v/>
      </c>
      <c r="G28" s="157">
        <f>E28-F28</f>
        <v/>
      </c>
      <c r="I28" s="339" t="n">
        <v>4593493491</v>
      </c>
      <c r="J28" s="154">
        <f>IF(ABS(I28)&gt;$D$7,"above","below")</f>
        <v/>
      </c>
      <c r="K28" s="155">
        <f>IF('Template identifying components'!$P$18="key component","Key component",IF($J$28="above","Material component","n/a"))</f>
        <v/>
      </c>
      <c r="L28" s="199" t="inlineStr">
        <is>
          <t>n/a</t>
        </is>
      </c>
      <c r="M28" s="275" t="inlineStr">
        <is>
          <t>n/a</t>
        </is>
      </c>
      <c r="N28" s="339" t="n">
        <v>3327031</v>
      </c>
      <c r="O28" s="154">
        <f>IF(ABS(N28)&gt;$D$7,"above","below")</f>
        <v/>
      </c>
      <c r="P28" s="155">
        <f>IF('Template identifying components'!$P$19="key component","Key component",IF($O$28="above","Material component","n/a"))</f>
        <v/>
      </c>
      <c r="Q28" s="199" t="inlineStr">
        <is>
          <t>n/a</t>
        </is>
      </c>
      <c r="R28" s="275" t="inlineStr">
        <is>
          <t>n/a</t>
        </is>
      </c>
      <c r="S28" s="339" t="n">
        <v>3047761051</v>
      </c>
      <c r="T28" s="154">
        <f>IF(ABS(S28)&gt;$D$7,"above","below")</f>
        <v/>
      </c>
      <c r="U28" s="155">
        <f>IF('Template identifying components'!$P$20="key component","Key component",IF($T$28="above","Material component","n/a"))</f>
        <v/>
      </c>
      <c r="V28" s="199" t="inlineStr">
        <is>
          <t>n/a</t>
        </is>
      </c>
      <c r="W28" s="275" t="inlineStr">
        <is>
          <t>n/a</t>
        </is>
      </c>
      <c r="X28" s="339" t="n">
        <v>4384081980</v>
      </c>
      <c r="Y28" s="154">
        <f>IF(ABS(X28)&gt;$D$7,"above","below")</f>
        <v/>
      </c>
      <c r="Z28" s="155">
        <f>IF('Template identifying components'!$P$21="key component","Key component",IF($Y$28="above","Material component","n/a"))</f>
        <v/>
      </c>
      <c r="AA28" s="199" t="inlineStr">
        <is>
          <t>n/a</t>
        </is>
      </c>
      <c r="AB28" s="275" t="inlineStr">
        <is>
          <t>n/a</t>
        </is>
      </c>
      <c r="AE28" s="156">
        <f>$AY$28</f>
        <v/>
      </c>
      <c r="AF28" s="158">
        <f>E28-AE28</f>
        <v/>
      </c>
      <c r="AG28" s="159">
        <f>IF(ABS(AF28)&gt;$D$7,"untested population above materiality","untested population below materiality")</f>
        <v/>
      </c>
      <c r="AI28" s="156">
        <f>$BC$28</f>
        <v/>
      </c>
      <c r="AJ28" s="158">
        <f>AF28-AI28</f>
        <v/>
      </c>
      <c r="AK28" s="159">
        <f>IF(ABS(AJ28)&gt;$D$7,"untested population above materiality","untested population below materiality")</f>
        <v/>
      </c>
      <c r="AL28" s="548" t="n"/>
      <c r="AM28" s="156">
        <f>$BG$28</f>
        <v/>
      </c>
      <c r="AN28" s="158">
        <f>AJ28-AM28</f>
        <v/>
      </c>
      <c r="AO28" s="159">
        <f>IF(ABS(AN28)&gt;$D$7,"untested population above materiality","untested population below materiality")</f>
        <v/>
      </c>
      <c r="AP28" s="548" t="n"/>
      <c r="AQ28" s="160">
        <f>IF(AO28="untested population above materiality","scope in more components or perform a stand-back assessment","ok")</f>
        <v/>
      </c>
      <c r="AY28">
        <f>IF(L10="full scope",I28,0)+IF(Q10="full scope",N28,0)+IF(V10="full scope",S28,0)+IF(AA10="full scope",X28,0)</f>
        <v/>
      </c>
      <c r="BC28">
        <f>IF(L28="in scope",I28,0)+IF(Q28="in scope",N28,0)+IF(V28="in scope",S28,0)+IF(AA28="in scope",X28,0)</f>
        <v/>
      </c>
      <c r="BG28">
        <f>IF(M28="in scope",I28,0)+IF(R28="in scope",N28,0)+IF(W28="in scope",S28,0)+IF(AB28="in scope",X28,0)</f>
        <v/>
      </c>
    </row>
    <row r="29">
      <c r="B29" s="547" t="n"/>
      <c r="C29" s="332" t="inlineStr">
        <is>
          <t>14.보증금</t>
        </is>
      </c>
      <c r="D29" s="222" t="inlineStr">
        <is>
          <t>non material COTABD</t>
        </is>
      </c>
      <c r="E29" s="333" t="n">
        <v>6773597898</v>
      </c>
      <c r="F29" s="156">
        <f>$I$29+$N$29+$S$29+$X$29</f>
        <v/>
      </c>
      <c r="G29" s="157">
        <f>E29-F29</f>
        <v/>
      </c>
      <c r="I29" s="339" t="n">
        <v>998123368</v>
      </c>
      <c r="J29" s="154">
        <f>IF(ABS(I29)&gt;$D$7,"above","below")</f>
        <v/>
      </c>
      <c r="K29" s="155">
        <f>IF('Template identifying components'!$P$18="key component","Key component",IF($J$29="above","Material component","n/a"))</f>
        <v/>
      </c>
      <c r="L29" s="199" t="inlineStr">
        <is>
          <t>n/a</t>
        </is>
      </c>
      <c r="M29" s="275" t="inlineStr">
        <is>
          <t>n/a</t>
        </is>
      </c>
      <c r="N29" s="339" t="n">
        <v>2036000000</v>
      </c>
      <c r="O29" s="154">
        <f>IF(ABS(N29)&gt;$D$7,"above","below")</f>
        <v/>
      </c>
      <c r="P29" s="155">
        <f>IF('Template identifying components'!$P$19="key component","Key component",IF($O$29="above","Material component","n/a"))</f>
        <v/>
      </c>
      <c r="Q29" s="199" t="inlineStr">
        <is>
          <t>n/a</t>
        </is>
      </c>
      <c r="R29" s="275" t="inlineStr">
        <is>
          <t>n/a</t>
        </is>
      </c>
      <c r="S29" s="339" t="n">
        <v>2104800000</v>
      </c>
      <c r="T29" s="154">
        <f>IF(ABS(S29)&gt;$D$7,"above","below")</f>
        <v/>
      </c>
      <c r="U29" s="155">
        <f>IF('Template identifying components'!$P$20="key component","Key component",IF($T$29="above","Material component","n/a"))</f>
        <v/>
      </c>
      <c r="V29" s="199" t="inlineStr">
        <is>
          <t>n/a</t>
        </is>
      </c>
      <c r="W29" s="275" t="inlineStr">
        <is>
          <t>n/a</t>
        </is>
      </c>
      <c r="X29" s="339" t="n">
        <v>1634674530</v>
      </c>
      <c r="Y29" s="154">
        <f>IF(ABS(X29)&gt;$D$7,"above","below")</f>
        <v/>
      </c>
      <c r="Z29" s="155">
        <f>IF('Template identifying components'!$P$21="key component","Key component",IF($Y$29="above","Material component","n/a"))</f>
        <v/>
      </c>
      <c r="AA29" s="199" t="inlineStr">
        <is>
          <t>n/a</t>
        </is>
      </c>
      <c r="AB29" s="275" t="inlineStr">
        <is>
          <t>n/a</t>
        </is>
      </c>
      <c r="AE29" s="156">
        <f>$AY$29</f>
        <v/>
      </c>
      <c r="AF29" s="158">
        <f>E29-AE29</f>
        <v/>
      </c>
      <c r="AG29" s="159">
        <f>IF(ABS(AF29)&gt;$D$7,"untested population above materiality","untested population below materiality")</f>
        <v/>
      </c>
      <c r="AI29" s="156">
        <f>$BC$29</f>
        <v/>
      </c>
      <c r="AJ29" s="158">
        <f>AF29-AI29</f>
        <v/>
      </c>
      <c r="AK29" s="159">
        <f>IF(ABS(AJ29)&gt;$D$7,"untested population above materiality","untested population below materiality")</f>
        <v/>
      </c>
      <c r="AL29" s="548" t="n"/>
      <c r="AM29" s="156">
        <f>$BG$29</f>
        <v/>
      </c>
      <c r="AN29" s="158">
        <f>AJ29-AM29</f>
        <v/>
      </c>
      <c r="AO29" s="159">
        <f>IF(ABS(AN29)&gt;$D$7,"untested population above materiality","untested population below materiality")</f>
        <v/>
      </c>
      <c r="AP29" s="548" t="n"/>
      <c r="AQ29" s="160">
        <f>IF(AO29="untested population above materiality","scope in more components or perform a stand-back assessment","ok")</f>
        <v/>
      </c>
      <c r="AY29">
        <f>IF(L10="full scope",I29,0)+IF(Q10="full scope",N29,0)+IF(V10="full scope",S29,0)+IF(AA10="full scope",X29,0)</f>
        <v/>
      </c>
      <c r="BC29">
        <f>IF(L29="in scope",I29,0)+IF(Q29="in scope",N29,0)+IF(V29="in scope",S29,0)+IF(AA29="in scope",X29,0)</f>
        <v/>
      </c>
      <c r="BG29">
        <f>IF(M29="in scope",I29,0)+IF(R29="in scope",N29,0)+IF(W29="in scope",S29,0)+IF(AB29="in scope",X29,0)</f>
        <v/>
      </c>
    </row>
    <row r="30">
      <c r="B30" s="547" t="n"/>
      <c r="C30" s="332" t="inlineStr">
        <is>
          <t>15.회원권</t>
        </is>
      </c>
      <c r="D30" s="222" t="inlineStr">
        <is>
          <t>non material COTABD</t>
        </is>
      </c>
      <c r="E30" s="333" t="n">
        <v>429472727</v>
      </c>
      <c r="F30" s="156">
        <f>$I$30+$N$30+$S$30+$X$30</f>
        <v/>
      </c>
      <c r="G30" s="157">
        <f>E30-F30</f>
        <v/>
      </c>
      <c r="I30" s="339" t="n">
        <v>429472727</v>
      </c>
      <c r="J30" s="154">
        <f>IF(ABS(I30)&gt;$D$7,"above","below")</f>
        <v/>
      </c>
      <c r="K30" s="155">
        <f>IF('Template identifying components'!$P$18="key component","Key component",IF($J$30="above","Material component","n/a"))</f>
        <v/>
      </c>
      <c r="L30" s="199" t="inlineStr">
        <is>
          <t>n/a</t>
        </is>
      </c>
      <c r="M30" s="275" t="inlineStr">
        <is>
          <t>n/a</t>
        </is>
      </c>
      <c r="N30" s="339" t="n">
        <v>0</v>
      </c>
      <c r="O30" s="154">
        <f>IF(ABS(N30)&gt;$D$7,"above","below")</f>
        <v/>
      </c>
      <c r="P30" s="155">
        <f>IF('Template identifying components'!$P$19="key component","Key component",IF($O$30="above","Material component","n/a"))</f>
        <v/>
      </c>
      <c r="Q30" s="199" t="inlineStr">
        <is>
          <t>n/a</t>
        </is>
      </c>
      <c r="R30" s="275" t="inlineStr">
        <is>
          <t>n/a</t>
        </is>
      </c>
      <c r="S30" s="339" t="n">
        <v>0</v>
      </c>
      <c r="T30" s="154">
        <f>IF(ABS(S30)&gt;$D$7,"above","below")</f>
        <v/>
      </c>
      <c r="U30" s="155">
        <f>IF('Template identifying components'!$P$20="key component","Key component",IF($T$30="above","Material component","n/a"))</f>
        <v/>
      </c>
      <c r="V30" s="199" t="inlineStr">
        <is>
          <t>n/a</t>
        </is>
      </c>
      <c r="W30" s="275" t="inlineStr">
        <is>
          <t>n/a</t>
        </is>
      </c>
      <c r="X30" s="339" t="n">
        <v>0</v>
      </c>
      <c r="Y30" s="154">
        <f>IF(ABS(X30)&gt;$D$7,"above","below")</f>
        <v/>
      </c>
      <c r="Z30" s="155">
        <f>IF('Template identifying components'!$P$21="key component","Key component",IF($Y$30="above","Material component","n/a"))</f>
        <v/>
      </c>
      <c r="AA30" s="199" t="inlineStr">
        <is>
          <t>n/a</t>
        </is>
      </c>
      <c r="AB30" s="275" t="inlineStr">
        <is>
          <t>n/a</t>
        </is>
      </c>
      <c r="AE30" s="156">
        <f>$AY$30</f>
        <v/>
      </c>
      <c r="AF30" s="158">
        <f>E30-AE30</f>
        <v/>
      </c>
      <c r="AG30" s="159">
        <f>IF(ABS(AF30)&gt;$D$7,"untested population above materiality","untested population below materiality")</f>
        <v/>
      </c>
      <c r="AI30" s="156">
        <f>$BC$30</f>
        <v/>
      </c>
      <c r="AJ30" s="158">
        <f>AF30-AI30</f>
        <v/>
      </c>
      <c r="AK30" s="159">
        <f>IF(ABS(AJ30)&gt;$D$7,"untested population above materiality","untested population below materiality")</f>
        <v/>
      </c>
      <c r="AL30" s="548" t="n"/>
      <c r="AM30" s="156">
        <f>$BG$30</f>
        <v/>
      </c>
      <c r="AN30" s="158">
        <f>AJ30-AM30</f>
        <v/>
      </c>
      <c r="AO30" s="159">
        <f>IF(ABS(AN30)&gt;$D$7,"untested population above materiality","untested population below materiality")</f>
        <v/>
      </c>
      <c r="AP30" s="548" t="n"/>
      <c r="AQ30" s="160">
        <f>IF(AO30="untested population above materiality","scope in more components or perform a stand-back assessment","ok")</f>
        <v/>
      </c>
      <c r="AY30">
        <f>IF(L10="full scope",I30,0)+IF(Q10="full scope",N30,0)+IF(V10="full scope",S30,0)+IF(AA10="full scope",X30,0)</f>
        <v/>
      </c>
      <c r="BC30">
        <f>IF(L30="in scope",I30,0)+IF(Q30="in scope",N30,0)+IF(V30="in scope",S30,0)+IF(AA30="in scope",X30,0)</f>
        <v/>
      </c>
      <c r="BG30">
        <f>IF(M30="in scope",I30,0)+IF(R30="in scope",N30,0)+IF(W30="in scope",S30,0)+IF(AB30="in scope",X30,0)</f>
        <v/>
      </c>
    </row>
    <row r="31">
      <c r="B31" s="547" t="n"/>
      <c r="C31" s="332" t="inlineStr">
        <is>
          <t>16.이연법인세자산</t>
        </is>
      </c>
      <c r="D31" s="222" t="inlineStr">
        <is>
          <t>MCOTABD</t>
        </is>
      </c>
      <c r="E31" s="333" t="n">
        <v>24716273674</v>
      </c>
      <c r="F31" s="156">
        <f>$I$31+$N$31+$S$31+$X$31</f>
        <v/>
      </c>
      <c r="G31" s="157">
        <f>E31-F31</f>
        <v/>
      </c>
      <c r="I31" s="339" t="n">
        <v>13636290236</v>
      </c>
      <c r="J31" s="154">
        <f>IF(ABS(I31)&gt;$D$7,"above","below")</f>
        <v/>
      </c>
      <c r="K31" s="155">
        <f>IF('Template identifying components'!$P$18="key component","Key component",IF($J$31="above","Material component","n/a"))</f>
        <v/>
      </c>
      <c r="L31" s="199" t="inlineStr">
        <is>
          <t>n/a</t>
        </is>
      </c>
      <c r="M31" s="275" t="inlineStr">
        <is>
          <t>n/a</t>
        </is>
      </c>
      <c r="N31" s="339" t="n">
        <v>3014968125</v>
      </c>
      <c r="O31" s="154">
        <f>IF(ABS(N31)&gt;$D$7,"above","below")</f>
        <v/>
      </c>
      <c r="P31" s="155">
        <f>IF('Template identifying components'!$P$19="key component","Key component",IF($O$31="above","Material component","n/a"))</f>
        <v/>
      </c>
      <c r="Q31" s="199" t="inlineStr">
        <is>
          <t>n/a</t>
        </is>
      </c>
      <c r="R31" s="275" t="inlineStr">
        <is>
          <t>n/a</t>
        </is>
      </c>
      <c r="S31" s="339" t="n">
        <v>6622968890</v>
      </c>
      <c r="T31" s="154">
        <f>IF(ABS(S31)&gt;$D$7,"above","below")</f>
        <v/>
      </c>
      <c r="U31" s="155">
        <f>IF('Template identifying components'!$P$20="key component","Key component",IF($T$31="above","Material component","n/a"))</f>
        <v/>
      </c>
      <c r="V31" s="199" t="inlineStr">
        <is>
          <t>n/a</t>
        </is>
      </c>
      <c r="W31" s="275" t="inlineStr">
        <is>
          <t>n/a</t>
        </is>
      </c>
      <c r="X31" s="339" t="n">
        <v>1442046423</v>
      </c>
      <c r="Y31" s="154">
        <f>IF(ABS(X31)&gt;$D$7,"above","below")</f>
        <v/>
      </c>
      <c r="Z31" s="155">
        <f>IF('Template identifying components'!$P$21="key component","Key component",IF($Y$31="above","Material component","n/a"))</f>
        <v/>
      </c>
      <c r="AA31" s="199" t="inlineStr">
        <is>
          <t>n/a</t>
        </is>
      </c>
      <c r="AB31" s="275" t="inlineStr">
        <is>
          <t>n/a</t>
        </is>
      </c>
      <c r="AE31" s="156">
        <f>$AY$31</f>
        <v/>
      </c>
      <c r="AF31" s="158">
        <f>E31-AE31</f>
        <v/>
      </c>
      <c r="AG31" s="159">
        <f>IF(ABS(AF31)&gt;$D$7,"untested population above materiality","untested population below materiality")</f>
        <v/>
      </c>
      <c r="AI31" s="156">
        <f>$BC$31</f>
        <v/>
      </c>
      <c r="AJ31" s="158">
        <f>AF31-AI31</f>
        <v/>
      </c>
      <c r="AK31" s="159">
        <f>IF(ABS(AJ31)&gt;$D$7,"untested population above materiality","untested population below materiality")</f>
        <v/>
      </c>
      <c r="AL31" s="548" t="n"/>
      <c r="AM31" s="156">
        <f>$BG$31</f>
        <v/>
      </c>
      <c r="AN31" s="158">
        <f>AJ31-AM31</f>
        <v/>
      </c>
      <c r="AO31" s="159">
        <f>IF(ABS(AN31)&gt;$D$7,"untested population above materiality","untested population below materiality")</f>
        <v/>
      </c>
      <c r="AP31" s="548" t="n"/>
      <c r="AQ31" s="160">
        <f>IF(AO31="untested population above materiality","scope in more components or perform a stand-back assessment","ok")</f>
        <v/>
      </c>
      <c r="AY31">
        <f>IF(L10="full scope",I31,0)+IF(Q10="full scope",N31,0)+IF(V10="full scope",S31,0)+IF(AA10="full scope",X31,0)</f>
        <v/>
      </c>
      <c r="BC31">
        <f>IF(L31="in scope",I31,0)+IF(Q31="in scope",N31,0)+IF(V31="in scope",S31,0)+IF(AA31="in scope",X31,0)</f>
        <v/>
      </c>
      <c r="BG31">
        <f>IF(M31="in scope",I31,0)+IF(R31="in scope",N31,0)+IF(W31="in scope",S31,0)+IF(AB31="in scope",X31,0)</f>
        <v/>
      </c>
    </row>
    <row r="32">
      <c r="B32" s="547" t="n"/>
      <c r="C32" s="332" t="n"/>
      <c r="D32" s="222" t="n"/>
      <c r="E32" s="333" t="n">
        <v>0</v>
      </c>
      <c r="F32" s="156">
        <f>$I$32+$N$32+$S$32+$X$32</f>
        <v/>
      </c>
      <c r="G32" s="157">
        <f>E32-F32</f>
        <v/>
      </c>
      <c r="I32" s="339" t="n">
        <v>0</v>
      </c>
      <c r="J32" s="154">
        <f>IF(ABS(I32)&gt;$D$7,"above","below")</f>
        <v/>
      </c>
      <c r="K32" s="155">
        <f>IF('Template identifying components'!$P$18="key component","Key component",IF($J$32="above","Material component","n/a"))</f>
        <v/>
      </c>
      <c r="L32" s="199" t="inlineStr">
        <is>
          <t>n/a</t>
        </is>
      </c>
      <c r="M32" s="275" t="inlineStr">
        <is>
          <t>n/a</t>
        </is>
      </c>
      <c r="N32" s="339" t="n">
        <v>0</v>
      </c>
      <c r="O32" s="154">
        <f>IF(ABS(N32)&gt;$D$7,"above","below")</f>
        <v/>
      </c>
      <c r="P32" s="155">
        <f>IF('Template identifying components'!$P$19="key component","Key component",IF($O$32="above","Material component","n/a"))</f>
        <v/>
      </c>
      <c r="Q32" s="199" t="inlineStr">
        <is>
          <t>n/a</t>
        </is>
      </c>
      <c r="R32" s="275" t="inlineStr">
        <is>
          <t>n/a</t>
        </is>
      </c>
      <c r="S32" s="339" t="n">
        <v>0</v>
      </c>
      <c r="T32" s="154">
        <f>IF(ABS(S32)&gt;$D$7,"above","below")</f>
        <v/>
      </c>
      <c r="U32" s="155">
        <f>IF('Template identifying components'!$P$20="key component","Key component",IF($T$32="above","Material component","n/a"))</f>
        <v/>
      </c>
      <c r="V32" s="199" t="inlineStr">
        <is>
          <t>n/a</t>
        </is>
      </c>
      <c r="W32" s="275" t="inlineStr">
        <is>
          <t>n/a</t>
        </is>
      </c>
      <c r="X32" s="339" t="n">
        <v>0</v>
      </c>
      <c r="Y32" s="154">
        <f>IF(ABS(X32)&gt;$D$7,"above","below")</f>
        <v/>
      </c>
      <c r="Z32" s="155">
        <f>IF('Template identifying components'!$P$21="key component","Key component",IF($Y$32="above","Material component","n/a"))</f>
        <v/>
      </c>
      <c r="AA32" s="199" t="inlineStr">
        <is>
          <t>n/a</t>
        </is>
      </c>
      <c r="AB32" s="275" t="inlineStr">
        <is>
          <t>n/a</t>
        </is>
      </c>
      <c r="AE32" s="156">
        <f>$AY$32</f>
        <v/>
      </c>
      <c r="AF32" s="158">
        <f>E32-AE32</f>
        <v/>
      </c>
      <c r="AG32" s="159">
        <f>IF(ABS(AF32)&gt;$D$7,"untested population above materiality","untested population below materiality")</f>
        <v/>
      </c>
      <c r="AI32" s="156">
        <f>$BC$32</f>
        <v/>
      </c>
      <c r="AJ32" s="158">
        <f>AF32-AI32</f>
        <v/>
      </c>
      <c r="AK32" s="159">
        <f>IF(ABS(AJ32)&gt;$D$7,"untested population above materiality","untested population below materiality")</f>
        <v/>
      </c>
      <c r="AL32" s="548" t="n"/>
      <c r="AM32" s="156">
        <f>$BG$32</f>
        <v/>
      </c>
      <c r="AN32" s="158">
        <f>AJ32-AM32</f>
        <v/>
      </c>
      <c r="AO32" s="159">
        <f>IF(ABS(AN32)&gt;$D$7,"untested population above materiality","untested population below materiality")</f>
        <v/>
      </c>
      <c r="AP32" s="548" t="n"/>
      <c r="AQ32" s="160">
        <f>IF(AO32="untested population above materiality","scope in more components or perform a stand-back assessment","ok")</f>
        <v/>
      </c>
      <c r="AY32">
        <f>IF(L10="full scope",I32,0)+IF(Q10="full scope",N32,0)+IF(V10="full scope",S32,0)+IF(AA10="full scope",X32,0)</f>
        <v/>
      </c>
      <c r="BC32">
        <f>IF(L32="in scope",I32,0)+IF(Q32="in scope",N32,0)+IF(V32="in scope",S32,0)+IF(AA32="in scope",X32,0)</f>
        <v/>
      </c>
      <c r="BG32">
        <f>IF(M32="in scope",I32,0)+IF(R32="in scope",N32,0)+IF(W32="in scope",S32,0)+IF(AB32="in scope",X32,0)</f>
        <v/>
      </c>
    </row>
    <row r="33">
      <c r="B33" s="547" t="n"/>
      <c r="C33" s="332" t="n"/>
      <c r="D33" s="222" t="n"/>
      <c r="E33" s="333" t="n">
        <v>0</v>
      </c>
      <c r="F33" s="156">
        <f>$I$33+$N$33+$S$33+$X$33</f>
        <v/>
      </c>
      <c r="G33" s="157">
        <f>E33-F33</f>
        <v/>
      </c>
      <c r="I33" s="339" t="n">
        <v>0</v>
      </c>
      <c r="J33" s="154">
        <f>IF(ABS(I33)&gt;$D$7,"above","below")</f>
        <v/>
      </c>
      <c r="K33" s="155">
        <f>IF('Template identifying components'!$P$18="key component","Key component",IF($J$33="above","Material component","n/a"))</f>
        <v/>
      </c>
      <c r="L33" s="199" t="inlineStr">
        <is>
          <t>n/a</t>
        </is>
      </c>
      <c r="M33" s="275" t="inlineStr">
        <is>
          <t>n/a</t>
        </is>
      </c>
      <c r="N33" s="339" t="n">
        <v>0</v>
      </c>
      <c r="O33" s="154">
        <f>IF(ABS(N33)&gt;$D$7,"above","below")</f>
        <v/>
      </c>
      <c r="P33" s="155">
        <f>IF('Template identifying components'!$P$19="key component","Key component",IF($O$33="above","Material component","n/a"))</f>
        <v/>
      </c>
      <c r="Q33" s="199" t="inlineStr">
        <is>
          <t>n/a</t>
        </is>
      </c>
      <c r="R33" s="275" t="inlineStr">
        <is>
          <t>n/a</t>
        </is>
      </c>
      <c r="S33" s="339" t="n">
        <v>0</v>
      </c>
      <c r="T33" s="154">
        <f>IF(ABS(S33)&gt;$D$7,"above","below")</f>
        <v/>
      </c>
      <c r="U33" s="155">
        <f>IF('Template identifying components'!$P$20="key component","Key component",IF($T$33="above","Material component","n/a"))</f>
        <v/>
      </c>
      <c r="V33" s="199" t="inlineStr">
        <is>
          <t>n/a</t>
        </is>
      </c>
      <c r="W33" s="275" t="inlineStr">
        <is>
          <t>n/a</t>
        </is>
      </c>
      <c r="X33" s="339" t="n">
        <v>0</v>
      </c>
      <c r="Y33" s="154">
        <f>IF(ABS(X33)&gt;$D$7,"above","below")</f>
        <v/>
      </c>
      <c r="Z33" s="155">
        <f>IF('Template identifying components'!$P$21="key component","Key component",IF($Y$33="above","Material component","n/a"))</f>
        <v/>
      </c>
      <c r="AA33" s="199" t="inlineStr">
        <is>
          <t>n/a</t>
        </is>
      </c>
      <c r="AB33" s="275" t="inlineStr">
        <is>
          <t>n/a</t>
        </is>
      </c>
      <c r="AE33" s="156">
        <f>$AY$33</f>
        <v/>
      </c>
      <c r="AF33" s="158">
        <f>E33-AE33</f>
        <v/>
      </c>
      <c r="AG33" s="159">
        <f>IF(ABS(AF33)&gt;$D$7,"untested population above materiality","untested population below materiality")</f>
        <v/>
      </c>
      <c r="AI33" s="156">
        <f>$BC$33</f>
        <v/>
      </c>
      <c r="AJ33" s="158">
        <f>AF33-AI33</f>
        <v/>
      </c>
      <c r="AK33" s="159">
        <f>IF(ABS(AJ33)&gt;$D$7,"untested population above materiality","untested population below materiality")</f>
        <v/>
      </c>
      <c r="AL33" s="548" t="n"/>
      <c r="AM33" s="156">
        <f>$BG$33</f>
        <v/>
      </c>
      <c r="AN33" s="158">
        <f>AJ33-AM33</f>
        <v/>
      </c>
      <c r="AO33" s="159">
        <f>IF(ABS(AN33)&gt;$D$7,"untested population above materiality","untested population below materiality")</f>
        <v/>
      </c>
      <c r="AP33" s="548" t="n"/>
      <c r="AQ33" s="160">
        <f>IF(AO33="untested population above materiality","scope in more components or perform a stand-back assessment","ok")</f>
        <v/>
      </c>
      <c r="AY33">
        <f>IF(L10="full scope",I33,0)+IF(Q10="full scope",N33,0)+IF(V10="full scope",S33,0)+IF(AA10="full scope",X33,0)</f>
        <v/>
      </c>
      <c r="BC33">
        <f>IF(L33="in scope",I33,0)+IF(Q33="in scope",N33,0)+IF(V33="in scope",S33,0)+IF(AA33="in scope",X33,0)</f>
        <v/>
      </c>
      <c r="BG33">
        <f>IF(M33="in scope",I33,0)+IF(R33="in scope",N33,0)+IF(W33="in scope",S33,0)+IF(AB33="in scope",X33,0)</f>
        <v/>
      </c>
    </row>
    <row r="34">
      <c r="B34" s="547" t="n"/>
      <c r="C34" s="332" t="n"/>
      <c r="D34" s="222" t="n"/>
      <c r="E34" s="333" t="n">
        <v>0</v>
      </c>
      <c r="F34" s="156">
        <f>$I$34+$N$34+$S$34+$X$34</f>
        <v/>
      </c>
      <c r="G34" s="157">
        <f>E34-F34</f>
        <v/>
      </c>
      <c r="I34" s="339" t="n">
        <v>0</v>
      </c>
      <c r="J34" s="154">
        <f>IF(ABS(I34)&gt;$D$7,"above","below")</f>
        <v/>
      </c>
      <c r="K34" s="155">
        <f>IF('Template identifying components'!$P$18="key component","Key component",IF($J$34="above","Material component","n/a"))</f>
        <v/>
      </c>
      <c r="L34" s="199" t="inlineStr">
        <is>
          <t>n/a</t>
        </is>
      </c>
      <c r="M34" s="275" t="inlineStr">
        <is>
          <t>n/a</t>
        </is>
      </c>
      <c r="N34" s="339" t="n">
        <v>0</v>
      </c>
      <c r="O34" s="154">
        <f>IF(ABS(N34)&gt;$D$7,"above","below")</f>
        <v/>
      </c>
      <c r="P34" s="155">
        <f>IF('Template identifying components'!$P$19="key component","Key component",IF($O$34="above","Material component","n/a"))</f>
        <v/>
      </c>
      <c r="Q34" s="199" t="inlineStr">
        <is>
          <t>n/a</t>
        </is>
      </c>
      <c r="R34" s="275" t="inlineStr">
        <is>
          <t>n/a</t>
        </is>
      </c>
      <c r="S34" s="339" t="n">
        <v>0</v>
      </c>
      <c r="T34" s="154">
        <f>IF(ABS(S34)&gt;$D$7,"above","below")</f>
        <v/>
      </c>
      <c r="U34" s="155">
        <f>IF('Template identifying components'!$P$20="key component","Key component",IF($T$34="above","Material component","n/a"))</f>
        <v/>
      </c>
      <c r="V34" s="199" t="inlineStr">
        <is>
          <t>n/a</t>
        </is>
      </c>
      <c r="W34" s="275" t="inlineStr">
        <is>
          <t>n/a</t>
        </is>
      </c>
      <c r="X34" s="339" t="n">
        <v>0</v>
      </c>
      <c r="Y34" s="154">
        <f>IF(ABS(X34)&gt;$D$7,"above","below")</f>
        <v/>
      </c>
      <c r="Z34" s="155">
        <f>IF('Template identifying components'!$P$21="key component","Key component",IF($Y$34="above","Material component","n/a"))</f>
        <v/>
      </c>
      <c r="AA34" s="199" t="inlineStr">
        <is>
          <t>n/a</t>
        </is>
      </c>
      <c r="AB34" s="275" t="inlineStr">
        <is>
          <t>n/a</t>
        </is>
      </c>
      <c r="AE34" s="156">
        <f>$AY$34</f>
        <v/>
      </c>
      <c r="AF34" s="158">
        <f>E34-AE34</f>
        <v/>
      </c>
      <c r="AG34" s="159">
        <f>IF(ABS(AF34)&gt;$D$7,"untested population above materiality","untested population below materiality")</f>
        <v/>
      </c>
      <c r="AI34" s="156">
        <f>$BC$34</f>
        <v/>
      </c>
      <c r="AJ34" s="158">
        <f>AF34-AI34</f>
        <v/>
      </c>
      <c r="AK34" s="159">
        <f>IF(ABS(AJ34)&gt;$D$7,"untested population above materiality","untested population below materiality")</f>
        <v/>
      </c>
      <c r="AL34" s="548" t="n"/>
      <c r="AM34" s="156">
        <f>$BG$34</f>
        <v/>
      </c>
      <c r="AN34" s="158">
        <f>AJ34-AM34</f>
        <v/>
      </c>
      <c r="AO34" s="159">
        <f>IF(ABS(AN34)&gt;$D$7,"untested population above materiality","untested population below materiality")</f>
        <v/>
      </c>
      <c r="AP34" s="548" t="n"/>
      <c r="AQ34" s="160">
        <f>IF(AO34="untested population above materiality","scope in more components or perform a stand-back assessment","ok")</f>
        <v/>
      </c>
      <c r="AY34">
        <f>IF(L10="full scope",I34,0)+IF(Q10="full scope",N34,0)+IF(V10="full scope",S34,0)+IF(AA10="full scope",X34,0)</f>
        <v/>
      </c>
      <c r="BC34">
        <f>IF(L34="in scope",I34,0)+IF(Q34="in scope",N34,0)+IF(V34="in scope",S34,0)+IF(AA34="in scope",X34,0)</f>
        <v/>
      </c>
      <c r="BG34">
        <f>IF(M34="in scope",I34,0)+IF(R34="in scope",N34,0)+IF(W34="in scope",S34,0)+IF(AB34="in scope",X34,0)</f>
        <v/>
      </c>
    </row>
    <row r="35">
      <c r="B35" s="547" t="n"/>
      <c r="C35" s="332" t="n"/>
      <c r="D35" s="222" t="n"/>
      <c r="E35" s="333" t="n">
        <v>0</v>
      </c>
      <c r="F35" s="156">
        <f>$I$35+$N$35+$S$35+$X$35</f>
        <v/>
      </c>
      <c r="G35" s="157">
        <f>E35-F35</f>
        <v/>
      </c>
      <c r="I35" s="339" t="n">
        <v>0</v>
      </c>
      <c r="J35" s="154">
        <f>IF(ABS(I35)&gt;$D$7,"above","below")</f>
        <v/>
      </c>
      <c r="K35" s="155">
        <f>IF('Template identifying components'!$P$18="key component","Key component",IF($J$35="above","Material component","n/a"))</f>
        <v/>
      </c>
      <c r="L35" s="199" t="inlineStr">
        <is>
          <t>n/a</t>
        </is>
      </c>
      <c r="M35" s="275" t="inlineStr">
        <is>
          <t>n/a</t>
        </is>
      </c>
      <c r="N35" s="339" t="n">
        <v>0</v>
      </c>
      <c r="O35" s="154">
        <f>IF(ABS(N35)&gt;$D$7,"above","below")</f>
        <v/>
      </c>
      <c r="P35" s="155">
        <f>IF('Template identifying components'!$P$19="key component","Key component",IF($O$35="above","Material component","n/a"))</f>
        <v/>
      </c>
      <c r="Q35" s="199" t="inlineStr">
        <is>
          <t>n/a</t>
        </is>
      </c>
      <c r="R35" s="275" t="inlineStr">
        <is>
          <t>n/a</t>
        </is>
      </c>
      <c r="S35" s="339" t="n">
        <v>0</v>
      </c>
      <c r="T35" s="154">
        <f>IF(ABS(S35)&gt;$D$7,"above","below")</f>
        <v/>
      </c>
      <c r="U35" s="155">
        <f>IF('Template identifying components'!$P$20="key component","Key component",IF($T$35="above","Material component","n/a"))</f>
        <v/>
      </c>
      <c r="V35" s="199" t="inlineStr">
        <is>
          <t>n/a</t>
        </is>
      </c>
      <c r="W35" s="275" t="inlineStr">
        <is>
          <t>n/a</t>
        </is>
      </c>
      <c r="X35" s="339" t="n">
        <v>0</v>
      </c>
      <c r="Y35" s="154">
        <f>IF(ABS(X35)&gt;$D$7,"above","below")</f>
        <v/>
      </c>
      <c r="Z35" s="155">
        <f>IF('Template identifying components'!$P$21="key component","Key component",IF($Y$35="above","Material component","n/a"))</f>
        <v/>
      </c>
      <c r="AA35" s="199" t="inlineStr">
        <is>
          <t>n/a</t>
        </is>
      </c>
      <c r="AB35" s="275" t="inlineStr">
        <is>
          <t>n/a</t>
        </is>
      </c>
      <c r="AE35" s="156">
        <f>$AY$35</f>
        <v/>
      </c>
      <c r="AF35" s="158">
        <f>E35-AE35</f>
        <v/>
      </c>
      <c r="AG35" s="159">
        <f>IF(ABS(AF35)&gt;$D$7,"untested population above materiality","untested population below materiality")</f>
        <v/>
      </c>
      <c r="AI35" s="156">
        <f>$BC$35</f>
        <v/>
      </c>
      <c r="AJ35" s="158">
        <f>AF35-AI35</f>
        <v/>
      </c>
      <c r="AK35" s="159">
        <f>IF(ABS(AJ35)&gt;$D$7,"untested population above materiality","untested population below materiality")</f>
        <v/>
      </c>
      <c r="AL35" s="548" t="n"/>
      <c r="AM35" s="156">
        <f>$BG$35</f>
        <v/>
      </c>
      <c r="AN35" s="158">
        <f>AJ35-AM35</f>
        <v/>
      </c>
      <c r="AO35" s="159">
        <f>IF(ABS(AN35)&gt;$D$7,"untested population above materiality","untested population below materiality")</f>
        <v/>
      </c>
      <c r="AP35" s="548" t="n"/>
      <c r="AQ35" s="160">
        <f>IF(AO35="untested population above materiality","scope in more components or perform a stand-back assessment","ok")</f>
        <v/>
      </c>
      <c r="AY35">
        <f>IF(L10="full scope",I35,0)+IF(Q10="full scope",N35,0)+IF(V10="full scope",S35,0)+IF(AA10="full scope",X35,0)</f>
        <v/>
      </c>
      <c r="BC35">
        <f>IF(L35="in scope",I35,0)+IF(Q35="in scope",N35,0)+IF(V35="in scope",S35,0)+IF(AA35="in scope",X35,0)</f>
        <v/>
      </c>
      <c r="BG35">
        <f>IF(M35="in scope",I35,0)+IF(R35="in scope",N35,0)+IF(W35="in scope",S35,0)+IF(AB35="in scope",X35,0)</f>
        <v/>
      </c>
    </row>
    <row r="36" ht="13.5" customHeight="1" thickBot="1">
      <c r="B36" s="547" t="n"/>
      <c r="C36" s="161" t="inlineStr">
        <is>
          <t>Total assets</t>
        </is>
      </c>
      <c r="D36" s="163" t="n"/>
      <c r="E36" s="162">
        <f>SUM($E$16:$E$35)</f>
        <v/>
      </c>
      <c r="F36" s="165">
        <f>SUM($F$16:$F$35)</f>
        <v/>
      </c>
      <c r="G36" s="166">
        <f>SUM($G$16:$G$35)</f>
        <v/>
      </c>
      <c r="I36" s="341">
        <f>SUM($I$16:$I$35)</f>
        <v/>
      </c>
      <c r="J36" s="163" t="n"/>
      <c r="K36" s="164" t="n"/>
      <c r="L36" s="164" t="n"/>
      <c r="M36" s="276" t="n"/>
      <c r="N36" s="341">
        <f>SUM($N$16:$N$35)</f>
        <v/>
      </c>
      <c r="O36" s="163" t="n"/>
      <c r="P36" s="164" t="n"/>
      <c r="Q36" s="164" t="n"/>
      <c r="R36" s="276" t="n"/>
      <c r="S36" s="341">
        <f>SUM($S$16:$S$35)</f>
        <v/>
      </c>
      <c r="T36" s="163" t="n"/>
      <c r="U36" s="164" t="n"/>
      <c r="V36" s="164" t="n"/>
      <c r="W36" s="276" t="n"/>
      <c r="X36" s="341">
        <f>SUM($X$16:$X$35)</f>
        <v/>
      </c>
      <c r="Y36" s="163" t="n"/>
      <c r="Z36" s="164" t="n"/>
      <c r="AA36" s="164" t="n"/>
      <c r="AB36" s="276" t="n"/>
      <c r="AE36" s="167" t="n"/>
      <c r="AF36" s="168" t="n"/>
      <c r="AG36" s="169" t="n"/>
      <c r="AI36" s="167" t="n"/>
      <c r="AJ36" s="168" t="n"/>
      <c r="AK36" s="169" t="n"/>
      <c r="AL36" s="548" t="n"/>
      <c r="AM36" s="167" t="n"/>
      <c r="AN36" s="168" t="n"/>
      <c r="AO36" s="169" t="n"/>
      <c r="AP36" s="548" t="n"/>
      <c r="AQ36" s="170" t="n"/>
    </row>
    <row r="37">
      <c r="B37" s="547" t="n"/>
      <c r="C37" s="171" t="n"/>
      <c r="F37" s="171" t="n"/>
      <c r="I37" s="171" t="n"/>
      <c r="J37" s="171" t="n"/>
      <c r="K37" s="172" t="n"/>
      <c r="L37" s="172" t="n"/>
      <c r="M37" s="172" t="n"/>
      <c r="N37" s="171" t="n"/>
      <c r="O37" s="171" t="n"/>
      <c r="P37" s="172" t="n"/>
      <c r="Q37" s="172" t="n"/>
      <c r="R37" s="172" t="n"/>
      <c r="S37" s="171" t="n"/>
      <c r="T37" s="171" t="n"/>
      <c r="U37" s="172" t="n"/>
      <c r="V37" s="172" t="n"/>
      <c r="W37" s="172" t="n"/>
      <c r="X37" s="171" t="n"/>
      <c r="Y37" s="171" t="n"/>
      <c r="Z37" s="172" t="n"/>
      <c r="AA37" s="172" t="n"/>
      <c r="AB37" s="172" t="n"/>
      <c r="AL37" s="548" t="n"/>
      <c r="AP37" s="548" t="n"/>
    </row>
    <row r="38">
      <c r="B38" s="124" t="n"/>
      <c r="C38" s="171" t="n"/>
      <c r="F38" s="171" t="n"/>
      <c r="I38" s="171" t="n"/>
      <c r="J38" s="171" t="n"/>
      <c r="K38" s="172" t="n"/>
      <c r="L38" s="172" t="n"/>
      <c r="M38" s="172" t="n"/>
      <c r="N38" s="171" t="n"/>
      <c r="O38" s="171" t="n"/>
      <c r="P38" s="172" t="n"/>
      <c r="Q38" s="172" t="n"/>
      <c r="R38" s="172" t="n"/>
      <c r="S38" s="171" t="n"/>
      <c r="T38" s="171" t="n"/>
      <c r="U38" s="172" t="n"/>
      <c r="V38" s="172" t="n"/>
      <c r="W38" s="172" t="n"/>
      <c r="X38" s="171" t="n"/>
      <c r="Y38" s="171" t="n"/>
      <c r="Z38" s="172" t="n"/>
      <c r="AA38" s="172" t="n"/>
      <c r="AB38" s="172" t="n"/>
      <c r="AP38" s="548" t="n"/>
    </row>
    <row r="39" customFormat="1" s="140">
      <c r="A39" s="25" t="n"/>
      <c r="B39" s="133" t="n"/>
      <c r="C39" s="135" t="inlineStr">
        <is>
          <t>Equity &amp; Liabilities</t>
        </is>
      </c>
      <c r="D39" s="134" t="n"/>
      <c r="E39" s="134" t="n"/>
      <c r="F39" s="134" t="n"/>
      <c r="G39" s="134" t="n"/>
      <c r="H39" s="134" t="n"/>
      <c r="I39" s="136" t="n"/>
      <c r="J39" s="134" t="n"/>
      <c r="K39" s="137" t="n"/>
      <c r="L39" s="137" t="n"/>
      <c r="M39" s="137" t="n"/>
      <c r="N39" s="136" t="n"/>
      <c r="O39" s="134" t="n"/>
      <c r="P39" s="137" t="n"/>
      <c r="Q39" s="137" t="n"/>
      <c r="R39" s="137" t="n"/>
      <c r="S39" s="136" t="n"/>
      <c r="T39" s="134" t="n"/>
      <c r="U39" s="137" t="n"/>
      <c r="V39" s="137" t="n"/>
      <c r="W39" s="137" t="n"/>
      <c r="X39" s="136" t="n"/>
      <c r="Y39" s="134" t="n"/>
      <c r="Z39" s="137" t="n"/>
      <c r="AA39" s="137" t="n"/>
      <c r="AB39" s="137" t="n"/>
      <c r="AC39" s="134" t="n"/>
      <c r="AD39" s="134" t="n"/>
      <c r="AE39" s="134" t="n"/>
      <c r="AF39" s="134" t="n"/>
      <c r="AG39" s="134" t="n"/>
      <c r="AH39" s="134" t="n"/>
      <c r="AI39" s="134" t="n"/>
      <c r="AJ39" s="134" t="n"/>
      <c r="AK39" s="134" t="n"/>
      <c r="AL39" s="134" t="n"/>
      <c r="AM39" s="134" t="n"/>
      <c r="AN39" s="134" t="n"/>
      <c r="AO39" s="134" t="n"/>
      <c r="AP39" s="134" t="n"/>
      <c r="AQ39" s="137" t="n"/>
      <c r="AR39" s="134" t="n"/>
    </row>
    <row r="40" ht="13.5" customHeight="1" thickBot="1">
      <c r="B40" s="124" t="n"/>
      <c r="C40" s="171" t="n"/>
      <c r="F40" s="171" t="n"/>
      <c r="I40" s="171" t="n"/>
      <c r="J40" s="171" t="n"/>
      <c r="K40" s="172" t="n"/>
      <c r="L40" s="172" t="n"/>
      <c r="M40" s="172" t="n"/>
      <c r="N40" s="171" t="n"/>
      <c r="O40" s="171" t="n"/>
      <c r="P40" s="172" t="n"/>
      <c r="Q40" s="172" t="n"/>
      <c r="R40" s="172" t="n"/>
      <c r="S40" s="171" t="n"/>
      <c r="T40" s="171" t="n"/>
      <c r="U40" s="172" t="n"/>
      <c r="V40" s="172" t="n"/>
      <c r="W40" s="172" t="n"/>
      <c r="X40" s="171" t="n"/>
      <c r="Y40" s="171" t="n"/>
      <c r="Z40" s="172" t="n"/>
      <c r="AA40" s="172" t="n"/>
      <c r="AB40" s="172" t="n"/>
    </row>
    <row r="41" ht="39" customFormat="1" customHeight="1" s="129" thickBot="1">
      <c r="A41" s="25" t="n"/>
      <c r="B41" s="128" t="n"/>
      <c r="C41" s="173" t="n"/>
      <c r="E41" s="175">
        <f>E14</f>
        <v/>
      </c>
      <c r="F41" s="173" t="n"/>
      <c r="I41" s="143">
        <f>I14</f>
        <v/>
      </c>
      <c r="J41" s="569" t="n"/>
      <c r="K41" s="569" t="n"/>
      <c r="L41" s="569" t="n"/>
      <c r="M41" s="570" t="n"/>
      <c r="N41" s="143">
        <f>N14</f>
        <v/>
      </c>
      <c r="O41" s="569" t="n"/>
      <c r="P41" s="569" t="n"/>
      <c r="Q41" s="569" t="n"/>
      <c r="R41" s="570" t="n"/>
      <c r="S41" s="143">
        <f>S14</f>
        <v/>
      </c>
      <c r="T41" s="569" t="n"/>
      <c r="U41" s="569" t="n"/>
      <c r="V41" s="569" t="n"/>
      <c r="W41" s="570" t="n"/>
      <c r="X41" s="143">
        <f>X14</f>
        <v/>
      </c>
      <c r="Y41" s="569" t="n"/>
      <c r="Z41" s="569" t="n"/>
      <c r="AA41" s="569" t="n"/>
      <c r="AB41" s="570" t="n"/>
      <c r="AE41" s="571">
        <f>AE14</f>
        <v/>
      </c>
      <c r="AF41" s="556" t="n"/>
      <c r="AG41" s="557" t="n"/>
      <c r="AI41" s="571">
        <f>AI14</f>
        <v/>
      </c>
      <c r="AJ41" s="556" t="n"/>
      <c r="AK41" s="557" t="n"/>
      <c r="AM41" s="572">
        <f>AM14</f>
        <v/>
      </c>
      <c r="AN41" s="569" t="n"/>
      <c r="AO41" s="570" t="n"/>
      <c r="AQ41" s="499" t="n"/>
    </row>
    <row r="42" ht="64.5" customFormat="1" customHeight="1" s="548" thickBot="1">
      <c r="A42" s="25" t="n"/>
      <c r="B42" s="547" t="n"/>
      <c r="C42" s="146">
        <f>C15</f>
        <v/>
      </c>
      <c r="D42" s="146">
        <f>D15</f>
        <v/>
      </c>
      <c r="E42" s="146">
        <f>E15</f>
        <v/>
      </c>
      <c r="F42" s="146">
        <f>F15</f>
        <v/>
      </c>
      <c r="G42" s="146">
        <f>G15</f>
        <v/>
      </c>
      <c r="I42" s="219">
        <f>I15</f>
        <v/>
      </c>
      <c r="J42" s="219">
        <f>J15</f>
        <v/>
      </c>
      <c r="K42" s="219">
        <f>K15</f>
        <v/>
      </c>
      <c r="L42" s="219">
        <f>L15</f>
        <v/>
      </c>
      <c r="M42" s="219">
        <f>M15</f>
        <v/>
      </c>
      <c r="N42" s="219">
        <f>N15</f>
        <v/>
      </c>
      <c r="O42" s="219">
        <f>O15</f>
        <v/>
      </c>
      <c r="P42" s="219">
        <f>P15</f>
        <v/>
      </c>
      <c r="Q42" s="219">
        <f>Q15</f>
        <v/>
      </c>
      <c r="R42" s="219">
        <f>R15</f>
        <v/>
      </c>
      <c r="S42" s="219">
        <f>S15</f>
        <v/>
      </c>
      <c r="T42" s="219">
        <f>T15</f>
        <v/>
      </c>
      <c r="U42" s="219">
        <f>U15</f>
        <v/>
      </c>
      <c r="V42" s="219">
        <f>V15</f>
        <v/>
      </c>
      <c r="W42" s="219">
        <f>W15</f>
        <v/>
      </c>
      <c r="X42" s="219">
        <f>X15</f>
        <v/>
      </c>
      <c r="Y42" s="219">
        <f>Y15</f>
        <v/>
      </c>
      <c r="Z42" s="219">
        <f>Z15</f>
        <v/>
      </c>
      <c r="AA42" s="219">
        <f>AA15</f>
        <v/>
      </c>
      <c r="AB42" s="219">
        <f>AB15</f>
        <v/>
      </c>
      <c r="AE42" s="149">
        <f>AE15</f>
        <v/>
      </c>
      <c r="AF42" s="150">
        <f>AF15</f>
        <v/>
      </c>
      <c r="AG42" s="151">
        <f>AG15</f>
        <v/>
      </c>
      <c r="AI42" s="149">
        <f>AI15</f>
        <v/>
      </c>
      <c r="AJ42" s="150">
        <f>AJ15</f>
        <v/>
      </c>
      <c r="AK42" s="151">
        <f>AK15</f>
        <v/>
      </c>
      <c r="AM42" s="149">
        <f>AM15</f>
        <v/>
      </c>
      <c r="AN42" s="150">
        <f>AN15</f>
        <v/>
      </c>
      <c r="AO42" s="151">
        <f>AO15</f>
        <v/>
      </c>
      <c r="AQ42" s="152">
        <f>AQ15</f>
        <v/>
      </c>
    </row>
    <row r="43" customFormat="1" s="177">
      <c r="A43" s="25" t="n"/>
      <c r="B43" s="547" t="n"/>
      <c r="C43" s="331" t="inlineStr">
        <is>
          <t>01.매입채무</t>
        </is>
      </c>
      <c r="D43" s="223" t="inlineStr">
        <is>
          <t>SCOTABD</t>
        </is>
      </c>
      <c r="E43" s="333" t="n">
        <v>169175538394</v>
      </c>
      <c r="F43" s="156">
        <f>$I$43+$N$43+$S$43+$X$43</f>
        <v/>
      </c>
      <c r="G43" s="157">
        <f>E43-F43</f>
        <v/>
      </c>
      <c r="I43" s="337" t="n">
        <v>57497929619</v>
      </c>
      <c r="J43" s="154">
        <f>IF(ABS(I43)&gt;$D$7,"above","below")</f>
        <v/>
      </c>
      <c r="K43" s="155">
        <f>IF('Template identifying components'!$P$18="key component","Key component",IF($J$43="above","Material component","n/a"))</f>
        <v/>
      </c>
      <c r="L43" s="199" t="inlineStr">
        <is>
          <t>n/a</t>
        </is>
      </c>
      <c r="M43" s="275" t="inlineStr">
        <is>
          <t>n/a</t>
        </is>
      </c>
      <c r="N43" s="337" t="n">
        <v>26128166864</v>
      </c>
      <c r="O43" s="154">
        <f>IF(ABS(N43)&gt;$D$7,"above","below")</f>
        <v/>
      </c>
      <c r="P43" s="155">
        <f>IF('Template identifying components'!$P$19="key component","Key component",IF($O$43="above","Material component","n/a"))</f>
        <v/>
      </c>
      <c r="Q43" s="199" t="inlineStr">
        <is>
          <t>n/a</t>
        </is>
      </c>
      <c r="R43" s="275" t="inlineStr">
        <is>
          <t>n/a</t>
        </is>
      </c>
      <c r="S43" s="337" t="n">
        <v>32666782399</v>
      </c>
      <c r="T43" s="154">
        <f>IF(ABS(S43)&gt;$D$7,"above","below")</f>
        <v/>
      </c>
      <c r="U43" s="155">
        <f>IF('Template identifying components'!$P$20="key component","Key component",IF($T$43="above","Material component","n/a"))</f>
        <v/>
      </c>
      <c r="V43" s="199" t="inlineStr">
        <is>
          <t>n/a</t>
        </is>
      </c>
      <c r="W43" s="275" t="inlineStr">
        <is>
          <t>n/a</t>
        </is>
      </c>
      <c r="X43" s="337" t="n">
        <v>52882659512</v>
      </c>
      <c r="Y43" s="154">
        <f>IF(ABS(X43)&gt;$D$7,"above","below")</f>
        <v/>
      </c>
      <c r="Z43" s="155">
        <f>IF('Template identifying components'!$P$21="key component","Key component",IF($Y$43="above","Material component","n/a"))</f>
        <v/>
      </c>
      <c r="AA43" s="199" t="inlineStr">
        <is>
          <t>n/a</t>
        </is>
      </c>
      <c r="AB43" s="275" t="inlineStr">
        <is>
          <t>n/a</t>
        </is>
      </c>
      <c r="AE43" s="156">
        <f>$AY$43</f>
        <v/>
      </c>
      <c r="AF43" s="158">
        <f>E43-AE43</f>
        <v/>
      </c>
      <c r="AG43" s="159">
        <f>IF(ABS(AF43)&gt;$D$7,"untested population above materiality","untested population below materiality")</f>
        <v/>
      </c>
      <c r="AI43" s="156">
        <f>$BC$43</f>
        <v/>
      </c>
      <c r="AJ43" s="158">
        <f>AF43-AI43</f>
        <v/>
      </c>
      <c r="AK43" s="159">
        <f>IF(ABS(AJ43)&gt;$D$7,"untested population above materiality","untested population below materiality")</f>
        <v/>
      </c>
      <c r="AM43" s="156">
        <f>$BG$43</f>
        <v/>
      </c>
      <c r="AN43" s="158">
        <f>AJ43-AM43</f>
        <v/>
      </c>
      <c r="AO43" s="159">
        <f>IF(ABS(AN43)&gt;$D$7,"untested population above materiality","untested population below materiality")</f>
        <v/>
      </c>
      <c r="AQ43" s="160">
        <f>IF(AO43="untested population above materiality","scope in more components or perform a stand-back assessment","ok")</f>
        <v/>
      </c>
      <c r="AY43" s="177">
        <f>IF(L10="full scope",I43,0)+IF(Q10="full scope",N43,0)+IF(V10="full scope",S43,0)+IF(AA10="full scope",X43,0)</f>
        <v/>
      </c>
      <c r="BC43" s="177">
        <f>IF(L43="in scope",I43,0)+IF(Q43="in scope",N43,0)+IF(V43="in scope",S43,0)+IF(AA43="in scope",X43,0)</f>
        <v/>
      </c>
      <c r="BG43" s="177">
        <f>IF(M43="in scope",I43,0)+IF(R43="in scope",N43,0)+IF(W43="in scope",S43,0)+IF(AB43="in scope",X43,0)</f>
        <v/>
      </c>
    </row>
    <row r="44" customFormat="1" s="177">
      <c r="A44" s="25" t="n"/>
      <c r="B44" s="547" t="n"/>
      <c r="C44" s="332" t="inlineStr">
        <is>
          <t>02.미지급금</t>
        </is>
      </c>
      <c r="D44" s="223" t="inlineStr">
        <is>
          <t>MCOTABD</t>
        </is>
      </c>
      <c r="E44" s="333" t="n">
        <v>16948575376</v>
      </c>
      <c r="F44" s="156">
        <f>$I$44+$N$44+$S$44+$X$44</f>
        <v/>
      </c>
      <c r="G44" s="157">
        <f>E44-F44</f>
        <v/>
      </c>
      <c r="I44" s="337" t="n">
        <v>6301586699</v>
      </c>
      <c r="J44" s="154">
        <f>IF(ABS(I44)&gt;$D$7,"above","below")</f>
        <v/>
      </c>
      <c r="K44" s="155">
        <f>IF('Template identifying components'!$P$18="key component","Key component",IF($J$44="above","Material component","n/a"))</f>
        <v/>
      </c>
      <c r="L44" s="199" t="inlineStr">
        <is>
          <t>n/a</t>
        </is>
      </c>
      <c r="M44" s="275" t="inlineStr">
        <is>
          <t>n/a</t>
        </is>
      </c>
      <c r="N44" s="337" t="n">
        <v>4090634902</v>
      </c>
      <c r="O44" s="154">
        <f>IF(ABS(N44)&gt;$D$7,"above","below")</f>
        <v/>
      </c>
      <c r="P44" s="155">
        <f>IF('Template identifying components'!$P$19="key component","Key component",IF($O$44="above","Material component","n/a"))</f>
        <v/>
      </c>
      <c r="Q44" s="199" t="inlineStr">
        <is>
          <t>n/a</t>
        </is>
      </c>
      <c r="R44" s="275" t="inlineStr">
        <is>
          <t>n/a</t>
        </is>
      </c>
      <c r="S44" s="337" t="n">
        <v>3130906059</v>
      </c>
      <c r="T44" s="154">
        <f>IF(ABS(S44)&gt;$D$7,"above","below")</f>
        <v/>
      </c>
      <c r="U44" s="155">
        <f>IF('Template identifying components'!$P$20="key component","Key component",IF($T$44="above","Material component","n/a"))</f>
        <v/>
      </c>
      <c r="V44" s="199" t="inlineStr">
        <is>
          <t>n/a</t>
        </is>
      </c>
      <c r="W44" s="275" t="inlineStr">
        <is>
          <t>n/a</t>
        </is>
      </c>
      <c r="X44" s="337" t="n">
        <v>3425447716</v>
      </c>
      <c r="Y44" s="154">
        <f>IF(ABS(X44)&gt;$D$7,"above","below")</f>
        <v/>
      </c>
      <c r="Z44" s="155">
        <f>IF('Template identifying components'!$P$21="key component","Key component",IF($Y$44="above","Material component","n/a"))</f>
        <v/>
      </c>
      <c r="AA44" s="199" t="inlineStr">
        <is>
          <t>n/a</t>
        </is>
      </c>
      <c r="AB44" s="275" t="inlineStr">
        <is>
          <t>n/a</t>
        </is>
      </c>
      <c r="AE44" s="156">
        <f>$AY$44</f>
        <v/>
      </c>
      <c r="AF44" s="158">
        <f>E44-AE44</f>
        <v/>
      </c>
      <c r="AG44" s="159">
        <f>IF(ABS(AF44)&gt;$D$7,"untested population above materiality","untested population below materiality")</f>
        <v/>
      </c>
      <c r="AI44" s="156">
        <f>$BC$44</f>
        <v/>
      </c>
      <c r="AJ44" s="158">
        <f>AF44-AI44</f>
        <v/>
      </c>
      <c r="AK44" s="159">
        <f>IF(ABS(AJ44)&gt;$D$7,"untested population above materiality","untested population below materiality")</f>
        <v/>
      </c>
      <c r="AM44" s="156">
        <f>$BG$44</f>
        <v/>
      </c>
      <c r="AN44" s="158">
        <f>AJ44-AM44</f>
        <v/>
      </c>
      <c r="AO44" s="159">
        <f>IF(ABS(AN44)&gt;$D$7,"untested population above materiality","untested population below materiality")</f>
        <v/>
      </c>
      <c r="AQ44" s="160">
        <f>IF(AO44="untested population above materiality","scope in more components or perform a stand-back assessment","ok")</f>
        <v/>
      </c>
      <c r="AY44" s="177">
        <f>IF(L10="full scope",I44,0)+IF(Q10="full scope",N44,0)+IF(V10="full scope",S44,0)+IF(AA10="full scope",X44,0)</f>
        <v/>
      </c>
      <c r="BC44" s="177">
        <f>IF(L44="in scope",I44,0)+IF(Q44="in scope",N44,0)+IF(V44="in scope",S44,0)+IF(AA44="in scope",X44,0)</f>
        <v/>
      </c>
      <c r="BG44" s="177">
        <f>IF(M44="in scope",I44,0)+IF(R44="in scope",N44,0)+IF(W44="in scope",S44,0)+IF(AB44="in scope",X44,0)</f>
        <v/>
      </c>
    </row>
    <row r="45" customFormat="1" s="177">
      <c r="A45" s="25" t="n"/>
      <c r="B45" s="547" t="n"/>
      <c r="C45" s="332" t="inlineStr">
        <is>
          <t>03.예수금</t>
        </is>
      </c>
      <c r="D45" s="223" t="inlineStr">
        <is>
          <t>non material COTABD</t>
        </is>
      </c>
      <c r="E45" s="333" t="n">
        <v>2448934911</v>
      </c>
      <c r="F45" s="156">
        <f>$I$45+$N$45+$S$45+$X$45</f>
        <v/>
      </c>
      <c r="G45" s="157">
        <f>E45-F45</f>
        <v/>
      </c>
      <c r="I45" s="337" t="n">
        <v>1080037280</v>
      </c>
      <c r="J45" s="154">
        <f>IF(ABS(I45)&gt;$D$7,"above","below")</f>
        <v/>
      </c>
      <c r="K45" s="155">
        <f>IF('Template identifying components'!$P$18="key component","Key component",IF($J$45="above","Material component","n/a"))</f>
        <v/>
      </c>
      <c r="L45" s="199" t="inlineStr">
        <is>
          <t>n/a</t>
        </is>
      </c>
      <c r="M45" s="275" t="inlineStr">
        <is>
          <t>n/a</t>
        </is>
      </c>
      <c r="N45" s="337" t="n">
        <v>459479940</v>
      </c>
      <c r="O45" s="154">
        <f>IF(ABS(N45)&gt;$D$7,"above","below")</f>
        <v/>
      </c>
      <c r="P45" s="155">
        <f>IF('Template identifying components'!$P$19="key component","Key component",IF($O$45="above","Material component","n/a"))</f>
        <v/>
      </c>
      <c r="Q45" s="199" t="inlineStr">
        <is>
          <t>n/a</t>
        </is>
      </c>
      <c r="R45" s="275" t="inlineStr">
        <is>
          <t>n/a</t>
        </is>
      </c>
      <c r="S45" s="337" t="n">
        <v>641782160</v>
      </c>
      <c r="T45" s="154">
        <f>IF(ABS(S45)&gt;$D$7,"above","below")</f>
        <v/>
      </c>
      <c r="U45" s="155">
        <f>IF('Template identifying components'!$P$20="key component","Key component",IF($T$45="above","Material component","n/a"))</f>
        <v/>
      </c>
      <c r="V45" s="199" t="inlineStr">
        <is>
          <t>n/a</t>
        </is>
      </c>
      <c r="W45" s="275" t="inlineStr">
        <is>
          <t>n/a</t>
        </is>
      </c>
      <c r="X45" s="337" t="n">
        <v>267635531</v>
      </c>
      <c r="Y45" s="154">
        <f>IF(ABS(X45)&gt;$D$7,"above","below")</f>
        <v/>
      </c>
      <c r="Z45" s="155">
        <f>IF('Template identifying components'!$P$21="key component","Key component",IF($Y$45="above","Material component","n/a"))</f>
        <v/>
      </c>
      <c r="AA45" s="199" t="inlineStr">
        <is>
          <t>n/a</t>
        </is>
      </c>
      <c r="AB45" s="275" t="inlineStr">
        <is>
          <t>n/a</t>
        </is>
      </c>
      <c r="AE45" s="156">
        <f>$AY$45</f>
        <v/>
      </c>
      <c r="AF45" s="158">
        <f>E45-AE45</f>
        <v/>
      </c>
      <c r="AG45" s="159">
        <f>IF(ABS(AF45)&gt;$D$7,"untested population above materiality","untested population below materiality")</f>
        <v/>
      </c>
      <c r="AI45" s="156">
        <f>$BC$45</f>
        <v/>
      </c>
      <c r="AJ45" s="158">
        <f>AF45-AI45</f>
        <v/>
      </c>
      <c r="AK45" s="159">
        <f>IF(ABS(AJ45)&gt;$D$7,"untested population above materiality","untested population below materiality")</f>
        <v/>
      </c>
      <c r="AM45" s="156">
        <f>$BG$45</f>
        <v/>
      </c>
      <c r="AN45" s="158">
        <f>AJ45-AM45</f>
        <v/>
      </c>
      <c r="AO45" s="159">
        <f>IF(ABS(AN45)&gt;$D$7,"untested population above materiality","untested population below materiality")</f>
        <v/>
      </c>
      <c r="AQ45" s="160">
        <f>IF(AO45="untested population above materiality","scope in more components or perform a stand-back assessment","ok")</f>
        <v/>
      </c>
      <c r="AY45" s="177">
        <f>IF(L10="full scope",I45,0)+IF(Q10="full scope",N45,0)+IF(V10="full scope",S45,0)+IF(AA10="full scope",X45,0)</f>
        <v/>
      </c>
      <c r="BC45" s="177">
        <f>IF(L45="in scope",I45,0)+IF(Q45="in scope",N45,0)+IF(V45="in scope",S45,0)+IF(AA45="in scope",X45,0)</f>
        <v/>
      </c>
      <c r="BG45" s="177">
        <f>IF(M45="in scope",I45,0)+IF(R45="in scope",N45,0)+IF(W45="in scope",S45,0)+IF(AB45="in scope",X45,0)</f>
        <v/>
      </c>
    </row>
    <row r="46" customFormat="1" s="177">
      <c r="A46" s="25" t="n"/>
      <c r="B46" s="547" t="n"/>
      <c r="C46" s="332" t="inlineStr">
        <is>
          <t>04.선수금</t>
        </is>
      </c>
      <c r="D46" s="223" t="inlineStr">
        <is>
          <t>non material COTABD</t>
        </is>
      </c>
      <c r="E46" s="333" t="n">
        <v>6179427636</v>
      </c>
      <c r="F46" s="156">
        <f>$I$46+$N$46+$S$46+$X$46</f>
        <v/>
      </c>
      <c r="G46" s="157">
        <f>E46-F46</f>
        <v/>
      </c>
      <c r="I46" s="337" t="n">
        <v>743688743</v>
      </c>
      <c r="J46" s="154">
        <f>IF(ABS(I46)&gt;$D$7,"above","below")</f>
        <v/>
      </c>
      <c r="K46" s="155">
        <f>IF('Template identifying components'!$P$18="key component","Key component",IF($J$46="above","Material component","n/a"))</f>
        <v/>
      </c>
      <c r="L46" s="199" t="inlineStr">
        <is>
          <t>n/a</t>
        </is>
      </c>
      <c r="M46" s="275" t="inlineStr">
        <is>
          <t>n/a</t>
        </is>
      </c>
      <c r="N46" s="337" t="n">
        <v>0</v>
      </c>
      <c r="O46" s="154">
        <f>IF(ABS(N46)&gt;$D$7,"above","below")</f>
        <v/>
      </c>
      <c r="P46" s="155">
        <f>IF('Template identifying components'!$P$19="key component","Key component",IF($O$46="above","Material component","n/a"))</f>
        <v/>
      </c>
      <c r="Q46" s="199" t="inlineStr">
        <is>
          <t>n/a</t>
        </is>
      </c>
      <c r="R46" s="275" t="inlineStr">
        <is>
          <t>n/a</t>
        </is>
      </c>
      <c r="S46" s="337" t="n">
        <v>0</v>
      </c>
      <c r="T46" s="154">
        <f>IF(ABS(S46)&gt;$D$7,"above","below")</f>
        <v/>
      </c>
      <c r="U46" s="155">
        <f>IF('Template identifying components'!$P$20="key component","Key component",IF($T$46="above","Material component","n/a"))</f>
        <v/>
      </c>
      <c r="V46" s="199" t="inlineStr">
        <is>
          <t>n/a</t>
        </is>
      </c>
      <c r="W46" s="275" t="inlineStr">
        <is>
          <t>n/a</t>
        </is>
      </c>
      <c r="X46" s="337" t="n">
        <v>5435738893</v>
      </c>
      <c r="Y46" s="154">
        <f>IF(ABS(X46)&gt;$D$7,"above","below")</f>
        <v/>
      </c>
      <c r="Z46" s="155">
        <f>IF('Template identifying components'!$P$21="key component","Key component",IF($Y$46="above","Material component","n/a"))</f>
        <v/>
      </c>
      <c r="AA46" s="199" t="inlineStr">
        <is>
          <t>n/a</t>
        </is>
      </c>
      <c r="AB46" s="275" t="inlineStr">
        <is>
          <t>n/a</t>
        </is>
      </c>
      <c r="AE46" s="156">
        <f>$AY$46</f>
        <v/>
      </c>
      <c r="AF46" s="158">
        <f>E46-AE46</f>
        <v/>
      </c>
      <c r="AG46" s="159">
        <f>IF(ABS(AF46)&gt;$D$7,"untested population above materiality","untested population below materiality")</f>
        <v/>
      </c>
      <c r="AI46" s="156">
        <f>$BC$46</f>
        <v/>
      </c>
      <c r="AJ46" s="158">
        <f>AF46-AI46</f>
        <v/>
      </c>
      <c r="AK46" s="159">
        <f>IF(ABS(AJ46)&gt;$D$7,"untested population above materiality","untested population below materiality")</f>
        <v/>
      </c>
      <c r="AM46" s="156">
        <f>$BG$46</f>
        <v/>
      </c>
      <c r="AN46" s="158">
        <f>AJ46-AM46</f>
        <v/>
      </c>
      <c r="AO46" s="159">
        <f>IF(ABS(AN46)&gt;$D$7,"untested population above materiality","untested population below materiality")</f>
        <v/>
      </c>
      <c r="AQ46" s="160">
        <f>IF(AO46="untested population above materiality","scope in more components or perform a stand-back assessment","ok")</f>
        <v/>
      </c>
      <c r="AY46" s="177">
        <f>IF(L10="full scope",I46,0)+IF(Q10="full scope",N46,0)+IF(V10="full scope",S46,0)+IF(AA10="full scope",X46,0)</f>
        <v/>
      </c>
      <c r="BC46" s="177">
        <f>IF(L46="in scope",I46,0)+IF(Q46="in scope",N46,0)+IF(V46="in scope",S46,0)+IF(AA46="in scope",X46,0)</f>
        <v/>
      </c>
      <c r="BG46" s="177">
        <f>IF(M46="in scope",I46,0)+IF(R46="in scope",N46,0)+IF(W46="in scope",S46,0)+IF(AB46="in scope",X46,0)</f>
        <v/>
      </c>
    </row>
    <row r="47" customFormat="1" s="177">
      <c r="A47" s="25" t="n"/>
      <c r="B47" s="547" t="n"/>
      <c r="C47" s="332" t="inlineStr">
        <is>
          <t>05.미지급비용</t>
        </is>
      </c>
      <c r="D47" s="223" t="inlineStr">
        <is>
          <t>MCOTABD</t>
        </is>
      </c>
      <c r="E47" s="333" t="n">
        <v>10549497377</v>
      </c>
      <c r="F47" s="156">
        <f>$I$47+$N$47+$S$47+$X$47</f>
        <v/>
      </c>
      <c r="G47" s="157">
        <f>E47-F47</f>
        <v/>
      </c>
      <c r="I47" s="337" t="n">
        <v>4833132737</v>
      </c>
      <c r="J47" s="154">
        <f>IF(ABS(I47)&gt;$D$7,"above","below")</f>
        <v/>
      </c>
      <c r="K47" s="155">
        <f>IF('Template identifying components'!$P$18="key component","Key component",IF($J$47="above","Material component","n/a"))</f>
        <v/>
      </c>
      <c r="L47" s="199" t="inlineStr">
        <is>
          <t>n/a</t>
        </is>
      </c>
      <c r="M47" s="275" t="inlineStr">
        <is>
          <t>n/a</t>
        </is>
      </c>
      <c r="N47" s="337" t="n">
        <v>1606621889</v>
      </c>
      <c r="O47" s="154">
        <f>IF(ABS(N47)&gt;$D$7,"above","below")</f>
        <v/>
      </c>
      <c r="P47" s="155">
        <f>IF('Template identifying components'!$P$19="key component","Key component",IF($O$47="above","Material component","n/a"))</f>
        <v/>
      </c>
      <c r="Q47" s="199" t="inlineStr">
        <is>
          <t>n/a</t>
        </is>
      </c>
      <c r="R47" s="275" t="inlineStr">
        <is>
          <t>n/a</t>
        </is>
      </c>
      <c r="S47" s="337" t="n">
        <v>314643191</v>
      </c>
      <c r="T47" s="154">
        <f>IF(ABS(S47)&gt;$D$7,"above","below")</f>
        <v/>
      </c>
      <c r="U47" s="155">
        <f>IF('Template identifying components'!$P$20="key component","Key component",IF($T$47="above","Material component","n/a"))</f>
        <v/>
      </c>
      <c r="V47" s="199" t="inlineStr">
        <is>
          <t>n/a</t>
        </is>
      </c>
      <c r="W47" s="275" t="inlineStr">
        <is>
          <t>n/a</t>
        </is>
      </c>
      <c r="X47" s="337" t="n">
        <v>3795099560</v>
      </c>
      <c r="Y47" s="154">
        <f>IF(ABS(X47)&gt;$D$7,"above","below")</f>
        <v/>
      </c>
      <c r="Z47" s="155">
        <f>IF('Template identifying components'!$P$21="key component","Key component",IF($Y$47="above","Material component","n/a"))</f>
        <v/>
      </c>
      <c r="AA47" s="199" t="inlineStr">
        <is>
          <t>n/a</t>
        </is>
      </c>
      <c r="AB47" s="275" t="inlineStr">
        <is>
          <t>n/a</t>
        </is>
      </c>
      <c r="AE47" s="156">
        <f>$AY$47</f>
        <v/>
      </c>
      <c r="AF47" s="158">
        <f>E47-AE47</f>
        <v/>
      </c>
      <c r="AG47" s="159">
        <f>IF(ABS(AF47)&gt;$D$7,"untested population above materiality","untested population below materiality")</f>
        <v/>
      </c>
      <c r="AI47" s="156">
        <f>$BC$47</f>
        <v/>
      </c>
      <c r="AJ47" s="158">
        <f>AF47-AI47</f>
        <v/>
      </c>
      <c r="AK47" s="159">
        <f>IF(ABS(AJ47)&gt;$D$7,"untested population above materiality","untested population below materiality")</f>
        <v/>
      </c>
      <c r="AM47" s="156">
        <f>$BG$47</f>
        <v/>
      </c>
      <c r="AN47" s="158">
        <f>AJ47-AM47</f>
        <v/>
      </c>
      <c r="AO47" s="159">
        <f>IF(ABS(AN47)&gt;$D$7,"untested population above materiality","untested population below materiality")</f>
        <v/>
      </c>
      <c r="AQ47" s="160">
        <f>IF(AO47="untested population above materiality","scope in more components or perform a stand-back assessment","ok")</f>
        <v/>
      </c>
      <c r="AY47" s="177">
        <f>IF(L10="full scope",I47,0)+IF(Q10="full scope",N47,0)+IF(V10="full scope",S47,0)+IF(AA10="full scope",X47,0)</f>
        <v/>
      </c>
      <c r="BC47" s="177">
        <f>IF(L47="in scope",I47,0)+IF(Q47="in scope",N47,0)+IF(V47="in scope",S47,0)+IF(AA47="in scope",X47,0)</f>
        <v/>
      </c>
      <c r="BG47" s="177">
        <f>IF(M47="in scope",I47,0)+IF(R47="in scope",N47,0)+IF(W47="in scope",S47,0)+IF(AB47="in scope",X47,0)</f>
        <v/>
      </c>
    </row>
    <row r="48" customFormat="1" s="177">
      <c r="A48" s="25" t="n"/>
      <c r="B48" s="547" t="n"/>
      <c r="C48" s="332" t="inlineStr">
        <is>
          <t>06.미지급법인세</t>
        </is>
      </c>
      <c r="D48" s="223" t="inlineStr">
        <is>
          <t>non material COTABD</t>
        </is>
      </c>
      <c r="E48" s="333" t="n">
        <v>5478474220</v>
      </c>
      <c r="F48" s="156">
        <f>$I$48+$N$48+$S$48+$X$48</f>
        <v/>
      </c>
      <c r="G48" s="157">
        <f>E48-F48</f>
        <v/>
      </c>
      <c r="I48" s="337" t="n">
        <v>2092731931</v>
      </c>
      <c r="J48" s="154">
        <f>IF(ABS(I48)&gt;$D$7,"above","below")</f>
        <v/>
      </c>
      <c r="K48" s="155">
        <f>IF('Template identifying components'!$P$18="key component","Key component",IF($J$48="above","Material component","n/a"))</f>
        <v/>
      </c>
      <c r="L48" s="199" t="inlineStr">
        <is>
          <t>n/a</t>
        </is>
      </c>
      <c r="M48" s="275" t="inlineStr">
        <is>
          <t>n/a</t>
        </is>
      </c>
      <c r="N48" s="337" t="n">
        <v>3385742289</v>
      </c>
      <c r="O48" s="154">
        <f>IF(ABS(N48)&gt;$D$7,"above","below")</f>
        <v/>
      </c>
      <c r="P48" s="155">
        <f>IF('Template identifying components'!$P$19="key component","Key component",IF($O$48="above","Material component","n/a"))</f>
        <v/>
      </c>
      <c r="Q48" s="199" t="inlineStr">
        <is>
          <t>n/a</t>
        </is>
      </c>
      <c r="R48" s="275" t="inlineStr">
        <is>
          <t>n/a</t>
        </is>
      </c>
      <c r="S48" s="337" t="n">
        <v>0</v>
      </c>
      <c r="T48" s="154">
        <f>IF(ABS(S48)&gt;$D$7,"above","below")</f>
        <v/>
      </c>
      <c r="U48" s="155">
        <f>IF('Template identifying components'!$P$20="key component","Key component",IF($T$48="above","Material component","n/a"))</f>
        <v/>
      </c>
      <c r="V48" s="199" t="inlineStr">
        <is>
          <t>n/a</t>
        </is>
      </c>
      <c r="W48" s="275" t="inlineStr">
        <is>
          <t>n/a</t>
        </is>
      </c>
      <c r="X48" s="337" t="n">
        <v>0</v>
      </c>
      <c r="Y48" s="154">
        <f>IF(ABS(X48)&gt;$D$7,"above","below")</f>
        <v/>
      </c>
      <c r="Z48" s="155">
        <f>IF('Template identifying components'!$P$21="key component","Key component",IF($Y$48="above","Material component","n/a"))</f>
        <v/>
      </c>
      <c r="AA48" s="199" t="inlineStr">
        <is>
          <t>n/a</t>
        </is>
      </c>
      <c r="AB48" s="275" t="inlineStr">
        <is>
          <t>n/a</t>
        </is>
      </c>
      <c r="AE48" s="156">
        <f>$AY$48</f>
        <v/>
      </c>
      <c r="AF48" s="158">
        <f>E48-AE48</f>
        <v/>
      </c>
      <c r="AG48" s="159">
        <f>IF(ABS(AF48)&gt;$D$7,"untested population above materiality","untested population below materiality")</f>
        <v/>
      </c>
      <c r="AI48" s="156">
        <f>$BC$48</f>
        <v/>
      </c>
      <c r="AJ48" s="158">
        <f>AF48-AI48</f>
        <v/>
      </c>
      <c r="AK48" s="159">
        <f>IF(ABS(AJ48)&gt;$D$7,"untested population above materiality","untested population below materiality")</f>
        <v/>
      </c>
      <c r="AM48" s="156">
        <f>$BG$48</f>
        <v/>
      </c>
      <c r="AN48" s="158">
        <f>AJ48-AM48</f>
        <v/>
      </c>
      <c r="AO48" s="159">
        <f>IF(ABS(AN48)&gt;$D$7,"untested population above materiality","untested population below materiality")</f>
        <v/>
      </c>
      <c r="AQ48" s="160">
        <f>IF(AO48="untested population above materiality","scope in more components or perform a stand-back assessment","ok")</f>
        <v/>
      </c>
      <c r="AY48" s="177">
        <f>IF(L10="full scope",I48,0)+IF(Q10="full scope",N48,0)+IF(V10="full scope",S48,0)+IF(AA10="full scope",X48,0)</f>
        <v/>
      </c>
      <c r="BC48" s="177">
        <f>IF(L48="in scope",I48,0)+IF(Q48="in scope",N48,0)+IF(V48="in scope",S48,0)+IF(AA48="in scope",X48,0)</f>
        <v/>
      </c>
      <c r="BG48" s="177">
        <f>IF(M48="in scope",I48,0)+IF(R48="in scope",N48,0)+IF(W48="in scope",S48,0)+IF(AB48="in scope",X48,0)</f>
        <v/>
      </c>
    </row>
    <row r="49" customFormat="1" s="177">
      <c r="A49" s="25" t="n"/>
      <c r="B49" s="547" t="n"/>
      <c r="C49" s="332" t="inlineStr">
        <is>
          <t>07.금융리스부채(유동)</t>
        </is>
      </c>
      <c r="D49" s="223" t="inlineStr">
        <is>
          <t>non material COTABD</t>
        </is>
      </c>
      <c r="E49" s="333" t="n">
        <v>3538434022</v>
      </c>
      <c r="F49" s="156">
        <f>$I$49+$N$49+$S$49+$X$49</f>
        <v/>
      </c>
      <c r="G49" s="157">
        <f>E49-F49</f>
        <v/>
      </c>
      <c r="I49" s="337" t="n">
        <v>302180561</v>
      </c>
      <c r="J49" s="154">
        <f>IF(ABS(I49)&gt;$D$7,"above","below")</f>
        <v/>
      </c>
      <c r="K49" s="155">
        <f>IF('Template identifying components'!$P$18="key component","Key component",IF($J$49="above","Material component","n/a"))</f>
        <v/>
      </c>
      <c r="L49" s="199" t="inlineStr">
        <is>
          <t>n/a</t>
        </is>
      </c>
      <c r="M49" s="275" t="inlineStr">
        <is>
          <t>n/a</t>
        </is>
      </c>
      <c r="N49" s="337" t="n">
        <v>761536973</v>
      </c>
      <c r="O49" s="154">
        <f>IF(ABS(N49)&gt;$D$7,"above","below")</f>
        <v/>
      </c>
      <c r="P49" s="155">
        <f>IF('Template identifying components'!$P$19="key component","Key component",IF($O$49="above","Material component","n/a"))</f>
        <v/>
      </c>
      <c r="Q49" s="199" t="inlineStr">
        <is>
          <t>n/a</t>
        </is>
      </c>
      <c r="R49" s="275" t="inlineStr">
        <is>
          <t>n/a</t>
        </is>
      </c>
      <c r="S49" s="337" t="n">
        <v>1959049089</v>
      </c>
      <c r="T49" s="154">
        <f>IF(ABS(S49)&gt;$D$7,"above","below")</f>
        <v/>
      </c>
      <c r="U49" s="155">
        <f>IF('Template identifying components'!$P$20="key component","Key component",IF($T$49="above","Material component","n/a"))</f>
        <v/>
      </c>
      <c r="V49" s="199" t="inlineStr">
        <is>
          <t>n/a</t>
        </is>
      </c>
      <c r="W49" s="275" t="inlineStr">
        <is>
          <t>n/a</t>
        </is>
      </c>
      <c r="X49" s="337" t="n">
        <v>515667399</v>
      </c>
      <c r="Y49" s="154">
        <f>IF(ABS(X49)&gt;$D$7,"above","below")</f>
        <v/>
      </c>
      <c r="Z49" s="155">
        <f>IF('Template identifying components'!$P$21="key component","Key component",IF($Y$49="above","Material component","n/a"))</f>
        <v/>
      </c>
      <c r="AA49" s="199" t="inlineStr">
        <is>
          <t>n/a</t>
        </is>
      </c>
      <c r="AB49" s="275" t="inlineStr">
        <is>
          <t>n/a</t>
        </is>
      </c>
      <c r="AE49" s="156">
        <f>$AY$49</f>
        <v/>
      </c>
      <c r="AF49" s="158">
        <f>E49-AE49</f>
        <v/>
      </c>
      <c r="AG49" s="159">
        <f>IF(ABS(AF49)&gt;$D$7,"untested population above materiality","untested population below materiality")</f>
        <v/>
      </c>
      <c r="AI49" s="156">
        <f>$BC$49</f>
        <v/>
      </c>
      <c r="AJ49" s="158">
        <f>AF49-AI49</f>
        <v/>
      </c>
      <c r="AK49" s="159">
        <f>IF(ABS(AJ49)&gt;$D$7,"untested population above materiality","untested population below materiality")</f>
        <v/>
      </c>
      <c r="AM49" s="156">
        <f>$BG$49</f>
        <v/>
      </c>
      <c r="AN49" s="158">
        <f>AJ49-AM49</f>
        <v/>
      </c>
      <c r="AO49" s="159">
        <f>IF(ABS(AN49)&gt;$D$7,"untested population above materiality","untested population below materiality")</f>
        <v/>
      </c>
      <c r="AQ49" s="160">
        <f>IF(AO49="untested population above materiality","scope in more components or perform a stand-back assessment","ok")</f>
        <v/>
      </c>
      <c r="AY49" s="177">
        <f>IF(L10="full scope",I49,0)+IF(Q10="full scope",N49,0)+IF(V10="full scope",S49,0)+IF(AA10="full scope",X49,0)</f>
        <v/>
      </c>
      <c r="BC49" s="177">
        <f>IF(L49="in scope",I49,0)+IF(Q49="in scope",N49,0)+IF(V49="in scope",S49,0)+IF(AA49="in scope",X49,0)</f>
        <v/>
      </c>
      <c r="BG49" s="177">
        <f>IF(M49="in scope",I49,0)+IF(R49="in scope",N49,0)+IF(W49="in scope",S49,0)+IF(AB49="in scope",X49,0)</f>
        <v/>
      </c>
    </row>
    <row r="50" customFormat="1" s="177">
      <c r="A50" s="25" t="n"/>
      <c r="B50" s="547" t="n"/>
      <c r="C50" s="332" t="inlineStr">
        <is>
          <t>08.장기차입금</t>
        </is>
      </c>
      <c r="D50" s="223" t="inlineStr">
        <is>
          <t>non material COTABD</t>
        </is>
      </c>
      <c r="E50" s="333" t="n">
        <v>0</v>
      </c>
      <c r="F50" s="156">
        <f>$I$50+$N$50+$S$50+$X$50</f>
        <v/>
      </c>
      <c r="G50" s="157">
        <f>E50-F50</f>
        <v/>
      </c>
      <c r="I50" s="337" t="n">
        <v>0</v>
      </c>
      <c r="J50" s="154">
        <f>IF(ABS(I50)&gt;$D$7,"above","below")</f>
        <v/>
      </c>
      <c r="K50" s="155">
        <f>IF('Template identifying components'!$P$18="key component","Key component",IF($J$50="above","Material component","n/a"))</f>
        <v/>
      </c>
      <c r="L50" s="199" t="inlineStr">
        <is>
          <t>n/a</t>
        </is>
      </c>
      <c r="M50" s="275" t="inlineStr">
        <is>
          <t>n/a</t>
        </is>
      </c>
      <c r="N50" s="337" t="n">
        <v>0</v>
      </c>
      <c r="O50" s="154">
        <f>IF(ABS(N50)&gt;$D$7,"above","below")</f>
        <v/>
      </c>
      <c r="P50" s="155">
        <f>IF('Template identifying components'!$P$19="key component","Key component",IF($O$50="above","Material component","n/a"))</f>
        <v/>
      </c>
      <c r="Q50" s="199" t="inlineStr">
        <is>
          <t>n/a</t>
        </is>
      </c>
      <c r="R50" s="275" t="inlineStr">
        <is>
          <t>n/a</t>
        </is>
      </c>
      <c r="S50" s="337" t="n">
        <v>0</v>
      </c>
      <c r="T50" s="154">
        <f>IF(ABS(S50)&gt;$D$7,"above","below")</f>
        <v/>
      </c>
      <c r="U50" s="155">
        <f>IF('Template identifying components'!$P$20="key component","Key component",IF($T$50="above","Material component","n/a"))</f>
        <v/>
      </c>
      <c r="V50" s="199" t="inlineStr">
        <is>
          <t>n/a</t>
        </is>
      </c>
      <c r="W50" s="275" t="inlineStr">
        <is>
          <t>n/a</t>
        </is>
      </c>
      <c r="X50" s="337" t="n">
        <v>0</v>
      </c>
      <c r="Y50" s="154">
        <f>IF(ABS(X50)&gt;$D$7,"above","below")</f>
        <v/>
      </c>
      <c r="Z50" s="155">
        <f>IF('Template identifying components'!$P$21="key component","Key component",IF($Y$50="above","Material component","n/a"))</f>
        <v/>
      </c>
      <c r="AA50" s="199" t="inlineStr">
        <is>
          <t>n/a</t>
        </is>
      </c>
      <c r="AB50" s="275" t="inlineStr">
        <is>
          <t>n/a</t>
        </is>
      </c>
      <c r="AE50" s="156">
        <f>$AY$50</f>
        <v/>
      </c>
      <c r="AF50" s="158">
        <f>E50-AE50</f>
        <v/>
      </c>
      <c r="AG50" s="159">
        <f>IF(ABS(AF50)&gt;$D$7,"untested population above materiality","untested population below materiality")</f>
        <v/>
      </c>
      <c r="AI50" s="156">
        <f>$BC$50</f>
        <v/>
      </c>
      <c r="AJ50" s="158">
        <f>AF50-AI50</f>
        <v/>
      </c>
      <c r="AK50" s="159">
        <f>IF(ABS(AJ50)&gt;$D$7,"untested population above materiality","untested population below materiality")</f>
        <v/>
      </c>
      <c r="AM50" s="156">
        <f>$BG$50</f>
        <v/>
      </c>
      <c r="AN50" s="158">
        <f>AJ50-AM50</f>
        <v/>
      </c>
      <c r="AO50" s="159">
        <f>IF(ABS(AN50)&gt;$D$7,"untested population above materiality","untested population below materiality")</f>
        <v/>
      </c>
      <c r="AQ50" s="160">
        <f>IF(AO50="untested population above materiality","scope in more components or perform a stand-back assessment","ok")</f>
        <v/>
      </c>
      <c r="AY50" s="177">
        <f>IF(L10="full scope",I50,0)+IF(Q10="full scope",N50,0)+IF(V10="full scope",S50,0)+IF(AA10="full scope",X50,0)</f>
        <v/>
      </c>
      <c r="BC50" s="177">
        <f>IF(L50="in scope",I50,0)+IF(Q50="in scope",N50,0)+IF(V50="in scope",S50,0)+IF(AA50="in scope",X50,0)</f>
        <v/>
      </c>
      <c r="BG50" s="177">
        <f>IF(M50="in scope",I50,0)+IF(R50="in scope",N50,0)+IF(W50="in scope",S50,0)+IF(AB50="in scope",X50,0)</f>
        <v/>
      </c>
    </row>
    <row r="51" customFormat="1" s="177">
      <c r="A51" s="25" t="n"/>
      <c r="B51" s="547" t="n"/>
      <c r="C51" s="332" t="inlineStr">
        <is>
          <t>09.판매보증충당부채</t>
        </is>
      </c>
      <c r="D51" s="223" t="inlineStr">
        <is>
          <t>non material COTABD</t>
        </is>
      </c>
      <c r="E51" s="333" t="n">
        <v>4603830663</v>
      </c>
      <c r="F51" s="156">
        <f>$I$51+$N$51+$S$51+$X$51</f>
        <v/>
      </c>
      <c r="G51" s="157">
        <f>E51-F51</f>
        <v/>
      </c>
      <c r="I51" s="337" t="n">
        <v>2181898524</v>
      </c>
      <c r="J51" s="154">
        <f>IF(ABS(I51)&gt;$D$7,"above","below")</f>
        <v/>
      </c>
      <c r="K51" s="155">
        <f>IF('Template identifying components'!$P$18="key component","Key component",IF($J$51="above","Material component","n/a"))</f>
        <v/>
      </c>
      <c r="L51" s="199" t="inlineStr">
        <is>
          <t>n/a</t>
        </is>
      </c>
      <c r="M51" s="275" t="inlineStr">
        <is>
          <t>n/a</t>
        </is>
      </c>
      <c r="N51" s="337" t="n">
        <v>0</v>
      </c>
      <c r="O51" s="154">
        <f>IF(ABS(N51)&gt;$D$7,"above","below")</f>
        <v/>
      </c>
      <c r="P51" s="155">
        <f>IF('Template identifying components'!$P$19="key component","Key component",IF($O$51="above","Material component","n/a"))</f>
        <v/>
      </c>
      <c r="Q51" s="199" t="inlineStr">
        <is>
          <t>n/a</t>
        </is>
      </c>
      <c r="R51" s="275" t="inlineStr">
        <is>
          <t>n/a</t>
        </is>
      </c>
      <c r="S51" s="337" t="n">
        <v>607263718</v>
      </c>
      <c r="T51" s="154">
        <f>IF(ABS(S51)&gt;$D$7,"above","below")</f>
        <v/>
      </c>
      <c r="U51" s="155">
        <f>IF('Template identifying components'!$P$20="key component","Key component",IF($T$51="above","Material component","n/a"))</f>
        <v/>
      </c>
      <c r="V51" s="199" t="inlineStr">
        <is>
          <t>n/a</t>
        </is>
      </c>
      <c r="W51" s="275" t="inlineStr">
        <is>
          <t>n/a</t>
        </is>
      </c>
      <c r="X51" s="337" t="n">
        <v>1814668421</v>
      </c>
      <c r="Y51" s="154">
        <f>IF(ABS(X51)&gt;$D$7,"above","below")</f>
        <v/>
      </c>
      <c r="Z51" s="155">
        <f>IF('Template identifying components'!$P$21="key component","Key component",IF($Y$51="above","Material component","n/a"))</f>
        <v/>
      </c>
      <c r="AA51" s="199" t="inlineStr">
        <is>
          <t>n/a</t>
        </is>
      </c>
      <c r="AB51" s="275" t="inlineStr">
        <is>
          <t>n/a</t>
        </is>
      </c>
      <c r="AE51" s="156">
        <f>$AY$51</f>
        <v/>
      </c>
      <c r="AF51" s="158">
        <f>E51-AE51</f>
        <v/>
      </c>
      <c r="AG51" s="159">
        <f>IF(ABS(AF51)&gt;$D$7,"untested population above materiality","untested population below materiality")</f>
        <v/>
      </c>
      <c r="AI51" s="156">
        <f>$BC$51</f>
        <v/>
      </c>
      <c r="AJ51" s="158">
        <f>AF51-AI51</f>
        <v/>
      </c>
      <c r="AK51" s="159">
        <f>IF(ABS(AJ51)&gt;$D$7,"untested population above materiality","untested population below materiality")</f>
        <v/>
      </c>
      <c r="AM51" s="156">
        <f>$BG$51</f>
        <v/>
      </c>
      <c r="AN51" s="158">
        <f>AJ51-AM51</f>
        <v/>
      </c>
      <c r="AO51" s="159">
        <f>IF(ABS(AN51)&gt;$D$7,"untested population above materiality","untested population below materiality")</f>
        <v/>
      </c>
      <c r="AQ51" s="160">
        <f>IF(AO51="untested population above materiality","scope in more components or perform a stand-back assessment","ok")</f>
        <v/>
      </c>
      <c r="AY51" s="177">
        <f>IF(L10="full scope",I51,0)+IF(Q10="full scope",N51,0)+IF(V10="full scope",S51,0)+IF(AA10="full scope",X51,0)</f>
        <v/>
      </c>
      <c r="BC51" s="177">
        <f>IF(L51="in scope",I51,0)+IF(Q51="in scope",N51,0)+IF(V51="in scope",S51,0)+IF(AA51="in scope",X51,0)</f>
        <v/>
      </c>
      <c r="BG51" s="177">
        <f>IF(M51="in scope",I51,0)+IF(R51="in scope",N51,0)+IF(W51="in scope",S51,0)+IF(AB51="in scope",X51,0)</f>
        <v/>
      </c>
    </row>
    <row r="52" customFormat="1" s="177">
      <c r="A52" s="25" t="n"/>
      <c r="B52" s="547" t="n"/>
      <c r="C52" s="332" t="inlineStr">
        <is>
          <t>10.예치보증금</t>
        </is>
      </c>
      <c r="D52" s="223" t="inlineStr">
        <is>
          <t>non material COTABD</t>
        </is>
      </c>
      <c r="E52" s="333" t="n">
        <v>535229023</v>
      </c>
      <c r="F52" s="156">
        <f>$I$52+$N$52+$S$52+$X$52</f>
        <v/>
      </c>
      <c r="G52" s="157">
        <f>E52-F52</f>
        <v/>
      </c>
      <c r="I52" s="337" t="n">
        <v>50000000</v>
      </c>
      <c r="J52" s="154">
        <f>IF(ABS(I52)&gt;$D$7,"above","below")</f>
        <v/>
      </c>
      <c r="K52" s="155">
        <f>IF('Template identifying components'!$P$18="key component","Key component",IF($J$52="above","Material component","n/a"))</f>
        <v/>
      </c>
      <c r="L52" s="199" t="inlineStr">
        <is>
          <t>n/a</t>
        </is>
      </c>
      <c r="M52" s="275" t="inlineStr">
        <is>
          <t>n/a</t>
        </is>
      </c>
      <c r="N52" s="337" t="n">
        <v>0</v>
      </c>
      <c r="O52" s="154">
        <f>IF(ABS(N52)&gt;$D$7,"above","below")</f>
        <v/>
      </c>
      <c r="P52" s="155">
        <f>IF('Template identifying components'!$P$19="key component","Key component",IF($O$52="above","Material component","n/a"))</f>
        <v/>
      </c>
      <c r="Q52" s="199" t="inlineStr">
        <is>
          <t>n/a</t>
        </is>
      </c>
      <c r="R52" s="275" t="inlineStr">
        <is>
          <t>n/a</t>
        </is>
      </c>
      <c r="S52" s="337" t="n">
        <v>433065275</v>
      </c>
      <c r="T52" s="154">
        <f>IF(ABS(S52)&gt;$D$7,"above","below")</f>
        <v/>
      </c>
      <c r="U52" s="155">
        <f>IF('Template identifying components'!$P$20="key component","Key component",IF($T$52="above","Material component","n/a"))</f>
        <v/>
      </c>
      <c r="V52" s="199" t="inlineStr">
        <is>
          <t>n/a</t>
        </is>
      </c>
      <c r="W52" s="275" t="inlineStr">
        <is>
          <t>n/a</t>
        </is>
      </c>
      <c r="X52" s="337" t="n">
        <v>52163748</v>
      </c>
      <c r="Y52" s="154">
        <f>IF(ABS(X52)&gt;$D$7,"above","below")</f>
        <v/>
      </c>
      <c r="Z52" s="155">
        <f>IF('Template identifying components'!$P$21="key component","Key component",IF($Y$52="above","Material component","n/a"))</f>
        <v/>
      </c>
      <c r="AA52" s="199" t="inlineStr">
        <is>
          <t>n/a</t>
        </is>
      </c>
      <c r="AB52" s="275" t="inlineStr">
        <is>
          <t>n/a</t>
        </is>
      </c>
      <c r="AE52" s="156">
        <f>$AY$52</f>
        <v/>
      </c>
      <c r="AF52" s="158">
        <f>E52-AE52</f>
        <v/>
      </c>
      <c r="AG52" s="159">
        <f>IF(ABS(AF52)&gt;$D$7,"untested population above materiality","untested population below materiality")</f>
        <v/>
      </c>
      <c r="AI52" s="156">
        <f>$BC$52</f>
        <v/>
      </c>
      <c r="AJ52" s="158">
        <f>AF52-AI52</f>
        <v/>
      </c>
      <c r="AK52" s="159">
        <f>IF(ABS(AJ52)&gt;$D$7,"untested population above materiality","untested population below materiality")</f>
        <v/>
      </c>
      <c r="AM52" s="156">
        <f>$BG$52</f>
        <v/>
      </c>
      <c r="AN52" s="158">
        <f>AJ52-AM52</f>
        <v/>
      </c>
      <c r="AO52" s="159">
        <f>IF(ABS(AN52)&gt;$D$7,"untested population above materiality","untested population below materiality")</f>
        <v/>
      </c>
      <c r="AQ52" s="160">
        <f>IF(AO52="untested population above materiality","scope in more components or perform a stand-back assessment","ok")</f>
        <v/>
      </c>
      <c r="AY52" s="177">
        <f>IF(L10="full scope",I52,0)+IF(Q10="full scope",N52,0)+IF(V10="full scope",S52,0)+IF(AA10="full scope",X52,0)</f>
        <v/>
      </c>
      <c r="BC52" s="177">
        <f>IF(L52="in scope",I52,0)+IF(Q52="in scope",N52,0)+IF(V52="in scope",S52,0)+IF(AA52="in scope",X52,0)</f>
        <v/>
      </c>
      <c r="BG52" s="177">
        <f>IF(M52="in scope",I52,0)+IF(R52="in scope",N52,0)+IF(W52="in scope",S52,0)+IF(AB52="in scope",X52,0)</f>
        <v/>
      </c>
    </row>
    <row r="53" customFormat="1" s="177">
      <c r="A53" s="25" t="n"/>
      <c r="B53" s="547" t="n"/>
      <c r="C53" s="332" t="inlineStr">
        <is>
          <t>11.퇴직급여충당부채(예치금 차감후)</t>
        </is>
      </c>
      <c r="D53" s="223" t="inlineStr">
        <is>
          <t>SCOTABD</t>
        </is>
      </c>
      <c r="E53" s="333" t="n">
        <v>27799967214</v>
      </c>
      <c r="F53" s="156">
        <f>$I$53+$N$53+$S$53+$X$53</f>
        <v/>
      </c>
      <c r="G53" s="157">
        <f>E53-F53</f>
        <v/>
      </c>
      <c r="I53" s="337" t="n">
        <v>21455751257</v>
      </c>
      <c r="J53" s="154">
        <f>IF(ABS(I53)&gt;$D$7,"above","below")</f>
        <v/>
      </c>
      <c r="K53" s="155">
        <f>IF('Template identifying components'!$P$18="key component","Key component",IF($J$53="above","Material component","n/a"))</f>
        <v/>
      </c>
      <c r="L53" s="199" t="inlineStr">
        <is>
          <t>n/a</t>
        </is>
      </c>
      <c r="M53" s="275" t="inlineStr">
        <is>
          <t>n/a</t>
        </is>
      </c>
      <c r="N53" s="337" t="n">
        <v>4876512107</v>
      </c>
      <c r="O53" s="154">
        <f>IF(ABS(N53)&gt;$D$7,"above","below")</f>
        <v/>
      </c>
      <c r="P53" s="155">
        <f>IF('Template identifying components'!$P$19="key component","Key component",IF($O$53="above","Material component","n/a"))</f>
        <v/>
      </c>
      <c r="Q53" s="199" t="inlineStr">
        <is>
          <t>n/a</t>
        </is>
      </c>
      <c r="R53" s="275" t="inlineStr">
        <is>
          <t>n/a</t>
        </is>
      </c>
      <c r="S53" s="337" t="n">
        <v>1467703850</v>
      </c>
      <c r="T53" s="154">
        <f>IF(ABS(S53)&gt;$D$7,"above","below")</f>
        <v/>
      </c>
      <c r="U53" s="155">
        <f>IF('Template identifying components'!$P$20="key component","Key component",IF($T$53="above","Material component","n/a"))</f>
        <v/>
      </c>
      <c r="V53" s="199" t="inlineStr">
        <is>
          <t>n/a</t>
        </is>
      </c>
      <c r="W53" s="275" t="inlineStr">
        <is>
          <t>n/a</t>
        </is>
      </c>
      <c r="X53" s="337" t="n">
        <v>0</v>
      </c>
      <c r="Y53" s="154">
        <f>IF(ABS(X53)&gt;$D$7,"above","below")</f>
        <v/>
      </c>
      <c r="Z53" s="155">
        <f>IF('Template identifying components'!$P$21="key component","Key component",IF($Y$53="above","Material component","n/a"))</f>
        <v/>
      </c>
      <c r="AA53" s="199" t="inlineStr">
        <is>
          <t>n/a</t>
        </is>
      </c>
      <c r="AB53" s="275" t="inlineStr">
        <is>
          <t>n/a</t>
        </is>
      </c>
      <c r="AE53" s="156">
        <f>$AY$53</f>
        <v/>
      </c>
      <c r="AF53" s="158">
        <f>E53-AE53</f>
        <v/>
      </c>
      <c r="AG53" s="159">
        <f>IF(ABS(AF53)&gt;$D$7,"untested population above materiality","untested population below materiality")</f>
        <v/>
      </c>
      <c r="AI53" s="156">
        <f>$BC$53</f>
        <v/>
      </c>
      <c r="AJ53" s="158">
        <f>AF53-AI53</f>
        <v/>
      </c>
      <c r="AK53" s="159">
        <f>IF(ABS(AJ53)&gt;$D$7,"untested population above materiality","untested population below materiality")</f>
        <v/>
      </c>
      <c r="AM53" s="156">
        <f>$BG$53</f>
        <v/>
      </c>
      <c r="AN53" s="158">
        <f>AJ53-AM53</f>
        <v/>
      </c>
      <c r="AO53" s="159">
        <f>IF(ABS(AN53)&gt;$D$7,"untested population above materiality","untested population below materiality")</f>
        <v/>
      </c>
      <c r="AQ53" s="160">
        <f>IF(AO53="untested population above materiality","scope in more components or perform a stand-back assessment","ok")</f>
        <v/>
      </c>
      <c r="AY53" s="177">
        <f>IF(L10="full scope",I53,0)+IF(Q10="full scope",N53,0)+IF(V10="full scope",S53,0)+IF(AA10="full scope",X53,0)</f>
        <v/>
      </c>
      <c r="BC53" s="177">
        <f>IF(L53="in scope",I53,0)+IF(Q53="in scope",N53,0)+IF(V53="in scope",S53,0)+IF(AA53="in scope",X53,0)</f>
        <v/>
      </c>
      <c r="BG53" s="177">
        <f>IF(M53="in scope",I53,0)+IF(R53="in scope",N53,0)+IF(W53="in scope",S53,0)+IF(AB53="in scope",X53,0)</f>
        <v/>
      </c>
    </row>
    <row r="54" customFormat="1" s="177">
      <c r="A54" s="25" t="n"/>
      <c r="B54" s="547" t="n"/>
      <c r="C54" s="332" t="inlineStr">
        <is>
          <t>12.구조조정충당부채</t>
        </is>
      </c>
      <c r="D54" s="223" t="inlineStr">
        <is>
          <t>non material COTABD</t>
        </is>
      </c>
      <c r="E54" s="333" t="n">
        <v>603994442</v>
      </c>
      <c r="F54" s="156">
        <f>$I$54+$N$54+$S$54+$X$54</f>
        <v/>
      </c>
      <c r="G54" s="157">
        <f>E54-F54</f>
        <v/>
      </c>
      <c r="I54" s="337" t="n">
        <v>603994442</v>
      </c>
      <c r="J54" s="154">
        <f>IF(ABS(I54)&gt;$D$7,"above","below")</f>
        <v/>
      </c>
      <c r="K54" s="155">
        <f>IF('Template identifying components'!$P$18="key component","Key component",IF($J$54="above","Material component","n/a"))</f>
        <v/>
      </c>
      <c r="L54" s="199" t="inlineStr">
        <is>
          <t>n/a</t>
        </is>
      </c>
      <c r="M54" s="275" t="inlineStr">
        <is>
          <t>n/a</t>
        </is>
      </c>
      <c r="N54" s="337" t="n">
        <v>0</v>
      </c>
      <c r="O54" s="154">
        <f>IF(ABS(N54)&gt;$D$7,"above","below")</f>
        <v/>
      </c>
      <c r="P54" s="155">
        <f>IF('Template identifying components'!$P$19="key component","Key component",IF($O$54="above","Material component","n/a"))</f>
        <v/>
      </c>
      <c r="Q54" s="199" t="inlineStr">
        <is>
          <t>n/a</t>
        </is>
      </c>
      <c r="R54" s="275" t="inlineStr">
        <is>
          <t>n/a</t>
        </is>
      </c>
      <c r="S54" s="337" t="n">
        <v>0</v>
      </c>
      <c r="T54" s="154">
        <f>IF(ABS(S54)&gt;$D$7,"above","below")</f>
        <v/>
      </c>
      <c r="U54" s="155">
        <f>IF('Template identifying components'!$P$20="key component","Key component",IF($T$54="above","Material component","n/a"))</f>
        <v/>
      </c>
      <c r="V54" s="199" t="inlineStr">
        <is>
          <t>n/a</t>
        </is>
      </c>
      <c r="W54" s="275" t="inlineStr">
        <is>
          <t>n/a</t>
        </is>
      </c>
      <c r="X54" s="337" t="n">
        <v>0</v>
      </c>
      <c r="Y54" s="154">
        <f>IF(ABS(X54)&gt;$D$7,"above","below")</f>
        <v/>
      </c>
      <c r="Z54" s="155">
        <f>IF('Template identifying components'!$P$21="key component","Key component",IF($Y$54="above","Material component","n/a"))</f>
        <v/>
      </c>
      <c r="AA54" s="199" t="inlineStr">
        <is>
          <t>n/a</t>
        </is>
      </c>
      <c r="AB54" s="275" t="inlineStr">
        <is>
          <t>n/a</t>
        </is>
      </c>
      <c r="AE54" s="156">
        <f>$AY$54</f>
        <v/>
      </c>
      <c r="AF54" s="158">
        <f>E54-AE54</f>
        <v/>
      </c>
      <c r="AG54" s="159">
        <f>IF(ABS(AF54)&gt;$D$7,"untested population above materiality","untested population below materiality")</f>
        <v/>
      </c>
      <c r="AI54" s="156">
        <f>$BC$54</f>
        <v/>
      </c>
      <c r="AJ54" s="158">
        <f>AF54-AI54</f>
        <v/>
      </c>
      <c r="AK54" s="159">
        <f>IF(ABS(AJ54)&gt;$D$7,"untested population above materiality","untested population below materiality")</f>
        <v/>
      </c>
      <c r="AM54" s="156">
        <f>$BG$54</f>
        <v/>
      </c>
      <c r="AN54" s="158">
        <f>AJ54-AM54</f>
        <v/>
      </c>
      <c r="AO54" s="159">
        <f>IF(ABS(AN54)&gt;$D$7,"untested population above materiality","untested population below materiality")</f>
        <v/>
      </c>
      <c r="AQ54" s="160">
        <f>IF(AO54="untested population above materiality","scope in more components or perform a stand-back assessment","ok")</f>
        <v/>
      </c>
      <c r="AY54" s="177">
        <f>IF(L10="full scope",I54,0)+IF(Q10="full scope",N54,0)+IF(V10="full scope",S54,0)+IF(AA10="full scope",X54,0)</f>
        <v/>
      </c>
      <c r="BC54" s="177">
        <f>IF(L54="in scope",I54,0)+IF(Q54="in scope",N54,0)+IF(V54="in scope",S54,0)+IF(AA54="in scope",X54,0)</f>
        <v/>
      </c>
      <c r="BG54" s="177">
        <f>IF(M54="in scope",I54,0)+IF(R54="in scope",N54,0)+IF(W54="in scope",S54,0)+IF(AB54="in scope",X54,0)</f>
        <v/>
      </c>
    </row>
    <row r="55" customFormat="1" s="177">
      <c r="A55" s="25" t="n"/>
      <c r="B55" s="547" t="n"/>
      <c r="C55" s="332" t="inlineStr">
        <is>
          <t>13.이연법인세부채</t>
        </is>
      </c>
      <c r="D55" s="223" t="inlineStr">
        <is>
          <t>non material COTABD</t>
        </is>
      </c>
      <c r="E55" s="333" t="n">
        <v>8352819261</v>
      </c>
      <c r="F55" s="156">
        <f>$I$55+$N$55+$S$55+$X$55</f>
        <v/>
      </c>
      <c r="G55" s="157">
        <f>E55-F55</f>
        <v/>
      </c>
      <c r="I55" s="337" t="n">
        <v>8352819261</v>
      </c>
      <c r="J55" s="154">
        <f>IF(ABS(I55)&gt;$D$7,"above","below")</f>
        <v/>
      </c>
      <c r="K55" s="155">
        <f>IF('Template identifying components'!$P$18="key component","Key component",IF($J$55="above","Material component","n/a"))</f>
        <v/>
      </c>
      <c r="L55" s="199" t="inlineStr">
        <is>
          <t>n/a</t>
        </is>
      </c>
      <c r="M55" s="275" t="inlineStr">
        <is>
          <t>n/a</t>
        </is>
      </c>
      <c r="N55" s="337" t="n">
        <v>0</v>
      </c>
      <c r="O55" s="154">
        <f>IF(ABS(N55)&gt;$D$7,"above","below")</f>
        <v/>
      </c>
      <c r="P55" s="155">
        <f>IF('Template identifying components'!$P$19="key component","Key component",IF($O$55="above","Material component","n/a"))</f>
        <v/>
      </c>
      <c r="Q55" s="199" t="inlineStr">
        <is>
          <t>n/a</t>
        </is>
      </c>
      <c r="R55" s="275" t="inlineStr">
        <is>
          <t>n/a</t>
        </is>
      </c>
      <c r="S55" s="337" t="n">
        <v>0</v>
      </c>
      <c r="T55" s="154">
        <f>IF(ABS(S55)&gt;$D$7,"above","below")</f>
        <v/>
      </c>
      <c r="U55" s="155">
        <f>IF('Template identifying components'!$P$20="key component","Key component",IF($T$55="above","Material component","n/a"))</f>
        <v/>
      </c>
      <c r="V55" s="199" t="inlineStr">
        <is>
          <t>n/a</t>
        </is>
      </c>
      <c r="W55" s="275" t="inlineStr">
        <is>
          <t>n/a</t>
        </is>
      </c>
      <c r="X55" s="337" t="n">
        <v>0</v>
      </c>
      <c r="Y55" s="154">
        <f>IF(ABS(X55)&gt;$D$7,"above","below")</f>
        <v/>
      </c>
      <c r="Z55" s="155">
        <f>IF('Template identifying components'!$P$21="key component","Key component",IF($Y$55="above","Material component","n/a"))</f>
        <v/>
      </c>
      <c r="AA55" s="199" t="inlineStr">
        <is>
          <t>n/a</t>
        </is>
      </c>
      <c r="AB55" s="275" t="inlineStr">
        <is>
          <t>n/a</t>
        </is>
      </c>
      <c r="AE55" s="156">
        <f>$AY$55</f>
        <v/>
      </c>
      <c r="AF55" s="158">
        <f>E55-AE55</f>
        <v/>
      </c>
      <c r="AG55" s="159">
        <f>IF(ABS(AF55)&gt;$D$7,"untested population above materiality","untested population below materiality")</f>
        <v/>
      </c>
      <c r="AI55" s="156">
        <f>$BC$55</f>
        <v/>
      </c>
      <c r="AJ55" s="158">
        <f>AF55-AI55</f>
        <v/>
      </c>
      <c r="AK55" s="159">
        <f>IF(ABS(AJ55)&gt;$D$7,"untested population above materiality","untested population below materiality")</f>
        <v/>
      </c>
      <c r="AM55" s="156">
        <f>$BG$55</f>
        <v/>
      </c>
      <c r="AN55" s="158">
        <f>AJ55-AM55</f>
        <v/>
      </c>
      <c r="AO55" s="159">
        <f>IF(ABS(AN55)&gt;$D$7,"untested population above materiality","untested population below materiality")</f>
        <v/>
      </c>
      <c r="AQ55" s="160">
        <f>IF(AO55="untested population above materiality","scope in more components or perform a stand-back assessment","ok")</f>
        <v/>
      </c>
      <c r="AY55" s="177">
        <f>IF(L10="full scope",I55,0)+IF(Q10="full scope",N55,0)+IF(V10="full scope",S55,0)+IF(AA10="full scope",X55,0)</f>
        <v/>
      </c>
      <c r="BC55" s="177">
        <f>IF(L55="in scope",I55,0)+IF(Q55="in scope",N55,0)+IF(V55="in scope",S55,0)+IF(AA55="in scope",X55,0)</f>
        <v/>
      </c>
      <c r="BG55" s="177">
        <f>IF(M55="in scope",I55,0)+IF(R55="in scope",N55,0)+IF(W55="in scope",S55,0)+IF(AB55="in scope",X55,0)</f>
        <v/>
      </c>
    </row>
    <row r="56" customFormat="1" s="177">
      <c r="A56" s="25" t="n"/>
      <c r="B56" s="547" t="n"/>
      <c r="C56" s="332" t="inlineStr">
        <is>
          <t>14.금융리스부채(비유동)</t>
        </is>
      </c>
      <c r="D56" s="223" t="inlineStr">
        <is>
          <t>non material COTABD</t>
        </is>
      </c>
      <c r="E56" s="333" t="n">
        <v>8302533242</v>
      </c>
      <c r="F56" s="156">
        <f>$I$56+$N$56+$S$56+$X$56</f>
        <v/>
      </c>
      <c r="G56" s="157">
        <f>E56-F56</f>
        <v/>
      </c>
      <c r="I56" s="337" t="n">
        <v>208795122</v>
      </c>
      <c r="J56" s="154">
        <f>IF(ABS(I56)&gt;$D$7,"above","below")</f>
        <v/>
      </c>
      <c r="K56" s="155">
        <f>IF('Template identifying components'!$P$18="key component","Key component",IF($J$56="above","Material component","n/a"))</f>
        <v/>
      </c>
      <c r="L56" s="199" t="inlineStr">
        <is>
          <t>n/a</t>
        </is>
      </c>
      <c r="M56" s="275" t="inlineStr">
        <is>
          <t>n/a</t>
        </is>
      </c>
      <c r="N56" s="337" t="n">
        <v>24949863</v>
      </c>
      <c r="O56" s="154">
        <f>IF(ABS(N56)&gt;$D$7,"above","below")</f>
        <v/>
      </c>
      <c r="P56" s="155">
        <f>IF('Template identifying components'!$P$19="key component","Key component",IF($O$56="above","Material component","n/a"))</f>
        <v/>
      </c>
      <c r="Q56" s="199" t="inlineStr">
        <is>
          <t>n/a</t>
        </is>
      </c>
      <c r="R56" s="275" t="inlineStr">
        <is>
          <t>n/a</t>
        </is>
      </c>
      <c r="S56" s="337" t="n">
        <v>506559194</v>
      </c>
      <c r="T56" s="154">
        <f>IF(ABS(S56)&gt;$D$7,"above","below")</f>
        <v/>
      </c>
      <c r="U56" s="155">
        <f>IF('Template identifying components'!$P$20="key component","Key component",IF($T$56="above","Material component","n/a"))</f>
        <v/>
      </c>
      <c r="V56" s="199" t="inlineStr">
        <is>
          <t>n/a</t>
        </is>
      </c>
      <c r="W56" s="275" t="inlineStr">
        <is>
          <t>n/a</t>
        </is>
      </c>
      <c r="X56" s="337" t="n">
        <v>7562229063</v>
      </c>
      <c r="Y56" s="154">
        <f>IF(ABS(X56)&gt;$D$7,"above","below")</f>
        <v/>
      </c>
      <c r="Z56" s="155">
        <f>IF('Template identifying components'!$P$21="key component","Key component",IF($Y$56="above","Material component","n/a"))</f>
        <v/>
      </c>
      <c r="AA56" s="199" t="inlineStr">
        <is>
          <t>n/a</t>
        </is>
      </c>
      <c r="AB56" s="275" t="inlineStr">
        <is>
          <t>n/a</t>
        </is>
      </c>
      <c r="AE56" s="156">
        <f>$AY$56</f>
        <v/>
      </c>
      <c r="AF56" s="158">
        <f>E56-AE56</f>
        <v/>
      </c>
      <c r="AG56" s="159">
        <f>IF(ABS(AF56)&gt;$D$7,"untested population above materiality","untested population below materiality")</f>
        <v/>
      </c>
      <c r="AI56" s="156">
        <f>$BC$56</f>
        <v/>
      </c>
      <c r="AJ56" s="158">
        <f>AF56-AI56</f>
        <v/>
      </c>
      <c r="AK56" s="159">
        <f>IF(ABS(AJ56)&gt;$D$7,"untested population above materiality","untested population below materiality")</f>
        <v/>
      </c>
      <c r="AM56" s="156">
        <f>$BG$56</f>
        <v/>
      </c>
      <c r="AN56" s="158">
        <f>AJ56-AM56</f>
        <v/>
      </c>
      <c r="AO56" s="159">
        <f>IF(ABS(AN56)&gt;$D$7,"untested population above materiality","untested population below materiality")</f>
        <v/>
      </c>
      <c r="AQ56" s="160">
        <f>IF(AO56="untested population above materiality","scope in more components or perform a stand-back assessment","ok")</f>
        <v/>
      </c>
      <c r="AY56" s="177">
        <f>IF(L10="full scope",I56,0)+IF(Q10="full scope",N56,0)+IF(V10="full scope",S56,0)+IF(AA10="full scope",X56,0)</f>
        <v/>
      </c>
      <c r="BC56" s="177">
        <f>IF(L56="in scope",I56,0)+IF(Q56="in scope",N56,0)+IF(V56="in scope",S56,0)+IF(AA56="in scope",X56,0)</f>
        <v/>
      </c>
      <c r="BG56" s="177">
        <f>IF(M56="in scope",I56,0)+IF(R56="in scope",N56,0)+IF(W56="in scope",S56,0)+IF(AB56="in scope",X56,0)</f>
        <v/>
      </c>
    </row>
    <row r="57" customFormat="1" s="177">
      <c r="A57" s="25" t="n"/>
      <c r="B57" s="547" t="n"/>
      <c r="C57" s="332" t="inlineStr">
        <is>
          <t>15.자본금</t>
        </is>
      </c>
      <c r="D57" s="223" t="inlineStr">
        <is>
          <t>MCOTABD</t>
        </is>
      </c>
      <c r="E57" s="333" t="n">
        <v>73439755000</v>
      </c>
      <c r="F57" s="156">
        <f>$I$57+$N$57+$S$57+$X$57</f>
        <v/>
      </c>
      <c r="G57" s="157">
        <f>E57-F57</f>
        <v/>
      </c>
      <c r="I57" s="337" t="n">
        <v>73439755000</v>
      </c>
      <c r="J57" s="154">
        <f>IF(ABS(I57)&gt;$D$7,"above","below")</f>
        <v/>
      </c>
      <c r="K57" s="155">
        <f>IF('Template identifying components'!$P$18="key component","Key component",IF($J$57="above","Material component","n/a"))</f>
        <v/>
      </c>
      <c r="L57" s="199" t="inlineStr">
        <is>
          <t>n/a</t>
        </is>
      </c>
      <c r="M57" s="275" t="inlineStr">
        <is>
          <t>n/a</t>
        </is>
      </c>
      <c r="N57" s="337" t="n">
        <v>0</v>
      </c>
      <c r="O57" s="154">
        <f>IF(ABS(N57)&gt;$D$7,"above","below")</f>
        <v/>
      </c>
      <c r="P57" s="155">
        <f>IF('Template identifying components'!$P$19="key component","Key component",IF($O$57="above","Material component","n/a"))</f>
        <v/>
      </c>
      <c r="Q57" s="199" t="inlineStr">
        <is>
          <t>n/a</t>
        </is>
      </c>
      <c r="R57" s="275" t="inlineStr">
        <is>
          <t>n/a</t>
        </is>
      </c>
      <c r="S57" s="337" t="n">
        <v>0</v>
      </c>
      <c r="T57" s="154">
        <f>IF(ABS(S57)&gt;$D$7,"above","below")</f>
        <v/>
      </c>
      <c r="U57" s="155">
        <f>IF('Template identifying components'!$P$20="key component","Key component",IF($T$57="above","Material component","n/a"))</f>
        <v/>
      </c>
      <c r="V57" s="199" t="inlineStr">
        <is>
          <t>n/a</t>
        </is>
      </c>
      <c r="W57" s="275" t="inlineStr">
        <is>
          <t>n/a</t>
        </is>
      </c>
      <c r="X57" s="337" t="n">
        <v>0</v>
      </c>
      <c r="Y57" s="154">
        <f>IF(ABS(X57)&gt;$D$7,"above","below")</f>
        <v/>
      </c>
      <c r="Z57" s="155">
        <f>IF('Template identifying components'!$P$21="key component","Key component",IF($Y$57="above","Material component","n/a"))</f>
        <v/>
      </c>
      <c r="AA57" s="199" t="inlineStr">
        <is>
          <t>n/a</t>
        </is>
      </c>
      <c r="AB57" s="275" t="inlineStr">
        <is>
          <t>n/a</t>
        </is>
      </c>
      <c r="AE57" s="156">
        <f>$AY$57</f>
        <v/>
      </c>
      <c r="AF57" s="158">
        <f>E57-AE57</f>
        <v/>
      </c>
      <c r="AG57" s="159">
        <f>IF(ABS(AF57)&gt;$D$7,"untested population above materiality","untested population below materiality")</f>
        <v/>
      </c>
      <c r="AI57" s="156">
        <f>$BC$57</f>
        <v/>
      </c>
      <c r="AJ57" s="158">
        <f>AF57-AI57</f>
        <v/>
      </c>
      <c r="AK57" s="159">
        <f>IF(ABS(AJ57)&gt;$D$7,"untested population above materiality","untested population below materiality")</f>
        <v/>
      </c>
      <c r="AM57" s="156">
        <f>$BG$57</f>
        <v/>
      </c>
      <c r="AN57" s="158">
        <f>AJ57-AM57</f>
        <v/>
      </c>
      <c r="AO57" s="159">
        <f>IF(ABS(AN57)&gt;$D$7,"untested population above materiality","untested population below materiality")</f>
        <v/>
      </c>
      <c r="AQ57" s="160">
        <f>IF(AO57="untested population above materiality","scope in more components or perform a stand-back assessment","ok")</f>
        <v/>
      </c>
      <c r="AY57" s="177">
        <f>IF(L10="full scope",I57,0)+IF(Q10="full scope",N57,0)+IF(V10="full scope",S57,0)+IF(AA10="full scope",X57,0)</f>
        <v/>
      </c>
      <c r="BC57" s="177">
        <f>IF(L57="in scope",I57,0)+IF(Q57="in scope",N57,0)+IF(V57="in scope",S57,0)+IF(AA57="in scope",X57,0)</f>
        <v/>
      </c>
      <c r="BG57" s="177">
        <f>IF(M57="in scope",I57,0)+IF(R57="in scope",N57,0)+IF(W57="in scope",S57,0)+IF(AB57="in scope",X57,0)</f>
        <v/>
      </c>
    </row>
    <row r="58" customFormat="1" s="177">
      <c r="A58" s="25" t="n"/>
      <c r="B58" s="547" t="n"/>
      <c r="C58" s="332" t="inlineStr">
        <is>
          <t>16.자본잉여금</t>
        </is>
      </c>
      <c r="D58" s="223" t="inlineStr">
        <is>
          <t>MCOTABD</t>
        </is>
      </c>
      <c r="E58" s="333" t="n">
        <v>-22590096628</v>
      </c>
      <c r="F58" s="156">
        <f>$I$58+$N$58+$S$58+$X$58</f>
        <v/>
      </c>
      <c r="G58" s="157">
        <f>E58-F58</f>
        <v/>
      </c>
      <c r="I58" s="337" t="n">
        <v>-22590096628</v>
      </c>
      <c r="J58" s="154">
        <f>IF(ABS(I58)&gt;$D$7,"above","below")</f>
        <v/>
      </c>
      <c r="K58" s="155">
        <f>IF('Template identifying components'!$P$18="key component","Key component",IF($J$58="above","Material component","n/a"))</f>
        <v/>
      </c>
      <c r="L58" s="199" t="inlineStr">
        <is>
          <t>n/a</t>
        </is>
      </c>
      <c r="M58" s="275" t="inlineStr">
        <is>
          <t>n/a</t>
        </is>
      </c>
      <c r="N58" s="337" t="n">
        <v>0</v>
      </c>
      <c r="O58" s="154">
        <f>IF(ABS(N58)&gt;$D$7,"above","below")</f>
        <v/>
      </c>
      <c r="P58" s="155">
        <f>IF('Template identifying components'!$P$19="key component","Key component",IF($O$58="above","Material component","n/a"))</f>
        <v/>
      </c>
      <c r="Q58" s="199" t="inlineStr">
        <is>
          <t>n/a</t>
        </is>
      </c>
      <c r="R58" s="275" t="inlineStr">
        <is>
          <t>n/a</t>
        </is>
      </c>
      <c r="S58" s="337" t="n">
        <v>0</v>
      </c>
      <c r="T58" s="154">
        <f>IF(ABS(S58)&gt;$D$7,"above","below")</f>
        <v/>
      </c>
      <c r="U58" s="155">
        <f>IF('Template identifying components'!$P$20="key component","Key component",IF($T$58="above","Material component","n/a"))</f>
        <v/>
      </c>
      <c r="V58" s="199" t="inlineStr">
        <is>
          <t>n/a</t>
        </is>
      </c>
      <c r="W58" s="275" t="inlineStr">
        <is>
          <t>n/a</t>
        </is>
      </c>
      <c r="X58" s="337" t="n">
        <v>0</v>
      </c>
      <c r="Y58" s="154">
        <f>IF(ABS(X58)&gt;$D$7,"above","below")</f>
        <v/>
      </c>
      <c r="Z58" s="155">
        <f>IF('Template identifying components'!$P$21="key component","Key component",IF($Y$58="above","Material component","n/a"))</f>
        <v/>
      </c>
      <c r="AA58" s="199" t="inlineStr">
        <is>
          <t>n/a</t>
        </is>
      </c>
      <c r="AB58" s="275" t="inlineStr">
        <is>
          <t>n/a</t>
        </is>
      </c>
      <c r="AE58" s="156">
        <f>$AY$58</f>
        <v/>
      </c>
      <c r="AF58" s="158">
        <f>E58-AE58</f>
        <v/>
      </c>
      <c r="AG58" s="159">
        <f>IF(ABS(AF58)&gt;$D$7,"untested population above materiality","untested population below materiality")</f>
        <v/>
      </c>
      <c r="AI58" s="156">
        <f>$BC$58</f>
        <v/>
      </c>
      <c r="AJ58" s="158">
        <f>AF58-AI58</f>
        <v/>
      </c>
      <c r="AK58" s="159">
        <f>IF(ABS(AJ58)&gt;$D$7,"untested population above materiality","untested population below materiality")</f>
        <v/>
      </c>
      <c r="AM58" s="156">
        <f>$BG$58</f>
        <v/>
      </c>
      <c r="AN58" s="158">
        <f>AJ58-AM58</f>
        <v/>
      </c>
      <c r="AO58" s="159">
        <f>IF(ABS(AN58)&gt;$D$7,"untested population above materiality","untested population below materiality")</f>
        <v/>
      </c>
      <c r="AQ58" s="160">
        <f>IF(AO58="untested population above materiality","scope in more components or perform a stand-back assessment","ok")</f>
        <v/>
      </c>
      <c r="AY58" s="177">
        <f>IF(L10="full scope",I58,0)+IF(Q10="full scope",N58,0)+IF(V10="full scope",S58,0)+IF(AA10="full scope",X58,0)</f>
        <v/>
      </c>
      <c r="BC58" s="177">
        <f>IF(L58="in scope",I58,0)+IF(Q58="in scope",N58,0)+IF(V58="in scope",S58,0)+IF(AA58="in scope",X58,0)</f>
        <v/>
      </c>
      <c r="BG58" s="177">
        <f>IF(M58="in scope",I58,0)+IF(R58="in scope",N58,0)+IF(W58="in scope",S58,0)+IF(AB58="in scope",X58,0)</f>
        <v/>
      </c>
    </row>
    <row r="59" customFormat="1" s="177">
      <c r="A59" s="25" t="n"/>
      <c r="B59" s="547" t="n"/>
      <c r="C59" s="332" t="inlineStr">
        <is>
          <t>17.이익잉여금</t>
        </is>
      </c>
      <c r="D59" s="223" t="inlineStr">
        <is>
          <t>SCOTABD</t>
        </is>
      </c>
      <c r="E59" s="333" t="n">
        <v>140929724834</v>
      </c>
      <c r="F59" s="156">
        <f>$I$59+$N$59+$S$59+$X$59</f>
        <v/>
      </c>
      <c r="G59" s="157">
        <f>E59-F59</f>
        <v/>
      </c>
      <c r="I59" s="337" t="n">
        <v>124954348767</v>
      </c>
      <c r="J59" s="154">
        <f>IF(ABS(I59)&gt;$D$7,"above","below")</f>
        <v/>
      </c>
      <c r="K59" s="155">
        <f>IF('Template identifying components'!$P$18="key component","Key component",IF($J$59="above","Material component","n/a"))</f>
        <v/>
      </c>
      <c r="L59" s="199" t="inlineStr">
        <is>
          <t>n/a</t>
        </is>
      </c>
      <c r="M59" s="275" t="inlineStr">
        <is>
          <t>n/a</t>
        </is>
      </c>
      <c r="N59" s="337" t="n">
        <v>17817009163</v>
      </c>
      <c r="O59" s="154">
        <f>IF(ABS(N59)&gt;$D$7,"above","below")</f>
        <v/>
      </c>
      <c r="P59" s="155">
        <f>IF('Template identifying components'!$P$19="key component","Key component",IF($O$59="above","Material component","n/a"))</f>
        <v/>
      </c>
      <c r="Q59" s="199" t="inlineStr">
        <is>
          <t>n/a</t>
        </is>
      </c>
      <c r="R59" s="275" t="inlineStr">
        <is>
          <t>n/a</t>
        </is>
      </c>
      <c r="S59" s="337" t="n">
        <v>-67637542817</v>
      </c>
      <c r="T59" s="154">
        <f>IF(ABS(S59)&gt;$D$7,"above","below")</f>
        <v/>
      </c>
      <c r="U59" s="155">
        <f>IF('Template identifying components'!$P$20="key component","Key component",IF($T$59="above","Material component","n/a"))</f>
        <v/>
      </c>
      <c r="V59" s="199" t="inlineStr">
        <is>
          <t>n/a</t>
        </is>
      </c>
      <c r="W59" s="275" t="inlineStr">
        <is>
          <t>n/a</t>
        </is>
      </c>
      <c r="X59" s="337" t="n">
        <v>65795909720.99997</v>
      </c>
      <c r="Y59" s="154">
        <f>IF(ABS(X59)&gt;$D$7,"above","below")</f>
        <v/>
      </c>
      <c r="Z59" s="155">
        <f>IF('Template identifying components'!$P$21="key component","Key component",IF($Y$59="above","Material component","n/a"))</f>
        <v/>
      </c>
      <c r="AA59" s="199" t="inlineStr">
        <is>
          <t>n/a</t>
        </is>
      </c>
      <c r="AB59" s="275" t="inlineStr">
        <is>
          <t>n/a</t>
        </is>
      </c>
      <c r="AE59" s="156">
        <f>$AY$59</f>
        <v/>
      </c>
      <c r="AF59" s="158">
        <f>E59-AE59</f>
        <v/>
      </c>
      <c r="AG59" s="159">
        <f>IF(ABS(AF59)&gt;$D$7,"untested population above materiality","untested population below materiality")</f>
        <v/>
      </c>
      <c r="AI59" s="156">
        <f>$BC$59</f>
        <v/>
      </c>
      <c r="AJ59" s="158">
        <f>AF59-AI59</f>
        <v/>
      </c>
      <c r="AK59" s="159">
        <f>IF(ABS(AJ59)&gt;$D$7,"untested population above materiality","untested population below materiality")</f>
        <v/>
      </c>
      <c r="AM59" s="156">
        <f>$BG$59</f>
        <v/>
      </c>
      <c r="AN59" s="158">
        <f>AJ59-AM59</f>
        <v/>
      </c>
      <c r="AO59" s="159">
        <f>IF(ABS(AN59)&gt;$D$7,"untested population above materiality","untested population below materiality")</f>
        <v/>
      </c>
      <c r="AQ59" s="160">
        <f>IF(AO59="untested population above materiality","scope in more components or perform a stand-back assessment","ok")</f>
        <v/>
      </c>
      <c r="AY59" s="177">
        <f>IF(L10="full scope",I59,0)+IF(Q10="full scope",N59,0)+IF(V10="full scope",S59,0)+IF(AA10="full scope",X59,0)</f>
        <v/>
      </c>
      <c r="BC59" s="177">
        <f>IF(L59="in scope",I59,0)+IF(Q59="in scope",N59,0)+IF(V59="in scope",S59,0)+IF(AA59="in scope",X59,0)</f>
        <v/>
      </c>
      <c r="BG59" s="177">
        <f>IF(M59="in scope",I59,0)+IF(R59="in scope",N59,0)+IF(W59="in scope",S59,0)+IF(AB59="in scope",X59,0)</f>
        <v/>
      </c>
    </row>
    <row r="60" customFormat="1" s="177">
      <c r="A60" s="25" t="n"/>
      <c r="B60" s="547" t="n"/>
      <c r="C60" s="332" t="inlineStr">
        <is>
          <t>18.기타포괄손익누계액</t>
        </is>
      </c>
      <c r="D60" s="223" t="inlineStr">
        <is>
          <t>non material COTABD</t>
        </is>
      </c>
      <c r="E60" s="333" t="n">
        <v>-5438409958</v>
      </c>
      <c r="F60" s="156">
        <f>$I$60+$N$60+$S$60+$X$60</f>
        <v/>
      </c>
      <c r="G60" s="157">
        <f>E60-F60</f>
        <v/>
      </c>
      <c r="I60" s="337" t="n">
        <v>-5352028310</v>
      </c>
      <c r="J60" s="154">
        <f>IF(ABS(I60)&gt;$D$7,"above","below")</f>
        <v/>
      </c>
      <c r="K60" s="155">
        <f>IF('Template identifying components'!$P$18="key component","Key component",IF($J$60="above","Material component","n/a"))</f>
        <v/>
      </c>
      <c r="L60" s="199" t="inlineStr">
        <is>
          <t>n/a</t>
        </is>
      </c>
      <c r="M60" s="275" t="inlineStr">
        <is>
          <t>n/a</t>
        </is>
      </c>
      <c r="N60" s="337" t="n">
        <v>-397458250</v>
      </c>
      <c r="O60" s="154">
        <f>IF(ABS(N60)&gt;$D$7,"above","below")</f>
        <v/>
      </c>
      <c r="P60" s="155">
        <f>IF('Template identifying components'!$P$19="key component","Key component",IF($O$60="above","Material component","n/a"))</f>
        <v/>
      </c>
      <c r="Q60" s="199" t="inlineStr">
        <is>
          <t>n/a</t>
        </is>
      </c>
      <c r="R60" s="275" t="inlineStr">
        <is>
          <t>n/a</t>
        </is>
      </c>
      <c r="S60" s="337" t="n">
        <v>-276416733</v>
      </c>
      <c r="T60" s="154">
        <f>IF(ABS(S60)&gt;$D$7,"above","below")</f>
        <v/>
      </c>
      <c r="U60" s="155">
        <f>IF('Template identifying components'!$P$20="key component","Key component",IF($T$60="above","Material component","n/a"))</f>
        <v/>
      </c>
      <c r="V60" s="199" t="inlineStr">
        <is>
          <t>n/a</t>
        </is>
      </c>
      <c r="W60" s="275" t="inlineStr">
        <is>
          <t>n/a</t>
        </is>
      </c>
      <c r="X60" s="337" t="n">
        <v>587493335</v>
      </c>
      <c r="Y60" s="154">
        <f>IF(ABS(X60)&gt;$D$7,"above","below")</f>
        <v/>
      </c>
      <c r="Z60" s="155">
        <f>IF('Template identifying components'!$P$21="key component","Key component",IF($Y$60="above","Material component","n/a"))</f>
        <v/>
      </c>
      <c r="AA60" s="199" t="inlineStr">
        <is>
          <t>n/a</t>
        </is>
      </c>
      <c r="AB60" s="275" t="inlineStr">
        <is>
          <t>n/a</t>
        </is>
      </c>
      <c r="AE60" s="156">
        <f>$AY$60</f>
        <v/>
      </c>
      <c r="AF60" s="158">
        <f>E60-AE60</f>
        <v/>
      </c>
      <c r="AG60" s="159">
        <f>IF(ABS(AF60)&gt;$D$7,"untested population above materiality","untested population below materiality")</f>
        <v/>
      </c>
      <c r="AI60" s="156">
        <f>$BC$60</f>
        <v/>
      </c>
      <c r="AJ60" s="158">
        <f>AF60-AI60</f>
        <v/>
      </c>
      <c r="AK60" s="159">
        <f>IF(ABS(AJ60)&gt;$D$7,"untested population above materiality","untested population below materiality")</f>
        <v/>
      </c>
      <c r="AM60" s="156">
        <f>$BG$60</f>
        <v/>
      </c>
      <c r="AN60" s="158">
        <f>AJ60-AM60</f>
        <v/>
      </c>
      <c r="AO60" s="159">
        <f>IF(ABS(AN60)&gt;$D$7,"untested population above materiality","untested population below materiality")</f>
        <v/>
      </c>
      <c r="AQ60" s="160">
        <f>IF(AO60="untested population above materiality","scope in more components or perform a stand-back assessment","ok")</f>
        <v/>
      </c>
      <c r="AY60" s="177">
        <f>IF(L10="full scope",I60,0)+IF(Q10="full scope",N60,0)+IF(V10="full scope",S60,0)+IF(AA10="full scope",X60,0)</f>
        <v/>
      </c>
      <c r="BC60" s="177">
        <f>IF(L60="in scope",I60,0)+IF(Q60="in scope",N60,0)+IF(V60="in scope",S60,0)+IF(AA60="in scope",X60,0)</f>
        <v/>
      </c>
      <c r="BG60" s="177">
        <f>IF(M60="in scope",I60,0)+IF(R60="in scope",N60,0)+IF(W60="in scope",S60,0)+IF(AB60="in scope",X60,0)</f>
        <v/>
      </c>
    </row>
    <row r="61" customFormat="1" s="177">
      <c r="A61" s="25" t="n"/>
      <c r="B61" s="547" t="n"/>
      <c r="C61" s="332" t="inlineStr">
        <is>
          <t>19.비지배지분</t>
        </is>
      </c>
      <c r="D61" s="223" t="inlineStr">
        <is>
          <t>MCOTABD</t>
        </is>
      </c>
      <c r="E61" s="333" t="n">
        <v>20500384152</v>
      </c>
      <c r="F61" s="156">
        <f>$I$61+$N$61+$S$61+$X$61</f>
        <v/>
      </c>
      <c r="G61" s="157">
        <f>E61-F61</f>
        <v/>
      </c>
      <c r="I61" s="337" t="n">
        <v>0</v>
      </c>
      <c r="J61" s="154">
        <f>IF(ABS(I61)&gt;$D$7,"above","below")</f>
        <v/>
      </c>
      <c r="K61" s="155">
        <f>IF('Template identifying components'!$P$18="key component","Key component",IF($J$61="above","Material component","n/a"))</f>
        <v/>
      </c>
      <c r="L61" s="199" t="inlineStr">
        <is>
          <t>n/a</t>
        </is>
      </c>
      <c r="M61" s="275" t="inlineStr">
        <is>
          <t>n/a</t>
        </is>
      </c>
      <c r="N61" s="337" t="n">
        <v>0</v>
      </c>
      <c r="O61" s="154">
        <f>IF(ABS(N61)&gt;$D$7,"above","below")</f>
        <v/>
      </c>
      <c r="P61" s="155">
        <f>IF('Template identifying components'!$P$19="key component","Key component",IF($O$61="above","Material component","n/a"))</f>
        <v/>
      </c>
      <c r="Q61" s="199" t="inlineStr">
        <is>
          <t>n/a</t>
        </is>
      </c>
      <c r="R61" s="275" t="inlineStr">
        <is>
          <t>n/a</t>
        </is>
      </c>
      <c r="S61" s="337" t="n">
        <v>0</v>
      </c>
      <c r="T61" s="154">
        <f>IF(ABS(S61)&gt;$D$7,"above","below")</f>
        <v/>
      </c>
      <c r="U61" s="155">
        <f>IF('Template identifying components'!$P$20="key component","Key component",IF($T$61="above","Material component","n/a"))</f>
        <v/>
      </c>
      <c r="V61" s="199" t="inlineStr">
        <is>
          <t>n/a</t>
        </is>
      </c>
      <c r="W61" s="275" t="inlineStr">
        <is>
          <t>n/a</t>
        </is>
      </c>
      <c r="X61" s="337" t="n">
        <v>20500384152</v>
      </c>
      <c r="Y61" s="154">
        <f>IF(ABS(X61)&gt;$D$7,"above","below")</f>
        <v/>
      </c>
      <c r="Z61" s="155">
        <f>IF('Template identifying components'!$P$21="key component","Key component",IF($Y$61="above","Material component","n/a"))</f>
        <v/>
      </c>
      <c r="AA61" s="199" t="inlineStr">
        <is>
          <t>n/a</t>
        </is>
      </c>
      <c r="AB61" s="275" t="inlineStr">
        <is>
          <t>n/a</t>
        </is>
      </c>
      <c r="AE61" s="156">
        <f>$AY$61</f>
        <v/>
      </c>
      <c r="AF61" s="158">
        <f>E61-AE61</f>
        <v/>
      </c>
      <c r="AG61" s="159">
        <f>IF(ABS(AF61)&gt;$D$7,"untested population above materiality","untested population below materiality")</f>
        <v/>
      </c>
      <c r="AI61" s="156">
        <f>$BC$61</f>
        <v/>
      </c>
      <c r="AJ61" s="158">
        <f>AF61-AI61</f>
        <v/>
      </c>
      <c r="AK61" s="159">
        <f>IF(ABS(AJ61)&gt;$D$7,"untested population above materiality","untested population below materiality")</f>
        <v/>
      </c>
      <c r="AM61" s="156">
        <f>$BG$61</f>
        <v/>
      </c>
      <c r="AN61" s="158">
        <f>AJ61-AM61</f>
        <v/>
      </c>
      <c r="AO61" s="159">
        <f>IF(ABS(AN61)&gt;$D$7,"untested population above materiality","untested population below materiality")</f>
        <v/>
      </c>
      <c r="AQ61" s="160">
        <f>IF(AO61="untested population above materiality","scope in more components or perform a stand-back assessment","ok")</f>
        <v/>
      </c>
      <c r="AY61" s="177">
        <f>IF(L10="full scope",I61,0)+IF(Q10="full scope",N61,0)+IF(V10="full scope",S61,0)+IF(AA10="full scope",X61,0)</f>
        <v/>
      </c>
      <c r="BC61" s="177">
        <f>IF(L61="in scope",I61,0)+IF(Q61="in scope",N61,0)+IF(V61="in scope",S61,0)+IF(AA61="in scope",X61,0)</f>
        <v/>
      </c>
      <c r="BG61" s="177">
        <f>IF(M61="in scope",I61,0)+IF(R61="in scope",N61,0)+IF(W61="in scope",S61,0)+IF(AB61="in scope",X61,0)</f>
        <v/>
      </c>
    </row>
    <row r="62" customFormat="1" s="177">
      <c r="A62" s="25" t="n"/>
      <c r="B62" s="547" t="n"/>
      <c r="C62" s="332" t="n"/>
      <c r="D62" s="223" t="n"/>
      <c r="E62" s="333" t="n">
        <v>0</v>
      </c>
      <c r="F62" s="156">
        <f>$I$62+$N$62+$S$62+$X$62</f>
        <v/>
      </c>
      <c r="G62" s="157">
        <f>E62-F62</f>
        <v/>
      </c>
      <c r="I62" s="337" t="n">
        <v>0</v>
      </c>
      <c r="J62" s="154">
        <f>IF(ABS(I62)&gt;$D$7,"above","below")</f>
        <v/>
      </c>
      <c r="K62" s="155">
        <f>IF('Template identifying components'!$P$18="key component","Key component",IF($J$62="above","Material component","n/a"))</f>
        <v/>
      </c>
      <c r="L62" s="199" t="inlineStr">
        <is>
          <t>n/a</t>
        </is>
      </c>
      <c r="M62" s="275" t="inlineStr">
        <is>
          <t>n/a</t>
        </is>
      </c>
      <c r="N62" s="337" t="n">
        <v>0</v>
      </c>
      <c r="O62" s="154">
        <f>IF(ABS(N62)&gt;$D$7,"above","below")</f>
        <v/>
      </c>
      <c r="P62" s="155">
        <f>IF('Template identifying components'!$P$19="key component","Key component",IF($O$62="above","Material component","n/a"))</f>
        <v/>
      </c>
      <c r="Q62" s="199" t="inlineStr">
        <is>
          <t>n/a</t>
        </is>
      </c>
      <c r="R62" s="275" t="inlineStr">
        <is>
          <t>n/a</t>
        </is>
      </c>
      <c r="S62" s="337" t="n">
        <v>0</v>
      </c>
      <c r="T62" s="154">
        <f>IF(ABS(S62)&gt;$D$7,"above","below")</f>
        <v/>
      </c>
      <c r="U62" s="155">
        <f>IF('Template identifying components'!$P$20="key component","Key component",IF($T$62="above","Material component","n/a"))</f>
        <v/>
      </c>
      <c r="V62" s="199" t="inlineStr">
        <is>
          <t>n/a</t>
        </is>
      </c>
      <c r="W62" s="275" t="inlineStr">
        <is>
          <t>n/a</t>
        </is>
      </c>
      <c r="X62" s="337" t="n">
        <v>0</v>
      </c>
      <c r="Y62" s="154">
        <f>IF(ABS(X62)&gt;$D$7,"above","below")</f>
        <v/>
      </c>
      <c r="Z62" s="155">
        <f>IF('Template identifying components'!$P$21="key component","Key component",IF($Y$62="above","Material component","n/a"))</f>
        <v/>
      </c>
      <c r="AA62" s="199" t="inlineStr">
        <is>
          <t>n/a</t>
        </is>
      </c>
      <c r="AB62" s="275" t="inlineStr">
        <is>
          <t>n/a</t>
        </is>
      </c>
      <c r="AE62" s="156">
        <f>$AY$62</f>
        <v/>
      </c>
      <c r="AF62" s="158">
        <f>E62-AE62</f>
        <v/>
      </c>
      <c r="AG62" s="159">
        <f>IF(ABS(AF62)&gt;$D$7,"untested population above materiality","untested population below materiality")</f>
        <v/>
      </c>
      <c r="AI62" s="156">
        <f>$BC$62</f>
        <v/>
      </c>
      <c r="AJ62" s="158">
        <f>AF62-AI62</f>
        <v/>
      </c>
      <c r="AK62" s="159">
        <f>IF(ABS(AJ62)&gt;$D$7,"untested population above materiality","untested population below materiality")</f>
        <v/>
      </c>
      <c r="AM62" s="156">
        <f>$BG$62</f>
        <v/>
      </c>
      <c r="AN62" s="158">
        <f>AJ62-AM62</f>
        <v/>
      </c>
      <c r="AO62" s="159">
        <f>IF(ABS(AN62)&gt;$D$7,"untested population above materiality","untested population below materiality")</f>
        <v/>
      </c>
      <c r="AQ62" s="160">
        <f>IF(AO62="untested population above materiality","scope in more components or perform a stand-back assessment","ok")</f>
        <v/>
      </c>
      <c r="AY62" s="177">
        <f>IF(L10="full scope",I62,0)+IF(Q10="full scope",N62,0)+IF(V10="full scope",S62,0)+IF(AA10="full scope",X62,0)</f>
        <v/>
      </c>
      <c r="BC62" s="177">
        <f>IF(L62="in scope",I62,0)+IF(Q62="in scope",N62,0)+IF(V62="in scope",S62,0)+IF(AA62="in scope",X62,0)</f>
        <v/>
      </c>
      <c r="BG62" s="177">
        <f>IF(M62="in scope",I62,0)+IF(R62="in scope",N62,0)+IF(W62="in scope",S62,0)+IF(AB62="in scope",X62,0)</f>
        <v/>
      </c>
    </row>
    <row r="63" ht="13.5" customHeight="1" thickBot="1">
      <c r="B63" s="547" t="n"/>
      <c r="C63" s="161" t="inlineStr">
        <is>
          <t>Total equity and liabilities</t>
        </is>
      </c>
      <c r="D63" s="163" t="n"/>
      <c r="E63" s="162">
        <f>SUM($E$43:$E$62)</f>
        <v/>
      </c>
      <c r="F63" s="165">
        <f>SUM($F$43:$F$62)</f>
        <v/>
      </c>
      <c r="G63" s="166">
        <f>SUM($G$43:$G$62)</f>
        <v/>
      </c>
      <c r="I63" s="341">
        <f>SUM($I$43:$I$62)</f>
        <v/>
      </c>
      <c r="J63" s="168" t="n"/>
      <c r="K63" s="179" t="n"/>
      <c r="L63" s="179" t="n"/>
      <c r="M63" s="277" t="n"/>
      <c r="N63" s="341">
        <f>SUM($N$43:$N$62)</f>
        <v/>
      </c>
      <c r="O63" s="168" t="n"/>
      <c r="P63" s="179" t="n"/>
      <c r="Q63" s="179" t="n"/>
      <c r="R63" s="277" t="n"/>
      <c r="S63" s="341">
        <f>SUM($S$43:$S$62)</f>
        <v/>
      </c>
      <c r="T63" s="168" t="n"/>
      <c r="U63" s="179" t="n"/>
      <c r="V63" s="179" t="n"/>
      <c r="W63" s="277" t="n"/>
      <c r="X63" s="341">
        <f>SUM($X$43:$X$62)</f>
        <v/>
      </c>
      <c r="Y63" s="168" t="n"/>
      <c r="Z63" s="179" t="n"/>
      <c r="AA63" s="179" t="n"/>
      <c r="AB63" s="277" t="n"/>
      <c r="AE63" s="167" t="n"/>
      <c r="AF63" s="168" t="n"/>
      <c r="AG63" s="169" t="n"/>
      <c r="AI63" s="167" t="n"/>
      <c r="AJ63" s="168" t="n"/>
      <c r="AK63" s="169" t="n"/>
      <c r="AM63" s="167" t="n"/>
      <c r="AN63" s="168" t="n"/>
      <c r="AO63" s="169" t="n"/>
      <c r="AQ63" s="170" t="n"/>
    </row>
    <row r="64">
      <c r="B64" s="124" t="n"/>
    </row>
    <row r="65">
      <c r="B65" s="124" t="n"/>
      <c r="E65">
        <f>E36=E63</f>
        <v/>
      </c>
    </row>
    <row r="66">
      <c r="B66" s="124" t="n"/>
    </row>
    <row r="67">
      <c r="B67" s="124" t="n"/>
    </row>
    <row r="68" customFormat="1" s="140">
      <c r="A68" s="25" t="n"/>
      <c r="B68" s="133" t="n"/>
      <c r="C68" s="135" t="inlineStr">
        <is>
          <t>P&amp;L</t>
        </is>
      </c>
      <c r="D68" s="134" t="n"/>
      <c r="E68" s="134" t="n"/>
      <c r="F68" s="134" t="n"/>
      <c r="G68" s="134" t="n"/>
      <c r="H68" s="134" t="n"/>
      <c r="I68" s="134" t="n"/>
      <c r="J68" s="134" t="n"/>
      <c r="K68" s="137" t="n"/>
      <c r="L68" s="137" t="n"/>
      <c r="M68" s="137" t="n"/>
      <c r="N68" s="134" t="n"/>
      <c r="O68" s="134" t="n"/>
      <c r="P68" s="137" t="n"/>
      <c r="Q68" s="137" t="n"/>
      <c r="R68" s="137" t="n"/>
      <c r="S68" s="134" t="n"/>
      <c r="T68" s="134" t="n"/>
      <c r="U68" s="137" t="n"/>
      <c r="V68" s="137" t="n"/>
      <c r="W68" s="137" t="n"/>
      <c r="X68" s="134" t="n"/>
      <c r="Y68" s="134" t="n"/>
      <c r="Z68" s="137" t="n"/>
      <c r="AA68" s="137" t="n"/>
      <c r="AB68" s="137" t="n"/>
      <c r="AC68" s="134" t="n"/>
      <c r="AD68" s="134" t="n"/>
      <c r="AE68" s="134" t="n"/>
      <c r="AF68" s="134" t="n"/>
      <c r="AG68" s="134" t="n"/>
      <c r="AH68" s="134" t="n"/>
      <c r="AI68" s="134" t="n"/>
      <c r="AJ68" s="134" t="n"/>
      <c r="AK68" s="134" t="n"/>
      <c r="AL68" s="134" t="n"/>
      <c r="AM68" s="134" t="n"/>
      <c r="AN68" s="134" t="n"/>
      <c r="AO68" s="134" t="n"/>
      <c r="AP68" s="134" t="n"/>
      <c r="AQ68" s="137" t="n"/>
      <c r="AR68" s="134" t="n"/>
    </row>
    <row r="69" ht="13.5" customHeight="1" thickBot="1">
      <c r="B69" s="124" t="n"/>
    </row>
    <row r="70" ht="39" customFormat="1" customHeight="1" s="129" thickBot="1">
      <c r="A70" s="25" t="n"/>
      <c r="B70" s="128" t="n"/>
      <c r="E70" s="175">
        <f>E14</f>
        <v/>
      </c>
      <c r="I70" s="143">
        <f>I14</f>
        <v/>
      </c>
      <c r="J70" s="569" t="n"/>
      <c r="K70" s="569" t="n"/>
      <c r="L70" s="569" t="n"/>
      <c r="M70" s="570" t="n"/>
      <c r="N70" s="143">
        <f>N14</f>
        <v/>
      </c>
      <c r="O70" s="569" t="n"/>
      <c r="P70" s="569" t="n"/>
      <c r="Q70" s="569" t="n"/>
      <c r="R70" s="570" t="n"/>
      <c r="S70" s="143">
        <f>S14</f>
        <v/>
      </c>
      <c r="T70" s="569" t="n"/>
      <c r="U70" s="569" t="n"/>
      <c r="V70" s="569" t="n"/>
      <c r="W70" s="570" t="n"/>
      <c r="X70" s="143">
        <f>X14</f>
        <v/>
      </c>
      <c r="Y70" s="569" t="n"/>
      <c r="Z70" s="569" t="n"/>
      <c r="AA70" s="569" t="n"/>
      <c r="AB70" s="570" t="n"/>
      <c r="AE70" s="412">
        <f>AE14</f>
        <v/>
      </c>
      <c r="AF70" s="562" t="n"/>
      <c r="AG70" s="563" t="n"/>
      <c r="AI70" s="412">
        <f>AI14</f>
        <v/>
      </c>
      <c r="AJ70" s="562" t="n"/>
      <c r="AK70" s="563" t="n"/>
      <c r="AM70" s="409">
        <f>AM14</f>
        <v/>
      </c>
      <c r="AN70" s="569" t="n"/>
      <c r="AO70" s="573" t="n"/>
      <c r="AQ70" s="499" t="n"/>
    </row>
    <row r="71" ht="64.5" customFormat="1" customHeight="1" s="548" thickBot="1">
      <c r="A71" s="25" t="n"/>
      <c r="B71" s="547" t="n"/>
      <c r="C71" s="146">
        <f>C15</f>
        <v/>
      </c>
      <c r="D71" s="150">
        <f>D15</f>
        <v/>
      </c>
      <c r="E71" s="150">
        <f>E15</f>
        <v/>
      </c>
      <c r="F71" s="149">
        <f>F15</f>
        <v/>
      </c>
      <c r="G71" s="151">
        <f>G15</f>
        <v/>
      </c>
      <c r="I71" s="176">
        <f>I15</f>
        <v/>
      </c>
      <c r="J71" s="148">
        <f>J15</f>
        <v/>
      </c>
      <c r="K71" s="148">
        <f>K15</f>
        <v/>
      </c>
      <c r="L71" s="219">
        <f>L15</f>
        <v/>
      </c>
      <c r="M71" s="219">
        <f>M15</f>
        <v/>
      </c>
      <c r="N71" s="176">
        <f>N15</f>
        <v/>
      </c>
      <c r="O71" s="148">
        <f>O15</f>
        <v/>
      </c>
      <c r="P71" s="148">
        <f>P15</f>
        <v/>
      </c>
      <c r="Q71" s="219">
        <f>Q15</f>
        <v/>
      </c>
      <c r="R71" s="219">
        <f>R15</f>
        <v/>
      </c>
      <c r="S71" s="176">
        <f>S15</f>
        <v/>
      </c>
      <c r="T71" s="148">
        <f>T15</f>
        <v/>
      </c>
      <c r="U71" s="148">
        <f>U15</f>
        <v/>
      </c>
      <c r="V71" s="219">
        <f>V15</f>
        <v/>
      </c>
      <c r="W71" s="219">
        <f>W15</f>
        <v/>
      </c>
      <c r="X71" s="176">
        <f>X15</f>
        <v/>
      </c>
      <c r="Y71" s="148">
        <f>Y15</f>
        <v/>
      </c>
      <c r="Z71" s="148">
        <f>Z15</f>
        <v/>
      </c>
      <c r="AA71" s="219">
        <f>AA15</f>
        <v/>
      </c>
      <c r="AB71" s="219">
        <f>AB15</f>
        <v/>
      </c>
      <c r="AE71" s="180">
        <f>AE15</f>
        <v/>
      </c>
      <c r="AF71" s="181">
        <f>AF15</f>
        <v/>
      </c>
      <c r="AG71" s="182">
        <f>AG15</f>
        <v/>
      </c>
      <c r="AI71" s="149">
        <f>AI15</f>
        <v/>
      </c>
      <c r="AJ71" s="181">
        <f>AJ15</f>
        <v/>
      </c>
      <c r="AK71" s="182">
        <f>AK15</f>
        <v/>
      </c>
      <c r="AM71" s="183">
        <f>AM15</f>
        <v/>
      </c>
      <c r="AN71" s="184">
        <f>AN15</f>
        <v/>
      </c>
      <c r="AO71" s="185">
        <f>AO15</f>
        <v/>
      </c>
      <c r="AQ71" s="152">
        <f>AQ15</f>
        <v/>
      </c>
    </row>
    <row r="72">
      <c r="B72" s="547" t="n"/>
      <c r="C72" s="331" t="inlineStr">
        <is>
          <t>Ⅰ.매출액</t>
        </is>
      </c>
      <c r="D72" s="222" t="inlineStr">
        <is>
          <t>SCOTABD</t>
        </is>
      </c>
      <c r="E72" s="333" t="n">
        <v>890896066385</v>
      </c>
      <c r="F72" s="156">
        <f>$I$72+$N$72+$S$72+$X$72</f>
        <v/>
      </c>
      <c r="G72" s="157">
        <f>E72-F72</f>
        <v/>
      </c>
      <c r="I72" s="337" t="n">
        <v>498859207873</v>
      </c>
      <c r="J72" s="154">
        <f>IF(ABS(I72)&gt;$D$7,"above","below")</f>
        <v/>
      </c>
      <c r="K72" s="155">
        <f>IF('Template identifying components'!$P$18="key component","Key component",IF($J$72="above","Material component","n/a"))</f>
        <v/>
      </c>
      <c r="L72" s="199" t="inlineStr">
        <is>
          <t>n/a</t>
        </is>
      </c>
      <c r="M72" s="275" t="inlineStr">
        <is>
          <t>n/a</t>
        </is>
      </c>
      <c r="N72" s="337" t="n">
        <v>8798620065</v>
      </c>
      <c r="O72" s="154">
        <f>IF(ABS(N72)&gt;$D$7,"above","below")</f>
        <v/>
      </c>
      <c r="P72" s="155">
        <f>IF('Template identifying components'!$P$19="key component","Key component",IF($O$72="above","Material component","n/a"))</f>
        <v/>
      </c>
      <c r="Q72" s="199" t="inlineStr">
        <is>
          <t>n/a</t>
        </is>
      </c>
      <c r="R72" s="275" t="inlineStr">
        <is>
          <t>n/a</t>
        </is>
      </c>
      <c r="S72" s="337" t="n">
        <v>196381556321</v>
      </c>
      <c r="T72" s="154">
        <f>IF(ABS(S72)&gt;$D$7,"above","below")</f>
        <v/>
      </c>
      <c r="U72" s="155">
        <f>IF('Template identifying components'!$P$20="key component","Key component",IF($T$72="above","Material component","n/a"))</f>
        <v/>
      </c>
      <c r="V72" s="199" t="inlineStr">
        <is>
          <t>n/a</t>
        </is>
      </c>
      <c r="W72" s="275" t="inlineStr">
        <is>
          <t>n/a</t>
        </is>
      </c>
      <c r="X72" s="337" t="n">
        <v>186856682126</v>
      </c>
      <c r="Y72" s="154">
        <f>IF(ABS(X72)&gt;$D$7,"above","below")</f>
        <v/>
      </c>
      <c r="Z72" s="155">
        <f>IF('Template identifying components'!$P$21="key component","Key component",IF($Y$72="above","Material component","n/a"))</f>
        <v/>
      </c>
      <c r="AA72" s="199" t="inlineStr">
        <is>
          <t>n/a</t>
        </is>
      </c>
      <c r="AB72" s="275" t="inlineStr">
        <is>
          <t>n/a</t>
        </is>
      </c>
      <c r="AE72" s="156">
        <f>$AY$72</f>
        <v/>
      </c>
      <c r="AF72" s="158">
        <f>E72-AE72</f>
        <v/>
      </c>
      <c r="AG72" s="159">
        <f>IF(ABS(AF72)&gt;$D$7,"untested population above materiality","untested population below materiality")</f>
        <v/>
      </c>
      <c r="AI72" s="156">
        <f>$BC$72</f>
        <v/>
      </c>
      <c r="AJ72" s="158">
        <f>AF72-AI72</f>
        <v/>
      </c>
      <c r="AK72" s="159">
        <f>IF(ABS(AJ72)&gt;$D$7,"untested population above materiality","untested population below materiality")</f>
        <v/>
      </c>
      <c r="AM72" s="156">
        <f>$BG$72</f>
        <v/>
      </c>
      <c r="AN72" s="158">
        <f>AJ72-AM72</f>
        <v/>
      </c>
      <c r="AO72" s="159">
        <f>IF(ABS(AN72)&gt;$D$7,"untested population above materiality","untested population below materiality")</f>
        <v/>
      </c>
      <c r="AQ72" s="160">
        <f>IF(AO72="untested population above materiality","scope in more components or perform a stand-back assessment","ok")</f>
        <v/>
      </c>
      <c r="AY72">
        <f>IF(L10="full scope",I72,0)+IF(Q10="full scope",N72,0)+IF(V10="full scope",S72,0)+IF(AA10="full scope",X72,0)</f>
        <v/>
      </c>
      <c r="BC72">
        <f>IF(L72="in scope",I72,0)+IF(Q72="in scope",N72,0)+IF(V72="in scope",S72,0)+IF(AA72="in scope",X72,0)</f>
        <v/>
      </c>
      <c r="BG72">
        <f>IF(M72="in scope",I72,0)+IF(R72="in scope",N72,0)+IF(W72="in scope",S72,0)+IF(AB72="in scope",X72,0)</f>
        <v/>
      </c>
    </row>
    <row r="73">
      <c r="B73" s="547" t="n"/>
      <c r="C73" s="334" t="inlineStr">
        <is>
          <t>Ⅱ.매출원가</t>
        </is>
      </c>
      <c r="D73" s="222" t="inlineStr">
        <is>
          <t>SCOTABD</t>
        </is>
      </c>
      <c r="E73" s="333" t="n">
        <v>801013850341</v>
      </c>
      <c r="F73" s="156">
        <f>$I$73+$N$73+$S$73+$X$73</f>
        <v/>
      </c>
      <c r="G73" s="157">
        <f>E73-F73</f>
        <v/>
      </c>
      <c r="I73" s="337" t="n">
        <v>257412159518</v>
      </c>
      <c r="J73" s="154">
        <f>IF(ABS(I73)&gt;$D$7,"above","below")</f>
        <v/>
      </c>
      <c r="K73" s="155">
        <f>IF('Template identifying components'!$P$18="key component","Key component",IF($J$73="above","Material component","n/a"))</f>
        <v/>
      </c>
      <c r="L73" s="199" t="inlineStr">
        <is>
          <t>n/a</t>
        </is>
      </c>
      <c r="M73" s="275" t="inlineStr">
        <is>
          <t>n/a</t>
        </is>
      </c>
      <c r="N73" s="337" t="n">
        <v>172421955950</v>
      </c>
      <c r="O73" s="154">
        <f>IF(ABS(N73)&gt;$D$7,"above","below")</f>
        <v/>
      </c>
      <c r="P73" s="155">
        <f>IF('Template identifying components'!$P$19="key component","Key component",IF($O$73="above","Material component","n/a"))</f>
        <v/>
      </c>
      <c r="Q73" s="199" t="inlineStr">
        <is>
          <t>n/a</t>
        </is>
      </c>
      <c r="R73" s="275" t="inlineStr">
        <is>
          <t>n/a</t>
        </is>
      </c>
      <c r="S73" s="337" t="n">
        <v>213421233289</v>
      </c>
      <c r="T73" s="154">
        <f>IF(ABS(S73)&gt;$D$7,"above","below")</f>
        <v/>
      </c>
      <c r="U73" s="155">
        <f>IF('Template identifying components'!$P$20="key component","Key component",IF($T$73="above","Material component","n/a"))</f>
        <v/>
      </c>
      <c r="V73" s="199" t="inlineStr">
        <is>
          <t>n/a</t>
        </is>
      </c>
      <c r="W73" s="275" t="inlineStr">
        <is>
          <t>n/a</t>
        </is>
      </c>
      <c r="X73" s="337" t="n">
        <v>157758501584</v>
      </c>
      <c r="Y73" s="154">
        <f>IF(ABS(X73)&gt;$D$7,"above","below")</f>
        <v/>
      </c>
      <c r="Z73" s="155">
        <f>IF('Template identifying components'!$P$21="key component","Key component",IF($Y$73="above","Material component","n/a"))</f>
        <v/>
      </c>
      <c r="AA73" s="199" t="inlineStr">
        <is>
          <t>n/a</t>
        </is>
      </c>
      <c r="AB73" s="275" t="inlineStr">
        <is>
          <t>n/a</t>
        </is>
      </c>
      <c r="AE73" s="156">
        <f>$AY$73</f>
        <v/>
      </c>
      <c r="AF73" s="158">
        <f>E73-AE73</f>
        <v/>
      </c>
      <c r="AG73" s="159">
        <f>IF(ABS(AF73)&gt;$D$7,"untested population above materiality","untested population below materiality")</f>
        <v/>
      </c>
      <c r="AI73" s="156">
        <f>$BC$73</f>
        <v/>
      </c>
      <c r="AJ73" s="158">
        <f>AF73-AI73</f>
        <v/>
      </c>
      <c r="AK73" s="159">
        <f>IF(ABS(AJ73)&gt;$D$7,"untested population above materiality","untested population below materiality")</f>
        <v/>
      </c>
      <c r="AM73" s="156">
        <f>$BG$73</f>
        <v/>
      </c>
      <c r="AN73" s="158">
        <f>AJ73-AM73</f>
        <v/>
      </c>
      <c r="AO73" s="159">
        <f>IF(ABS(AN73)&gt;$D$7,"untested population above materiality","untested population below materiality")</f>
        <v/>
      </c>
      <c r="AQ73" s="160">
        <f>IF(AO73="untested population above materiality","scope in more components or perform a stand-back assessment","ok")</f>
        <v/>
      </c>
      <c r="AY73">
        <f>IF(L10="full scope",I73,0)+IF(Q10="full scope",N73,0)+IF(V10="full scope",S73,0)+IF(AA10="full scope",X73,0)</f>
        <v/>
      </c>
      <c r="BC73">
        <f>IF(L73="in scope",I73,0)+IF(Q73="in scope",N73,0)+IF(V73="in scope",S73,0)+IF(AA73="in scope",X73,0)</f>
        <v/>
      </c>
      <c r="BG73">
        <f>IF(M73="in scope",I73,0)+IF(R73="in scope",N73,0)+IF(W73="in scope",S73,0)+IF(AB73="in scope",X73,0)</f>
        <v/>
      </c>
    </row>
    <row r="74">
      <c r="B74" s="547" t="n"/>
      <c r="C74" s="334" t="inlineStr">
        <is>
          <t>Ⅳ.판매비와관리비</t>
        </is>
      </c>
      <c r="D74" s="222" t="inlineStr">
        <is>
          <t>SCOTABD</t>
        </is>
      </c>
      <c r="E74" s="333" t="n">
        <v>32241025407</v>
      </c>
      <c r="F74" s="156">
        <f>$I$74+$N$74+$S$74+$X$74</f>
        <v/>
      </c>
      <c r="G74" s="157">
        <f>E74-F74</f>
        <v/>
      </c>
      <c r="I74" s="337" t="n">
        <v>19703763187</v>
      </c>
      <c r="J74" s="154">
        <f>IF(ABS(I74)&gt;$D$7,"above","below")</f>
        <v/>
      </c>
      <c r="K74" s="155">
        <f>IF('Template identifying components'!$P$18="key component","Key component",IF($J$74="above","Material component","n/a"))</f>
        <v/>
      </c>
      <c r="L74" s="199" t="inlineStr">
        <is>
          <t>n/a</t>
        </is>
      </c>
      <c r="M74" s="275" t="inlineStr">
        <is>
          <t>n/a</t>
        </is>
      </c>
      <c r="N74" s="337" t="n">
        <v>40</v>
      </c>
      <c r="O74" s="154">
        <f>IF(ABS(N74)&gt;$D$7,"above","below")</f>
        <v/>
      </c>
      <c r="P74" s="155">
        <f>IF('Template identifying components'!$P$19="key component","Key component",IF($O$74="above","Material component","n/a"))</f>
        <v/>
      </c>
      <c r="Q74" s="199" t="inlineStr">
        <is>
          <t>n/a</t>
        </is>
      </c>
      <c r="R74" s="275" t="inlineStr">
        <is>
          <t>n/a</t>
        </is>
      </c>
      <c r="S74" s="337" t="n">
        <v>7395976997</v>
      </c>
      <c r="T74" s="154">
        <f>IF(ABS(S74)&gt;$D$7,"above","below")</f>
        <v/>
      </c>
      <c r="U74" s="155">
        <f>IF('Template identifying components'!$P$20="key component","Key component",IF($T$74="above","Material component","n/a"))</f>
        <v/>
      </c>
      <c r="V74" s="199" t="inlineStr">
        <is>
          <t>n/a</t>
        </is>
      </c>
      <c r="W74" s="275" t="inlineStr">
        <is>
          <t>n/a</t>
        </is>
      </c>
      <c r="X74" s="337" t="n">
        <v>5141285183</v>
      </c>
      <c r="Y74" s="154">
        <f>IF(ABS(X74)&gt;$D$7,"above","below")</f>
        <v/>
      </c>
      <c r="Z74" s="155">
        <f>IF('Template identifying components'!$P$21="key component","Key component",IF($Y$74="above","Material component","n/a"))</f>
        <v/>
      </c>
      <c r="AA74" s="199" t="inlineStr">
        <is>
          <t>n/a</t>
        </is>
      </c>
      <c r="AB74" s="275" t="inlineStr">
        <is>
          <t>n/a</t>
        </is>
      </c>
      <c r="AE74" s="156">
        <f>$AY$74</f>
        <v/>
      </c>
      <c r="AF74" s="158">
        <f>E74-AE74</f>
        <v/>
      </c>
      <c r="AG74" s="159">
        <f>IF(ABS(AF74)&gt;$D$7,"untested population above materiality","untested population below materiality")</f>
        <v/>
      </c>
      <c r="AI74" s="156">
        <f>$BC$74</f>
        <v/>
      </c>
      <c r="AJ74" s="158">
        <f>AF74-AI74</f>
        <v/>
      </c>
      <c r="AK74" s="159">
        <f>IF(ABS(AJ74)&gt;$D$7,"untested population above materiality","untested population below materiality")</f>
        <v/>
      </c>
      <c r="AM74" s="156">
        <f>$BG$74</f>
        <v/>
      </c>
      <c r="AN74" s="158">
        <f>AJ74-AM74</f>
        <v/>
      </c>
      <c r="AO74" s="159">
        <f>IF(ABS(AN74)&gt;$D$7,"untested population above materiality","untested population below materiality")</f>
        <v/>
      </c>
      <c r="AQ74" s="160">
        <f>IF(AO74="untested population above materiality","scope in more components or perform a stand-back assessment","ok")</f>
        <v/>
      </c>
      <c r="AY74">
        <f>IF(L10="full scope",I74,0)+IF(Q10="full scope",N74,0)+IF(V10="full scope",S74,0)+IF(AA10="full scope",X74,0)</f>
        <v/>
      </c>
      <c r="BC74">
        <f>IF(L74="in scope",I74,0)+IF(Q74="in scope",N74,0)+IF(V74="in scope",S74,0)+IF(AA74="in scope",X74,0)</f>
        <v/>
      </c>
      <c r="BG74">
        <f>IF(M74="in scope",I74,0)+IF(R74="in scope",N74,0)+IF(W74="in scope",S74,0)+IF(AB74="in scope",X74,0)</f>
        <v/>
      </c>
    </row>
    <row r="75">
      <c r="B75" s="547" t="n"/>
      <c r="C75" s="334" t="inlineStr">
        <is>
          <t>Ⅵ.영업외수익</t>
        </is>
      </c>
      <c r="D75" s="222" t="inlineStr">
        <is>
          <t>MCOTABD</t>
        </is>
      </c>
      <c r="E75" s="333" t="n">
        <v>8888361527</v>
      </c>
      <c r="F75" s="156">
        <f>$I$75+$N$75+$S$75+$X$75</f>
        <v/>
      </c>
      <c r="G75" s="157">
        <f>E75-F75</f>
        <v/>
      </c>
      <c r="I75" s="337" t="n">
        <v>3372778227</v>
      </c>
      <c r="J75" s="154">
        <f>IF(ABS(I75)&gt;$D$7,"above","below")</f>
        <v/>
      </c>
      <c r="K75" s="155">
        <f>IF('Template identifying components'!$P$18="key component","Key component",IF($J$75="above","Material component","n/a"))</f>
        <v/>
      </c>
      <c r="L75" s="199" t="inlineStr">
        <is>
          <t>n/a</t>
        </is>
      </c>
      <c r="M75" s="275" t="inlineStr">
        <is>
          <t>n/a</t>
        </is>
      </c>
      <c r="N75" s="337" t="n">
        <v>218687377</v>
      </c>
      <c r="O75" s="154">
        <f>IF(ABS(N75)&gt;$D$7,"above","below")</f>
        <v/>
      </c>
      <c r="P75" s="155">
        <f>IF('Template identifying components'!$P$19="key component","Key component",IF($O$75="above","Material component","n/a"))</f>
        <v/>
      </c>
      <c r="Q75" s="199" t="inlineStr">
        <is>
          <t>n/a</t>
        </is>
      </c>
      <c r="R75" s="275" t="inlineStr">
        <is>
          <t>n/a</t>
        </is>
      </c>
      <c r="S75" s="337" t="n">
        <v>356368592</v>
      </c>
      <c r="T75" s="154">
        <f>IF(ABS(S75)&gt;$D$7,"above","below")</f>
        <v/>
      </c>
      <c r="U75" s="155">
        <f>IF('Template identifying components'!$P$20="key component","Key component",IF($T$75="above","Material component","n/a"))</f>
        <v/>
      </c>
      <c r="V75" s="199" t="inlineStr">
        <is>
          <t>n/a</t>
        </is>
      </c>
      <c r="W75" s="275" t="inlineStr">
        <is>
          <t>n/a</t>
        </is>
      </c>
      <c r="X75" s="337" t="n">
        <v>4940527331</v>
      </c>
      <c r="Y75" s="154">
        <f>IF(ABS(X75)&gt;$D$7,"above","below")</f>
        <v/>
      </c>
      <c r="Z75" s="155">
        <f>IF('Template identifying components'!$P$21="key component","Key component",IF($Y$75="above","Material component","n/a"))</f>
        <v/>
      </c>
      <c r="AA75" s="199" t="inlineStr">
        <is>
          <t>n/a</t>
        </is>
      </c>
      <c r="AB75" s="275" t="inlineStr">
        <is>
          <t>n/a</t>
        </is>
      </c>
      <c r="AE75" s="156">
        <f>$AY$75</f>
        <v/>
      </c>
      <c r="AF75" s="158">
        <f>E75-AE75</f>
        <v/>
      </c>
      <c r="AG75" s="159">
        <f>IF(ABS(AF75)&gt;$D$7,"untested population above materiality","untested population below materiality")</f>
        <v/>
      </c>
      <c r="AI75" s="156">
        <f>$BC$75</f>
        <v/>
      </c>
      <c r="AJ75" s="158">
        <f>AF75-AI75</f>
        <v/>
      </c>
      <c r="AK75" s="159">
        <f>IF(ABS(AJ75)&gt;$D$7,"untested population above materiality","untested population below materiality")</f>
        <v/>
      </c>
      <c r="AM75" s="156">
        <f>$BG$75</f>
        <v/>
      </c>
      <c r="AN75" s="158">
        <f>AJ75-AM75</f>
        <v/>
      </c>
      <c r="AO75" s="159">
        <f>IF(ABS(AN75)&gt;$D$7,"untested population above materiality","untested population below materiality")</f>
        <v/>
      </c>
      <c r="AQ75" s="160">
        <f>IF(AO75="untested population above materiality","scope in more components or perform a stand-back assessment","ok")</f>
        <v/>
      </c>
      <c r="AY75">
        <f>IF(L10="full scope",I75,0)+IF(Q10="full scope",N75,0)+IF(V10="full scope",S75,0)+IF(AA10="full scope",X75,0)</f>
        <v/>
      </c>
      <c r="BC75">
        <f>IF(L75="in scope",I75,0)+IF(Q75="in scope",N75,0)+IF(V75="in scope",S75,0)+IF(AA75="in scope",X75,0)</f>
        <v/>
      </c>
      <c r="BG75">
        <f>IF(M75="in scope",I75,0)+IF(R75="in scope",N75,0)+IF(W75="in scope",S75,0)+IF(AB75="in scope",X75,0)</f>
        <v/>
      </c>
    </row>
    <row r="76">
      <c r="B76" s="547" t="n"/>
      <c r="C76" s="334" t="inlineStr">
        <is>
          <t>Ⅶ.영업외비용</t>
        </is>
      </c>
      <c r="D76" s="222" t="inlineStr">
        <is>
          <t>MCOTABD</t>
        </is>
      </c>
      <c r="E76" s="333" t="n">
        <v>11989768609</v>
      </c>
      <c r="F76" s="156">
        <f>$I$76+$N$76+$S$76+$X$76</f>
        <v/>
      </c>
      <c r="G76" s="157">
        <f>E76-F76</f>
        <v/>
      </c>
      <c r="I76" s="337" t="n">
        <v>3041501806</v>
      </c>
      <c r="J76" s="154">
        <f>IF(ABS(I76)&gt;$D$7,"above","below")</f>
        <v/>
      </c>
      <c r="K76" s="155">
        <f>IF('Template identifying components'!$P$18="key component","Key component",IF($J$76="above","Material component","n/a"))</f>
        <v/>
      </c>
      <c r="L76" s="199" t="inlineStr">
        <is>
          <t>n/a</t>
        </is>
      </c>
      <c r="M76" s="275" t="inlineStr">
        <is>
          <t>n/a</t>
        </is>
      </c>
      <c r="N76" s="337" t="n">
        <v>422634591</v>
      </c>
      <c r="O76" s="154">
        <f>IF(ABS(N76)&gt;$D$7,"above","below")</f>
        <v/>
      </c>
      <c r="P76" s="155">
        <f>IF('Template identifying components'!$P$19="key component","Key component",IF($O$76="above","Material component","n/a"))</f>
        <v/>
      </c>
      <c r="Q76" s="199" t="inlineStr">
        <is>
          <t>n/a</t>
        </is>
      </c>
      <c r="R76" s="275" t="inlineStr">
        <is>
          <t>n/a</t>
        </is>
      </c>
      <c r="S76" s="337" t="n">
        <v>5997994873</v>
      </c>
      <c r="T76" s="154">
        <f>IF(ABS(S76)&gt;$D$7,"above","below")</f>
        <v/>
      </c>
      <c r="U76" s="155">
        <f>IF('Template identifying components'!$P$20="key component","Key component",IF($T$76="above","Material component","n/a"))</f>
        <v/>
      </c>
      <c r="V76" s="199" t="inlineStr">
        <is>
          <t>n/a</t>
        </is>
      </c>
      <c r="W76" s="275" t="inlineStr">
        <is>
          <t>n/a</t>
        </is>
      </c>
      <c r="X76" s="337" t="n">
        <v>2527637339</v>
      </c>
      <c r="Y76" s="154">
        <f>IF(ABS(X76)&gt;$D$7,"above","below")</f>
        <v/>
      </c>
      <c r="Z76" s="155">
        <f>IF('Template identifying components'!$P$21="key component","Key component",IF($Y$76="above","Material component","n/a"))</f>
        <v/>
      </c>
      <c r="AA76" s="199" t="inlineStr">
        <is>
          <t>n/a</t>
        </is>
      </c>
      <c r="AB76" s="275" t="inlineStr">
        <is>
          <t>n/a</t>
        </is>
      </c>
      <c r="AE76" s="156">
        <f>$AY$76</f>
        <v/>
      </c>
      <c r="AF76" s="158">
        <f>E76-AE76</f>
        <v/>
      </c>
      <c r="AG76" s="159">
        <f>IF(ABS(AF76)&gt;$D$7,"untested population above materiality","untested population below materiality")</f>
        <v/>
      </c>
      <c r="AI76" s="156">
        <f>$BC$76</f>
        <v/>
      </c>
      <c r="AJ76" s="158">
        <f>AF76-AI76</f>
        <v/>
      </c>
      <c r="AK76" s="159">
        <f>IF(ABS(AJ76)&gt;$D$7,"untested population above materiality","untested population below materiality")</f>
        <v/>
      </c>
      <c r="AM76" s="156">
        <f>$BG$76</f>
        <v/>
      </c>
      <c r="AN76" s="158">
        <f>AJ76-AM76</f>
        <v/>
      </c>
      <c r="AO76" s="159">
        <f>IF(ABS(AN76)&gt;$D$7,"untested population above materiality","untested population below materiality")</f>
        <v/>
      </c>
      <c r="AQ76" s="160">
        <f>IF(AO76="untested population above materiality","scope in more components or perform a stand-back assessment","ok")</f>
        <v/>
      </c>
      <c r="AY76">
        <f>IF(L10="full scope",I76,0)+IF(Q10="full scope",N76,0)+IF(V10="full scope",S76,0)+IF(AA10="full scope",X76,0)</f>
        <v/>
      </c>
      <c r="BC76">
        <f>IF(L76="in scope",I76,0)+IF(Q76="in scope",N76,0)+IF(V76="in scope",S76,0)+IF(AA76="in scope",X76,0)</f>
        <v/>
      </c>
      <c r="BG76">
        <f>IF(M76="in scope",I76,0)+IF(R76="in scope",N76,0)+IF(W76="in scope",S76,0)+IF(AB76="in scope",X76,0)</f>
        <v/>
      </c>
    </row>
    <row r="77">
      <c r="B77" s="547" t="n"/>
      <c r="C77" s="334" t="n"/>
      <c r="D77" s="222" t="n"/>
      <c r="E77" s="333" t="n">
        <v>0</v>
      </c>
      <c r="F77" s="156">
        <f>$I$77+$N$77+$S$77+$X$77</f>
        <v/>
      </c>
      <c r="G77" s="157">
        <f>E77-F77</f>
        <v/>
      </c>
      <c r="I77" s="337" t="n">
        <v>0</v>
      </c>
      <c r="J77" s="154">
        <f>IF(ABS(I77)&gt;$D$7,"above","below")</f>
        <v/>
      </c>
      <c r="K77" s="155">
        <f>IF('Template identifying components'!$P$18="key component","Key component",IF($J$77="above","Material component","n/a"))</f>
        <v/>
      </c>
      <c r="L77" s="199" t="inlineStr">
        <is>
          <t>n/a</t>
        </is>
      </c>
      <c r="M77" s="275" t="inlineStr">
        <is>
          <t>n/a</t>
        </is>
      </c>
      <c r="N77" s="337" t="n">
        <v>0</v>
      </c>
      <c r="O77" s="154">
        <f>IF(ABS(N77)&gt;$D$7,"above","below")</f>
        <v/>
      </c>
      <c r="P77" s="155">
        <f>IF('Template identifying components'!$P$19="key component","Key component",IF($O$77="above","Material component","n/a"))</f>
        <v/>
      </c>
      <c r="Q77" s="199" t="inlineStr">
        <is>
          <t>n/a</t>
        </is>
      </c>
      <c r="R77" s="275" t="inlineStr">
        <is>
          <t>n/a</t>
        </is>
      </c>
      <c r="S77" s="337" t="n">
        <v>0</v>
      </c>
      <c r="T77" s="154">
        <f>IF(ABS(S77)&gt;$D$7,"above","below")</f>
        <v/>
      </c>
      <c r="U77" s="155">
        <f>IF('Template identifying components'!$P$20="key component","Key component",IF($T$77="above","Material component","n/a"))</f>
        <v/>
      </c>
      <c r="V77" s="199" t="inlineStr">
        <is>
          <t>n/a</t>
        </is>
      </c>
      <c r="W77" s="275" t="inlineStr">
        <is>
          <t>n/a</t>
        </is>
      </c>
      <c r="X77" s="337" t="n">
        <v>0</v>
      </c>
      <c r="Y77" s="154">
        <f>IF(ABS(X77)&gt;$D$7,"above","below")</f>
        <v/>
      </c>
      <c r="Z77" s="155">
        <f>IF('Template identifying components'!$P$21="key component","Key component",IF($Y$77="above","Material component","n/a"))</f>
        <v/>
      </c>
      <c r="AA77" s="199" t="inlineStr">
        <is>
          <t>n/a</t>
        </is>
      </c>
      <c r="AB77" s="275" t="inlineStr">
        <is>
          <t>n/a</t>
        </is>
      </c>
      <c r="AE77" s="156">
        <f>$AY$77</f>
        <v/>
      </c>
      <c r="AF77" s="158">
        <f>E77-AE77</f>
        <v/>
      </c>
      <c r="AG77" s="159">
        <f>IF(ABS(AF77)&gt;$D$7,"untested population above materiality","untested population below materiality")</f>
        <v/>
      </c>
      <c r="AI77" s="156">
        <f>$BC$77</f>
        <v/>
      </c>
      <c r="AJ77" s="158">
        <f>AF77-AI77</f>
        <v/>
      </c>
      <c r="AK77" s="159">
        <f>IF(ABS(AJ77)&gt;$D$7,"untested population above materiality","untested population below materiality")</f>
        <v/>
      </c>
      <c r="AM77" s="156">
        <f>$BG$77</f>
        <v/>
      </c>
      <c r="AN77" s="158">
        <f>AJ77-AM77</f>
        <v/>
      </c>
      <c r="AO77" s="159">
        <f>IF(ABS(AN77)&gt;$D$7,"untested population above materiality","untested population below materiality")</f>
        <v/>
      </c>
      <c r="AQ77" s="160">
        <f>IF(AO77="untested population above materiality","scope in more components or perform a stand-back assessment","ok")</f>
        <v/>
      </c>
      <c r="AY77">
        <f>IF(L10="full scope",I77,0)+IF(Q10="full scope",N77,0)+IF(V10="full scope",S77,0)+IF(AA10="full scope",X77,0)</f>
        <v/>
      </c>
      <c r="BC77">
        <f>IF(L77="in scope",I77,0)+IF(Q77="in scope",N77,0)+IF(V77="in scope",S77,0)+IF(AA77="in scope",X77,0)</f>
        <v/>
      </c>
      <c r="BG77">
        <f>IF(M77="in scope",I77,0)+IF(R77="in scope",N77,0)+IF(W77="in scope",S77,0)+IF(AB77="in scope",X77,0)</f>
        <v/>
      </c>
    </row>
    <row r="78">
      <c r="B78" s="547" t="n"/>
      <c r="C78" s="334" t="n"/>
      <c r="D78" s="222" t="n"/>
      <c r="E78" s="333" t="n">
        <v>0</v>
      </c>
      <c r="F78" s="156">
        <f>$I$78+$N$78+$S$78+$X$78</f>
        <v/>
      </c>
      <c r="G78" s="157">
        <f>E78-F78</f>
        <v/>
      </c>
      <c r="I78" s="337" t="n">
        <v>0</v>
      </c>
      <c r="J78" s="154">
        <f>IF(ABS(I78)&gt;$D$7,"above","below")</f>
        <v/>
      </c>
      <c r="K78" s="155">
        <f>IF('Template identifying components'!$P$18="key component","Key component",IF($J$78="above","Material component","n/a"))</f>
        <v/>
      </c>
      <c r="L78" s="199" t="inlineStr">
        <is>
          <t>n/a</t>
        </is>
      </c>
      <c r="M78" s="275" t="inlineStr">
        <is>
          <t>n/a</t>
        </is>
      </c>
      <c r="N78" s="337" t="n">
        <v>0</v>
      </c>
      <c r="O78" s="154">
        <f>IF(ABS(N78)&gt;$D$7,"above","below")</f>
        <v/>
      </c>
      <c r="P78" s="155">
        <f>IF('Template identifying components'!$P$19="key component","Key component",IF($O$78="above","Material component","n/a"))</f>
        <v/>
      </c>
      <c r="Q78" s="199" t="inlineStr">
        <is>
          <t>n/a</t>
        </is>
      </c>
      <c r="R78" s="275" t="inlineStr">
        <is>
          <t>n/a</t>
        </is>
      </c>
      <c r="S78" s="337" t="n">
        <v>0</v>
      </c>
      <c r="T78" s="154">
        <f>IF(ABS(S78)&gt;$D$7,"above","below")</f>
        <v/>
      </c>
      <c r="U78" s="155">
        <f>IF('Template identifying components'!$P$20="key component","Key component",IF($T$78="above","Material component","n/a"))</f>
        <v/>
      </c>
      <c r="V78" s="199" t="inlineStr">
        <is>
          <t>n/a</t>
        </is>
      </c>
      <c r="W78" s="275" t="inlineStr">
        <is>
          <t>n/a</t>
        </is>
      </c>
      <c r="X78" s="337" t="n">
        <v>0</v>
      </c>
      <c r="Y78" s="154">
        <f>IF(ABS(X78)&gt;$D$7,"above","below")</f>
        <v/>
      </c>
      <c r="Z78" s="155">
        <f>IF('Template identifying components'!$P$21="key component","Key component",IF($Y$78="above","Material component","n/a"))</f>
        <v/>
      </c>
      <c r="AA78" s="199" t="inlineStr">
        <is>
          <t>n/a</t>
        </is>
      </c>
      <c r="AB78" s="275" t="inlineStr">
        <is>
          <t>n/a</t>
        </is>
      </c>
      <c r="AE78" s="156">
        <f>$AY$78</f>
        <v/>
      </c>
      <c r="AF78" s="158">
        <f>E78-AE78</f>
        <v/>
      </c>
      <c r="AG78" s="159">
        <f>IF(ABS(AF78)&gt;$D$7,"untested population above materiality","untested population below materiality")</f>
        <v/>
      </c>
      <c r="AI78" s="156">
        <f>$BC$78</f>
        <v/>
      </c>
      <c r="AJ78" s="158">
        <f>AF78-AI78</f>
        <v/>
      </c>
      <c r="AK78" s="159">
        <f>IF(ABS(AJ78)&gt;$D$7,"untested population above materiality","untested population below materiality")</f>
        <v/>
      </c>
      <c r="AM78" s="156">
        <f>$BG$78</f>
        <v/>
      </c>
      <c r="AN78" s="158">
        <f>AJ78-AM78</f>
        <v/>
      </c>
      <c r="AO78" s="159">
        <f>IF(ABS(AN78)&gt;$D$7,"untested population above materiality","untested population below materiality")</f>
        <v/>
      </c>
      <c r="AQ78" s="160">
        <f>IF(AO78="untested population above materiality","scope in more components or perform a stand-back assessment","ok")</f>
        <v/>
      </c>
      <c r="AY78">
        <f>IF(L10="full scope",I78,0)+IF(Q10="full scope",N78,0)+IF(V10="full scope",S78,0)+IF(AA10="full scope",X78,0)</f>
        <v/>
      </c>
      <c r="BC78">
        <f>IF(L78="in scope",I78,0)+IF(Q78="in scope",N78,0)+IF(V78="in scope",S78,0)+IF(AA78="in scope",X78,0)</f>
        <v/>
      </c>
      <c r="BG78">
        <f>IF(M78="in scope",I78,0)+IF(R78="in scope",N78,0)+IF(W78="in scope",S78,0)+IF(AB78="in scope",X78,0)</f>
        <v/>
      </c>
    </row>
    <row r="79">
      <c r="B79" s="547" t="n"/>
      <c r="C79" s="334" t="n"/>
      <c r="D79" s="222" t="n"/>
      <c r="E79" s="333" t="n">
        <v>0</v>
      </c>
      <c r="F79" s="156">
        <f>$I$79+$N$79+$S$79+$X$79</f>
        <v/>
      </c>
      <c r="G79" s="157">
        <f>E79-F79</f>
        <v/>
      </c>
      <c r="I79" s="337" t="n">
        <v>0</v>
      </c>
      <c r="J79" s="154">
        <f>IF(ABS(I79)&gt;$D$7,"above","below")</f>
        <v/>
      </c>
      <c r="K79" s="155">
        <f>IF('Template identifying components'!$P$18="key component","Key component",IF($J$79="above","Material component","n/a"))</f>
        <v/>
      </c>
      <c r="L79" s="199" t="inlineStr">
        <is>
          <t>n/a</t>
        </is>
      </c>
      <c r="M79" s="275" t="inlineStr">
        <is>
          <t>n/a</t>
        </is>
      </c>
      <c r="N79" s="337" t="n">
        <v>0</v>
      </c>
      <c r="O79" s="154">
        <f>IF(ABS(N79)&gt;$D$7,"above","below")</f>
        <v/>
      </c>
      <c r="P79" s="155">
        <f>IF('Template identifying components'!$P$19="key component","Key component",IF($O$79="above","Material component","n/a"))</f>
        <v/>
      </c>
      <c r="Q79" s="199" t="inlineStr">
        <is>
          <t>n/a</t>
        </is>
      </c>
      <c r="R79" s="275" t="inlineStr">
        <is>
          <t>n/a</t>
        </is>
      </c>
      <c r="S79" s="337" t="n">
        <v>0</v>
      </c>
      <c r="T79" s="154">
        <f>IF(ABS(S79)&gt;$D$7,"above","below")</f>
        <v/>
      </c>
      <c r="U79" s="155">
        <f>IF('Template identifying components'!$P$20="key component","Key component",IF($T$79="above","Material component","n/a"))</f>
        <v/>
      </c>
      <c r="V79" s="199" t="inlineStr">
        <is>
          <t>n/a</t>
        </is>
      </c>
      <c r="W79" s="275" t="inlineStr">
        <is>
          <t>n/a</t>
        </is>
      </c>
      <c r="X79" s="337" t="n">
        <v>0</v>
      </c>
      <c r="Y79" s="154">
        <f>IF(ABS(X79)&gt;$D$7,"above","below")</f>
        <v/>
      </c>
      <c r="Z79" s="155">
        <f>IF('Template identifying components'!$P$21="key component","Key component",IF($Y$79="above","Material component","n/a"))</f>
        <v/>
      </c>
      <c r="AA79" s="199" t="inlineStr">
        <is>
          <t>n/a</t>
        </is>
      </c>
      <c r="AB79" s="275" t="inlineStr">
        <is>
          <t>n/a</t>
        </is>
      </c>
      <c r="AE79" s="156">
        <f>$AY$79</f>
        <v/>
      </c>
      <c r="AF79" s="158">
        <f>E79-AE79</f>
        <v/>
      </c>
      <c r="AG79" s="159">
        <f>IF(ABS(AF79)&gt;$D$7,"untested population above materiality","untested population below materiality")</f>
        <v/>
      </c>
      <c r="AI79" s="156">
        <f>$BC$79</f>
        <v/>
      </c>
      <c r="AJ79" s="158">
        <f>AF79-AI79</f>
        <v/>
      </c>
      <c r="AK79" s="159">
        <f>IF(ABS(AJ79)&gt;$D$7,"untested population above materiality","untested population below materiality")</f>
        <v/>
      </c>
      <c r="AM79" s="156">
        <f>$BG$79</f>
        <v/>
      </c>
      <c r="AN79" s="158">
        <f>AJ79-AM79</f>
        <v/>
      </c>
      <c r="AO79" s="159">
        <f>IF(ABS(AN79)&gt;$D$7,"untested population above materiality","untested population below materiality")</f>
        <v/>
      </c>
      <c r="AQ79" s="160">
        <f>IF(AO79="untested population above materiality","scope in more components or perform a stand-back assessment","ok")</f>
        <v/>
      </c>
      <c r="AY79">
        <f>IF(L10="full scope",I79,0)+IF(Q10="full scope",N79,0)+IF(V10="full scope",S79,0)+IF(AA10="full scope",X79,0)</f>
        <v/>
      </c>
      <c r="BC79">
        <f>IF(L79="in scope",I79,0)+IF(Q79="in scope",N79,0)+IF(V79="in scope",S79,0)+IF(AA79="in scope",X79,0)</f>
        <v/>
      </c>
      <c r="BG79">
        <f>IF(M79="in scope",I79,0)+IF(R79="in scope",N79,0)+IF(W79="in scope",S79,0)+IF(AB79="in scope",X79,0)</f>
        <v/>
      </c>
    </row>
    <row r="80">
      <c r="B80" s="547" t="n"/>
      <c r="C80" s="334" t="n"/>
      <c r="D80" s="222" t="n"/>
      <c r="E80" s="333" t="n">
        <v>0</v>
      </c>
      <c r="F80" s="156">
        <f>$I$80+$N$80+$S$80+$X$80</f>
        <v/>
      </c>
      <c r="G80" s="157">
        <f>E80-F80</f>
        <v/>
      </c>
      <c r="I80" s="337" t="n">
        <v>0</v>
      </c>
      <c r="J80" s="154">
        <f>IF(ABS(I80)&gt;$D$7,"above","below")</f>
        <v/>
      </c>
      <c r="K80" s="155">
        <f>IF('Template identifying components'!$P$18="key component","Key component",IF($J$80="above","Material component","n/a"))</f>
        <v/>
      </c>
      <c r="L80" s="199" t="inlineStr">
        <is>
          <t>n/a</t>
        </is>
      </c>
      <c r="M80" s="275" t="inlineStr">
        <is>
          <t>n/a</t>
        </is>
      </c>
      <c r="N80" s="337" t="n">
        <v>0</v>
      </c>
      <c r="O80" s="154">
        <f>IF(ABS(N80)&gt;$D$7,"above","below")</f>
        <v/>
      </c>
      <c r="P80" s="155">
        <f>IF('Template identifying components'!$P$19="key component","Key component",IF($O$80="above","Material component","n/a"))</f>
        <v/>
      </c>
      <c r="Q80" s="199" t="inlineStr">
        <is>
          <t>n/a</t>
        </is>
      </c>
      <c r="R80" s="275" t="inlineStr">
        <is>
          <t>n/a</t>
        </is>
      </c>
      <c r="S80" s="337" t="n">
        <v>0</v>
      </c>
      <c r="T80" s="154">
        <f>IF(ABS(S80)&gt;$D$7,"above","below")</f>
        <v/>
      </c>
      <c r="U80" s="155">
        <f>IF('Template identifying components'!$P$20="key component","Key component",IF($T$80="above","Material component","n/a"))</f>
        <v/>
      </c>
      <c r="V80" s="199" t="inlineStr">
        <is>
          <t>n/a</t>
        </is>
      </c>
      <c r="W80" s="275" t="inlineStr">
        <is>
          <t>n/a</t>
        </is>
      </c>
      <c r="X80" s="337" t="n">
        <v>0</v>
      </c>
      <c r="Y80" s="154">
        <f>IF(ABS(X80)&gt;$D$7,"above","below")</f>
        <v/>
      </c>
      <c r="Z80" s="155">
        <f>IF('Template identifying components'!$P$21="key component","Key component",IF($Y$80="above","Material component","n/a"))</f>
        <v/>
      </c>
      <c r="AA80" s="199" t="inlineStr">
        <is>
          <t>n/a</t>
        </is>
      </c>
      <c r="AB80" s="275" t="inlineStr">
        <is>
          <t>n/a</t>
        </is>
      </c>
      <c r="AE80" s="156">
        <f>$AY$80</f>
        <v/>
      </c>
      <c r="AF80" s="158">
        <f>E80-AE80</f>
        <v/>
      </c>
      <c r="AG80" s="159">
        <f>IF(ABS(AF80)&gt;$D$7,"untested population above materiality","untested population below materiality")</f>
        <v/>
      </c>
      <c r="AI80" s="156">
        <f>$BC$80</f>
        <v/>
      </c>
      <c r="AJ80" s="158">
        <f>AF80-AI80</f>
        <v/>
      </c>
      <c r="AK80" s="159">
        <f>IF(ABS(AJ80)&gt;$D$7,"untested population above materiality","untested population below materiality")</f>
        <v/>
      </c>
      <c r="AM80" s="156">
        <f>$BG$80</f>
        <v/>
      </c>
      <c r="AN80" s="158">
        <f>AJ80-AM80</f>
        <v/>
      </c>
      <c r="AO80" s="159">
        <f>IF(ABS(AN80)&gt;$D$7,"untested population above materiality","untested population below materiality")</f>
        <v/>
      </c>
      <c r="AQ80" s="160">
        <f>IF(AO80="untested population above materiality","scope in more components or perform a stand-back assessment","ok")</f>
        <v/>
      </c>
      <c r="AY80">
        <f>IF(L10="full scope",I80,0)+IF(Q10="full scope",N80,0)+IF(V10="full scope",S80,0)+IF(AA10="full scope",X80,0)</f>
        <v/>
      </c>
      <c r="BC80">
        <f>IF(L80="in scope",I80,0)+IF(Q80="in scope",N80,0)+IF(V80="in scope",S80,0)+IF(AA80="in scope",X80,0)</f>
        <v/>
      </c>
      <c r="BG80">
        <f>IF(M80="in scope",I80,0)+IF(R80="in scope",N80,0)+IF(W80="in scope",S80,0)+IF(AB80="in scope",X80,0)</f>
        <v/>
      </c>
    </row>
    <row r="81">
      <c r="B81" s="547" t="n"/>
      <c r="C81" s="334" t="n"/>
      <c r="D81" s="222" t="n"/>
      <c r="E81" s="333" t="n">
        <v>0</v>
      </c>
      <c r="F81" s="156">
        <f>$I$81+$N$81+$S$81+$X$81</f>
        <v/>
      </c>
      <c r="G81" s="157">
        <f>E81-F81</f>
        <v/>
      </c>
      <c r="I81" s="337" t="n">
        <v>0</v>
      </c>
      <c r="J81" s="154">
        <f>IF(ABS(I81)&gt;$D$7,"above","below")</f>
        <v/>
      </c>
      <c r="K81" s="155">
        <f>IF('Template identifying components'!$P$18="key component","Key component",IF($J$81="above","Material component","n/a"))</f>
        <v/>
      </c>
      <c r="L81" s="199" t="inlineStr">
        <is>
          <t>n/a</t>
        </is>
      </c>
      <c r="M81" s="275" t="inlineStr">
        <is>
          <t>n/a</t>
        </is>
      </c>
      <c r="N81" s="337" t="n">
        <v>0</v>
      </c>
      <c r="O81" s="154">
        <f>IF(ABS(N81)&gt;$D$7,"above","below")</f>
        <v/>
      </c>
      <c r="P81" s="155">
        <f>IF('Template identifying components'!$P$19="key component","Key component",IF($O$81="above","Material component","n/a"))</f>
        <v/>
      </c>
      <c r="Q81" s="199" t="inlineStr">
        <is>
          <t>n/a</t>
        </is>
      </c>
      <c r="R81" s="275" t="inlineStr">
        <is>
          <t>n/a</t>
        </is>
      </c>
      <c r="S81" s="337" t="n">
        <v>0</v>
      </c>
      <c r="T81" s="154">
        <f>IF(ABS(S81)&gt;$D$7,"above","below")</f>
        <v/>
      </c>
      <c r="U81" s="155">
        <f>IF('Template identifying components'!$P$20="key component","Key component",IF($T$81="above","Material component","n/a"))</f>
        <v/>
      </c>
      <c r="V81" s="199" t="inlineStr">
        <is>
          <t>n/a</t>
        </is>
      </c>
      <c r="W81" s="275" t="inlineStr">
        <is>
          <t>n/a</t>
        </is>
      </c>
      <c r="X81" s="337" t="n">
        <v>0</v>
      </c>
      <c r="Y81" s="154">
        <f>IF(ABS(X81)&gt;$D$7,"above","below")</f>
        <v/>
      </c>
      <c r="Z81" s="155">
        <f>IF('Template identifying components'!$P$21="key component","Key component",IF($Y$81="above","Material component","n/a"))</f>
        <v/>
      </c>
      <c r="AA81" s="199" t="inlineStr">
        <is>
          <t>n/a</t>
        </is>
      </c>
      <c r="AB81" s="275" t="inlineStr">
        <is>
          <t>n/a</t>
        </is>
      </c>
      <c r="AE81" s="156">
        <f>$AY$81</f>
        <v/>
      </c>
      <c r="AF81" s="158">
        <f>E81-AE81</f>
        <v/>
      </c>
      <c r="AG81" s="159">
        <f>IF(ABS(AF81)&gt;$D$7,"untested population above materiality","untested population below materiality")</f>
        <v/>
      </c>
      <c r="AI81" s="156">
        <f>$BC$81</f>
        <v/>
      </c>
      <c r="AJ81" s="158">
        <f>AF81-AI81</f>
        <v/>
      </c>
      <c r="AK81" s="159">
        <f>IF(ABS(AJ81)&gt;$D$7,"untested population above materiality","untested population below materiality")</f>
        <v/>
      </c>
      <c r="AM81" s="156">
        <f>$BG$81</f>
        <v/>
      </c>
      <c r="AN81" s="158">
        <f>AJ81-AM81</f>
        <v/>
      </c>
      <c r="AO81" s="159">
        <f>IF(ABS(AN81)&gt;$D$7,"untested population above materiality","untested population below materiality")</f>
        <v/>
      </c>
      <c r="AQ81" s="160">
        <f>IF(AO81="untested population above materiality","scope in more components or perform a stand-back assessment","ok")</f>
        <v/>
      </c>
      <c r="AY81">
        <f>IF(L10="full scope",I81,0)+IF(Q10="full scope",N81,0)+IF(V10="full scope",S81,0)+IF(AA10="full scope",X81,0)</f>
        <v/>
      </c>
      <c r="BC81">
        <f>IF(L81="in scope",I81,0)+IF(Q81="in scope",N81,0)+IF(V81="in scope",S81,0)+IF(AA81="in scope",X81,0)</f>
        <v/>
      </c>
      <c r="BG81">
        <f>IF(M81="in scope",I81,0)+IF(R81="in scope",N81,0)+IF(W81="in scope",S81,0)+IF(AB81="in scope",X81,0)</f>
        <v/>
      </c>
    </row>
    <row r="82">
      <c r="B82" s="547" t="n"/>
      <c r="C82" s="334" t="n"/>
      <c r="D82" s="222" t="n"/>
      <c r="E82" s="333" t="n">
        <v>0</v>
      </c>
      <c r="F82" s="156">
        <f>$I$82+$N$82+$S$82+$X$82</f>
        <v/>
      </c>
      <c r="G82" s="157">
        <f>E82-F82</f>
        <v/>
      </c>
      <c r="I82" s="337" t="n">
        <v>0</v>
      </c>
      <c r="J82" s="154">
        <f>IF(ABS(I82)&gt;$D$7,"above","below")</f>
        <v/>
      </c>
      <c r="K82" s="155">
        <f>IF('Template identifying components'!$P$18="key component","Key component",IF($J$82="above","Material component","n/a"))</f>
        <v/>
      </c>
      <c r="L82" s="199" t="inlineStr">
        <is>
          <t>n/a</t>
        </is>
      </c>
      <c r="M82" s="275" t="inlineStr">
        <is>
          <t>n/a</t>
        </is>
      </c>
      <c r="N82" s="337" t="n">
        <v>0</v>
      </c>
      <c r="O82" s="154">
        <f>IF(ABS(N82)&gt;$D$7,"above","below")</f>
        <v/>
      </c>
      <c r="P82" s="155">
        <f>IF('Template identifying components'!$P$19="key component","Key component",IF($O$82="above","Material component","n/a"))</f>
        <v/>
      </c>
      <c r="Q82" s="199" t="inlineStr">
        <is>
          <t>n/a</t>
        </is>
      </c>
      <c r="R82" s="275" t="inlineStr">
        <is>
          <t>n/a</t>
        </is>
      </c>
      <c r="S82" s="337" t="n">
        <v>0</v>
      </c>
      <c r="T82" s="154">
        <f>IF(ABS(S82)&gt;$D$7,"above","below")</f>
        <v/>
      </c>
      <c r="U82" s="155">
        <f>IF('Template identifying components'!$P$20="key component","Key component",IF($T$82="above","Material component","n/a"))</f>
        <v/>
      </c>
      <c r="V82" s="199" t="inlineStr">
        <is>
          <t>n/a</t>
        </is>
      </c>
      <c r="W82" s="275" t="inlineStr">
        <is>
          <t>n/a</t>
        </is>
      </c>
      <c r="X82" s="337" t="n">
        <v>0</v>
      </c>
      <c r="Y82" s="154">
        <f>IF(ABS(X82)&gt;$D$7,"above","below")</f>
        <v/>
      </c>
      <c r="Z82" s="155">
        <f>IF('Template identifying components'!$P$21="key component","Key component",IF($Y$82="above","Material component","n/a"))</f>
        <v/>
      </c>
      <c r="AA82" s="199" t="inlineStr">
        <is>
          <t>n/a</t>
        </is>
      </c>
      <c r="AB82" s="275" t="inlineStr">
        <is>
          <t>n/a</t>
        </is>
      </c>
      <c r="AE82" s="156">
        <f>$AY$82</f>
        <v/>
      </c>
      <c r="AF82" s="158">
        <f>E82-AE82</f>
        <v/>
      </c>
      <c r="AG82" s="159">
        <f>IF(ABS(AF82)&gt;$D$7,"untested population above materiality","untested population below materiality")</f>
        <v/>
      </c>
      <c r="AI82" s="156">
        <f>$BC$82</f>
        <v/>
      </c>
      <c r="AJ82" s="158">
        <f>AF82-AI82</f>
        <v/>
      </c>
      <c r="AK82" s="159">
        <f>IF(ABS(AJ82)&gt;$D$7,"untested population above materiality","untested population below materiality")</f>
        <v/>
      </c>
      <c r="AM82" s="156">
        <f>$BG$82</f>
        <v/>
      </c>
      <c r="AN82" s="158">
        <f>AJ82-AM82</f>
        <v/>
      </c>
      <c r="AO82" s="159">
        <f>IF(ABS(AN82)&gt;$D$7,"untested population above materiality","untested population below materiality")</f>
        <v/>
      </c>
      <c r="AQ82" s="160">
        <f>IF(AO82="untested population above materiality","scope in more components or perform a stand-back assessment","ok")</f>
        <v/>
      </c>
      <c r="AY82">
        <f>IF(L10="full scope",I82,0)+IF(Q10="full scope",N82,0)+IF(V10="full scope",S82,0)+IF(AA10="full scope",X82,0)</f>
        <v/>
      </c>
      <c r="BC82">
        <f>IF(L82="in scope",I82,0)+IF(Q82="in scope",N82,0)+IF(V82="in scope",S82,0)+IF(AA82="in scope",X82,0)</f>
        <v/>
      </c>
      <c r="BG82">
        <f>IF(M82="in scope",I82,0)+IF(R82="in scope",N82,0)+IF(W82="in scope",S82,0)+IF(AB82="in scope",X82,0)</f>
        <v/>
      </c>
    </row>
    <row r="83">
      <c r="B83" s="547" t="n"/>
      <c r="C83" s="334" t="n"/>
      <c r="D83" s="222" t="n"/>
      <c r="E83" s="333" t="n">
        <v>0</v>
      </c>
      <c r="F83" s="156">
        <f>$I$83+$N$83+$S$83+$X$83</f>
        <v/>
      </c>
      <c r="G83" s="157">
        <f>E83-F83</f>
        <v/>
      </c>
      <c r="I83" s="337" t="n">
        <v>0</v>
      </c>
      <c r="J83" s="154">
        <f>IF(ABS(I83)&gt;$D$7,"above","below")</f>
        <v/>
      </c>
      <c r="K83" s="155">
        <f>IF('Template identifying components'!$P$18="key component","Key component",IF($J$83="above","Material component","n/a"))</f>
        <v/>
      </c>
      <c r="L83" s="199" t="inlineStr">
        <is>
          <t>n/a</t>
        </is>
      </c>
      <c r="M83" s="275" t="inlineStr">
        <is>
          <t>n/a</t>
        </is>
      </c>
      <c r="N83" s="337" t="n">
        <v>0</v>
      </c>
      <c r="O83" s="154">
        <f>IF(ABS(N83)&gt;$D$7,"above","below")</f>
        <v/>
      </c>
      <c r="P83" s="155">
        <f>IF('Template identifying components'!$P$19="key component","Key component",IF($O$83="above","Material component","n/a"))</f>
        <v/>
      </c>
      <c r="Q83" s="199" t="inlineStr">
        <is>
          <t>n/a</t>
        </is>
      </c>
      <c r="R83" s="275" t="inlineStr">
        <is>
          <t>n/a</t>
        </is>
      </c>
      <c r="S83" s="337" t="n">
        <v>0</v>
      </c>
      <c r="T83" s="154">
        <f>IF(ABS(S83)&gt;$D$7,"above","below")</f>
        <v/>
      </c>
      <c r="U83" s="155">
        <f>IF('Template identifying components'!$P$20="key component","Key component",IF($T$83="above","Material component","n/a"))</f>
        <v/>
      </c>
      <c r="V83" s="199" t="inlineStr">
        <is>
          <t>n/a</t>
        </is>
      </c>
      <c r="W83" s="275" t="inlineStr">
        <is>
          <t>n/a</t>
        </is>
      </c>
      <c r="X83" s="337" t="n">
        <v>0</v>
      </c>
      <c r="Y83" s="154">
        <f>IF(ABS(X83)&gt;$D$7,"above","below")</f>
        <v/>
      </c>
      <c r="Z83" s="155">
        <f>IF('Template identifying components'!$P$21="key component","Key component",IF($Y$83="above","Material component","n/a"))</f>
        <v/>
      </c>
      <c r="AA83" s="199" t="inlineStr">
        <is>
          <t>n/a</t>
        </is>
      </c>
      <c r="AB83" s="275" t="inlineStr">
        <is>
          <t>n/a</t>
        </is>
      </c>
      <c r="AE83" s="156">
        <f>$AY$83</f>
        <v/>
      </c>
      <c r="AF83" s="158">
        <f>E83-AE83</f>
        <v/>
      </c>
      <c r="AG83" s="159">
        <f>IF(ABS(AF83)&gt;$D$7,"untested population above materiality","untested population below materiality")</f>
        <v/>
      </c>
      <c r="AI83" s="156">
        <f>$BC$83</f>
        <v/>
      </c>
      <c r="AJ83" s="158">
        <f>AF83-AI83</f>
        <v/>
      </c>
      <c r="AK83" s="159">
        <f>IF(ABS(AJ83)&gt;$D$7,"untested population above materiality","untested population below materiality")</f>
        <v/>
      </c>
      <c r="AM83" s="156">
        <f>$BG$83</f>
        <v/>
      </c>
      <c r="AN83" s="158">
        <f>AJ83-AM83</f>
        <v/>
      </c>
      <c r="AO83" s="159">
        <f>IF(ABS(AN83)&gt;$D$7,"untested population above materiality","untested population below materiality")</f>
        <v/>
      </c>
      <c r="AQ83" s="160">
        <f>IF(AO83="untested population above materiality","scope in more components or perform a stand-back assessment","ok")</f>
        <v/>
      </c>
      <c r="AY83">
        <f>IF(L10="full scope",I83,0)+IF(Q10="full scope",N83,0)+IF(V10="full scope",S83,0)+IF(AA10="full scope",X83,0)</f>
        <v/>
      </c>
      <c r="BC83">
        <f>IF(L83="in scope",I83,0)+IF(Q83="in scope",N83,0)+IF(V83="in scope",S83,0)+IF(AA83="in scope",X83,0)</f>
        <v/>
      </c>
      <c r="BG83">
        <f>IF(M83="in scope",I83,0)+IF(R83="in scope",N83,0)+IF(W83="in scope",S83,0)+IF(AB83="in scope",X83,0)</f>
        <v/>
      </c>
    </row>
    <row r="84">
      <c r="B84" s="547" t="n"/>
      <c r="C84" s="334" t="n"/>
      <c r="D84" s="222" t="n"/>
      <c r="E84" s="333" t="n">
        <v>0</v>
      </c>
      <c r="F84" s="156">
        <f>$I$84+$N$84+$S$84+$X$84</f>
        <v/>
      </c>
      <c r="G84" s="157">
        <f>E84-F84</f>
        <v/>
      </c>
      <c r="I84" s="337" t="n">
        <v>0</v>
      </c>
      <c r="J84" s="154">
        <f>IF(ABS(I84)&gt;$D$7,"above","below")</f>
        <v/>
      </c>
      <c r="K84" s="155">
        <f>IF('Template identifying components'!$P$18="key component","Key component",IF($J$84="above","Material component","n/a"))</f>
        <v/>
      </c>
      <c r="L84" s="199" t="inlineStr">
        <is>
          <t>n/a</t>
        </is>
      </c>
      <c r="M84" s="275" t="inlineStr">
        <is>
          <t>n/a</t>
        </is>
      </c>
      <c r="N84" s="337" t="n">
        <v>0</v>
      </c>
      <c r="O84" s="154">
        <f>IF(ABS(N84)&gt;$D$7,"above","below")</f>
        <v/>
      </c>
      <c r="P84" s="155">
        <f>IF('Template identifying components'!$P$19="key component","Key component",IF($O$84="above","Material component","n/a"))</f>
        <v/>
      </c>
      <c r="Q84" s="199" t="inlineStr">
        <is>
          <t>n/a</t>
        </is>
      </c>
      <c r="R84" s="275" t="inlineStr">
        <is>
          <t>n/a</t>
        </is>
      </c>
      <c r="S84" s="337" t="n">
        <v>0</v>
      </c>
      <c r="T84" s="154">
        <f>IF(ABS(S84)&gt;$D$7,"above","below")</f>
        <v/>
      </c>
      <c r="U84" s="155">
        <f>IF('Template identifying components'!$P$20="key component","Key component",IF($T$84="above","Material component","n/a"))</f>
        <v/>
      </c>
      <c r="V84" s="199" t="inlineStr">
        <is>
          <t>n/a</t>
        </is>
      </c>
      <c r="W84" s="275" t="inlineStr">
        <is>
          <t>n/a</t>
        </is>
      </c>
      <c r="X84" s="337" t="n">
        <v>0</v>
      </c>
      <c r="Y84" s="154">
        <f>IF(ABS(X84)&gt;$D$7,"above","below")</f>
        <v/>
      </c>
      <c r="Z84" s="155">
        <f>IF('Template identifying components'!$P$21="key component","Key component",IF($Y$84="above","Material component","n/a"))</f>
        <v/>
      </c>
      <c r="AA84" s="199" t="inlineStr">
        <is>
          <t>n/a</t>
        </is>
      </c>
      <c r="AB84" s="275" t="inlineStr">
        <is>
          <t>n/a</t>
        </is>
      </c>
      <c r="AE84" s="156">
        <f>$AY$84</f>
        <v/>
      </c>
      <c r="AF84" s="158">
        <f>E84-AE84</f>
        <v/>
      </c>
      <c r="AG84" s="159">
        <f>IF(ABS(AF84)&gt;$D$7,"untested population above materiality","untested population below materiality")</f>
        <v/>
      </c>
      <c r="AI84" s="156">
        <f>$BC$84</f>
        <v/>
      </c>
      <c r="AJ84" s="158">
        <f>AF84-AI84</f>
        <v/>
      </c>
      <c r="AK84" s="159">
        <f>IF(ABS(AJ84)&gt;$D$7,"untested population above materiality","untested population below materiality")</f>
        <v/>
      </c>
      <c r="AM84" s="156">
        <f>$BG$84</f>
        <v/>
      </c>
      <c r="AN84" s="158">
        <f>AJ84-AM84</f>
        <v/>
      </c>
      <c r="AO84" s="159">
        <f>IF(ABS(AN84)&gt;$D$7,"untested population above materiality","untested population below materiality")</f>
        <v/>
      </c>
      <c r="AQ84" s="160">
        <f>IF(AO84="untested population above materiality","scope in more components or perform a stand-back assessment","ok")</f>
        <v/>
      </c>
      <c r="AY84">
        <f>IF(L10="full scope",I84,0)+IF(Q10="full scope",N84,0)+IF(V10="full scope",S84,0)+IF(AA10="full scope",X84,0)</f>
        <v/>
      </c>
      <c r="BC84">
        <f>IF(L84="in scope",I84,0)+IF(Q84="in scope",N84,0)+IF(V84="in scope",S84,0)+IF(AA84="in scope",X84,0)</f>
        <v/>
      </c>
      <c r="BG84">
        <f>IF(M84="in scope",I84,0)+IF(R84="in scope",N84,0)+IF(W84="in scope",S84,0)+IF(AB84="in scope",X84,0)</f>
        <v/>
      </c>
    </row>
    <row r="85">
      <c r="B85" s="547" t="n"/>
      <c r="C85" s="334" t="n"/>
      <c r="D85" s="222" t="n"/>
      <c r="E85" s="333" t="n">
        <v>0</v>
      </c>
      <c r="F85" s="156">
        <f>$I$85+$N$85+$S$85+$X$85</f>
        <v/>
      </c>
      <c r="G85" s="157">
        <f>E85-F85</f>
        <v/>
      </c>
      <c r="I85" s="337" t="n">
        <v>0</v>
      </c>
      <c r="J85" s="154">
        <f>IF(ABS(I85)&gt;$D$7,"above","below")</f>
        <v/>
      </c>
      <c r="K85" s="155">
        <f>IF('Template identifying components'!$P$18="key component","Key component",IF($J$85="above","Material component","n/a"))</f>
        <v/>
      </c>
      <c r="L85" s="199" t="inlineStr">
        <is>
          <t>n/a</t>
        </is>
      </c>
      <c r="M85" s="275" t="inlineStr">
        <is>
          <t>n/a</t>
        </is>
      </c>
      <c r="N85" s="337" t="n">
        <v>0</v>
      </c>
      <c r="O85" s="154">
        <f>IF(ABS(N85)&gt;$D$7,"above","below")</f>
        <v/>
      </c>
      <c r="P85" s="155">
        <f>IF('Template identifying components'!$P$19="key component","Key component",IF($O$85="above","Material component","n/a"))</f>
        <v/>
      </c>
      <c r="Q85" s="199" t="inlineStr">
        <is>
          <t>n/a</t>
        </is>
      </c>
      <c r="R85" s="275" t="inlineStr">
        <is>
          <t>n/a</t>
        </is>
      </c>
      <c r="S85" s="337" t="n">
        <v>0</v>
      </c>
      <c r="T85" s="154">
        <f>IF(ABS(S85)&gt;$D$7,"above","below")</f>
        <v/>
      </c>
      <c r="U85" s="155">
        <f>IF('Template identifying components'!$P$20="key component","Key component",IF($T$85="above","Material component","n/a"))</f>
        <v/>
      </c>
      <c r="V85" s="199" t="inlineStr">
        <is>
          <t>n/a</t>
        </is>
      </c>
      <c r="W85" s="275" t="inlineStr">
        <is>
          <t>n/a</t>
        </is>
      </c>
      <c r="X85" s="337" t="n">
        <v>0</v>
      </c>
      <c r="Y85" s="154">
        <f>IF(ABS(X85)&gt;$D$7,"above","below")</f>
        <v/>
      </c>
      <c r="Z85" s="155">
        <f>IF('Template identifying components'!$P$21="key component","Key component",IF($Y$85="above","Material component","n/a"))</f>
        <v/>
      </c>
      <c r="AA85" s="199" t="inlineStr">
        <is>
          <t>n/a</t>
        </is>
      </c>
      <c r="AB85" s="275" t="inlineStr">
        <is>
          <t>n/a</t>
        </is>
      </c>
      <c r="AE85" s="156">
        <f>$AY$85</f>
        <v/>
      </c>
      <c r="AF85" s="158">
        <f>E85-AE85</f>
        <v/>
      </c>
      <c r="AG85" s="159">
        <f>IF(ABS(AF85)&gt;$D$7,"untested population above materiality","untested population below materiality")</f>
        <v/>
      </c>
      <c r="AI85" s="156">
        <f>$BC$85</f>
        <v/>
      </c>
      <c r="AJ85" s="158">
        <f>AF85-AI85</f>
        <v/>
      </c>
      <c r="AK85" s="159">
        <f>IF(ABS(AJ85)&gt;$D$7,"untested population above materiality","untested population below materiality")</f>
        <v/>
      </c>
      <c r="AM85" s="156">
        <f>$BG$85</f>
        <v/>
      </c>
      <c r="AN85" s="158">
        <f>AJ85-AM85</f>
        <v/>
      </c>
      <c r="AO85" s="159">
        <f>IF(ABS(AN85)&gt;$D$7,"untested population above materiality","untested population below materiality")</f>
        <v/>
      </c>
      <c r="AQ85" s="160">
        <f>IF(AO85="untested population above materiality","scope in more components or perform a stand-back assessment","ok")</f>
        <v/>
      </c>
      <c r="AY85">
        <f>IF(L10="full scope",I85,0)+IF(Q10="full scope",N85,0)+IF(V10="full scope",S85,0)+IF(AA10="full scope",X85,0)</f>
        <v/>
      </c>
      <c r="BC85">
        <f>IF(L85="in scope",I85,0)+IF(Q85="in scope",N85,0)+IF(V85="in scope",S85,0)+IF(AA85="in scope",X85,0)</f>
        <v/>
      </c>
      <c r="BG85">
        <f>IF(M85="in scope",I85,0)+IF(R85="in scope",N85,0)+IF(W85="in scope",S85,0)+IF(AB85="in scope",X85,0)</f>
        <v/>
      </c>
    </row>
    <row r="86">
      <c r="B86" s="547" t="n"/>
      <c r="C86" s="334" t="n"/>
      <c r="D86" s="222" t="n"/>
      <c r="E86" s="333" t="n">
        <v>0</v>
      </c>
      <c r="F86" s="156">
        <f>$I$86+$N$86+$S$86+$X$86</f>
        <v/>
      </c>
      <c r="G86" s="157">
        <f>E86-F86</f>
        <v/>
      </c>
      <c r="I86" s="337" t="n">
        <v>0</v>
      </c>
      <c r="J86" s="154">
        <f>IF(ABS(I86)&gt;$D$7,"above","below")</f>
        <v/>
      </c>
      <c r="K86" s="155">
        <f>IF('Template identifying components'!$P$18="key component","Key component",IF($J$86="above","Material component","n/a"))</f>
        <v/>
      </c>
      <c r="L86" s="199" t="inlineStr">
        <is>
          <t>n/a</t>
        </is>
      </c>
      <c r="M86" s="275" t="inlineStr">
        <is>
          <t>n/a</t>
        </is>
      </c>
      <c r="N86" s="337" t="n">
        <v>0</v>
      </c>
      <c r="O86" s="154">
        <f>IF(ABS(N86)&gt;$D$7,"above","below")</f>
        <v/>
      </c>
      <c r="P86" s="155">
        <f>IF('Template identifying components'!$P$19="key component","Key component",IF($O$86="above","Material component","n/a"))</f>
        <v/>
      </c>
      <c r="Q86" s="199" t="inlineStr">
        <is>
          <t>n/a</t>
        </is>
      </c>
      <c r="R86" s="275" t="inlineStr">
        <is>
          <t>n/a</t>
        </is>
      </c>
      <c r="S86" s="337" t="n">
        <v>0</v>
      </c>
      <c r="T86" s="154">
        <f>IF(ABS(S86)&gt;$D$7,"above","below")</f>
        <v/>
      </c>
      <c r="U86" s="155">
        <f>IF('Template identifying components'!$P$20="key component","Key component",IF($T$86="above","Material component","n/a"))</f>
        <v/>
      </c>
      <c r="V86" s="199" t="inlineStr">
        <is>
          <t>n/a</t>
        </is>
      </c>
      <c r="W86" s="275" t="inlineStr">
        <is>
          <t>n/a</t>
        </is>
      </c>
      <c r="X86" s="337" t="n">
        <v>0</v>
      </c>
      <c r="Y86" s="154">
        <f>IF(ABS(X86)&gt;$D$7,"above","below")</f>
        <v/>
      </c>
      <c r="Z86" s="155">
        <f>IF('Template identifying components'!$P$21="key component","Key component",IF($Y$86="above","Material component","n/a"))</f>
        <v/>
      </c>
      <c r="AA86" s="199" t="inlineStr">
        <is>
          <t>n/a</t>
        </is>
      </c>
      <c r="AB86" s="275" t="inlineStr">
        <is>
          <t>n/a</t>
        </is>
      </c>
      <c r="AE86" s="156">
        <f>$AY$86</f>
        <v/>
      </c>
      <c r="AF86" s="158">
        <f>E86-AE86</f>
        <v/>
      </c>
      <c r="AG86" s="159">
        <f>IF(ABS(AF86)&gt;$D$7,"untested population above materiality","untested population below materiality")</f>
        <v/>
      </c>
      <c r="AI86" s="156">
        <f>$BC$86</f>
        <v/>
      </c>
      <c r="AJ86" s="158">
        <f>AF86-AI86</f>
        <v/>
      </c>
      <c r="AK86" s="159">
        <f>IF(ABS(AJ86)&gt;$D$7,"untested population above materiality","untested population below materiality")</f>
        <v/>
      </c>
      <c r="AM86" s="156">
        <f>$BG$86</f>
        <v/>
      </c>
      <c r="AN86" s="158">
        <f>AJ86-AM86</f>
        <v/>
      </c>
      <c r="AO86" s="159">
        <f>IF(ABS(AN86)&gt;$D$7,"untested population above materiality","untested population below materiality")</f>
        <v/>
      </c>
      <c r="AQ86" s="160">
        <f>IF(AO86="untested population above materiality","scope in more components or perform a stand-back assessment","ok")</f>
        <v/>
      </c>
      <c r="AY86">
        <f>IF(L10="full scope",I86,0)+IF(Q10="full scope",N86,0)+IF(V10="full scope",S86,0)+IF(AA10="full scope",X86,0)</f>
        <v/>
      </c>
      <c r="BC86">
        <f>IF(L86="in scope",I86,0)+IF(Q86="in scope",N86,0)+IF(V86="in scope",S86,0)+IF(AA86="in scope",X86,0)</f>
        <v/>
      </c>
      <c r="BG86">
        <f>IF(M86="in scope",I86,0)+IF(R86="in scope",N86,0)+IF(W86="in scope",S86,0)+IF(AB86="in scope",X86,0)</f>
        <v/>
      </c>
    </row>
    <row r="87">
      <c r="B87" s="547" t="n"/>
      <c r="C87" s="334" t="n"/>
      <c r="D87" s="222" t="n"/>
      <c r="E87" s="333" t="n">
        <v>0</v>
      </c>
      <c r="F87" s="156">
        <f>$I$87+$N$87+$S$87+$X$87</f>
        <v/>
      </c>
      <c r="G87" s="157">
        <f>E87-F87</f>
        <v/>
      </c>
      <c r="I87" s="337" t="n">
        <v>0</v>
      </c>
      <c r="J87" s="154">
        <f>IF(ABS(I87)&gt;$D$7,"above","below")</f>
        <v/>
      </c>
      <c r="K87" s="155">
        <f>IF('Template identifying components'!$P$18="key component","Key component",IF($J$87="above","Material component","n/a"))</f>
        <v/>
      </c>
      <c r="L87" s="199" t="inlineStr">
        <is>
          <t>n/a</t>
        </is>
      </c>
      <c r="M87" s="275" t="inlineStr">
        <is>
          <t>n/a</t>
        </is>
      </c>
      <c r="N87" s="337" t="n">
        <v>0</v>
      </c>
      <c r="O87" s="154">
        <f>IF(ABS(N87)&gt;$D$7,"above","below")</f>
        <v/>
      </c>
      <c r="P87" s="155">
        <f>IF('Template identifying components'!$P$19="key component","Key component",IF($O$87="above","Material component","n/a"))</f>
        <v/>
      </c>
      <c r="Q87" s="199" t="inlineStr">
        <is>
          <t>n/a</t>
        </is>
      </c>
      <c r="R87" s="275" t="inlineStr">
        <is>
          <t>n/a</t>
        </is>
      </c>
      <c r="S87" s="337" t="n">
        <v>0</v>
      </c>
      <c r="T87" s="154">
        <f>IF(ABS(S87)&gt;$D$7,"above","below")</f>
        <v/>
      </c>
      <c r="U87" s="155">
        <f>IF('Template identifying components'!$P$20="key component","Key component",IF($T$87="above","Material component","n/a"))</f>
        <v/>
      </c>
      <c r="V87" s="199" t="inlineStr">
        <is>
          <t>n/a</t>
        </is>
      </c>
      <c r="W87" s="275" t="inlineStr">
        <is>
          <t>n/a</t>
        </is>
      </c>
      <c r="X87" s="337" t="n">
        <v>0</v>
      </c>
      <c r="Y87" s="154">
        <f>IF(ABS(X87)&gt;$D$7,"above","below")</f>
        <v/>
      </c>
      <c r="Z87" s="155">
        <f>IF('Template identifying components'!$P$21="key component","Key component",IF($Y$87="above","Material component","n/a"))</f>
        <v/>
      </c>
      <c r="AA87" s="199" t="inlineStr">
        <is>
          <t>n/a</t>
        </is>
      </c>
      <c r="AB87" s="275" t="inlineStr">
        <is>
          <t>n/a</t>
        </is>
      </c>
      <c r="AE87" s="156">
        <f>$AY$87</f>
        <v/>
      </c>
      <c r="AF87" s="158">
        <f>E87-AE87</f>
        <v/>
      </c>
      <c r="AG87" s="159">
        <f>IF(ABS(AF87)&gt;$D$7,"untested population above materiality","untested population below materiality")</f>
        <v/>
      </c>
      <c r="AI87" s="156">
        <f>$BC$87</f>
        <v/>
      </c>
      <c r="AJ87" s="158">
        <f>AF87-AI87</f>
        <v/>
      </c>
      <c r="AK87" s="159">
        <f>IF(ABS(AJ87)&gt;$D$7,"untested population above materiality","untested population below materiality")</f>
        <v/>
      </c>
      <c r="AM87" s="156">
        <f>$BG$87</f>
        <v/>
      </c>
      <c r="AN87" s="158">
        <f>AJ87-AM87</f>
        <v/>
      </c>
      <c r="AO87" s="159">
        <f>IF(ABS(AN87)&gt;$D$7,"untested population above materiality","untested population below materiality")</f>
        <v/>
      </c>
      <c r="AQ87" s="160">
        <f>IF(AO87="untested population above materiality","scope in more components or perform a stand-back assessment","ok")</f>
        <v/>
      </c>
      <c r="AY87">
        <f>IF(L10="full scope",I87,0)+IF(Q10="full scope",N87,0)+IF(V10="full scope",S87,0)+IF(AA10="full scope",X87,0)</f>
        <v/>
      </c>
      <c r="BC87">
        <f>IF(L87="in scope",I87,0)+IF(Q87="in scope",N87,0)+IF(V87="in scope",S87,0)+IF(AA87="in scope",X87,0)</f>
        <v/>
      </c>
      <c r="BG87">
        <f>IF(M87="in scope",I87,0)+IF(R87="in scope",N87,0)+IF(W87="in scope",S87,0)+IF(AB87="in scope",X87,0)</f>
        <v/>
      </c>
    </row>
    <row r="88">
      <c r="B88" s="547" t="n"/>
      <c r="C88" s="334" t="n"/>
      <c r="D88" s="222" t="n"/>
      <c r="E88" s="333" t="n">
        <v>0</v>
      </c>
      <c r="F88" s="156">
        <f>$I$88+$N$88+$S$88+$X$88</f>
        <v/>
      </c>
      <c r="G88" s="157">
        <f>E88-F88</f>
        <v/>
      </c>
      <c r="I88" s="337" t="n">
        <v>0</v>
      </c>
      <c r="J88" s="154">
        <f>IF(ABS(I88)&gt;$D$7,"above","below")</f>
        <v/>
      </c>
      <c r="K88" s="155">
        <f>IF('Template identifying components'!$P$18="key component","Key component",IF($J$88="above","Material component","n/a"))</f>
        <v/>
      </c>
      <c r="L88" s="199" t="inlineStr">
        <is>
          <t>n/a</t>
        </is>
      </c>
      <c r="M88" s="275" t="inlineStr">
        <is>
          <t>n/a</t>
        </is>
      </c>
      <c r="N88" s="337" t="n">
        <v>0</v>
      </c>
      <c r="O88" s="154">
        <f>IF(ABS(N88)&gt;$D$7,"above","below")</f>
        <v/>
      </c>
      <c r="P88" s="155">
        <f>IF('Template identifying components'!$P$19="key component","Key component",IF($O$88="above","Material component","n/a"))</f>
        <v/>
      </c>
      <c r="Q88" s="199" t="inlineStr">
        <is>
          <t>n/a</t>
        </is>
      </c>
      <c r="R88" s="275" t="inlineStr">
        <is>
          <t>n/a</t>
        </is>
      </c>
      <c r="S88" s="337" t="n">
        <v>0</v>
      </c>
      <c r="T88" s="154">
        <f>IF(ABS(S88)&gt;$D$7,"above","below")</f>
        <v/>
      </c>
      <c r="U88" s="155">
        <f>IF('Template identifying components'!$P$20="key component","Key component",IF($T$88="above","Material component","n/a"))</f>
        <v/>
      </c>
      <c r="V88" s="199" t="inlineStr">
        <is>
          <t>n/a</t>
        </is>
      </c>
      <c r="W88" s="275" t="inlineStr">
        <is>
          <t>n/a</t>
        </is>
      </c>
      <c r="X88" s="337" t="n">
        <v>0</v>
      </c>
      <c r="Y88" s="154">
        <f>IF(ABS(X88)&gt;$D$7,"above","below")</f>
        <v/>
      </c>
      <c r="Z88" s="155">
        <f>IF('Template identifying components'!$P$21="key component","Key component",IF($Y$88="above","Material component","n/a"))</f>
        <v/>
      </c>
      <c r="AA88" s="199" t="inlineStr">
        <is>
          <t>n/a</t>
        </is>
      </c>
      <c r="AB88" s="275" t="inlineStr">
        <is>
          <t>n/a</t>
        </is>
      </c>
      <c r="AE88" s="156">
        <f>$AY$88</f>
        <v/>
      </c>
      <c r="AF88" s="158">
        <f>E88-AE88</f>
        <v/>
      </c>
      <c r="AG88" s="159">
        <f>IF(ABS(AF88)&gt;$D$7,"untested population above materiality","untested population below materiality")</f>
        <v/>
      </c>
      <c r="AI88" s="156">
        <f>$BC$88</f>
        <v/>
      </c>
      <c r="AJ88" s="158">
        <f>AF88-AI88</f>
        <v/>
      </c>
      <c r="AK88" s="159">
        <f>IF(ABS(AJ88)&gt;$D$7,"untested population above materiality","untested population below materiality")</f>
        <v/>
      </c>
      <c r="AM88" s="156">
        <f>$BG$88</f>
        <v/>
      </c>
      <c r="AN88" s="158">
        <f>AJ88-AM88</f>
        <v/>
      </c>
      <c r="AO88" s="159">
        <f>IF(ABS(AN88)&gt;$D$7,"untested population above materiality","untested population below materiality")</f>
        <v/>
      </c>
      <c r="AQ88" s="160">
        <f>IF(AO88="untested population above materiality","scope in more components or perform a stand-back assessment","ok")</f>
        <v/>
      </c>
      <c r="AY88">
        <f>IF(L10="full scope",I88,0)+IF(Q10="full scope",N88,0)+IF(V10="full scope",S88,0)+IF(AA10="full scope",X88,0)</f>
        <v/>
      </c>
      <c r="BC88">
        <f>IF(L88="in scope",I88,0)+IF(Q88="in scope",N88,0)+IF(V88="in scope",S88,0)+IF(AA88="in scope",X88,0)</f>
        <v/>
      </c>
      <c r="BG88">
        <f>IF(M88="in scope",I88,0)+IF(R88="in scope",N88,0)+IF(W88="in scope",S88,0)+IF(AB88="in scope",X88,0)</f>
        <v/>
      </c>
    </row>
    <row r="89">
      <c r="B89" s="547" t="n"/>
      <c r="C89" s="334" t="n"/>
      <c r="D89" s="222" t="n"/>
      <c r="E89" s="333" t="n">
        <v>0</v>
      </c>
      <c r="F89" s="156">
        <f>$I$89+$N$89+$S$89+$X$89</f>
        <v/>
      </c>
      <c r="G89" s="157">
        <f>E89-F89</f>
        <v/>
      </c>
      <c r="I89" s="337" t="n">
        <v>0</v>
      </c>
      <c r="J89" s="154">
        <f>IF(ABS(I89)&gt;$D$7,"above","below")</f>
        <v/>
      </c>
      <c r="K89" s="155">
        <f>IF('Template identifying components'!$P$18="key component","Key component",IF($J$89="above","Material component","n/a"))</f>
        <v/>
      </c>
      <c r="L89" s="199" t="inlineStr">
        <is>
          <t>n/a</t>
        </is>
      </c>
      <c r="M89" s="275" t="inlineStr">
        <is>
          <t>n/a</t>
        </is>
      </c>
      <c r="N89" s="337" t="n">
        <v>0</v>
      </c>
      <c r="O89" s="154">
        <f>IF(ABS(N89)&gt;$D$7,"above","below")</f>
        <v/>
      </c>
      <c r="P89" s="155">
        <f>IF('Template identifying components'!$P$19="key component","Key component",IF($O$89="above","Material component","n/a"))</f>
        <v/>
      </c>
      <c r="Q89" s="199" t="inlineStr">
        <is>
          <t>n/a</t>
        </is>
      </c>
      <c r="R89" s="275" t="inlineStr">
        <is>
          <t>n/a</t>
        </is>
      </c>
      <c r="S89" s="337" t="n">
        <v>0</v>
      </c>
      <c r="T89" s="154">
        <f>IF(ABS(S89)&gt;$D$7,"above","below")</f>
        <v/>
      </c>
      <c r="U89" s="155">
        <f>IF('Template identifying components'!$P$20="key component","Key component",IF($T$89="above","Material component","n/a"))</f>
        <v/>
      </c>
      <c r="V89" s="199" t="inlineStr">
        <is>
          <t>n/a</t>
        </is>
      </c>
      <c r="W89" s="275" t="inlineStr">
        <is>
          <t>n/a</t>
        </is>
      </c>
      <c r="X89" s="337" t="n">
        <v>0</v>
      </c>
      <c r="Y89" s="154">
        <f>IF(ABS(X89)&gt;$D$7,"above","below")</f>
        <v/>
      </c>
      <c r="Z89" s="155">
        <f>IF('Template identifying components'!$P$21="key component","Key component",IF($Y$89="above","Material component","n/a"))</f>
        <v/>
      </c>
      <c r="AA89" s="199" t="inlineStr">
        <is>
          <t>n/a</t>
        </is>
      </c>
      <c r="AB89" s="275" t="inlineStr">
        <is>
          <t>n/a</t>
        </is>
      </c>
      <c r="AE89" s="156">
        <f>$AY$89</f>
        <v/>
      </c>
      <c r="AF89" s="158">
        <f>E89-AE89</f>
        <v/>
      </c>
      <c r="AG89" s="159">
        <f>IF(ABS(AF89)&gt;$D$7,"untested population above materiality","untested population below materiality")</f>
        <v/>
      </c>
      <c r="AI89" s="156">
        <f>$BC$89</f>
        <v/>
      </c>
      <c r="AJ89" s="158">
        <f>AF89-AI89</f>
        <v/>
      </c>
      <c r="AK89" s="159">
        <f>IF(ABS(AJ89)&gt;$D$7,"untested population above materiality","untested population below materiality")</f>
        <v/>
      </c>
      <c r="AM89" s="156">
        <f>$BG$89</f>
        <v/>
      </c>
      <c r="AN89" s="158">
        <f>AJ89-AM89</f>
        <v/>
      </c>
      <c r="AO89" s="159">
        <f>IF(ABS(AN89)&gt;$D$7,"untested population above materiality","untested population below materiality")</f>
        <v/>
      </c>
      <c r="AQ89" s="160">
        <f>IF(AO89="untested population above materiality","scope in more components or perform a stand-back assessment","ok")</f>
        <v/>
      </c>
      <c r="AY89">
        <f>IF(L10="full scope",I89,0)+IF(Q10="full scope",N89,0)+IF(V10="full scope",S89,0)+IF(AA10="full scope",X89,0)</f>
        <v/>
      </c>
      <c r="BC89">
        <f>IF(L89="in scope",I89,0)+IF(Q89="in scope",N89,0)+IF(V89="in scope",S89,0)+IF(AA89="in scope",X89,0)</f>
        <v/>
      </c>
      <c r="BG89">
        <f>IF(M89="in scope",I89,0)+IF(R89="in scope",N89,0)+IF(W89="in scope",S89,0)+IF(AB89="in scope",X89,0)</f>
        <v/>
      </c>
    </row>
    <row r="90">
      <c r="B90" s="547" t="n"/>
      <c r="C90" s="334" t="n"/>
      <c r="D90" s="222" t="n"/>
      <c r="E90" s="333" t="n">
        <v>0</v>
      </c>
      <c r="F90" s="156">
        <f>$I$90+$N$90+$S$90+$X$90</f>
        <v/>
      </c>
      <c r="G90" s="157">
        <f>E90-F90</f>
        <v/>
      </c>
      <c r="I90" s="337" t="n">
        <v>0</v>
      </c>
      <c r="J90" s="154">
        <f>IF(ABS(I90)&gt;$D$7,"above","below")</f>
        <v/>
      </c>
      <c r="K90" s="155">
        <f>IF('Template identifying components'!$P$18="key component","Key component",IF($J$90="above","Material component","n/a"))</f>
        <v/>
      </c>
      <c r="L90" s="199" t="inlineStr">
        <is>
          <t>n/a</t>
        </is>
      </c>
      <c r="M90" s="275" t="inlineStr">
        <is>
          <t>n/a</t>
        </is>
      </c>
      <c r="N90" s="337" t="n">
        <v>0</v>
      </c>
      <c r="O90" s="154">
        <f>IF(ABS(N90)&gt;$D$7,"above","below")</f>
        <v/>
      </c>
      <c r="P90" s="155">
        <f>IF('Template identifying components'!$P$19="key component","Key component",IF($O$90="above","Material component","n/a"))</f>
        <v/>
      </c>
      <c r="Q90" s="199" t="inlineStr">
        <is>
          <t>n/a</t>
        </is>
      </c>
      <c r="R90" s="275" t="inlineStr">
        <is>
          <t>n/a</t>
        </is>
      </c>
      <c r="S90" s="337" t="n">
        <v>0</v>
      </c>
      <c r="T90" s="154">
        <f>IF(ABS(S90)&gt;$D$7,"above","below")</f>
        <v/>
      </c>
      <c r="U90" s="155">
        <f>IF('Template identifying components'!$P$20="key component","Key component",IF($T$90="above","Material component","n/a"))</f>
        <v/>
      </c>
      <c r="V90" s="199" t="inlineStr">
        <is>
          <t>n/a</t>
        </is>
      </c>
      <c r="W90" s="275" t="inlineStr">
        <is>
          <t>n/a</t>
        </is>
      </c>
      <c r="X90" s="337" t="n">
        <v>0</v>
      </c>
      <c r="Y90" s="154">
        <f>IF(ABS(X90)&gt;$D$7,"above","below")</f>
        <v/>
      </c>
      <c r="Z90" s="155">
        <f>IF('Template identifying components'!$P$21="key component","Key component",IF($Y$90="above","Material component","n/a"))</f>
        <v/>
      </c>
      <c r="AA90" s="199" t="inlineStr">
        <is>
          <t>n/a</t>
        </is>
      </c>
      <c r="AB90" s="275" t="inlineStr">
        <is>
          <t>n/a</t>
        </is>
      </c>
      <c r="AE90" s="156">
        <f>$AY$90</f>
        <v/>
      </c>
      <c r="AF90" s="158">
        <f>E90-AE90</f>
        <v/>
      </c>
      <c r="AG90" s="159">
        <f>IF(ABS(AF90)&gt;$D$7,"untested population above materiality","untested population below materiality")</f>
        <v/>
      </c>
      <c r="AI90" s="156">
        <f>$BC$90</f>
        <v/>
      </c>
      <c r="AJ90" s="158">
        <f>AF90-AI90</f>
        <v/>
      </c>
      <c r="AK90" s="159">
        <f>IF(ABS(AJ90)&gt;$D$7,"untested population above materiality","untested population below materiality")</f>
        <v/>
      </c>
      <c r="AM90" s="156">
        <f>$BG$90</f>
        <v/>
      </c>
      <c r="AN90" s="158">
        <f>AJ90-AM90</f>
        <v/>
      </c>
      <c r="AO90" s="159">
        <f>IF(ABS(AN90)&gt;$D$7,"untested population above materiality","untested population below materiality")</f>
        <v/>
      </c>
      <c r="AQ90" s="160">
        <f>IF(AO90="untested population above materiality","scope in more components or perform a stand-back assessment","ok")</f>
        <v/>
      </c>
      <c r="AY90">
        <f>IF(L10="full scope",I90,0)+IF(Q10="full scope",N90,0)+IF(V10="full scope",S90,0)+IF(AA10="full scope",X90,0)</f>
        <v/>
      </c>
      <c r="BC90">
        <f>IF(L90="in scope",I90,0)+IF(Q90="in scope",N90,0)+IF(V90="in scope",S90,0)+IF(AA90="in scope",X90,0)</f>
        <v/>
      </c>
      <c r="BG90">
        <f>IF(M90="in scope",I90,0)+IF(R90="in scope",N90,0)+IF(W90="in scope",S90,0)+IF(AB90="in scope",X90,0)</f>
        <v/>
      </c>
    </row>
    <row r="91">
      <c r="B91" s="547" t="n"/>
      <c r="C91" s="334" t="n"/>
      <c r="D91" s="222" t="n"/>
      <c r="E91" s="333" t="n">
        <v>0</v>
      </c>
      <c r="F91" s="156">
        <f>$I$91+$N$91+$S$91+$X$91</f>
        <v/>
      </c>
      <c r="G91" s="157">
        <f>E91-F91</f>
        <v/>
      </c>
      <c r="I91" s="337" t="n">
        <v>0</v>
      </c>
      <c r="J91" s="154">
        <f>IF(ABS(I91)&gt;$D$7,"above","below")</f>
        <v/>
      </c>
      <c r="K91" s="155">
        <f>IF('Template identifying components'!$P$18="key component","Key component",IF($J$91="above","Material component","n/a"))</f>
        <v/>
      </c>
      <c r="L91" s="199" t="inlineStr">
        <is>
          <t>n/a</t>
        </is>
      </c>
      <c r="M91" s="275" t="inlineStr">
        <is>
          <t>n/a</t>
        </is>
      </c>
      <c r="N91" s="337" t="n">
        <v>0</v>
      </c>
      <c r="O91" s="154">
        <f>IF(ABS(N91)&gt;$D$7,"above","below")</f>
        <v/>
      </c>
      <c r="P91" s="155">
        <f>IF('Template identifying components'!$P$19="key component","Key component",IF($O$91="above","Material component","n/a"))</f>
        <v/>
      </c>
      <c r="Q91" s="199" t="inlineStr">
        <is>
          <t>n/a</t>
        </is>
      </c>
      <c r="R91" s="275" t="inlineStr">
        <is>
          <t>n/a</t>
        </is>
      </c>
      <c r="S91" s="337" t="n">
        <v>0</v>
      </c>
      <c r="T91" s="154">
        <f>IF(ABS(S91)&gt;$D$7,"above","below")</f>
        <v/>
      </c>
      <c r="U91" s="155">
        <f>IF('Template identifying components'!$P$20="key component","Key component",IF($T$91="above","Material component","n/a"))</f>
        <v/>
      </c>
      <c r="V91" s="199" t="inlineStr">
        <is>
          <t>n/a</t>
        </is>
      </c>
      <c r="W91" s="275" t="inlineStr">
        <is>
          <t>n/a</t>
        </is>
      </c>
      <c r="X91" s="337" t="n">
        <v>0</v>
      </c>
      <c r="Y91" s="154">
        <f>IF(ABS(X91)&gt;$D$7,"above","below")</f>
        <v/>
      </c>
      <c r="Z91" s="155">
        <f>IF('Template identifying components'!$P$21="key component","Key component",IF($Y$91="above","Material component","n/a"))</f>
        <v/>
      </c>
      <c r="AA91" s="199" t="inlineStr">
        <is>
          <t>n/a</t>
        </is>
      </c>
      <c r="AB91" s="275" t="inlineStr">
        <is>
          <t>n/a</t>
        </is>
      </c>
      <c r="AE91" s="156">
        <f>$AY$91</f>
        <v/>
      </c>
      <c r="AF91" s="158">
        <f>E91-AE91</f>
        <v/>
      </c>
      <c r="AG91" s="159">
        <f>IF(ABS(AF91)&gt;$D$7,"untested population above materiality","untested population below materiality")</f>
        <v/>
      </c>
      <c r="AI91" s="156">
        <f>$BC$91</f>
        <v/>
      </c>
      <c r="AJ91" s="158">
        <f>AF91-AI91</f>
        <v/>
      </c>
      <c r="AK91" s="159">
        <f>IF(ABS(AJ91)&gt;$D$7,"untested population above materiality","untested population below materiality")</f>
        <v/>
      </c>
      <c r="AM91" s="156">
        <f>$BG$91</f>
        <v/>
      </c>
      <c r="AN91" s="158">
        <f>AJ91-AM91</f>
        <v/>
      </c>
      <c r="AO91" s="159">
        <f>IF(ABS(AN91)&gt;$D$7,"untested population above materiality","untested population below materiality")</f>
        <v/>
      </c>
      <c r="AQ91" s="160">
        <f>IF(AO91="untested population above materiality","scope in more components or perform a stand-back assessment","ok")</f>
        <v/>
      </c>
      <c r="AY91">
        <f>IF(L10="full scope",I91,0)+IF(Q10="full scope",N91,0)+IF(V10="full scope",S91,0)+IF(AA10="full scope",X91,0)</f>
        <v/>
      </c>
      <c r="BC91">
        <f>IF(L91="in scope",I91,0)+IF(Q91="in scope",N91,0)+IF(V91="in scope",S91,0)+IF(AA91="in scope",X91,0)</f>
        <v/>
      </c>
      <c r="BG91">
        <f>IF(M91="in scope",I91,0)+IF(R91="in scope",N91,0)+IF(W91="in scope",S91,0)+IF(AB91="in scope",X91,0)</f>
        <v/>
      </c>
    </row>
    <row r="92">
      <c r="A92" s="205" t="inlineStr">
        <is>
          <t>PBT</t>
        </is>
      </c>
      <c r="B92" s="547" t="n"/>
      <c r="C92" s="200" t="inlineStr">
        <is>
          <t>PBT</t>
        </is>
      </c>
      <c r="D92" s="225" t="n"/>
      <c r="E92" s="335">
        <f>E72-E73-E74+E75-E76</f>
        <v/>
      </c>
      <c r="F92" s="227">
        <f>F72-F73-F74+F75-F76</f>
        <v/>
      </c>
      <c r="G92" s="228">
        <f>G72-G73-G74+G75-G76</f>
        <v/>
      </c>
      <c r="I92" s="338">
        <f>I72-I73-I74+I75-I76</f>
        <v/>
      </c>
      <c r="J92" s="225" t="n"/>
      <c r="K92" s="233" t="n"/>
      <c r="L92" s="233" t="n"/>
      <c r="M92" s="278" t="n"/>
      <c r="N92" s="338">
        <f>N72-N73-N74+N75-N76</f>
        <v/>
      </c>
      <c r="O92" s="225" t="n"/>
      <c r="P92" s="233" t="n"/>
      <c r="Q92" s="233" t="n"/>
      <c r="R92" s="278" t="n"/>
      <c r="S92" s="338">
        <f>S72-S73-S74+S75-S76</f>
        <v/>
      </c>
      <c r="T92" s="225" t="n"/>
      <c r="U92" s="233" t="n"/>
      <c r="V92" s="233" t="n"/>
      <c r="W92" s="278" t="n"/>
      <c r="X92" s="338">
        <f>X72-X73-X74+X75-X76</f>
        <v/>
      </c>
      <c r="Y92" s="225" t="n"/>
      <c r="Z92" s="233" t="n"/>
      <c r="AA92" s="233" t="n"/>
      <c r="AB92" s="278" t="n"/>
      <c r="AE92" s="227" t="n"/>
      <c r="AF92" s="226" t="n"/>
      <c r="AG92" s="234" t="n"/>
      <c r="AI92" s="227" t="n"/>
      <c r="AJ92" s="226" t="n"/>
      <c r="AK92" s="234" t="n"/>
      <c r="AM92" s="227" t="n"/>
      <c r="AN92" s="226" t="n"/>
      <c r="AO92" s="234" t="n"/>
      <c r="AQ92" s="235" t="n"/>
    </row>
    <row r="93">
      <c r="B93" s="547" t="n"/>
      <c r="C93" s="334" t="inlineStr">
        <is>
          <t>IX.법인세등</t>
        </is>
      </c>
      <c r="D93" s="222" t="inlineStr">
        <is>
          <t>MCOTABD</t>
        </is>
      </c>
      <c r="E93" s="333" t="n">
        <v>17098718148</v>
      </c>
      <c r="F93" s="156">
        <f>$I$93+$N$93+$S$93+$X$93</f>
        <v/>
      </c>
      <c r="G93" s="157">
        <f>E93-F93</f>
        <v/>
      </c>
      <c r="I93" s="339" t="n">
        <v>5224091409</v>
      </c>
      <c r="J93" s="186">
        <f>IF(ABS(I93)&gt;$D$7,"above","below")</f>
        <v/>
      </c>
      <c r="K93" s="155">
        <f>IF('Template identifying components'!$P$18="key component","Key component",IF($J$93="above","Material component","n/a"))</f>
        <v/>
      </c>
      <c r="L93" s="199" t="inlineStr">
        <is>
          <t>n/a</t>
        </is>
      </c>
      <c r="M93" s="275" t="inlineStr">
        <is>
          <t>n/a</t>
        </is>
      </c>
      <c r="N93" s="339" t="n">
        <v>3966390558</v>
      </c>
      <c r="O93" s="186">
        <f>IF(ABS(N93)&gt;$D$7,"above","below")</f>
        <v/>
      </c>
      <c r="P93" s="155">
        <f>IF('Template identifying components'!$P$19="key component","Key component",IF($O$93="above","Material component","n/a"))</f>
        <v/>
      </c>
      <c r="Q93" s="199" t="inlineStr">
        <is>
          <t>n/a</t>
        </is>
      </c>
      <c r="R93" s="275" t="inlineStr">
        <is>
          <t>n/a</t>
        </is>
      </c>
      <c r="S93" s="339" t="n">
        <v>-5746347</v>
      </c>
      <c r="T93" s="186">
        <f>IF(ABS(S93)&gt;$D$7,"above","below")</f>
        <v/>
      </c>
      <c r="U93" s="155">
        <f>IF('Template identifying components'!$P$20="key component","Key component",IF($T$93="above","Material component","n/a"))</f>
        <v/>
      </c>
      <c r="V93" s="199" t="inlineStr">
        <is>
          <t>n/a</t>
        </is>
      </c>
      <c r="W93" s="275" t="inlineStr">
        <is>
          <t>n/a</t>
        </is>
      </c>
      <c r="X93" s="339" t="n">
        <v>7913982528</v>
      </c>
      <c r="Y93" s="186">
        <f>IF(ABS(X93)&gt;$D$7,"above","below")</f>
        <v/>
      </c>
      <c r="Z93" s="155">
        <f>IF('Template identifying components'!$P$21="key component","Key component",IF($Y$93="above","Material component","n/a"))</f>
        <v/>
      </c>
      <c r="AA93" s="199" t="inlineStr">
        <is>
          <t>n/a</t>
        </is>
      </c>
      <c r="AB93" s="275" t="inlineStr">
        <is>
          <t>n/a</t>
        </is>
      </c>
      <c r="AE93" s="156">
        <f>$AY$93</f>
        <v/>
      </c>
      <c r="AF93" s="158">
        <f>E93-AE93</f>
        <v/>
      </c>
      <c r="AG93" s="159">
        <f>IF(ABS(AF93)&gt;$D$7,"untested population above materiality","untested population below materiality")</f>
        <v/>
      </c>
      <c r="AI93" s="156">
        <f>$BC$93</f>
        <v/>
      </c>
      <c r="AJ93" s="158">
        <f>AF93-AI93</f>
        <v/>
      </c>
      <c r="AK93" s="159">
        <f>IF(ABS(AJ93)&gt;$D$7,"untested population above materiality","untested population below materiality")</f>
        <v/>
      </c>
      <c r="AM93" s="156">
        <f>$BG$93</f>
        <v/>
      </c>
      <c r="AN93" s="158">
        <f>AJ93-AM93</f>
        <v/>
      </c>
      <c r="AO93" s="159">
        <f>IF(ABS(AN93)&gt;$D$7,"untested population above materiality","untested population below materiality")</f>
        <v/>
      </c>
      <c r="AQ93" s="160">
        <f>IF(AO93="untested population above materiality","scope in more components or perform a stand-back assessment","ok")</f>
        <v/>
      </c>
      <c r="AY93">
        <f>IF(L10="full scope",I93,0)+IF(Q10="full scope",N93,0)+IF(V10="full scope",S93,0)+IF(AA10="full scope",X93,0)</f>
        <v/>
      </c>
      <c r="BC93">
        <f>IF(L93="in scope",I93,0)+IF(Q93="in scope",N93,0)+IF(V93="in scope",S93,0)+IF(AA93="in scope",X93,0)</f>
        <v/>
      </c>
      <c r="BG93">
        <f>IF(M93="in scope",I93,0)+IF(R93="in scope",N93,0)+IF(W93="in scope",S93,0)+IF(AB93="in scope",X93,0)</f>
        <v/>
      </c>
    </row>
    <row r="94" ht="13.5" customHeight="1" thickBot="1">
      <c r="A94" s="205" t="inlineStr">
        <is>
          <t>End</t>
        </is>
      </c>
      <c r="B94" s="547" t="n"/>
      <c r="C94" s="201" t="inlineStr">
        <is>
          <t>Net profit</t>
        </is>
      </c>
      <c r="D94" s="229" t="n"/>
      <c r="E94" s="336">
        <f>E92-E93</f>
        <v/>
      </c>
      <c r="F94" s="231">
        <f>F92-F93</f>
        <v/>
      </c>
      <c r="G94" s="232">
        <f>G92-G93</f>
        <v/>
      </c>
      <c r="I94" s="340">
        <f>I92-I93</f>
        <v/>
      </c>
      <c r="J94" s="229" t="n"/>
      <c r="K94" s="238" t="n"/>
      <c r="L94" s="238" t="n"/>
      <c r="M94" s="279" t="n"/>
      <c r="N94" s="340">
        <f>N92-N93</f>
        <v/>
      </c>
      <c r="O94" s="229" t="n"/>
      <c r="P94" s="238" t="n"/>
      <c r="Q94" s="238" t="n"/>
      <c r="R94" s="279" t="n"/>
      <c r="S94" s="340">
        <f>S92-S93</f>
        <v/>
      </c>
      <c r="T94" s="229" t="n"/>
      <c r="U94" s="238" t="n"/>
      <c r="V94" s="238" t="n"/>
      <c r="W94" s="279" t="n"/>
      <c r="X94" s="340">
        <f>X92-X93</f>
        <v/>
      </c>
      <c r="Y94" s="229" t="n"/>
      <c r="Z94" s="238" t="n"/>
      <c r="AA94" s="238" t="n"/>
      <c r="AB94" s="279" t="n"/>
      <c r="AE94" s="231" t="n"/>
      <c r="AF94" s="230" t="n"/>
      <c r="AG94" s="237" t="n"/>
      <c r="AI94" s="231" t="n"/>
      <c r="AJ94" s="230" t="n"/>
      <c r="AK94" s="237" t="n"/>
      <c r="AM94" s="231" t="n"/>
      <c r="AN94" s="230" t="n"/>
      <c r="AO94" s="237" t="n"/>
      <c r="AQ94" s="236" t="n"/>
    </row>
    <row r="95">
      <c r="B95" s="547" t="n"/>
      <c r="AE95" s="127" t="n"/>
    </row>
    <row r="96">
      <c r="B96" s="547" t="n"/>
      <c r="C96" s="574" t="inlineStr">
        <is>
          <t>[작성 근거 및 주석]</t>
        </is>
      </c>
      <c r="AE96" s="127" t="n"/>
    </row>
    <row r="97">
      <c r="B97" s="547" t="n"/>
      <c r="C97" s="575" t="inlineStr">
        <is>
          <t>1. 상기 금액은 첨부 「Con_WTB_KR01_2025_V4.xlsx」의 2025.12.31 최종 연결정산표(ConBS_2025 / ConPL_2025)에서 인용함. E열은 연결재무제표상 금액(P열)이며, 각 부문 열은 별도재무제표 금액에 「내부거래제거25」 및 「투자자본상계25」 명세에 따라 해당 부문에 직접 귀속되는 내부거래 제거액(채권채무, 매출매입, 수수료, 대여금/차입금, 이자, 배당, 투자자본상계)을 차감한 금액임.</t>
        </is>
      </c>
      <c r="AE97" s="127" t="n"/>
    </row>
    <row r="98">
      <c r="B98" s="124" t="n"/>
      <c r="C98" s="575" t="inlineStr">
        <is>
          <t>2. 특정 부문에 직접 귀속되는 제거액이 아닌 연결조정 항목은, 해당 조정이 인식·감사되는 부문에 배분하여 미감사 잔액(unscoped balance)이 발생하지 않도록 하였음: 이연법인세부채 8,352,819천원 및 이익잉여금 △30,792,595천원(투자자본상계·비지배지분 대체·기타 연결조정), 법인세등 1,224,928천원 → 연결절차가 수행되는 지배기업(KR01) 열에 배분. 비지배지분 20,500,384천원 및 기타포괄손익누계액 △427,629천원(해외사업환산) → 해당 조정의 원인부문인 IN04 열에 배분. 판매비와관리비 △2,314,719천원 → KR09가 KR01에 지급한 수수료 중 KR09 매출원가에 계상되어 부문별로 직접 대응되지 않는 잔액으로, 거래상대방이자 연결절차 수행부문인 KR01 열에 배분. 그 결과 모든 COTABD의 Check(G열)는 0이며 연결재무제표 금액과 완전히 일치함.</t>
        </is>
      </c>
      <c r="AE98" s="127" t="n"/>
    </row>
    <row r="99">
      <c r="B99" s="124" t="n"/>
      <c r="C99" s="575" t="inlineStr">
        <is>
          <t>3. 4개 부문 전체가 key component이며 full scope이 적용되므로, 모든 COTABD의 un-scoped balance는 0이고 그룹 중요성 미만임. 따라서 'Stand-back' 및 'Material component - rebuttal' 탭은 해당사항 없음.</t>
        </is>
      </c>
      <c r="AE99" s="127" t="n"/>
    </row>
    <row r="100">
      <c r="B100" s="124" t="n"/>
      <c r="C100" s="575" t="inlineStr">
        <is>
          <t>4. 그룹 중요성 = 내부거래 제거 후 연결 매출액 890,896,066,385원 × 1% = 8,908,960,664원 (전기와 동일한 벤치마크·비율 적용).</t>
        </is>
      </c>
      <c r="AE100" s="127" t="n"/>
    </row>
    <row r="101" ht="13.5" customHeight="1" thickBot="1">
      <c r="B101" s="187" t="n"/>
      <c r="C101" s="188" t="n"/>
      <c r="D101" s="188" t="n"/>
      <c r="E101" s="188" t="n"/>
      <c r="F101" s="188" t="n"/>
      <c r="G101" s="188" t="n"/>
      <c r="H101" s="188" t="n"/>
      <c r="I101" s="188" t="n"/>
      <c r="J101" s="188" t="n"/>
      <c r="K101" s="189" t="n"/>
      <c r="L101" s="189" t="n"/>
      <c r="M101" s="189" t="n"/>
      <c r="N101" s="188" t="n"/>
      <c r="O101" s="188" t="n"/>
      <c r="P101" s="188" t="n"/>
      <c r="Q101" s="188" t="n"/>
      <c r="R101" s="188" t="n"/>
      <c r="S101" s="188" t="n"/>
      <c r="T101" s="188" t="n"/>
      <c r="U101" s="188" t="n"/>
      <c r="V101" s="188" t="n"/>
      <c r="W101" s="188" t="n"/>
      <c r="X101" s="188" t="n"/>
      <c r="Y101" s="188" t="n"/>
      <c r="Z101" s="188" t="n"/>
      <c r="AA101" s="188" t="n"/>
      <c r="AB101" s="189" t="n"/>
      <c r="AC101" s="188" t="n"/>
      <c r="AD101" s="188" t="n"/>
      <c r="AE101" s="190" t="n"/>
    </row>
    <row r="102" customFormat="1" s="25">
      <c r="C102" s="96" t="n"/>
      <c r="D102" s="97" t="n"/>
      <c r="F102" s="121" t="n"/>
      <c r="H102" s="121" t="n"/>
      <c r="J102" s="31" t="n"/>
      <c r="K102" s="121" t="n"/>
      <c r="L102" s="31" t="n"/>
      <c r="M102" s="31" t="n"/>
      <c r="N102" s="121" t="n"/>
      <c r="O102" s="121" t="n"/>
    </row>
    <row r="135">
      <c r="A135" s="31" t="n"/>
    </row>
    <row r="140" ht="18" customHeight="1">
      <c r="A140" s="206" t="n"/>
    </row>
  </sheetData>
  <sheetProtection selectLockedCells="0" selectUnlockedCells="0" algorithmName="SHA-512" sheet="1" objects="1" insertRows="1" insertHyperlinks="1" autoFilter="1" scenarios="1" formatColumns="0" deleteColumns="1" insertColumns="1" pivotTables="1" deleteRows="1" formatCells="0" saltValue="PhgABOHcvKfOyTs1JyOohA==" formatRows="0" sort="1" spinCount="100000" hashValue="+Gb2dYfNNb1Yo+qH0Cj6wbh4VuDA0fZDMObqvMvHnkivRLEW/RH1uZ16qfLmjY1Cek7nOViPdNoRGrL2gOK0/g=="/>
  <mergeCells count="35">
    <mergeCell ref="X10:Z10"/>
    <mergeCell ref="I10:K10"/>
    <mergeCell ref="N70:R70"/>
    <mergeCell ref="X70:AB70"/>
    <mergeCell ref="W9:W10"/>
    <mergeCell ref="X9:Z9"/>
    <mergeCell ref="I9:K9"/>
    <mergeCell ref="AE14:AG14"/>
    <mergeCell ref="N41:R41"/>
    <mergeCell ref="X14:AB14"/>
    <mergeCell ref="AI14:AK14"/>
    <mergeCell ref="AB9:AB10"/>
    <mergeCell ref="I14:M14"/>
    <mergeCell ref="AE9:AQ10"/>
    <mergeCell ref="AI41:AK41"/>
    <mergeCell ref="AM41:AO41"/>
    <mergeCell ref="AE70:AG70"/>
    <mergeCell ref="AI70:AK70"/>
    <mergeCell ref="X41:AB41"/>
    <mergeCell ref="AM70:AO70"/>
    <mergeCell ref="S70:W70"/>
    <mergeCell ref="I70:M70"/>
    <mergeCell ref="S10:U10"/>
    <mergeCell ref="R9:R10"/>
    <mergeCell ref="AE41:AG41"/>
    <mergeCell ref="AM14:AO14"/>
    <mergeCell ref="N10:P10"/>
    <mergeCell ref="M9:M10"/>
    <mergeCell ref="S14:W14"/>
    <mergeCell ref="S9:U9"/>
    <mergeCell ref="I41:M41"/>
    <mergeCell ref="N9:P9"/>
    <mergeCell ref="S41:W41"/>
    <mergeCell ref="N14:R14"/>
    <mergeCell ref="C9:G10"/>
  </mergeCells>
  <conditionalFormatting sqref="J16:J35 J43:J62 J72:J91 J93">
    <cfRule type="cellIs" priority="1" operator="equal" dxfId="150">
      <formula>"above"</formula>
    </cfRule>
  </conditionalFormatting>
  <conditionalFormatting sqref="O16:O35 O43:O62 O72:O91 O93">
    <cfRule type="cellIs" priority="2" operator="equal" dxfId="150">
      <formula>"above"</formula>
    </cfRule>
  </conditionalFormatting>
  <conditionalFormatting sqref="T16:T35 T43:T62 T72:T91 T93">
    <cfRule type="cellIs" priority="3" operator="equal" dxfId="150">
      <formula>"above"</formula>
    </cfRule>
  </conditionalFormatting>
  <conditionalFormatting sqref="Y16:Y35 Y43:Y62 Y72:Y91 Y93">
    <cfRule type="cellIs" priority="4" operator="equal" dxfId="150">
      <formula>"above"</formula>
    </cfRule>
  </conditionalFormatting>
  <conditionalFormatting sqref="AG16:AG35 AG43:AG62 AG72:AG91 AG93">
    <cfRule type="cellIs" priority="5" operator="equal" dxfId="151">
      <formula>"untested population above materiality"</formula>
    </cfRule>
    <cfRule type="cellIs" priority="6" operator="equal" dxfId="152">
      <formula>"untested population below materiality"</formula>
    </cfRule>
  </conditionalFormatting>
  <conditionalFormatting sqref="AK16:AK35 AK43:AK62 AK72:AK91 AK93">
    <cfRule type="cellIs" priority="7" operator="equal" dxfId="151">
      <formula>"untested population above materiality"</formula>
    </cfRule>
    <cfRule type="cellIs" priority="8" operator="equal" dxfId="152">
      <formula>"untested population below materiality"</formula>
    </cfRule>
  </conditionalFormatting>
  <conditionalFormatting sqref="AO16:AO35 AO43:AO62 AO72:AO91 AO93">
    <cfRule type="cellIs" priority="9" operator="equal" dxfId="151">
      <formula>"untested population above materiality"</formula>
    </cfRule>
    <cfRule type="cellIs" priority="10" operator="equal" dxfId="152">
      <formula>"untested population below materiality"</formula>
    </cfRule>
  </conditionalFormatting>
  <conditionalFormatting sqref="AQ16:AQ35 AQ43:AQ62 AQ72:AQ91 AQ93">
    <cfRule type="cellIs" priority="11" operator="equal" dxfId="153">
      <formula>"ok"</formula>
    </cfRule>
    <cfRule type="cellIs" priority="12" operator="notEqual" dxfId="151">
      <formula>"ok"</formula>
    </cfRule>
  </conditionalFormatting>
  <conditionalFormatting sqref="G16:G35 G43:G62 G72:G91 G93">
    <cfRule type="cellIs" priority="13" operator="notEqual" dxfId="154">
      <formula>0</formula>
    </cfRule>
  </conditionalFormatting>
  <dataValidations count="17">
    <dataValidation sqref="D16:D35 D43:D62 D72:D91 D93" showDropDown="0" showInputMessage="0" showErrorMessage="0" allowBlank="1" type="list">
      <formula1>"SCOTABD,MCOTABD,non material COTABD"</formula1>
    </dataValidation>
    <dataValidation sqref="L9" showDropDown="0" showInputMessage="0" showErrorMessage="0" allowBlank="1" type="list">
      <formula1>"Key component,Material component,Material component (rebutted),Non-material component,N/A"</formula1>
    </dataValidation>
    <dataValidation sqref="L10" showDropDown="0" showInputMessage="0" showErrorMessage="0" allowBlank="1" type="list">
      <formula1>IF(L$9="Material component (rebutted)",$L$1:$M$1,IF(L$9&lt;&gt;"N/A",$A$2:$A$4,$A$5:$A$6))</formula1>
    </dataValidation>
    <dataValidation sqref="L16:L35 L43:L62 L72:L91 L93" showDropDown="0" showInputMessage="0" showErrorMessage="0" allowBlank="1" type="list">
      <formula1>IF(L$10="specific scope",InScope,"n/a")</formula1>
    </dataValidation>
    <dataValidation sqref="M16:M35 M43:M62 M72:M91 M93" showDropDown="0" showInputMessage="0" showErrorMessage="0" allowBlank="1" type="list">
      <formula1>IF(L$10="GET procedures",InScope,"n/a")</formula1>
    </dataValidation>
    <dataValidation sqref="Q9" showDropDown="0" showInputMessage="0" showErrorMessage="0" allowBlank="1" type="list">
      <formula1>"Key component,Material component,Material component (rebutted),Non-material component,N/A"</formula1>
    </dataValidation>
    <dataValidation sqref="Q10" showDropDown="0" showInputMessage="0" showErrorMessage="0" allowBlank="1" type="list">
      <formula1>IF(Q$9="Material component (rebutted)",$L$1:$M$1,IF(Q$9&lt;&gt;"N/A",$A$2:$A$4,$A$5:$A$6))</formula1>
    </dataValidation>
    <dataValidation sqref="Q16:Q35 Q43:Q62 Q72:Q91 Q93" showDropDown="0" showInputMessage="0" showErrorMessage="0" allowBlank="1" type="list">
      <formula1>IF(Q$10="specific scope",InScope,"n/a")</formula1>
    </dataValidation>
    <dataValidation sqref="R16:R35 R43:R62 R72:R91 R93" showDropDown="0" showInputMessage="0" showErrorMessage="0" allowBlank="1" type="list">
      <formula1>IF(Q$10="GET procedures",InScope,"n/a")</formula1>
    </dataValidation>
    <dataValidation sqref="V9" showDropDown="0" showInputMessage="0" showErrorMessage="0" allowBlank="1" type="list">
      <formula1>"Key component,Material component,Material component (rebutted),Non-material component,N/A"</formula1>
    </dataValidation>
    <dataValidation sqref="V10" showDropDown="0" showInputMessage="0" showErrorMessage="0" allowBlank="1" type="list">
      <formula1>IF(V$9="Material component (rebutted)",$L$1:$M$1,IF(V$9&lt;&gt;"N/A",$A$2:$A$4,$A$5:$A$6))</formula1>
    </dataValidation>
    <dataValidation sqref="V16:V35 V43:V62 V72:V91 V93" showDropDown="0" showInputMessage="0" showErrorMessage="0" allowBlank="1" type="list">
      <formula1>IF(V$10="specific scope",InScope,"n/a")</formula1>
    </dataValidation>
    <dataValidation sqref="W16:W35 W43:W62 W72:W91 W93" showDropDown="0" showInputMessage="0" showErrorMessage="0" allowBlank="1" type="list">
      <formula1>IF(V$10="GET procedures",InScope,"n/a")</formula1>
    </dataValidation>
    <dataValidation sqref="AA9" showDropDown="0" showInputMessage="0" showErrorMessage="0" allowBlank="1" type="list">
      <formula1>"Key component,Material component,Material component (rebutted),Non-material component,N/A"</formula1>
    </dataValidation>
    <dataValidation sqref="AA10" showDropDown="0" showInputMessage="0" showErrorMessage="0" allowBlank="1" type="list">
      <formula1>IF(AA$9="Material component (rebutted)",$L$1:$M$1,IF(AA$9&lt;&gt;"N/A",$A$2:$A$4,$A$5:$A$6))</formula1>
    </dataValidation>
    <dataValidation sqref="AA16:AA35 AA43:AA62 AA72:AA91 AA93" showDropDown="0" showInputMessage="0" showErrorMessage="0" allowBlank="1" type="list">
      <formula1>IF(AA$10="specific scope",InScope,"n/a")</formula1>
    </dataValidation>
    <dataValidation sqref="AB16:AB35 AB43:AB62 AB72:AB91 AB93" showDropDown="0" showInputMessage="0" showErrorMessage="0" allowBlank="1" type="list">
      <formula1>IF(AA$10="GET procedures",InScope,"n/a")</formula1>
    </dataValidation>
  </dataValidations>
  <pageMargins left="0.7" right="0.7" top="0.75" bottom="0.75" header="0.3" footer="0.3"/>
  <pageSetup orientation="portrait" paperSize="9" horizontalDpi="300"/>
  <legacyDrawing xmlns:r="http://schemas.openxmlformats.org/officeDocument/2006/relationships" r:id="anysvml"/>
</worksheet>
</file>

<file path=xl/worksheets/sheet4.xml><?xml version="1.0" encoding="utf-8"?>
<worksheet xmlns="http://schemas.openxmlformats.org/spreadsheetml/2006/main">
  <sheetPr codeName="Blad6">
    <tabColor theme="1"/>
    <outlinePr summaryBelow="1" summaryRight="1"/>
    <pageSetUpPr fitToPage="1"/>
  </sheetPr>
  <dimension ref="A1:AN26"/>
  <sheetViews>
    <sheetView showGridLines="0" workbookViewId="0">
      <selection activeCell="G9" sqref="G9"/>
    </sheetView>
  </sheetViews>
  <sheetFormatPr baseColWidth="8" defaultColWidth="9.140625" defaultRowHeight="12.75"/>
  <cols>
    <col width="2.7109375" customWidth="1" style="25" min="1" max="2"/>
    <col width="4.5703125" customWidth="1" style="96" min="3" max="3"/>
    <col width="21.42578125" customWidth="1" style="96" min="4" max="4"/>
    <col width="19.42578125" customWidth="1" style="96" min="5" max="5"/>
    <col width="23.5703125" customWidth="1" style="25" min="6" max="6"/>
    <col width="22.7109375" customWidth="1" style="25" min="7" max="7"/>
    <col width="17" customWidth="1" style="25" min="8" max="8"/>
    <col width="20" customWidth="1" style="25" min="9" max="9"/>
    <col width="16.28515625" customWidth="1" style="25" min="10" max="10"/>
    <col width="1.28515625" customWidth="1" style="25" min="11" max="11"/>
    <col width="27" customWidth="1" style="25" min="12" max="12"/>
    <col width="26" customWidth="1" style="25" min="13" max="13"/>
    <col width="31.140625" customWidth="1" style="25" min="14" max="14"/>
    <col width="43.7109375" customWidth="1" style="25" min="15" max="15"/>
    <col width="21.5703125" bestFit="1" customWidth="1" style="25" min="16" max="16"/>
    <col width="1.42578125" customWidth="1" style="25" min="17" max="17"/>
    <col width="25.28515625" customWidth="1" style="25" min="18" max="19"/>
    <col width="48.42578125" customWidth="1" style="25" min="20" max="20"/>
    <col width="23.28515625" customWidth="1" style="25" min="21" max="21"/>
    <col width="1.7109375" customWidth="1" style="25" min="22" max="22"/>
    <col width="30.5703125" customWidth="1" style="25" min="23" max="23"/>
    <col width="48.42578125" customWidth="1" style="25" min="24" max="24"/>
    <col width="23.7109375" bestFit="1" customWidth="1" style="25" min="25" max="25"/>
    <col width="32.5703125" bestFit="1" customWidth="1" style="25" min="26" max="26"/>
    <col width="51.5703125" customWidth="1" style="25" min="27" max="27"/>
    <col width="1.5703125" customWidth="1" style="25" min="28" max="28"/>
    <col width="30.85546875" bestFit="1" customWidth="1" style="25" min="29" max="29"/>
    <col width="2.28515625" customWidth="1" style="25" min="30" max="30"/>
    <col width="14.85546875" customWidth="1" style="25" min="31" max="32"/>
    <col width="18.140625" customWidth="1" style="25" min="33" max="34"/>
    <col width="60.42578125" customWidth="1" style="25" min="35" max="35"/>
    <col width="22.140625" customWidth="1" style="25" min="36" max="36"/>
    <col width="47.7109375" customWidth="1" style="25" min="37" max="37"/>
    <col width="35.140625" customWidth="1" style="25" min="38" max="38"/>
    <col width="2.5703125" customWidth="1" style="25" min="39" max="39"/>
    <col width="9.140625" customWidth="1" style="25" min="40" max="16384"/>
  </cols>
  <sheetData>
    <row r="1" ht="13.5" customHeight="1" thickBot="1">
      <c r="A1" s="212" t="n"/>
      <c r="D1" s="97" t="n"/>
      <c r="E1" s="97" t="n"/>
      <c r="F1" s="31" t="n"/>
      <c r="H1" s="31" t="n"/>
      <c r="I1" s="31" t="n"/>
      <c r="J1" s="31" t="n"/>
      <c r="AK1" s="31" t="n"/>
    </row>
    <row r="2">
      <c r="B2" s="89" t="n"/>
      <c r="C2" s="90" t="n"/>
      <c r="D2" s="91" t="n"/>
      <c r="E2" s="91" t="n"/>
      <c r="F2" s="92" t="n"/>
      <c r="G2" s="93" t="n"/>
      <c r="H2" s="92" t="n"/>
      <c r="I2" s="92" t="n"/>
      <c r="J2" s="92" t="n"/>
      <c r="K2" s="93" t="n"/>
      <c r="L2" s="93" t="n"/>
      <c r="M2" s="93" t="n"/>
      <c r="N2" s="93" t="n"/>
      <c r="O2" s="93" t="n"/>
      <c r="P2" s="93" t="n"/>
      <c r="Q2" s="93" t="n"/>
      <c r="R2" s="93" t="n"/>
      <c r="S2" s="93" t="n"/>
      <c r="T2" s="93" t="n"/>
      <c r="U2" s="93" t="n"/>
      <c r="V2" s="93" t="n"/>
      <c r="W2" s="93" t="n"/>
      <c r="X2" s="93" t="n"/>
      <c r="Y2" s="93" t="n"/>
      <c r="Z2" s="93" t="n"/>
      <c r="AA2" s="93" t="n"/>
      <c r="AB2" s="93" t="n"/>
      <c r="AC2" s="93" t="n"/>
      <c r="AD2" s="93" t="n"/>
      <c r="AE2" s="93" t="n"/>
      <c r="AF2" s="93" t="n"/>
      <c r="AG2" s="93" t="n"/>
      <c r="AH2" s="93" t="n"/>
      <c r="AI2" s="93" t="n"/>
      <c r="AJ2" s="113" t="n"/>
      <c r="AK2" s="92" t="n"/>
      <c r="AL2" s="93" t="n"/>
      <c r="AM2" s="93" t="n"/>
      <c r="AN2" s="94" t="n"/>
    </row>
    <row r="3">
      <c r="B3" s="95" t="n"/>
      <c r="D3" s="97" t="n"/>
      <c r="E3" s="97" t="n"/>
      <c r="F3" s="31" t="n"/>
      <c r="H3" s="31" t="n"/>
      <c r="I3" s="31" t="n"/>
      <c r="J3" s="31" t="n"/>
      <c r="AJ3" s="114" t="n"/>
      <c r="AK3" s="31" t="n"/>
      <c r="AN3" s="98" t="n"/>
    </row>
    <row r="4" ht="13.5" customHeight="1" thickBot="1">
      <c r="B4" s="99" t="n"/>
      <c r="C4" s="100" t="n"/>
      <c r="D4" s="101" t="n"/>
      <c r="E4" s="101" t="n"/>
      <c r="F4" s="102" t="n"/>
      <c r="G4" s="40" t="n"/>
      <c r="H4" s="102" t="n"/>
      <c r="I4" s="102" t="n"/>
      <c r="J4" s="102" t="n"/>
      <c r="K4" s="40" t="n"/>
      <c r="L4" s="40" t="n"/>
      <c r="M4" s="40" t="n"/>
      <c r="N4" s="40" t="n"/>
      <c r="O4" s="40" t="n"/>
      <c r="P4" s="40" t="n"/>
      <c r="Q4" s="40" t="n"/>
      <c r="R4" s="40" t="n"/>
      <c r="S4" s="40" t="n"/>
      <c r="T4" s="40" t="n"/>
      <c r="U4" s="40" t="n"/>
      <c r="V4" s="40" t="n"/>
      <c r="W4" s="40" t="n"/>
      <c r="X4" s="40" t="n"/>
      <c r="Y4" s="40" t="n"/>
      <c r="Z4" s="40" t="n"/>
      <c r="AA4" s="40" t="n"/>
      <c r="AB4" s="40" t="n"/>
      <c r="AC4" s="40" t="n"/>
      <c r="AD4" s="40" t="n"/>
      <c r="AE4" s="40" t="n"/>
      <c r="AF4" s="40" t="n"/>
      <c r="AG4" s="40" t="n"/>
      <c r="AH4" s="40" t="n"/>
      <c r="AI4" s="40" t="n"/>
      <c r="AJ4" s="115" t="n"/>
      <c r="AK4" s="102" t="n"/>
      <c r="AL4" s="40" t="n"/>
      <c r="AM4" s="40" t="n"/>
      <c r="AN4" s="103" t="n"/>
    </row>
    <row r="5" ht="24" customFormat="1" customHeight="1" s="31" thickBot="1">
      <c r="B5" s="15" t="n"/>
      <c r="C5" s="16" t="inlineStr">
        <is>
          <t>Identifying components at which audit procedures are to be performed</t>
        </is>
      </c>
      <c r="D5" s="457" t="n"/>
      <c r="E5" s="457" t="n"/>
      <c r="F5" s="18" t="n"/>
      <c r="G5" s="18" t="n"/>
      <c r="H5" s="18" t="n"/>
      <c r="I5" s="18" t="n"/>
      <c r="J5" s="18" t="n"/>
      <c r="K5" s="18" t="n"/>
      <c r="L5" s="18" t="n"/>
      <c r="M5" s="18" t="n"/>
      <c r="N5" s="18" t="n"/>
      <c r="O5" s="18" t="n"/>
      <c r="P5" s="18" t="n"/>
      <c r="Q5" s="18" t="n"/>
      <c r="R5" s="18" t="n"/>
      <c r="S5" s="18" t="n"/>
      <c r="T5" s="18" t="n"/>
      <c r="U5" s="18" t="n"/>
      <c r="V5" s="18" t="n"/>
      <c r="W5" s="18" t="n"/>
      <c r="X5" s="18" t="n"/>
      <c r="Y5" s="18" t="n"/>
      <c r="Z5" s="18" t="n"/>
      <c r="AA5" s="18" t="n"/>
      <c r="AB5" s="18" t="n"/>
      <c r="AC5" s="18" t="n"/>
      <c r="AD5" s="18" t="n"/>
      <c r="AE5" s="18" t="n"/>
      <c r="AF5" s="18" t="n"/>
      <c r="AG5" s="18" t="n"/>
      <c r="AH5" s="18" t="n"/>
      <c r="AI5" s="18" t="n"/>
      <c r="AJ5" s="18" t="n"/>
      <c r="AK5" s="18" t="n"/>
      <c r="AL5" s="18" t="n"/>
      <c r="AM5" s="18" t="n"/>
      <c r="AN5" s="19" t="n"/>
    </row>
    <row r="6" ht="13.5" customHeight="1" thickBot="1">
      <c r="B6" s="6" t="n"/>
      <c r="C6" s="2" t="n"/>
      <c r="D6" s="8" t="n"/>
      <c r="E6" s="3" t="n"/>
      <c r="F6" s="3" t="n"/>
      <c r="G6" s="3" t="n"/>
      <c r="H6" s="3" t="n"/>
      <c r="I6" s="3" t="n"/>
      <c r="J6" s="3" t="n"/>
      <c r="K6" s="2" t="n"/>
      <c r="L6" s="2" t="n"/>
      <c r="M6" s="2" t="n"/>
      <c r="N6" s="2" t="n"/>
      <c r="O6" s="2" t="n"/>
      <c r="P6" s="2" t="n"/>
      <c r="Q6" s="2" t="n"/>
      <c r="R6" s="2" t="n"/>
      <c r="S6" s="2" t="n"/>
      <c r="T6" s="2" t="n"/>
      <c r="U6" s="2" t="n"/>
      <c r="V6" s="2" t="n"/>
      <c r="W6" s="2" t="n"/>
      <c r="X6" s="2" t="n"/>
      <c r="Y6" s="2" t="n"/>
      <c r="Z6" s="2" t="n"/>
      <c r="AA6" s="2" t="n"/>
      <c r="AB6" s="2" t="n"/>
      <c r="AC6" s="2" t="n"/>
      <c r="AD6" s="2" t="n"/>
      <c r="AE6" s="2" t="n"/>
      <c r="AF6" s="2" t="n"/>
      <c r="AG6" s="2" t="n"/>
      <c r="AH6" s="2" t="n"/>
      <c r="AI6" s="2" t="n"/>
      <c r="AJ6" s="2" t="n"/>
      <c r="AK6" s="3" t="n"/>
      <c r="AL6" s="2" t="n"/>
      <c r="AM6" s="2" t="n"/>
      <c r="AN6" s="7" t="n"/>
    </row>
    <row r="7" ht="13.5" customHeight="1" thickBot="1">
      <c r="B7" s="6" t="n"/>
      <c r="C7" s="2" t="n"/>
      <c r="D7" s="456" t="inlineStr">
        <is>
          <t>Materiality</t>
        </is>
      </c>
      <c r="E7" s="569" t="n"/>
      <c r="F7" s="569" t="n"/>
      <c r="G7" s="19" t="n"/>
      <c r="H7" s="3" t="n"/>
      <c r="I7" s="3" t="n"/>
      <c r="J7" s="3" t="n"/>
      <c r="K7" s="2" t="n"/>
      <c r="L7" s="2" t="n"/>
      <c r="M7" s="2" t="n"/>
      <c r="N7" s="2" t="n"/>
      <c r="O7" s="2" t="n"/>
      <c r="P7" s="2" t="n"/>
      <c r="Q7" s="2" t="n"/>
      <c r="R7" s="2" t="n"/>
      <c r="S7" s="2" t="n"/>
      <c r="T7" s="2" t="n"/>
      <c r="U7" s="2" t="n"/>
      <c r="V7" s="2" t="n"/>
      <c r="W7" s="2" t="n"/>
      <c r="X7" s="2" t="n"/>
      <c r="Y7" s="2" t="n"/>
      <c r="Z7" s="2" t="n"/>
      <c r="AA7" s="2" t="n"/>
      <c r="AB7" s="2" t="n"/>
      <c r="AC7" s="2" t="n"/>
      <c r="AD7" s="2" t="n"/>
      <c r="AE7" s="2" t="n"/>
      <c r="AF7" s="2" t="n"/>
      <c r="AG7" s="2" t="n"/>
      <c r="AH7" s="2" t="n"/>
      <c r="AI7" s="2" t="n"/>
      <c r="AJ7" s="2" t="n"/>
      <c r="AK7" s="3" t="n"/>
      <c r="AL7" s="2" t="n"/>
      <c r="AM7" s="2" t="n"/>
      <c r="AN7" s="7" t="n"/>
    </row>
    <row r="8">
      <c r="B8" s="6" t="n"/>
      <c r="C8" s="2" t="n"/>
      <c r="D8" s="462" t="inlineStr">
        <is>
          <t>Group materiality value</t>
        </is>
      </c>
      <c r="E8" s="562" t="n"/>
      <c r="F8" s="562" t="n"/>
      <c r="G8" s="344">
        <f>Conso!D7</f>
        <v/>
      </c>
      <c r="H8" s="72" t="inlineStr">
        <is>
          <t>Please input the value</t>
        </is>
      </c>
      <c r="I8" s="3" t="n"/>
      <c r="J8" s="3" t="n"/>
      <c r="K8" s="2" t="n"/>
      <c r="L8" s="2" t="n"/>
      <c r="M8" s="2" t="n"/>
      <c r="N8" s="2" t="n"/>
      <c r="O8" s="2" t="n"/>
      <c r="P8" s="2" t="n"/>
      <c r="Q8" s="2" t="n"/>
      <c r="R8" s="2" t="n"/>
      <c r="S8" s="2" t="n"/>
      <c r="T8" s="2" t="n"/>
      <c r="U8" s="2" t="n"/>
      <c r="V8" s="2" t="n"/>
      <c r="W8" s="2" t="n"/>
      <c r="X8" s="2" t="n"/>
      <c r="Y8" s="2" t="n"/>
      <c r="Z8" s="2" t="n"/>
      <c r="AA8" s="2" t="n"/>
      <c r="AB8" s="2" t="n"/>
      <c r="AC8" s="2" t="n"/>
      <c r="AD8" s="2" t="n"/>
      <c r="AE8" s="2" t="n"/>
      <c r="AF8" s="2" t="n"/>
      <c r="AG8" s="2" t="n"/>
      <c r="AH8" s="2" t="n"/>
      <c r="AI8" s="2" t="n"/>
      <c r="AJ8" s="2" t="n"/>
      <c r="AK8" s="3" t="n"/>
      <c r="AL8" s="2" t="n"/>
      <c r="AM8" s="2" t="n"/>
      <c r="AN8" s="7" t="n"/>
    </row>
    <row r="9">
      <c r="B9" s="6" t="n"/>
      <c r="C9" s="2" t="n"/>
      <c r="D9" s="460" t="inlineStr">
        <is>
          <t>Benchmark value</t>
        </is>
      </c>
      <c r="E9" s="576" t="n"/>
      <c r="F9" s="576" t="n"/>
      <c r="G9" s="345" t="n">
        <v>890896066385</v>
      </c>
      <c r="H9" s="72" t="inlineStr">
        <is>
          <t>Please input the value</t>
        </is>
      </c>
      <c r="I9" s="3" t="n"/>
      <c r="J9" s="3" t="n"/>
      <c r="K9" s="2" t="n"/>
      <c r="L9" s="2" t="n"/>
      <c r="M9" s="2" t="n"/>
      <c r="N9" s="2" t="n"/>
      <c r="O9" s="2" t="n"/>
      <c r="P9" s="2" t="n"/>
      <c r="Q9" s="2" t="n"/>
      <c r="R9" s="2" t="n"/>
      <c r="S9" s="2" t="n"/>
      <c r="T9" s="2" t="n"/>
      <c r="U9" s="2" t="n"/>
      <c r="V9" s="2" t="n"/>
      <c r="W9" s="2" t="n"/>
      <c r="X9" s="2" t="n"/>
      <c r="Y9" s="2" t="n"/>
      <c r="Z9" s="2" t="n"/>
      <c r="AA9" s="2" t="n"/>
      <c r="AB9" s="2" t="n"/>
      <c r="AC9" s="2" t="n"/>
      <c r="AD9" s="2" t="n"/>
      <c r="AE9" s="2" t="n"/>
      <c r="AF9" s="2" t="n"/>
      <c r="AG9" s="2" t="n"/>
      <c r="AH9" s="2" t="n"/>
      <c r="AI9" s="2" t="n"/>
      <c r="AJ9" s="2" t="n"/>
      <c r="AK9" s="3" t="n"/>
      <c r="AL9" s="2" t="n"/>
      <c r="AM9" s="2" t="n"/>
      <c r="AN9" s="7" t="n"/>
    </row>
    <row r="10">
      <c r="B10" s="6" t="n"/>
      <c r="C10" s="2" t="n"/>
      <c r="D10" s="460" t="inlineStr">
        <is>
          <t>Currency</t>
        </is>
      </c>
      <c r="E10" s="576" t="n"/>
      <c r="F10" s="576" t="n"/>
      <c r="G10" s="345" t="inlineStr">
        <is>
          <t>KRW</t>
        </is>
      </c>
      <c r="H10" s="72" t="inlineStr">
        <is>
          <t>Please input the currency</t>
        </is>
      </c>
      <c r="I10" s="3" t="n"/>
      <c r="J10" s="3" t="n"/>
      <c r="K10" s="2" t="n"/>
      <c r="L10" s="2" t="n"/>
      <c r="M10" s="2" t="n"/>
      <c r="N10" s="2" t="n"/>
      <c r="O10" s="2" t="n"/>
      <c r="P10" s="2" t="n"/>
      <c r="Q10" s="2" t="n"/>
      <c r="R10" s="2" t="n"/>
      <c r="S10" s="2" t="n"/>
      <c r="T10" s="2" t="n"/>
      <c r="U10" s="2" t="n"/>
      <c r="V10" s="2" t="n"/>
      <c r="W10" s="2" t="n"/>
      <c r="X10" s="2" t="n"/>
      <c r="Y10" s="2" t="n"/>
      <c r="Z10" s="2" t="n"/>
      <c r="AA10" s="2" t="n"/>
      <c r="AB10" s="2" t="n"/>
      <c r="AC10" s="2" t="n"/>
      <c r="AD10" s="2" t="n"/>
      <c r="AE10" s="2" t="n"/>
      <c r="AF10" s="2" t="n"/>
      <c r="AG10" s="2" t="n"/>
      <c r="AH10" s="2" t="n"/>
      <c r="AI10" s="2" t="n"/>
      <c r="AJ10" s="2" t="n"/>
      <c r="AK10" s="3" t="n"/>
      <c r="AL10" s="2" t="n"/>
      <c r="AM10" s="2" t="n"/>
      <c r="AN10" s="7" t="n"/>
    </row>
    <row r="11" ht="13.5" customHeight="1" thickBot="1">
      <c r="B11" s="6" t="n"/>
      <c r="C11" s="2" t="n"/>
      <c r="D11" s="458" t="inlineStr">
        <is>
          <t>Benchmark used for group materiality calculation</t>
        </is>
      </c>
      <c r="E11" s="566" t="n"/>
      <c r="F11" s="566" t="n"/>
      <c r="G11" s="346" t="inlineStr">
        <is>
          <t>Revenue</t>
        </is>
      </c>
      <c r="H11" s="72" t="inlineStr">
        <is>
          <t>Please select from dropdown list</t>
        </is>
      </c>
      <c r="I11" s="2" t="n"/>
      <c r="J11" s="3" t="n"/>
      <c r="K11" s="3" t="n"/>
      <c r="L11" s="3" t="n"/>
      <c r="M11" s="3" t="n"/>
      <c r="N11" s="2" t="n"/>
      <c r="O11" s="2" t="n"/>
      <c r="P11" s="2" t="n"/>
      <c r="Q11" s="2" t="n"/>
      <c r="R11" s="2" t="n"/>
      <c r="S11" s="2" t="n"/>
      <c r="T11" s="2" t="n"/>
      <c r="U11" s="2" t="n"/>
      <c r="V11" s="2" t="n"/>
      <c r="W11" s="2" t="n"/>
      <c r="X11" s="2" t="n"/>
      <c r="Y11" s="2" t="n"/>
      <c r="Z11" s="2" t="n"/>
      <c r="AA11" s="2" t="n"/>
      <c r="AB11" s="2" t="n"/>
      <c r="AC11" s="2" t="n"/>
      <c r="AD11" s="2" t="n"/>
      <c r="AE11" s="2" t="n"/>
      <c r="AF11" s="2" t="n"/>
      <c r="AG11" s="2" t="n"/>
      <c r="AH11" s="2" t="n"/>
      <c r="AI11" s="2" t="n"/>
      <c r="AJ11" s="2" t="n"/>
      <c r="AK11" s="3" t="n"/>
      <c r="AL11" s="2" t="n"/>
      <c r="AM11" s="2" t="n"/>
      <c r="AN11" s="7" t="n"/>
    </row>
    <row r="12">
      <c r="B12" s="6" t="n"/>
      <c r="C12" s="2" t="n"/>
      <c r="D12" s="577" t="inlineStr">
        <is>
          <t>감사대상 / 대상기간</t>
        </is>
      </c>
      <c r="E12" s="3" t="n"/>
      <c r="F12" s="3" t="n"/>
      <c r="G12" s="578" t="inlineStr">
        <is>
          <t>포레시아코리아 주식회사 연결재무제표 감사 - 2026.12.31로 종료되는 회계연도 (계획단계)</t>
        </is>
      </c>
      <c r="H12" s="72" t="n"/>
      <c r="I12" s="2" t="n"/>
      <c r="J12" s="3" t="n"/>
      <c r="K12" s="3" t="n"/>
      <c r="L12" s="3" t="n"/>
      <c r="M12" s="3" t="n"/>
      <c r="N12" s="2" t="n"/>
      <c r="O12" s="2" t="n"/>
      <c r="P12" s="2" t="n"/>
      <c r="Q12" s="2" t="n"/>
      <c r="R12" s="2" t="n"/>
      <c r="S12" s="2" t="n"/>
      <c r="T12" s="2" t="n"/>
      <c r="U12" s="2" t="n"/>
      <c r="V12" s="2" t="n"/>
      <c r="W12" s="2" t="n"/>
      <c r="X12" s="2" t="n"/>
      <c r="Y12" s="2" t="n"/>
      <c r="Z12" s="2" t="n"/>
      <c r="AA12" s="2" t="n"/>
      <c r="AB12" s="2" t="n"/>
      <c r="AC12" s="2" t="n"/>
      <c r="AD12" s="2" t="n"/>
      <c r="AE12" s="2" t="n"/>
      <c r="AF12" s="2" t="n"/>
      <c r="AG12" s="2" t="n"/>
      <c r="AH12" s="2" t="n"/>
      <c r="AI12" s="2" t="n"/>
      <c r="AJ12" s="2" t="n"/>
      <c r="AK12" s="3" t="n"/>
      <c r="AL12" s="2" t="n"/>
      <c r="AM12" s="2" t="n"/>
      <c r="AN12" s="7" t="n"/>
    </row>
    <row r="13" ht="13.5" customHeight="1" thickBot="1">
      <c r="B13" s="6" t="n"/>
      <c r="C13" s="2" t="n"/>
      <c r="D13" s="577" t="inlineStr">
        <is>
          <t>스코핑 기초자료</t>
        </is>
      </c>
      <c r="E13" s="3" t="n"/>
      <c r="F13" s="3" t="n"/>
      <c r="G13" s="578" t="inlineStr">
        <is>
          <t>2025.12.31 최종 연결정산표(Con_WTB_KR01_2025_V4.xlsx). 벤치마크 = 내부거래 제거 후 연결 매출액 890,896,066,385원, 그룹 전체중요성 = 벤치마크 × 1% = 8,908,960,664원 (전기와 동일한 벤치마크·비율).</t>
        </is>
      </c>
      <c r="H13" s="3" t="n"/>
      <c r="I13" s="3" t="n"/>
      <c r="J13" s="3" t="n"/>
      <c r="K13" s="2" t="n"/>
      <c r="L13" s="2" t="n"/>
      <c r="M13" s="2" t="n"/>
      <c r="N13" s="2" t="n"/>
      <c r="O13" s="2" t="n"/>
      <c r="P13" s="2" t="n"/>
      <c r="Q13" s="2" t="n"/>
      <c r="R13" s="2" t="n"/>
      <c r="S13" s="2" t="n"/>
      <c r="T13" s="2" t="n"/>
      <c r="U13" s="2" t="n"/>
      <c r="V13" s="2" t="n"/>
      <c r="W13" s="2" t="n"/>
      <c r="X13" s="2" t="n"/>
      <c r="Y13" s="2" t="n"/>
      <c r="Z13" s="2" t="n"/>
      <c r="AA13" s="2" t="n"/>
      <c r="AB13" s="2" t="n"/>
      <c r="AC13" s="2" t="n"/>
      <c r="AD13" s="2" t="n"/>
      <c r="AE13" s="2" t="n"/>
      <c r="AF13" s="2" t="n"/>
      <c r="AG13" s="2" t="n"/>
      <c r="AH13" s="2" t="n"/>
      <c r="AI13" s="2" t="n"/>
      <c r="AJ13" s="2" t="n"/>
      <c r="AK13" s="3" t="n"/>
      <c r="AL13" s="2" t="n"/>
      <c r="AM13" s="2" t="n"/>
      <c r="AN13" s="7" t="n"/>
    </row>
    <row r="14" ht="18.75" customHeight="1" thickBot="1">
      <c r="B14" s="6" t="n"/>
      <c r="C14" s="67" t="n"/>
      <c r="D14" s="24" t="n"/>
      <c r="E14" s="24" t="n"/>
      <c r="F14" s="24" t="n"/>
      <c r="G14" s="24" t="n"/>
      <c r="H14" s="24" t="n"/>
      <c r="I14" s="24" t="n"/>
      <c r="J14" s="24" t="n"/>
      <c r="K14" s="24" t="n"/>
      <c r="L14" s="24" t="n"/>
      <c r="M14" s="24" t="n"/>
      <c r="N14" s="24" t="n"/>
      <c r="O14" s="24" t="n"/>
      <c r="P14" s="24" t="n"/>
      <c r="Q14" s="24" t="n"/>
      <c r="R14" s="24" t="n"/>
      <c r="S14" s="24" t="n"/>
      <c r="T14" s="24" t="n"/>
      <c r="U14" s="24" t="n"/>
      <c r="V14" s="24" t="n"/>
      <c r="W14" s="24" t="n"/>
      <c r="X14" s="24" t="n"/>
      <c r="Y14" s="24" t="n"/>
      <c r="Z14" s="24" t="n"/>
      <c r="AA14" s="24" t="n"/>
      <c r="AB14" s="24" t="n"/>
      <c r="AC14" s="307" t="n"/>
      <c r="AD14" s="2" t="n"/>
      <c r="AE14" s="2" t="n"/>
      <c r="AF14" s="2" t="n"/>
      <c r="AG14" s="2" t="n"/>
      <c r="AH14" s="2" t="n"/>
      <c r="AI14" s="2" t="n"/>
      <c r="AJ14" s="2" t="n"/>
      <c r="AK14" s="2" t="n"/>
      <c r="AL14" s="2" t="n"/>
      <c r="AM14" s="2" t="n"/>
      <c r="AN14" s="7" t="n"/>
    </row>
    <row r="15" ht="18.75" customHeight="1" thickBot="1">
      <c r="B15" s="6" t="n"/>
      <c r="C15" s="579" t="inlineStr">
        <is>
          <t>Components</t>
        </is>
      </c>
      <c r="D15" s="188" t="n"/>
      <c r="E15" s="188" t="n"/>
      <c r="F15" s="188" t="n"/>
      <c r="G15" s="188" t="n"/>
      <c r="H15" s="188" t="n"/>
      <c r="I15" s="188" t="n"/>
      <c r="J15" s="190" t="n"/>
      <c r="K15" s="10" t="n"/>
      <c r="L15" s="433" t="inlineStr">
        <is>
          <t>Key components</t>
        </is>
      </c>
      <c r="M15" s="188" t="n"/>
      <c r="N15" s="188" t="n"/>
      <c r="O15" s="188" t="n"/>
      <c r="P15" s="188" t="n"/>
      <c r="Q15" s="30" t="n"/>
      <c r="R15" s="579" t="inlineStr">
        <is>
          <t>Material components</t>
        </is>
      </c>
      <c r="S15" s="188" t="n"/>
      <c r="T15" s="188" t="n"/>
      <c r="U15" s="190" t="n"/>
      <c r="W15" s="579" t="inlineStr">
        <is>
          <t>Non-material components</t>
        </is>
      </c>
      <c r="X15" s="188" t="n"/>
      <c r="Y15" s="190" t="n"/>
      <c r="Z15" s="580" t="inlineStr">
        <is>
          <t>Remaining population</t>
        </is>
      </c>
      <c r="AA15" s="570" t="n"/>
      <c r="AB15" s="33" t="n"/>
      <c r="AC15" s="308" t="inlineStr">
        <is>
          <t>Conclusion</t>
        </is>
      </c>
      <c r="AD15" s="2" t="n"/>
      <c r="AE15" s="454" t="inlineStr">
        <is>
          <t>Scope</t>
        </is>
      </c>
      <c r="AF15" s="569" t="n"/>
      <c r="AG15" s="569" t="n"/>
      <c r="AH15" s="569" t="n"/>
      <c r="AI15" s="569" t="n"/>
      <c r="AJ15" s="431" t="inlineStr">
        <is>
          <t>Group / Component auditor</t>
        </is>
      </c>
      <c r="AK15" s="581" t="n"/>
      <c r="AL15" s="581" t="n"/>
      <c r="AM15" s="2" t="n"/>
      <c r="AN15" s="7" t="n"/>
    </row>
    <row r="16" ht="12.75" customFormat="1" customHeight="1" s="121">
      <c r="B16" s="9" t="n"/>
      <c r="C16" s="10" t="n"/>
      <c r="D16" s="582" t="inlineStr">
        <is>
          <t>Name of Component</t>
        </is>
      </c>
      <c r="E16" s="583" t="inlineStr">
        <is>
          <t>Short Name</t>
        </is>
      </c>
      <c r="F16" s="583" t="inlineStr">
        <is>
          <t>Nature of the entity's business</t>
        </is>
      </c>
      <c r="G16" s="583" t="inlineStr">
        <is>
          <t>Location of entity</t>
        </is>
      </c>
      <c r="H16" s="583" t="inlineStr">
        <is>
          <t>Reporting period</t>
        </is>
      </c>
      <c r="I16" s="583" t="inlineStr">
        <is>
          <t>Value of benchmark chosen for calculating group materiality after intercompany eliminations</t>
        </is>
      </c>
      <c r="J16" s="584" t="inlineStr">
        <is>
          <t>Percentage of the benchmark</t>
        </is>
      </c>
      <c r="K16" s="10" t="n"/>
      <c r="L16" s="582" t="inlineStr">
        <is>
          <t xml:space="preserve">Key due to size (Y/N) 
(component greater or equal to 15% of the benchmark chosen for calculating group materiality)
</t>
        </is>
      </c>
      <c r="M16" s="583" t="inlineStr">
        <is>
          <t>Key due to size (Y/N) 
(based on professional judgement, considered key due to relative financial significance to the group)</t>
        </is>
      </c>
      <c r="N16" s="583" t="inlineStr">
        <is>
          <t>Key due to risks of material misstatement (Y/N) 
(where the specific nature or circumstance of its financial information make it likely to include significant risks of misstatement of the group financial statements)</t>
        </is>
      </c>
      <c r="O16" s="583" t="inlineStr">
        <is>
          <t>Remark comments</t>
        </is>
      </c>
      <c r="P16" s="44" t="inlineStr">
        <is>
          <t>Conclusion</t>
        </is>
      </c>
      <c r="Q16" s="27" t="n"/>
      <c r="R16" s="585" t="inlineStr">
        <is>
          <t>Material due to size (Y/N/N/A)
(one or more COTABDs of the component is above group materiality,
based on conclusions in tab Conso)</t>
        </is>
      </c>
      <c r="S16" s="586" t="inlineStr">
        <is>
          <t>Do you rebut the assumption that this material component should be scoped in?
(If you rebut please select X and see guidance to this cell)</t>
        </is>
      </c>
      <c r="T16" s="587" t="inlineStr">
        <is>
          <t>Remark comments</t>
        </is>
      </c>
      <c r="U16" s="69" t="inlineStr">
        <is>
          <t>Conclusion</t>
        </is>
      </c>
      <c r="V16" s="25" t="n"/>
      <c r="W16" s="588" t="inlineStr">
        <is>
          <t>If the remaining population of any SCOTABDs / MCOTABDs in any un-scoped components are material, scope in additional components to reduce the risk of material misstatements to an acceptably low level</t>
        </is>
      </c>
      <c r="X16" s="587" t="inlineStr">
        <is>
          <t>Remark comments</t>
        </is>
      </c>
      <c r="Y16" s="34" t="inlineStr">
        <is>
          <t>Conclusion</t>
        </is>
      </c>
      <c r="Z16" s="109" t="n"/>
      <c r="AA16" s="589" t="inlineStr">
        <is>
          <t>If the remaining population of any SCOTABDs / MCOTABDs in un-scoped components are material please scope in more components or perform stand back procedures. If you choose stand back procedures please cross reference here to the tab 'Stand-back'.</t>
        </is>
      </c>
      <c r="AB16" s="33" t="n"/>
      <c r="AC16" s="68" t="inlineStr">
        <is>
          <t>Final Conclusion</t>
        </is>
      </c>
      <c r="AD16" s="10" t="n"/>
      <c r="AE16" s="590" t="inlineStr">
        <is>
          <t>Full scope</t>
        </is>
      </c>
      <c r="AF16" s="591" t="inlineStr">
        <is>
          <t>Specific scope</t>
        </is>
      </c>
      <c r="AG16" s="591" t="inlineStr">
        <is>
          <t>GET procedures or GET instructed engagement procedures</t>
        </is>
      </c>
      <c r="AH16" s="591" t="inlineStr">
        <is>
          <t>Other procedures</t>
        </is>
      </c>
      <c r="AI16" s="592" t="inlineStr">
        <is>
          <t>Remark comments (see 'Scope decision tree' tab)</t>
        </is>
      </c>
      <c r="AJ16" s="444" t="inlineStr">
        <is>
          <t>This work will be performed by: 
- Group auditor?
- Component auditor?
- N/A (out of scope)</t>
        </is>
      </c>
      <c r="AK16" s="446" t="inlineStr">
        <is>
          <t>Component auditor name</t>
        </is>
      </c>
      <c r="AL16" s="429" t="inlineStr">
        <is>
          <t>Document your rationale / professional judgment for the determination of engagement resources for this component</t>
        </is>
      </c>
      <c r="AM16" s="11" t="n"/>
      <c r="AN16" s="12" t="n"/>
    </row>
    <row r="17" ht="79.5" customFormat="1" customHeight="1" s="121" thickBot="1">
      <c r="B17" s="9" t="n"/>
      <c r="C17" s="10" t="n"/>
      <c r="D17" s="593" t="n"/>
      <c r="E17" s="594" t="n"/>
      <c r="F17" s="594" t="n"/>
      <c r="G17" s="594" t="n"/>
      <c r="H17" s="594" t="n"/>
      <c r="I17" s="594" t="n"/>
      <c r="J17" s="568" t="n"/>
      <c r="K17" s="1" t="n"/>
      <c r="L17" s="593" t="n"/>
      <c r="M17" s="594" t="n"/>
      <c r="N17" s="594" t="n"/>
      <c r="O17" s="594" t="n"/>
      <c r="P17" s="470" t="inlineStr">
        <is>
          <t>Key component?</t>
        </is>
      </c>
      <c r="Q17" s="28" t="n"/>
      <c r="R17" s="593" t="n"/>
      <c r="S17" s="594" t="n"/>
      <c r="T17" s="594" t="n"/>
      <c r="U17" s="107" t="inlineStr">
        <is>
          <t>Scoped in material component?</t>
        </is>
      </c>
      <c r="V17" s="25" t="n"/>
      <c r="W17" s="593" t="n"/>
      <c r="X17" s="594" t="n"/>
      <c r="Y17" s="108" t="inlineStr">
        <is>
          <t>Scoped-in non material component?</t>
        </is>
      </c>
      <c r="Z17" s="104" t="inlineStr">
        <is>
          <t>Is the remaining population of any SCOTABDs / MCOTABDs in un-scoped components material?</t>
        </is>
      </c>
      <c r="AA17" s="595" t="n"/>
      <c r="AB17" s="110" t="n"/>
      <c r="AC17" s="46" t="inlineStr">
        <is>
          <t>Is the component a key / material / non material / out of scope component</t>
        </is>
      </c>
      <c r="AD17" s="10" t="n"/>
      <c r="AE17" s="593" t="n"/>
      <c r="AF17" s="594" t="n"/>
      <c r="AG17" s="594" t="n"/>
      <c r="AH17" s="594" t="n"/>
      <c r="AI17" s="568" t="n"/>
      <c r="AJ17" s="596" t="n"/>
      <c r="AK17" s="154" t="n"/>
      <c r="AL17" s="597" t="n"/>
      <c r="AM17" s="11" t="n"/>
      <c r="AN17" s="12" t="n"/>
    </row>
    <row r="18" ht="13.5" customHeight="1" thickBot="1">
      <c r="B18" s="6" t="n"/>
      <c r="C18" s="10">
        <f>ROW()-17</f>
        <v/>
      </c>
      <c r="D18" s="192" t="inlineStr">
        <is>
          <t>포레시아코리아 주식회사</t>
        </is>
      </c>
      <c r="E18" s="193" t="inlineStr">
        <is>
          <t>KR01</t>
        </is>
      </c>
      <c r="F18" s="194" t="inlineStr">
        <is>
          <t>배기시스템 관련 자동차부품의 제조 및 판매 (지배기업)</t>
        </is>
      </c>
      <c r="G18" s="195" t="inlineStr">
        <is>
          <t>대한민국</t>
        </is>
      </c>
      <c r="H18" s="196" t="inlineStr">
        <is>
          <t>2025.12.31</t>
        </is>
      </c>
      <c r="I18" s="327" t="n">
        <v>498859207873</v>
      </c>
      <c r="J18" s="70">
        <f>IFERROR(I18/$G$9,0)</f>
        <v/>
      </c>
      <c r="K18" s="1" t="n"/>
      <c r="L18" s="105">
        <f>IF(J18&gt;=15%,"Y",IF(J18="","","N"))</f>
        <v/>
      </c>
      <c r="M18" s="195" t="inlineStr">
        <is>
          <t>N</t>
        </is>
      </c>
      <c r="N18" s="195" t="inlineStr">
        <is>
          <t>N</t>
        </is>
      </c>
      <c r="O18" s="342" t="n"/>
      <c r="P18" s="35">
        <f>IF(L18="Y","Key component",IF(M18="Y","Key component",IF(N18="Y","Key component","No")))</f>
        <v/>
      </c>
      <c r="Q18" s="29" t="n"/>
      <c r="R18" s="106">
        <f>IF(P18="Key component","N/A",IF(Conso!$L$9="Key component","N/A",IF(Conso!$L$9="Material component","Y","N")))</f>
        <v/>
      </c>
      <c r="S18" s="195" t="n"/>
      <c r="T18" s="197" t="n"/>
      <c r="U18" s="35">
        <f>IF(P18="Key component","N/A",IF(S18="X","No",IF(R18="","filled in based on column R",(IF(R18="Y","Material component",IF(R18="N/A","N/A",IF(R18="N","No")))))))</f>
        <v/>
      </c>
      <c r="W18" s="106">
        <f>IF(P18="Key component","N/A",IF(U18="Material component","N/A",IF(Conso!$L$9="Non-material component","Additionally scoped in","Not scoped in")))</f>
        <v/>
      </c>
      <c r="X18" s="195" t="n"/>
      <c r="Y18" s="224">
        <f>IF(W18="","filled in based on column V",(IF(W18="Additionally scoped in","Non-material component",IF(W18="N/A","N/A",IF(W18="Not scoped in","No")))))</f>
        <v/>
      </c>
      <c r="Z18" s="347" t="inlineStr">
        <is>
          <t>N</t>
        </is>
      </c>
      <c r="AA18" s="348" t="inlineStr"/>
      <c r="AB18" s="33" t="n"/>
      <c r="AC18" s="32">
        <f>IF(P18="key component","Key component",IF(U18="material component","Material component",IF(Y18="Non-material component","Non-material component",IF(Y18="No","Out of scope / other procedures","filled in based on column O, S &amp; W"))))</f>
        <v/>
      </c>
      <c r="AD18" s="2" t="n"/>
      <c r="AE18" s="71">
        <f>IF(Conso!$L$10="full scope","X","")</f>
        <v/>
      </c>
      <c r="AF18" s="20">
        <f>IF(Conso!$L$10="specific scope","X","")</f>
        <v/>
      </c>
      <c r="AG18" s="20">
        <f>IF(Conso!$L$10="GET procedures","X","")</f>
        <v/>
      </c>
      <c r="AH18" s="20">
        <f>IF(Conso!$L$10="other procedures","X","")</f>
        <v/>
      </c>
      <c r="AI18" s="343" t="inlineStr">
        <is>
          <t>Key component (규모 기준 15% 이상). 지배기업으로서 연결절차가 수행되는 부문이며, 그룹업무팀이 별도재무제표 전체에 대한 감사(full scope) 및 연결절차에 대한 감사를 직접 수행함.</t>
        </is>
      </c>
      <c r="AJ18" s="198" t="inlineStr">
        <is>
          <t>Group Auditor</t>
        </is>
      </c>
      <c r="AK18" s="195" t="inlineStr">
        <is>
          <t>The same as GET (그룹업무팀)</t>
        </is>
      </c>
      <c r="AL18" s="343" t="inlineStr">
        <is>
          <t>연결재무제표 작성·연결절차가 지배기업에서 수행되고, 그룹 총자산의 45%·매출액의 56%를 차지하는 최대 부문이므로 그룹업무팀이 직접 감사를 수행함. 그룹전반통제 및 연결절차에 대한 절차도 그룹업무팀이 수행함.</t>
        </is>
      </c>
      <c r="AM18" s="2" t="n"/>
      <c r="AN18" s="7" t="n"/>
    </row>
    <row r="19" ht="13.5" customHeight="1">
      <c r="B19" s="6" t="n"/>
      <c r="C19" s="10">
        <f>ROW()-17</f>
        <v/>
      </c>
      <c r="D19" s="192" t="inlineStr">
        <is>
          <t>영천배기 주식회사</t>
        </is>
      </c>
      <c r="E19" s="193" t="inlineStr">
        <is>
          <t>KR09</t>
        </is>
      </c>
      <c r="F19" s="194" t="inlineStr">
        <is>
          <t>배기시스템 관련 자동차부품의 제조 및 판매</t>
        </is>
      </c>
      <c r="G19" s="195" t="inlineStr">
        <is>
          <t>대한민국</t>
        </is>
      </c>
      <c r="H19" s="196" t="inlineStr">
        <is>
          <t>2025.12.31</t>
        </is>
      </c>
      <c r="I19" s="327" t="n">
        <v>8798620065</v>
      </c>
      <c r="J19" s="70">
        <f>IFERROR(I19/$G$9,0)</f>
        <v/>
      </c>
      <c r="K19" s="1" t="n"/>
      <c r="L19" s="105">
        <f>IF(J19&gt;=15%,"Y",IF(J19="","","N"))</f>
        <v/>
      </c>
      <c r="M19" s="195" t="inlineStr">
        <is>
          <t>Y</t>
        </is>
      </c>
      <c r="N19" s="195" t="inlineStr">
        <is>
          <t>N</t>
        </is>
      </c>
      <c r="O19" s="342" t="inlineStr">
        <is>
          <t>내부거래 제거 후 매출액은 8,798백만원(그룹 벤치마크의 0.99%)으로 15% 기준에 미달하나, 별도기준 매출액은 231,195백만원(제거 전 그룹 매출액 합계의 19.7%)으로 매출액의 약 96%가 지배기업(KR01)에 대한 내부거래 매출임. 따라서 내부거래 제거 후 금액만으로 배분되는 중요성이 산술적으로 과소하게 산정되는 반면, 그룹 내 상대적 재무적 중요성(총자산 71,845백만원, 자산총계 합계의 11.1%)은 유의적임. 또한 KR09는 외부감사대상으로 그룹업무팀과 동일한 팀이 별도재무제표 감사를 수행하고 있으므로, 전문가적 판단에 따라 key component로 분류하고 full scope을 적용함. (전기 조서와 동일한 결론)</t>
        </is>
      </c>
      <c r="P19" s="35">
        <f>IF(L19="Y","Key component",IF(M19="Y","Key component",IF(N19="Y","Key component","No")))</f>
        <v/>
      </c>
      <c r="Q19" s="29" t="n"/>
      <c r="R19" s="106">
        <f>IF(P19="Key component","N/A",IF(Conso!$Q$9="Key component","N/A",IF(Conso!$Q$9="Material component","Y","N")))</f>
        <v/>
      </c>
      <c r="S19" s="195" t="n"/>
      <c r="T19" s="197" t="n"/>
      <c r="U19" s="35">
        <f>IF(P19="Key component","N/A",IF(S19="X","No",IF(R19="","filled in based on column R",(IF(R19="Y","Material component",IF(R19="N/A","N/A",IF(R19="N","No")))))))</f>
        <v/>
      </c>
      <c r="W19" s="106">
        <f>IF(P19="Key component","N/A",IF(U19="Material component","N/A",IF(Conso!$Q$9="Non-material component","Additionally scoped in","Not scoped in")))</f>
        <v/>
      </c>
      <c r="X19" s="195" t="n"/>
      <c r="Y19" s="224">
        <f>IF(W19="","filled in based on column V",(IF(W19="Additionally scoped in","Non-material component",IF(W19="N/A","N/A",IF(W19="Not scoped in","No")))))</f>
        <v/>
      </c>
      <c r="Z19" s="347" t="inlineStr">
        <is>
          <t>N</t>
        </is>
      </c>
      <c r="AA19" s="348" t="inlineStr"/>
      <c r="AB19" s="33" t="n"/>
      <c r="AC19" s="32">
        <f>IF(P19="key component","Key component",IF(U19="material component","Material component",IF(Y19="Non-material component","Non-material component",IF(Y19="No","Out of scope / other procedures","filled in based on column O, S &amp; W"))))</f>
        <v/>
      </c>
      <c r="AD19" s="2" t="n"/>
      <c r="AE19" s="71">
        <f>IF(Conso!$Q$10="full scope","X","")</f>
        <v/>
      </c>
      <c r="AF19" s="20">
        <f>IF(Conso!$Q$10="specific scope","X","")</f>
        <v/>
      </c>
      <c r="AG19" s="20">
        <f>IF(Conso!$Q$10="GET procedures","X","")</f>
        <v/>
      </c>
      <c r="AH19" s="20">
        <f>IF(Conso!$Q$10="other procedures","X","")</f>
        <v/>
      </c>
      <c r="AI19" s="343" t="inlineStr">
        <is>
          <t>Key component (전문가적 판단). 외부감사 대상으로 그룹업무팀과 동일한 팀이 별도재무제표 감사를 수행하며, 그 결과를 부문감사인 업무로 이용함. 별도감사 중요성은 내부거래 제거 전 매출액 기준으로 산정되어 그룹중요성 배분액보다 낮으므로 충분하고 적합한 감사증거 입수가 가능함.</t>
        </is>
      </c>
      <c r="AJ19" s="198" t="inlineStr">
        <is>
          <t>Component Auditor</t>
        </is>
      </c>
      <c r="AK19" s="195" t="inlineStr">
        <is>
          <t>The same as GET (동일 감사팀, 별도재무제표 감사 결과 이용)</t>
        </is>
      </c>
      <c r="AL19" s="343" t="inlineStr">
        <is>
          <t>그룹업무팀과 동일한 업무팀(동일 감사담당 매니저)이 외부감사를 수행하므로 부문감사인의 독립성·적격성 및 업무 품질에 대한 그룹업무팀의 직접적인 관여가 확보됨. 별도의 Audit Instruction 없이 동일 파일 내에서 감사조서를 검토함.</t>
        </is>
      </c>
      <c r="AM19" s="2" t="n"/>
      <c r="AN19" s="7" t="n"/>
    </row>
    <row r="20" ht="13.5" customFormat="1" customHeight="1" s="31" thickBot="1">
      <c r="B20" s="6" t="n"/>
      <c r="C20" s="10">
        <f>ROW()-17</f>
        <v/>
      </c>
      <c r="D20" s="192" t="inlineStr">
        <is>
          <t>영천시트 주식회사</t>
        </is>
      </c>
      <c r="E20" s="193" t="inlineStr">
        <is>
          <t>KR10</t>
        </is>
      </c>
      <c r="F20" s="194" t="inlineStr">
        <is>
          <t>좌석 관련 자동차부품의 제조 및 판매</t>
        </is>
      </c>
      <c r="G20" s="195" t="inlineStr">
        <is>
          <t>대한민국</t>
        </is>
      </c>
      <c r="H20" s="196" t="inlineStr">
        <is>
          <t>2025.12.31</t>
        </is>
      </c>
      <c r="I20" s="327" t="n">
        <v>196381556321</v>
      </c>
      <c r="J20" s="70">
        <f>IFERROR(I20/$G$9,0)</f>
        <v/>
      </c>
      <c r="K20" s="1" t="n"/>
      <c r="L20" s="105">
        <f>IF(J20&gt;=15%,"Y",IF(J20="","","N"))</f>
        <v/>
      </c>
      <c r="M20" s="195" t="inlineStr">
        <is>
          <t>N</t>
        </is>
      </c>
      <c r="N20" s="195" t="inlineStr">
        <is>
          <t>N</t>
        </is>
      </c>
      <c r="O20" s="342" t="n"/>
      <c r="P20" s="35">
        <f>IF(L20="Y","Key component",IF(M20="Y","Key component",IF(N20="Y","Key component","No")))</f>
        <v/>
      </c>
      <c r="Q20" s="29" t="n"/>
      <c r="R20" s="106">
        <f>IF(P20="Key component","N/A",IF(Conso!$V$9="Key component","N/A",IF(Conso!$V$9="Material component","Y","N")))</f>
        <v/>
      </c>
      <c r="S20" s="195" t="n"/>
      <c r="T20" s="197" t="n"/>
      <c r="U20" s="35">
        <f>IF(P20="Key component","N/A",IF(S20="X","No",IF(R20="","filled in based on column R",(IF(R20="Y","Material component",IF(R20="N/A","N/A",IF(R20="N","No")))))))</f>
        <v/>
      </c>
      <c r="W20" s="106">
        <f>IF(P20="Key component","N/A",IF(U20="Material component","N/A",IF(Conso!$V$9="Non-material component","Additionally scoped in","Not scoped in")))</f>
        <v/>
      </c>
      <c r="X20" s="195" t="n"/>
      <c r="Y20" s="224">
        <f>IF(W20="","filled in based on column V",(IF(W20="Additionally scoped in","Non-material component",IF(W20="N/A","N/A",IF(W20="Not scoped in","No")))))</f>
        <v/>
      </c>
      <c r="Z20" s="347" t="inlineStr">
        <is>
          <t>N</t>
        </is>
      </c>
      <c r="AA20" s="348" t="inlineStr"/>
      <c r="AB20" s="33" t="n"/>
      <c r="AC20" s="32">
        <f>IF(P20="key component","Key component",IF(U20="material component","Material component",IF(Y20="Non-material component","Non-material component",IF(Y20="No","Out of scope / other procedures","filled in based on column O, S &amp; W"))))</f>
        <v/>
      </c>
      <c r="AD20" s="2" t="n"/>
      <c r="AE20" s="71">
        <f>IF(Conso!$V$10="full scope","X","")</f>
        <v/>
      </c>
      <c r="AF20" s="20">
        <f>IF(Conso!$V$10="specific scope","X","")</f>
        <v/>
      </c>
      <c r="AG20" s="20">
        <f>IF(Conso!$V$10="GET procedures","X","")</f>
        <v/>
      </c>
      <c r="AH20" s="20">
        <f>IF(Conso!$V$10="other procedures","X","")</f>
        <v/>
      </c>
      <c r="AI20" s="343" t="inlineStr">
        <is>
          <t>Key component (규모 기준 15% 이상). 외부감사 대상으로 그룹업무팀과 동일한 감사담당 파트너/인차지가 별도재무제표 감사를 수행하며 그 결과를 부문감사인 업무로 이용함.</t>
        </is>
      </c>
      <c r="AJ20" s="198" t="inlineStr">
        <is>
          <t>Component Auditor</t>
        </is>
      </c>
      <c r="AK20" s="195" t="inlineStr">
        <is>
          <t>The same as GET (동일 감사팀, 별도재무제표 감사 결과 이용)</t>
        </is>
      </c>
      <c r="AL20" s="343" t="inlineStr">
        <is>
          <t>그룹업무팀과 동일한 감사담당 파트너 및 인차지가 외부감사를 수행하므로 부문감사인의 독립성·적격성 및 업무 품질에 대한 그룹업무팀의 직접적인 관여가 확보됨.</t>
        </is>
      </c>
      <c r="AM20" s="2" t="n"/>
      <c r="AN20" s="7" t="n"/>
    </row>
    <row r="21" ht="13.5" customHeight="1" thickTop="1">
      <c r="B21" s="6" t="n"/>
      <c r="C21" s="10">
        <f>ROW()-17</f>
        <v/>
      </c>
      <c r="D21" s="192" t="inlineStr">
        <is>
          <t>FAURECIA EMISSIONS CONTROL TECHNOLOGIES INDIA PVT. LTD</t>
        </is>
      </c>
      <c r="E21" s="193" t="inlineStr">
        <is>
          <t>IN04</t>
        </is>
      </c>
      <c r="F21" s="194" t="inlineStr">
        <is>
          <t>배기시스템(Emissions Control) 관련 자동차부품의 제조 및 판매</t>
        </is>
      </c>
      <c r="G21" s="195" t="inlineStr">
        <is>
          <t>인도</t>
        </is>
      </c>
      <c r="H21" s="196" t="inlineStr">
        <is>
          <t>2025.12.31</t>
        </is>
      </c>
      <c r="I21" s="327" t="n">
        <v>186856682126</v>
      </c>
      <c r="J21" s="70">
        <f>IFERROR(I21/$G$9,0)</f>
        <v/>
      </c>
      <c r="K21" s="1" t="n"/>
      <c r="L21" s="105">
        <f>IF(J21&gt;=15%,"Y",IF(J21="","","N"))</f>
        <v/>
      </c>
      <c r="M21" s="195" t="inlineStr">
        <is>
          <t>N</t>
        </is>
      </c>
      <c r="N21" s="195" t="inlineStr">
        <is>
          <t>N</t>
        </is>
      </c>
      <c r="O21" s="342" t="n"/>
      <c r="P21" s="35">
        <f>IF(L21="Y","Key component",IF(M21="Y","Key component",IF(N21="Y","Key component","No")))</f>
        <v/>
      </c>
      <c r="Q21" s="29" t="n"/>
      <c r="R21" s="106">
        <f>IF(P21="Key component","N/A",IF(Conso!$AA$9="Key component","N/A",IF(Conso!$AA$9="Material component","Y","N")))</f>
        <v/>
      </c>
      <c r="S21" s="195" t="n"/>
      <c r="T21" s="197" t="n"/>
      <c r="U21" s="35">
        <f>IF(P21="Key component","N/A",IF(S21="X","No",IF(R21="","filled in based on column R",(IF(R21="Y","Material component",IF(R21="N/A","N/A",IF(R21="N","No")))))))</f>
        <v/>
      </c>
      <c r="W21" s="106">
        <f>IF(P21="Key component","N/A",IF(U21="Material component","N/A",IF(Conso!$AA$9="Non-material component","Additionally scoped in","Not scoped in")))</f>
        <v/>
      </c>
      <c r="X21" s="195" t="n"/>
      <c r="Y21" s="224">
        <f>IF(W21="","filled in based on column V",(IF(W21="Additionally scoped in","Non-material component",IF(W21="N/A","N/A",IF(W21="Not scoped in","No")))))</f>
        <v/>
      </c>
      <c r="Z21" s="347" t="inlineStr">
        <is>
          <t>N</t>
        </is>
      </c>
      <c r="AA21" s="348" t="inlineStr"/>
      <c r="AB21" s="33" t="n"/>
      <c r="AC21" s="32">
        <f>IF(P21="key component","Key component",IF(U21="material component","Material component",IF(Y21="Non-material component","Non-material component",IF(Y21="No","Out of scope / other procedures","filled in based on column O, S &amp; W"))))</f>
        <v/>
      </c>
      <c r="AD21" s="2" t="n"/>
      <c r="AE21" s="71">
        <f>IF(Conso!$AA$10="full scope","X","")</f>
        <v/>
      </c>
      <c r="AF21" s="20">
        <f>IF(Conso!$AA$10="specific scope","X","")</f>
        <v/>
      </c>
      <c r="AG21" s="20">
        <f>IF(Conso!$AA$10="GET procedures","X","")</f>
        <v/>
      </c>
      <c r="AH21" s="20">
        <f>IF(Conso!$AA$10="other procedures","X","")</f>
        <v/>
      </c>
      <c r="AI21" s="343" t="inlineStr">
        <is>
          <t>Key component (규모 기준 15% 이상). 부문감사인(Mazars India)이 Audit Instruction 및 그룹업무팀이 제시한 부문중요성에 따라 12월말 기준 package 감사를 수행함 (full scope).</t>
        </is>
      </c>
      <c r="AJ21" s="198" t="inlineStr">
        <is>
          <t>Component Auditor</t>
        </is>
      </c>
      <c r="AK21" s="195" t="inlineStr">
        <is>
          <t>Mazars India</t>
        </is>
      </c>
      <c r="AL21" s="343" t="inlineStr">
        <is>
          <t>해외 부문(인도)으로 현지 법규·언어·상관행에 대한 이해가 필요하여 부문감사인을 활용함. 독립성·적격성은 Audit Instruction Deliverable로 확인하고, 부문중요성 제시, 위험평가 참여, Early Warning Memorandum, deliverable 검토를 통해 그룹업무팀이 관여함. 결산월(3월)과 연결결산일(12월)이 상이하므로 12월 31일 기준 재무정보에 대한 package 감사를 요구함.</t>
        </is>
      </c>
      <c r="AM21" s="2" t="n"/>
      <c r="AN21" s="7" t="n"/>
    </row>
    <row r="22">
      <c r="B22" s="6" t="n"/>
      <c r="C22" s="5" t="n"/>
      <c r="D22" s="111" t="n"/>
      <c r="E22" s="111" t="n"/>
      <c r="F22" s="112" t="n"/>
      <c r="G22" s="112" t="n"/>
      <c r="H22" s="112" t="n"/>
      <c r="I22" s="112" t="n"/>
      <c r="J22" s="112" t="n"/>
      <c r="K22" s="1" t="n"/>
      <c r="L22" s="112" t="n"/>
      <c r="M22" s="112" t="n"/>
      <c r="N22" s="112" t="n"/>
      <c r="O22" s="112" t="n"/>
      <c r="P22" s="112" t="n"/>
      <c r="Q22" s="43" t="n"/>
      <c r="R22" s="112" t="n"/>
      <c r="S22" s="112" t="n"/>
      <c r="T22" s="112" t="n"/>
      <c r="U22" s="112" t="n"/>
      <c r="V22" s="112" t="n"/>
      <c r="W22" s="112" t="n"/>
      <c r="X22" s="112" t="n"/>
      <c r="Y22" s="112" t="n"/>
      <c r="Z22" s="112" t="n"/>
      <c r="AA22" s="112" t="n"/>
      <c r="AB22" s="112" t="n"/>
      <c r="AC22" s="112" t="n"/>
      <c r="AD22" s="42" t="n"/>
      <c r="AE22" s="112" t="n"/>
      <c r="AF22" s="112" t="n"/>
      <c r="AG22" s="112" t="n"/>
      <c r="AH22" s="112" t="n"/>
      <c r="AI22" s="112" t="n"/>
      <c r="AJ22" s="112" t="n"/>
      <c r="AK22" s="112" t="n"/>
      <c r="AL22" s="112" t="n"/>
      <c r="AM22" s="2" t="n"/>
      <c r="AN22" s="7" t="n"/>
    </row>
    <row r="23" ht="15" customHeight="1" thickBot="1">
      <c r="B23" s="13" t="n"/>
      <c r="C23" s="21" t="inlineStr">
        <is>
          <t>Total</t>
        </is>
      </c>
      <c r="D23" s="21" t="n"/>
      <c r="E23" s="21" t="n"/>
      <c r="F23" s="22" t="n"/>
      <c r="G23" s="22" t="n"/>
      <c r="H23" s="22" t="n"/>
      <c r="I23" s="349">
        <f>SUM(I18:I21)</f>
        <v/>
      </c>
      <c r="J23" s="23">
        <f>SUM(J18:J21)</f>
        <v/>
      </c>
      <c r="K23" s="22" t="n"/>
      <c r="L23" s="26" t="n"/>
      <c r="M23" s="26" t="n"/>
      <c r="N23" s="26" t="n"/>
      <c r="O23" s="26" t="n"/>
      <c r="P23" s="26" t="n"/>
      <c r="Q23" s="22" t="n"/>
      <c r="R23" s="26" t="n"/>
      <c r="S23" s="26" t="n"/>
      <c r="T23" s="26" t="n"/>
      <c r="U23" s="26" t="n"/>
      <c r="V23" s="26" t="n"/>
      <c r="W23" s="26" t="n"/>
      <c r="X23" s="26" t="n"/>
      <c r="Y23" s="26" t="n"/>
      <c r="Z23" s="26" t="n"/>
      <c r="AA23" s="26" t="n"/>
      <c r="AB23" s="26" t="n"/>
      <c r="AC23" s="26" t="n"/>
      <c r="AD23" s="26" t="n"/>
      <c r="AE23" s="26" t="n"/>
      <c r="AF23" s="26" t="n"/>
      <c r="AG23" s="26" t="n"/>
      <c r="AH23" s="26" t="n"/>
      <c r="AI23" s="26" t="n"/>
      <c r="AJ23" s="26" t="n"/>
      <c r="AK23" s="26" t="n"/>
      <c r="AL23" s="22" t="n"/>
      <c r="AM23" s="22" t="n"/>
      <c r="AN23" s="14" t="n"/>
    </row>
    <row r="24">
      <c r="B24" s="6" t="n"/>
      <c r="C24" s="5" t="n"/>
      <c r="D24" s="5" t="n"/>
      <c r="E24" s="5" t="n"/>
      <c r="F24" s="2" t="n"/>
      <c r="G24" s="2" t="n"/>
      <c r="H24" s="2" t="n"/>
      <c r="I24" s="2" t="n"/>
      <c r="J24" s="4" t="n"/>
      <c r="K24" s="2" t="n"/>
      <c r="L24" s="2" t="n"/>
      <c r="M24" s="2" t="n"/>
      <c r="N24" s="2" t="n"/>
      <c r="O24" s="2" t="n"/>
      <c r="P24" s="2" t="n"/>
      <c r="Q24" s="2" t="n"/>
      <c r="R24" s="2" t="n"/>
      <c r="S24" s="2" t="n"/>
      <c r="T24" s="2" t="n"/>
      <c r="U24" s="2" t="n"/>
      <c r="V24" s="2" t="n"/>
      <c r="W24" s="2" t="n"/>
      <c r="X24" s="2" t="n"/>
      <c r="Y24" s="2" t="n"/>
      <c r="Z24" s="2" t="n"/>
      <c r="AA24" s="2" t="n"/>
      <c r="AB24" s="2" t="n"/>
      <c r="AC24" s="2" t="n"/>
      <c r="AD24" s="2" t="n"/>
      <c r="AE24" s="2" t="n"/>
      <c r="AF24" s="2" t="n"/>
      <c r="AG24" s="2" t="n"/>
      <c r="AH24" s="2" t="n"/>
      <c r="AI24" s="2" t="n"/>
      <c r="AJ24" s="2" t="n"/>
      <c r="AK24" s="2" t="n"/>
      <c r="AL24" s="2" t="n"/>
      <c r="AM24" s="2" t="n"/>
      <c r="AN24" s="7" t="n"/>
    </row>
    <row r="25">
      <c r="B25" s="6" t="n"/>
      <c r="C25" s="5" t="n"/>
      <c r="D25" s="5" t="n"/>
      <c r="E25" s="5" t="n"/>
      <c r="F25" s="5" t="n"/>
      <c r="G25" s="5" t="n"/>
      <c r="H25" s="2" t="n"/>
      <c r="I25" s="2" t="n"/>
      <c r="J25" s="4" t="n"/>
      <c r="K25" s="2" t="n"/>
      <c r="L25" s="2" t="n"/>
      <c r="M25" s="2" t="n"/>
      <c r="N25" s="2" t="n"/>
      <c r="O25" s="2" t="n"/>
      <c r="P25" s="2" t="n"/>
      <c r="Q25" s="2" t="n"/>
      <c r="R25" s="2" t="n"/>
      <c r="S25" s="2" t="n"/>
      <c r="T25" s="2" t="n"/>
      <c r="U25" s="2" t="n"/>
      <c r="V25" s="2" t="n"/>
      <c r="W25" s="2" t="n"/>
      <c r="X25" s="2" t="n"/>
      <c r="Y25" s="2" t="n"/>
      <c r="Z25" s="2" t="n"/>
      <c r="AA25" s="2" t="n"/>
      <c r="AB25" s="2" t="n"/>
      <c r="AC25" s="2" t="n"/>
      <c r="AD25" s="2" t="n"/>
      <c r="AE25" s="2" t="n"/>
      <c r="AF25" s="2" t="n"/>
      <c r="AG25" s="2" t="n"/>
      <c r="AH25" s="2" t="n"/>
      <c r="AI25" s="2" t="n"/>
      <c r="AJ25" s="2" t="n"/>
      <c r="AK25" s="2" t="n"/>
      <c r="AL25" s="2" t="n"/>
      <c r="AM25" s="2" t="n"/>
      <c r="AN25" s="7" t="n"/>
    </row>
    <row r="26">
      <c r="B26" s="36" t="n"/>
      <c r="C26" s="37" t="n"/>
      <c r="D26" s="38" t="n"/>
      <c r="E26" s="37" t="n"/>
      <c r="F26" s="39" t="n"/>
      <c r="G26" s="39" t="n"/>
      <c r="H26" s="39" t="n"/>
      <c r="I26" s="39" t="n"/>
      <c r="J26" s="39" t="n"/>
      <c r="K26" s="39" t="n"/>
      <c r="L26" s="39" t="n"/>
      <c r="M26" s="39" t="n"/>
      <c r="N26" s="39" t="n"/>
      <c r="O26" s="39" t="n"/>
      <c r="P26" s="39" t="n"/>
      <c r="Q26" s="39" t="n"/>
      <c r="R26" s="39" t="n"/>
      <c r="S26" s="39" t="n"/>
      <c r="T26" s="39" t="n"/>
      <c r="U26" s="39" t="n"/>
      <c r="V26" s="39" t="n"/>
      <c r="W26" s="39" t="n"/>
      <c r="X26" s="39" t="n"/>
      <c r="Y26" s="39" t="n"/>
      <c r="Z26" s="39" t="n"/>
      <c r="AA26" s="39" t="n"/>
      <c r="AB26" s="39" t="n"/>
      <c r="AC26" s="39" t="n"/>
      <c r="AD26" s="39" t="n"/>
      <c r="AE26" s="39" t="n"/>
      <c r="AF26" s="39" t="n"/>
      <c r="AG26" s="39" t="n"/>
      <c r="AH26" s="39" t="n"/>
      <c r="AI26" s="39" t="n"/>
      <c r="AJ26" s="39" t="n"/>
      <c r="AK26" s="39" t="n"/>
      <c r="AL26" s="39" t="n"/>
      <c r="AM26" s="39" t="n"/>
      <c r="AN26" s="41" t="n"/>
    </row>
  </sheetData>
  <sheetProtection selectLockedCells="0" selectUnlockedCells="0" algorithmName="SHA-512" sheet="1" objects="1" insertRows="1" insertHyperlinks="1" autoFilter="1" scenarios="1" formatColumns="0" deleteColumns="1" insertColumns="1" pivotTables="1" deleteRows="1" formatCells="0" saltValue="CMbt3gEHxnzcC1ol0bcg8g==" formatRows="0" sort="1" spinCount="100000" hashValue="kMMA0gkj9agJ5dmfGL1tOedtVKGtPyR7kf7tS5k3ybVEnARd5HVszQ/yrOcnt56nW7X1MGvPs3D17wQWqLp/UQ=="/>
  <mergeCells count="37">
    <mergeCell ref="D11:F11"/>
    <mergeCell ref="N16:N17"/>
    <mergeCell ref="C15:J15"/>
    <mergeCell ref="X16:X17"/>
    <mergeCell ref="I16:I17"/>
    <mergeCell ref="R16:R17"/>
    <mergeCell ref="D7:F7"/>
    <mergeCell ref="AF16:AF17"/>
    <mergeCell ref="O16:O17"/>
    <mergeCell ref="AL16:AL17"/>
    <mergeCell ref="W16:W17"/>
    <mergeCell ref="AJ15:AL15"/>
    <mergeCell ref="L15:P15"/>
    <mergeCell ref="M16:M17"/>
    <mergeCell ref="D9:F9"/>
    <mergeCell ref="D16:D17"/>
    <mergeCell ref="AA16:AA17"/>
    <mergeCell ref="AG16:AG17"/>
    <mergeCell ref="D8:F8"/>
    <mergeCell ref="AI16:AI17"/>
    <mergeCell ref="J16:J17"/>
    <mergeCell ref="H16:H17"/>
    <mergeCell ref="AK16:AK17"/>
    <mergeCell ref="R15:U15"/>
    <mergeCell ref="E16:E17"/>
    <mergeCell ref="G16:G17"/>
    <mergeCell ref="S16:S17"/>
    <mergeCell ref="AJ16:AJ17"/>
    <mergeCell ref="D10:F10"/>
    <mergeCell ref="T16:T17"/>
    <mergeCell ref="W15:Y15"/>
    <mergeCell ref="AH16:AH17"/>
    <mergeCell ref="AE15:AI15"/>
    <mergeCell ref="Z15:AA15"/>
    <mergeCell ref="L16:L17"/>
    <mergeCell ref="AE16:AE17"/>
    <mergeCell ref="F16:F17"/>
  </mergeCells>
  <conditionalFormatting sqref="G8:G11">
    <cfRule type="containsBlanks" priority="43" dxfId="40">
      <formula>LEN(TRIM(G8))=0</formula>
    </cfRule>
  </conditionalFormatting>
  <conditionalFormatting sqref="L18:N18">
    <cfRule type="cellIs" priority="3" operator="equal" dxfId="19">
      <formula>"N"</formula>
    </cfRule>
    <cfRule type="cellIs" priority="4" operator="equal" dxfId="18">
      <formula>"Y"</formula>
    </cfRule>
  </conditionalFormatting>
  <conditionalFormatting sqref="W18">
    <cfRule type="cellIs" priority="13" operator="equal" dxfId="19">
      <formula>"Not scoped in"</formula>
    </cfRule>
    <cfRule type="cellIs" priority="14" operator="equal" dxfId="1">
      <formula>"Additionally scoped in"</formula>
    </cfRule>
    <cfRule type="cellIs" priority="12" operator="equal" dxfId="24">
      <formula>"N/A"</formula>
    </cfRule>
  </conditionalFormatting>
  <conditionalFormatting sqref="AC18">
    <cfRule type="cellIs" priority="17" operator="equal" dxfId="0">
      <formula>"Non-material component"</formula>
    </cfRule>
    <cfRule type="cellIs" priority="18" operator="equal" dxfId="17">
      <formula>"Out of scope"</formula>
    </cfRule>
    <cfRule type="cellIs" priority="19" operator="equal" dxfId="22">
      <formula>"material component"</formula>
    </cfRule>
    <cfRule type="cellIs" priority="20" operator="equal" dxfId="18">
      <formula>"Key component"</formula>
    </cfRule>
  </conditionalFormatting>
  <conditionalFormatting sqref="AJ18">
    <cfRule type="cellIs" priority="21" operator="equal" dxfId="1">
      <formula>"component auditor"</formula>
    </cfRule>
    <cfRule type="cellIs" priority="22" operator="equal" dxfId="29">
      <formula>"Group auditor"</formula>
    </cfRule>
  </conditionalFormatting>
  <conditionalFormatting sqref="R18">
    <cfRule type="cellIs" priority="7" operator="equal" dxfId="24">
      <formula>"N/A"</formula>
    </cfRule>
    <cfRule type="cellIs" priority="8" operator="equal" dxfId="22">
      <formula>"Y"</formula>
    </cfRule>
  </conditionalFormatting>
  <conditionalFormatting sqref="Y18">
    <cfRule type="cellIs" priority="15" operator="equal" dxfId="0">
      <formula>"Non-material component"</formula>
    </cfRule>
    <cfRule type="cellIs" priority="16" operator="equal" dxfId="24">
      <formula>"N/A"</formula>
    </cfRule>
  </conditionalFormatting>
  <conditionalFormatting sqref="U18">
    <cfRule type="cellIs" priority="9" operator="equal" dxfId="24">
      <formula>"N/A"</formula>
    </cfRule>
    <cfRule type="cellIs" priority="10" operator="equal" dxfId="20">
      <formula>"Further analysis"</formula>
    </cfRule>
    <cfRule type="cellIs" priority="11" operator="equal" dxfId="22">
      <formula>"Material component"</formula>
    </cfRule>
  </conditionalFormatting>
  <conditionalFormatting sqref="P18">
    <cfRule type="cellIs" priority="5" operator="equal" dxfId="18">
      <formula>"Key component"</formula>
    </cfRule>
    <cfRule type="cellIs" priority="6" operator="equal" dxfId="20">
      <formula>"Further analysis"</formula>
    </cfRule>
  </conditionalFormatting>
  <conditionalFormatting sqref="S18">
    <cfRule type="cellIs" priority="1" operator="equal" dxfId="19">
      <formula>"N"</formula>
    </cfRule>
    <cfRule type="cellIs" priority="2" operator="equal" dxfId="18">
      <formula>"Y"</formula>
    </cfRule>
  </conditionalFormatting>
  <dataValidations count="4">
    <dataValidation sqref="G11" showDropDown="0" showInputMessage="0" showErrorMessage="0" allowBlank="1" type="list">
      <formula1>"PBT,Revenue,Assets,Equity (net assets),Other"</formula1>
    </dataValidation>
    <dataValidation sqref="M18:N21 Z18:Z21" showDropDown="0" showInputMessage="0" showErrorMessage="0" allowBlank="1" type="list">
      <formula1>"Y,N"</formula1>
    </dataValidation>
    <dataValidation sqref="AJ18:AJ21" showDropDown="0" showInputMessage="0" showErrorMessage="0" allowBlank="1" type="list">
      <formula1>Auditor</formula1>
    </dataValidation>
    <dataValidation sqref="S18:S21" showDropDown="0" showInputMessage="0" showErrorMessage="0" allowBlank="1" type="list">
      <formula1>"X,N/A"</formula1>
    </dataValidation>
  </dataValidations>
  <pageMargins left="0.7480314960629921" right="0.7480314960629921" top="0.984251968503937" bottom="0.984251968503937" header="0.5118110236220472" footer="0.5118110236220472"/>
  <pageSetup orientation="landscape" paperSize="8" scale="15" fitToHeight="0"/>
  <legacyDrawing xmlns:r="http://schemas.openxmlformats.org/officeDocument/2006/relationships" r:id="anysvml"/>
</worksheet>
</file>

<file path=xl/worksheets/sheet5.xml><?xml version="1.0" encoding="utf-8"?>
<worksheet xmlns="http://schemas.openxmlformats.org/spreadsheetml/2006/main">
  <sheetPr codeName="Blad1">
    <tabColor rgb="FF7030A0"/>
    <outlinePr summaryBelow="1" summaryRight="1"/>
    <pageSetUpPr/>
  </sheetPr>
  <dimension ref="B1:Y42"/>
  <sheetViews>
    <sheetView showGridLines="0" workbookViewId="0">
      <pane xSplit="8" topLeftCell="I1" activePane="topRight" state="frozen"/>
      <selection activeCell="DD18" sqref="DD18:EK18"/>
      <selection pane="topRight" activeCell="J13" sqref="J13:K13"/>
    </sheetView>
  </sheetViews>
  <sheetFormatPr baseColWidth="8" defaultRowHeight="15"/>
  <cols>
    <col width="3.7109375" customWidth="1" style="242" min="1" max="1"/>
    <col width="9.140625" customWidth="1" style="242" min="2" max="2"/>
    <col width="51.28515625" bestFit="1" customWidth="1" style="242" min="3" max="3"/>
    <col width="9.140625" customWidth="1" style="242" min="4" max="8"/>
    <col width="19.85546875" bestFit="1" customWidth="1" style="309" min="9" max="9"/>
    <col width="47.85546875" customWidth="1" style="242" min="10" max="10"/>
    <col width="39.5703125" bestFit="1" customWidth="1" style="309" min="11" max="11"/>
    <col width="19.85546875" bestFit="1" customWidth="1" style="309" min="12" max="12"/>
    <col width="44.7109375" customWidth="1" style="242" min="13" max="13"/>
    <col width="39.5703125" bestFit="1" customWidth="1" style="309" min="14" max="14"/>
    <col width="19.85546875" bestFit="1" customWidth="1" style="309" min="15" max="15"/>
    <col width="51.42578125" customWidth="1" style="242" min="16" max="16"/>
    <col width="39.5703125" bestFit="1" customWidth="1" style="309" min="17" max="17"/>
    <col width="19.85546875" bestFit="1" customWidth="1" style="309" min="18" max="18"/>
    <col width="48.5703125" customWidth="1" style="242" min="19" max="19"/>
    <col width="39.5703125" customWidth="1" style="309" min="20" max="20"/>
    <col width="19.85546875" bestFit="1" customWidth="1" style="309" min="21" max="21"/>
    <col width="48.28515625" customWidth="1" style="242" min="22" max="22"/>
    <col width="39.5703125" customWidth="1" style="309" min="23" max="23"/>
    <col width="23.85546875" customWidth="1" style="242" min="24" max="24"/>
    <col width="21.42578125" customWidth="1" style="242" min="25" max="25"/>
    <col width="9.140625" customWidth="1" style="242" min="26" max="16384"/>
  </cols>
  <sheetData>
    <row r="1" ht="15.75" customHeight="1" thickBot="1">
      <c r="D1" s="254" t="n"/>
    </row>
    <row r="2">
      <c r="B2" s="247" t="n"/>
      <c r="C2" s="248" t="n"/>
      <c r="D2" s="273" t="inlineStr">
        <is>
          <t xml:space="preserve">Attention! </t>
        </is>
      </c>
      <c r="E2" s="248" t="n"/>
      <c r="F2" s="248" t="n"/>
      <c r="G2" s="248" t="n"/>
      <c r="H2" s="248" t="n"/>
      <c r="I2" s="310" t="n"/>
      <c r="J2" s="248" t="n"/>
      <c r="K2" s="310" t="n"/>
      <c r="L2" s="310" t="n"/>
      <c r="M2" s="248" t="n"/>
      <c r="N2" s="310" t="n"/>
      <c r="O2" s="310" t="n"/>
      <c r="P2" s="248" t="n"/>
      <c r="Q2" s="310" t="n"/>
      <c r="R2" s="310" t="n"/>
      <c r="S2" s="248" t="n"/>
      <c r="T2" s="310" t="n"/>
      <c r="U2" s="310" t="n"/>
      <c r="V2" s="248" t="n"/>
      <c r="W2" s="310" t="n"/>
      <c r="X2" s="248" t="n"/>
      <c r="Y2" s="249" t="n"/>
    </row>
    <row r="3">
      <c r="B3" s="250" t="n"/>
      <c r="D3" s="273" t="inlineStr">
        <is>
          <t>Tab to be filled in only if you decide to rebut the presumption that material component should be scoped in.</t>
        </is>
      </c>
      <c r="Y3" s="251" t="n"/>
    </row>
    <row r="4" ht="15.75" customHeight="1" thickBot="1">
      <c r="B4" s="250" t="n"/>
      <c r="D4" s="273" t="inlineStr">
        <is>
          <t>Where a material component presumption has been rebutted, the residual population assessment in the stand-back tab needs to be completed.</t>
        </is>
      </c>
      <c r="Y4" s="251" t="n"/>
    </row>
    <row r="5" ht="23.25" customHeight="1">
      <c r="B5" s="243" t="n"/>
      <c r="C5" s="244" t="inlineStr">
        <is>
          <t>Material component - rebuttal</t>
        </is>
      </c>
      <c r="D5" s="245" t="n"/>
      <c r="E5" s="245" t="n"/>
      <c r="F5" s="246" t="n"/>
      <c r="G5" s="246" t="n"/>
      <c r="H5" s="246" t="n"/>
      <c r="I5" s="311" t="n"/>
      <c r="J5" s="246" t="n"/>
      <c r="K5" s="311" t="n"/>
      <c r="L5" s="311" t="n"/>
      <c r="M5" s="246" t="n"/>
      <c r="N5" s="311" t="n"/>
      <c r="O5" s="311" t="n"/>
      <c r="P5" s="246" t="n"/>
      <c r="Q5" s="311" t="n"/>
      <c r="R5" s="311" t="n"/>
      <c r="S5" s="246" t="n"/>
      <c r="T5" s="311" t="n"/>
      <c r="U5" s="311" t="n"/>
      <c r="V5" s="246" t="n"/>
      <c r="W5" s="311" t="n"/>
      <c r="X5" s="246" t="n"/>
      <c r="Y5" s="252" t="n"/>
    </row>
    <row r="6">
      <c r="B6" s="250" t="n"/>
      <c r="Y6" s="251" t="n"/>
    </row>
    <row r="7">
      <c r="B7" s="250" t="n"/>
      <c r="C7" s="299" t="inlineStr">
        <is>
          <t>Guidance</t>
        </is>
      </c>
      <c r="D7" s="300" t="n"/>
      <c r="E7" s="300" t="n"/>
      <c r="F7" s="300" t="n"/>
      <c r="G7" s="300" t="n"/>
      <c r="H7" s="300" t="n"/>
      <c r="I7" s="312" t="n"/>
      <c r="J7" s="300" t="n"/>
      <c r="K7" s="312" t="n"/>
      <c r="L7" s="313" t="n"/>
      <c r="Y7" s="251" t="n"/>
    </row>
    <row r="8">
      <c r="B8" s="250" t="n"/>
      <c r="C8" s="302" t="n"/>
      <c r="L8" s="314" t="n"/>
      <c r="Y8" s="251" t="n"/>
    </row>
    <row r="9" ht="44.25" customHeight="1">
      <c r="B9" s="250" t="n"/>
      <c r="C9" s="598" t="inlineStr">
        <is>
          <t xml:space="preserve">MAM Policy: In determining the components at which to perform audit procedures, the group auditor evaluates their identification and assessment of risks of material misstatement of the group financial statements, and scope-in key components. Where further audit evidence is required after this assessment, the group auditor exercises professional judgment to determine at which material components these procedures should be performed.  There is a rebuttable presumption that all material components are scoped-in, unless the group auditor determines that sufficient and appropriate audit evidence can be obtained for the group financial statements based on planned audit evidence from a selected number of components.  </t>
        </is>
      </c>
      <c r="L9" s="599" t="n"/>
      <c r="Y9" s="251" t="n"/>
    </row>
    <row r="10">
      <c r="B10" s="250" t="n"/>
      <c r="C10" s="303" t="inlineStr">
        <is>
          <t>The group auditor should document their justification for material components for which substantive procedures are not planned in the table below (if applicable). The answers given must be supported with evidence.</t>
        </is>
      </c>
      <c r="D10" s="304" t="n"/>
      <c r="E10" s="304" t="n"/>
      <c r="F10" s="304" t="n"/>
      <c r="G10" s="304" t="n"/>
      <c r="H10" s="304" t="n"/>
      <c r="I10" s="315" t="n"/>
      <c r="J10" s="304" t="n"/>
      <c r="K10" s="315" t="n"/>
      <c r="L10" s="316" t="n"/>
      <c r="Y10" s="251" t="n"/>
    </row>
    <row r="11">
      <c r="B11" s="250" t="n"/>
      <c r="Y11" s="251" t="n"/>
    </row>
    <row r="12" ht="15.75" customHeight="1" thickBot="1">
      <c r="B12" s="256" t="n"/>
      <c r="C12" s="600" t="inlineStr">
        <is>
          <t>해당사항 없음 (N/A). 반증(rebuttal)을 적용한 material component가 없음 - 4개 부문 전체를 key component로 식별하고 full scope을 적용함.</t>
        </is>
      </c>
      <c r="D12" s="214" t="n"/>
      <c r="E12" s="214" t="n"/>
      <c r="F12" s="214" t="n"/>
      <c r="G12" s="214" t="n"/>
      <c r="H12" s="214" t="n"/>
      <c r="Y12" s="251" t="n"/>
    </row>
    <row r="13" ht="15.75" customHeight="1" thickBot="1">
      <c r="B13" s="256" t="n"/>
      <c r="C13" s="214" t="n"/>
      <c r="D13" s="214" t="n"/>
      <c r="E13" s="214" t="n"/>
      <c r="F13" s="214" t="n"/>
      <c r="G13" s="214" t="n"/>
      <c r="H13" s="214" t="n"/>
      <c r="I13" s="317" t="inlineStr">
        <is>
          <t>1 - component name</t>
        </is>
      </c>
      <c r="J13" s="601" t="n"/>
      <c r="K13" s="602" t="n"/>
      <c r="L13" s="317" t="inlineStr">
        <is>
          <t>2 - component name</t>
        </is>
      </c>
      <c r="M13" s="601" t="n"/>
      <c r="N13" s="602" t="n"/>
      <c r="O13" s="317" t="inlineStr">
        <is>
          <t>3 - component name</t>
        </is>
      </c>
      <c r="P13" s="601" t="n"/>
      <c r="Q13" s="602" t="n"/>
      <c r="R13" s="317" t="inlineStr">
        <is>
          <t>4 - component name</t>
        </is>
      </c>
      <c r="S13" s="601" t="n"/>
      <c r="T13" s="602" t="n"/>
      <c r="U13" s="317" t="inlineStr">
        <is>
          <t>5 - component name</t>
        </is>
      </c>
      <c r="V13" s="601" t="n"/>
      <c r="W13" s="602" t="n"/>
      <c r="X13" s="259" t="inlineStr">
        <is>
          <t>Please add more components if needed</t>
        </is>
      </c>
      <c r="Y13" s="251" t="n"/>
    </row>
    <row r="14">
      <c r="B14" s="481" t="inlineStr">
        <is>
          <t>Considered risk factors on material component</t>
        </is>
      </c>
      <c r="C14" s="562" t="n"/>
      <c r="D14" s="562" t="n"/>
      <c r="E14" s="562" t="n"/>
      <c r="F14" s="562" t="n"/>
      <c r="G14" s="562" t="n"/>
      <c r="H14" s="563" t="n"/>
      <c r="I14" s="318" t="inlineStr">
        <is>
          <t>Answer</t>
        </is>
      </c>
      <c r="J14" s="258" t="inlineStr">
        <is>
          <t>Comment</t>
        </is>
      </c>
      <c r="K14" s="319" t="inlineStr">
        <is>
          <t>Impact on risk assessment</t>
        </is>
      </c>
      <c r="L14" s="318" t="inlineStr">
        <is>
          <t>Answer</t>
        </is>
      </c>
      <c r="M14" s="258" t="inlineStr">
        <is>
          <t>Comment</t>
        </is>
      </c>
      <c r="N14" s="319" t="inlineStr">
        <is>
          <t>Effect on risk assessment</t>
        </is>
      </c>
      <c r="O14" s="318" t="inlineStr">
        <is>
          <t>Answer</t>
        </is>
      </c>
      <c r="P14" s="258" t="inlineStr">
        <is>
          <t>Comment</t>
        </is>
      </c>
      <c r="Q14" s="319" t="inlineStr">
        <is>
          <t>Effect on risk assessment</t>
        </is>
      </c>
      <c r="R14" s="318" t="inlineStr">
        <is>
          <t>Answer</t>
        </is>
      </c>
      <c r="S14" s="258" t="inlineStr">
        <is>
          <t>Comment</t>
        </is>
      </c>
      <c r="T14" s="319" t="inlineStr">
        <is>
          <t>Effect on risk assessment</t>
        </is>
      </c>
      <c r="U14" s="318" t="inlineStr">
        <is>
          <t>Answer</t>
        </is>
      </c>
      <c r="V14" s="258" t="inlineStr">
        <is>
          <t>Comment</t>
        </is>
      </c>
      <c r="W14" s="319" t="inlineStr">
        <is>
          <t>Effect on risk assessment</t>
        </is>
      </c>
      <c r="Y14" s="251" t="n"/>
    </row>
    <row r="15">
      <c r="B15" s="475" t="inlineStr">
        <is>
          <t>Only one or a few COTABDs are above group FS materiality</t>
        </is>
      </c>
      <c r="C15" s="576" t="n"/>
      <c r="D15" s="576" t="n"/>
      <c r="E15" s="576" t="n"/>
      <c r="F15" s="576" t="n"/>
      <c r="G15" s="576" t="n"/>
      <c r="H15" s="603" t="n"/>
      <c r="I15" s="320" t="n"/>
      <c r="J15" s="321" t="n"/>
      <c r="K15" s="322">
        <f>IF(I15="No","Higher risk assessment",IF(I15="Yes","Lower risk assessment","Please select an answer"))</f>
        <v/>
      </c>
      <c r="L15" s="320" t="n"/>
      <c r="M15" s="321" t="n"/>
      <c r="N15" s="322">
        <f>IF(L15="No","Higher risk assessment",IF(L15="Yes","Lower risk assessment","Please select an answer"))</f>
        <v/>
      </c>
      <c r="O15" s="320" t="n"/>
      <c r="P15" s="321" t="n"/>
      <c r="Q15" s="322">
        <f>IF(O15="No","Higher risk assessment",IF(O15="Yes","Lower risk assessment","Please select an answer"))</f>
        <v/>
      </c>
      <c r="R15" s="320" t="n"/>
      <c r="S15" s="321" t="n"/>
      <c r="T15" s="322">
        <f>IF(R15="No","Higher risk assessment",IF(R15="Yes","Lower risk assessment","Please select an answer"))</f>
        <v/>
      </c>
      <c r="U15" s="320" t="n"/>
      <c r="V15" s="321" t="n"/>
      <c r="W15" s="322">
        <f>IF(U15="No","Higher risk assessment",IF(U15="Yes","Lower risk assessment","Please select an answer"))</f>
        <v/>
      </c>
      <c r="Y15" s="251" t="n"/>
    </row>
    <row r="16">
      <c r="B16" s="475" t="inlineStr">
        <is>
          <t>Amount of COTABD(s) above 2 times group FS materiality</t>
        </is>
      </c>
      <c r="C16" s="576" t="n"/>
      <c r="D16" s="576" t="n"/>
      <c r="E16" s="576" t="n"/>
      <c r="F16" s="576" t="n"/>
      <c r="G16" s="576" t="n"/>
      <c r="H16" s="603" t="n"/>
      <c r="I16" s="320" t="n"/>
      <c r="J16" s="321" t="n"/>
      <c r="K16" s="322">
        <f>IF(I16="Yes","Higher risk assessment",IF(I16="No","Lower risk assessment","Please select an answer"))</f>
        <v/>
      </c>
      <c r="L16" s="320" t="n"/>
      <c r="M16" s="321" t="n"/>
      <c r="N16" s="322">
        <f>IF(L16="Yes","Higher risk assessment",IF(L16="No","Lower risk assessment","Please select an answer"))</f>
        <v/>
      </c>
      <c r="O16" s="320" t="n"/>
      <c r="P16" s="321" t="n"/>
      <c r="Q16" s="322">
        <f>IF(O16="Yes","Higher risk assessment",IF(O16="No","Lower risk assessment","Please select an answer"))</f>
        <v/>
      </c>
      <c r="R16" s="320" t="n"/>
      <c r="S16" s="321" t="n"/>
      <c r="T16" s="322">
        <f>IF(R16="Yes","Higher risk assessment",IF(R16="No","Lower risk assessment","Please select an answer"))</f>
        <v/>
      </c>
      <c r="U16" s="320" t="n"/>
      <c r="V16" s="321" t="n"/>
      <c r="W16" s="322">
        <f>IF(U16="Yes","Higher risk assessment",IF(U16="No","Lower risk assessment","Please select an answer"))</f>
        <v/>
      </c>
      <c r="Y16" s="251" t="n"/>
    </row>
    <row r="17" ht="27.75" customHeight="1">
      <c r="B17" s="475" t="inlineStr">
        <is>
          <t>Results of past audit work at component level (due to scoping-in for group purposes or local statutory audit) contained material misstatements or significant control deficiencies</t>
        </is>
      </c>
      <c r="C17" s="576" t="n"/>
      <c r="D17" s="576" t="n"/>
      <c r="E17" s="576" t="n"/>
      <c r="F17" s="576" t="n"/>
      <c r="G17" s="576" t="n"/>
      <c r="H17" s="603" t="n"/>
      <c r="I17" s="320" t="n"/>
      <c r="J17" s="321" t="n"/>
      <c r="K17" s="322">
        <f>IF(I17="Yes","Higher risk assessment",IF(I17="No","Lower risk assessment","Please select an answer"))</f>
        <v/>
      </c>
      <c r="L17" s="320" t="n"/>
      <c r="M17" s="321" t="n"/>
      <c r="N17" s="322">
        <f>IF(L17="Yes","Higher risk assessment",IF(L17="No","Lower risk assessment","Please select an answer"))</f>
        <v/>
      </c>
      <c r="O17" s="320" t="n"/>
      <c r="P17" s="321" t="n"/>
      <c r="Q17" s="322">
        <f>IF(O17="Yes","Higher risk assessment",IF(O17="No","Lower risk assessment","Please select an answer"))</f>
        <v/>
      </c>
      <c r="R17" s="320" t="n"/>
      <c r="S17" s="321" t="n"/>
      <c r="T17" s="322">
        <f>IF(R17="Yes","Higher risk assessment",IF(R17="No","Lower risk assessment","Please select an answer"))</f>
        <v/>
      </c>
      <c r="U17" s="320" t="n"/>
      <c r="V17" s="321" t="n"/>
      <c r="W17" s="322">
        <f>IF(U17="Yes","Higher risk assessment",IF(U17="No","Lower risk assessment","Please select an answer"))</f>
        <v/>
      </c>
      <c r="Y17" s="251" t="n"/>
    </row>
    <row r="18">
      <c r="B18" s="475" t="inlineStr">
        <is>
          <t>Internal control audits detected significant deficiencies</t>
        </is>
      </c>
      <c r="C18" s="576" t="n"/>
      <c r="D18" s="576" t="n"/>
      <c r="E18" s="576" t="n"/>
      <c r="F18" s="576" t="n"/>
      <c r="G18" s="576" t="n"/>
      <c r="H18" s="603" t="n"/>
      <c r="I18" s="320" t="n"/>
      <c r="J18" s="321" t="n"/>
      <c r="K18" s="322">
        <f>IF(I18="Yes","Higher risk assessment",IF(I18="No","Lower risk assessment","Please select an answer"))</f>
        <v/>
      </c>
      <c r="L18" s="320" t="n"/>
      <c r="M18" s="321" t="n"/>
      <c r="N18" s="322">
        <f>IF(L18="Yes","Higher risk assessment",IF(L18="No","Lower risk assessment","Please select an answer"))</f>
        <v/>
      </c>
      <c r="O18" s="320" t="n"/>
      <c r="P18" s="321" t="n"/>
      <c r="Q18" s="322">
        <f>IF(O18="Yes","Higher risk assessment",IF(O18="No","Lower risk assessment","Please select an answer"))</f>
        <v/>
      </c>
      <c r="R18" s="320" t="n"/>
      <c r="S18" s="321" t="n"/>
      <c r="T18" s="322">
        <f>IF(R18="Yes","Higher risk assessment",IF(R18="No","Lower risk assessment","Please select an answer"))</f>
        <v/>
      </c>
      <c r="U18" s="320" t="n"/>
      <c r="V18" s="321" t="n"/>
      <c r="W18" s="322">
        <f>IF(U18="Yes","Higher risk assessment",IF(U18="No","Lower risk assessment","Please select an answer"))</f>
        <v/>
      </c>
      <c r="Y18" s="251" t="n"/>
    </row>
    <row r="19">
      <c r="B19" s="475" t="inlineStr">
        <is>
          <t>Preliminary analytical procedures show abnormal fluctuations</t>
        </is>
      </c>
      <c r="C19" s="576" t="n"/>
      <c r="D19" s="576" t="n"/>
      <c r="E19" s="576" t="n"/>
      <c r="F19" s="576" t="n"/>
      <c r="G19" s="576" t="n"/>
      <c r="H19" s="603" t="n"/>
      <c r="I19" s="320" t="n"/>
      <c r="J19" s="321" t="n"/>
      <c r="K19" s="322">
        <f>IF(I19="Yes","Higher risk assessment",IF(I19="No","Lower risk assessment","Please select an answer"))</f>
        <v/>
      </c>
      <c r="L19" s="320" t="n"/>
      <c r="M19" s="321" t="n"/>
      <c r="N19" s="322">
        <f>IF(L19="Yes","Higher risk assessment",IF(L19="No","Lower risk assessment","Please select an answer"))</f>
        <v/>
      </c>
      <c r="O19" s="320" t="n"/>
      <c r="P19" s="321" t="n"/>
      <c r="Q19" s="322">
        <f>IF(O19="Yes","Higher risk assessment",IF(O19="No","Lower risk assessment","Please select an answer"))</f>
        <v/>
      </c>
      <c r="R19" s="320" t="n"/>
      <c r="S19" s="321" t="n"/>
      <c r="T19" s="322">
        <f>IF(R19="Yes","Higher risk assessment",IF(R19="No","Lower risk assessment","Please select an answer"))</f>
        <v/>
      </c>
      <c r="U19" s="320" t="n"/>
      <c r="V19" s="321" t="n"/>
      <c r="W19" s="322">
        <f>IF(U19="Yes","Higher risk assessment",IF(U19="No","Lower risk assessment","Please select an answer"))</f>
        <v/>
      </c>
      <c r="Y19" s="251" t="n"/>
    </row>
    <row r="20">
      <c r="B20" s="475" t="inlineStr">
        <is>
          <t>Component activities are unusual/unique for the group</t>
        </is>
      </c>
      <c r="C20" s="576" t="n"/>
      <c r="D20" s="576" t="n"/>
      <c r="E20" s="576" t="n"/>
      <c r="F20" s="576" t="n"/>
      <c r="G20" s="576" t="n"/>
      <c r="H20" s="603" t="n"/>
      <c r="I20" s="320" t="n"/>
      <c r="J20" s="321" t="n"/>
      <c r="K20" s="322">
        <f>IF(I20="Yes","Higher risk assessment",IF(I20="No","Lower risk assessment","Please select an answer"))</f>
        <v/>
      </c>
      <c r="L20" s="320" t="n"/>
      <c r="M20" s="321" t="n"/>
      <c r="N20" s="322">
        <f>IF(L20="Yes","Higher risk assessment",IF(L20="No","Lower risk assessment","Please select an answer"))</f>
        <v/>
      </c>
      <c r="O20" s="320" t="n"/>
      <c r="P20" s="321" t="n"/>
      <c r="Q20" s="322">
        <f>IF(O20="Yes","Higher risk assessment",IF(O20="No","Lower risk assessment","Please select an answer"))</f>
        <v/>
      </c>
      <c r="R20" s="320" t="n"/>
      <c r="S20" s="321" t="n"/>
      <c r="T20" s="322">
        <f>IF(R20="Yes","Higher risk assessment",IF(R20="No","Lower risk assessment","Please select an answer"))</f>
        <v/>
      </c>
      <c r="U20" s="320" t="n"/>
      <c r="V20" s="321" t="n"/>
      <c r="W20" s="322">
        <f>IF(U20="Yes","Higher risk assessment",IF(U20="No","Lower risk assessment","Please select an answer"))</f>
        <v/>
      </c>
      <c r="Y20" s="251" t="n"/>
    </row>
    <row r="21" ht="27.75" customHeight="1">
      <c r="B21" s="475" t="inlineStr">
        <is>
          <t>Based on information gathered through UTE, significant or unusual transactions outside the normal course of business are expected</t>
        </is>
      </c>
      <c r="C21" s="576" t="n"/>
      <c r="D21" s="576" t="n"/>
      <c r="E21" s="576" t="n"/>
      <c r="F21" s="576" t="n"/>
      <c r="G21" s="576" t="n"/>
      <c r="H21" s="603" t="n"/>
      <c r="I21" s="320" t="n"/>
      <c r="J21" s="321" t="n"/>
      <c r="K21" s="322">
        <f>IF(I21="Yes","Higher risk assessment",IF(I21="No","Lower risk assessment","Please select an answer"))</f>
        <v/>
      </c>
      <c r="L21" s="320" t="n"/>
      <c r="M21" s="321" t="n"/>
      <c r="N21" s="322">
        <f>IF(L21="Yes","Higher risk assessment",IF(L21="No","Lower risk assessment","Please select an answer"))</f>
        <v/>
      </c>
      <c r="O21" s="320" t="n"/>
      <c r="P21" s="321" t="n"/>
      <c r="Q21" s="322">
        <f>IF(O21="Yes","Higher risk assessment",IF(O21="No","Lower risk assessment","Please select an answer"))</f>
        <v/>
      </c>
      <c r="R21" s="320" t="n"/>
      <c r="S21" s="321" t="n"/>
      <c r="T21" s="322">
        <f>IF(R21="Yes","Higher risk assessment",IF(R21="No","Lower risk assessment","Please select an answer"))</f>
        <v/>
      </c>
      <c r="U21" s="320" t="n"/>
      <c r="V21" s="321" t="n"/>
      <c r="W21" s="322">
        <f>IF(U21="Yes","Higher risk assessment",IF(U21="No","Lower risk assessment","Please select an answer"))</f>
        <v/>
      </c>
      <c r="Y21" s="251" t="n"/>
    </row>
    <row r="22">
      <c r="B22" s="475" t="inlineStr">
        <is>
          <t>The component is newly formed or acquired</t>
        </is>
      </c>
      <c r="C22" s="576" t="n"/>
      <c r="D22" s="576" t="n"/>
      <c r="E22" s="576" t="n"/>
      <c r="F22" s="576" t="n"/>
      <c r="G22" s="576" t="n"/>
      <c r="H22" s="603" t="n"/>
      <c r="I22" s="320" t="n"/>
      <c r="J22" s="321" t="n"/>
      <c r="K22" s="322">
        <f>IF(I22="Yes","Higher risk assessment",IF(I22="No","Lower risk assessment","Please select an answer"))</f>
        <v/>
      </c>
      <c r="L22" s="320" t="n"/>
      <c r="M22" s="321" t="n"/>
      <c r="N22" s="322">
        <f>IF(L22="Yes","Higher risk assessment",IF(L22="No","Lower risk assessment","Please select an answer"))</f>
        <v/>
      </c>
      <c r="O22" s="320" t="n"/>
      <c r="P22" s="321" t="n"/>
      <c r="Q22" s="322">
        <f>IF(O22="Yes","Higher risk assessment",IF(O22="No","Lower risk assessment","Please select an answer"))</f>
        <v/>
      </c>
      <c r="R22" s="320" t="n"/>
      <c r="S22" s="321" t="n"/>
      <c r="T22" s="322">
        <f>IF(R22="Yes","Higher risk assessment",IF(R22="No","Lower risk assessment","Please select an answer"))</f>
        <v/>
      </c>
      <c r="U22" s="320" t="n"/>
      <c r="V22" s="321" t="n"/>
      <c r="W22" s="322">
        <f>IF(U22="Yes","Higher risk assessment",IF(U22="No","Lower risk assessment","Please select an answer"))</f>
        <v/>
      </c>
      <c r="Y22" s="251" t="n"/>
    </row>
    <row r="23" ht="15" customFormat="1" customHeight="1" s="323">
      <c r="B23" s="485" t="inlineStr">
        <is>
          <t>Significant changes took place in the component regarding:</t>
        </is>
      </c>
      <c r="C23" s="576" t="n"/>
      <c r="D23" s="576" t="n"/>
      <c r="E23" s="576" t="n"/>
      <c r="F23" s="576" t="n"/>
      <c r="G23" s="576" t="n"/>
      <c r="H23" s="603" t="n"/>
      <c r="I23" s="604" t="inlineStr">
        <is>
          <t>please see below</t>
        </is>
      </c>
      <c r="J23" s="576" t="n"/>
      <c r="K23" s="605" t="n"/>
      <c r="L23" s="604" t="inlineStr">
        <is>
          <t>please see below</t>
        </is>
      </c>
      <c r="M23" s="576" t="n"/>
      <c r="N23" s="605" t="n"/>
      <c r="O23" s="604" t="inlineStr">
        <is>
          <t>please see below</t>
        </is>
      </c>
      <c r="P23" s="576" t="n"/>
      <c r="Q23" s="605" t="n"/>
      <c r="R23" s="604" t="inlineStr">
        <is>
          <t>please see below</t>
        </is>
      </c>
      <c r="S23" s="576" t="n"/>
      <c r="T23" s="605" t="n"/>
      <c r="U23" s="604" t="inlineStr">
        <is>
          <t>please see below</t>
        </is>
      </c>
      <c r="V23" s="576" t="n"/>
      <c r="W23" s="605" t="n"/>
      <c r="Y23" s="324" t="n"/>
    </row>
    <row r="24">
      <c r="B24" s="491" t="inlineStr">
        <is>
          <t>- change in (group) strategy</t>
        </is>
      </c>
      <c r="C24" s="576" t="n"/>
      <c r="D24" s="576" t="n"/>
      <c r="E24" s="576" t="n"/>
      <c r="F24" s="576" t="n"/>
      <c r="G24" s="576" t="n"/>
      <c r="H24" s="603" t="n"/>
      <c r="I24" s="320" t="n"/>
      <c r="J24" s="321" t="n"/>
      <c r="K24" s="322">
        <f>IF(I24="Yes","Higher risk assessment",IF(I24="No","Lower risk assessment","Please select an answer"))</f>
        <v/>
      </c>
      <c r="L24" s="320" t="n"/>
      <c r="M24" s="321" t="n"/>
      <c r="N24" s="322">
        <f>IF(L24="Yes","Higher risk assessment",IF(L24="No","Lower risk assessment","Please select an answer"))</f>
        <v/>
      </c>
      <c r="O24" s="320" t="n"/>
      <c r="P24" s="321" t="n"/>
      <c r="Q24" s="322">
        <f>IF(O24="Yes","Higher risk assessment",IF(O24="No","Lower risk assessment","Please select an answer"))</f>
        <v/>
      </c>
      <c r="R24" s="320" t="n"/>
      <c r="S24" s="321" t="n"/>
      <c r="T24" s="322">
        <f>IF(R24="Yes","Higher risk assessment",IF(R24="No","Lower risk assessment","Please select an answer"))</f>
        <v/>
      </c>
      <c r="U24" s="320" t="n"/>
      <c r="V24" s="321" t="n"/>
      <c r="W24" s="322">
        <f>IF(U24="Yes","Higher risk assessment",IF(U24="No","Lower risk assessment","Please select an answer"))</f>
        <v/>
      </c>
      <c r="Y24" s="251" t="n"/>
    </row>
    <row r="25">
      <c r="B25" s="484" t="inlineStr">
        <is>
          <t>- material acquisitions</t>
        </is>
      </c>
      <c r="C25" s="576" t="n"/>
      <c r="D25" s="576" t="n"/>
      <c r="E25" s="576" t="n"/>
      <c r="F25" s="576" t="n"/>
      <c r="G25" s="576" t="n"/>
      <c r="H25" s="603" t="n"/>
      <c r="I25" s="320" t="n"/>
      <c r="J25" s="321" t="n"/>
      <c r="K25" s="322">
        <f>IF(I25="Yes","Higher risk assessment",IF(I25="No","Lower risk assessment","Please select an answer"))</f>
        <v/>
      </c>
      <c r="L25" s="320" t="n"/>
      <c r="M25" s="321" t="n"/>
      <c r="N25" s="322">
        <f>IF(L25="Yes","Higher risk assessment",IF(L25="No","Lower risk assessment","Please select an answer"))</f>
        <v/>
      </c>
      <c r="O25" s="320" t="n"/>
      <c r="P25" s="321" t="n"/>
      <c r="Q25" s="322">
        <f>IF(O25="Yes","Higher risk assessment",IF(O25="No","Lower risk assessment","Please select an answer"))</f>
        <v/>
      </c>
      <c r="R25" s="320" t="n"/>
      <c r="S25" s="321" t="n"/>
      <c r="T25" s="322">
        <f>IF(R25="Yes","Higher risk assessment",IF(R25="No","Lower risk assessment","Please select an answer"))</f>
        <v/>
      </c>
      <c r="U25" s="320" t="n"/>
      <c r="V25" s="321" t="n"/>
      <c r="W25" s="322">
        <f>IF(U25="Yes","Higher risk assessment",IF(U25="No","Lower risk assessment","Please select an answer"))</f>
        <v/>
      </c>
      <c r="Y25" s="251" t="n"/>
    </row>
    <row r="26">
      <c r="B26" s="484" t="inlineStr">
        <is>
          <t>- change of key management</t>
        </is>
      </c>
      <c r="C26" s="576" t="n"/>
      <c r="D26" s="576" t="n"/>
      <c r="E26" s="576" t="n"/>
      <c r="F26" s="576" t="n"/>
      <c r="G26" s="576" t="n"/>
      <c r="H26" s="603" t="n"/>
      <c r="I26" s="320" t="n"/>
      <c r="J26" s="321" t="n"/>
      <c r="K26" s="322">
        <f>IF(I26="Yes","Higher risk assessment",IF(I26="No","Lower risk assessment","Please select an answer"))</f>
        <v/>
      </c>
      <c r="L26" s="320" t="n"/>
      <c r="M26" s="321" t="n"/>
      <c r="N26" s="322">
        <f>IF(L26="Yes","Higher risk assessment",IF(L26="No","Lower risk assessment","Please select an answer"))</f>
        <v/>
      </c>
      <c r="O26" s="320" t="n"/>
      <c r="P26" s="321" t="n"/>
      <c r="Q26" s="322">
        <f>IF(O26="Yes","Higher risk assessment",IF(O26="No","Lower risk assessment","Please select an answer"))</f>
        <v/>
      </c>
      <c r="R26" s="320" t="n"/>
      <c r="S26" s="321" t="n"/>
      <c r="T26" s="322">
        <f>IF(R26="Yes","Higher risk assessment",IF(R26="No","Lower risk assessment","Please select an answer"))</f>
        <v/>
      </c>
      <c r="U26" s="320" t="n"/>
      <c r="V26" s="321" t="n"/>
      <c r="W26" s="322">
        <f>IF(U26="Yes","Higher risk assessment",IF(U26="No","Lower risk assessment","Please select an answer"))</f>
        <v/>
      </c>
      <c r="Y26" s="251" t="n"/>
    </row>
    <row r="27">
      <c r="B27" s="475" t="inlineStr">
        <is>
          <t>The identified significant or enhanced risks at group level clearly does apply to the component</t>
        </is>
      </c>
      <c r="C27" s="576" t="n"/>
      <c r="D27" s="576" t="n"/>
      <c r="E27" s="576" t="n"/>
      <c r="F27" s="576" t="n"/>
      <c r="G27" s="576" t="n"/>
      <c r="H27" s="603" t="n"/>
      <c r="I27" s="320" t="n"/>
      <c r="J27" s="321" t="n"/>
      <c r="K27" s="322">
        <f>IF(I27="Yes","Higher risk assessment",IF(I27="No","Lower risk assessment","Please select an answer"))</f>
        <v/>
      </c>
      <c r="L27" s="320" t="n"/>
      <c r="M27" s="321" t="n"/>
      <c r="N27" s="322">
        <f>IF(L27="Yes","Higher risk assessment",IF(L27="No","Lower risk assessment","Please select an answer"))</f>
        <v/>
      </c>
      <c r="O27" s="320" t="n"/>
      <c r="P27" s="321" t="n"/>
      <c r="Q27" s="322">
        <f>IF(O27="Yes","Higher risk assessment",IF(O27="No","Lower risk assessment","Please select an answer"))</f>
        <v/>
      </c>
      <c r="R27" s="320" t="n"/>
      <c r="S27" s="321" t="n"/>
      <c r="T27" s="322">
        <f>IF(R27="Yes","Higher risk assessment",IF(R27="No","Lower risk assessment","Please select an answer"))</f>
        <v/>
      </c>
      <c r="U27" s="320" t="n"/>
      <c r="V27" s="321" t="n"/>
      <c r="W27" s="322">
        <f>IF(U27="Yes","Higher risk assessment",IF(U27="No","Lower risk assessment","Please select an answer"))</f>
        <v/>
      </c>
      <c r="Y27" s="251" t="n"/>
    </row>
    <row r="28">
      <c r="B28" s="475" t="inlineStr">
        <is>
          <t>Inadequate control environment at group and/or component level</t>
        </is>
      </c>
      <c r="C28" s="576" t="n"/>
      <c r="D28" s="576" t="n"/>
      <c r="E28" s="576" t="n"/>
      <c r="F28" s="576" t="n"/>
      <c r="G28" s="576" t="n"/>
      <c r="H28" s="603" t="n"/>
      <c r="I28" s="320" t="n"/>
      <c r="J28" s="321" t="n"/>
      <c r="K28" s="322">
        <f>IF(I28="Yes","Higher risk assessment",IF(I28="No","Lower risk assessment","Please select an answer"))</f>
        <v/>
      </c>
      <c r="L28" s="320" t="n"/>
      <c r="M28" s="321" t="n"/>
      <c r="N28" s="322">
        <f>IF(L28="Yes","Higher risk assessment",IF(L28="No","Lower risk assessment","Please select an answer"))</f>
        <v/>
      </c>
      <c r="O28" s="320" t="n"/>
      <c r="P28" s="321" t="n"/>
      <c r="Q28" s="322">
        <f>IF(O28="Yes","Higher risk assessment",IF(O28="No","Lower risk assessment","Please select an answer"))</f>
        <v/>
      </c>
      <c r="R28" s="320" t="n"/>
      <c r="S28" s="321" t="n"/>
      <c r="T28" s="322">
        <f>IF(R28="Yes","Higher risk assessment",IF(R28="No","Lower risk assessment","Please select an answer"))</f>
        <v/>
      </c>
      <c r="U28" s="320" t="n"/>
      <c r="V28" s="321" t="n"/>
      <c r="W28" s="322">
        <f>IF(U28="Yes","Higher risk assessment",IF(U28="No","Lower risk assessment","Please select an answer"))</f>
        <v/>
      </c>
      <c r="Y28" s="251" t="n"/>
    </row>
    <row r="29" ht="37.5" customHeight="1" thickBot="1">
      <c r="B29" s="475" t="inlineStr">
        <is>
          <t>Other (please describe) 
Please add more rows if needed</t>
        </is>
      </c>
      <c r="C29" s="576" t="n"/>
      <c r="D29" s="576" t="n"/>
      <c r="E29" s="576" t="n"/>
      <c r="F29" s="576" t="n"/>
      <c r="G29" s="576" t="n"/>
      <c r="H29" s="603" t="n"/>
      <c r="I29" s="320" t="n"/>
      <c r="J29" s="321" t="n"/>
      <c r="K29" s="322" t="n"/>
      <c r="L29" s="320" t="n"/>
      <c r="M29" s="321" t="n"/>
      <c r="N29" s="322" t="n"/>
      <c r="O29" s="320" t="n"/>
      <c r="P29" s="321" t="n"/>
      <c r="Q29" s="322" t="n"/>
      <c r="R29" s="320" t="n"/>
      <c r="S29" s="321" t="n"/>
      <c r="T29" s="322" t="n"/>
      <c r="U29" s="320" t="n"/>
      <c r="V29" s="321" t="n"/>
      <c r="W29" s="322" t="n"/>
      <c r="Y29" s="251" t="n"/>
    </row>
    <row r="30">
      <c r="B30" s="481" t="inlineStr">
        <is>
          <t>Overall conclusion</t>
        </is>
      </c>
      <c r="C30" s="562" t="n"/>
      <c r="D30" s="562" t="n"/>
      <c r="E30" s="562" t="n"/>
      <c r="F30" s="562" t="n"/>
      <c r="G30" s="562" t="n"/>
      <c r="H30" s="563" t="n"/>
      <c r="I30" s="492" t="inlineStr">
        <is>
          <t>Overall conclusion</t>
        </is>
      </c>
      <c r="J30" s="576" t="n"/>
      <c r="K30" s="603" t="n"/>
      <c r="L30" s="492" t="inlineStr">
        <is>
          <t>Overall conclusion</t>
        </is>
      </c>
      <c r="M30" s="576" t="n"/>
      <c r="N30" s="603" t="n"/>
      <c r="O30" s="492" t="inlineStr">
        <is>
          <t>Overall conclusion</t>
        </is>
      </c>
      <c r="P30" s="576" t="n"/>
      <c r="Q30" s="603" t="n"/>
      <c r="R30" s="492" t="inlineStr">
        <is>
          <t>Overall conclusion</t>
        </is>
      </c>
      <c r="S30" s="576" t="n"/>
      <c r="T30" s="603" t="n"/>
      <c r="U30" s="492" t="inlineStr">
        <is>
          <t>Overall conclusion</t>
        </is>
      </c>
      <c r="V30" s="576" t="n"/>
      <c r="W30" s="603" t="n"/>
      <c r="Y30" s="251" t="n"/>
    </row>
    <row r="31" customFormat="1" s="323">
      <c r="B31" s="485" t="inlineStr">
        <is>
          <t>Do you rebut the presumption that this material component should be scoped in?</t>
        </is>
      </c>
      <c r="C31" s="576" t="n"/>
      <c r="D31" s="576" t="n"/>
      <c r="E31" s="576" t="n"/>
      <c r="F31" s="576" t="n"/>
      <c r="G31" s="576" t="n"/>
      <c r="H31" s="603" t="n"/>
      <c r="I31" s="606" t="n"/>
      <c r="J31" s="576" t="n"/>
      <c r="K31" s="605" t="n"/>
      <c r="L31" s="606" t="n"/>
      <c r="M31" s="576" t="n"/>
      <c r="N31" s="605" t="n"/>
      <c r="O31" s="606" t="n"/>
      <c r="P31" s="576" t="n"/>
      <c r="Q31" s="605" t="n"/>
      <c r="R31" s="606" t="n"/>
      <c r="S31" s="576" t="n"/>
      <c r="T31" s="605" t="n"/>
      <c r="U31" s="606" t="n"/>
      <c r="V31" s="576" t="n"/>
      <c r="W31" s="605" t="n"/>
      <c r="Y31" s="324" t="n"/>
    </row>
    <row r="32" ht="15" customFormat="1" customHeight="1" s="323">
      <c r="B32" s="607" t="inlineStr">
        <is>
          <t>Please comment as to how you arrived at your overall conclusion above</t>
        </is>
      </c>
      <c r="C32" s="608" t="n"/>
      <c r="D32" s="608" t="n"/>
      <c r="E32" s="608" t="n"/>
      <c r="F32" s="608" t="n"/>
      <c r="G32" s="608" t="n"/>
      <c r="H32" s="608" t="n"/>
      <c r="I32" s="609" t="n"/>
      <c r="J32" s="608" t="n"/>
      <c r="K32" s="610" t="n"/>
      <c r="L32" s="609" t="n"/>
      <c r="M32" s="608" t="n"/>
      <c r="N32" s="610" t="n"/>
      <c r="O32" s="609" t="n"/>
      <c r="P32" s="608" t="n"/>
      <c r="Q32" s="610" t="n"/>
      <c r="R32" s="609" t="n"/>
      <c r="S32" s="608" t="n"/>
      <c r="T32" s="610" t="n"/>
      <c r="U32" s="609" t="n"/>
      <c r="V32" s="608" t="n"/>
      <c r="W32" s="610" t="n"/>
      <c r="Y32" s="324" t="n"/>
    </row>
    <row r="33" customFormat="1" s="323">
      <c r="B33" s="124" t="n"/>
      <c r="I33" s="124" t="n"/>
      <c r="K33" s="127" t="n"/>
      <c r="L33" s="124" t="n"/>
      <c r="N33" s="127" t="n"/>
      <c r="O33" s="124" t="n"/>
      <c r="Q33" s="127" t="n"/>
      <c r="R33" s="124" t="n"/>
      <c r="T33" s="127" t="n"/>
      <c r="U33" s="124" t="n"/>
      <c r="W33" s="127" t="n"/>
      <c r="Y33" s="324" t="n"/>
    </row>
    <row r="34" customFormat="1" s="323">
      <c r="B34" s="124" t="n"/>
      <c r="I34" s="124" t="n"/>
      <c r="K34" s="127" t="n"/>
      <c r="L34" s="124" t="n"/>
      <c r="N34" s="127" t="n"/>
      <c r="O34" s="124" t="n"/>
      <c r="Q34" s="127" t="n"/>
      <c r="R34" s="124" t="n"/>
      <c r="T34" s="127" t="n"/>
      <c r="U34" s="124" t="n"/>
      <c r="W34" s="127" t="n"/>
      <c r="Y34" s="324" t="n"/>
    </row>
    <row r="35" customFormat="1" s="323">
      <c r="B35" s="124" t="n"/>
      <c r="I35" s="124" t="n"/>
      <c r="K35" s="127" t="n"/>
      <c r="L35" s="124" t="n"/>
      <c r="N35" s="127" t="n"/>
      <c r="O35" s="124" t="n"/>
      <c r="Q35" s="127" t="n"/>
      <c r="R35" s="124" t="n"/>
      <c r="T35" s="127" t="n"/>
      <c r="U35" s="124" t="n"/>
      <c r="W35" s="127" t="n"/>
      <c r="Y35" s="324" t="n"/>
    </row>
    <row r="36" ht="15.75" customFormat="1" customHeight="1" s="323" thickBot="1">
      <c r="B36" s="187" t="n"/>
      <c r="C36" s="188" t="n"/>
      <c r="D36" s="188" t="n"/>
      <c r="E36" s="188" t="n"/>
      <c r="F36" s="188" t="n"/>
      <c r="G36" s="188" t="n"/>
      <c r="H36" s="188" t="n"/>
      <c r="I36" s="187" t="n"/>
      <c r="J36" s="188" t="n"/>
      <c r="K36" s="190" t="n"/>
      <c r="L36" s="187" t="n"/>
      <c r="M36" s="188" t="n"/>
      <c r="N36" s="190" t="n"/>
      <c r="O36" s="187" t="n"/>
      <c r="P36" s="188" t="n"/>
      <c r="Q36" s="190" t="n"/>
      <c r="R36" s="187" t="n"/>
      <c r="S36" s="188" t="n"/>
      <c r="T36" s="190" t="n"/>
      <c r="U36" s="187" t="n"/>
      <c r="V36" s="188" t="n"/>
      <c r="W36" s="190" t="n"/>
      <c r="Y36" s="324" t="n"/>
    </row>
    <row r="37">
      <c r="B37" s="250" t="n"/>
      <c r="Y37" s="251" t="n"/>
    </row>
    <row r="38">
      <c r="B38" s="250" t="n"/>
      <c r="Y38" s="251" t="n"/>
    </row>
    <row r="39">
      <c r="B39" s="250" t="n"/>
      <c r="Y39" s="251" t="n"/>
    </row>
    <row r="40">
      <c r="B40" s="250" t="n"/>
      <c r="Y40" s="251" t="n"/>
    </row>
    <row r="41">
      <c r="B41" s="250" t="n"/>
      <c r="Y41" s="251" t="n"/>
    </row>
    <row r="42" ht="15.75" customHeight="1" thickBot="1">
      <c r="B42" s="253" t="n"/>
      <c r="C42" s="254" t="n"/>
      <c r="D42" s="254" t="n"/>
      <c r="E42" s="254" t="n"/>
      <c r="F42" s="254" t="n"/>
      <c r="G42" s="254" t="n"/>
      <c r="H42" s="254" t="n"/>
      <c r="I42" s="325" t="n"/>
      <c r="J42" s="254" t="n"/>
      <c r="K42" s="325" t="n"/>
      <c r="L42" s="325" t="n"/>
      <c r="M42" s="254" t="n"/>
      <c r="N42" s="325" t="n"/>
      <c r="O42" s="325" t="n"/>
      <c r="P42" s="254" t="n"/>
      <c r="Q42" s="325" t="n"/>
      <c r="R42" s="325" t="n"/>
      <c r="S42" s="254" t="n"/>
      <c r="T42" s="325" t="n"/>
      <c r="U42" s="325" t="n"/>
      <c r="V42" s="254" t="n"/>
      <c r="W42" s="325" t="n"/>
      <c r="X42" s="254" t="n"/>
      <c r="Y42" s="255" t="n"/>
    </row>
  </sheetData>
  <mergeCells count="45">
    <mergeCell ref="R30:T30"/>
    <mergeCell ref="L32:N36"/>
    <mergeCell ref="L23:N23"/>
    <mergeCell ref="L30:N30"/>
    <mergeCell ref="B30:H30"/>
    <mergeCell ref="B24:H24"/>
    <mergeCell ref="O31:Q31"/>
    <mergeCell ref="B15:H15"/>
    <mergeCell ref="J13:K13"/>
    <mergeCell ref="V13:W13"/>
    <mergeCell ref="B20:H20"/>
    <mergeCell ref="I32:K36"/>
    <mergeCell ref="B26:H26"/>
    <mergeCell ref="O32:Q36"/>
    <mergeCell ref="U32:W36"/>
    <mergeCell ref="I23:K23"/>
    <mergeCell ref="L31:N31"/>
    <mergeCell ref="B16:H16"/>
    <mergeCell ref="B25:H25"/>
    <mergeCell ref="S13:T13"/>
    <mergeCell ref="B31:H31"/>
    <mergeCell ref="M13:N13"/>
    <mergeCell ref="B22:H22"/>
    <mergeCell ref="R32:T36"/>
    <mergeCell ref="B27:H27"/>
    <mergeCell ref="O23:Q23"/>
    <mergeCell ref="U23:W23"/>
    <mergeCell ref="B18:H18"/>
    <mergeCell ref="B21:H21"/>
    <mergeCell ref="I31:K31"/>
    <mergeCell ref="B32:H36"/>
    <mergeCell ref="R23:T23"/>
    <mergeCell ref="P13:Q13"/>
    <mergeCell ref="U31:W31"/>
    <mergeCell ref="I30:K30"/>
    <mergeCell ref="B23:H23"/>
    <mergeCell ref="B14:H14"/>
    <mergeCell ref="B17:H17"/>
    <mergeCell ref="C9:L9"/>
    <mergeCell ref="O30:Q30"/>
    <mergeCell ref="U30:W30"/>
    <mergeCell ref="B29:H29"/>
    <mergeCell ref="R31:T31"/>
    <mergeCell ref="B19:H19"/>
    <mergeCell ref="B28:H28"/>
  </mergeCells>
  <conditionalFormatting sqref="K1:K1048576 N1:N1048576 Q1:Q1048576 T1:T1048576 W1:W1048576">
    <cfRule type="cellIs" priority="2" operator="equal" dxfId="17">
      <formula>"Please select an answer"</formula>
    </cfRule>
    <cfRule type="cellIs" priority="5" operator="equal" dxfId="0">
      <formula>"Lower risk assessment"</formula>
    </cfRule>
    <cfRule type="cellIs" priority="6" operator="equal" dxfId="15">
      <formula>"Higher risk assessment"</formula>
    </cfRule>
  </conditionalFormatting>
  <conditionalFormatting sqref="I1:I1048576 L1:L1048576 O1:O1048576 R1:R1048576 U1:U1048576">
    <cfRule type="cellIs" priority="3" operator="equal" dxfId="9">
      <formula>"Yes"</formula>
    </cfRule>
    <cfRule type="cellIs" priority="4" operator="equal" dxfId="8">
      <formula>"No"</formula>
    </cfRule>
  </conditionalFormatting>
  <conditionalFormatting sqref="A31:XFD31">
    <cfRule type="cellIs" priority="1" operator="equal" dxfId="12">
      <formula>"Yes"</formula>
    </cfRule>
  </conditionalFormatting>
  <dataValidations count="1">
    <dataValidation sqref="I15:I22 I24:I28 I31:J31 L15:L22 L24:L28 L31:M31 O15:O22 O24:O28 O31:P31 R15:R22 R24:R28 R31:S31 U15:U22 U24:U28 U31:V31" showDropDown="0" showInputMessage="1" showErrorMessage="1" allowBlank="1" type="list">
      <formula1>"Yes, No"</formula1>
    </dataValidation>
  </dataValidations>
  <pageMargins left="0.7" right="0.7" top="0.75" bottom="0.75" header="0.3" footer="0.3"/>
  <legacyDrawing xmlns:r="http://schemas.openxmlformats.org/officeDocument/2006/relationships" r:id="anysvml"/>
</worksheet>
</file>

<file path=xl/worksheets/sheet6.xml><?xml version="1.0" encoding="utf-8"?>
<worksheet xmlns="http://schemas.openxmlformats.org/spreadsheetml/2006/main">
  <sheetPr codeName="Blad2">
    <tabColor rgb="FF7030A0"/>
    <outlinePr summaryBelow="1" summaryRight="1"/>
    <pageSetUpPr/>
  </sheetPr>
  <dimension ref="B2:Y69"/>
  <sheetViews>
    <sheetView showGridLines="0" workbookViewId="0">
      <pane xSplit="8" topLeftCell="I1" activePane="topRight" state="frozen"/>
      <selection activeCell="DD18" sqref="DD18:EK18"/>
      <selection pane="topRight" activeCell="I24" sqref="I24:K24"/>
    </sheetView>
  </sheetViews>
  <sheetFormatPr baseColWidth="8" defaultRowHeight="12.75"/>
  <cols>
    <col width="4.140625" customWidth="1" style="221" min="1" max="1"/>
    <col width="9.140625" customWidth="1" style="221" min="2" max="3"/>
    <col width="15.28515625" customWidth="1" style="221" min="4" max="4"/>
    <col width="25" customWidth="1" style="221" min="5" max="5"/>
    <col width="13.85546875" customWidth="1" style="221" min="6" max="6"/>
    <col width="6.7109375" customWidth="1" style="221" min="7" max="7"/>
    <col width="43.85546875" customWidth="1" style="221" min="8" max="8"/>
    <col width="24.5703125" customWidth="1" style="221" min="9" max="9"/>
    <col width="13.28515625" customWidth="1" style="221" min="10" max="10"/>
    <col width="14.85546875" customWidth="1" style="221" min="11" max="11"/>
    <col width="19.85546875" bestFit="1" customWidth="1" style="221" min="12" max="12"/>
    <col width="14.140625" customWidth="1" style="221" min="13" max="13"/>
    <col width="15.140625" customWidth="1" style="221" min="14" max="14"/>
    <col width="19.85546875" bestFit="1" customWidth="1" style="221" min="15" max="15"/>
    <col width="12.140625" customWidth="1" style="221" min="16" max="16"/>
    <col width="15.140625" customWidth="1" style="221" min="17" max="17"/>
    <col width="22.7109375" customWidth="1" style="221" min="18" max="18"/>
    <col width="12.85546875" customWidth="1" style="221" min="19" max="19"/>
    <col width="17.28515625" customWidth="1" style="221" min="20" max="20"/>
    <col width="19.85546875" bestFit="1" customWidth="1" style="221" min="21" max="21"/>
    <col width="13.85546875" customWidth="1" style="221" min="22" max="22"/>
    <col width="18.42578125" customWidth="1" style="221" min="23" max="23"/>
    <col width="15.42578125" customWidth="1" style="221" min="24" max="24"/>
    <col width="31" customWidth="1" style="221" min="25" max="25"/>
    <col width="9.140625" customWidth="1" style="221" min="26" max="16384"/>
  </cols>
  <sheetData>
    <row r="1" ht="13.5" customHeight="1" thickBot="1"/>
    <row r="2" ht="15" customFormat="1" customHeight="1" s="220">
      <c r="B2" s="247" t="n"/>
      <c r="C2" s="248" t="n"/>
      <c r="D2" s="248" t="n"/>
      <c r="E2" s="248" t="n"/>
      <c r="F2" s="248" t="n"/>
      <c r="G2" s="248" t="n"/>
      <c r="H2" s="248" t="n"/>
      <c r="I2" s="248" t="n"/>
      <c r="J2" s="248" t="n"/>
      <c r="K2" s="248" t="n"/>
      <c r="L2" s="248" t="n"/>
      <c r="M2" s="248" t="n"/>
      <c r="N2" s="248" t="n"/>
      <c r="O2" s="248" t="n"/>
      <c r="P2" s="248" t="n"/>
      <c r="Q2" s="248" t="n"/>
      <c r="R2" s="248" t="n"/>
      <c r="S2" s="248" t="n"/>
      <c r="T2" s="248" t="n"/>
      <c r="U2" s="248" t="n"/>
      <c r="V2" s="248" t="n"/>
      <c r="W2" s="248" t="n"/>
      <c r="X2" s="248" t="n"/>
      <c r="Y2" s="249" t="n"/>
    </row>
    <row r="3" ht="15" customFormat="1" customHeight="1" s="220">
      <c r="B3" s="250" t="n"/>
      <c r="C3" s="242" t="n"/>
      <c r="D3" s="242" t="n"/>
      <c r="E3" s="273" t="inlineStr">
        <is>
          <t>Attention! Tab to be filled in only if you are required to perform stand-back assessment</t>
        </is>
      </c>
      <c r="F3" s="242" t="n"/>
      <c r="G3" s="242" t="n"/>
      <c r="H3" s="242" t="n"/>
      <c r="I3" s="242" t="n"/>
      <c r="J3" s="242" t="n"/>
      <c r="K3" s="242" t="n"/>
      <c r="L3" s="242" t="n"/>
      <c r="M3" s="242" t="n"/>
      <c r="N3" s="242" t="n"/>
      <c r="O3" s="242" t="n"/>
      <c r="P3" s="242" t="n"/>
      <c r="Q3" s="242" t="n"/>
      <c r="R3" s="242" t="n"/>
      <c r="S3" s="242" t="n"/>
      <c r="T3" s="242" t="n"/>
      <c r="U3" s="242" t="n"/>
      <c r="V3" s="242" t="n"/>
      <c r="W3" s="242" t="n"/>
      <c r="X3" s="242" t="n"/>
      <c r="Y3" s="251" t="n"/>
    </row>
    <row r="4" ht="15.75" customFormat="1" customHeight="1" s="220" thickBot="1">
      <c r="B4" s="253" t="n"/>
      <c r="C4" s="254" t="n"/>
      <c r="D4" s="254" t="n"/>
      <c r="E4" s="254" t="n"/>
      <c r="F4" s="254" t="n"/>
      <c r="G4" s="254" t="n"/>
      <c r="H4" s="254" t="n"/>
      <c r="I4" s="254" t="n"/>
      <c r="J4" s="254" t="n"/>
      <c r="K4" s="254" t="n"/>
      <c r="L4" s="254" t="n"/>
      <c r="M4" s="254" t="n"/>
      <c r="N4" s="254" t="n"/>
      <c r="O4" s="254" t="n"/>
      <c r="P4" s="254" t="n"/>
      <c r="Q4" s="254" t="n"/>
      <c r="R4" s="254" t="n"/>
      <c r="S4" s="254" t="n"/>
      <c r="T4" s="254" t="n"/>
      <c r="U4" s="254" t="n"/>
      <c r="V4" s="254" t="n"/>
      <c r="W4" s="254" t="n"/>
      <c r="X4" s="254" t="n"/>
      <c r="Y4" s="255" t="n"/>
    </row>
    <row r="5" ht="23.25" customFormat="1" customHeight="1" s="220">
      <c r="B5" s="267" t="n"/>
      <c r="C5" s="282" t="inlineStr">
        <is>
          <t>Stand-back assessment</t>
        </is>
      </c>
      <c r="D5" s="283" t="n"/>
      <c r="E5" s="283" t="n"/>
      <c r="F5" s="284" t="n"/>
      <c r="G5" s="284" t="n"/>
      <c r="H5" s="284" t="n"/>
      <c r="I5" s="284" t="n"/>
      <c r="J5" s="284" t="n"/>
      <c r="K5" s="284" t="n"/>
      <c r="L5" s="284" t="n"/>
      <c r="M5" s="284" t="n"/>
      <c r="N5" s="284" t="n"/>
      <c r="O5" s="284" t="n"/>
      <c r="P5" s="284" t="n"/>
      <c r="Q5" s="284" t="n"/>
      <c r="R5" s="284" t="n"/>
      <c r="S5" s="284" t="n"/>
      <c r="T5" s="284" t="n"/>
      <c r="U5" s="284" t="n"/>
      <c r="V5" s="284" t="n"/>
      <c r="W5" s="284" t="n"/>
      <c r="X5" s="284" t="n"/>
      <c r="Y5" s="268" t="n"/>
    </row>
    <row r="6" customFormat="1" s="220">
      <c r="B6" s="263" t="n"/>
      <c r="Y6" s="264" t="n"/>
    </row>
    <row r="7" customFormat="1" s="220">
      <c r="B7" s="263" t="n"/>
      <c r="C7" s="299" t="inlineStr">
        <is>
          <t>Guidance</t>
        </is>
      </c>
      <c r="D7" s="300" t="n"/>
      <c r="E7" s="300" t="n"/>
      <c r="F7" s="300" t="n"/>
      <c r="G7" s="300" t="n"/>
      <c r="H7" s="300" t="n"/>
      <c r="I7" s="300" t="n"/>
      <c r="J7" s="300" t="n"/>
      <c r="K7" s="300" t="n"/>
      <c r="L7" s="300" t="n"/>
      <c r="M7" s="300" t="n"/>
      <c r="N7" s="300" t="n"/>
      <c r="O7" s="300" t="n"/>
      <c r="P7" s="300" t="n"/>
      <c r="Q7" s="300" t="n"/>
      <c r="R7" s="300" t="n"/>
      <c r="S7" s="300" t="n"/>
      <c r="T7" s="301" t="n"/>
      <c r="Y7" s="264" t="n"/>
    </row>
    <row r="8" customFormat="1" s="220">
      <c r="B8" s="263" t="n"/>
      <c r="C8" s="287" t="inlineStr">
        <is>
          <t xml:space="preserve">The group auditor must consider whether any components not in scope, individually or collectively 
may give rise to a risk of material misstatement (MAM paragraphs 900.85 and 900.107). </t>
        </is>
      </c>
      <c r="T8" s="288" t="n"/>
      <c r="Y8" s="264" t="n"/>
    </row>
    <row r="9" customFormat="1" s="220">
      <c r="B9" s="263" t="n"/>
      <c r="C9" s="289" t="inlineStr">
        <is>
          <t xml:space="preserve">To support that, after performing the scoping exercise in Template for identifying components tab, the group auditor must evaluate whether sufficient appropriate audit evidence is expected to be obtained 
from the planned audit procedures, including the work to be performed by component auditors, for the purposes of the group audit (MAM paragraphs 900.108 - 900.110). </t>
        </is>
      </c>
      <c r="T9" s="288" t="n"/>
      <c r="Y9" s="264" t="n"/>
    </row>
    <row r="10" customFormat="1" s="220">
      <c r="B10" s="263" t="n"/>
      <c r="C10" s="290" t="n"/>
      <c r="T10" s="288" t="n"/>
      <c r="Y10" s="264" t="n"/>
    </row>
    <row r="11" customFormat="1" s="220">
      <c r="B11" s="263" t="n"/>
      <c r="C11" s="291" t="inlineStr">
        <is>
          <t xml:space="preserve">MAM policy: In assessing sufficiency and appropriateness of audit evidence planned to reduce the assessed risk of material misstatement to an acceptably low level, there is a rebuttable presumption that the untested balance of each Material or Significant COTABD will be less than group financial statement materiality, </t>
        </is>
      </c>
      <c r="T11" s="288" t="n"/>
      <c r="Y11" s="264" t="n"/>
    </row>
    <row r="12" customFormat="1" s="220">
      <c r="B12" s="263" t="n"/>
      <c r="C12" s="291" t="inlineStr">
        <is>
          <t>unless the group auditor determines that no further work is necessary.  The group auditor should document their evaluation of risk of material misstatement in the residual population and the stand-back assessment</t>
        </is>
      </c>
      <c r="T12" s="288" t="n"/>
      <c r="Y12" s="264" t="n"/>
    </row>
    <row r="13" customFormat="1" s="220">
      <c r="B13" s="263" t="n"/>
      <c r="C13" s="292" t="n"/>
      <c r="T13" s="288" t="n"/>
      <c r="Y13" s="264" t="n"/>
    </row>
    <row r="14" customFormat="1" s="220">
      <c r="B14" s="263" t="n"/>
      <c r="C14" s="291" t="inlineStr">
        <is>
          <t xml:space="preserve">In practice, having assessed which components in the group are key components and material components, if the aggregate amount of a Material or Significant COTABD for un-scoped components is still above group financial statement materiality, the group auditor must perform a stand-back assessment </t>
        </is>
      </c>
      <c r="T14" s="288" t="n"/>
      <c r="Y14" s="264" t="n"/>
    </row>
    <row r="15">
      <c r="B15" s="265" t="n"/>
      <c r="C15" s="291" t="inlineStr">
        <is>
          <t xml:space="preserve">to evaluate sufficiency and appropriateness of audit evidence planned </t>
        </is>
      </c>
      <c r="T15" s="293" t="n"/>
      <c r="Y15" s="266" t="n"/>
    </row>
    <row r="16">
      <c r="B16" s="265" t="n"/>
      <c r="C16" s="294" t="n"/>
      <c r="D16" s="285" t="n"/>
      <c r="T16" s="293" t="n"/>
      <c r="Y16" s="266" t="n"/>
    </row>
    <row r="17">
      <c r="B17" s="265" t="n"/>
      <c r="C17" s="289" t="inlineStr">
        <is>
          <t>In order to form an overall conclusion as to whether sufficient appropriate audit evidence is planned for each group Material and Significant COTABD, the group auditor should consider the quantitative and qualitative factors listed in the table below.</t>
        </is>
      </c>
      <c r="D17" s="285" t="n"/>
      <c r="T17" s="293" t="n"/>
      <c r="Y17" s="266" t="n"/>
    </row>
    <row r="18">
      <c r="B18" s="265" t="n"/>
      <c r="C18" s="289" t="inlineStr">
        <is>
          <t>Group auditor is required to document their consideration against each of the factor considered below before concluding that planned procedures are sufficient, both across individual COTABDs and for the group financial statements as a whole.</t>
        </is>
      </c>
      <c r="D18" s="285" t="n"/>
      <c r="T18" s="293" t="n"/>
      <c r="Y18" s="266" t="n"/>
    </row>
    <row r="19">
      <c r="B19" s="265" t="n"/>
      <c r="C19" s="295" t="inlineStr">
        <is>
          <t>Please note that the material components where the presumption that they should be scoped in was rebutted should be analysed further in the stand-back procedures below as a part of remaining population.</t>
        </is>
      </c>
      <c r="D19" s="296" t="n"/>
      <c r="E19" s="297" t="n"/>
      <c r="F19" s="297" t="n"/>
      <c r="G19" s="297" t="n"/>
      <c r="H19" s="297" t="n"/>
      <c r="I19" s="297" t="n"/>
      <c r="J19" s="297" t="n"/>
      <c r="K19" s="297" t="n"/>
      <c r="L19" s="297" t="n"/>
      <c r="M19" s="297" t="n"/>
      <c r="N19" s="297" t="n"/>
      <c r="O19" s="297" t="n"/>
      <c r="P19" s="297" t="n"/>
      <c r="Q19" s="297" t="n"/>
      <c r="R19" s="297" t="n"/>
      <c r="S19" s="297" t="n"/>
      <c r="T19" s="298" t="n"/>
      <c r="Y19" s="266" t="n"/>
    </row>
    <row r="20">
      <c r="B20" s="265" t="n"/>
      <c r="C20" s="306" t="n"/>
      <c r="D20" s="285" t="n"/>
      <c r="Y20" s="266" t="n"/>
    </row>
    <row r="21">
      <c r="B21" s="265" t="n"/>
      <c r="C21" s="611" t="inlineStr">
        <is>
          <t>해당사항 없음 (N/A). 4개 부문 전체가 key component로서 full scope이 적용되어 un-scoped component가 존재하지 않으며, 모든 SCOTABD/MCOTABD의 미감사 잔액이 0이므로 stand-back 평가가 요구되지 않음.</t>
        </is>
      </c>
      <c r="D21" s="285" t="n"/>
      <c r="Y21" s="266" t="n"/>
    </row>
    <row r="22" ht="13.5" customHeight="1" thickBot="1">
      <c r="B22" s="265" t="n"/>
      <c r="D22" s="285" t="n"/>
      <c r="Y22" s="266" t="n"/>
    </row>
    <row r="23" ht="15.75" customHeight="1" thickBot="1">
      <c r="B23" s="250" t="n"/>
      <c r="C23" s="242" t="n"/>
      <c r="D23" s="242" t="n"/>
      <c r="E23" s="242" t="n"/>
      <c r="F23" s="242" t="n"/>
      <c r="G23" s="242" t="n"/>
      <c r="H23" s="242" t="n"/>
      <c r="I23" s="612" t="n">
        <v>1</v>
      </c>
      <c r="J23" s="569" t="n"/>
      <c r="K23" s="570" t="n"/>
      <c r="L23" s="612" t="n">
        <v>2</v>
      </c>
      <c r="M23" s="569" t="n"/>
      <c r="N23" s="570" t="n"/>
      <c r="O23" s="612" t="n">
        <v>3</v>
      </c>
      <c r="P23" s="569" t="n"/>
      <c r="Q23" s="570" t="n"/>
      <c r="R23" s="612" t="n">
        <v>4</v>
      </c>
      <c r="S23" s="569" t="n"/>
      <c r="T23" s="570" t="n"/>
      <c r="U23" s="612" t="n">
        <v>5</v>
      </c>
      <c r="V23" s="569" t="n"/>
      <c r="W23" s="570" t="n"/>
      <c r="X23" s="242" t="n"/>
      <c r="Y23" s="266" t="n"/>
    </row>
    <row r="24">
      <c r="B24" s="256" t="n"/>
      <c r="C24" s="214" t="n"/>
      <c r="D24" s="214" t="n"/>
      <c r="E24" s="214" t="n"/>
      <c r="F24" s="214" t="n"/>
      <c r="G24" s="214" t="n"/>
      <c r="H24" s="260" t="inlineStr">
        <is>
          <t>COTABD name</t>
        </is>
      </c>
      <c r="I24" s="613" t="n"/>
      <c r="J24" s="562" t="n"/>
      <c r="K24" s="602" t="n"/>
      <c r="L24" s="613" t="n"/>
      <c r="M24" s="562" t="n"/>
      <c r="N24" s="602" t="n"/>
      <c r="O24" s="613" t="n"/>
      <c r="P24" s="562" t="n"/>
      <c r="Q24" s="602" t="n"/>
      <c r="R24" s="613" t="n"/>
      <c r="S24" s="562" t="n"/>
      <c r="T24" s="602" t="n"/>
      <c r="U24" s="613" t="n"/>
      <c r="V24" s="562" t="n"/>
      <c r="W24" s="602" t="n"/>
      <c r="X24" s="259" t="inlineStr">
        <is>
          <t>Please add more COTABDs if needed</t>
        </is>
      </c>
      <c r="Y24" s="266" t="n"/>
    </row>
    <row r="25">
      <c r="B25" s="256" t="n"/>
      <c r="C25" s="214" t="n"/>
      <c r="D25" s="214" t="n"/>
      <c r="E25" s="214" t="n"/>
      <c r="F25" s="214" t="n"/>
      <c r="G25" s="214" t="n"/>
      <c r="H25" s="261" t="inlineStr">
        <is>
          <t>COTABD value</t>
        </is>
      </c>
      <c r="I25" s="614" t="n"/>
      <c r="J25" s="576" t="n"/>
      <c r="K25" s="605" t="n"/>
      <c r="L25" s="614" t="n"/>
      <c r="M25" s="576" t="n"/>
      <c r="N25" s="605" t="n"/>
      <c r="O25" s="614" t="n"/>
      <c r="P25" s="576" t="n"/>
      <c r="Q25" s="605" t="n"/>
      <c r="R25" s="614" t="n"/>
      <c r="S25" s="576" t="n"/>
      <c r="T25" s="605" t="n"/>
      <c r="U25" s="614" t="n"/>
      <c r="V25" s="576" t="n"/>
      <c r="W25" s="605" t="n"/>
      <c r="X25" s="259" t="n"/>
      <c r="Y25" s="266" t="n"/>
    </row>
    <row r="26">
      <c r="B26" s="256" t="n"/>
      <c r="C26" s="214" t="n"/>
      <c r="D26" s="214" t="n"/>
      <c r="E26" s="214" t="n"/>
      <c r="F26" s="214" t="n"/>
      <c r="G26" s="214" t="n"/>
      <c r="H26" s="261" t="inlineStr">
        <is>
          <t>SCOTABD / MCOTABD</t>
        </is>
      </c>
      <c r="I26" s="615" t="n"/>
      <c r="J26" s="576" t="n"/>
      <c r="K26" s="605" t="n"/>
      <c r="L26" s="615" t="n"/>
      <c r="M26" s="576" t="n"/>
      <c r="N26" s="605" t="n"/>
      <c r="O26" s="615" t="n"/>
      <c r="P26" s="576" t="n"/>
      <c r="Q26" s="605" t="n"/>
      <c r="R26" s="615" t="n"/>
      <c r="S26" s="576" t="n"/>
      <c r="T26" s="605" t="n"/>
      <c r="U26" s="615" t="n"/>
      <c r="V26" s="576" t="n"/>
      <c r="W26" s="605" t="n"/>
      <c r="X26" s="259" t="n"/>
      <c r="Y26" s="266" t="n"/>
    </row>
    <row r="27">
      <c r="B27" s="256" t="n"/>
      <c r="C27" s="214" t="n"/>
      <c r="D27" s="214" t="n"/>
      <c r="E27" s="214" t="n"/>
      <c r="F27" s="214" t="n"/>
      <c r="G27" s="214" t="n"/>
      <c r="H27" s="261" t="inlineStr">
        <is>
          <t>COTABD untested balance (value)</t>
        </is>
      </c>
      <c r="I27" s="614" t="n"/>
      <c r="J27" s="576" t="n"/>
      <c r="K27" s="605" t="n"/>
      <c r="L27" s="614" t="n"/>
      <c r="M27" s="576" t="n"/>
      <c r="N27" s="605" t="n"/>
      <c r="O27" s="614" t="n"/>
      <c r="P27" s="576" t="n"/>
      <c r="Q27" s="605" t="n"/>
      <c r="R27" s="614" t="n"/>
      <c r="S27" s="576" t="n"/>
      <c r="T27" s="605" t="n"/>
      <c r="U27" s="614" t="n"/>
      <c r="V27" s="576" t="n"/>
      <c r="W27" s="605" t="n"/>
      <c r="X27" s="259" t="n"/>
      <c r="Y27" s="266" t="n"/>
    </row>
    <row r="28">
      <c r="B28" s="256" t="n"/>
      <c r="C28" s="214" t="n"/>
      <c r="D28" s="214" t="n"/>
      <c r="E28" s="214" t="n"/>
      <c r="F28" s="214" t="n"/>
      <c r="G28" s="214" t="n"/>
      <c r="H28" s="261" t="inlineStr">
        <is>
          <t>COTABD untested balance (%)</t>
        </is>
      </c>
      <c r="I28" s="616">
        <f>I27/I25</f>
        <v/>
      </c>
      <c r="J28" s="576" t="n"/>
      <c r="K28" s="605" t="n"/>
      <c r="L28" s="616">
        <f>L27/L25</f>
        <v/>
      </c>
      <c r="M28" s="576" t="n"/>
      <c r="N28" s="605" t="n"/>
      <c r="O28" s="616">
        <f>O27/O25</f>
        <v/>
      </c>
      <c r="P28" s="576" t="n"/>
      <c r="Q28" s="605" t="n"/>
      <c r="R28" s="616">
        <f>R27/R25</f>
        <v/>
      </c>
      <c r="S28" s="576" t="n"/>
      <c r="T28" s="605" t="n"/>
      <c r="U28" s="616">
        <f>U27/U25</f>
        <v/>
      </c>
      <c r="V28" s="576" t="n"/>
      <c r="W28" s="605" t="n"/>
      <c r="X28" s="259" t="n"/>
      <c r="Y28" s="266" t="n"/>
    </row>
    <row r="29">
      <c r="B29" s="256" t="n"/>
      <c r="C29" s="214" t="n"/>
      <c r="D29" s="214" t="n"/>
      <c r="E29" s="214" t="n"/>
      <c r="F29" s="214" t="n"/>
      <c r="G29" s="214" t="n"/>
      <c r="H29" s="261" t="inlineStr">
        <is>
          <t>Multiple of group FS materiality</t>
        </is>
      </c>
      <c r="I29" s="614">
        <f>I27/Conso!$D$7</f>
        <v/>
      </c>
      <c r="J29" s="576" t="n"/>
      <c r="K29" s="605" t="n"/>
      <c r="L29" s="614">
        <f>L27/Conso!$D$7</f>
        <v/>
      </c>
      <c r="M29" s="576" t="n"/>
      <c r="N29" s="605" t="n"/>
      <c r="O29" s="614">
        <f>O27/Conso!$D$7</f>
        <v/>
      </c>
      <c r="P29" s="576" t="n"/>
      <c r="Q29" s="605" t="n"/>
      <c r="R29" s="614">
        <f>R27/Conso!$D$7</f>
        <v/>
      </c>
      <c r="S29" s="576" t="n"/>
      <c r="T29" s="605" t="n"/>
      <c r="U29" s="614">
        <f>U27/Conso!$D$7</f>
        <v/>
      </c>
      <c r="V29" s="576" t="n"/>
      <c r="W29" s="605" t="n"/>
      <c r="X29" s="259" t="n"/>
      <c r="Y29" s="266" t="n"/>
    </row>
    <row r="30" ht="13.5" customHeight="1" thickBot="1">
      <c r="B30" s="256" t="n"/>
      <c r="C30" s="214" t="n"/>
      <c r="D30" s="214" t="n"/>
      <c r="E30" s="214" t="n"/>
      <c r="F30" s="214" t="n"/>
      <c r="G30" s="214" t="n"/>
      <c r="H30" s="262" t="inlineStr">
        <is>
          <t>Number of components in untested balance</t>
        </is>
      </c>
      <c r="I30" s="615" t="n"/>
      <c r="J30" s="576" t="n"/>
      <c r="K30" s="605" t="n"/>
      <c r="L30" s="615" t="n"/>
      <c r="M30" s="576" t="n"/>
      <c r="N30" s="605" t="n"/>
      <c r="O30" s="615" t="n"/>
      <c r="P30" s="576" t="n"/>
      <c r="Q30" s="605" t="n"/>
      <c r="R30" s="615" t="n"/>
      <c r="S30" s="576" t="n"/>
      <c r="T30" s="605" t="n"/>
      <c r="U30" s="615" t="n"/>
      <c r="V30" s="576" t="n"/>
      <c r="W30" s="605" t="n"/>
      <c r="X30" s="259" t="n"/>
      <c r="Y30" s="266" t="n"/>
    </row>
    <row r="31" ht="27.75" customHeight="1">
      <c r="B31" s="528" t="inlineStr">
        <is>
          <t>Consideration of Qualitative and Quantitative factors</t>
        </is>
      </c>
      <c r="C31" s="562" t="n"/>
      <c r="D31" s="562" t="n"/>
      <c r="E31" s="562" t="n"/>
      <c r="F31" s="562" t="n"/>
      <c r="G31" s="562" t="n"/>
      <c r="H31" s="563" t="n"/>
      <c r="I31" s="617" t="inlineStr">
        <is>
          <t>Comment</t>
        </is>
      </c>
      <c r="J31" s="581" t="n"/>
      <c r="K31" s="618" t="n"/>
      <c r="L31" s="617" t="inlineStr">
        <is>
          <t>Comment</t>
        </is>
      </c>
      <c r="M31" s="581" t="n"/>
      <c r="N31" s="618" t="n"/>
      <c r="O31" s="617" t="inlineStr">
        <is>
          <t>Comment</t>
        </is>
      </c>
      <c r="P31" s="581" t="n"/>
      <c r="Q31" s="618" t="n"/>
      <c r="R31" s="617" t="inlineStr">
        <is>
          <t>Comment</t>
        </is>
      </c>
      <c r="S31" s="581" t="n"/>
      <c r="T31" s="618" t="n"/>
      <c r="U31" s="617" t="inlineStr">
        <is>
          <t>Comment</t>
        </is>
      </c>
      <c r="V31" s="581" t="n"/>
      <c r="W31" s="618" t="n"/>
      <c r="X31" s="242" t="n"/>
      <c r="Y31" s="266" t="n"/>
    </row>
    <row r="32" ht="38.25" customHeight="1">
      <c r="B32" s="475" t="inlineStr">
        <is>
          <t>Coverage of the tested/untested balances within the COTABD
[lower the coverage for a COTABD, the higher the risk of likelihood of material misstatement can be]</t>
        </is>
      </c>
      <c r="C32" s="576" t="n"/>
      <c r="D32" s="576" t="n"/>
      <c r="E32" s="576" t="n"/>
      <c r="F32" s="576" t="n"/>
      <c r="G32" s="576" t="n"/>
      <c r="H32" s="603" t="n"/>
      <c r="I32" s="534" t="n"/>
      <c r="J32" s="576" t="n"/>
      <c r="K32" s="603" t="n"/>
      <c r="L32" s="619" t="n"/>
      <c r="M32" s="576" t="n"/>
      <c r="N32" s="605" t="n"/>
      <c r="O32" s="619" t="n"/>
      <c r="P32" s="576" t="n"/>
      <c r="Q32" s="605" t="n"/>
      <c r="R32" s="534" t="n"/>
      <c r="S32" s="576" t="n"/>
      <c r="T32" s="603" t="n"/>
      <c r="U32" s="535" t="n"/>
      <c r="V32" s="576" t="n"/>
      <c r="W32" s="603" t="n"/>
      <c r="X32" s="242" t="n"/>
      <c r="Y32" s="266" t="n"/>
    </row>
    <row r="33" ht="46.5" customHeight="1">
      <c r="B33" s="475" t="inlineStr">
        <is>
          <t xml:space="preserve">Multiples of group FS materiality represented by the COTABD untested
[the greater the multiples of group FSM the untested COTABDs represents, the higher the risk of material misstatement] </t>
        </is>
      </c>
      <c r="C33" s="576" t="n"/>
      <c r="D33" s="576" t="n"/>
      <c r="E33" s="576" t="n"/>
      <c r="F33" s="576" t="n"/>
      <c r="G33" s="576" t="n"/>
      <c r="H33" s="603" t="n"/>
      <c r="I33" s="534" t="n"/>
      <c r="J33" s="576" t="n"/>
      <c r="K33" s="603" t="n"/>
      <c r="L33" s="619" t="n"/>
      <c r="M33" s="576" t="n"/>
      <c r="N33" s="605" t="n"/>
      <c r="O33" s="619" t="n"/>
      <c r="P33" s="576" t="n"/>
      <c r="Q33" s="605" t="n"/>
      <c r="R33" s="534" t="n"/>
      <c r="S33" s="576" t="n"/>
      <c r="T33" s="603" t="n"/>
      <c r="U33" s="535" t="n"/>
      <c r="V33" s="576" t="n"/>
      <c r="W33" s="603" t="n"/>
      <c r="X33" s="242" t="n"/>
      <c r="Y33" s="266" t="n"/>
    </row>
    <row r="34" ht="40.5" customHeight="1">
      <c r="B34" s="475" t="inlineStr">
        <is>
          <t xml:space="preserve">Level of commonality of business activities, processes, applications and controls across components, including the results of the group auditor’s evaluation of common controls (D&amp;I) and the results of any testing of operating effectiveness of such controls if performed.
[the greater the level of commonality across components, higher the reliance that can be placed on common controls] </t>
        </is>
      </c>
      <c r="C34" s="576" t="n"/>
      <c r="D34" s="576" t="n"/>
      <c r="E34" s="576" t="n"/>
      <c r="F34" s="576" t="n"/>
      <c r="G34" s="576" t="n"/>
      <c r="H34" s="603" t="n"/>
      <c r="I34" s="534" t="n"/>
      <c r="J34" s="576" t="n"/>
      <c r="K34" s="603" t="n"/>
      <c r="L34" s="619" t="n"/>
      <c r="M34" s="576" t="n"/>
      <c r="N34" s="605" t="n"/>
      <c r="O34" s="619" t="n"/>
      <c r="P34" s="576" t="n"/>
      <c r="Q34" s="605" t="n"/>
      <c r="R34" s="534" t="n"/>
      <c r="S34" s="576" t="n"/>
      <c r="T34" s="603" t="n"/>
      <c r="U34" s="535" t="n"/>
      <c r="V34" s="576" t="n"/>
      <c r="W34" s="603" t="n"/>
      <c r="X34" s="242" t="n"/>
      <c r="Y34" s="266" t="n"/>
    </row>
    <row r="35" ht="54.75" customHeight="1">
      <c r="B35" s="475" t="inlineStr">
        <is>
          <t>Number of components within the COTABD not subject to substantive testing – explain group auditor’s evaluation of likelihood of material misstatement as a result of components not subject to any substantive testing.
[the greater the number of small components, the smaller the probability that the aggregate of uncorrected and undetected misstatements exceeds materiality for the financial statements as a whole as the amounts are dispersed amongst different components.]</t>
        </is>
      </c>
      <c r="C35" s="576" t="n"/>
      <c r="D35" s="576" t="n"/>
      <c r="E35" s="576" t="n"/>
      <c r="F35" s="576" t="n"/>
      <c r="G35" s="576" t="n"/>
      <c r="H35" s="603" t="n"/>
      <c r="I35" s="534" t="n"/>
      <c r="J35" s="576" t="n"/>
      <c r="K35" s="603" t="n"/>
      <c r="L35" s="619" t="n"/>
      <c r="M35" s="576" t="n"/>
      <c r="N35" s="605" t="n"/>
      <c r="O35" s="619" t="n"/>
      <c r="P35" s="576" t="n"/>
      <c r="Q35" s="605" t="n"/>
      <c r="R35" s="534" t="n"/>
      <c r="S35" s="576" t="n"/>
      <c r="T35" s="603" t="n"/>
      <c r="U35" s="535" t="n"/>
      <c r="V35" s="576" t="n"/>
      <c r="W35" s="603" t="n"/>
      <c r="X35" s="242" t="n"/>
      <c r="Y35" s="266" t="n"/>
    </row>
    <row r="36" ht="78.75" customHeight="1">
      <c r="B36" s="475" t="inlineStr">
        <is>
          <t xml:space="preserve">Concentration of risk 
[the lower the number of components constituting a Material or Significant COTABD, the higher the concentration of risk. For example:
• if a Material or Significant COTABD at the group level is entirely situated in one component there is no risk of aggregation however there is a risk of concentration
• If a group has 20 components and 80% of inventory is held by 2 manufacturing entities, risk of inventory valuation error is concentrated in these 2 entities.]  </t>
        </is>
      </c>
      <c r="C36" s="576" t="n"/>
      <c r="D36" s="576" t="n"/>
      <c r="E36" s="576" t="n"/>
      <c r="F36" s="576" t="n"/>
      <c r="G36" s="576" t="n"/>
      <c r="H36" s="603" t="n"/>
      <c r="I36" s="534" t="n"/>
      <c r="J36" s="576" t="n"/>
      <c r="K36" s="603" t="n"/>
      <c r="L36" s="619" t="n"/>
      <c r="M36" s="576" t="n"/>
      <c r="N36" s="605" t="n"/>
      <c r="O36" s="619" t="n"/>
      <c r="P36" s="576" t="n"/>
      <c r="Q36" s="605" t="n"/>
      <c r="R36" s="534" t="n"/>
      <c r="S36" s="576" t="n"/>
      <c r="T36" s="603" t="n"/>
      <c r="U36" s="535" t="n"/>
      <c r="V36" s="576" t="n"/>
      <c r="W36" s="603" t="n"/>
      <c r="X36" s="242" t="n"/>
      <c r="Y36" s="266" t="n"/>
    </row>
    <row r="37" ht="41.25" customHeight="1">
      <c r="B37" s="475" t="inlineStr">
        <is>
          <t>Assessment of inherent risk factors (e.g., complexity, subjectivity) – explain what inherent risk factors link to the COTABD are and your evaluation of likelihood of material misstatement
[the greater the assessment of related inherent risk factors, the higher the risk can be]</t>
        </is>
      </c>
      <c r="C37" s="576" t="n"/>
      <c r="D37" s="576" t="n"/>
      <c r="E37" s="576" t="n"/>
      <c r="F37" s="576" t="n"/>
      <c r="G37" s="576" t="n"/>
      <c r="H37" s="603" t="n"/>
      <c r="I37" s="534" t="n"/>
      <c r="J37" s="576" t="n"/>
      <c r="K37" s="603" t="n"/>
      <c r="L37" s="619" t="n"/>
      <c r="M37" s="576" t="n"/>
      <c r="N37" s="605" t="n"/>
      <c r="O37" s="619" t="n"/>
      <c r="P37" s="576" t="n"/>
      <c r="Q37" s="605" t="n"/>
      <c r="R37" s="534" t="n"/>
      <c r="S37" s="576" t="n"/>
      <c r="T37" s="603" t="n"/>
      <c r="U37" s="535" t="n"/>
      <c r="V37" s="576" t="n"/>
      <c r="W37" s="603" t="n"/>
      <c r="X37" s="242" t="n"/>
      <c r="Y37" s="266" t="n"/>
    </row>
    <row r="38" ht="42" customHeight="1">
      <c r="B38" s="475" t="inlineStr">
        <is>
          <t>Nature and extent of accounting estimates within the COTABD – provide a list of accounting estimates within the COTABD and your evaluation of likelihood of material misstatement 
[the greater the number of accounting estimates and related inherent risk factors identified above, the higher the potential of material misstatement]</t>
        </is>
      </c>
      <c r="C38" s="576" t="n"/>
      <c r="D38" s="576" t="n"/>
      <c r="E38" s="576" t="n"/>
      <c r="F38" s="576" t="n"/>
      <c r="G38" s="576" t="n"/>
      <c r="H38" s="603" t="n"/>
      <c r="I38" s="534" t="n"/>
      <c r="J38" s="576" t="n"/>
      <c r="K38" s="603" t="n"/>
      <c r="L38" s="619" t="n"/>
      <c r="M38" s="576" t="n"/>
      <c r="N38" s="605" t="n"/>
      <c r="O38" s="619" t="n"/>
      <c r="P38" s="576" t="n"/>
      <c r="Q38" s="605" t="n"/>
      <c r="R38" s="534" t="n"/>
      <c r="S38" s="576" t="n"/>
      <c r="T38" s="603" t="n"/>
      <c r="U38" s="535" t="n"/>
      <c r="V38" s="576" t="n"/>
      <c r="W38" s="603" t="n"/>
      <c r="X38" s="242" t="n"/>
      <c r="Y38" s="266" t="n"/>
    </row>
    <row r="39" ht="55.5" customHeight="1">
      <c r="B39" s="475" t="inlineStr">
        <is>
          <t>Any specific attributes of the components that make up the COTABD increasing the risks of material misstatement of the group financial statements.
[Ie: the relative risks associated with the components, the effectiveness of entity level controls, the history of control deficiencies and audit adjustments, commonality of systems and processes etc. - these attributes may identify.]</t>
        </is>
      </c>
      <c r="C39" s="576" t="n"/>
      <c r="D39" s="576" t="n"/>
      <c r="E39" s="576" t="n"/>
      <c r="F39" s="576" t="n"/>
      <c r="G39" s="576" t="n"/>
      <c r="H39" s="603" t="n"/>
      <c r="I39" s="534" t="n"/>
      <c r="J39" s="576" t="n"/>
      <c r="K39" s="603" t="n"/>
      <c r="L39" s="619" t="n"/>
      <c r="M39" s="576" t="n"/>
      <c r="N39" s="605" t="n"/>
      <c r="O39" s="619" t="n"/>
      <c r="P39" s="576" t="n"/>
      <c r="Q39" s="605" t="n"/>
      <c r="R39" s="534" t="n"/>
      <c r="S39" s="576" t="n"/>
      <c r="T39" s="603" t="n"/>
      <c r="U39" s="535" t="n"/>
      <c r="V39" s="576" t="n"/>
      <c r="W39" s="603" t="n"/>
      <c r="X39" s="242" t="n"/>
      <c r="Y39" s="266" t="n"/>
    </row>
    <row r="40" ht="28.5" customHeight="1" thickBot="1">
      <c r="B40" s="475" t="inlineStr">
        <is>
          <t>Other (please describe) 
Please add more rows if needed</t>
        </is>
      </c>
      <c r="C40" s="576" t="n"/>
      <c r="D40" s="576" t="n"/>
      <c r="E40" s="576" t="n"/>
      <c r="F40" s="576" t="n"/>
      <c r="G40" s="576" t="n"/>
      <c r="H40" s="603" t="n"/>
      <c r="I40" s="534" t="n"/>
      <c r="J40" s="576" t="n"/>
      <c r="K40" s="603" t="n"/>
      <c r="L40" s="619" t="n"/>
      <c r="M40" s="576" t="n"/>
      <c r="N40" s="605" t="n"/>
      <c r="O40" s="619" t="n"/>
      <c r="P40" s="576" t="n"/>
      <c r="Q40" s="605" t="n"/>
      <c r="R40" s="534" t="n"/>
      <c r="S40" s="576" t="n"/>
      <c r="T40" s="603" t="n"/>
      <c r="U40" s="535" t="n"/>
      <c r="V40" s="576" t="n"/>
      <c r="W40" s="603" t="n"/>
      <c r="X40" s="242" t="n"/>
      <c r="Y40" s="266" t="n"/>
    </row>
    <row r="41" ht="27.75" customHeight="1">
      <c r="B41" s="528" t="inlineStr">
        <is>
          <t>Risk assessment procedures (1)</t>
        </is>
      </c>
      <c r="C41" s="562" t="n"/>
      <c r="D41" s="562" t="n"/>
      <c r="E41" s="562" t="n"/>
      <c r="F41" s="562" t="n"/>
      <c r="G41" s="562" t="n"/>
      <c r="H41" s="563" t="n"/>
      <c r="I41" s="617" t="inlineStr">
        <is>
          <t>Comment</t>
        </is>
      </c>
      <c r="J41" s="581" t="n"/>
      <c r="K41" s="618" t="n"/>
      <c r="L41" s="617" t="inlineStr">
        <is>
          <t>Comment</t>
        </is>
      </c>
      <c r="M41" s="581" t="n"/>
      <c r="N41" s="618" t="n"/>
      <c r="O41" s="617" t="inlineStr">
        <is>
          <t>Comment</t>
        </is>
      </c>
      <c r="P41" s="581" t="n"/>
      <c r="Q41" s="618" t="n"/>
      <c r="R41" s="617" t="inlineStr">
        <is>
          <t>Comment</t>
        </is>
      </c>
      <c r="S41" s="581" t="n"/>
      <c r="T41" s="618" t="n"/>
      <c r="U41" s="617" t="inlineStr">
        <is>
          <t>Comment</t>
        </is>
      </c>
      <c r="V41" s="581" t="n"/>
      <c r="W41" s="618" t="n"/>
      <c r="X41" s="242" t="n"/>
      <c r="Y41" s="266" t="n"/>
    </row>
    <row r="42" ht="15" customHeight="1">
      <c r="B42" s="475" t="inlineStr">
        <is>
          <t>Analytical procedures at an appropriate level of disaggregation</t>
        </is>
      </c>
      <c r="C42" s="576" t="n"/>
      <c r="D42" s="576" t="n"/>
      <c r="E42" s="576" t="n"/>
      <c r="F42" s="576" t="n"/>
      <c r="G42" s="576" t="n"/>
      <c r="H42" s="603" t="n"/>
      <c r="I42" s="534" t="n"/>
      <c r="J42" s="576" t="n"/>
      <c r="K42" s="603" t="n"/>
      <c r="L42" s="619" t="n"/>
      <c r="M42" s="576" t="n"/>
      <c r="N42" s="605" t="n"/>
      <c r="O42" s="619" t="n"/>
      <c r="P42" s="576" t="n"/>
      <c r="Q42" s="605" t="n"/>
      <c r="R42" s="534" t="n"/>
      <c r="S42" s="576" t="n"/>
      <c r="T42" s="603" t="n"/>
      <c r="U42" s="535" t="n"/>
      <c r="V42" s="576" t="n"/>
      <c r="W42" s="603" t="n"/>
      <c r="X42" s="242" t="n"/>
      <c r="Y42" s="266" t="n"/>
    </row>
    <row r="43" ht="28.5" customHeight="1">
      <c r="B43" s="475" t="inlineStr">
        <is>
          <t>Inquiries with group and component management (including TCWG where applicable) regarding component operations, financial reporting processes and internal controls</t>
        </is>
      </c>
      <c r="C43" s="576" t="n"/>
      <c r="D43" s="576" t="n"/>
      <c r="E43" s="576" t="n"/>
      <c r="F43" s="576" t="n"/>
      <c r="G43" s="576" t="n"/>
      <c r="H43" s="603" t="n"/>
      <c r="I43" s="534" t="n"/>
      <c r="J43" s="576" t="n"/>
      <c r="K43" s="603" t="n"/>
      <c r="L43" s="619" t="n"/>
      <c r="M43" s="576" t="n"/>
      <c r="N43" s="605" t="n"/>
      <c r="O43" s="619" t="n"/>
      <c r="P43" s="576" t="n"/>
      <c r="Q43" s="605" t="n"/>
      <c r="R43" s="534" t="n"/>
      <c r="S43" s="576" t="n"/>
      <c r="T43" s="603" t="n"/>
      <c r="U43" s="535" t="n"/>
      <c r="V43" s="576" t="n"/>
      <c r="W43" s="603" t="n"/>
      <c r="X43" s="242" t="n"/>
      <c r="Y43" s="266" t="n"/>
    </row>
    <row r="44" ht="20.25" customHeight="1">
      <c r="B44" s="475" t="inlineStr">
        <is>
          <t>Evaluate components’ internal control systems and review the results of key internal controls tested during the period and the previous period</t>
        </is>
      </c>
      <c r="C44" s="576" t="n"/>
      <c r="D44" s="576" t="n"/>
      <c r="E44" s="576" t="n"/>
      <c r="F44" s="576" t="n"/>
      <c r="G44" s="576" t="n"/>
      <c r="H44" s="603" t="n"/>
      <c r="I44" s="534" t="n"/>
      <c r="J44" s="576" t="n"/>
      <c r="K44" s="603" t="n"/>
      <c r="L44" s="619" t="n"/>
      <c r="M44" s="576" t="n"/>
      <c r="N44" s="605" t="n"/>
      <c r="O44" s="619" t="n"/>
      <c r="P44" s="576" t="n"/>
      <c r="Q44" s="605" t="n"/>
      <c r="R44" s="534" t="n"/>
      <c r="S44" s="576" t="n"/>
      <c r="T44" s="603" t="n"/>
      <c r="U44" s="535" t="n"/>
      <c r="V44" s="576" t="n"/>
      <c r="W44" s="603" t="n"/>
      <c r="X44" s="242" t="n"/>
      <c r="Y44" s="266" t="n"/>
    </row>
    <row r="45" ht="28.5" customHeight="1">
      <c r="B45" s="475" t="inlineStr">
        <is>
          <t>Evaluation, and where applicable, plan testing of operating effectiveness to be performed over common controls that are intended by group management to operate at components’ level;</t>
        </is>
      </c>
      <c r="C45" s="576" t="n"/>
      <c r="D45" s="576" t="n"/>
      <c r="E45" s="576" t="n"/>
      <c r="F45" s="576" t="n"/>
      <c r="G45" s="576" t="n"/>
      <c r="H45" s="603" t="n"/>
      <c r="I45" s="534" t="n"/>
      <c r="J45" s="576" t="n"/>
      <c r="K45" s="603" t="n"/>
      <c r="L45" s="619" t="n"/>
      <c r="M45" s="576" t="n"/>
      <c r="N45" s="605" t="n"/>
      <c r="O45" s="619" t="n"/>
      <c r="P45" s="576" t="n"/>
      <c r="Q45" s="605" t="n"/>
      <c r="R45" s="534" t="n"/>
      <c r="S45" s="576" t="n"/>
      <c r="T45" s="603" t="n"/>
      <c r="U45" s="535" t="n"/>
      <c r="V45" s="576" t="n"/>
      <c r="W45" s="603" t="n"/>
      <c r="X45" s="242" t="n"/>
      <c r="Y45" s="266" t="n"/>
    </row>
    <row r="46" ht="27.75" customHeight="1">
      <c r="B46" s="475" t="inlineStr">
        <is>
          <t>Review of results of prior period component audits performed for statutory or other reasons. This also include to review the representation letters and communication with TCWG linked to those audits to identify any issues raised during the audit that could impact the group risk assessment</t>
        </is>
      </c>
      <c r="C46" s="576" t="n"/>
      <c r="D46" s="576" t="n"/>
      <c r="E46" s="576" t="n"/>
      <c r="F46" s="576" t="n"/>
      <c r="G46" s="576" t="n"/>
      <c r="H46" s="603" t="n"/>
      <c r="I46" s="534" t="n"/>
      <c r="J46" s="576" t="n"/>
      <c r="K46" s="603" t="n"/>
      <c r="L46" s="619" t="n"/>
      <c r="M46" s="576" t="n"/>
      <c r="N46" s="605" t="n"/>
      <c r="O46" s="619" t="n"/>
      <c r="P46" s="576" t="n"/>
      <c r="Q46" s="605" t="n"/>
      <c r="R46" s="534" t="n"/>
      <c r="S46" s="576" t="n"/>
      <c r="T46" s="603" t="n"/>
      <c r="U46" s="535" t="n"/>
      <c r="V46" s="576" t="n"/>
      <c r="W46" s="603" t="n"/>
      <c r="X46" s="242" t="n"/>
      <c r="Y46" s="266" t="n"/>
    </row>
    <row r="47" ht="29.25" customHeight="1">
      <c r="B47" s="475" t="inlineStr">
        <is>
          <t>Review of the results of any relevant audit work performed at component level by the group’s internal audit function during the period and the previous period</t>
        </is>
      </c>
      <c r="C47" s="576" t="n"/>
      <c r="D47" s="576" t="n"/>
      <c r="E47" s="576" t="n"/>
      <c r="F47" s="576" t="n"/>
      <c r="G47" s="576" t="n"/>
      <c r="H47" s="603" t="n"/>
      <c r="I47" s="534" t="n"/>
      <c r="J47" s="576" t="n"/>
      <c r="K47" s="603" t="n"/>
      <c r="L47" s="619" t="n"/>
      <c r="M47" s="576" t="n"/>
      <c r="N47" s="605" t="n"/>
      <c r="O47" s="619" t="n"/>
      <c r="P47" s="576" t="n"/>
      <c r="Q47" s="605" t="n"/>
      <c r="R47" s="534" t="n"/>
      <c r="S47" s="576" t="n"/>
      <c r="T47" s="603" t="n"/>
      <c r="U47" s="535" t="n"/>
      <c r="V47" s="576" t="n"/>
      <c r="W47" s="603" t="n"/>
      <c r="X47" s="242" t="n"/>
      <c r="Y47" s="266" t="n"/>
    </row>
    <row r="48" ht="28.5" customHeight="1">
      <c r="B48" s="475" t="inlineStr">
        <is>
          <t>Evaluate components’ own risk assessment processes to assess their effectiveness in identifying the addressing material misstatements at component level.</t>
        </is>
      </c>
      <c r="C48" s="576" t="n"/>
      <c r="D48" s="576" t="n"/>
      <c r="E48" s="576" t="n"/>
      <c r="F48" s="576" t="n"/>
      <c r="G48" s="576" t="n"/>
      <c r="H48" s="603" t="n"/>
      <c r="I48" s="534" t="n"/>
      <c r="J48" s="576" t="n"/>
      <c r="K48" s="603" t="n"/>
      <c r="L48" s="619" t="n"/>
      <c r="M48" s="576" t="n"/>
      <c r="N48" s="605" t="n"/>
      <c r="O48" s="619" t="n"/>
      <c r="P48" s="576" t="n"/>
      <c r="Q48" s="605" t="n"/>
      <c r="R48" s="534" t="n"/>
      <c r="S48" s="576" t="n"/>
      <c r="T48" s="603" t="n"/>
      <c r="U48" s="535" t="n"/>
      <c r="V48" s="576" t="n"/>
      <c r="W48" s="603" t="n"/>
      <c r="X48" s="242" t="n"/>
      <c r="Y48" s="266" t="n"/>
    </row>
    <row r="49" ht="30" customHeight="1">
      <c r="B49" s="475" t="inlineStr">
        <is>
          <t>Other (please describe) 
Please add more rows if needed</t>
        </is>
      </c>
      <c r="C49" s="576" t="n"/>
      <c r="D49" s="576" t="n"/>
      <c r="E49" s="576" t="n"/>
      <c r="F49" s="576" t="n"/>
      <c r="G49" s="576" t="n"/>
      <c r="H49" s="603" t="n"/>
      <c r="I49" s="534" t="n"/>
      <c r="J49" s="576" t="n"/>
      <c r="K49" s="603" t="n"/>
      <c r="L49" s="619" t="n"/>
      <c r="M49" s="576" t="n"/>
      <c r="N49" s="605" t="n"/>
      <c r="O49" s="619" t="n"/>
      <c r="P49" s="576" t="n"/>
      <c r="Q49" s="605" t="n"/>
      <c r="R49" s="534" t="n"/>
      <c r="S49" s="576" t="n"/>
      <c r="T49" s="603" t="n"/>
      <c r="U49" s="535" t="n"/>
      <c r="V49" s="576" t="n"/>
      <c r="W49" s="603" t="n"/>
      <c r="X49" s="242" t="n"/>
      <c r="Y49" s="266" t="n"/>
    </row>
    <row r="50" ht="30.75" customHeight="1">
      <c r="B50" s="267" t="inlineStr">
        <is>
          <t>Conclusion</t>
        </is>
      </c>
      <c r="C50" s="257" t="n"/>
      <c r="D50" s="257" t="n"/>
      <c r="E50" s="257" t="n"/>
      <c r="F50" s="257" t="n"/>
      <c r="G50" s="257" t="n"/>
      <c r="H50" s="257" t="n"/>
      <c r="I50" s="492" t="inlineStr">
        <is>
          <t>Overall conclusion</t>
        </is>
      </c>
      <c r="J50" s="576" t="n"/>
      <c r="K50" s="603" t="n"/>
      <c r="L50" s="620" t="inlineStr">
        <is>
          <t>Overall conclusion</t>
        </is>
      </c>
      <c r="M50" s="576" t="n"/>
      <c r="N50" s="605" t="n"/>
      <c r="O50" s="620" t="inlineStr">
        <is>
          <t>Overall conclusion</t>
        </is>
      </c>
      <c r="P50" s="576" t="n"/>
      <c r="Q50" s="605" t="n"/>
      <c r="R50" s="620" t="inlineStr">
        <is>
          <t>Overall conclusion</t>
        </is>
      </c>
      <c r="S50" s="576" t="n"/>
      <c r="T50" s="605" t="n"/>
      <c r="U50" s="492" t="inlineStr">
        <is>
          <t>Overall conclusion</t>
        </is>
      </c>
      <c r="V50" s="576" t="n"/>
      <c r="W50" s="603" t="n"/>
      <c r="X50" s="242" t="n"/>
      <c r="Y50" s="266" t="n"/>
    </row>
    <row r="51" ht="28.5" customHeight="1">
      <c r="B51" s="475" t="inlineStr">
        <is>
          <t>Do you conclude that sufficient appropriate audit evidence will be obtained and is the risk of material misstatement reduced to an acceptably low 
level (2)?</t>
        </is>
      </c>
      <c r="C51" s="576" t="n"/>
      <c r="D51" s="576" t="n"/>
      <c r="E51" s="576" t="n"/>
      <c r="F51" s="576" t="n"/>
      <c r="G51" s="576" t="n"/>
      <c r="H51" s="603" t="n"/>
      <c r="I51" s="621" t="n"/>
      <c r="J51" s="576" t="n"/>
      <c r="K51" s="605" t="n"/>
      <c r="L51" s="621" t="n"/>
      <c r="M51" s="576" t="n"/>
      <c r="N51" s="605" t="n"/>
      <c r="O51" s="621" t="n"/>
      <c r="P51" s="576" t="n"/>
      <c r="Q51" s="605" t="n"/>
      <c r="R51" s="621" t="n"/>
      <c r="S51" s="576" t="n"/>
      <c r="T51" s="605" t="n"/>
      <c r="U51" s="621" t="n"/>
      <c r="V51" s="576" t="n"/>
      <c r="W51" s="605" t="n"/>
      <c r="X51" s="242" t="n"/>
      <c r="Y51" s="266" t="n"/>
    </row>
    <row r="52" ht="15" customHeight="1">
      <c r="B52" s="607" t="inlineStr">
        <is>
          <t>Please comment (if the answer is no, then you must explain what other actions should be taken to reduce the risk)</t>
        </is>
      </c>
      <c r="C52" s="608" t="n"/>
      <c r="D52" s="608" t="n"/>
      <c r="E52" s="608" t="n"/>
      <c r="F52" s="608" t="n"/>
      <c r="G52" s="608" t="n"/>
      <c r="H52" s="608" t="n"/>
      <c r="I52" s="622" t="n"/>
      <c r="J52" s="608" t="n"/>
      <c r="K52" s="610" t="n"/>
      <c r="L52" s="622" t="n"/>
      <c r="M52" s="608" t="n"/>
      <c r="N52" s="610" t="n"/>
      <c r="O52" s="622" t="n"/>
      <c r="P52" s="608" t="n"/>
      <c r="Q52" s="610" t="n"/>
      <c r="R52" s="622" t="n"/>
      <c r="S52" s="608" t="n"/>
      <c r="T52" s="610" t="n"/>
      <c r="U52" s="622" t="n"/>
      <c r="V52" s="608" t="n"/>
      <c r="W52" s="610" t="n"/>
      <c r="X52" s="242" t="n"/>
      <c r="Y52" s="266" t="n"/>
    </row>
    <row r="53" ht="15" customHeight="1">
      <c r="B53" s="124" t="n"/>
      <c r="I53" s="124" t="n"/>
      <c r="K53" s="127" t="n"/>
      <c r="L53" s="124" t="n"/>
      <c r="N53" s="127" t="n"/>
      <c r="O53" s="124" t="n"/>
      <c r="Q53" s="127" t="n"/>
      <c r="R53" s="124" t="n"/>
      <c r="T53" s="127" t="n"/>
      <c r="U53" s="124" t="n"/>
      <c r="W53" s="127" t="n"/>
      <c r="X53" s="242" t="n"/>
      <c r="Y53" s="266" t="n"/>
    </row>
    <row r="54" ht="15" customHeight="1">
      <c r="B54" s="124" t="n"/>
      <c r="I54" s="124" t="n"/>
      <c r="K54" s="127" t="n"/>
      <c r="L54" s="124" t="n"/>
      <c r="N54" s="127" t="n"/>
      <c r="O54" s="124" t="n"/>
      <c r="Q54" s="127" t="n"/>
      <c r="R54" s="124" t="n"/>
      <c r="T54" s="127" t="n"/>
      <c r="U54" s="124" t="n"/>
      <c r="W54" s="127" t="n"/>
      <c r="X54" s="242" t="n"/>
      <c r="Y54" s="266" t="n"/>
    </row>
    <row r="55" ht="15" customHeight="1">
      <c r="B55" s="124" t="n"/>
      <c r="I55" s="124" t="n"/>
      <c r="K55" s="127" t="n"/>
      <c r="L55" s="124" t="n"/>
      <c r="N55" s="127" t="n"/>
      <c r="O55" s="124" t="n"/>
      <c r="Q55" s="127" t="n"/>
      <c r="R55" s="124" t="n"/>
      <c r="T55" s="127" t="n"/>
      <c r="U55" s="124" t="n"/>
      <c r="W55" s="127" t="n"/>
      <c r="X55" s="242" t="n"/>
      <c r="Y55" s="266" t="n"/>
    </row>
    <row r="56" ht="15.75" customHeight="1" thickBot="1">
      <c r="B56" s="187" t="n"/>
      <c r="C56" s="188" t="n"/>
      <c r="D56" s="188" t="n"/>
      <c r="E56" s="188" t="n"/>
      <c r="F56" s="188" t="n"/>
      <c r="G56" s="188" t="n"/>
      <c r="H56" s="188" t="n"/>
      <c r="I56" s="187" t="n"/>
      <c r="J56" s="188" t="n"/>
      <c r="K56" s="190" t="n"/>
      <c r="L56" s="187" t="n"/>
      <c r="M56" s="188" t="n"/>
      <c r="N56" s="190" t="n"/>
      <c r="O56" s="187" t="n"/>
      <c r="P56" s="188" t="n"/>
      <c r="Q56" s="190" t="n"/>
      <c r="R56" s="187" t="n"/>
      <c r="S56" s="188" t="n"/>
      <c r="T56" s="190" t="n"/>
      <c r="U56" s="187" t="n"/>
      <c r="V56" s="188" t="n"/>
      <c r="W56" s="190" t="n"/>
      <c r="X56" s="242" t="n"/>
      <c r="Y56" s="266" t="n"/>
    </row>
    <row r="57" ht="15" customHeight="1">
      <c r="B57" s="509" t="n"/>
      <c r="C57" s="510" t="n"/>
      <c r="D57" s="510" t="n"/>
      <c r="E57" s="510" t="n"/>
      <c r="F57" s="510" t="n"/>
      <c r="G57" s="510" t="n"/>
      <c r="H57" s="510" t="n"/>
      <c r="I57" s="499" t="n"/>
      <c r="J57" s="499" t="n"/>
      <c r="K57" s="499" t="n"/>
      <c r="L57" s="499" t="n"/>
      <c r="M57" s="499" t="n"/>
      <c r="N57" s="499" t="n"/>
      <c r="O57" s="499" t="n"/>
      <c r="P57" s="499" t="n"/>
      <c r="Q57" s="499" t="n"/>
      <c r="R57" s="499" t="n"/>
      <c r="S57" s="499" t="n"/>
      <c r="T57" s="499" t="n"/>
      <c r="U57" s="499" t="n"/>
      <c r="V57" s="499" t="n"/>
      <c r="W57" s="499" t="n"/>
      <c r="X57" s="242" t="n"/>
      <c r="Y57" s="266" t="n"/>
    </row>
    <row r="58">
      <c r="B58" s="265" t="n"/>
      <c r="Y58" s="266" t="n"/>
    </row>
    <row r="59">
      <c r="B59" s="286" t="inlineStr">
        <is>
          <t xml:space="preserve">(1) The documentation of the evaluation as to whether sufficient appropriate audit evidence is planned for each group Material or Significant COTABD must be completed by risk assessment procedures on the remaining population. </t>
        </is>
      </c>
      <c r="Y59" s="266" t="n"/>
    </row>
    <row r="60">
      <c r="B60" s="286" t="inlineStr">
        <is>
          <t>The group auditor has to design and perform risk assessment procedures to support group audit scoping conclusions. evidence of all risk assessment procedures should be retained to support the overall conclusion.</t>
        </is>
      </c>
      <c r="Y60" s="266" t="n"/>
    </row>
    <row r="61">
      <c r="B61" s="286" t="inlineStr">
        <is>
          <t xml:space="preserve">When performing risk assessment procedures above, It is more likely that the group auditor performs more than one risk assessment procedure to support the scoping conclusions. </t>
        </is>
      </c>
      <c r="Y61" s="266" t="n"/>
    </row>
    <row r="62">
      <c r="B62" s="286" t="inlineStr">
        <is>
          <t>Please note that more risk assessment procedures are needed for a SCOTABD than a MCOTABD as there is a higher risk of material misstatement in a SCOTABD.</t>
        </is>
      </c>
      <c r="Y62" s="266" t="n"/>
    </row>
    <row r="63">
      <c r="B63" s="265" t="n"/>
      <c r="Y63" s="266" t="n"/>
    </row>
    <row r="64" ht="15" customHeight="1">
      <c r="B64" s="269" t="inlineStr">
        <is>
          <t>(2) If, based on the results of the above stand-back assessment procedures, the group auditor concludes that sufficient appropriate audit evidence will not be obtained and the risk of material misstatement will not be reduced to an acceptably low 
level,</t>
        </is>
      </c>
      <c r="C64" s="510" t="n"/>
      <c r="D64" s="510" t="n"/>
      <c r="E64" s="510" t="n"/>
      <c r="F64" s="510" t="n"/>
      <c r="G64" s="510" t="n"/>
      <c r="H64" s="510" t="n"/>
      <c r="I64" s="499" t="n"/>
      <c r="J64" s="499" t="n"/>
      <c r="K64" s="499" t="n"/>
      <c r="L64" s="499" t="n"/>
      <c r="M64" s="499" t="n"/>
      <c r="N64" s="499" t="n"/>
      <c r="O64" s="499" t="n"/>
      <c r="P64" s="499" t="n"/>
      <c r="Q64" s="499" t="n"/>
      <c r="R64" s="499" t="n"/>
      <c r="S64" s="499" t="n"/>
      <c r="T64" s="499" t="n"/>
      <c r="U64" s="499" t="n"/>
      <c r="V64" s="499" t="n"/>
      <c r="W64" s="499" t="n"/>
      <c r="X64" s="242" t="n"/>
      <c r="Y64" s="266" t="n"/>
    </row>
    <row r="65" ht="15" customHeight="1">
      <c r="B65" s="269" t="inlineStr">
        <is>
          <t xml:space="preserve">the group auditor uses professional judgment to determine the appropriate combination of actions to take, such as planning:  </t>
        </is>
      </c>
      <c r="C65" s="510" t="n"/>
      <c r="D65" s="510" t="n"/>
      <c r="E65" s="510" t="n"/>
      <c r="F65" s="510" t="n"/>
      <c r="G65" s="510" t="n"/>
      <c r="H65" s="510" t="n"/>
      <c r="I65" s="499" t="n"/>
      <c r="J65" s="499" t="n"/>
      <c r="K65" s="499" t="n"/>
      <c r="L65" s="499" t="n"/>
      <c r="M65" s="499" t="n"/>
      <c r="N65" s="499" t="n"/>
      <c r="O65" s="499" t="n"/>
      <c r="P65" s="499" t="n"/>
      <c r="Q65" s="499" t="n"/>
      <c r="R65" s="499" t="n"/>
      <c r="S65" s="499" t="n"/>
      <c r="T65" s="499" t="n"/>
      <c r="U65" s="499" t="n"/>
      <c r="V65" s="499" t="n"/>
      <c r="W65" s="499" t="n"/>
      <c r="X65" s="242" t="n"/>
      <c r="Y65" s="266" t="n"/>
    </row>
    <row r="66" ht="15" customHeight="1">
      <c r="B66" s="269" t="inlineStr">
        <is>
          <t xml:space="preserve">• Appropriate modifications (i.e., increasing) to the scope of work to be performed at components where further audit procedures are already planned; and/or  </t>
        </is>
      </c>
      <c r="C66" s="510" t="n"/>
      <c r="D66" s="510" t="n"/>
      <c r="E66" s="510" t="n"/>
      <c r="F66" s="510" t="n"/>
      <c r="G66" s="510" t="n"/>
      <c r="H66" s="510" t="n"/>
      <c r="I66" s="499" t="n"/>
      <c r="J66" s="499" t="n"/>
      <c r="K66" s="499" t="n"/>
      <c r="L66" s="499" t="n"/>
      <c r="M66" s="499" t="n"/>
      <c r="N66" s="499" t="n"/>
      <c r="O66" s="499" t="n"/>
      <c r="P66" s="499" t="n"/>
      <c r="Q66" s="499" t="n"/>
      <c r="R66" s="499" t="n"/>
      <c r="S66" s="499" t="n"/>
      <c r="T66" s="499" t="n"/>
      <c r="U66" s="499" t="n"/>
      <c r="V66" s="499" t="n"/>
      <c r="W66" s="499" t="n"/>
      <c r="X66" s="242" t="n"/>
      <c r="Y66" s="266" t="n"/>
    </row>
    <row r="67" ht="15" customHeight="1">
      <c r="B67" s="269" t="inlineStr">
        <is>
          <t xml:space="preserve">• To perform further audit procedures at additional components (meaning scoping more components).  </t>
        </is>
      </c>
      <c r="C67" s="510" t="n"/>
      <c r="D67" s="510" t="n"/>
      <c r="E67" s="510" t="n"/>
      <c r="F67" s="510" t="n"/>
      <c r="G67" s="510" t="n"/>
      <c r="H67" s="510" t="n"/>
      <c r="I67" s="499" t="n"/>
      <c r="J67" s="499" t="n"/>
      <c r="K67" s="499" t="n"/>
      <c r="L67" s="499" t="n"/>
      <c r="M67" s="499" t="n"/>
      <c r="N67" s="499" t="n"/>
      <c r="O67" s="499" t="n"/>
      <c r="P67" s="499" t="n"/>
      <c r="Q67" s="499" t="n"/>
      <c r="R67" s="499" t="n"/>
      <c r="S67" s="499" t="n"/>
      <c r="T67" s="499" t="n"/>
      <c r="U67" s="499" t="n"/>
      <c r="V67" s="499" t="n"/>
      <c r="W67" s="499" t="n"/>
      <c r="X67" s="242" t="n"/>
      <c r="Y67" s="266" t="n"/>
    </row>
    <row r="68" ht="15" customHeight="1">
      <c r="B68" s="269" t="inlineStr">
        <is>
          <t>Also please see other assurance procedures point 5. in tab Scope decision tree</t>
        </is>
      </c>
      <c r="C68" s="510" t="n"/>
      <c r="D68" s="510" t="n"/>
      <c r="E68" s="510" t="n"/>
      <c r="F68" s="510" t="n"/>
      <c r="G68" s="510" t="n"/>
      <c r="H68" s="510" t="n"/>
      <c r="I68" s="499" t="n"/>
      <c r="J68" s="499" t="n"/>
      <c r="K68" s="499" t="n"/>
      <c r="L68" s="499" t="n"/>
      <c r="M68" s="499" t="n"/>
      <c r="N68" s="499" t="n"/>
      <c r="O68" s="499" t="n"/>
      <c r="P68" s="499" t="n"/>
      <c r="Q68" s="499" t="n"/>
      <c r="R68" s="499" t="n"/>
      <c r="S68" s="499" t="n"/>
      <c r="T68" s="499" t="n"/>
      <c r="U68" s="499" t="n"/>
      <c r="V68" s="499" t="n"/>
      <c r="W68" s="499" t="n"/>
      <c r="X68" s="242" t="n"/>
      <c r="Y68" s="266" t="n"/>
    </row>
    <row r="69" ht="13.5" customHeight="1" thickBot="1">
      <c r="B69" s="270" t="n"/>
      <c r="C69" s="271" t="n"/>
      <c r="D69" s="271" t="n"/>
      <c r="E69" s="271" t="n"/>
      <c r="F69" s="271" t="n"/>
      <c r="G69" s="271" t="n"/>
      <c r="H69" s="271" t="n"/>
      <c r="I69" s="271" t="n"/>
      <c r="J69" s="271" t="n"/>
      <c r="K69" s="271" t="n"/>
      <c r="L69" s="271" t="n"/>
      <c r="M69" s="271" t="n"/>
      <c r="N69" s="271" t="n"/>
      <c r="O69" s="271" t="n"/>
      <c r="P69" s="271" t="n"/>
      <c r="Q69" s="271" t="n"/>
      <c r="R69" s="271" t="n"/>
      <c r="S69" s="271" t="n"/>
      <c r="T69" s="271" t="n"/>
      <c r="U69" s="271" t="n"/>
      <c r="V69" s="271" t="n"/>
      <c r="W69" s="271" t="n"/>
      <c r="X69" s="271" t="n"/>
      <c r="Y69" s="272" t="n"/>
    </row>
  </sheetData>
  <mergeCells count="171">
    <mergeCell ref="O29:Q29"/>
    <mergeCell ref="I32:K32"/>
    <mergeCell ref="L33:N33"/>
    <mergeCell ref="B40:H40"/>
    <mergeCell ref="L42:N42"/>
    <mergeCell ref="B49:H49"/>
    <mergeCell ref="R27:T27"/>
    <mergeCell ref="U32:W32"/>
    <mergeCell ref="O44:Q44"/>
    <mergeCell ref="U37:W37"/>
    <mergeCell ref="R36:T36"/>
    <mergeCell ref="R45:T45"/>
    <mergeCell ref="O31:Q31"/>
    <mergeCell ref="B33:H33"/>
    <mergeCell ref="L35:N35"/>
    <mergeCell ref="U47:W47"/>
    <mergeCell ref="B51:H51"/>
    <mergeCell ref="R42:T42"/>
    <mergeCell ref="B32:H32"/>
    <mergeCell ref="L25:N25"/>
    <mergeCell ref="I24:K24"/>
    <mergeCell ref="O51:Q51"/>
    <mergeCell ref="R47:T47"/>
    <mergeCell ref="B41:H41"/>
    <mergeCell ref="B35:H35"/>
    <mergeCell ref="O47:Q47"/>
    <mergeCell ref="R46:T46"/>
    <mergeCell ref="U51:W51"/>
    <mergeCell ref="L46:N46"/>
    <mergeCell ref="I50:K50"/>
    <mergeCell ref="U35:W35"/>
    <mergeCell ref="U50:W50"/>
    <mergeCell ref="R48:T48"/>
    <mergeCell ref="U44:W44"/>
    <mergeCell ref="I34:K34"/>
    <mergeCell ref="R23:T23"/>
    <mergeCell ref="B42:H42"/>
    <mergeCell ref="L48:N48"/>
    <mergeCell ref="L52:N56"/>
    <mergeCell ref="U34:W34"/>
    <mergeCell ref="R38:T38"/>
    <mergeCell ref="I49:K49"/>
    <mergeCell ref="O33:Q33"/>
    <mergeCell ref="L32:N32"/>
    <mergeCell ref="I36:K36"/>
    <mergeCell ref="U49:W49"/>
    <mergeCell ref="I45:K45"/>
    <mergeCell ref="B52:H56"/>
    <mergeCell ref="B44:H44"/>
    <mergeCell ref="U27:W27"/>
    <mergeCell ref="U36:W36"/>
    <mergeCell ref="L47:N47"/>
    <mergeCell ref="R40:T40"/>
    <mergeCell ref="O39:Q39"/>
    <mergeCell ref="U30:W30"/>
    <mergeCell ref="R49:T49"/>
    <mergeCell ref="B37:H37"/>
    <mergeCell ref="I47:K47"/>
    <mergeCell ref="R24:T24"/>
    <mergeCell ref="L24:N24"/>
    <mergeCell ref="I28:K28"/>
    <mergeCell ref="I37:K37"/>
    <mergeCell ref="R26:T26"/>
    <mergeCell ref="R35:T35"/>
    <mergeCell ref="L51:N51"/>
    <mergeCell ref="L26:N26"/>
    <mergeCell ref="O50:Q50"/>
    <mergeCell ref="L41:N41"/>
    <mergeCell ref="O46:Q46"/>
    <mergeCell ref="L50:N50"/>
    <mergeCell ref="I23:K23"/>
    <mergeCell ref="L34:N34"/>
    <mergeCell ref="O48:Q48"/>
    <mergeCell ref="O52:Q56"/>
    <mergeCell ref="I51:K51"/>
    <mergeCell ref="U38:W38"/>
    <mergeCell ref="L49:N49"/>
    <mergeCell ref="O23:Q23"/>
    <mergeCell ref="O38:Q38"/>
    <mergeCell ref="L36:N36"/>
    <mergeCell ref="B43:H43"/>
    <mergeCell ref="U26:W26"/>
    <mergeCell ref="U40:W40"/>
    <mergeCell ref="R39:T39"/>
    <mergeCell ref="R52:T56"/>
    <mergeCell ref="R29:T29"/>
    <mergeCell ref="O24:Q24"/>
    <mergeCell ref="I27:K27"/>
    <mergeCell ref="L28:N28"/>
    <mergeCell ref="L37:N37"/>
    <mergeCell ref="R31:T31"/>
    <mergeCell ref="B34:H34"/>
    <mergeCell ref="I25:K25"/>
    <mergeCell ref="O49:Q49"/>
    <mergeCell ref="U25:W25"/>
    <mergeCell ref="O41:Q41"/>
    <mergeCell ref="R37:T37"/>
    <mergeCell ref="O35:Q35"/>
    <mergeCell ref="L23:N23"/>
    <mergeCell ref="O25:Q25"/>
    <mergeCell ref="R51:T51"/>
    <mergeCell ref="O43:Q43"/>
    <mergeCell ref="B45:H45"/>
    <mergeCell ref="U28:W28"/>
    <mergeCell ref="R41:T41"/>
    <mergeCell ref="O27:Q27"/>
    <mergeCell ref="R50:T50"/>
    <mergeCell ref="O42:Q42"/>
    <mergeCell ref="L40:N40"/>
    <mergeCell ref="I39:K39"/>
    <mergeCell ref="B47:H47"/>
    <mergeCell ref="I48:K48"/>
    <mergeCell ref="I52:K56"/>
    <mergeCell ref="U39:W39"/>
    <mergeCell ref="R43:T43"/>
    <mergeCell ref="I29:K29"/>
    <mergeCell ref="U52:W56"/>
    <mergeCell ref="B31:H31"/>
    <mergeCell ref="B46:H46"/>
    <mergeCell ref="I38:K38"/>
    <mergeCell ref="U29:W29"/>
    <mergeCell ref="R33:T33"/>
    <mergeCell ref="U23:W23"/>
    <mergeCell ref="L27:N27"/>
    <mergeCell ref="B39:H39"/>
    <mergeCell ref="I31:K31"/>
    <mergeCell ref="O37:Q37"/>
    <mergeCell ref="B48:H48"/>
    <mergeCell ref="I40:K40"/>
    <mergeCell ref="U31:W31"/>
    <mergeCell ref="R44:T44"/>
    <mergeCell ref="U46:W46"/>
    <mergeCell ref="R28:T28"/>
    <mergeCell ref="I26:K26"/>
    <mergeCell ref="U48:W48"/>
    <mergeCell ref="R25:T25"/>
    <mergeCell ref="I41:K41"/>
    <mergeCell ref="R30:T30"/>
    <mergeCell ref="U41:W41"/>
    <mergeCell ref="O32:Q32"/>
    <mergeCell ref="O26:Q26"/>
    <mergeCell ref="L39:N39"/>
    <mergeCell ref="L45:N45"/>
    <mergeCell ref="L30:N30"/>
    <mergeCell ref="I43:K43"/>
    <mergeCell ref="U43:W43"/>
    <mergeCell ref="L29:N29"/>
    <mergeCell ref="B36:H36"/>
    <mergeCell ref="L38:N38"/>
    <mergeCell ref="I33:K33"/>
    <mergeCell ref="I42:K42"/>
    <mergeCell ref="U24:W24"/>
    <mergeCell ref="O40:Q40"/>
    <mergeCell ref="U33:W33"/>
    <mergeCell ref="R32:T32"/>
    <mergeCell ref="L44:N44"/>
    <mergeCell ref="U42:W42"/>
    <mergeCell ref="L31:N31"/>
    <mergeCell ref="I35:K35"/>
    <mergeCell ref="I44:K44"/>
    <mergeCell ref="I30:K30"/>
    <mergeCell ref="O34:Q34"/>
    <mergeCell ref="O28:Q28"/>
    <mergeCell ref="I46:K46"/>
    <mergeCell ref="U45:W45"/>
    <mergeCell ref="O36:Q36"/>
    <mergeCell ref="B38:H38"/>
    <mergeCell ref="O30:Q30"/>
    <mergeCell ref="O45:Q45"/>
    <mergeCell ref="L43:N43"/>
    <mergeCell ref="R34:T34"/>
  </mergeCells>
  <conditionalFormatting sqref="I31:I49 K2:K5 K50 N2:N5 N50 Q2:W5 Q50 T50 W50">
    <cfRule type="cellIs" priority="11" operator="equal" dxfId="1">
      <formula>"Increasing effect on risk assessment"</formula>
    </cfRule>
    <cfRule type="cellIs" priority="12" operator="equal" dxfId="0">
      <formula>"Decreasing effect on risk assessment"</formula>
    </cfRule>
  </conditionalFormatting>
  <conditionalFormatting sqref="I51:J51 L51:M51 O51:P51 R51:S51 U51:V51 X51">
    <cfRule type="cellIs" priority="9" operator="equal" dxfId="9">
      <formula>"Yes"</formula>
    </cfRule>
    <cfRule type="cellIs" priority="10" operator="equal" dxfId="8">
      <formula>"No"</formula>
    </cfRule>
  </conditionalFormatting>
  <conditionalFormatting sqref="L31:L49">
    <cfRule type="cellIs" priority="7" operator="equal" dxfId="1">
      <formula>"Increasing effect on risk assessment"</formula>
    </cfRule>
    <cfRule type="cellIs" priority="8" operator="equal" dxfId="0">
      <formula>"Decreasing effect on risk assessment"</formula>
    </cfRule>
  </conditionalFormatting>
  <conditionalFormatting sqref="O31:O49">
    <cfRule type="cellIs" priority="5" operator="equal" dxfId="1">
      <formula>"Increasing effect on risk assessment"</formula>
    </cfRule>
    <cfRule type="cellIs" priority="6" operator="equal" dxfId="0">
      <formula>"Decreasing effect on risk assessment"</formula>
    </cfRule>
  </conditionalFormatting>
  <conditionalFormatting sqref="R31:R49">
    <cfRule type="cellIs" priority="3" operator="equal" dxfId="1">
      <formula>"Increasing effect on risk assessment"</formula>
    </cfRule>
    <cfRule type="cellIs" priority="4" operator="equal" dxfId="0">
      <formula>"Decreasing effect on risk assessment"</formula>
    </cfRule>
  </conditionalFormatting>
  <conditionalFormatting sqref="U31:U49">
    <cfRule type="cellIs" priority="1" operator="equal" dxfId="1">
      <formula>"Increasing effect on risk assessment"</formula>
    </cfRule>
    <cfRule type="cellIs" priority="2" operator="equal" dxfId="0">
      <formula>"Decreasing effect on risk assessment"</formula>
    </cfRule>
  </conditionalFormatting>
  <dataValidations disablePrompts="1" count="2">
    <dataValidation sqref="I26:W26" showDropDown="0" showInputMessage="1" showErrorMessage="1" allowBlank="1" type="list">
      <formula1>"SCOTABD,MCOTABD"</formula1>
    </dataValidation>
    <dataValidation sqref="I51:J51 L51:M51 O51:P51 R51:S51 U51:V51" showDropDown="0" showInputMessage="1" showErrorMessage="1" allowBlank="1" type="list">
      <formula1>"Yes, No"</formula1>
    </dataValidation>
  </dataValidations>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Mazars</dc:creator>
  <dcterms:created xsi:type="dcterms:W3CDTF">2009-03-02T14:44:11Z</dcterms:created>
  <dcterms:modified xsi:type="dcterms:W3CDTF">2026-09-19T02:57:51Z</dcterms:modified>
  <cp:lastModifiedBy>Ewa Lysik</cp:lastModifiedBy>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0x01010077C2AE7274C7214EA9C6749E3B848957</vt:lpwstr>
  </property>
  <property name="MSIP_Label_ae8fab06-504b-4325-93a9-50ca85e66f06_Enabled" fmtid="{D5CDD505-2E9C-101B-9397-08002B2CF9AE}" pid="3">
    <vt:lpwstr>true</vt:lpwstr>
  </property>
  <property name="MSIP_Label_ae8fab06-504b-4325-93a9-50ca85e66f06_SetDate" fmtid="{D5CDD505-2E9C-101B-9397-08002B2CF9AE}" pid="4">
    <vt:lpwstr>2023-11-08T09:25:38Z</vt:lpwstr>
  </property>
  <property name="MSIP_Label_ae8fab06-504b-4325-93a9-50ca85e66f06_Method" fmtid="{D5CDD505-2E9C-101B-9397-08002B2CF9AE}" pid="5">
    <vt:lpwstr>Standard</vt:lpwstr>
  </property>
  <property name="MSIP_Label_ae8fab06-504b-4325-93a9-50ca85e66f06_Name" fmtid="{D5CDD505-2E9C-101B-9397-08002B2CF9AE}" pid="6">
    <vt:lpwstr>C-Confidentiel</vt:lpwstr>
  </property>
  <property name="MSIP_Label_ae8fab06-504b-4325-93a9-50ca85e66f06_SiteId" fmtid="{D5CDD505-2E9C-101B-9397-08002B2CF9AE}" pid="7">
    <vt:lpwstr>41d9a388-7aef-420d-976c-d046beab641f</vt:lpwstr>
  </property>
  <property name="MSIP_Label_ae8fab06-504b-4325-93a9-50ca85e66f06_ActionId" fmtid="{D5CDD505-2E9C-101B-9397-08002B2CF9AE}" pid="8">
    <vt:lpwstr>b4b9edd1-2a3a-4722-9c92-7c1db49f5cbe</vt:lpwstr>
  </property>
  <property name="MSIP_Label_ae8fab06-504b-4325-93a9-50ca85e66f06_ContentBits" fmtid="{D5CDD505-2E9C-101B-9397-08002B2CF9AE}" pid="9">
    <vt:lpwstr>0</vt:lpwstr>
  </property>
  <property name="MediaServiceImageTags" fmtid="{D5CDD505-2E9C-101B-9397-08002B2CF9AE}" pid="10">
    <vt:lpwstr/>
  </property>
  <property name="MSIP_Label_fe9645ce-24f7-4fa7-847c-11dc6037a35a_Enabled" fmtid="{D5CDD505-2E9C-101B-9397-08002B2CF9AE}" pid="11">
    <vt:lpwstr>true</vt:lpwstr>
  </property>
  <property name="MSIP_Label_fe9645ce-24f7-4fa7-847c-11dc6037a35a_SetDate" fmtid="{D5CDD505-2E9C-101B-9397-08002B2CF9AE}" pid="12">
    <vt:lpwstr>2025-05-07T06:08:46Z</vt:lpwstr>
  </property>
  <property name="MSIP_Label_fe9645ce-24f7-4fa7-847c-11dc6037a35a_Method" fmtid="{D5CDD505-2E9C-101B-9397-08002B2CF9AE}" pid="13">
    <vt:lpwstr>Standard</vt:lpwstr>
  </property>
  <property name="MSIP_Label_fe9645ce-24f7-4fa7-847c-11dc6037a35a_Name" fmtid="{D5CDD505-2E9C-101B-9397-08002B2CF9AE}" pid="14">
    <vt:lpwstr>(FRA) C-Confidentiel</vt:lpwstr>
  </property>
  <property name="MSIP_Label_fe9645ce-24f7-4fa7-847c-11dc6037a35a_SiteId" fmtid="{D5CDD505-2E9C-101B-9397-08002B2CF9AE}" pid="15">
    <vt:lpwstr>b9e9ed43-edf4-4755-925b-76f18f50dbe7</vt:lpwstr>
  </property>
  <property name="MSIP_Label_fe9645ce-24f7-4fa7-847c-11dc6037a35a_ActionId" fmtid="{D5CDD505-2E9C-101B-9397-08002B2CF9AE}" pid="16">
    <vt:lpwstr>b5c33849-e639-425e-a1b2-b410ea23e48c</vt:lpwstr>
  </property>
  <property name="MSIP_Label_fe9645ce-24f7-4fa7-847c-11dc6037a35a_ContentBits" fmtid="{D5CDD505-2E9C-101B-9397-08002B2CF9AE}" pid="17">
    <vt:lpwstr>0</vt:lpwstr>
  </property>
  <property name="MSIP_Label_fe9645ce-24f7-4fa7-847c-11dc6037a35a_Tag" fmtid="{D5CDD505-2E9C-101B-9397-08002B2CF9AE}" pid="18">
    <vt:lpwstr>10, 3, 0, 1</vt:lpwstr>
  </property>
</Properties>
</file>