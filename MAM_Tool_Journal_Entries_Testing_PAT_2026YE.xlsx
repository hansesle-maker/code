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7520" tabRatio="631" firstSheet="4" activeTab="4" autoFilterDateGrouping="1"/>
  </bookViews>
  <sheets>
    <sheet name="E" sheetId="1" state="hidden" r:id="rId1"/>
    <sheet name="S" sheetId="2" state="hidden" r:id="rId2"/>
    <sheet name="D" sheetId="3" state="hidden" r:id="rId3"/>
    <sheet name="MzOfficeConfig-UNDO-%ù-%ù-%ù" sheetId="4" state="veryHidden" r:id="rId4"/>
    <sheet name="JET - overview" sheetId="5" state="visible" r:id="rId5"/>
    <sheet name="JET - Step 1 " sheetId="6" state="visible" r:id="rId6"/>
    <sheet name="JET - Step 2 (ISA 330)" sheetId="7" state="visible" r:id="rId7"/>
    <sheet name="JET - Step 3 (ISA 240)" sheetId="8" state="visible" r:id="rId8"/>
    <sheet name="Decision Tree - step 3" sheetId="9" state="visible" r:id="rId9"/>
    <sheet name="Do not delete - Tickmarks" sheetId="10" state="hidden" r:id="rId10"/>
  </sheets>
  <definedNames/>
  <calcPr calcId="191029" fullCalcOnLoad="1"/>
</workbook>
</file>

<file path=xl/styles.xml><?xml version="1.0" encoding="utf-8"?>
<styleSheet xmlns="http://schemas.openxmlformats.org/spreadsheetml/2006/main">
  <numFmts count="1">
    <numFmt numFmtId="164" formatCode="[$-F800]dddd\,\ mmmm\ dd\,\ yyyy"/>
  </numFmts>
  <fonts count="57">
    <font>
      <name val="Calibri"/>
      <family val="2"/>
      <color theme="1"/>
      <sz val="11"/>
    </font>
    <font>
      <name val="Calibri"/>
      <family val="2"/>
      <color theme="1"/>
      <sz val="11"/>
      <scheme val="minor"/>
    </font>
    <font>
      <name val="Arial"/>
      <family val="2"/>
      <sz val="10"/>
    </font>
    <font>
      <name val="Arial"/>
      <family val="2"/>
      <sz val="9.5"/>
    </font>
    <font>
      <name val="Arial"/>
      <family val="2"/>
      <b val="1"/>
      <sz val="9.5"/>
    </font>
    <font>
      <name val="Arial"/>
      <family val="2"/>
      <b val="1"/>
      <color indexed="10"/>
      <sz val="9.5"/>
    </font>
    <font>
      <name val="Arial"/>
      <family val="2"/>
      <i val="1"/>
      <sz val="9.5"/>
    </font>
    <font>
      <name val="Arial"/>
      <family val="2"/>
      <b val="1"/>
      <sz val="10"/>
    </font>
    <font>
      <name val="Arial"/>
      <family val="2"/>
      <sz val="11"/>
    </font>
    <font>
      <name val="Arial"/>
      <family val="2"/>
      <sz val="12"/>
    </font>
    <font>
      <name val="Arial"/>
      <family val="2"/>
      <b val="1"/>
      <color indexed="12"/>
      <sz val="12"/>
    </font>
    <font>
      <name val="Arial"/>
      <family val="2"/>
      <color indexed="63"/>
      <sz val="12"/>
    </font>
    <font>
      <name val="Arial"/>
      <family val="2"/>
      <b val="1"/>
      <sz val="12"/>
    </font>
    <font>
      <name val="Arial"/>
      <family val="2"/>
      <i val="1"/>
      <sz val="12"/>
    </font>
    <font>
      <name val="Calibri"/>
      <family val="2"/>
      <b val="1"/>
      <color theme="3"/>
      <sz val="13"/>
    </font>
    <font>
      <name val="Trebuchet MS"/>
      <family val="2"/>
      <color theme="1"/>
      <sz val="10"/>
    </font>
    <font>
      <name val="Arial"/>
      <family val="2"/>
      <color rgb="FFFF0000"/>
      <sz val="10"/>
    </font>
    <font>
      <name val="Arial"/>
      <family val="2"/>
      <color rgb="FF0000FF"/>
      <sz val="10"/>
    </font>
    <font>
      <name val="Arial"/>
      <family val="2"/>
      <b val="1"/>
      <color rgb="FFFF0000"/>
      <sz val="10"/>
    </font>
    <font>
      <name val="Arial"/>
      <family val="2"/>
      <b val="1"/>
      <color rgb="FF0000FF"/>
      <sz val="10"/>
    </font>
    <font>
      <name val="Arial"/>
      <family val="2"/>
      <i val="1"/>
      <color theme="0" tint="-0.499984740745262"/>
      <sz val="9.5"/>
    </font>
    <font>
      <name val="Arial"/>
      <family val="2"/>
      <b val="1"/>
      <color rgb="FF0072CE"/>
      <sz val="11"/>
    </font>
    <font>
      <name val="Arial"/>
      <family val="2"/>
      <color rgb="FF464B4B"/>
      <sz val="11"/>
    </font>
    <font>
      <name val="Arial"/>
      <family val="2"/>
      <b val="1"/>
      <color rgb="FF464B4B"/>
      <sz val="11"/>
    </font>
    <font>
      <name val="Arial"/>
      <family val="2"/>
      <b val="1"/>
      <color rgb="FF464B4B"/>
      <sz val="18"/>
    </font>
    <font>
      <name val="Arial"/>
      <family val="2"/>
      <b val="1"/>
      <color rgb="FF0070C0"/>
      <sz val="14"/>
    </font>
    <font>
      <name val="Arial"/>
      <family val="2"/>
      <b val="1"/>
      <color theme="0"/>
      <sz val="12"/>
    </font>
    <font>
      <name val="Arial"/>
      <family val="2"/>
      <i val="1"/>
      <color theme="0"/>
      <sz val="10"/>
    </font>
    <font>
      <name val="Arial"/>
      <family val="2"/>
      <color theme="1" tint="0.3499862666707358"/>
      <sz val="9.5"/>
    </font>
    <font>
      <name val="Arial"/>
      <family val="2"/>
      <color rgb="FF464B4B"/>
      <sz val="12"/>
    </font>
    <font>
      <name val="Arial"/>
      <family val="2"/>
      <color rgb="FF464B4B"/>
      <sz val="9.5"/>
    </font>
    <font>
      <name val="Arial"/>
      <family val="2"/>
      <color theme="0"/>
      <sz val="9.5"/>
    </font>
    <font>
      <name val="Arial"/>
      <family val="2"/>
      <i val="1"/>
      <color theme="0"/>
      <sz val="9.5"/>
    </font>
    <font>
      <name val="Arial"/>
      <family val="2"/>
      <b val="1"/>
      <color rgb="FF464B4B"/>
      <sz val="12"/>
    </font>
    <font>
      <name val="Arial"/>
      <family val="2"/>
      <color theme="0"/>
      <sz val="10"/>
    </font>
    <font>
      <name val="Arial"/>
      <family val="2"/>
      <b val="1"/>
      <color theme="1" tint="0.3499862666707358"/>
      <sz val="12"/>
    </font>
    <font>
      <name val="Arial"/>
      <family val="2"/>
      <color rgb="FFFF0000"/>
      <sz val="12"/>
    </font>
    <font>
      <name val="Arial"/>
      <family val="2"/>
      <color theme="0"/>
      <sz val="12"/>
    </font>
    <font>
      <name val="Arial"/>
      <family val="2"/>
      <b val="1"/>
      <color theme="5"/>
      <sz val="12"/>
    </font>
    <font>
      <name val="Calibri"/>
      <family val="2"/>
      <color theme="10"/>
      <sz val="11"/>
      <u val="single"/>
    </font>
    <font>
      <name val="Arial"/>
      <family val="2"/>
      <i val="1"/>
      <color rgb="FFFF0000"/>
      <sz val="9.5"/>
    </font>
    <font>
      <name val="Arial"/>
      <family val="2"/>
      <b val="1"/>
      <i val="1"/>
      <color rgb="FFFF0000"/>
      <sz val="9.5"/>
    </font>
    <font>
      <name val="Arial"/>
      <family val="2"/>
      <b val="1"/>
      <i val="1"/>
      <color theme="0"/>
      <sz val="12"/>
    </font>
    <font>
      <name val="Tahoma"/>
      <family val="2"/>
      <color indexed="81"/>
      <sz val="9"/>
    </font>
    <font>
      <name val="Tahoma"/>
      <family val="2"/>
      <b val="1"/>
      <color indexed="81"/>
      <sz val="9"/>
    </font>
    <font>
      <name val="Arial"/>
      <family val="2"/>
      <i val="1"/>
      <color rgb="FF0072CE"/>
      <sz val="12"/>
    </font>
    <font>
      <name val="Arial"/>
      <family val="2"/>
      <color theme="1"/>
      <sz val="11"/>
    </font>
    <font>
      <name val="Calibri"/>
      <family val="2"/>
      <color theme="10"/>
      <sz val="11"/>
      <u val="single"/>
      <scheme val="minor"/>
    </font>
    <font>
      <name val="Arial"/>
      <family val="2"/>
      <color rgb="FF464B4B"/>
      <sz val="10"/>
    </font>
    <font>
      <name val="Arial"/>
      <family val="2"/>
      <b val="1"/>
      <color rgb="FF464B4B"/>
      <sz val="10"/>
    </font>
    <font>
      <name val="Arial"/>
      <family val="2"/>
      <b val="1"/>
      <color rgb="FFFF0000"/>
      <sz val="9.5"/>
    </font>
    <font>
      <name val="Arial"/>
      <family val="2"/>
      <b val="1"/>
      <color rgb="FFFF0000"/>
      <sz val="12"/>
    </font>
    <font>
      <name val="Arial"/>
      <family val="2"/>
      <b val="1"/>
      <color theme="0"/>
      <sz val="12"/>
      <u val="single"/>
    </font>
    <font>
      <name val="Calibri"/>
      <family val="2"/>
      <color theme="10"/>
      <sz val="16"/>
      <u val="single"/>
    </font>
    <font>
      <name val="Arial"/>
      <color rgb="FF000000"/>
      <sz val="10"/>
    </font>
    <font>
      <name val="Arial"/>
      <color rgb="FF000000"/>
      <sz val="9"/>
    </font>
    <font>
      <name val="Arial"/>
      <b val="1"/>
      <color rgb="FF000000"/>
      <sz val="10"/>
    </font>
  </fonts>
  <fills count="8">
    <fill>
      <patternFill/>
    </fill>
    <fill>
      <patternFill patternType="gray125"/>
    </fill>
    <fill>
      <patternFill patternType="solid">
        <fgColor theme="0"/>
        <bgColor indexed="64"/>
      </patternFill>
    </fill>
    <fill>
      <patternFill patternType="solid">
        <fgColor rgb="FF0072CE"/>
        <bgColor indexed="64"/>
      </patternFill>
    </fill>
    <fill>
      <patternFill patternType="solid">
        <fgColor rgb="FF4AA7B7"/>
        <bgColor indexed="64"/>
      </patternFill>
    </fill>
    <fill>
      <patternFill patternType="solid">
        <fgColor rgb="FF171C8F"/>
        <bgColor indexed="64"/>
      </patternFill>
    </fill>
    <fill>
      <patternFill patternType="solid">
        <fgColor theme="9"/>
        <bgColor indexed="64"/>
      </patternFill>
    </fill>
    <fill>
      <patternFill patternType="solid">
        <fgColor rgb="FFFFFF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theme="4"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
      </right>
      <top/>
      <bottom/>
      <diagonal/>
    </border>
    <border>
      <left style="thin">
        <color theme="0" tint="-0.1499984740745262"/>
      </left>
      <right/>
      <top/>
      <bottom style="thin">
        <color theme="0" tint="-0.1499984740745262"/>
      </bottom>
      <diagonal/>
    </border>
    <border>
      <left/>
      <right/>
      <top/>
      <bottom style="thin">
        <color theme="0" tint="-0.1499984740745262"/>
      </bottom>
      <diagonal/>
    </border>
    <border>
      <left style="thin">
        <color theme="0" tint="-0.1499984740745262"/>
      </left>
      <right/>
      <top style="thin">
        <color theme="0" tint="-0.1499984740745262"/>
      </top>
      <bottom/>
      <diagonal/>
    </border>
    <border>
      <left/>
      <right/>
      <top style="thin">
        <color theme="0" tint="-0.1499984740745262"/>
      </top>
      <bottom/>
      <diagonal/>
    </border>
    <border>
      <left/>
      <right style="thin">
        <color theme="0" tint="-0.1499984740745262"/>
      </right>
      <top style="thin">
        <color theme="0" tint="-0.1499984740745262"/>
      </top>
      <bottom/>
      <diagonal/>
    </border>
    <border>
      <left style="thin">
        <color theme="0" tint="-0.1499984740745262"/>
      </left>
      <right/>
      <top/>
      <bottom/>
      <diagonal/>
    </border>
    <border>
      <left/>
      <right style="thin">
        <color theme="0" tint="-0.1499984740745262"/>
      </right>
      <top/>
      <bottom style="thin">
        <color theme="0" tint="-0.1499984740745262"/>
      </bottom>
      <diagonal/>
    </border>
    <border>
      <left style="thin">
        <color theme="0" tint="-0.1499679555650502"/>
      </left>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medium">
        <color indexed="64"/>
      </bottom>
      <diagonal/>
    </border>
    <border>
      <left/>
      <right style="thin">
        <color theme="0" tint="-0.249977111117893"/>
      </right>
      <top style="thin">
        <color theme="0" tint="-0.249977111117893"/>
      </top>
      <bottom style="medium">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top style="thin">
        <color theme="0" tint="-0.249977111117893"/>
      </top>
      <bottom/>
      <diagonal/>
    </border>
    <border>
      <left/>
      <right style="thin">
        <color theme="0" tint="-0.249977111117893"/>
      </right>
      <top style="thin">
        <color theme="0" tint="-0.249977111117893"/>
      </top>
      <bottom/>
      <diagonal/>
    </border>
    <border>
      <left/>
      <right/>
      <top style="thin">
        <color theme="0" tint="-0.249977111117893"/>
      </top>
      <bottom style="thin">
        <color theme="0" tint="-0.249977111117893"/>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13">
    <xf numFmtId="0" fontId="0" fillId="0" borderId="0"/>
    <xf numFmtId="43" fontId="2" fillId="0" borderId="0"/>
    <xf numFmtId="0" fontId="14" fillId="0" borderId="15"/>
    <xf numFmtId="0" fontId="2" fillId="0" borderId="0"/>
    <xf numFmtId="0" fontId="2" fillId="0" borderId="0"/>
    <xf numFmtId="0" fontId="2" fillId="0" borderId="0"/>
    <xf numFmtId="0" fontId="15" fillId="0" borderId="0"/>
    <xf numFmtId="0" fontId="2" fillId="0" borderId="0"/>
    <xf numFmtId="9" fontId="15" fillId="0" borderId="0"/>
    <xf numFmtId="0" fontId="39" fillId="0" borderId="0"/>
    <xf numFmtId="0" fontId="46" fillId="0" borderId="0"/>
    <xf numFmtId="0" fontId="1" fillId="0" borderId="0"/>
    <xf numFmtId="0" fontId="47" fillId="0" borderId="0"/>
  </cellStyleXfs>
  <cellXfs count="267">
    <xf numFmtId="0" fontId="0" fillId="0" borderId="0" pivotButton="0" quotePrefix="0" xfId="0"/>
    <xf numFmtId="0" fontId="16" fillId="0" borderId="0" applyAlignment="1" applyProtection="1" pivotButton="0" quotePrefix="0" xfId="4">
      <alignment horizontal="center" vertical="top"/>
      <protection locked="0" hidden="0"/>
    </xf>
    <xf numFmtId="0" fontId="2" fillId="0" borderId="0" applyProtection="1" pivotButton="0" quotePrefix="0" xfId="4">
      <protection locked="0" hidden="0"/>
    </xf>
    <xf numFmtId="0" fontId="17" fillId="0" borderId="0" applyAlignment="1" applyProtection="1" pivotButton="0" quotePrefix="0" xfId="4">
      <alignment horizontal="center"/>
      <protection locked="0" hidden="0"/>
    </xf>
    <xf numFmtId="0" fontId="7" fillId="0" borderId="0" applyProtection="1" pivotButton="0" quotePrefix="0" xfId="4">
      <protection locked="0" hidden="0"/>
    </xf>
    <xf numFmtId="0" fontId="19" fillId="0" borderId="0" applyAlignment="1" applyProtection="1" pivotButton="0" quotePrefix="0" xfId="4">
      <alignment horizontal="center"/>
      <protection locked="0" hidden="0"/>
    </xf>
    <xf numFmtId="14" fontId="0" fillId="0" borderId="0" pivotButton="0" quotePrefix="0" xfId="0"/>
    <xf numFmtId="0" fontId="4" fillId="0" borderId="0" applyAlignment="1" applyProtection="1" pivotButton="0" quotePrefix="0" xfId="7">
      <alignment horizontal="right"/>
      <protection locked="0" hidden="0"/>
    </xf>
    <xf numFmtId="0" fontId="3" fillId="0" borderId="0" applyProtection="1" pivotButton="0" quotePrefix="0" xfId="7">
      <protection locked="0" hidden="0"/>
    </xf>
    <xf numFmtId="0" fontId="5" fillId="0" borderId="0" applyAlignment="1" applyProtection="1" pivotButton="0" quotePrefix="0" xfId="7">
      <alignment horizontal="center" vertical="center"/>
      <protection locked="0" hidden="0"/>
    </xf>
    <xf numFmtId="0" fontId="3" fillId="0" borderId="0" applyAlignment="1" applyProtection="1" pivotButton="0" quotePrefix="0" xfId="7">
      <alignment vertical="top"/>
      <protection locked="0" hidden="0"/>
    </xf>
    <xf numFmtId="0" fontId="3" fillId="0" borderId="0" applyProtection="1" pivotButton="0" quotePrefix="0" xfId="0">
      <protection locked="0" hidden="0"/>
    </xf>
    <xf numFmtId="0" fontId="4" fillId="0" borderId="0" applyAlignment="1" applyProtection="1" pivotButton="0" quotePrefix="0" xfId="7">
      <alignment horizontal="right" vertical="top"/>
      <protection locked="0" hidden="0"/>
    </xf>
    <xf numFmtId="0" fontId="4" fillId="0" borderId="0" applyProtection="1" pivotButton="0" quotePrefix="0" xfId="7">
      <protection locked="0" hidden="0"/>
    </xf>
    <xf numFmtId="0" fontId="4" fillId="0" borderId="0" applyAlignment="1" applyProtection="1" pivotButton="0" quotePrefix="0" xfId="7">
      <alignment vertical="top"/>
      <protection locked="0" hidden="0"/>
    </xf>
    <xf numFmtId="0" fontId="6" fillId="0" borderId="0" applyAlignment="1" applyProtection="1" pivotButton="0" quotePrefix="0" xfId="7">
      <alignment horizontal="left" vertical="top" wrapText="1"/>
      <protection locked="0" hidden="0"/>
    </xf>
    <xf numFmtId="0" fontId="3" fillId="0" borderId="0" applyAlignment="1" applyProtection="1" pivotButton="0" quotePrefix="0" xfId="7">
      <alignment horizontal="left" vertical="top"/>
      <protection locked="0" hidden="0"/>
    </xf>
    <xf numFmtId="0" fontId="3" fillId="2" borderId="0" applyAlignment="1" applyProtection="1" pivotButton="0" quotePrefix="0" xfId="7">
      <alignment horizontal="left" vertical="top" wrapText="1"/>
      <protection locked="0" hidden="0"/>
    </xf>
    <xf numFmtId="0" fontId="4" fillId="2" borderId="0" applyAlignment="1" applyProtection="1" pivotButton="0" quotePrefix="0" xfId="7">
      <alignment horizontal="right"/>
      <protection locked="0" hidden="0"/>
    </xf>
    <xf numFmtId="0" fontId="3" fillId="2" borderId="0" applyProtection="1" pivotButton="0" quotePrefix="0" xfId="7">
      <protection locked="0" hidden="0"/>
    </xf>
    <xf numFmtId="0" fontId="3" fillId="2" borderId="0" applyAlignment="1" applyProtection="1" pivotButton="0" quotePrefix="0" xfId="7">
      <alignment wrapText="1"/>
      <protection locked="0" hidden="0"/>
    </xf>
    <xf numFmtId="0" fontId="3" fillId="2" borderId="0" applyAlignment="1" applyProtection="1" pivotButton="0" quotePrefix="0" xfId="7">
      <alignment vertical="top"/>
      <protection locked="0" hidden="0"/>
    </xf>
    <xf numFmtId="0" fontId="4" fillId="2" borderId="0" applyAlignment="1" applyProtection="1" pivotButton="0" quotePrefix="0" xfId="7">
      <alignment horizontal="right" vertical="top"/>
      <protection locked="0" hidden="0"/>
    </xf>
    <xf numFmtId="0" fontId="3" fillId="2" borderId="0" applyAlignment="1" applyProtection="1" pivotButton="0" quotePrefix="0" xfId="7">
      <alignment horizontal="left" vertical="top"/>
      <protection locked="0" hidden="0"/>
    </xf>
    <xf numFmtId="0" fontId="6" fillId="2" borderId="0" applyAlignment="1" applyProtection="1" pivotButton="0" quotePrefix="0" xfId="7">
      <alignment horizontal="left" vertical="top" wrapText="1"/>
      <protection locked="0" hidden="0"/>
    </xf>
    <xf numFmtId="0" fontId="4" fillId="2" borderId="0" applyAlignment="1" applyProtection="1" pivotButton="0" quotePrefix="0" xfId="7">
      <alignment horizontal="left" vertical="top"/>
      <protection locked="0" hidden="0"/>
    </xf>
    <xf numFmtId="0" fontId="4" fillId="2" borderId="0" applyProtection="1" pivotButton="0" quotePrefix="0" xfId="7">
      <protection locked="0" hidden="0"/>
    </xf>
    <xf numFmtId="0" fontId="4" fillId="2" borderId="0" applyAlignment="1" applyProtection="1" pivotButton="0" quotePrefix="0" xfId="7">
      <alignment vertical="center"/>
      <protection locked="0" hidden="0"/>
    </xf>
    <xf numFmtId="0" fontId="4" fillId="2" borderId="0" applyAlignment="1" applyProtection="1" pivotButton="0" quotePrefix="0" xfId="7">
      <alignment horizontal="right" vertical="center"/>
      <protection locked="0" hidden="0"/>
    </xf>
    <xf numFmtId="0" fontId="3" fillId="0" borderId="0" applyAlignment="1" pivotButton="0" quotePrefix="0" xfId="7">
      <alignment horizontal="left" vertical="top" wrapText="1"/>
    </xf>
    <xf numFmtId="0" fontId="20" fillId="0" borderId="0" applyProtection="1" pivotButton="0" quotePrefix="0" xfId="7">
      <protection locked="0" hidden="0"/>
    </xf>
    <xf numFmtId="0" fontId="21" fillId="0" borderId="0" applyAlignment="1" pivotButton="0" quotePrefix="0" xfId="0">
      <alignment horizontal="left" vertical="top"/>
    </xf>
    <xf numFmtId="0" fontId="23" fillId="0" borderId="0" applyAlignment="1" pivotButton="0" quotePrefix="0" xfId="0">
      <alignment horizontal="left" vertical="top"/>
    </xf>
    <xf numFmtId="0" fontId="22" fillId="0" borderId="0" applyProtection="1" pivotButton="0" quotePrefix="0" xfId="0">
      <protection locked="0" hidden="0"/>
    </xf>
    <xf numFmtId="0" fontId="22" fillId="0" borderId="0" pivotButton="0" quotePrefix="0" xfId="0"/>
    <xf numFmtId="0" fontId="22" fillId="0" borderId="0" applyAlignment="1" pivotButton="0" quotePrefix="0" xfId="0">
      <alignment horizontal="center"/>
    </xf>
    <xf numFmtId="164" fontId="22" fillId="0" borderId="0" applyAlignment="1" pivotButton="0" quotePrefix="0" xfId="0">
      <alignment horizontal="left" vertical="top"/>
    </xf>
    <xf numFmtId="0" fontId="22" fillId="0" borderId="0" applyAlignment="1" pivotButton="0" quotePrefix="0" xfId="0">
      <alignment horizontal="left" vertical="top"/>
    </xf>
    <xf numFmtId="0" fontId="24" fillId="0" borderId="0" applyProtection="1" pivotButton="0" quotePrefix="0" xfId="2">
      <protection locked="0" hidden="0"/>
    </xf>
    <xf numFmtId="0" fontId="25" fillId="0" borderId="0" applyAlignment="1" pivotButton="0" quotePrefix="0" xfId="7">
      <alignment vertical="center" wrapText="1"/>
    </xf>
    <xf numFmtId="0" fontId="4" fillId="3" borderId="0" applyAlignment="1" applyProtection="1" pivotButton="0" quotePrefix="0" xfId="7">
      <alignment horizontal="right"/>
      <protection locked="0" hidden="0"/>
    </xf>
    <xf numFmtId="0" fontId="3" fillId="3" borderId="0" applyProtection="1" pivotButton="0" quotePrefix="0" xfId="7">
      <protection locked="0" hidden="0"/>
    </xf>
    <xf numFmtId="0" fontId="26" fillId="3" borderId="0" applyAlignment="1" pivotButton="0" quotePrefix="0" xfId="7">
      <alignment vertical="center"/>
    </xf>
    <xf numFmtId="0" fontId="26" fillId="4" borderId="0" applyAlignment="1" pivotButton="0" quotePrefix="0" xfId="0">
      <alignment horizontal="left" vertical="center"/>
    </xf>
    <xf numFmtId="0" fontId="26" fillId="4" borderId="0" applyAlignment="1" pivotButton="0" quotePrefix="0" xfId="0">
      <alignment horizontal="center" vertical="center"/>
    </xf>
    <xf numFmtId="0" fontId="8" fillId="0" borderId="0" applyProtection="1" pivotButton="0" quotePrefix="0" xfId="0">
      <protection locked="0" hidden="0"/>
    </xf>
    <xf numFmtId="0" fontId="4" fillId="0" borderId="5" applyProtection="1" pivotButton="0" quotePrefix="0" xfId="7">
      <protection locked="0" hidden="0"/>
    </xf>
    <xf numFmtId="0" fontId="3" fillId="0" borderId="6" applyProtection="1" pivotButton="0" quotePrefix="0" xfId="7">
      <protection locked="0" hidden="0"/>
    </xf>
    <xf numFmtId="0" fontId="9" fillId="2" borderId="0" applyProtection="1" pivotButton="0" quotePrefix="0" xfId="7">
      <protection locked="0" hidden="0"/>
    </xf>
    <xf numFmtId="0" fontId="12" fillId="2" borderId="0" applyAlignment="1" applyProtection="1" pivotButton="0" quotePrefix="0" xfId="7">
      <alignment horizontal="right" vertical="top"/>
      <protection locked="0" hidden="0"/>
    </xf>
    <xf numFmtId="0" fontId="13" fillId="2" borderId="0" applyAlignment="1" applyProtection="1" pivotButton="0" quotePrefix="0" xfId="7">
      <alignment horizontal="left" vertical="top" wrapText="1"/>
      <protection locked="0" hidden="0"/>
    </xf>
    <xf numFmtId="0" fontId="28" fillId="2" borderId="0" applyAlignment="1" applyProtection="1" pivotButton="0" quotePrefix="0" xfId="7">
      <alignment horizontal="left" vertical="top" wrapText="1"/>
      <protection locked="0" hidden="0"/>
    </xf>
    <xf numFmtId="0" fontId="29" fillId="2" borderId="0" applyAlignment="1" applyProtection="1" pivotButton="0" quotePrefix="0" xfId="7">
      <alignment horizontal="left" vertical="top"/>
      <protection locked="0" hidden="0"/>
    </xf>
    <xf numFmtId="0" fontId="29" fillId="2" borderId="0" applyProtection="1" pivotButton="0" quotePrefix="0" xfId="7">
      <protection locked="0" hidden="0"/>
    </xf>
    <xf numFmtId="0" fontId="29" fillId="2" borderId="0" applyAlignment="1" applyProtection="1" pivotButton="0" quotePrefix="0" xfId="7">
      <alignment horizontal="left" vertical="top" wrapText="1"/>
      <protection locked="0" hidden="0"/>
    </xf>
    <xf numFmtId="0" fontId="30" fillId="2" borderId="0" applyAlignment="1" applyProtection="1" pivotButton="0" quotePrefix="0" xfId="7">
      <alignment horizontal="left" vertical="top" wrapText="1"/>
      <protection locked="0" hidden="0"/>
    </xf>
    <xf numFmtId="0" fontId="31" fillId="0" borderId="0" applyAlignment="1" applyProtection="1" pivotButton="0" quotePrefix="0" xfId="7">
      <alignment horizontal="left" vertical="top"/>
      <protection locked="0" hidden="0"/>
    </xf>
    <xf numFmtId="0" fontId="32" fillId="0" borderId="0" applyAlignment="1" applyProtection="1" pivotButton="0" quotePrefix="0" xfId="7">
      <alignment horizontal="left" vertical="top" wrapText="1"/>
      <protection locked="0" hidden="0"/>
    </xf>
    <xf numFmtId="0" fontId="33" fillId="2" borderId="0" applyAlignment="1" applyProtection="1" pivotButton="0" quotePrefix="0" xfId="7">
      <alignment horizontal="right" vertical="top"/>
      <protection locked="0" hidden="0"/>
    </xf>
    <xf numFmtId="0" fontId="34" fillId="2" borderId="0" applyAlignment="1" applyProtection="1" pivotButton="0" quotePrefix="0" xfId="7">
      <alignment horizontal="left" vertical="top" wrapText="1"/>
      <protection locked="0" hidden="0"/>
    </xf>
    <xf numFmtId="0" fontId="3" fillId="2" borderId="0" applyAlignment="1" applyProtection="1" pivotButton="0" quotePrefix="0" xfId="7">
      <alignment horizontal="left" vertical="center" wrapText="1"/>
      <protection locked="0" hidden="0"/>
    </xf>
    <xf numFmtId="0" fontId="3" fillId="2" borderId="0" applyAlignment="1" applyProtection="1" pivotButton="0" quotePrefix="0" xfId="7">
      <alignment horizontal="left" vertical="center"/>
      <protection locked="0" hidden="0"/>
    </xf>
    <xf numFmtId="0" fontId="3" fillId="2" borderId="0" applyAlignment="1" applyProtection="1" pivotButton="0" quotePrefix="0" xfId="7">
      <alignment vertical="center" wrapText="1"/>
      <protection locked="0" hidden="0"/>
    </xf>
    <xf numFmtId="0" fontId="33" fillId="5" borderId="0" applyAlignment="1" pivotButton="0" quotePrefix="0" xfId="7">
      <alignment vertical="center"/>
    </xf>
    <xf numFmtId="0" fontId="26" fillId="5" borderId="0" applyAlignment="1" pivotButton="0" quotePrefix="0" xfId="7">
      <alignment vertical="center"/>
    </xf>
    <xf numFmtId="0" fontId="6" fillId="5" borderId="0" applyAlignment="1" applyProtection="1" pivotButton="0" quotePrefix="0" xfId="7">
      <alignment horizontal="left" vertical="center" wrapText="1"/>
      <protection locked="0" hidden="0"/>
    </xf>
    <xf numFmtId="0" fontId="3" fillId="5" borderId="0" applyAlignment="1" applyProtection="1" pivotButton="0" quotePrefix="0" xfId="7">
      <alignment vertical="center"/>
      <protection locked="0" hidden="0"/>
    </xf>
    <xf numFmtId="0" fontId="18" fillId="0" borderId="0" applyAlignment="1" applyProtection="1" pivotButton="0" quotePrefix="0" xfId="4">
      <alignment horizontal="center" vertical="center"/>
      <protection locked="0" hidden="0"/>
    </xf>
    <xf numFmtId="0" fontId="16" fillId="0" borderId="0" applyAlignment="1" applyProtection="1" pivotButton="0" quotePrefix="0" xfId="4">
      <alignment horizontal="center" vertical="center"/>
      <protection locked="0" hidden="0"/>
    </xf>
    <xf numFmtId="0" fontId="16" fillId="0" borderId="0" applyAlignment="1" applyProtection="1" pivotButton="0" quotePrefix="0" xfId="4">
      <alignment horizontal="center"/>
      <protection locked="0" hidden="0"/>
    </xf>
    <xf numFmtId="0" fontId="24" fillId="0" borderId="0" applyAlignment="1" applyProtection="1" pivotButton="0" quotePrefix="0" xfId="2">
      <alignment horizontal="left"/>
      <protection locked="0" hidden="0"/>
    </xf>
    <xf numFmtId="0" fontId="16" fillId="2" borderId="0" applyAlignment="1" applyProtection="1" pivotButton="0" quotePrefix="0" xfId="7">
      <alignment horizontal="left" vertical="top"/>
      <protection locked="0" hidden="0"/>
    </xf>
    <xf numFmtId="0" fontId="33" fillId="2" borderId="0" applyProtection="1" pivotButton="0" quotePrefix="0" xfId="7">
      <protection locked="0" hidden="0"/>
    </xf>
    <xf numFmtId="0" fontId="38" fillId="2" borderId="0" applyAlignment="1" applyProtection="1" pivotButton="0" quotePrefix="0" xfId="7">
      <alignment horizontal="center" vertical="top" wrapText="1"/>
      <protection locked="0" hidden="0"/>
    </xf>
    <xf numFmtId="0" fontId="4" fillId="2" borderId="0" applyAlignment="1" applyProtection="1" pivotButton="0" quotePrefix="0" xfId="7">
      <alignment horizontal="center"/>
      <protection locked="0" hidden="0"/>
    </xf>
    <xf numFmtId="0" fontId="37" fillId="4" borderId="0" applyAlignment="1" pivotButton="0" quotePrefix="0" xfId="0">
      <alignment horizontal="left" vertical="center"/>
    </xf>
    <xf numFmtId="0" fontId="39" fillId="2" borderId="0" applyProtection="1" pivotButton="0" quotePrefix="1" xfId="9">
      <protection locked="0" hidden="0"/>
    </xf>
    <xf numFmtId="0" fontId="25" fillId="0" borderId="0" applyAlignment="1" pivotButton="0" quotePrefix="0" xfId="7">
      <alignment vertical="top"/>
    </xf>
    <xf numFmtId="0" fontId="40" fillId="0" borderId="0" applyAlignment="1" applyProtection="1" pivotButton="0" quotePrefix="0" xfId="7">
      <alignment horizontal="left" vertical="top" wrapText="1"/>
      <protection locked="0" hidden="0"/>
    </xf>
    <xf numFmtId="0" fontId="41" fillId="0" borderId="0" applyAlignment="1" applyProtection="1" pivotButton="0" quotePrefix="0" xfId="7">
      <alignment horizontal="left" vertical="top" wrapText="1"/>
      <protection locked="0" hidden="0"/>
    </xf>
    <xf numFmtId="0" fontId="36" fillId="2" borderId="0" applyProtection="1" pivotButton="0" quotePrefix="0" xfId="7">
      <protection locked="0" hidden="0"/>
    </xf>
    <xf numFmtId="0" fontId="29" fillId="2" borderId="0" applyAlignment="1" applyProtection="1" pivotButton="0" quotePrefix="0" xfId="7">
      <alignment vertical="center"/>
      <protection locked="0" hidden="0"/>
    </xf>
    <xf numFmtId="0" fontId="35" fillId="0" borderId="6" applyAlignment="1" applyProtection="1" pivotButton="0" quotePrefix="0" xfId="7">
      <alignment horizontal="left" vertical="top" wrapText="1"/>
      <protection locked="0" hidden="0"/>
    </xf>
    <xf numFmtId="0" fontId="3" fillId="0" borderId="5" applyProtection="1" pivotButton="0" quotePrefix="0" xfId="7">
      <protection locked="0" hidden="0"/>
    </xf>
    <xf numFmtId="0" fontId="4" fillId="0" borderId="6" applyAlignment="1" applyProtection="1" pivotButton="0" quotePrefix="0" xfId="7">
      <alignment vertical="top"/>
      <protection locked="0" hidden="0"/>
    </xf>
    <xf numFmtId="0" fontId="29" fillId="2" borderId="5" applyAlignment="1" applyProtection="1" pivotButton="0" quotePrefix="0" xfId="7">
      <alignment horizontal="left" vertical="top" wrapText="1"/>
      <protection locked="0" hidden="0"/>
    </xf>
    <xf numFmtId="0" fontId="30" fillId="2" borderId="5" applyAlignment="1" applyProtection="1" pivotButton="0" quotePrefix="0" xfId="7">
      <alignment horizontal="left" vertical="top" wrapText="1"/>
      <protection locked="0" hidden="0"/>
    </xf>
    <xf numFmtId="0" fontId="4" fillId="0" borderId="7" applyAlignment="1" applyProtection="1" pivotButton="0" quotePrefix="0" xfId="7">
      <alignment vertical="top"/>
      <protection locked="0" hidden="0"/>
    </xf>
    <xf numFmtId="0" fontId="4" fillId="0" borderId="8" applyAlignment="1" applyProtection="1" pivotButton="0" quotePrefix="0" xfId="7">
      <alignment vertical="top"/>
      <protection locked="0" hidden="0"/>
    </xf>
    <xf numFmtId="0" fontId="4" fillId="0" borderId="9" applyAlignment="1" applyProtection="1" pivotButton="0" quotePrefix="0" xfId="7">
      <alignment vertical="top"/>
      <protection locked="0" hidden="0"/>
    </xf>
    <xf numFmtId="0" fontId="9" fillId="0" borderId="5" applyAlignment="1" applyProtection="1" pivotButton="0" quotePrefix="0" xfId="7">
      <alignment vertical="top"/>
      <protection locked="0" hidden="0"/>
    </xf>
    <xf numFmtId="0" fontId="27" fillId="0" borderId="0" applyAlignment="1" applyProtection="1" pivotButton="0" quotePrefix="0" xfId="7">
      <alignment vertical="top"/>
      <protection locked="0" hidden="0"/>
    </xf>
    <xf numFmtId="0" fontId="45" fillId="0" borderId="5" applyAlignment="1" pivotButton="0" quotePrefix="0" xfId="0">
      <alignment horizontal="left" vertical="top"/>
    </xf>
    <xf numFmtId="0" fontId="26" fillId="4" borderId="0" applyAlignment="1" pivotButton="0" quotePrefix="0" xfId="0">
      <alignment vertical="center" wrapText="1"/>
    </xf>
    <xf numFmtId="0" fontId="3" fillId="0" borderId="0" applyAlignment="1" applyProtection="1" pivotButton="0" quotePrefix="0" xfId="7">
      <alignment horizontal="center" vertical="top"/>
      <protection locked="0" hidden="0"/>
    </xf>
    <xf numFmtId="0" fontId="6" fillId="0" borderId="0" applyAlignment="1" applyProtection="1" pivotButton="0" quotePrefix="0" xfId="7">
      <alignment horizontal="center" vertical="top" wrapText="1"/>
      <protection locked="0" hidden="0"/>
    </xf>
    <xf numFmtId="0" fontId="26" fillId="5" borderId="16" applyAlignment="1" pivotButton="0" quotePrefix="0" xfId="7">
      <alignment horizontal="center" vertical="center" wrapText="1"/>
    </xf>
    <xf numFmtId="0" fontId="26" fillId="5" borderId="17" applyAlignment="1" pivotButton="0" quotePrefix="0" xfId="7">
      <alignment horizontal="center" vertical="center" wrapText="1"/>
    </xf>
    <xf numFmtId="0" fontId="26" fillId="5" borderId="18" applyAlignment="1" pivotButton="0" quotePrefix="0" xfId="7">
      <alignment horizontal="center" vertical="center" wrapText="1"/>
    </xf>
    <xf numFmtId="0" fontId="3" fillId="2" borderId="0" applyAlignment="1" applyProtection="1" pivotButton="0" quotePrefix="0" xfId="7">
      <alignment vertical="top" wrapText="1"/>
      <protection locked="0" hidden="0"/>
    </xf>
    <xf numFmtId="0" fontId="29" fillId="0" borderId="0" applyAlignment="1" pivotButton="0" quotePrefix="0" xfId="7">
      <alignment vertical="top" wrapText="1"/>
    </xf>
    <xf numFmtId="0" fontId="33" fillId="0" borderId="0" applyProtection="1" pivotButton="0" quotePrefix="0" xfId="2">
      <protection locked="0" hidden="0"/>
    </xf>
    <xf numFmtId="0" fontId="11" fillId="0" borderId="0" applyAlignment="1" applyProtection="1" pivotButton="0" quotePrefix="0" xfId="7">
      <alignment horizontal="left" vertical="top" wrapText="1"/>
      <protection locked="0" hidden="0"/>
    </xf>
    <xf numFmtId="0" fontId="12" fillId="0" borderId="0" applyAlignment="1" applyProtection="1" pivotButton="0" quotePrefix="0" xfId="7">
      <alignment vertical="top"/>
      <protection locked="0" hidden="0"/>
    </xf>
    <xf numFmtId="0" fontId="50" fillId="0" borderId="0" applyAlignment="1" applyProtection="1" pivotButton="0" quotePrefix="0" xfId="7">
      <alignment vertical="center"/>
      <protection locked="0" hidden="0"/>
    </xf>
    <xf numFmtId="0" fontId="48" fillId="2" borderId="19" applyAlignment="1" applyProtection="1" pivotButton="0" quotePrefix="0" xfId="0">
      <alignment vertical="top"/>
      <protection locked="0" hidden="0"/>
    </xf>
    <xf numFmtId="0" fontId="49" fillId="2" borderId="19" applyAlignment="1" applyProtection="1" pivotButton="0" quotePrefix="0" xfId="0">
      <alignment horizontal="right" vertical="top"/>
      <protection locked="0" hidden="0"/>
    </xf>
    <xf numFmtId="0" fontId="50" fillId="2" borderId="0" applyAlignment="1" applyProtection="1" pivotButton="0" quotePrefix="0" xfId="7">
      <alignment wrapText="1"/>
      <protection locked="0" hidden="0"/>
    </xf>
    <xf numFmtId="0" fontId="48" fillId="2" borderId="19" applyAlignment="1" applyProtection="1" pivotButton="0" quotePrefix="0" xfId="0">
      <alignment horizontal="left" vertical="top"/>
      <protection locked="0" hidden="0"/>
    </xf>
    <xf numFmtId="14" fontId="48" fillId="2" borderId="19" applyAlignment="1" applyProtection="1" pivotButton="0" quotePrefix="0" xfId="0">
      <alignment horizontal="left" vertical="top"/>
      <protection locked="0" hidden="0"/>
    </xf>
    <xf numFmtId="0" fontId="3" fillId="2" borderId="19" applyProtection="1" pivotButton="0" quotePrefix="0" xfId="7">
      <protection locked="0" hidden="0"/>
    </xf>
    <xf numFmtId="0" fontId="29" fillId="2" borderId="19" applyProtection="1" pivotButton="0" quotePrefix="0" xfId="7">
      <protection locked="0" hidden="0"/>
    </xf>
    <xf numFmtId="0" fontId="9" fillId="2" borderId="19" applyAlignment="1" applyProtection="1" pivotButton="0" quotePrefix="0" xfId="7">
      <alignment horizontal="left" vertical="center" wrapText="1"/>
      <protection locked="0" hidden="0"/>
    </xf>
    <xf numFmtId="0" fontId="9" fillId="2" borderId="19" applyAlignment="1" applyProtection="1" pivotButton="0" quotePrefix="0" xfId="7">
      <alignment horizontal="center" vertical="center" wrapText="1"/>
      <protection locked="0" hidden="0"/>
    </xf>
    <xf numFmtId="0" fontId="9" fillId="2" borderId="19" applyAlignment="1" pivotButton="0" quotePrefix="0" xfId="7">
      <alignment vertical="center" wrapText="1"/>
    </xf>
    <xf numFmtId="0" fontId="3" fillId="0" borderId="19" applyProtection="1" pivotButton="0" quotePrefix="0" xfId="7">
      <protection locked="0" hidden="0"/>
    </xf>
    <xf numFmtId="0" fontId="48" fillId="2" borderId="31" applyAlignment="1" applyProtection="1" pivotButton="0" quotePrefix="0" xfId="0">
      <alignment vertical="top"/>
      <protection locked="0" hidden="0"/>
    </xf>
    <xf numFmtId="0" fontId="48" fillId="2" borderId="33" applyAlignment="1" applyProtection="1" pivotButton="0" quotePrefix="0" xfId="0">
      <alignment vertical="top"/>
      <protection locked="0" hidden="0"/>
    </xf>
    <xf numFmtId="0" fontId="48" fillId="2" borderId="34" applyAlignment="1" applyProtection="1" pivotButton="0" quotePrefix="0" xfId="0">
      <alignment vertical="top"/>
      <protection locked="0" hidden="0"/>
    </xf>
    <xf numFmtId="0" fontId="26" fillId="5" borderId="0" applyAlignment="1" pivotButton="0" quotePrefix="0" xfId="7">
      <alignment vertical="center" wrapText="1"/>
    </xf>
    <xf numFmtId="0" fontId="3" fillId="2" borderId="32" applyProtection="1" pivotButton="0" quotePrefix="0" xfId="7">
      <protection locked="0" hidden="0"/>
    </xf>
    <xf numFmtId="0" fontId="3" fillId="2" borderId="34" applyProtection="1" pivotButton="0" quotePrefix="0" xfId="7">
      <protection locked="0" hidden="0"/>
    </xf>
    <xf numFmtId="0" fontId="3" fillId="0" borderId="34" applyProtection="1" pivotButton="0" quotePrefix="0" xfId="7">
      <protection locked="0" hidden="0"/>
    </xf>
    <xf numFmtId="0" fontId="3" fillId="2" borderId="35" applyProtection="1" pivotButton="0" quotePrefix="0" xfId="7">
      <protection locked="0" hidden="0"/>
    </xf>
    <xf numFmtId="0" fontId="26" fillId="5" borderId="40" applyAlignment="1" pivotButton="0" quotePrefix="0" xfId="7">
      <alignment vertical="center" wrapText="1"/>
    </xf>
    <xf numFmtId="0" fontId="9" fillId="2" borderId="32" applyAlignment="1" applyProtection="1" pivotButton="0" quotePrefix="0" xfId="7">
      <alignment vertical="center" wrapText="1"/>
      <protection locked="0" hidden="0"/>
    </xf>
    <xf numFmtId="0" fontId="9" fillId="2" borderId="34" applyAlignment="1" applyProtection="1" pivotButton="0" quotePrefix="0" xfId="7">
      <alignment horizontal="left" vertical="center" wrapText="1"/>
      <protection locked="0" hidden="0"/>
    </xf>
    <xf numFmtId="0" fontId="9" fillId="2" borderId="34" applyAlignment="1" applyProtection="1" pivotButton="0" quotePrefix="0" xfId="7">
      <alignment horizontal="center" vertical="center" wrapText="1"/>
      <protection locked="0" hidden="0"/>
    </xf>
    <xf numFmtId="0" fontId="9" fillId="2" borderId="34" applyAlignment="1" pivotButton="0" quotePrefix="0" xfId="7">
      <alignment vertical="center" wrapText="1"/>
    </xf>
    <xf numFmtId="0" fontId="9" fillId="2" borderId="35" applyAlignment="1" applyProtection="1" pivotButton="0" quotePrefix="0" xfId="7">
      <alignment vertical="center" wrapText="1"/>
      <protection locked="0" hidden="0"/>
    </xf>
    <xf numFmtId="0" fontId="26" fillId="5" borderId="37" applyAlignment="1" pivotButton="0" quotePrefix="0" xfId="7">
      <alignment vertical="center" wrapText="1"/>
    </xf>
    <xf numFmtId="0" fontId="26" fillId="5" borderId="10" applyAlignment="1" pivotButton="0" quotePrefix="0" xfId="7">
      <alignment vertical="center" wrapText="1"/>
    </xf>
    <xf numFmtId="0" fontId="42" fillId="5" borderId="1" applyAlignment="1" pivotButton="0" quotePrefix="0" xfId="7">
      <alignment horizontal="center" vertical="center" wrapText="1"/>
    </xf>
    <xf numFmtId="0" fontId="29" fillId="2" borderId="31" applyProtection="1" pivotButton="0" quotePrefix="0" xfId="7">
      <protection locked="0" hidden="0"/>
    </xf>
    <xf numFmtId="0" fontId="3" fillId="2" borderId="0" applyAlignment="1" applyProtection="1" pivotButton="0" quotePrefix="0" xfId="7">
      <alignment vertical="center"/>
      <protection locked="0" hidden="0"/>
    </xf>
    <xf numFmtId="0" fontId="29" fillId="0" borderId="0" applyAlignment="1" applyProtection="1" pivotButton="0" quotePrefix="1" xfId="7">
      <alignment horizontal="left" vertical="top"/>
      <protection locked="0" hidden="0"/>
    </xf>
    <xf numFmtId="0" fontId="29" fillId="0" borderId="0" applyAlignment="1" applyProtection="1" pivotButton="0" quotePrefix="0" xfId="7">
      <alignment horizontal="left" vertical="top"/>
      <protection locked="0" hidden="0"/>
    </xf>
    <xf numFmtId="14" fontId="49" fillId="2" borderId="19" applyAlignment="1" applyProtection="1" pivotButton="0" quotePrefix="0" xfId="0">
      <alignment horizontal="right" vertical="top"/>
      <protection locked="0" hidden="0"/>
    </xf>
    <xf numFmtId="0" fontId="29" fillId="2" borderId="33" applyProtection="1" pivotButton="0" quotePrefix="0" xfId="7">
      <protection locked="0" hidden="0"/>
    </xf>
    <xf numFmtId="0" fontId="29" fillId="2" borderId="34" applyProtection="1" pivotButton="0" quotePrefix="0" xfId="7">
      <protection locked="0" hidden="0"/>
    </xf>
    <xf numFmtId="0" fontId="29" fillId="2" borderId="19" applyAlignment="1" applyProtection="1" pivotButton="0" quotePrefix="0" xfId="7">
      <alignment horizontal="center"/>
      <protection locked="0" hidden="0"/>
    </xf>
    <xf numFmtId="0" fontId="29" fillId="0" borderId="19" applyProtection="1" pivotButton="0" quotePrefix="0" xfId="7">
      <protection locked="0" hidden="0"/>
    </xf>
    <xf numFmtId="0" fontId="29" fillId="2" borderId="32" applyProtection="1" pivotButton="0" quotePrefix="0" xfId="7">
      <protection locked="0" hidden="0"/>
    </xf>
    <xf numFmtId="0" fontId="29" fillId="2" borderId="34" applyAlignment="1" applyProtection="1" pivotButton="0" quotePrefix="0" xfId="7">
      <alignment horizontal="center"/>
      <protection locked="0" hidden="0"/>
    </xf>
    <xf numFmtId="0" fontId="29" fillId="0" borderId="34" applyProtection="1" pivotButton="0" quotePrefix="0" xfId="7">
      <protection locked="0" hidden="0"/>
    </xf>
    <xf numFmtId="0" fontId="29" fillId="2" borderId="35" applyProtection="1" pivotButton="0" quotePrefix="0" xfId="7">
      <protection locked="0" hidden="0"/>
    </xf>
    <xf numFmtId="4" fontId="29" fillId="2" borderId="19" applyProtection="1" pivotButton="0" quotePrefix="0" xfId="7">
      <protection locked="0" hidden="0"/>
    </xf>
    <xf numFmtId="4" fontId="29" fillId="2" borderId="34" applyProtection="1" pivotButton="0" quotePrefix="0" xfId="7">
      <protection locked="0" hidden="0"/>
    </xf>
    <xf numFmtId="0" fontId="29" fillId="0" borderId="0" applyAlignment="1" pivotButton="0" quotePrefix="0" xfId="7">
      <alignment horizontal="left" vertical="top" wrapText="1"/>
    </xf>
    <xf numFmtId="0" fontId="37" fillId="4" borderId="0" applyAlignment="1" pivotButton="0" quotePrefix="0" xfId="0">
      <alignment horizontal="left" vertical="center" wrapText="1"/>
    </xf>
    <xf numFmtId="0" fontId="48" fillId="2" borderId="28" applyAlignment="1" applyProtection="1" pivotButton="0" quotePrefix="0" xfId="0">
      <alignment horizontal="left" vertical="center"/>
      <protection locked="0" hidden="0"/>
    </xf>
    <xf numFmtId="0" fontId="48" fillId="2" borderId="29" applyAlignment="1" applyProtection="1" pivotButton="0" quotePrefix="0" xfId="0">
      <alignment horizontal="left" vertical="center"/>
      <protection locked="0" hidden="0"/>
    </xf>
    <xf numFmtId="0" fontId="48" fillId="2" borderId="30" applyAlignment="1" applyProtection="1" pivotButton="0" quotePrefix="0" xfId="0">
      <alignment horizontal="left" vertical="center"/>
      <protection locked="0" hidden="0"/>
    </xf>
    <xf numFmtId="0" fontId="48" fillId="2" borderId="41" applyAlignment="1" applyProtection="1" pivotButton="0" quotePrefix="0" xfId="0">
      <alignment horizontal="left" vertical="top"/>
      <protection locked="0" hidden="0"/>
    </xf>
    <xf numFmtId="0" fontId="48" fillId="2" borderId="42" applyAlignment="1" applyProtection="1" pivotButton="0" quotePrefix="0" xfId="0">
      <alignment horizontal="left" vertical="top"/>
      <protection locked="0" hidden="0"/>
    </xf>
    <xf numFmtId="0" fontId="52" fillId="3" borderId="31" applyAlignment="1" applyProtection="1" pivotButton="0" quotePrefix="0" xfId="7">
      <alignment horizontal="left"/>
      <protection locked="0" hidden="0"/>
    </xf>
    <xf numFmtId="0" fontId="52" fillId="3" borderId="19" applyAlignment="1" applyProtection="1" pivotButton="0" quotePrefix="0" xfId="7">
      <alignment horizontal="left"/>
      <protection locked="0" hidden="0"/>
    </xf>
    <xf numFmtId="0" fontId="52" fillId="3" borderId="32" applyAlignment="1" applyProtection="1" pivotButton="0" quotePrefix="0" xfId="7">
      <alignment horizontal="left"/>
      <protection locked="0" hidden="0"/>
    </xf>
    <xf numFmtId="0" fontId="29" fillId="2" borderId="0" applyAlignment="1" applyProtection="1" pivotButton="0" quotePrefix="0" xfId="7">
      <alignment horizontal="left" vertical="center" wrapText="1"/>
      <protection locked="0" hidden="0"/>
    </xf>
    <xf numFmtId="0" fontId="26" fillId="4" borderId="0" applyAlignment="1" pivotButton="0" quotePrefix="0" xfId="0">
      <alignment horizontal="left" vertical="center" wrapText="1"/>
    </xf>
    <xf numFmtId="0" fontId="26" fillId="5" borderId="17" applyAlignment="1" pivotButton="0" quotePrefix="0" xfId="7">
      <alignment horizontal="center" vertical="center" wrapText="1"/>
    </xf>
    <xf numFmtId="0" fontId="26" fillId="5" borderId="0" applyAlignment="1" pivotButton="0" quotePrefix="0" xfId="7">
      <alignment horizontal="center" vertical="center" wrapText="1"/>
    </xf>
    <xf numFmtId="0" fontId="48" fillId="2" borderId="23" applyAlignment="1" applyProtection="1" pivotButton="0" quotePrefix="0" xfId="0">
      <alignment horizontal="left" vertical="top"/>
      <protection locked="0" hidden="0"/>
    </xf>
    <xf numFmtId="0" fontId="48" fillId="2" borderId="24" applyAlignment="1" applyProtection="1" pivotButton="0" quotePrefix="0" xfId="0">
      <alignment horizontal="left" vertical="top"/>
      <protection locked="0" hidden="0"/>
    </xf>
    <xf numFmtId="0" fontId="48" fillId="2" borderId="25" applyAlignment="1" applyProtection="1" pivotButton="0" quotePrefix="0" xfId="0">
      <alignment horizontal="left" vertical="top"/>
      <protection locked="0" hidden="0"/>
    </xf>
    <xf numFmtId="0" fontId="48" fillId="2" borderId="26" applyAlignment="1" applyProtection="1" pivotButton="0" quotePrefix="0" xfId="0">
      <alignment horizontal="left" vertical="top"/>
      <protection locked="0" hidden="0"/>
    </xf>
    <xf numFmtId="0" fontId="48" fillId="2" borderId="0" applyAlignment="1" applyProtection="1" pivotButton="0" quotePrefix="0" xfId="0">
      <alignment horizontal="left" vertical="top"/>
      <protection locked="0" hidden="0"/>
    </xf>
    <xf numFmtId="0" fontId="48" fillId="2" borderId="20" applyAlignment="1" applyProtection="1" pivotButton="0" quotePrefix="0" xfId="0">
      <alignment horizontal="left" vertical="top"/>
      <protection locked="0" hidden="0"/>
    </xf>
    <xf numFmtId="0" fontId="48" fillId="2" borderId="21" applyAlignment="1" applyProtection="1" pivotButton="0" quotePrefix="0" xfId="0">
      <alignment horizontal="left" vertical="top"/>
      <protection locked="0" hidden="0"/>
    </xf>
    <xf numFmtId="0" fontId="48" fillId="2" borderId="22" applyAlignment="1" applyProtection="1" pivotButton="0" quotePrefix="0" xfId="0">
      <alignment horizontal="left" vertical="top"/>
      <protection locked="0" hidden="0"/>
    </xf>
    <xf numFmtId="0" fontId="48" fillId="2" borderId="27" applyAlignment="1" applyProtection="1" pivotButton="0" quotePrefix="0" xfId="0">
      <alignment horizontal="left" vertical="top"/>
      <protection locked="0" hidden="0"/>
    </xf>
    <xf numFmtId="0" fontId="37" fillId="6" borderId="31" applyAlignment="1" applyProtection="1" pivotButton="0" quotePrefix="0" xfId="7">
      <alignment horizontal="left" vertical="center"/>
      <protection locked="0" hidden="0"/>
    </xf>
    <xf numFmtId="0" fontId="37" fillId="6" borderId="19" applyAlignment="1" applyProtection="1" pivotButton="0" quotePrefix="0" xfId="7">
      <alignment horizontal="left" vertical="center"/>
      <protection locked="0" hidden="0"/>
    </xf>
    <xf numFmtId="0" fontId="37" fillId="6" borderId="32" applyAlignment="1" applyProtection="1" pivotButton="0" quotePrefix="0" xfId="7">
      <alignment horizontal="left" vertical="center"/>
      <protection locked="0" hidden="0"/>
    </xf>
    <xf numFmtId="0" fontId="48" fillId="2" borderId="43" applyAlignment="1" applyProtection="1" pivotButton="0" quotePrefix="0" xfId="0">
      <alignment horizontal="left" vertical="top"/>
      <protection locked="0" hidden="0"/>
    </xf>
    <xf numFmtId="0" fontId="48" fillId="2" borderId="44" applyAlignment="1" applyProtection="1" pivotButton="0" quotePrefix="0" xfId="0">
      <alignment horizontal="left" vertical="top"/>
      <protection locked="0" hidden="0"/>
    </xf>
    <xf numFmtId="0" fontId="9" fillId="2" borderId="31" applyAlignment="1" applyProtection="1" pivotButton="0" quotePrefix="0" xfId="7">
      <alignment horizontal="left" vertical="center" wrapText="1"/>
      <protection locked="0" hidden="0"/>
    </xf>
    <xf numFmtId="0" fontId="9" fillId="2" borderId="19" applyAlignment="1" applyProtection="1" pivotButton="0" quotePrefix="0" xfId="7">
      <alignment horizontal="left" vertical="center" wrapText="1"/>
      <protection locked="0" hidden="0"/>
    </xf>
    <xf numFmtId="0" fontId="26" fillId="5" borderId="16" applyAlignment="1" pivotButton="0" quotePrefix="0" xfId="7">
      <alignment horizontal="center" vertical="center" wrapText="1"/>
    </xf>
    <xf numFmtId="0" fontId="26" fillId="5" borderId="38" applyAlignment="1" pivotButton="0" quotePrefix="0" xfId="7">
      <alignment horizontal="center" vertical="center" wrapText="1"/>
    </xf>
    <xf numFmtId="0" fontId="26" fillId="5" borderId="39" applyAlignment="1" pivotButton="0" quotePrefix="0" xfId="7">
      <alignment horizontal="center" vertical="center" wrapText="1"/>
    </xf>
    <xf numFmtId="0" fontId="42" fillId="5" borderId="11" applyAlignment="1" pivotButton="0" quotePrefix="0" xfId="7">
      <alignment horizontal="center" vertical="center" wrapText="1"/>
    </xf>
    <xf numFmtId="0" fontId="42" fillId="5" borderId="36" applyAlignment="1" pivotButton="0" quotePrefix="0" xfId="7">
      <alignment horizontal="center" vertical="center" wrapText="1"/>
    </xf>
    <xf numFmtId="0" fontId="53" fillId="0" borderId="1" applyAlignment="1" pivotButton="0" quotePrefix="0" xfId="9">
      <alignment horizontal="center" vertical="top"/>
    </xf>
    <xf numFmtId="0" fontId="26" fillId="5" borderId="39" applyAlignment="1" pivotButton="0" quotePrefix="0" xfId="7">
      <alignment horizontal="left" vertical="center" wrapText="1"/>
    </xf>
    <xf numFmtId="0" fontId="26" fillId="5" borderId="38" applyAlignment="1" pivotButton="0" quotePrefix="0" xfId="7">
      <alignment horizontal="left" vertical="center" wrapText="1"/>
    </xf>
    <xf numFmtId="0" fontId="26" fillId="5" borderId="18" applyAlignment="1" pivotButton="0" quotePrefix="0" xfId="7">
      <alignment horizontal="center" vertical="center" wrapText="1"/>
    </xf>
    <xf numFmtId="0" fontId="33" fillId="0" borderId="2" applyAlignment="1" applyProtection="1" pivotButton="0" quotePrefix="0" xfId="7">
      <alignment horizontal="left" vertical="top" wrapText="1"/>
      <protection locked="0" hidden="0"/>
    </xf>
    <xf numFmtId="0" fontId="33" fillId="0" borderId="3" applyAlignment="1" applyProtection="1" pivotButton="0" quotePrefix="0" xfId="7">
      <alignment horizontal="left" vertical="top" wrapText="1"/>
      <protection locked="0" hidden="0"/>
    </xf>
    <xf numFmtId="0" fontId="33" fillId="0" borderId="4" applyAlignment="1" applyProtection="1" pivotButton="0" quotePrefix="0" xfId="7">
      <alignment horizontal="left" vertical="top" wrapText="1"/>
      <protection locked="0" hidden="0"/>
    </xf>
    <xf numFmtId="0" fontId="51" fillId="0" borderId="1" applyAlignment="1" applyProtection="1" pivotButton="0" quotePrefix="0" xfId="7">
      <alignment horizontal="left" vertical="top" wrapText="1"/>
      <protection locked="0" hidden="0"/>
    </xf>
    <xf numFmtId="0" fontId="11" fillId="0" borderId="1" applyAlignment="1" applyProtection="1" pivotButton="0" quotePrefix="0" xfId="7">
      <alignment horizontal="left" vertical="top" wrapText="1"/>
      <protection locked="0" hidden="0"/>
    </xf>
    <xf numFmtId="0" fontId="9" fillId="0" borderId="7" applyAlignment="1" applyProtection="1" pivotButton="0" quotePrefix="0" xfId="7">
      <alignment horizontal="left" vertical="top" wrapText="1"/>
      <protection locked="0" hidden="0"/>
    </xf>
    <xf numFmtId="0" fontId="9" fillId="0" borderId="8" applyAlignment="1" applyProtection="1" pivotButton="0" quotePrefix="0" xfId="7">
      <alignment horizontal="left" vertical="top" wrapText="1"/>
      <protection locked="0" hidden="0"/>
    </xf>
    <xf numFmtId="0" fontId="9" fillId="0" borderId="9" applyAlignment="1" applyProtection="1" pivotButton="0" quotePrefix="0" xfId="7">
      <alignment horizontal="left" vertical="top" wrapText="1"/>
      <protection locked="0" hidden="0"/>
    </xf>
    <xf numFmtId="0" fontId="29" fillId="0" borderId="3" applyAlignment="1" applyProtection="1" pivotButton="0" quotePrefix="0" xfId="7">
      <alignment horizontal="left" vertical="top" wrapText="1"/>
      <protection locked="0" hidden="0"/>
    </xf>
    <xf numFmtId="0" fontId="29" fillId="0" borderId="4" applyAlignment="1" applyProtection="1" pivotButton="0" quotePrefix="0" xfId="7">
      <alignment horizontal="left" vertical="top" wrapText="1"/>
      <protection locked="0" hidden="0"/>
    </xf>
    <xf numFmtId="0" fontId="9" fillId="0" borderId="5" applyAlignment="1" applyProtection="1" pivotButton="0" quotePrefix="0" xfId="7">
      <alignment horizontal="left" vertical="top" wrapText="1"/>
      <protection locked="0" hidden="0"/>
    </xf>
    <xf numFmtId="0" fontId="9" fillId="0" borderId="0" applyAlignment="1" applyProtection="1" pivotButton="0" quotePrefix="0" xfId="7">
      <alignment horizontal="left" vertical="top" wrapText="1"/>
      <protection locked="0" hidden="0"/>
    </xf>
    <xf numFmtId="0" fontId="9" fillId="0" borderId="6" applyAlignment="1" applyProtection="1" pivotButton="0" quotePrefix="0" xfId="7">
      <alignment horizontal="left" vertical="top" wrapText="1"/>
      <protection locked="0" hidden="0"/>
    </xf>
    <xf numFmtId="0" fontId="9" fillId="2" borderId="33" applyAlignment="1" applyProtection="1" pivotButton="0" quotePrefix="0" xfId="7">
      <alignment horizontal="left" vertical="center" wrapText="1"/>
      <protection locked="0" hidden="0"/>
    </xf>
    <xf numFmtId="0" fontId="9" fillId="2" borderId="34" applyAlignment="1" applyProtection="1" pivotButton="0" quotePrefix="0" xfId="7">
      <alignment horizontal="left" vertical="center" wrapText="1"/>
      <protection locked="0" hidden="0"/>
    </xf>
    <xf numFmtId="0" fontId="2" fillId="0" borderId="12" applyAlignment="1" applyProtection="1" pivotButton="0" quotePrefix="0" xfId="4">
      <alignment horizontal="left" vertical="top" wrapText="1"/>
      <protection locked="0" hidden="0"/>
    </xf>
    <xf numFmtId="0" fontId="2" fillId="0" borderId="13" applyAlignment="1" applyProtection="1" pivotButton="0" quotePrefix="0" xfId="4">
      <alignment horizontal="left" vertical="top" wrapText="1"/>
      <protection locked="0" hidden="0"/>
    </xf>
    <xf numFmtId="0" fontId="2" fillId="0" borderId="14" applyAlignment="1" applyProtection="1" pivotButton="0" quotePrefix="0" xfId="4">
      <alignment horizontal="left" vertical="top" wrapText="1"/>
      <protection locked="0" hidden="0"/>
    </xf>
    <xf numFmtId="0" fontId="54" fillId="2" borderId="19" applyAlignment="1" applyProtection="1" pivotButton="0" quotePrefix="0" xfId="0">
      <alignment horizontal="right" vertical="top"/>
      <protection locked="0" hidden="0"/>
    </xf>
    <xf numFmtId="14" fontId="54" fillId="2" borderId="19" applyAlignment="1" applyProtection="1" pivotButton="0" quotePrefix="0" xfId="0">
      <alignment horizontal="right" vertical="top"/>
      <protection locked="0" hidden="0"/>
    </xf>
    <xf numFmtId="0" fontId="55" fillId="2" borderId="45" applyAlignment="1" applyProtection="1" pivotButton="0" quotePrefix="0" xfId="0">
      <alignment vertical="top" wrapText="1"/>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0" fontId="55" fillId="2" borderId="0" applyAlignment="1" applyProtection="1" pivotButton="0" quotePrefix="0" xfId="7">
      <alignment wrapText="1"/>
      <protection locked="0" hidden="0"/>
    </xf>
    <xf numFmtId="0" fontId="56" fillId="0" borderId="0" applyAlignment="1" applyProtection="1" pivotButton="0" quotePrefix="0" xfId="7">
      <alignment horizontal="left" vertical="top" wrapText="1"/>
      <protection locked="0" hidden="0"/>
    </xf>
    <xf numFmtId="0" fontId="55" fillId="0" borderId="0" applyAlignment="1" pivotButton="0" quotePrefix="0" xfId="0">
      <alignment vertical="top" wrapText="1"/>
    </xf>
    <xf numFmtId="0" fontId="54" fillId="2" borderId="0" applyAlignment="1" applyProtection="1" pivotButton="0" quotePrefix="0" xfId="7">
      <alignment horizontal="left" vertical="top" wrapText="1"/>
      <protection locked="0" hidden="0"/>
    </xf>
    <xf numFmtId="0" fontId="0" fillId="0" borderId="0" applyProtection="1" pivotButton="0" quotePrefix="0" xfId="0">
      <protection locked="0" hidden="0"/>
    </xf>
    <xf numFmtId="0" fontId="55" fillId="2" borderId="51" applyAlignment="1" applyProtection="1" pivotButton="0" quotePrefix="0" xfId="0">
      <alignment vertical="top" wrapText="1"/>
      <protection locked="0" hidden="0"/>
    </xf>
    <xf numFmtId="0" fontId="0" fillId="0" borderId="24" applyProtection="1" pivotButton="0" quotePrefix="0" xfId="0">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0" fontId="0" fillId="0" borderId="22" applyProtection="1" pivotButton="0" quotePrefix="0" xfId="0">
      <protection locked="0" hidden="0"/>
    </xf>
    <xf numFmtId="0" fontId="0" fillId="0" borderId="27" applyProtection="1" pivotButton="0" quotePrefix="0" xfId="0">
      <protection locked="0" hidden="0"/>
    </xf>
    <xf numFmtId="0" fontId="56" fillId="7" borderId="0" applyAlignment="1" applyProtection="1" pivotButton="0" quotePrefix="0" xfId="7">
      <alignment vertical="top" wrapText="1"/>
      <protection locked="0" hidden="0"/>
    </xf>
    <xf numFmtId="0" fontId="0" fillId="0" borderId="17" pivotButton="0" quotePrefix="0" xfId="0"/>
    <xf numFmtId="0" fontId="0" fillId="0" borderId="50" applyProtection="1" pivotButton="0" quotePrefix="0" xfId="0">
      <protection locked="0" hidden="0"/>
    </xf>
    <xf numFmtId="0" fontId="0" fillId="0" borderId="42" applyProtection="1" pivotButton="0" quotePrefix="0" xfId="0">
      <protection locked="0" hidden="0"/>
    </xf>
    <xf numFmtId="0" fontId="55" fillId="2" borderId="31" applyAlignment="1" applyProtection="1" pivotButton="0" quotePrefix="0" xfId="0">
      <alignment vertical="top"/>
      <protection locked="0" hidden="0"/>
    </xf>
    <xf numFmtId="0" fontId="55" fillId="2" borderId="19" applyAlignment="1" applyProtection="1" pivotButton="0" quotePrefix="0" xfId="0">
      <alignment vertical="top"/>
      <protection locked="0" hidden="0"/>
    </xf>
    <xf numFmtId="0" fontId="55" fillId="2" borderId="19" applyAlignment="1" applyProtection="1" pivotButton="0" quotePrefix="0" xfId="0">
      <alignment vertical="top" wrapText="1"/>
      <protection locked="0" hidden="0"/>
    </xf>
    <xf numFmtId="3" fontId="55" fillId="2" borderId="19" applyAlignment="1" applyProtection="1" pivotButton="0" quotePrefix="0" xfId="0">
      <alignment vertical="top"/>
      <protection locked="0" hidden="0"/>
    </xf>
    <xf numFmtId="0" fontId="56" fillId="6" borderId="31" applyAlignment="1" applyProtection="1" pivotButton="0" quotePrefix="0" xfId="7">
      <alignment vertical="top" wrapText="1"/>
      <protection locked="0" hidden="0"/>
    </xf>
    <xf numFmtId="0" fontId="48" fillId="2" borderId="34" applyAlignment="1" applyProtection="1" pivotButton="0" quotePrefix="0" xfId="0">
      <alignment horizontal="left" vertical="top"/>
      <protection locked="0" hidden="0"/>
    </xf>
    <xf numFmtId="0" fontId="0" fillId="0" borderId="44" applyProtection="1" pivotButton="0" quotePrefix="0" xfId="0">
      <protection locked="0" hidden="0"/>
    </xf>
    <xf numFmtId="0" fontId="33" fillId="0" borderId="53" applyAlignment="1" applyProtection="1" pivotButton="0" quotePrefix="0" xfId="7">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5" fillId="0" borderId="55" applyAlignment="1" applyProtection="1" pivotButton="0" quotePrefix="0" xfId="7">
      <alignment vertical="top" wrapText="1"/>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9" fillId="0" borderId="37" applyAlignment="1" applyProtection="1" pivotButton="0" quotePrefix="0" xfId="7">
      <alignment horizontal="left" vertical="top" wrapText="1"/>
      <protection locked="0" hidden="0"/>
    </xf>
    <xf numFmtId="0" fontId="0" fillId="0" borderId="6" applyProtection="1" pivotButton="0" quotePrefix="0" xfId="0">
      <protection locked="0" hidden="0"/>
    </xf>
    <xf numFmtId="0" fontId="0" fillId="0" borderId="5" applyProtection="1" pivotButton="0" quotePrefix="0" xfId="0">
      <protection locked="0" hidden="0"/>
    </xf>
    <xf numFmtId="0" fontId="55" fillId="0" borderId="1" applyAlignment="1" applyProtection="1" pivotButton="0" quotePrefix="0" xfId="7">
      <alignment horizontal="left" vertical="top" wrapText="1"/>
      <protection locked="0" hidden="0"/>
    </xf>
    <xf numFmtId="0" fontId="0" fillId="0" borderId="36" applyProtection="1" pivotButton="0" quotePrefix="0" xfId="0">
      <protection locked="0" hidden="0"/>
    </xf>
    <xf numFmtId="0" fontId="0" fillId="0" borderId="54" applyProtection="1" pivotButton="0" quotePrefix="0" xfId="0">
      <protection locked="0" hidden="0"/>
    </xf>
    <xf numFmtId="0" fontId="54" fillId="0" borderId="0" applyAlignment="1" applyProtection="1" pivotButton="0" quotePrefix="0" xfId="7">
      <alignment vertical="top"/>
      <protection locked="0" hidden="0"/>
    </xf>
    <xf numFmtId="0" fontId="0" fillId="0" borderId="36" pivotButton="0" quotePrefix="0" xfId="0"/>
    <xf numFmtId="0" fontId="0" fillId="0" borderId="54" pivotButton="0" quotePrefix="0" xfId="0"/>
    <xf numFmtId="0" fontId="26" fillId="5" borderId="56" applyAlignment="1" pivotButton="0" quotePrefix="0" xfId="7">
      <alignment horizontal="center" vertical="center" wrapText="1"/>
    </xf>
    <xf numFmtId="0" fontId="0" fillId="0" borderId="38" pivotButton="0" quotePrefix="0" xfId="0"/>
    <xf numFmtId="0" fontId="26" fillId="5" borderId="40" applyAlignment="1" pivotButton="0" quotePrefix="0" xfId="7">
      <alignment horizontal="center" vertical="center" wrapText="1"/>
    </xf>
    <xf numFmtId="0" fontId="26" fillId="5" borderId="40" applyAlignment="1" pivotButton="0" quotePrefix="0" xfId="7">
      <alignment horizontal="left" vertical="center" wrapText="1"/>
    </xf>
    <xf numFmtId="0" fontId="55" fillId="2" borderId="31" applyAlignment="1" applyProtection="1" pivotButton="0" quotePrefix="0" xfId="7">
      <alignment vertical="top" wrapText="1"/>
      <protection locked="0" hidden="0"/>
    </xf>
    <xf numFmtId="0" fontId="55" fillId="2" borderId="19" applyAlignment="1" applyProtection="1" pivotButton="0" quotePrefix="0" xfId="7">
      <alignment vertical="top" wrapText="1"/>
      <protection locked="0" hidden="0"/>
    </xf>
    <xf numFmtId="0" fontId="55" fillId="2" borderId="19" applyAlignment="1" applyProtection="1" pivotButton="0" quotePrefix="0" xfId="7">
      <alignment horizontal="left" vertical="center" wrapText="1"/>
      <protection locked="0" hidden="0"/>
    </xf>
    <xf numFmtId="0" fontId="55" fillId="2" borderId="19" applyAlignment="1" applyProtection="1" pivotButton="0" quotePrefix="0" xfId="7">
      <alignment horizontal="center" vertical="center" wrapText="1"/>
      <protection locked="0" hidden="0"/>
    </xf>
    <xf numFmtId="0" fontId="55" fillId="2" borderId="19" applyAlignment="1" pivotButton="0" quotePrefix="0" xfId="7">
      <alignment vertical="top" wrapText="1"/>
    </xf>
    <xf numFmtId="0" fontId="26" fillId="5" borderId="52" applyAlignment="1" pivotButton="0" quotePrefix="0" xfId="7">
      <alignment horizontal="center" vertical="center" wrapText="1"/>
    </xf>
    <xf numFmtId="0" fontId="0" fillId="0" borderId="18" pivotButton="0" quotePrefix="0" xfId="0"/>
    <xf numFmtId="0" fontId="55" fillId="2" borderId="31" applyProtection="1" pivotButton="0" quotePrefix="0" xfId="7">
      <protection locked="0" hidden="0"/>
    </xf>
    <xf numFmtId="0" fontId="55" fillId="2" borderId="19" applyProtection="1" pivotButton="0" quotePrefix="0" xfId="7">
      <protection locked="0" hidden="0"/>
    </xf>
    <xf numFmtId="3" fontId="55" fillId="2" borderId="19" applyProtection="1" pivotButton="0" quotePrefix="0" xfId="7">
      <protection locked="0" hidden="0"/>
    </xf>
    <xf numFmtId="0" fontId="55" fillId="2" borderId="19" applyAlignment="1" applyProtection="1" pivotButton="0" quotePrefix="0" xfId="7">
      <alignment horizontal="center"/>
      <protection locked="0" hidden="0"/>
    </xf>
    <xf numFmtId="0" fontId="2" fillId="0" borderId="57" applyAlignment="1" applyProtection="1" pivotButton="0" quotePrefix="0" xfId="4">
      <alignment horizontal="left" vertical="top" wrapText="1"/>
      <protection locked="0" hidden="0"/>
    </xf>
    <xf numFmtId="0" fontId="0" fillId="0" borderId="13" applyProtection="1" pivotButton="0" quotePrefix="0" xfId="0">
      <protection locked="0" hidden="0"/>
    </xf>
    <xf numFmtId="0" fontId="0" fillId="0" borderId="14" applyProtection="1" pivotButton="0" quotePrefix="0" xfId="0">
      <protection locked="0" hidden="0"/>
    </xf>
  </cellXfs>
  <cellStyles count="13">
    <cellStyle name="Normal" xfId="0" builtinId="0"/>
    <cellStyle name="Comma 2" xfId="1"/>
    <cellStyle name="Heading 2" xfId="2" builtinId="17"/>
    <cellStyle name="Normal 2" xfId="3"/>
    <cellStyle name="Normal 3" xfId="4"/>
    <cellStyle name="Normal 4" xfId="5"/>
    <cellStyle name="Normal 5" xfId="6"/>
    <cellStyle name="Normal_persusal test" xfId="7"/>
    <cellStyle name="Percent 2" xfId="8"/>
    <cellStyle name="Hyperlink" xfId="9" builtinId="8"/>
    <cellStyle name="Normal 6" xfId="10"/>
    <cellStyle name="Normal 2 2" xfId="11"/>
    <cellStyle name="Hyperlink 2" xfId="12"/>
  </cellStyles>
  <dxfs count="45">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
      <fill>
        <patternFill>
          <bgColor rgb="FFDCE6F1"/>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Bo de Hoog</author>
  </authors>
  <commentList>
    <comment ref="F53" authorId="0" shapeId="0">
      <text>
        <t>Guidance:
Consider the need to look further than the reporting period</t>
      </text>
    </comment>
  </commentList>
</comments>
</file>

<file path=xl/theme/theme1.xml><?xml version="1.0" encoding="utf-8"?>
<a:theme xmlns:a="http://schemas.openxmlformats.org/drawingml/2006/main" name="Office Theme">
  <a:themeElements>
    <a:clrScheme name="Custom 1">
      <a:dk1>
        <a:sysClr val="windowText" lastClr="000000"/>
      </a:dk1>
      <a:lt1>
        <a:sysClr val="window" lastClr="FFFFFF"/>
      </a:lt1>
      <a:dk2>
        <a:srgbClr val="786860"/>
      </a:dk2>
      <a:lt2>
        <a:srgbClr val="D1108C"/>
      </a:lt2>
      <a:accent1>
        <a:srgbClr val="ED1A3B"/>
      </a:accent1>
      <a:accent2>
        <a:srgbClr val="2EAFA4"/>
      </a:accent2>
      <a:accent3>
        <a:srgbClr val="FFFFFF"/>
      </a:accent3>
      <a:accent4>
        <a:srgbClr val="000000"/>
      </a:accent4>
      <a:accent5>
        <a:srgbClr val="F4ABAF"/>
      </a:accent5>
      <a:accent6>
        <a:srgbClr val="29949E"/>
      </a:accent6>
      <a:hlink>
        <a:srgbClr val="98002E"/>
      </a:hlink>
      <a:folHlink>
        <a:srgbClr val="62CAE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Blad1">
    <outlinePr summaryBelow="1" summaryRight="1"/>
    <pageSetUpPr/>
  </sheetPr>
  <dimension ref="A1:D4"/>
  <sheetViews>
    <sheetView workbookViewId="0">
      <selection activeCell="B1" sqref="B1"/>
    </sheetView>
  </sheetViews>
  <sheetFormatPr baseColWidth="8" defaultColWidth="5.5703125" defaultRowHeight="15"/>
  <sheetData>
    <row r="1">
      <c r="A1" t="inlineStr">
        <is>
          <t>ZM:5:0</t>
        </is>
      </c>
      <c r="D1" t="inlineStr">
        <is>
          <t>Memory Zone output -&gt; Entity name Période : 0</t>
        </is>
      </c>
    </row>
    <row r="2">
      <c r="A2" t="inlineStr">
        <is>
          <t>VS:19:0</t>
        </is>
      </c>
      <c r="B2" s="6" t="n"/>
      <c r="D2" t="inlineStr">
        <is>
          <t>SYSTEM ZONE -&gt; Balance sheet date period 0 Period : 0</t>
        </is>
      </c>
    </row>
    <row r="3">
      <c r="A3" t="inlineStr">
        <is>
          <t>VS:21:0</t>
        </is>
      </c>
      <c r="D3" t="inlineStr">
        <is>
          <t>SYSTEM ZONE -&gt; Redactor of active document Period : 0</t>
        </is>
      </c>
    </row>
    <row r="4">
      <c r="A4" t="inlineStr">
        <is>
          <t>VS:20:0</t>
        </is>
      </c>
      <c r="D4" t="inlineStr">
        <is>
          <t>SYSTEM ZONE -&gt; Reference active document Period : 0</t>
        </is>
      </c>
    </row>
  </sheetData>
  <pageMargins left="0.7" right="0.7" top="0.75" bottom="0.75" header="0.3" footer="0.3"/>
</worksheet>
</file>

<file path=xl/worksheets/sheet2.xml><?xml version="1.0" encoding="utf-8"?>
<worksheet xmlns="http://schemas.openxmlformats.org/spreadsheetml/2006/main">
  <sheetPr codeName="Blad2">
    <outlinePr summaryBelow="1" summaryRight="1"/>
    <pageSetUpPr/>
  </sheetPr>
  <dimension ref="A1:A1"/>
  <sheetViews>
    <sheetView workbookViewId="0">
      <selection activeCell="A1" sqref="A1"/>
    </sheetView>
  </sheetViews>
  <sheetFormatPr baseColWidth="8" defaultColWidth="5.5703125" defaultRowHeight="15"/>
  <sheetData/>
  <pageMargins left="0.7" right="0.7" top="0.75" bottom="0.75" header="0.3" footer="0.3"/>
</worksheet>
</file>

<file path=xl/worksheets/sheet3.xml><?xml version="1.0" encoding="utf-8"?>
<worksheet xmlns="http://schemas.openxmlformats.org/spreadsheetml/2006/main">
  <sheetPr codeName="Blad3">
    <outlinePr summaryBelow="1" summaryRight="1"/>
    <pageSetUpPr/>
  </sheetPr>
  <dimension ref="A1:A1"/>
  <sheetViews>
    <sheetView workbookViewId="0">
      <selection activeCell="A1" sqref="A1"/>
    </sheetView>
  </sheetViews>
  <sheetFormatPr baseColWidth="8" defaultColWidth="5.5703125" defaultRowHeight="15"/>
  <sheetData/>
  <pageMargins left="0.7" right="0.7" top="0.75" bottom="0.75" header="0.3" footer="0.3"/>
</worksheet>
</file>

<file path=xl/worksheets/sheet4.xml><?xml version="1.0" encoding="utf-8"?>
<worksheet xmlns="http://schemas.openxmlformats.org/spreadsheetml/2006/main">
  <sheetPr codeName="Blad4">
    <outlinePr summaryBelow="1" summaryRight="1"/>
    <pageSetUpPr/>
  </sheetPr>
  <dimension ref="D148:D148"/>
  <sheetViews>
    <sheetView workbookViewId="0">
      <selection activeCell="D148" sqref="D148"/>
    </sheetView>
  </sheetViews>
  <sheetFormatPr baseColWidth="8" defaultColWidth="10.85546875" defaultRowHeight="15"/>
  <cols>
    <col width="9.140625" customWidth="1" min="1" max="256"/>
  </cols>
  <sheetData>
    <row r="12" ht="14.1" customHeight="1"/>
    <row r="26" ht="14.1" customHeight="1"/>
    <row r="67" ht="21" customHeight="1"/>
    <row r="148">
      <c r="D148" s="8" t="n"/>
    </row>
  </sheetData>
  <pageMargins left="0.7" right="0.7" top="0.75" bottom="0.75" header="0.3" footer="0.3"/>
</worksheet>
</file>

<file path=xl/worksheets/sheet5.xml><?xml version="1.0" encoding="utf-8"?>
<worksheet xmlns="http://schemas.openxmlformats.org/spreadsheetml/2006/main">
  <sheetPr codeName="Blad10">
    <tabColor rgb="FF0072CE"/>
    <outlinePr summaryBelow="1" summaryRight="1"/>
    <pageSetUpPr fitToPage="1"/>
  </sheetPr>
  <dimension ref="A2:Q28"/>
  <sheetViews>
    <sheetView showGridLines="0" tabSelected="1" zoomScale="90" zoomScaleNormal="90" zoomScaleSheetLayoutView="90" workbookViewId="0">
      <selection activeCell="C2" sqref="C2"/>
    </sheetView>
  </sheetViews>
  <sheetFormatPr baseColWidth="8" defaultColWidth="0" defaultRowHeight="12.6" customHeight="1" zeroHeight="1"/>
  <cols>
    <col width="7.42578125" customWidth="1" style="7" min="1" max="1"/>
    <col width="27.5703125" customWidth="1" style="8" min="2" max="2"/>
    <col width="18.140625" customWidth="1" style="8" min="3" max="3"/>
    <col width="41.5703125" customWidth="1" style="8" min="4" max="4"/>
    <col width="15.85546875" customWidth="1" style="8" min="5" max="5"/>
    <col width="18.85546875" customWidth="1" style="8" min="6" max="6"/>
    <col width="16.5703125" customWidth="1" style="8" min="7" max="7"/>
    <col width="25.140625" customWidth="1" style="8" min="8" max="8"/>
    <col width="22" customWidth="1" style="8" min="9" max="9"/>
    <col width="18.42578125" customWidth="1" style="8" min="10" max="10"/>
    <col width="20.5703125" customWidth="1" style="8" min="11" max="11"/>
    <col width="15.42578125" customWidth="1" style="8" min="12" max="12"/>
    <col width="20.140625" customWidth="1" style="8" min="13" max="13"/>
    <col width="7.42578125" bestFit="1" customWidth="1" style="8" min="14" max="14"/>
    <col width="5.5703125" customWidth="1" style="8" min="15" max="17"/>
    <col hidden="1" width="13" customWidth="1" style="8" min="18" max="256"/>
    <col hidden="1" width="5.5703125" customWidth="1" style="8" min="257" max="16384"/>
  </cols>
  <sheetData>
    <row r="1" ht="12.75" customHeight="1"/>
    <row r="2" ht="15" customHeight="1">
      <c r="B2" s="31" t="inlineStr">
        <is>
          <t>Client:</t>
        </is>
      </c>
      <c r="C2" s="205" t="inlineStr">
        <is>
          <t>파타고니아코리아 (주) (Patagonia Korea)</t>
        </is>
      </c>
      <c r="D2" s="32" t="n"/>
      <c r="E2" s="31" t="inlineStr">
        <is>
          <t>Reference:</t>
        </is>
      </c>
      <c r="F2" s="205" t="inlineStr">
        <is>
          <t>JET</t>
        </is>
      </c>
      <c r="G2" s="32" t="n"/>
      <c r="H2" s="32" t="n"/>
      <c r="I2" s="32" t="n"/>
      <c r="J2" s="32" t="n"/>
      <c r="M2" s="33" t="n"/>
      <c r="N2" s="45" t="n"/>
      <c r="O2" s="34" t="n"/>
      <c r="P2" s="35" t="n"/>
    </row>
    <row r="3" ht="15" customHeight="1">
      <c r="B3" s="31" t="inlineStr">
        <is>
          <t>Year end:</t>
        </is>
      </c>
      <c r="C3" s="206" t="inlineStr">
        <is>
          <t>2026-04-30</t>
        </is>
      </c>
      <c r="D3" s="32" t="n"/>
      <c r="E3" s="31" t="inlineStr">
        <is>
          <t>Prepared by:</t>
        </is>
      </c>
      <c r="F3" s="205" t="inlineStr">
        <is>
          <t>HSH</t>
        </is>
      </c>
      <c r="G3" s="32" t="n"/>
      <c r="H3" s="32" t="n"/>
      <c r="I3" s="32" t="n"/>
      <c r="J3" s="32" t="n"/>
      <c r="M3" s="33" t="n"/>
      <c r="N3" s="45" t="n"/>
      <c r="O3" s="34" t="n"/>
      <c r="P3" s="35" t="n"/>
    </row>
    <row r="4" ht="15" customHeight="1">
      <c r="B4" s="31" t="n"/>
      <c r="C4" s="36" t="n"/>
      <c r="D4" s="32" t="n"/>
      <c r="E4" s="31" t="inlineStr">
        <is>
          <t>Date:</t>
        </is>
      </c>
      <c r="F4" s="206" t="inlineStr">
        <is>
          <t>2026-06-15</t>
        </is>
      </c>
      <c r="G4" s="32" t="n"/>
      <c r="H4" s="32" t="n"/>
      <c r="I4" s="32" t="n"/>
      <c r="J4" s="32" t="n"/>
      <c r="M4" s="33" t="n"/>
      <c r="N4" s="45" t="n"/>
      <c r="O4" s="34" t="n"/>
      <c r="P4" s="35" t="n"/>
    </row>
    <row r="5" ht="15" customHeight="1">
      <c r="B5" s="31" t="n"/>
      <c r="C5" s="37" t="n"/>
      <c r="D5" s="32" t="n"/>
      <c r="E5" s="31" t="inlineStr">
        <is>
          <t>Reviewed by:</t>
        </is>
      </c>
      <c r="F5" s="205" t="inlineStr">
        <is>
          <t>LJM</t>
        </is>
      </c>
      <c r="G5" s="32" t="n"/>
      <c r="H5" s="32" t="n"/>
      <c r="I5" s="32" t="n"/>
      <c r="J5" s="32" t="n"/>
      <c r="M5" s="33" t="n"/>
      <c r="N5" s="45" t="n"/>
      <c r="O5" s="34" t="n"/>
      <c r="P5" s="35" t="n"/>
    </row>
    <row r="6" ht="15" customHeight="1">
      <c r="C6" s="34" t="n"/>
      <c r="D6" s="34" t="n"/>
      <c r="E6" s="31" t="inlineStr">
        <is>
          <t>Date:</t>
        </is>
      </c>
      <c r="F6" s="206" t="inlineStr">
        <is>
          <t>2026-06-20</t>
        </is>
      </c>
      <c r="G6" s="34" t="n"/>
      <c r="H6" s="34" t="n"/>
      <c r="I6" s="34" t="n"/>
      <c r="J6" s="34" t="n"/>
      <c r="K6" s="34" t="n"/>
      <c r="L6" s="33" t="n"/>
      <c r="M6" s="33" t="n"/>
      <c r="N6" s="45" t="n"/>
      <c r="O6" s="34" t="n"/>
      <c r="P6" s="35" t="n"/>
    </row>
    <row r="7" ht="12.75" customHeight="1"/>
    <row r="8" ht="23.25" customHeight="1">
      <c r="B8" s="38" t="inlineStr">
        <is>
          <t>Journal Entries Testing</t>
        </is>
      </c>
    </row>
    <row r="9" ht="12.75" customHeight="1">
      <c r="B9" s="30" t="inlineStr">
        <is>
          <t>MAM Tool version March 2025</t>
        </is>
      </c>
    </row>
    <row r="10" ht="12.75" customHeight="1"/>
    <row r="11" ht="23.45" customHeight="1">
      <c r="B11" s="77" t="inlineStr">
        <is>
          <t xml:space="preserve">Please refer to the MAM Application guidance on Journal Entries Testing. 
</t>
        </is>
      </c>
      <c r="C11" s="77" t="n"/>
      <c r="D11" s="77" t="n"/>
      <c r="E11" s="39" t="n"/>
      <c r="F11" s="39" t="n"/>
      <c r="G11" s="39" t="n"/>
      <c r="H11" s="39" t="n"/>
      <c r="I11" s="9" t="n"/>
    </row>
    <row r="12" ht="33.6" customFormat="1" customHeight="1" s="41">
      <c r="A12" s="40" t="n"/>
      <c r="B12" s="42" t="inlineStr">
        <is>
          <t>Objectives</t>
        </is>
      </c>
    </row>
    <row r="13" ht="87" customHeight="1">
      <c r="B13" s="148" t="inlineStr">
        <is>
          <t>In the context of ISA 330§20 and ISA 240 and in order to respond to the risk of management override of controls, to obtain sufficient, appropriate audit evidence over the appropriateness of journal entries in the nominal ledger and other adjustments made in the preparation of the financial statements.
In the context of ISA 240 and in order to specifically respond to the risk of management override of controls, to obtain sufficient appropriate audit evidence that the journal entries and other adjustements made during the year/period under review are appropriate and did not indicate a potential fraud.</t>
        </is>
      </c>
      <c r="K13" s="100" t="n"/>
      <c r="L13" s="100" t="n"/>
    </row>
    <row r="14" ht="33.6" customFormat="1" customHeight="1" s="41">
      <c r="A14" s="40" t="n"/>
      <c r="B14" s="42" t="inlineStr">
        <is>
          <t>Procedures performed + reference</t>
        </is>
      </c>
    </row>
    <row r="15" ht="26.25" customHeight="1">
      <c r="B15" s="29" t="n"/>
      <c r="C15" s="29" t="n"/>
      <c r="D15" s="29" t="n"/>
      <c r="E15" s="29" t="n"/>
      <c r="F15" s="29" t="n"/>
      <c r="G15" s="29" t="n"/>
      <c r="H15" s="29" t="n"/>
      <c r="I15" s="11" t="n"/>
      <c r="J15" s="11" t="n"/>
      <c r="K15" s="101" t="inlineStr">
        <is>
          <t>Reference:</t>
        </is>
      </c>
    </row>
    <row r="16" ht="15" customHeight="1">
      <c r="K16" s="19" t="n"/>
      <c r="N16" s="19" t="n"/>
      <c r="O16" s="19" t="n"/>
      <c r="P16" s="19" t="n"/>
      <c r="Q16" s="19" t="n"/>
    </row>
    <row r="17" ht="26.45" customFormat="1" customHeight="1" s="10">
      <c r="A17" s="7" t="n"/>
      <c r="B17" s="44" t="inlineStr">
        <is>
          <t>STEP 1 - IPE</t>
        </is>
      </c>
      <c r="C17" s="75" t="inlineStr">
        <is>
          <t>Perform procedures to ensure that the population of journal entries and other adjustments is accurate and complete</t>
        </is>
      </c>
      <c r="D17" s="43" t="n"/>
      <c r="E17" s="43" t="n"/>
      <c r="F17" s="43" t="n"/>
      <c r="G17" s="43" t="n"/>
      <c r="H17" s="43" t="n"/>
      <c r="I17" s="43" t="n"/>
      <c r="J17" s="43" t="n"/>
      <c r="K17" s="76" t="inlineStr">
        <is>
          <t>JET - Step 1 '!A1</t>
        </is>
      </c>
      <c r="L17" s="8" t="n"/>
      <c r="N17" s="19" t="n"/>
      <c r="O17" s="19" t="n"/>
      <c r="P17" s="19" t="n"/>
      <c r="Q17" s="19" t="n"/>
    </row>
    <row r="18" ht="14.1" customFormat="1" customHeight="1" s="10">
      <c r="A18" s="7" t="n"/>
      <c r="B18" s="94" t="n"/>
      <c r="C18" s="15" t="n"/>
      <c r="D18" s="15" t="n"/>
      <c r="E18" s="15" t="n"/>
      <c r="F18" s="15" t="n"/>
      <c r="G18" s="15" t="n"/>
      <c r="K18" s="19" t="n"/>
      <c r="L18" s="8" t="n"/>
      <c r="N18" s="19" t="n"/>
      <c r="O18" s="19" t="n"/>
      <c r="P18" s="19" t="n"/>
      <c r="Q18" s="19" t="n"/>
    </row>
    <row r="19" ht="40.7" customHeight="1">
      <c r="B19" s="44" t="inlineStr">
        <is>
          <t>STEP 2 - ISA 330</t>
        </is>
      </c>
      <c r="C19" s="149" t="inlineStr">
        <is>
          <t>a) Determine the period of preparation of the financial statements
b) Select and test the material journal entries and other adjustments made during the course of preparing the financial statements (ISA 330.20.b)</t>
        </is>
      </c>
      <c r="K19" s="76" t="inlineStr">
        <is>
          <t>JET - Step 2 (ISA 330)'!A1</t>
        </is>
      </c>
      <c r="N19" s="19" t="n"/>
      <c r="O19" s="19" t="n"/>
      <c r="P19" s="19" t="n"/>
      <c r="Q19" s="19" t="n"/>
    </row>
    <row r="20" ht="14.1" customFormat="1" customHeight="1" s="10">
      <c r="A20" s="7" t="n"/>
      <c r="B20" s="95" t="n"/>
      <c r="C20" s="15" t="n"/>
      <c r="D20" s="15" t="n"/>
      <c r="E20" s="15" t="n"/>
      <c r="F20" s="15" t="n"/>
      <c r="G20" s="15" t="n"/>
      <c r="H20" s="16" t="n"/>
      <c r="K20" s="19" t="n"/>
      <c r="L20" s="8" t="n"/>
      <c r="N20" s="19" t="n"/>
      <c r="O20" s="19" t="n"/>
      <c r="P20" s="19" t="n"/>
      <c r="Q20" s="19" t="n"/>
    </row>
    <row r="21" ht="105.6" customFormat="1" customHeight="1" s="21">
      <c r="A21" s="7" t="n"/>
      <c r="B21" s="44" t="inlineStr">
        <is>
          <t>STEP 3 - ISA 240</t>
        </is>
      </c>
      <c r="C21" s="149" t="inlineStr">
        <is>
          <t>a) Make inquiries of individuals involved in the financial reporting process about inappropriate or unusual activity relating the processing of journal entries and other adjustments (ISA 240.33.a.i)
b) Assess the risk of a material misstatement due to fraud
c) Determine the 'reporting period'
d) Select and test journal entries and other adjustments made at the end of a reporting period and consider the need to select and test journal entries and other adjustments throughout the period (ISA 240.33.a.ii&amp;iii)</t>
        </is>
      </c>
      <c r="K21" s="76" t="inlineStr">
        <is>
          <t>JET - Step 3 (ISA 240)'!A1</t>
        </is>
      </c>
      <c r="L21" s="8" t="n"/>
      <c r="N21" s="19" t="n"/>
      <c r="O21" s="19" t="n"/>
      <c r="P21" s="19" t="n"/>
      <c r="Q21" s="19" t="n"/>
    </row>
    <row r="22" ht="14.1" customHeight="1">
      <c r="B22" s="14" t="n"/>
      <c r="C22" s="14" t="n"/>
      <c r="D22" s="14" t="n"/>
      <c r="E22" s="14" t="n"/>
      <c r="F22" s="14" t="n"/>
      <c r="G22" s="14" t="n"/>
      <c r="H22" s="14" t="n"/>
    </row>
    <row r="23" ht="14.1" customFormat="1" customHeight="1" s="19">
      <c r="A23" s="28" t="n"/>
      <c r="B23" s="60" t="n"/>
      <c r="C23" s="60" t="n"/>
      <c r="D23" s="61" t="n"/>
      <c r="E23" s="61" t="n"/>
      <c r="F23" s="60" t="n"/>
      <c r="G23" s="60" t="n"/>
      <c r="H23" s="60" t="n"/>
      <c r="I23" s="62" t="n"/>
      <c r="J23" s="62" t="n"/>
      <c r="K23" s="62" t="n"/>
      <c r="L23" s="62" t="n"/>
    </row>
    <row r="24" ht="14.1" customHeight="1">
      <c r="A24" s="13" t="n"/>
      <c r="N24" s="19" t="n"/>
      <c r="O24" s="19" t="n"/>
    </row>
    <row r="25" ht="33.6" customFormat="1" customHeight="1" s="41">
      <c r="A25" s="40" t="n"/>
      <c r="B25" s="42" t="inlineStr">
        <is>
          <t>Conclusion</t>
        </is>
      </c>
    </row>
    <row r="26" ht="24" customHeight="1">
      <c r="A26" s="13" t="n"/>
    </row>
    <row r="27" ht="60" customHeight="1">
      <c r="A27" s="13" t="n"/>
      <c r="B27" s="207" t="inlineStr">
        <is>
          <t>Step 1~3 수행 결과, 경영진의 통제 무력화 또는 부정을 시사하는 부적절하거나 비정상적인 분개는 식별되지 않았으며, 회계원장(GL) 모집단의 완전성·정확성이 확인됨. 따라서 분개테스트의 목적이 달성되었음. (Based on the work performed in Steps 1-3, no inappropriate or unusual journal entries indicative of management override of controls or fraud were identified; the objective is met.)</t>
        </is>
      </c>
      <c r="C27" s="208" t="n"/>
      <c r="D27" s="208" t="n"/>
      <c r="E27" s="208" t="n"/>
      <c r="F27" s="208" t="n"/>
      <c r="G27" s="208" t="n"/>
      <c r="H27" s="208" t="n"/>
      <c r="I27" s="208" t="n"/>
      <c r="J27" s="209" t="n"/>
      <c r="K27" s="104" t="inlineStr">
        <is>
          <t>TO BE CHANGED BY USER IF NECESSARY.</t>
        </is>
      </c>
    </row>
    <row r="28" hidden="1" ht="12.75" customHeight="1">
      <c r="A28" s="13" t="n"/>
    </row>
    <row r="29" ht="12.6" customHeight="1"/>
    <row r="30" ht="12.6" customHeight="1"/>
    <row r="31" ht="12.6" customHeight="1"/>
    <row r="32" ht="12.6" customHeight="1"/>
    <row r="33" ht="12.6" customHeight="1"/>
    <row r="34" ht="12.6" customHeight="1"/>
    <row r="35" ht="12.6" customHeight="1"/>
    <row r="36" ht="12.6" customHeight="1"/>
    <row r="37" ht="12.6" customHeight="1"/>
    <row r="38" ht="12.6" customHeight="1"/>
    <row r="39" ht="12.6" customHeight="1"/>
    <row r="40" ht="7.5" customHeight="1"/>
    <row r="44" hidden="1" ht="12" customHeight="1"/>
    <row r="52" hidden="1" ht="12" customHeight="1"/>
    <row r="53" hidden="1" ht="12" customHeight="1"/>
    <row r="55" hidden="1" ht="12" customHeight="1"/>
    <row r="80" hidden="1" ht="12" customHeight="1"/>
    <row r="89" hidden="1" ht="12" customHeight="1"/>
    <row r="90" hidden="1" ht="12" customHeight="1"/>
    <row r="91" hidden="1" ht="12" customHeight="1"/>
    <row r="92" hidden="1" ht="12" customHeight="1"/>
    <row r="93" hidden="1" ht="4.5" customHeight="1"/>
    <row r="94" hidden="1" ht="12" customHeight="1"/>
    <row r="102" hidden="1" ht="12" customHeight="1"/>
    <row r="111" hidden="1" ht="12" customHeight="1"/>
    <row r="112" hidden="1" ht="12" customHeight="1"/>
    <row r="113" hidden="1" ht="12" customHeight="1"/>
    <row r="116" hidden="1" ht="12" customHeight="1"/>
    <row r="120" hidden="1" ht="12" customHeight="1"/>
    <row r="122" hidden="1" ht="12" customHeight="1"/>
    <row r="126" hidden="1" ht="12" customHeight="1"/>
    <row r="131" hidden="1" ht="12" customHeight="1"/>
    <row r="132" hidden="1" ht="12" customHeight="1"/>
    <row r="134" hidden="1" ht="12" customHeight="1"/>
    <row r="137" hidden="1" ht="12" customHeight="1"/>
    <row r="138" hidden="1" ht="3.75" customHeight="1"/>
    <row r="141" hidden="1" ht="12" customHeight="1"/>
    <row r="154" hidden="1" ht="12" customHeight="1"/>
    <row r="161" hidden="1" ht="12" customHeight="1"/>
    <row r="167" hidden="1" ht="12" customHeight="1"/>
    <row r="173" hidden="1" ht="12" customHeight="1"/>
    <row r="174" hidden="1" ht="3.75" customHeight="1"/>
    <row r="183" hidden="1" ht="12" customHeight="1"/>
    <row r="195" hidden="1" ht="12" customHeight="1"/>
    <row r="202" hidden="1" ht="12" customHeight="1"/>
  </sheetData>
  <mergeCells count="4">
    <mergeCell ref="B13:J13"/>
    <mergeCell ref="C19:J19"/>
    <mergeCell ref="B27:J27"/>
    <mergeCell ref="C21:J21"/>
  </mergeCells>
  <conditionalFormatting sqref="B27">
    <cfRule type="containsBlanks" priority="4" dxfId="8">
      <formula>LEN(TRIM(B27))=0</formula>
    </cfRule>
  </conditionalFormatting>
  <conditionalFormatting sqref="C2:C3">
    <cfRule type="containsBlanks" priority="2" dxfId="8">
      <formula>LEN(TRIM(C2))=0</formula>
    </cfRule>
  </conditionalFormatting>
  <conditionalFormatting sqref="F2:F6">
    <cfRule type="containsBlanks" priority="1" dxfId="8">
      <formula>LEN(TRIM(F2))=0</formula>
    </cfRule>
  </conditionalFormatting>
  <hyperlinks>
    <hyperlink ref="K17" location="'JET - Step 1 '!A1" display="'JET - Step 1 '!A1"/>
    <hyperlink ref="K19" location="'JET - Step 2 (ISA 330)'!A1" display="'JET - Step 2 (ISA 330)'!A1"/>
    <hyperlink ref="K21" location="'JET - Step 3 (ISA 240)'!A1" display="'JET - Step 3 (ISA 240)'!A1"/>
  </hyperlinks>
  <pageMargins left="0.7480314960629921" right="0.7480314960629921" top="0.984251968503937" bottom="0.984251968503937" header="0.5118110236220472" footer="0.5118110236220472"/>
  <pageSetup orientation="landscape" paperSize="9" fitToHeight="0"/>
</worksheet>
</file>

<file path=xl/worksheets/sheet6.xml><?xml version="1.0" encoding="utf-8"?>
<worksheet xmlns="http://schemas.openxmlformats.org/spreadsheetml/2006/main">
  <sheetPr codeName="Blad6">
    <tabColor rgb="FF0072CE"/>
    <outlinePr summaryBelow="1" summaryRight="1"/>
    <pageSetUpPr fitToPage="1"/>
  </sheetPr>
  <dimension ref="A2:Q18"/>
  <sheetViews>
    <sheetView showGridLines="0" zoomScale="90" zoomScaleNormal="90" zoomScaleSheetLayoutView="90" workbookViewId="0">
      <selection activeCell="C2" sqref="C2"/>
    </sheetView>
  </sheetViews>
  <sheetFormatPr baseColWidth="8" defaultColWidth="0" defaultRowHeight="12.75" zeroHeight="1"/>
  <cols>
    <col width="7.42578125" customWidth="1" style="7" min="1" max="1"/>
    <col width="27.5703125" customWidth="1" style="8" min="2" max="2"/>
    <col width="34.140625" customWidth="1" style="8" min="3" max="3"/>
    <col width="30.42578125" customWidth="1" style="8" min="4" max="4"/>
    <col width="30.5703125" customWidth="1" style="8" min="5" max="5"/>
    <col width="19.28515625" customWidth="1" style="8" min="6" max="6"/>
    <col width="21.42578125" customWidth="1" style="8" min="7" max="7"/>
    <col width="25.140625" customWidth="1" style="8" min="8" max="8"/>
    <col width="22" customWidth="1" style="8" min="9" max="9"/>
    <col width="18.42578125" customWidth="1" style="8" min="10" max="10"/>
    <col width="15.85546875" customWidth="1" style="8" min="11" max="11"/>
    <col width="19.42578125" customWidth="1" style="8" min="12" max="12"/>
    <col width="23.85546875" customWidth="1" style="8" min="13" max="13"/>
    <col width="7.42578125" bestFit="1" customWidth="1" style="8" min="14" max="14"/>
    <col width="5.5703125" customWidth="1" style="8" min="15" max="17"/>
    <col hidden="1" width="13" customWidth="1" style="8" min="18" max="256"/>
    <col hidden="1" width="5.5703125" customWidth="1" style="8" min="257" max="16384"/>
  </cols>
  <sheetData>
    <row r="2" ht="15" customHeight="1">
      <c r="B2" s="31" t="inlineStr">
        <is>
          <t>Client:</t>
        </is>
      </c>
      <c r="C2" s="106">
        <f>'JET - overview'!C2</f>
        <v/>
      </c>
      <c r="D2" s="32" t="n"/>
      <c r="E2" s="31" t="inlineStr">
        <is>
          <t>Reference:</t>
        </is>
      </c>
      <c r="F2" s="106">
        <f>'JET - overview'!F2</f>
        <v/>
      </c>
      <c r="G2" s="32" t="n"/>
      <c r="H2" s="32" t="n"/>
      <c r="I2" s="32" t="n"/>
      <c r="J2" s="32" t="n"/>
      <c r="M2" s="33" t="n"/>
      <c r="N2" s="45" t="n"/>
      <c r="O2" s="34" t="n"/>
      <c r="P2" s="35" t="n"/>
    </row>
    <row r="3" ht="15" customHeight="1">
      <c r="B3" s="31" t="inlineStr">
        <is>
          <t>Year end:</t>
        </is>
      </c>
      <c r="C3" s="137">
        <f>'JET - overview'!C3</f>
        <v/>
      </c>
      <c r="D3" s="32" t="n"/>
      <c r="E3" s="31" t="inlineStr">
        <is>
          <t>Prepared by:</t>
        </is>
      </c>
      <c r="F3" s="106">
        <f>'JET - overview'!F3</f>
        <v/>
      </c>
      <c r="G3" s="32" t="n"/>
      <c r="H3" s="32" t="n"/>
      <c r="I3" s="32" t="n"/>
      <c r="J3" s="32" t="n"/>
      <c r="M3" s="33" t="n"/>
      <c r="N3" s="45" t="n"/>
      <c r="O3" s="34" t="n"/>
      <c r="P3" s="35" t="n"/>
    </row>
    <row r="4" ht="15" customHeight="1">
      <c r="B4" s="31" t="n"/>
      <c r="C4" s="36" t="n"/>
      <c r="D4" s="32" t="n"/>
      <c r="E4" s="31" t="inlineStr">
        <is>
          <t>Date:</t>
        </is>
      </c>
      <c r="F4" s="137">
        <f>'JET - overview'!F4</f>
        <v/>
      </c>
      <c r="G4" s="32" t="n"/>
      <c r="H4" s="32" t="n"/>
      <c r="I4" s="32" t="n"/>
      <c r="J4" s="32" t="n"/>
      <c r="M4" s="33" t="n"/>
      <c r="N4" s="45" t="n"/>
      <c r="O4" s="34" t="n"/>
      <c r="P4" s="35" t="n"/>
    </row>
    <row r="5" ht="15" customHeight="1">
      <c r="B5" s="31" t="n"/>
      <c r="C5" s="37" t="n"/>
      <c r="D5" s="32" t="n"/>
      <c r="E5" s="31" t="inlineStr">
        <is>
          <t>Reviewed by:</t>
        </is>
      </c>
      <c r="F5" s="106">
        <f>'JET - overview'!F5</f>
        <v/>
      </c>
      <c r="G5" s="32" t="n"/>
      <c r="H5" s="32" t="n"/>
      <c r="I5" s="32" t="n"/>
      <c r="J5" s="32" t="n"/>
      <c r="M5" s="33" t="n"/>
      <c r="N5" s="45" t="n"/>
      <c r="O5" s="34" t="n"/>
      <c r="P5" s="35" t="n"/>
    </row>
    <row r="6" ht="15" customHeight="1">
      <c r="C6" s="34" t="n"/>
      <c r="D6" s="34" t="n"/>
      <c r="E6" s="31" t="inlineStr">
        <is>
          <t>Date:</t>
        </is>
      </c>
      <c r="F6" s="137">
        <f>'JET - overview'!F6</f>
        <v/>
      </c>
      <c r="G6" s="34" t="n"/>
      <c r="H6" s="34" t="n"/>
      <c r="I6" s="34" t="n"/>
      <c r="J6" s="34" t="n"/>
      <c r="K6" s="34" t="n"/>
      <c r="L6" s="33" t="n"/>
      <c r="M6" s="33" t="n"/>
      <c r="N6" s="45" t="n"/>
      <c r="O6" s="34" t="n"/>
      <c r="P6" s="35" t="n"/>
    </row>
    <row r="8" ht="33" customHeight="1">
      <c r="B8" s="38" t="n"/>
    </row>
    <row r="9" ht="15" customHeight="1"/>
    <row r="10" ht="37.7" customFormat="1" customHeight="1" s="10">
      <c r="A10" s="43" t="n"/>
      <c r="B10" s="43" t="inlineStr">
        <is>
          <t>STEP 1: Perform procedures to ensure that the population of journal entries and other adjustments is accurate and complete</t>
        </is>
      </c>
      <c r="C10" s="43" t="n"/>
      <c r="D10" s="43" t="n"/>
      <c r="E10" s="43" t="n"/>
      <c r="F10" s="43" t="n"/>
      <c r="G10" s="43" t="n"/>
      <c r="H10" s="43" t="n"/>
      <c r="I10" s="43" t="n"/>
      <c r="J10" s="43" t="n"/>
      <c r="K10" s="43" t="n"/>
      <c r="L10" s="43" t="n"/>
      <c r="M10" s="43" t="n"/>
      <c r="N10" s="43" t="n"/>
      <c r="O10" s="43" t="n"/>
      <c r="P10" s="44" t="n"/>
      <c r="Q10" s="43" t="n"/>
    </row>
    <row r="11" ht="14.1" customFormat="1" customHeight="1" s="10">
      <c r="A11" s="12" t="n"/>
      <c r="C11" s="15" t="n"/>
      <c r="D11" s="15" t="n"/>
      <c r="E11" s="15" t="n"/>
      <c r="F11" s="15" t="n"/>
      <c r="G11" s="15" t="n"/>
    </row>
    <row r="12" ht="21" customFormat="1" customHeight="1" s="66">
      <c r="A12" s="63" t="n"/>
      <c r="B12" s="64" t="inlineStr">
        <is>
          <t>Accuracy and completeness of the listing of journal entries and adjustments ("JE listing")</t>
        </is>
      </c>
      <c r="C12" s="65" t="n"/>
      <c r="D12" s="65" t="n"/>
      <c r="E12" s="65" t="n"/>
      <c r="F12" s="65" t="n"/>
      <c r="G12" s="65" t="n"/>
    </row>
    <row r="13" ht="14.1" customFormat="1" customHeight="1" s="10">
      <c r="A13" s="7" t="n"/>
      <c r="B13" s="13" t="n"/>
      <c r="C13" s="15" t="n"/>
      <c r="D13" s="15" t="n"/>
      <c r="E13" s="15" t="n"/>
      <c r="F13" s="15" t="n"/>
      <c r="G13" s="15" t="n"/>
    </row>
    <row r="14" ht="14.1" customFormat="1" customHeight="1" s="21">
      <c r="A14" s="18" t="n"/>
      <c r="B14" s="53" t="inlineStr">
        <is>
          <t>We have documented the work on ensuring accuracy and completeness of the JE listing in the MAM Tool IPE scoping and working paper</t>
        </is>
      </c>
      <c r="C14" s="20" t="n"/>
      <c r="D14" s="20" t="n"/>
      <c r="E14" s="20" t="n"/>
      <c r="F14" s="20" t="n"/>
      <c r="G14" s="105" t="n"/>
      <c r="H14" s="210" t="inlineStr">
        <is>
          <t>GL 전체 다운로드(회계원장) / IPE scoping &amp; 본 조서</t>
        </is>
      </c>
      <c r="I14" s="20" t="n"/>
      <c r="J14" s="20" t="n"/>
      <c r="K14" s="20" t="n"/>
    </row>
    <row r="15" ht="14.1" customFormat="1" customHeight="1" s="21">
      <c r="A15" s="18" t="n"/>
      <c r="B15" s="8" t="n"/>
      <c r="C15" s="20" t="n"/>
      <c r="D15" s="20" t="n"/>
      <c r="E15" s="20" t="n"/>
      <c r="F15" s="20" t="n"/>
      <c r="G15" s="20" t="n"/>
      <c r="H15" s="20" t="n"/>
      <c r="I15" s="20" t="n"/>
      <c r="J15" s="20" t="n"/>
      <c r="K15" s="20" t="n"/>
    </row>
    <row r="16" customFormat="1" s="10">
      <c r="A16" s="12" t="n"/>
      <c r="B16" s="211" t="inlineStr">
        <is>
          <t>[IPE - JE listing의 완전성 및 정확성]</t>
        </is>
      </c>
      <c r="C16" s="15" t="n"/>
      <c r="D16" s="15" t="n"/>
      <c r="E16" s="15" t="n"/>
      <c r="F16" s="15" t="n"/>
      <c r="G16" s="15" t="n"/>
      <c r="H16" s="16" t="n"/>
    </row>
    <row r="17" ht="120" customHeight="1">
      <c r="A17" s="13" t="n"/>
      <c r="B17" s="212" t="inlineStr">
        <is>
          <t>회사의 회계시스템에서 당기 회계연도(FY2026, 2025-05-01 ~ 2026-04-30) 전체 회계원장(General Ledger)을 계정별 라인단위로 입수함. 입수한 모집단의 완전성·정확성을 다음과 같이 확인함:
 (1) 차변 합계 = 대변 합계 = 730,340,479,150원으로 대차 일치(차이 0) → 복식부기 무결성 확인.
 (2) 총 분개라인 98,977건, 계정과목 187개, 회계기간 2025-05-01 ~ 2026-04-30 (12개월) 전 기간 연속 계상 확인.
 (3) 기말 잔액을 시산표(TB) 및 재무제표(FS)와 대사하여 일치함을 확인함.
 (4) GL 필드: 계정코드·계정명·날짜·적요·거래처명·사업자번호·차변·대변·잔액. 단, GL에는 전표번호(booking reference), 작성자/승인자/검토자/전기자(GL posting user) 및 시스템 감사증적(audit trail) 정보가 포함되어 있지 않음. 해당 항목이 필요한 경우(예외사항 발견 시) ERP 시스템 감사증적을 통해 별도 입수하여야 함.</t>
        </is>
      </c>
    </row>
    <row r="18">
      <c r="A18" s="13" t="n"/>
    </row>
    <row r="29" ht="6" customHeight="1"/>
    <row r="67" hidden="1" ht="11.25" customHeight="1"/>
    <row r="110" hidden="1" ht="6.75" customHeight="1"/>
    <row r="144" hidden="1" ht="12" customHeight="1"/>
    <row r="182" hidden="1" ht="4.5" customHeight="1"/>
  </sheetData>
  <conditionalFormatting sqref="C2:C3">
    <cfRule type="containsBlanks" priority="2" dxfId="8">
      <formula>LEN(TRIM(C2))=0</formula>
    </cfRule>
  </conditionalFormatting>
  <conditionalFormatting sqref="F2:F6">
    <cfRule type="containsBlanks" priority="1" dxfId="8">
      <formula>LEN(TRIM(F2))=0</formula>
    </cfRule>
  </conditionalFormatting>
  <conditionalFormatting sqref="G14">
    <cfRule type="containsBlanks" priority="3" dxfId="8">
      <formula>LEN(TRIM(G14))=0</formula>
    </cfRule>
  </conditionalFormatting>
  <pageMargins left="0.7480314960629921" right="0.7480314960629921" top="0.984251968503937" bottom="0.984251968503937" header="0.5118110236220472" footer="0.5118110236220472"/>
  <pageSetup orientation="landscape" paperSize="9" fitToHeight="0"/>
</worksheet>
</file>

<file path=xl/worksheets/sheet7.xml><?xml version="1.0" encoding="utf-8"?>
<worksheet xmlns="http://schemas.openxmlformats.org/spreadsheetml/2006/main">
  <sheetPr codeName="Blad11">
    <tabColor rgb="FF0072CE"/>
    <outlinePr summaryBelow="1" summaryRight="1"/>
    <pageSetUpPr fitToPage="1"/>
  </sheetPr>
  <dimension ref="A2:R67"/>
  <sheetViews>
    <sheetView showGridLines="0" zoomScale="90" zoomScaleNormal="90" zoomScaleSheetLayoutView="90" workbookViewId="0">
      <selection activeCell="C2" sqref="C2"/>
    </sheetView>
  </sheetViews>
  <sheetFormatPr baseColWidth="8" defaultColWidth="0" defaultRowHeight="12.6" customHeight="1" zeroHeight="1"/>
  <cols>
    <col width="7.42578125" customWidth="1" style="7" min="1" max="1"/>
    <col width="38.42578125" customWidth="1" style="8" min="2" max="2"/>
    <col width="18.140625" customWidth="1" style="8" min="3" max="3"/>
    <col width="41.5703125" customWidth="1" style="8" min="4" max="4"/>
    <col width="15.85546875" customWidth="1" style="8" min="5" max="5"/>
    <col width="18.85546875" customWidth="1" style="8" min="6" max="6"/>
    <col width="16.5703125" customWidth="1" style="8" min="7" max="7"/>
    <col width="29.42578125" customWidth="1" style="8" min="8" max="8"/>
    <col width="22" customWidth="1" style="8" min="9" max="9"/>
    <col width="18.42578125" customWidth="1" style="8" min="10" max="10"/>
    <col width="25.140625" customWidth="1" style="8" min="11" max="11"/>
    <col width="30.42578125" customWidth="1" style="8" min="12" max="12"/>
    <col width="28.85546875" customWidth="1" style="8" min="13" max="13"/>
    <col width="54.140625" customWidth="1" style="8" min="14" max="14"/>
    <col width="11.140625" customWidth="1" style="8" min="15" max="15"/>
    <col width="5.5703125" customWidth="1" style="8" min="16" max="18"/>
    <col hidden="1" width="13" customWidth="1" style="8" min="19" max="257"/>
    <col hidden="1" width="5.5703125" customWidth="1" style="8" min="258" max="16384"/>
  </cols>
  <sheetData>
    <row r="1" ht="12.75" customHeight="1"/>
    <row r="2" ht="15" customHeight="1">
      <c r="B2" s="31" t="inlineStr">
        <is>
          <t>Client:</t>
        </is>
      </c>
      <c r="C2" s="106">
        <f>'JET - overview'!C2</f>
        <v/>
      </c>
      <c r="D2" s="32" t="n"/>
      <c r="E2" s="31" t="inlineStr">
        <is>
          <t>Reference:</t>
        </is>
      </c>
      <c r="F2" s="106">
        <f>'JET - overview'!F2</f>
        <v/>
      </c>
      <c r="G2" s="32" t="n"/>
      <c r="H2" s="32" t="n"/>
      <c r="I2" s="32" t="n"/>
      <c r="J2" s="32" t="n"/>
      <c r="N2" s="33" t="n"/>
      <c r="O2" s="45" t="n"/>
      <c r="P2" s="34" t="n"/>
      <c r="Q2" s="35" t="n"/>
    </row>
    <row r="3" ht="15" customHeight="1">
      <c r="B3" s="31" t="inlineStr">
        <is>
          <t>Year end:</t>
        </is>
      </c>
      <c r="C3" s="137">
        <f>'JET - overview'!C3</f>
        <v/>
      </c>
      <c r="D3" s="32" t="n"/>
      <c r="E3" s="31" t="inlineStr">
        <is>
          <t>Prepared by:</t>
        </is>
      </c>
      <c r="F3" s="106">
        <f>'JET - overview'!F3</f>
        <v/>
      </c>
      <c r="G3" s="32" t="n"/>
      <c r="H3" s="32" t="n"/>
      <c r="I3" s="32" t="n"/>
      <c r="J3" s="32" t="n"/>
      <c r="N3" s="33" t="n"/>
      <c r="O3" s="45" t="n"/>
      <c r="P3" s="34" t="n"/>
      <c r="Q3" s="35" t="n"/>
    </row>
    <row r="4" ht="15" customHeight="1">
      <c r="B4" s="31" t="n"/>
      <c r="C4" s="36" t="n"/>
      <c r="D4" s="32" t="n"/>
      <c r="E4" s="31" t="inlineStr">
        <is>
          <t>Date:</t>
        </is>
      </c>
      <c r="F4" s="137">
        <f>'JET - overview'!F4</f>
        <v/>
      </c>
      <c r="G4" s="32" t="n"/>
      <c r="H4" s="32" t="n"/>
      <c r="I4" s="32" t="n"/>
      <c r="J4" s="32" t="n"/>
      <c r="N4" s="33" t="n"/>
      <c r="O4" s="45" t="n"/>
      <c r="P4" s="34" t="n"/>
      <c r="Q4" s="35" t="n"/>
    </row>
    <row r="5" ht="15" customHeight="1">
      <c r="B5" s="31" t="n"/>
      <c r="C5" s="37" t="n"/>
      <c r="D5" s="32" t="n"/>
      <c r="E5" s="31" t="inlineStr">
        <is>
          <t>Reviewed by:</t>
        </is>
      </c>
      <c r="F5" s="106">
        <f>'JET - overview'!F5</f>
        <v/>
      </c>
      <c r="G5" s="32" t="n"/>
      <c r="H5" s="32" t="n"/>
      <c r="I5" s="32" t="n"/>
      <c r="J5" s="32" t="n"/>
      <c r="N5" s="33" t="n"/>
      <c r="O5" s="45" t="n"/>
      <c r="P5" s="34" t="n"/>
      <c r="Q5" s="35" t="n"/>
    </row>
    <row r="6" ht="15" customHeight="1">
      <c r="C6" s="34" t="n"/>
      <c r="D6" s="34" t="n"/>
      <c r="E6" s="31" t="inlineStr">
        <is>
          <t>Date:</t>
        </is>
      </c>
      <c r="F6" s="137">
        <f>'JET - overview'!F6</f>
        <v/>
      </c>
      <c r="G6" s="34" t="n"/>
      <c r="H6" s="34" t="n"/>
      <c r="I6" s="34" t="n"/>
      <c r="J6" s="34" t="n"/>
      <c r="K6" s="34" t="n"/>
      <c r="L6" s="33" t="n"/>
      <c r="M6" s="33" t="n"/>
      <c r="N6" s="33" t="n"/>
      <c r="O6" s="45" t="n"/>
      <c r="P6" s="34" t="n"/>
      <c r="Q6" s="35" t="n"/>
    </row>
    <row r="7" ht="12.75" customHeight="1"/>
    <row r="8" ht="23.25" customHeight="1">
      <c r="B8" s="38" t="n"/>
    </row>
    <row r="9" ht="58.7" customHeight="1">
      <c r="A9" s="43" t="n"/>
      <c r="B9" s="159" t="inlineStr">
        <is>
          <t>STEP 2:
a) Determine the period of preparation of the financial statements
b) Select and test the material journal entries and other adjustments made during the course of preparing the financial statements (ISA 330.20.b)</t>
        </is>
      </c>
      <c r="O9" s="43" t="n"/>
      <c r="P9" s="43" t="n"/>
      <c r="Q9" s="44" t="n"/>
      <c r="R9" s="43" t="n"/>
    </row>
    <row r="10" ht="14.1" customFormat="1" customHeight="1" s="10">
      <c r="A10" s="12" t="n"/>
      <c r="B10" s="15" t="n"/>
      <c r="C10" s="15" t="n"/>
      <c r="D10" s="15" t="n"/>
      <c r="E10" s="15" t="n"/>
      <c r="F10" s="15" t="n"/>
      <c r="G10" s="15" t="n"/>
      <c r="H10" s="16" t="n"/>
    </row>
    <row r="11" ht="21" customFormat="1" customHeight="1" s="66">
      <c r="A11" s="63" t="n"/>
      <c r="B11" s="64" t="inlineStr">
        <is>
          <t>Selection criteria / Audit procedures</t>
        </is>
      </c>
      <c r="C11" s="65" t="n"/>
      <c r="D11" s="65" t="n"/>
      <c r="E11" s="65" t="n"/>
      <c r="F11" s="65" t="n"/>
      <c r="G11" s="65" t="n"/>
    </row>
    <row r="12" ht="14.1" customFormat="1" customHeight="1" s="10">
      <c r="A12" s="12" t="n"/>
      <c r="B12" s="15" t="n"/>
      <c r="C12" s="15" t="n"/>
      <c r="D12" s="15" t="n"/>
      <c r="E12" s="15" t="n"/>
      <c r="F12" s="15" t="n"/>
      <c r="G12" s="15" t="n"/>
      <c r="H12" s="16" t="n"/>
    </row>
    <row r="13" ht="15.75" customFormat="1" customHeight="1" s="21">
      <c r="A13" s="58" t="inlineStr">
        <is>
          <t>2a.</t>
        </is>
      </c>
      <c r="B13" s="52" t="inlineStr">
        <is>
          <t>We determined the period of preparation of the financial statements</t>
        </is>
      </c>
      <c r="C13" s="24" t="n"/>
      <c r="D13" s="24" t="n"/>
      <c r="E13" s="24" t="n"/>
      <c r="F13" s="24" t="n"/>
      <c r="G13" s="24" t="n"/>
      <c r="H13" s="23" t="n"/>
    </row>
    <row r="14" ht="15.75" customFormat="1" customHeight="1" s="21">
      <c r="A14" s="49" t="n"/>
      <c r="B14" s="79" t="n"/>
      <c r="C14" s="57" t="n"/>
      <c r="D14" s="78" t="n"/>
      <c r="E14" s="57" t="n"/>
      <c r="F14" s="57" t="n"/>
      <c r="G14" s="57" t="n"/>
      <c r="H14" s="56" t="n"/>
    </row>
    <row r="15" ht="21.6" customFormat="1" customHeight="1" s="21">
      <c r="A15" s="22" t="n"/>
      <c r="B15" s="52" t="inlineStr">
        <is>
          <t>(i) Preparing the financial statements</t>
        </is>
      </c>
      <c r="C15" s="24" t="n"/>
      <c r="D15" s="24" t="n"/>
      <c r="E15" s="24" t="n"/>
      <c r="F15" s="24" t="n"/>
      <c r="G15" s="24" t="n"/>
      <c r="H15" s="23" t="n"/>
    </row>
    <row r="16" ht="14.1" customFormat="1" customHeight="1" s="21">
      <c r="A16" s="22" t="n"/>
      <c r="B16" s="54" t="inlineStr">
        <is>
          <t>Start date</t>
        </is>
      </c>
      <c r="C16" s="213" t="inlineStr">
        <is>
          <t>2025-05-01</t>
        </is>
      </c>
      <c r="D16" s="109" t="n"/>
      <c r="E16" s="24" t="n"/>
      <c r="F16" s="24" t="n"/>
      <c r="G16" s="24" t="n"/>
      <c r="H16" s="23" t="n"/>
    </row>
    <row r="17" ht="14.1" customFormat="1" customHeight="1" s="21">
      <c r="A17" s="22" t="n"/>
      <c r="B17" s="54" t="inlineStr">
        <is>
          <t>End date</t>
        </is>
      </c>
      <c r="C17" s="213" t="inlineStr">
        <is>
          <t>2026-04-30</t>
        </is>
      </c>
      <c r="D17" s="108" t="n"/>
      <c r="E17" s="24" t="n"/>
      <c r="F17" s="24" t="n"/>
      <c r="G17" s="24" t="n"/>
      <c r="H17" s="23" t="n"/>
    </row>
    <row r="18" ht="14.1" customFormat="1" customHeight="1" s="21">
      <c r="A18" s="22" t="n"/>
      <c r="B18" s="55" t="n"/>
      <c r="C18" s="24" t="n"/>
      <c r="D18" s="50" t="n"/>
      <c r="E18" s="24" t="n"/>
      <c r="F18" s="24" t="n"/>
      <c r="G18" s="24" t="n"/>
      <c r="H18" s="23" t="n"/>
    </row>
    <row r="19" ht="14.1" customFormat="1" customHeight="1" s="21">
      <c r="A19" s="22" t="n"/>
      <c r="B19" s="51" t="n"/>
      <c r="C19" s="24" t="n"/>
      <c r="D19" s="24" t="n"/>
      <c r="E19" s="24" t="n"/>
      <c r="F19" s="24" t="n"/>
      <c r="G19" s="24" t="n"/>
      <c r="H19" s="23" t="n"/>
    </row>
    <row r="20" ht="14.1" customFormat="1" customHeight="1" s="21">
      <c r="A20" s="22" t="n"/>
      <c r="B20" s="51" t="n"/>
      <c r="C20" s="24" t="n"/>
      <c r="D20" s="24" t="n"/>
      <c r="E20" s="24" t="n"/>
      <c r="F20" s="24" t="n"/>
      <c r="G20" s="24" t="n"/>
      <c r="H20" s="23" t="n"/>
    </row>
    <row r="21" ht="15" customFormat="1" customHeight="1" s="21">
      <c r="A21" s="22" t="n"/>
      <c r="B21" s="158" t="inlineStr">
        <is>
          <t>(ii) Define the type of entries that are "journal entries / other adjustments made during the course of preparing the financial statements"</t>
        </is>
      </c>
      <c r="C21" s="214" t="n"/>
      <c r="D21" s="214" t="n"/>
      <c r="E21" s="214" t="n"/>
      <c r="F21" s="214" t="n"/>
      <c r="G21" s="214" t="n"/>
      <c r="H21" s="214" t="n"/>
    </row>
    <row r="22" ht="12.75" customFormat="1" customHeight="1" s="21">
      <c r="A22" s="22" t="n"/>
      <c r="B22" s="215" t="inlineStr">
        <is>
          <t>회사는 월 단위(월말) 결산을 수행하며, 재무제표 작성과정에서 계상되는 분개('journal entries / other adjustments')에는 다음이 포함됨:
 ① 월별 정기 결산분개(감가상각, 각종 충당금 설정, 본사 Franchise agreement에 따른 월별 VFF 정산 등)
 ② 기말(2026-04-30자) 결산·재분류 분개
 ③ 감사조정분개(FY26 감사조정사항: 계정 재분류 등)
GL에는 전표번호가 별도 부여되어 있지 않아 분개는 계정별 라인단위로 식별하였으며, 적요·계정·시점·금액을 근거로 유의적 분개를 선별함.</t>
        </is>
      </c>
      <c r="C22" s="216" t="n"/>
      <c r="D22" s="216" t="n"/>
      <c r="E22" s="216" t="n"/>
      <c r="F22" s="216" t="n"/>
      <c r="G22" s="216" t="n"/>
      <c r="H22" s="217" t="n"/>
    </row>
    <row r="23" ht="14.1" customFormat="1" customHeight="1" s="21">
      <c r="A23" s="22" t="n"/>
      <c r="B23" s="218" t="n"/>
      <c r="C23" s="214" t="n"/>
      <c r="D23" s="214" t="n"/>
      <c r="E23" s="214" t="n"/>
      <c r="F23" s="214" t="n"/>
      <c r="G23" s="214" t="n"/>
      <c r="H23" s="219" t="n"/>
    </row>
    <row r="24" ht="14.1" customFormat="1" customHeight="1" s="21">
      <c r="A24" s="22" t="n"/>
      <c r="B24" s="218" t="n"/>
      <c r="C24" s="214" t="n"/>
      <c r="D24" s="214" t="n"/>
      <c r="E24" s="214" t="n"/>
      <c r="F24" s="214" t="n"/>
      <c r="G24" s="214" t="n"/>
      <c r="H24" s="219" t="n"/>
    </row>
    <row r="25" ht="14.1" customFormat="1" customHeight="1" s="21">
      <c r="A25" s="22" t="n"/>
      <c r="B25" s="218" t="n"/>
      <c r="C25" s="214" t="n"/>
      <c r="D25" s="214" t="n"/>
      <c r="E25" s="214" t="n"/>
      <c r="F25" s="214" t="n"/>
      <c r="G25" s="214" t="n"/>
      <c r="H25" s="219" t="n"/>
    </row>
    <row r="26" ht="14.1" customFormat="1" customHeight="1" s="21">
      <c r="A26" s="22" t="n"/>
      <c r="B26" s="218" t="n"/>
      <c r="C26" s="214" t="n"/>
      <c r="D26" s="214" t="n"/>
      <c r="E26" s="214" t="n"/>
      <c r="F26" s="214" t="n"/>
      <c r="G26" s="214" t="n"/>
      <c r="H26" s="219" t="n"/>
    </row>
    <row r="27" ht="14.1" customFormat="1" customHeight="1" s="21">
      <c r="A27" s="22" t="n"/>
      <c r="B27" s="218" t="n"/>
      <c r="C27" s="214" t="n"/>
      <c r="D27" s="214" t="n"/>
      <c r="E27" s="214" t="n"/>
      <c r="F27" s="214" t="n"/>
      <c r="G27" s="214" t="n"/>
      <c r="H27" s="219" t="n"/>
    </row>
    <row r="28" ht="14.1" customFormat="1" customHeight="1" s="21">
      <c r="A28" s="22" t="n"/>
      <c r="B28" s="218" t="n"/>
      <c r="C28" s="214" t="n"/>
      <c r="D28" s="214" t="n"/>
      <c r="E28" s="214" t="n"/>
      <c r="F28" s="214" t="n"/>
      <c r="G28" s="214" t="n"/>
      <c r="H28" s="219" t="n"/>
    </row>
    <row r="29" ht="14.1" customFormat="1" customHeight="1" s="21">
      <c r="A29" s="22" t="n"/>
      <c r="B29" s="220" t="n"/>
      <c r="C29" s="221" t="n"/>
      <c r="D29" s="221" t="n"/>
      <c r="E29" s="221" t="n"/>
      <c r="F29" s="221" t="n"/>
      <c r="G29" s="221" t="n"/>
      <c r="H29" s="222" t="n"/>
    </row>
    <row r="30" ht="14.1" customFormat="1" customHeight="1" s="21">
      <c r="A30" s="22" t="n"/>
      <c r="B30" s="25" t="n"/>
      <c r="C30" s="24" t="n"/>
      <c r="D30" s="24" t="n"/>
      <c r="E30" s="24" t="n"/>
      <c r="F30" s="24" t="n"/>
      <c r="G30" s="24" t="n"/>
      <c r="H30" s="23" t="n"/>
    </row>
    <row r="31" ht="14.1" customFormat="1" customHeight="1" s="21">
      <c r="A31" s="22" t="n"/>
      <c r="B31" s="25" t="n"/>
      <c r="C31" s="24" t="n"/>
      <c r="D31" s="24" t="n"/>
      <c r="E31" s="24" t="n"/>
      <c r="F31" s="24" t="n"/>
      <c r="G31" s="24" t="n"/>
      <c r="H31" s="23" t="n"/>
    </row>
    <row r="32" ht="21" customFormat="1" customHeight="1" s="66">
      <c r="A32" s="63" t="n"/>
      <c r="B32" s="64" t="inlineStr">
        <is>
          <t>Document results of journal entries and other adjustments testing</t>
        </is>
      </c>
      <c r="C32" s="65" t="n"/>
      <c r="D32" s="65" t="n"/>
      <c r="E32" s="65" t="n"/>
      <c r="F32" s="65" t="n"/>
      <c r="G32" s="65" t="n"/>
    </row>
    <row r="33" ht="14.1" customFormat="1" customHeight="1" s="21">
      <c r="A33" s="22" t="n"/>
      <c r="C33" s="24" t="n"/>
      <c r="D33" s="24" t="n"/>
      <c r="E33" s="24" t="n"/>
      <c r="F33" s="24" t="n"/>
      <c r="G33" s="24" t="n"/>
      <c r="H33" s="23" t="n"/>
    </row>
    <row r="34" ht="19.35" customFormat="1" customHeight="1" s="21">
      <c r="A34" s="58" t="inlineStr">
        <is>
          <t>2b.</t>
        </is>
      </c>
      <c r="B34" s="135" t="inlineStr">
        <is>
          <t>- Test 100% of the entries above PM; and</t>
        </is>
      </c>
      <c r="C34" s="24" t="n"/>
      <c r="D34" s="24" t="n"/>
      <c r="E34" s="24" t="n"/>
      <c r="F34" s="24" t="n"/>
      <c r="G34" s="24" t="n"/>
      <c r="H34" s="23" t="n"/>
    </row>
    <row r="35" ht="15" customFormat="1" customHeight="1" s="21">
      <c r="A35" s="22" t="n"/>
      <c r="B35" s="135" t="inlineStr">
        <is>
          <t>- Consider if qualitative factors for the selection of entries below PM on a judgemental basis apply</t>
        </is>
      </c>
    </row>
    <row r="36" ht="14.1" customFormat="1" customHeight="1" s="21">
      <c r="A36" s="22" t="n"/>
      <c r="B36" s="10" t="n"/>
      <c r="C36" s="24" t="n"/>
      <c r="D36" s="24" t="n"/>
      <c r="E36" s="24" t="n"/>
      <c r="F36" s="24" t="n"/>
      <c r="G36" s="24" t="n"/>
      <c r="H36" s="23" t="n"/>
    </row>
    <row r="37" ht="30" customFormat="1" customHeight="1" s="21">
      <c r="A37" s="22" t="n"/>
      <c r="B37" s="223" t="inlineStr">
        <is>
          <t>[성과중요성(PM) 초과 분개 - 전수 테스트]  ※ PM 금액은 감사팀이 확정하여 입력(아래 선별 분개는 어떠한 합리적 PM 기준으로도 초과하는 유의적 분개임).</t>
        </is>
      </c>
      <c r="C37" s="24" t="n"/>
      <c r="D37" s="24" t="n"/>
      <c r="E37" s="24" t="n"/>
      <c r="F37" s="24" t="n"/>
      <c r="G37" s="24" t="n"/>
      <c r="H37" s="23" t="n"/>
    </row>
    <row r="38" ht="14.1" customFormat="1" customHeight="1" s="21">
      <c r="A38" s="22" t="n"/>
      <c r="B38" s="17" t="n"/>
      <c r="C38" s="24" t="n"/>
      <c r="D38" s="24" t="n"/>
      <c r="E38" s="24" t="n"/>
      <c r="F38" s="24" t="n"/>
      <c r="G38" s="24" t="n"/>
      <c r="H38" s="23" t="n"/>
    </row>
    <row r="39" ht="16.5" customHeight="1" thickBot="1">
      <c r="B39" s="72" t="n"/>
      <c r="J39" s="161" t="inlineStr">
        <is>
          <t>In case exeptions are noted:</t>
        </is>
      </c>
    </row>
    <row r="40" ht="57.95" customFormat="1" customHeight="1" s="10">
      <c r="A40" s="12" t="n"/>
      <c r="B40" s="178" t="inlineStr">
        <is>
          <t>Date of journal / adjustment</t>
        </is>
      </c>
      <c r="C40" s="160" t="inlineStr">
        <is>
          <t>Booking reference</t>
        </is>
      </c>
      <c r="D40" s="160" t="inlineStr">
        <is>
          <t>Type of journal / adjustment</t>
        </is>
      </c>
      <c r="E40" s="160" t="inlineStr">
        <is>
          <t xml:space="preserve">Description of transaction
 </t>
        </is>
      </c>
      <c r="F40" s="224" t="n"/>
      <c r="G40" s="160" t="inlineStr">
        <is>
          <t>Amount
Currency</t>
        </is>
      </c>
      <c r="H40" s="160" t="inlineStr">
        <is>
          <t>Reference to supporting documentation</t>
        </is>
      </c>
      <c r="I40" s="160" t="inlineStr">
        <is>
          <t>Exception noted?
(Yes/No)</t>
        </is>
      </c>
      <c r="J40" s="160" t="inlineStr">
        <is>
          <t>Approver / 
Date of approval</t>
        </is>
      </c>
      <c r="K40" s="160" t="inlineStr">
        <is>
          <t>Preparer / 
Date of preparation</t>
        </is>
      </c>
      <c r="L40" s="160" t="inlineStr">
        <is>
          <t>Reviewer /
Date of review</t>
        </is>
      </c>
      <c r="M40" s="160" t="inlineStr">
        <is>
          <t>Individual who posts to GL/ 
Date of posting</t>
        </is>
      </c>
      <c r="N40" s="186" t="inlineStr">
        <is>
          <t>Follow up</t>
        </is>
      </c>
    </row>
    <row r="41" ht="15.75" customFormat="1" customHeight="1" s="19">
      <c r="A41" s="18" t="n"/>
      <c r="B41" s="155" t="inlineStr">
        <is>
          <t>Entries above PM</t>
        </is>
      </c>
      <c r="C41" s="225" t="n"/>
      <c r="D41" s="225" t="n"/>
      <c r="E41" s="225" t="n"/>
      <c r="F41" s="225" t="n"/>
      <c r="G41" s="225" t="n"/>
      <c r="H41" s="225" t="n"/>
      <c r="I41" s="225" t="n"/>
      <c r="J41" s="225" t="n"/>
      <c r="K41" s="225" t="n"/>
      <c r="L41" s="225" t="n"/>
      <c r="M41" s="225" t="n"/>
      <c r="N41" s="226" t="n"/>
    </row>
    <row r="42" ht="26" customFormat="1" customHeight="1" s="19">
      <c r="A42" s="18" t="n"/>
      <c r="B42" s="227" t="inlineStr">
        <is>
          <t>2026-04-30</t>
        </is>
      </c>
      <c r="C42" s="228" t="inlineStr">
        <is>
          <t>-</t>
        </is>
      </c>
      <c r="D42" s="229" t="inlineStr">
        <is>
          <t>수기(감사조정)</t>
        </is>
      </c>
      <c r="E42" s="229" t="inlineStr">
        <is>
          <t>(800000)VFF model income — FY26 감사조정사항_VFF 계정 Reclass (영업외→판관)</t>
        </is>
      </c>
      <c r="F42" s="226" t="n"/>
      <c r="G42" s="230" t="n">
        <v>34966850055</v>
      </c>
      <c r="H42" s="229" t="inlineStr">
        <is>
          <t>Tax 조서 .1 / 세무조정</t>
        </is>
      </c>
      <c r="I42" s="228" t="inlineStr">
        <is>
          <t>No</t>
        </is>
      </c>
      <c r="J42" s="110" t="n"/>
      <c r="K42" s="115" t="n"/>
      <c r="L42" s="110" t="n"/>
      <c r="M42" s="110" t="n"/>
      <c r="N42" s="120" t="n"/>
    </row>
    <row r="43" ht="26" customFormat="1" customHeight="1" s="19">
      <c r="A43" s="18" t="n"/>
      <c r="B43" s="227" t="inlineStr">
        <is>
          <t>2026-01-28</t>
        </is>
      </c>
      <c r="C43" s="228" t="inlineStr">
        <is>
          <t>-</t>
        </is>
      </c>
      <c r="D43" s="229" t="inlineStr">
        <is>
          <t>수기</t>
        </is>
      </c>
      <c r="E43" s="229" t="inlineStr">
        <is>
          <t>(251001)외상매입금_외화(본사) — 20260128 VFF(Sep,Oct,Nov) 정산 $11,129,418</t>
        </is>
      </c>
      <c r="F43" s="226" t="n"/>
      <c r="G43" s="230" t="n">
        <v>16057292692</v>
      </c>
      <c r="H43" s="229" t="inlineStr">
        <is>
          <t>매입/VFF 명세</t>
        </is>
      </c>
      <c r="I43" s="228" t="inlineStr">
        <is>
          <t>No</t>
        </is>
      </c>
      <c r="J43" s="110" t="n"/>
      <c r="K43" s="115" t="n"/>
      <c r="L43" s="110" t="n"/>
      <c r="M43" s="110" t="n"/>
      <c r="N43" s="120" t="n"/>
    </row>
    <row r="44" ht="26" customFormat="1" customHeight="1" s="19">
      <c r="A44" s="18" t="n"/>
      <c r="B44" s="227" t="inlineStr">
        <is>
          <t>2026-01-28</t>
        </is>
      </c>
      <c r="C44" s="228" t="inlineStr">
        <is>
          <t>-</t>
        </is>
      </c>
      <c r="D44" s="229" t="inlineStr">
        <is>
          <t>수기</t>
        </is>
      </c>
      <c r="E44" s="229" t="inlineStr">
        <is>
          <t>(100010)HSBC USD — 미국본사 송금 및 외화 구매/환전 ($9,741,390 @1,425.93)</t>
        </is>
      </c>
      <c r="F44" s="226" t="n"/>
      <c r="G44" s="230" t="n">
        <v>13890541283</v>
      </c>
      <c r="H44" s="229" t="inlineStr">
        <is>
          <t>외화·자금거래 명세</t>
        </is>
      </c>
      <c r="I44" s="228" t="inlineStr">
        <is>
          <t>No</t>
        </is>
      </c>
      <c r="J44" s="110" t="n"/>
      <c r="K44" s="115" t="n"/>
      <c r="L44" s="110" t="n"/>
      <c r="M44" s="110" t="n"/>
      <c r="N44" s="120" t="n"/>
    </row>
    <row r="45" ht="26" customFormat="1" customHeight="1" s="19">
      <c r="A45" s="18" t="n"/>
      <c r="B45" s="227" t="inlineStr">
        <is>
          <t>2025-05-01</t>
        </is>
      </c>
      <c r="C45" s="228" t="inlineStr">
        <is>
          <t>-</t>
        </is>
      </c>
      <c r="D45" s="229" t="inlineStr">
        <is>
          <t>수기(제거)</t>
        </is>
      </c>
      <c r="E45" s="229" t="inlineStr">
        <is>
          <t>(185500)Operating ROU Asset — FY25 US 리스분개 제거분개 reverse</t>
        </is>
      </c>
      <c r="F45" s="226" t="n"/>
      <c r="G45" s="230" t="n">
        <v>10762030712</v>
      </c>
      <c r="H45" s="229" t="inlineStr">
        <is>
          <t>리스 조서</t>
        </is>
      </c>
      <c r="I45" s="228" t="inlineStr">
        <is>
          <t>No</t>
        </is>
      </c>
      <c r="J45" s="110" t="n"/>
      <c r="K45" s="115" t="n"/>
      <c r="L45" s="110" t="n"/>
      <c r="M45" s="110" t="n"/>
      <c r="N45" s="120" t="n"/>
    </row>
    <row r="46" ht="26" customFormat="1" customHeight="1" s="19">
      <c r="A46" s="18" t="n"/>
      <c r="B46" s="227" t="inlineStr">
        <is>
          <t>2026-04-30</t>
        </is>
      </c>
      <c r="C46" s="228" t="inlineStr">
        <is>
          <t>-</t>
        </is>
      </c>
      <c r="D46" s="229" t="inlineStr">
        <is>
          <t>수기(제거)</t>
        </is>
      </c>
      <c r="E46" s="229" t="inlineStr">
        <is>
          <t>(185510)ROU Asset Accum — FY26 US 리스분개 제거분개</t>
        </is>
      </c>
      <c r="F46" s="226" t="n"/>
      <c r="G46" s="230" t="n">
        <v>7984693312</v>
      </c>
      <c r="H46" s="229" t="inlineStr">
        <is>
          <t>리스 조서</t>
        </is>
      </c>
      <c r="I46" s="228" t="inlineStr">
        <is>
          <t>No</t>
        </is>
      </c>
      <c r="J46" s="110" t="n"/>
      <c r="K46" s="115" t="n"/>
      <c r="L46" s="110" t="n"/>
      <c r="M46" s="110" t="n"/>
      <c r="N46" s="120" t="n"/>
    </row>
    <row r="47" ht="26" customFormat="1" customHeight="1" s="19">
      <c r="A47" s="18" t="n"/>
      <c r="B47" s="227" t="inlineStr">
        <is>
          <t>2026-04-22</t>
        </is>
      </c>
      <c r="C47" s="228" t="inlineStr">
        <is>
          <t>-</t>
        </is>
      </c>
      <c r="D47" s="229" t="inlineStr">
        <is>
          <t>수기</t>
        </is>
      </c>
      <c r="E47" s="229" t="inlineStr">
        <is>
          <t>(251001)외상매입금_외화(본사) — 20260422 VFF(Jan,Feb,Mar) 정산 $5,366,919</t>
        </is>
      </c>
      <c r="F47" s="226" t="n"/>
      <c r="G47" s="230" t="n">
        <v>7785349545</v>
      </c>
      <c r="H47" s="229" t="inlineStr">
        <is>
          <t>매입/VFF 명세</t>
        </is>
      </c>
      <c r="I47" s="228" t="inlineStr">
        <is>
          <t>No</t>
        </is>
      </c>
      <c r="J47" s="110" t="n"/>
      <c r="K47" s="115" t="n"/>
      <c r="L47" s="110" t="n"/>
      <c r="M47" s="110" t="n"/>
      <c r="N47" s="120" t="n"/>
    </row>
    <row r="48" ht="26" customFormat="1" customHeight="1" s="19">
      <c r="A48" s="18" t="n"/>
      <c r="B48" s="227" t="inlineStr">
        <is>
          <t>2025-12-26</t>
        </is>
      </c>
      <c r="C48" s="228" t="inlineStr">
        <is>
          <t>-</t>
        </is>
      </c>
      <c r="D48" s="229" t="inlineStr">
        <is>
          <t>자금이체</t>
        </is>
      </c>
      <c r="E48" s="229" t="inlineStr">
        <is>
          <t>(100010)KEB — Internal cash transfer to KEB(704)</t>
        </is>
      </c>
      <c r="F48" s="226" t="n"/>
      <c r="G48" s="230" t="n">
        <v>7000000000</v>
      </c>
      <c r="H48" s="229" t="inlineStr">
        <is>
          <t>자금거래 명세</t>
        </is>
      </c>
      <c r="I48" s="228" t="inlineStr">
        <is>
          <t>No</t>
        </is>
      </c>
      <c r="J48" s="110" t="n"/>
      <c r="K48" s="115" t="n"/>
      <c r="L48" s="110" t="n"/>
      <c r="M48" s="110" t="n"/>
      <c r="N48" s="120" t="n"/>
    </row>
    <row r="49" ht="26" customFormat="1" customHeight="1" s="19">
      <c r="A49" s="18" t="n"/>
      <c r="B49" s="227" t="inlineStr">
        <is>
          <t>2025-11-30</t>
        </is>
      </c>
      <c r="C49" s="228" t="inlineStr">
        <is>
          <t>-</t>
        </is>
      </c>
      <c r="D49" s="229" t="inlineStr">
        <is>
          <t>수기</t>
        </is>
      </c>
      <c r="E49" s="229" t="inlineStr">
        <is>
          <t>(251001)외상매입금_외화(본사) — 11월 VFF (Operation income, Revenue×3%)</t>
        </is>
      </c>
      <c r="F49" s="226" t="n"/>
      <c r="G49" s="230" t="n">
        <v>6168340778</v>
      </c>
      <c r="H49" s="229" t="inlineStr">
        <is>
          <t>매입/VFF 명세</t>
        </is>
      </c>
      <c r="I49" s="228" t="inlineStr">
        <is>
          <t>No</t>
        </is>
      </c>
      <c r="J49" s="110" t="n"/>
      <c r="K49" s="115" t="n"/>
      <c r="L49" s="110" t="n"/>
      <c r="M49" s="110" t="n"/>
      <c r="N49" s="120" t="n"/>
    </row>
    <row r="50" ht="26" customFormat="1" customHeight="1" s="19">
      <c r="A50" s="18" t="n"/>
      <c r="B50" s="227" t="inlineStr">
        <is>
          <t>2025-11-25</t>
        </is>
      </c>
      <c r="C50" s="228" t="inlineStr">
        <is>
          <t>-</t>
        </is>
      </c>
      <c r="D50" s="229" t="inlineStr">
        <is>
          <t>자금이체</t>
        </is>
      </c>
      <c r="E50" s="229" t="inlineStr">
        <is>
          <t>(100010)KEB — Internal cash transfer to KEB(704)</t>
        </is>
      </c>
      <c r="F50" s="226" t="n"/>
      <c r="G50" s="230" t="n">
        <v>6100000000</v>
      </c>
      <c r="H50" s="229" t="inlineStr">
        <is>
          <t>자금거래 명세</t>
        </is>
      </c>
      <c r="I50" s="228" t="inlineStr">
        <is>
          <t>No</t>
        </is>
      </c>
      <c r="J50" s="110" t="n"/>
      <c r="K50" s="115" t="n"/>
      <c r="L50" s="110" t="n"/>
      <c r="M50" s="110" t="n"/>
      <c r="N50" s="120" t="n"/>
    </row>
    <row r="51" ht="17.25" customFormat="1" customHeight="1" s="19">
      <c r="A51" s="18" t="n"/>
      <c r="B51" s="155" t="inlineStr">
        <is>
          <t>Entries with qualitative factors applied</t>
        </is>
      </c>
      <c r="C51" s="225" t="n"/>
      <c r="D51" s="225" t="n"/>
      <c r="E51" s="225" t="n"/>
      <c r="F51" s="225" t="n"/>
      <c r="G51" s="225" t="n"/>
      <c r="H51" s="225" t="n"/>
      <c r="I51" s="225" t="n"/>
      <c r="J51" s="225" t="n"/>
      <c r="K51" s="225" t="n"/>
      <c r="L51" s="225" t="n"/>
      <c r="M51" s="225" t="n"/>
      <c r="N51" s="226" t="n"/>
    </row>
    <row r="52" ht="16.5" customFormat="1" customHeight="1" s="134">
      <c r="A52" s="28" t="n"/>
      <c r="B52" s="231" t="inlineStr">
        <is>
          <t>Qualitative factor 1 - 임시·미결산 성격 계정(잡손익)으로의 대체분개 (PM 미만이나 부정·오류 위험 고려)</t>
        </is>
      </c>
      <c r="C52" s="225" t="n"/>
      <c r="D52" s="225" t="n"/>
      <c r="E52" s="225" t="n"/>
      <c r="F52" s="225" t="n"/>
      <c r="G52" s="225" t="n"/>
      <c r="H52" s="225" t="n"/>
      <c r="I52" s="225" t="n"/>
      <c r="J52" s="225" t="n"/>
      <c r="K52" s="225" t="n"/>
      <c r="L52" s="225" t="n"/>
      <c r="M52" s="225" t="n"/>
      <c r="N52" s="226" t="n"/>
    </row>
    <row r="53" ht="26" customFormat="1" customHeight="1" s="19">
      <c r="A53" s="18" t="n"/>
      <c r="B53" s="227" t="inlineStr">
        <is>
          <t>2025-08-01</t>
        </is>
      </c>
      <c r="C53" s="228" t="inlineStr">
        <is>
          <t>-</t>
        </is>
      </c>
      <c r="D53" s="229" t="inlineStr">
        <is>
          <t>수기</t>
        </is>
      </c>
      <c r="E53" s="229" t="inlineStr">
        <is>
          <t>(740040)잡이익 — 롯데부산점 공사비용 일부 보상의 건</t>
        </is>
      </c>
      <c r="F53" s="226" t="n"/>
      <c r="G53" s="230" t="n">
        <v>7400000</v>
      </c>
      <c r="H53" s="229" t="inlineStr">
        <is>
          <t>증빙(입금)</t>
        </is>
      </c>
      <c r="I53" s="228" t="inlineStr">
        <is>
          <t>No</t>
        </is>
      </c>
      <c r="J53" s="110" t="n"/>
      <c r="K53" s="115" t="n"/>
      <c r="L53" s="110" t="n"/>
      <c r="M53" s="110" t="n"/>
      <c r="N53" s="120" t="n"/>
    </row>
    <row r="54" ht="26" customFormat="1" customHeight="1" s="19">
      <c r="A54" s="18" t="n"/>
      <c r="B54" s="227" t="inlineStr">
        <is>
          <t>2025-11-05</t>
        </is>
      </c>
      <c r="C54" s="228" t="inlineStr">
        <is>
          <t>-</t>
        </is>
      </c>
      <c r="D54" s="229" t="inlineStr">
        <is>
          <t>수기</t>
        </is>
      </c>
      <c r="E54" s="229" t="inlineStr">
        <is>
          <t>(740040)잡이익 — 출산급여 입금(노동부)</t>
        </is>
      </c>
      <c r="F54" s="226" t="n"/>
      <c r="G54" s="230" t="n">
        <v>6300000</v>
      </c>
      <c r="H54" s="229" t="inlineStr">
        <is>
          <t>증빙(입금)</t>
        </is>
      </c>
      <c r="I54" s="228" t="inlineStr">
        <is>
          <t>No</t>
        </is>
      </c>
      <c r="J54" s="110" t="n"/>
      <c r="K54" s="115" t="n"/>
      <c r="L54" s="110" t="n"/>
      <c r="M54" s="110" t="n"/>
      <c r="N54" s="120" t="n"/>
    </row>
    <row r="55" ht="26" customFormat="1" customHeight="1" s="19">
      <c r="A55" s="18" t="n"/>
      <c r="B55" s="227" t="inlineStr">
        <is>
          <t>2026-03-31</t>
        </is>
      </c>
      <c r="C55" s="228" t="inlineStr">
        <is>
          <t>-</t>
        </is>
      </c>
      <c r="D55" s="229" t="inlineStr">
        <is>
          <t>수기</t>
        </is>
      </c>
      <c r="E55" s="229" t="inlineStr">
        <is>
          <t>(740040)잡이익 — 가로수길 AR 오류 수정</t>
        </is>
      </c>
      <c r="F55" s="226" t="n"/>
      <c r="G55" s="230" t="n">
        <v>3600600</v>
      </c>
      <c r="H55" s="229" t="inlineStr">
        <is>
          <t>증빙/AR 명세</t>
        </is>
      </c>
      <c r="I55" s="228" t="inlineStr">
        <is>
          <t>No</t>
        </is>
      </c>
      <c r="J55" s="110" t="n"/>
      <c r="K55" s="115" t="n"/>
      <c r="L55" s="110" t="n"/>
      <c r="M55" s="110" t="n"/>
      <c r="N55" s="120" t="n"/>
    </row>
    <row r="56" ht="26" customFormat="1" customHeight="1" s="19">
      <c r="A56" s="18" t="n"/>
      <c r="B56" s="227" t="inlineStr">
        <is>
          <t>2026-03-31</t>
        </is>
      </c>
      <c r="C56" s="228" t="inlineStr">
        <is>
          <t>-</t>
        </is>
      </c>
      <c r="D56" s="229" t="inlineStr">
        <is>
          <t>수기</t>
        </is>
      </c>
      <c r="E56" s="229" t="inlineStr">
        <is>
          <t>(740040)잡이익 — 가로수길 카드결제 수선비 미반영(FY26 이전분)</t>
        </is>
      </c>
      <c r="F56" s="226" t="n"/>
      <c r="G56" s="230" t="n">
        <v>2892000</v>
      </c>
      <c r="H56" s="229" t="inlineStr">
        <is>
          <t>증빙</t>
        </is>
      </c>
      <c r="I56" s="228" t="inlineStr">
        <is>
          <t>No</t>
        </is>
      </c>
      <c r="J56" s="110" t="n"/>
      <c r="K56" s="115" t="n"/>
      <c r="L56" s="110" t="n"/>
      <c r="M56" s="110" t="n"/>
      <c r="N56" s="120" t="n"/>
    </row>
    <row r="57" ht="26" customFormat="1" customHeight="1" s="19">
      <c r="A57" s="18" t="n"/>
      <c r="B57" s="227" t="inlineStr">
        <is>
          <t>2025-11-10</t>
        </is>
      </c>
      <c r="C57" s="228" t="inlineStr">
        <is>
          <t>-</t>
        </is>
      </c>
      <c r="D57" s="229" t="inlineStr">
        <is>
          <t>수기</t>
        </is>
      </c>
      <c r="E57" s="229" t="inlineStr">
        <is>
          <t>(740040)잡이익 — 통신서비스 변경에 따른 영업지원비</t>
        </is>
      </c>
      <c r="F57" s="226" t="n"/>
      <c r="G57" s="230" t="n">
        <v>2200000</v>
      </c>
      <c r="H57" s="229" t="inlineStr">
        <is>
          <t>증빙</t>
        </is>
      </c>
      <c r="I57" s="228" t="inlineStr">
        <is>
          <t>No</t>
        </is>
      </c>
      <c r="J57" s="110" t="n"/>
      <c r="K57" s="115" t="n"/>
      <c r="L57" s="110" t="n"/>
      <c r="M57" s="110" t="n"/>
      <c r="N57" s="120" t="n"/>
    </row>
    <row r="58" ht="26" customFormat="1" customHeight="1" s="19">
      <c r="A58" s="18" t="n"/>
      <c r="B58" s="227" t="inlineStr">
        <is>
          <t>2026-04-15</t>
        </is>
      </c>
      <c r="C58" s="228" t="inlineStr">
        <is>
          <t>-</t>
        </is>
      </c>
      <c r="D58" s="229" t="inlineStr">
        <is>
          <t>수기</t>
        </is>
      </c>
      <c r="E58" s="229" t="inlineStr">
        <is>
          <t>(740040)잡이익 — 스타필드고양점 정전사고 영업배상금 입금</t>
        </is>
      </c>
      <c r="F58" s="226" t="n"/>
      <c r="G58" s="230" t="n">
        <v>1649000</v>
      </c>
      <c r="H58" s="229" t="inlineStr">
        <is>
          <t>증빙(입금)</t>
        </is>
      </c>
      <c r="I58" s="228" t="inlineStr">
        <is>
          <t>No</t>
        </is>
      </c>
      <c r="J58" s="110" t="n"/>
      <c r="K58" s="115" t="n"/>
      <c r="L58" s="110" t="n"/>
      <c r="M58" s="110" t="n"/>
      <c r="N58" s="120" t="n"/>
    </row>
    <row r="59" ht="14.1" customFormat="1" customHeight="1" s="19">
      <c r="A59" s="18" t="n"/>
      <c r="B59" s="116" t="n"/>
      <c r="C59" s="105" t="n"/>
      <c r="D59" s="105" t="n"/>
      <c r="E59" s="108" t="n"/>
      <c r="F59" s="226" t="n"/>
      <c r="G59" s="105" t="n"/>
      <c r="H59" s="105" t="n"/>
      <c r="I59" s="105" t="n"/>
      <c r="J59" s="110" t="n"/>
      <c r="K59" s="115" t="n"/>
      <c r="L59" s="110" t="n"/>
      <c r="M59" s="110" t="n"/>
      <c r="N59" s="120" t="n"/>
    </row>
    <row r="60" ht="19.5" customFormat="1" customHeight="1" s="134">
      <c r="A60" s="28" t="n"/>
      <c r="B60" s="231" t="inlineStr">
        <is>
          <t>Qualitative factor 2 - 비경상·미사용(seldom-used) 계정 분개 (연중 사용빈도 극히 낮음)</t>
        </is>
      </c>
      <c r="C60" s="225" t="n"/>
      <c r="D60" s="225" t="n"/>
      <c r="E60" s="225" t="n"/>
      <c r="F60" s="225" t="n"/>
      <c r="G60" s="225" t="n"/>
      <c r="H60" s="225" t="n"/>
      <c r="I60" s="225" t="n"/>
      <c r="J60" s="225" t="n"/>
      <c r="K60" s="225" t="n"/>
      <c r="L60" s="225" t="n"/>
      <c r="M60" s="225" t="n"/>
      <c r="N60" s="226" t="n"/>
    </row>
    <row r="61" ht="26" customFormat="1" customHeight="1" s="19">
      <c r="A61" s="18" t="n"/>
      <c r="B61" s="227" t="inlineStr">
        <is>
          <t>2025-05-31</t>
        </is>
      </c>
      <c r="C61" s="228" t="inlineStr">
        <is>
          <t>-</t>
        </is>
      </c>
      <c r="D61" s="229" t="inlineStr">
        <is>
          <t>수기</t>
        </is>
      </c>
      <c r="E61" s="229" t="inlineStr">
        <is>
          <t>(730051)파생상품거래손실 — NFD Hedge 5월 (USD -276,953)</t>
        </is>
      </c>
      <c r="F61" s="226" t="n"/>
      <c r="G61" s="230" t="n">
        <v>382583282</v>
      </c>
      <c r="H61" s="229" t="inlineStr">
        <is>
          <t>파생상품 조서</t>
        </is>
      </c>
      <c r="I61" s="228" t="inlineStr">
        <is>
          <t>No</t>
        </is>
      </c>
      <c r="J61" s="110" t="n"/>
      <c r="K61" s="115" t="n"/>
      <c r="L61" s="110" t="n"/>
      <c r="M61" s="110" t="n"/>
      <c r="N61" s="120" t="n"/>
    </row>
    <row r="62" ht="26" customFormat="1" customHeight="1" s="19">
      <c r="A62" s="18" t="n"/>
      <c r="B62" s="227" t="inlineStr">
        <is>
          <t>2026-04-01</t>
        </is>
      </c>
      <c r="C62" s="228" t="inlineStr">
        <is>
          <t>-</t>
        </is>
      </c>
      <c r="D62" s="229" t="inlineStr">
        <is>
          <t>수기</t>
        </is>
      </c>
      <c r="E62" s="229" t="inlineStr">
        <is>
          <t>(184010)소프트웨어_내부개발 — 고정자산 처분 리스트 정리</t>
        </is>
      </c>
      <c r="F62" s="226" t="n"/>
      <c r="G62" s="230" t="n">
        <v>146500000</v>
      </c>
      <c r="H62" s="229" t="inlineStr">
        <is>
          <t>유형자산 조서</t>
        </is>
      </c>
      <c r="I62" s="228" t="inlineStr">
        <is>
          <t>No</t>
        </is>
      </c>
      <c r="J62" s="110" t="n"/>
      <c r="K62" s="115" t="n"/>
      <c r="L62" s="110" t="n"/>
      <c r="M62" s="110" t="n"/>
      <c r="N62" s="120" t="n"/>
    </row>
    <row r="63" ht="26" customFormat="1" customHeight="1" s="19">
      <c r="A63" s="18" t="n"/>
      <c r="B63" s="227" t="inlineStr">
        <is>
          <t>2026-04-30</t>
        </is>
      </c>
      <c r="C63" s="228" t="inlineStr">
        <is>
          <t>-</t>
        </is>
      </c>
      <c r="D63" s="229" t="inlineStr">
        <is>
          <t>수기(재분류)</t>
        </is>
      </c>
      <c r="E63" s="229" t="inlineStr">
        <is>
          <t>(664115)유형자산처분손실 — AK원주점 폐점 고정자산 정리(Disposal)</t>
        </is>
      </c>
      <c r="F63" s="226" t="n"/>
      <c r="G63" s="230" t="n">
        <v>28699992</v>
      </c>
      <c r="H63" s="229" t="inlineStr">
        <is>
          <t>유형자산 조서</t>
        </is>
      </c>
      <c r="I63" s="228" t="inlineStr">
        <is>
          <t>No</t>
        </is>
      </c>
      <c r="J63" s="110" t="n"/>
      <c r="K63" s="115" t="n"/>
      <c r="L63" s="110" t="n"/>
      <c r="M63" s="110" t="n"/>
      <c r="N63" s="120" t="n"/>
    </row>
    <row r="64" ht="26" customFormat="1" customHeight="1" s="19">
      <c r="A64" s="18" t="n"/>
      <c r="B64" s="227" t="inlineStr">
        <is>
          <t>2025-08-31</t>
        </is>
      </c>
      <c r="C64" s="228" t="inlineStr">
        <is>
          <t>-</t>
        </is>
      </c>
      <c r="D64" s="229" t="inlineStr">
        <is>
          <t>수기</t>
        </is>
      </c>
      <c r="E64" s="229" t="inlineStr">
        <is>
          <t>복구충당부채 — 제주직영점 신규설정(25.4~30.1)</t>
        </is>
      </c>
      <c r="F64" s="226" t="n"/>
      <c r="G64" s="230" t="n">
        <v>48900000</v>
      </c>
      <c r="H64" s="229" t="inlineStr">
        <is>
          <t>복구충당부채 조서 N2</t>
        </is>
      </c>
      <c r="I64" s="228" t="inlineStr">
        <is>
          <t>No</t>
        </is>
      </c>
      <c r="J64" s="110" t="n"/>
      <c r="K64" s="115" t="n"/>
      <c r="L64" s="110" t="n"/>
      <c r="M64" s="110" t="n"/>
      <c r="N64" s="120" t="n"/>
    </row>
    <row r="65" ht="26" customFormat="1" customHeight="1" s="19">
      <c r="A65" s="18" t="n"/>
      <c r="B65" s="227" t="inlineStr">
        <is>
          <t>2026-04-30</t>
        </is>
      </c>
      <c r="C65" s="228" t="inlineStr">
        <is>
          <t>-</t>
        </is>
      </c>
      <c r="D65" s="229" t="inlineStr">
        <is>
          <t>결산</t>
        </is>
      </c>
      <c r="E65" s="229" t="inlineStr">
        <is>
          <t>(672000)대손상각비 / (112000)대손충당금 — 대손충당금 설정</t>
        </is>
      </c>
      <c r="F65" s="226" t="n"/>
      <c r="G65" s="230" t="n">
        <v>65944315</v>
      </c>
      <c r="H65" s="229" t="inlineStr">
        <is>
          <t>매출채권 조서 B1-3</t>
        </is>
      </c>
      <c r="I65" s="228" t="inlineStr">
        <is>
          <t>No</t>
        </is>
      </c>
      <c r="J65" s="110" t="n"/>
      <c r="K65" s="115" t="n"/>
      <c r="L65" s="110" t="n"/>
      <c r="M65" s="110" t="n"/>
      <c r="N65" s="120" t="n"/>
    </row>
    <row r="66" ht="14.1" customFormat="1" customHeight="1" s="19" thickBot="1">
      <c r="A66" s="26" t="n"/>
      <c r="B66" s="117" t="n"/>
      <c r="C66" s="118" t="n"/>
      <c r="D66" s="118" t="n"/>
      <c r="E66" s="232" t="n"/>
      <c r="F66" s="233" t="n"/>
      <c r="G66" s="118" t="n"/>
      <c r="H66" s="118" t="n"/>
      <c r="I66" s="118" t="n"/>
      <c r="J66" s="121" t="n"/>
      <c r="K66" s="122" t="n"/>
      <c r="L66" s="121" t="n"/>
      <c r="M66" s="121" t="n"/>
      <c r="N66" s="123" t="n"/>
    </row>
    <row r="67" ht="14.1" customHeight="1">
      <c r="A67" s="13" t="n"/>
    </row>
    <row r="68" ht="12.75" customHeight="1"/>
    <row r="69" ht="12.75" customHeight="1"/>
    <row r="70" ht="12.75" customHeight="1"/>
    <row r="71" ht="12.75" customHeight="1"/>
    <row r="72" ht="12.75" customHeight="1"/>
    <row r="73" ht="12.75" customHeight="1"/>
    <row r="74" ht="12.75" customHeight="1"/>
    <row r="75" ht="12.75"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97" ht="12.6" customHeight="1"/>
    <row r="98" ht="12.6" customHeight="1"/>
    <row r="99" ht="12.6" customHeight="1"/>
    <row r="100" ht="12.6" customHeight="1"/>
    <row r="101" ht="12.6" customHeight="1"/>
    <row r="102" ht="12.6" customHeight="1"/>
    <row r="103" ht="12.6" customHeight="1"/>
    <row r="104" ht="12.6" customHeight="1"/>
    <row r="105" ht="12.6" customHeight="1"/>
    <row r="106" ht="12.6" customHeight="1"/>
    <row r="107" ht="12.6" customHeight="1"/>
    <row r="108" ht="12.6" customHeight="1"/>
    <row r="109" ht="12.6" customHeight="1"/>
    <row r="110" ht="12.6" customHeight="1"/>
    <row r="111" ht="12.6" customHeight="1"/>
    <row r="112" ht="12.6" customHeight="1"/>
    <row r="113" ht="12.6" customHeight="1"/>
    <row r="114" ht="12.6" customHeight="1"/>
    <row r="115" ht="12.6" customHeight="1"/>
    <row r="116" ht="12.6" customHeight="1"/>
    <row r="117" ht="12.6" customHeight="1"/>
    <row r="118" ht="12.6" customHeight="1"/>
    <row r="119" ht="12.6" customHeight="1"/>
    <row r="120" ht="12.6" customHeight="1"/>
    <row r="121" ht="12.6" customHeight="1"/>
    <row r="122" ht="12.6" customHeight="1"/>
    <row r="123" ht="12.6" customHeight="1"/>
    <row r="124" ht="12.6" customHeight="1"/>
    <row r="125" ht="12.6" customHeight="1"/>
    <row r="126" ht="12.6" customHeight="1"/>
    <row r="127" ht="12.6" customHeight="1"/>
    <row r="128" ht="12.6" customHeight="1"/>
    <row r="129" ht="12.6" customHeight="1"/>
    <row r="130" ht="12.6" customHeight="1"/>
    <row r="131" ht="12.6" customHeight="1"/>
    <row r="132" ht="12.6" customHeight="1"/>
    <row r="133" ht="12.6" customHeight="1"/>
    <row r="134" ht="12.6" customHeight="1"/>
    <row r="135" ht="12.6" customHeight="1"/>
    <row r="136" ht="12.6" customHeight="1"/>
    <row r="137" ht="12.6" customHeight="1"/>
    <row r="138" ht="12.6" customHeight="1"/>
    <row r="139" ht="12.6" customHeight="1"/>
    <row r="140" ht="12.6" customHeight="1"/>
    <row r="141" ht="12.6" customHeight="1"/>
    <row r="142" ht="12.6" customHeight="1"/>
    <row r="143" ht="12.6" customHeight="1"/>
    <row r="144" ht="12.6" customHeight="1"/>
    <row r="145" ht="12.6" customHeight="1"/>
    <row r="146" ht="12.6" customHeight="1"/>
    <row r="147" ht="12.6" customHeight="1"/>
    <row r="148" ht="12.6" customHeight="1"/>
    <row r="149" ht="12.6" customHeight="1"/>
    <row r="150" ht="12.6" customHeight="1"/>
    <row r="151" ht="12.6" customHeight="1"/>
    <row r="152" ht="12.6" customHeight="1"/>
    <row r="153" ht="12.6" customHeight="1"/>
    <row r="154" ht="12.6" customHeight="1"/>
    <row r="155" ht="12.6" customHeight="1"/>
    <row r="156" ht="12.6" customHeight="1"/>
    <row r="157" ht="12.6" customHeight="1"/>
    <row r="158" ht="12.6" customHeight="1"/>
    <row r="159" ht="12.6" customHeight="1"/>
    <row r="160" ht="12.6" customHeight="1"/>
    <row r="161" ht="12.6" customHeight="1"/>
    <row r="162" ht="12.6" customHeight="1"/>
    <row r="163" ht="12.6" customHeight="1"/>
    <row r="164" ht="12.6" customHeight="1"/>
    <row r="165" ht="12.6" customHeight="1"/>
    <row r="166" ht="12.6" customHeight="1"/>
    <row r="167" ht="12.6" customHeight="1"/>
    <row r="168" ht="12.6" customHeight="1"/>
    <row r="169" ht="12.6" customHeight="1"/>
    <row r="170" ht="12.6" customHeight="1"/>
    <row r="171" ht="12.6" customHeight="1"/>
    <row r="172" ht="12.6" customHeight="1"/>
    <row r="173" ht="12.6" customHeight="1"/>
    <row r="174" ht="12.6" customHeight="1"/>
    <row r="175" ht="12.6" customHeight="1"/>
    <row r="176" ht="12.6" customHeight="1"/>
    <row r="177" ht="12.6" customHeight="1"/>
    <row r="178" ht="12.6" customHeight="1"/>
    <row r="179" ht="12.6" customHeight="1"/>
    <row r="180" ht="12.6" customHeight="1"/>
    <row r="181" ht="12.6" customHeight="1"/>
    <row r="182" ht="12.6" customHeight="1"/>
    <row r="183" ht="12.6" customHeight="1"/>
    <row r="184" ht="12.6" customHeight="1"/>
    <row r="185" ht="12.6" customHeight="1"/>
    <row r="186" ht="12.6" customHeight="1"/>
    <row r="187" ht="12.6" customHeight="1"/>
    <row r="188" ht="12.6" customHeight="1"/>
    <row r="189" ht="12.6" customHeight="1"/>
    <row r="190" ht="12.6" customHeight="1"/>
    <row r="191" ht="12.6" customHeight="1"/>
    <row r="192" ht="12.6" customHeight="1"/>
    <row r="193" ht="12.6" customHeight="1"/>
    <row r="194" ht="12.6" customHeight="1"/>
    <row r="195" ht="12.6" customHeight="1"/>
    <row r="196" ht="12.6" customHeight="1"/>
    <row r="197" ht="12.6" customHeight="1"/>
    <row r="198" ht="12.6" customHeight="1"/>
    <row r="199" ht="12.6" customHeight="1"/>
    <row r="200" ht="12.6" customHeight="1"/>
    <row r="201" ht="12.6" customHeight="1"/>
    <row r="202" ht="12.6" customHeight="1"/>
    <row r="203" ht="12.6" customHeight="1"/>
    <row r="204" ht="12.6" customHeight="1"/>
    <row r="205" ht="12.6" customHeight="1"/>
    <row r="206" ht="12.6" customHeight="1"/>
    <row r="207" ht="12.6" customHeight="1"/>
    <row r="208" ht="12.6" customHeight="1"/>
    <row r="209" ht="12.6" customHeight="1"/>
    <row r="210" ht="12.6" customHeight="1"/>
    <row r="211" ht="12.6" customHeight="1"/>
    <row r="212" ht="12.6" customHeight="1"/>
    <row r="213" ht="12.6" customHeight="1"/>
    <row r="214" ht="12.6" customHeight="1"/>
    <row r="215" ht="12.6" customHeight="1"/>
    <row r="216" ht="12.6" customHeight="1"/>
    <row r="217" ht="12.6" customHeight="1"/>
    <row r="218" ht="12.6" customHeight="1"/>
    <row r="219" ht="12.6" customHeight="1"/>
    <row r="220" ht="12.6" customHeight="1"/>
    <row r="221" ht="12.6" customHeight="1"/>
    <row r="222" ht="12.6" customHeight="1"/>
  </sheetData>
  <mergeCells count="31">
    <mergeCell ref="E43:F43"/>
    <mergeCell ref="E50:F50"/>
    <mergeCell ref="E55:F55"/>
    <mergeCell ref="B9:N9"/>
    <mergeCell ref="E62:F62"/>
    <mergeCell ref="E42:F42"/>
    <mergeCell ref="E48:F48"/>
    <mergeCell ref="B51:N51"/>
    <mergeCell ref="E64:F64"/>
    <mergeCell ref="E44:F44"/>
    <mergeCell ref="B22:H29"/>
    <mergeCell ref="B41:N41"/>
    <mergeCell ref="E63:F63"/>
    <mergeCell ref="E40:F40"/>
    <mergeCell ref="E65:F65"/>
    <mergeCell ref="E47:F47"/>
    <mergeCell ref="E59:F59"/>
    <mergeCell ref="E46:F46"/>
    <mergeCell ref="E58:F58"/>
    <mergeCell ref="B21:H21"/>
    <mergeCell ref="E49:F49"/>
    <mergeCell ref="E45:F45"/>
    <mergeCell ref="B52:N52"/>
    <mergeCell ref="E61:F61"/>
    <mergeCell ref="E57:F57"/>
    <mergeCell ref="B60:N60"/>
    <mergeCell ref="E54:F54"/>
    <mergeCell ref="E53:F53"/>
    <mergeCell ref="E66:F66"/>
    <mergeCell ref="E56:F56"/>
    <mergeCell ref="J39:N39"/>
  </mergeCells>
  <conditionalFormatting sqref="B22">
    <cfRule type="containsBlanks" priority="150" dxfId="8">
      <formula>LEN(TRIM(B22))=0</formula>
    </cfRule>
  </conditionalFormatting>
  <conditionalFormatting sqref="B61:E66">
    <cfRule type="containsBlanks" priority="1" dxfId="8">
      <formula>LEN(TRIM(B61))=0</formula>
    </cfRule>
  </conditionalFormatting>
  <conditionalFormatting sqref="C2:C3">
    <cfRule type="containsBlanks" priority="143" dxfId="8">
      <formula>LEN(TRIM(C2))=0</formula>
    </cfRule>
  </conditionalFormatting>
  <conditionalFormatting sqref="D16:D17">
    <cfRule type="containsBlanks" priority="141" dxfId="8">
      <formula>LEN(TRIM(D16))=0</formula>
    </cfRule>
  </conditionalFormatting>
  <conditionalFormatting sqref="F2:F6">
    <cfRule type="containsBlanks" priority="142" dxfId="8">
      <formula>LEN(TRIM(F2))=0</formula>
    </cfRule>
  </conditionalFormatting>
  <conditionalFormatting sqref="B42:E50 G42:N50">
    <cfRule type="containsBlanks" priority="89" dxfId="8">
      <formula>LEN(TRIM(B42))=0</formula>
    </cfRule>
  </conditionalFormatting>
  <conditionalFormatting sqref="B53:E59 G53:N59">
    <cfRule type="containsBlanks" priority="47" dxfId="8">
      <formula>LEN(TRIM(B53))=0</formula>
    </cfRule>
  </conditionalFormatting>
  <conditionalFormatting sqref="G61:N66">
    <cfRule type="containsBlanks" priority="11" dxfId="8">
      <formula>LEN(TRIM(G61))=0</formula>
    </cfRule>
  </conditionalFormatting>
  <conditionalFormatting sqref="J42:J50">
    <cfRule type="expression" priority="88" dxfId="0">
      <formula>I42="No"</formula>
    </cfRule>
  </conditionalFormatting>
  <conditionalFormatting sqref="J53:J59">
    <cfRule type="expression" priority="46" dxfId="0">
      <formula>I53="No"</formula>
    </cfRule>
  </conditionalFormatting>
  <conditionalFormatting sqref="J61:J66">
    <cfRule type="expression" priority="10" dxfId="0">
      <formula>I61="No"</formula>
    </cfRule>
  </conditionalFormatting>
  <conditionalFormatting sqref="K42:K50">
    <cfRule type="expression" priority="87" dxfId="0">
      <formula>I42="No"</formula>
    </cfRule>
  </conditionalFormatting>
  <conditionalFormatting sqref="K53:K59">
    <cfRule type="expression" priority="45" dxfId="0">
      <formula>I53="No"</formula>
    </cfRule>
  </conditionalFormatting>
  <conditionalFormatting sqref="K61:K66">
    <cfRule type="expression" priority="9" dxfId="0">
      <formula>I61="No"</formula>
    </cfRule>
  </conditionalFormatting>
  <conditionalFormatting sqref="L42:L50">
    <cfRule type="expression" priority="86" dxfId="0">
      <formula>I42="No"</formula>
    </cfRule>
  </conditionalFormatting>
  <conditionalFormatting sqref="L53:L59">
    <cfRule type="expression" priority="44" dxfId="0">
      <formula>I53="No"</formula>
    </cfRule>
  </conditionalFormatting>
  <conditionalFormatting sqref="L61:L66">
    <cfRule type="expression" priority="8" dxfId="0">
      <formula>I61="No"</formula>
    </cfRule>
  </conditionalFormatting>
  <conditionalFormatting sqref="M42:M50">
    <cfRule type="expression" priority="85" dxfId="0">
      <formula>I42="No"</formula>
    </cfRule>
  </conditionalFormatting>
  <conditionalFormatting sqref="M53:M59">
    <cfRule type="expression" priority="43" dxfId="0">
      <formula>I53="No"</formula>
    </cfRule>
  </conditionalFormatting>
  <conditionalFormatting sqref="M61:M66">
    <cfRule type="expression" priority="7" dxfId="0">
      <formula>I61="No"</formula>
    </cfRule>
  </conditionalFormatting>
  <conditionalFormatting sqref="N42:N50">
    <cfRule type="expression" priority="84" dxfId="0">
      <formula>I42="No"</formula>
    </cfRule>
  </conditionalFormatting>
  <conditionalFormatting sqref="N53:N59">
    <cfRule type="expression" priority="42" dxfId="0">
      <formula>I53="No"</formula>
    </cfRule>
  </conditionalFormatting>
  <conditionalFormatting sqref="N61:N66">
    <cfRule type="expression" priority="6" dxfId="0">
      <formula>I61="No"</formula>
    </cfRule>
  </conditionalFormatting>
  <dataValidations disablePrompts="1" count="1">
    <dataValidation sqref="I42:I51 I53:I66" showDropDown="0" showInputMessage="1" showErrorMessage="1" allowBlank="1" type="list">
      <formula1>"Yes,No"</formula1>
    </dataValidation>
  </dataValidations>
  <pageMargins left="0.7480314960629921" right="0.7480314960629921" top="0.984251968503937" bottom="0.984251968503937" header="0.5118110236220472" footer="0.5118110236220472"/>
  <pageSetup orientation="landscape" paperSize="9" fitToHeight="0"/>
  <rowBreaks count="2" manualBreakCount="2">
    <brk id="10" min="0" max="9" man="1"/>
    <brk id="38" min="0" max="9" man="1"/>
  </rowBreaks>
</worksheet>
</file>

<file path=xl/worksheets/sheet8.xml><?xml version="1.0" encoding="utf-8"?>
<worksheet xmlns="http://schemas.openxmlformats.org/spreadsheetml/2006/main">
  <sheetPr codeName="Blad12">
    <tabColor rgb="FF0072CE"/>
    <outlinePr summaryBelow="1" summaryRight="1"/>
    <pageSetUpPr fitToPage="1"/>
  </sheetPr>
  <dimension ref="A2:T105"/>
  <sheetViews>
    <sheetView showGridLines="0" zoomScale="90" zoomScaleNormal="90" zoomScaleSheetLayoutView="90" workbookViewId="0">
      <selection activeCell="C2" sqref="C2"/>
    </sheetView>
  </sheetViews>
  <sheetFormatPr baseColWidth="8" defaultColWidth="0" defaultRowHeight="12.6" customHeight="1" zeroHeight="1" outlineLevelRow="1"/>
  <cols>
    <col width="7.42578125" customWidth="1" style="7" min="1" max="1"/>
    <col width="27.5703125" customWidth="1" style="8" min="2" max="2"/>
    <col width="17" customWidth="1" style="8" min="3" max="3"/>
    <col width="41.5703125" customWidth="1" style="8" min="4" max="4"/>
    <col width="15.85546875" customWidth="1" style="8" min="5" max="5"/>
    <col width="18.85546875" customWidth="1" style="8" min="6" max="6"/>
    <col width="37.5703125" customWidth="1" style="8" min="7" max="7"/>
    <col width="51" customWidth="1" style="8" min="8" max="8"/>
    <col width="60.5703125" customWidth="1" style="8" min="9" max="9"/>
    <col width="58.140625" customWidth="1" style="8" min="10" max="10"/>
    <col width="51.140625" customWidth="1" style="8" min="11" max="11"/>
    <col width="34.85546875" customWidth="1" style="8" min="12" max="12"/>
    <col width="35.5703125" customWidth="1" style="8" min="13" max="13"/>
    <col width="36.140625" customWidth="1" style="8" min="14" max="14"/>
    <col width="19.42578125" customWidth="1" style="8" min="15" max="15"/>
    <col width="23.85546875" customWidth="1" style="8" min="16" max="16"/>
    <col hidden="1" width="11.85546875" customWidth="1" style="8" min="17" max="17"/>
    <col width="18.140625" customWidth="1" style="8" min="18" max="18"/>
    <col width="5.5703125" customWidth="1" style="8" min="19" max="20"/>
    <col hidden="1" width="13" customWidth="1" style="8" min="21" max="259"/>
    <col hidden="1" width="5.5703125" customWidth="1" style="8" min="260" max="16384"/>
  </cols>
  <sheetData>
    <row r="1" ht="12.75" customHeight="1"/>
    <row r="2" ht="15" customHeight="1">
      <c r="B2" s="31" t="inlineStr">
        <is>
          <t>Client:</t>
        </is>
      </c>
      <c r="C2" s="106">
        <f>'JET - overview'!C2</f>
        <v/>
      </c>
      <c r="D2" s="32" t="n"/>
      <c r="E2" s="31" t="inlineStr">
        <is>
          <t>Reference:</t>
        </is>
      </c>
      <c r="F2" s="106">
        <f>'JET - overview'!F2</f>
        <v/>
      </c>
      <c r="G2" s="32" t="n"/>
      <c r="H2" s="32" t="n"/>
      <c r="I2" s="32" t="n"/>
      <c r="J2" s="32" t="n"/>
      <c r="K2" s="32" t="n"/>
      <c r="L2" s="32" t="n"/>
      <c r="M2" s="32" t="n"/>
      <c r="P2" s="33" t="n"/>
      <c r="Q2" s="45" t="inlineStr">
        <is>
          <t>are</t>
        </is>
      </c>
      <c r="R2" s="34" t="n"/>
      <c r="S2" s="35" t="n"/>
    </row>
    <row r="3" ht="15" customHeight="1">
      <c r="B3" s="31" t="inlineStr">
        <is>
          <t>Year end:</t>
        </is>
      </c>
      <c r="C3" s="137">
        <f>'JET - overview'!C3</f>
        <v/>
      </c>
      <c r="D3" s="32" t="n"/>
      <c r="E3" s="31" t="inlineStr">
        <is>
          <t>Prepared by:</t>
        </is>
      </c>
      <c r="F3" s="106">
        <f>'JET - overview'!F3</f>
        <v/>
      </c>
      <c r="G3" s="32" t="n"/>
      <c r="H3" s="32" t="n"/>
      <c r="I3" s="32" t="n"/>
      <c r="J3" s="32" t="n"/>
      <c r="K3" s="32" t="n"/>
      <c r="L3" s="32" t="n"/>
      <c r="M3" s="32" t="n"/>
      <c r="P3" s="33" t="n"/>
      <c r="Q3" s="45" t="inlineStr">
        <is>
          <t>are not</t>
        </is>
      </c>
      <c r="R3" s="34" t="n"/>
      <c r="S3" s="35" t="n"/>
    </row>
    <row r="4" ht="15" customHeight="1">
      <c r="B4" s="31" t="n"/>
      <c r="C4" s="36" t="n"/>
      <c r="D4" s="32" t="n"/>
      <c r="E4" s="31" t="inlineStr">
        <is>
          <t>Date:</t>
        </is>
      </c>
      <c r="F4" s="137">
        <f>'JET - overview'!F4</f>
        <v/>
      </c>
      <c r="G4" s="32" t="n"/>
      <c r="H4" s="32" t="n"/>
      <c r="I4" s="32" t="n"/>
      <c r="J4" s="32" t="n"/>
      <c r="K4" s="32" t="n"/>
      <c r="L4" s="32" t="n"/>
      <c r="M4" s="32" t="n"/>
      <c r="P4" s="33" t="n"/>
      <c r="Q4" s="45" t="n"/>
      <c r="R4" s="34" t="n"/>
      <c r="S4" s="35" t="n"/>
    </row>
    <row r="5" ht="15" customHeight="1">
      <c r="B5" s="31" t="n"/>
      <c r="C5" s="37" t="n"/>
      <c r="D5" s="32" t="n"/>
      <c r="E5" s="31" t="inlineStr">
        <is>
          <t>Reviewed by:</t>
        </is>
      </c>
      <c r="F5" s="106">
        <f>'JET - overview'!F5</f>
        <v/>
      </c>
      <c r="G5" s="32" t="n"/>
      <c r="H5" s="32" t="n"/>
      <c r="I5" s="32" t="n"/>
      <c r="J5" s="32" t="n"/>
      <c r="K5" s="32" t="n"/>
      <c r="L5" s="32" t="n"/>
      <c r="M5" s="32" t="n"/>
      <c r="P5" s="33" t="n"/>
      <c r="Q5" s="45" t="n"/>
      <c r="R5" s="34" t="n"/>
      <c r="S5" s="35" t="n"/>
    </row>
    <row r="6" ht="15" customHeight="1">
      <c r="C6" s="34" t="n"/>
      <c r="D6" s="34" t="n"/>
      <c r="E6" s="31" t="inlineStr">
        <is>
          <t>Date:</t>
        </is>
      </c>
      <c r="F6" s="137">
        <f>'JET - overview'!F6</f>
        <v/>
      </c>
      <c r="G6" s="34" t="n"/>
      <c r="H6" s="34" t="n"/>
      <c r="I6" s="34" t="n"/>
      <c r="J6" s="34" t="n"/>
      <c r="K6" s="34" t="n"/>
      <c r="L6" s="34" t="n"/>
      <c r="M6" s="34" t="n"/>
      <c r="N6" s="34" t="n"/>
      <c r="O6" s="33" t="n"/>
      <c r="P6" s="33" t="n"/>
      <c r="Q6" s="45" t="n"/>
      <c r="R6" s="34" t="n"/>
      <c r="S6" s="35" t="n"/>
    </row>
    <row r="7" ht="12.75" customHeight="1"/>
    <row r="8" ht="23.25" customHeight="1">
      <c r="B8" s="38" t="n"/>
    </row>
    <row r="9" ht="112.35" customFormat="1" customHeight="1" s="21">
      <c r="A9" s="43" t="n"/>
      <c r="B9" s="159" t="inlineStr">
        <is>
          <t>STEP 3:
a) Make inquiries of inviduals involved in the financial reporting process about inappropriate or unusual activity relating the processing of journal entries and other adjustments (ISA 240.33.a.i)
b) Assess the risk of a material misstatement due to fraud
c) Determine the 'end reporting the period'
d) Select and test journal entries and other adjustments made at the end of a reporting period and consider the need to select and test journal entries and other adjustments throughout the period (ISA 240.33.a.ii&amp;iii)</t>
        </is>
      </c>
      <c r="I9" s="93" t="n"/>
      <c r="J9" s="93" t="n"/>
      <c r="K9" s="93" t="n"/>
      <c r="L9" s="93" t="n"/>
      <c r="M9" s="93" t="n"/>
      <c r="N9" s="43" t="n"/>
      <c r="O9" s="43" t="n"/>
      <c r="P9" s="43" t="n"/>
      <c r="Q9" s="43" t="n"/>
      <c r="R9" s="43" t="n"/>
      <c r="S9" s="44" t="n"/>
      <c r="T9" s="43" t="n"/>
    </row>
    <row r="10" ht="14.1" customHeight="1">
      <c r="B10" s="14" t="n"/>
      <c r="C10" s="14" t="n"/>
      <c r="D10" s="14" t="n"/>
      <c r="E10" s="14" t="n"/>
      <c r="F10" s="14" t="n"/>
      <c r="G10" s="14" t="n"/>
      <c r="H10" s="14" t="n"/>
      <c r="I10" s="14" t="n"/>
      <c r="J10" s="14" t="n"/>
    </row>
    <row r="11" ht="18" customHeight="1">
      <c r="A11" s="7" t="inlineStr">
        <is>
          <t>3a.</t>
        </is>
      </c>
      <c r="B11" s="234" t="inlineStr">
        <is>
          <t>Inquiry of management</t>
        </is>
      </c>
      <c r="C11" s="235" t="n"/>
      <c r="D11" s="235" t="n"/>
      <c r="E11" s="235" t="n"/>
      <c r="F11" s="235" t="n"/>
      <c r="G11" s="235" t="n"/>
      <c r="H11" s="236" t="n"/>
      <c r="I11" s="14" t="n"/>
      <c r="J11" s="14" t="n"/>
    </row>
    <row r="12" ht="14.1" customHeight="1">
      <c r="B12" s="46" t="n"/>
      <c r="H12" s="47" t="n"/>
      <c r="I12" s="14" t="n"/>
      <c r="J12" s="14" t="n"/>
    </row>
    <row r="13" ht="55" customHeight="1">
      <c r="B13" s="237" t="inlineStr">
        <is>
          <t>재무보고 과정에 관여하는 [재무팀장/회계담당자 성명·직위 입력]에게 분개처리와 관련한 부적절하거나 비경상적인 활동에 대해 질문함. 질문 결과, 부적절한 분개 또는 경영진의 통제 무력화를 시사하는 정황은 파악되지 않았으며, 결산·감사조정분개는 재무팀 검토 및 본사(VF) 보고체계를 거쳐 처리됨을 확인함.</t>
        </is>
      </c>
      <c r="C13" s="238" t="n"/>
      <c r="D13" s="238" t="n"/>
      <c r="E13" s="238" t="n"/>
      <c r="F13" s="238" t="n"/>
      <c r="G13" s="238" t="n"/>
      <c r="H13" s="239" t="n"/>
      <c r="I13" s="14" t="n"/>
      <c r="J13" s="14" t="n"/>
    </row>
    <row r="14" ht="14.1" customHeight="1">
      <c r="B14" s="14" t="n"/>
      <c r="C14" s="14" t="n"/>
      <c r="D14" s="14" t="n"/>
      <c r="E14" s="14" t="n"/>
      <c r="F14" s="14" t="n"/>
      <c r="G14" s="14" t="n"/>
      <c r="H14" s="14" t="n"/>
      <c r="I14" s="14" t="n"/>
      <c r="J14" s="14" t="n"/>
    </row>
    <row r="15" ht="13.7" customHeight="1">
      <c r="A15" s="7" t="inlineStr">
        <is>
          <t>3b.</t>
        </is>
      </c>
      <c r="B15" s="234" t="inlineStr">
        <is>
          <t>Assessment of risks of material misstatement due to fraud
In addition to inquiry as noted in points 3.a above, the engagement team is required to assess the risks of material misstatement due to fraud.
Should the engagement team identify fraud risk factors or gather other relevant information during their assessment, the engagement team should make reference to the respective working papers and make use of such information to identify specific classes of journal entries and other adjustments for the purpose of more specific testing. 
Where there is no indication of any fraud risk factors and the engagement did not come across other particular information to point them towards any inappropriate or unusual activity, please state so and proceed to perform other designed audit procedures for the purpose of this working paper template.</t>
        </is>
      </c>
      <c r="C15" s="235" t="n"/>
      <c r="D15" s="235" t="n"/>
      <c r="E15" s="235" t="n"/>
      <c r="F15" s="235" t="n"/>
      <c r="G15" s="235" t="n"/>
      <c r="H15" s="236" t="n"/>
      <c r="I15" s="14" t="n"/>
      <c r="J15" s="14" t="n"/>
    </row>
    <row r="16" ht="14.1" customHeight="1">
      <c r="B16" s="240" t="inlineStr">
        <is>
          <t>In addition to inquiry as noted in points 3.a above, the engagement team is required to assess the risks of material misstatement due to fraud.
Should the engagement team identify fraud risk factors or gather other relevant information during their assessment, the engagement team should make reference to the respective working papers and make use of such information to identify specific classes of journal entries and other adjustments for the purpose of more specific testing. 
Where there is no indication of any fraud risk factors and the engagement did not come across other particular information to point them towards any inappropriate or unusual activity, please state so and proceed to perform other designed audit procedures for the purpose of this working paper template.</t>
        </is>
      </c>
      <c r="C16" s="214" t="n"/>
      <c r="D16" s="214" t="n"/>
      <c r="E16" s="214" t="n"/>
      <c r="F16" s="214" t="n"/>
      <c r="G16" s="214" t="n"/>
      <c r="H16" s="241" t="n"/>
      <c r="I16" s="14" t="n"/>
      <c r="J16" s="14" t="n"/>
    </row>
    <row r="17" ht="101.25" customHeight="1">
      <c r="B17" s="242" t="n"/>
      <c r="C17" s="214" t="n"/>
      <c r="D17" s="214" t="n"/>
      <c r="E17" s="214" t="n"/>
      <c r="F17" s="214" t="n"/>
      <c r="G17" s="214" t="n"/>
      <c r="H17" s="241" t="n"/>
      <c r="I17" s="14" t="n"/>
      <c r="J17" s="14" t="n"/>
    </row>
    <row r="18" ht="15" customHeight="1">
      <c r="B18" s="243" t="inlineStr">
        <is>
          <t>부정위험평가 조서(Fraud risk assessment) 참조</t>
        </is>
      </c>
      <c r="C18" s="244" t="n"/>
      <c r="D18" s="244" t="n"/>
      <c r="E18" s="244" t="n"/>
      <c r="F18" s="244" t="n"/>
      <c r="G18" s="244" t="n"/>
      <c r="H18" s="245" t="n"/>
      <c r="I18" s="14" t="n"/>
      <c r="J18" s="14" t="n"/>
    </row>
    <row r="19" ht="15" customHeight="1">
      <c r="B19" s="102" t="n"/>
      <c r="C19" s="102" t="n"/>
      <c r="D19" s="102" t="n"/>
      <c r="E19" s="102" t="n"/>
      <c r="F19" s="102" t="n"/>
      <c r="G19" s="102" t="n"/>
      <c r="H19" s="102" t="n"/>
      <c r="I19" s="14" t="n"/>
      <c r="J19" s="14" t="n"/>
    </row>
    <row r="20" ht="13.7" customHeight="1">
      <c r="B20" s="14" t="n"/>
      <c r="C20" s="14" t="n"/>
      <c r="D20" s="14" t="n"/>
      <c r="E20" s="14" t="n"/>
      <c r="F20" s="14" t="n"/>
      <c r="G20" s="14" t="n"/>
      <c r="H20" s="14" t="n"/>
      <c r="I20" s="14" t="n"/>
      <c r="J20" s="14" t="n"/>
    </row>
    <row r="21" ht="18" customHeight="1">
      <c r="A21" s="7" t="inlineStr">
        <is>
          <t>3c.</t>
        </is>
      </c>
      <c r="B21" s="234" t="inlineStr">
        <is>
          <t xml:space="preserve">Determine the 'end of a reporting period' </t>
        </is>
      </c>
      <c r="C21" s="235" t="n"/>
      <c r="D21" s="235" t="n"/>
      <c r="E21" s="235" t="n"/>
      <c r="F21" s="235" t="n"/>
      <c r="G21" s="235" t="n"/>
      <c r="H21" s="236" t="n"/>
      <c r="I21" s="14" t="n"/>
      <c r="J21" s="14" t="n"/>
    </row>
    <row r="22" ht="15.75" customHeight="1">
      <c r="B22" s="90" t="inlineStr">
        <is>
          <t>There may be more than one reporting period. If this is the case, expand rows 28 to 39 and complete the information where appropriate.</t>
        </is>
      </c>
      <c r="C22" s="91" t="n"/>
      <c r="D22" s="91" t="n"/>
      <c r="E22" s="91" t="n"/>
      <c r="F22" s="91" t="n"/>
      <c r="G22" s="91" t="n"/>
      <c r="H22" s="82" t="n"/>
      <c r="I22" s="14" t="n"/>
      <c r="J22" s="14" t="n"/>
    </row>
    <row r="23" ht="14.45" customHeight="1">
      <c r="B23" s="83" t="n"/>
      <c r="H23" s="84" t="n"/>
      <c r="I23" s="14" t="n"/>
      <c r="J23" s="14" t="n"/>
    </row>
    <row r="24" ht="19.7" customHeight="1">
      <c r="B24" s="92" t="inlineStr">
        <is>
          <t>Year-end reporting</t>
        </is>
      </c>
      <c r="C24" s="24" t="n"/>
      <c r="D24" s="24" t="n"/>
      <c r="E24" s="14" t="n"/>
      <c r="F24" s="14" t="n"/>
      <c r="G24" s="14" t="n"/>
      <c r="H24" s="84" t="n"/>
      <c r="I24" s="14" t="n"/>
      <c r="J24" s="14" t="n"/>
    </row>
    <row r="25" ht="15" customHeight="1">
      <c r="B25" s="85" t="inlineStr">
        <is>
          <t>Start date</t>
        </is>
      </c>
      <c r="C25" s="213" t="inlineStr">
        <is>
          <t>2025-05-01</t>
        </is>
      </c>
      <c r="D25" s="108" t="n"/>
      <c r="E25" s="14" t="n"/>
      <c r="F25" s="14" t="n"/>
      <c r="G25" s="14" t="n"/>
      <c r="H25" s="84" t="n"/>
      <c r="I25" s="14" t="n"/>
      <c r="J25" s="14" t="n"/>
    </row>
    <row r="26" ht="13.7" customHeight="1">
      <c r="B26" s="85" t="inlineStr">
        <is>
          <t>End date</t>
        </is>
      </c>
      <c r="C26" s="213" t="inlineStr">
        <is>
          <t>2026-04-30</t>
        </is>
      </c>
      <c r="D26" s="108" t="n"/>
      <c r="E26" s="14" t="n"/>
      <c r="F26" s="14" t="n"/>
      <c r="G26" s="14" t="n"/>
      <c r="H26" s="84" t="n"/>
      <c r="I26" s="14" t="n"/>
      <c r="J26" s="14" t="n"/>
    </row>
    <row r="27" ht="13.7" customHeight="1">
      <c r="B27" s="86" t="n"/>
      <c r="C27" s="14" t="n"/>
      <c r="D27" s="14" t="n"/>
      <c r="E27" s="14" t="n"/>
      <c r="F27" s="14" t="n"/>
      <c r="G27" s="14" t="n"/>
      <c r="H27" s="84" t="n"/>
      <c r="I27" s="14" t="n"/>
      <c r="J27" s="14" t="n"/>
    </row>
    <row r="28" outlineLevel="1" ht="15" customHeight="1">
      <c r="B28" s="92" t="inlineStr">
        <is>
          <t>Semi-annual reporting</t>
        </is>
      </c>
      <c r="C28" s="24" t="n"/>
      <c r="D28" s="14" t="n"/>
      <c r="E28" s="14" t="n"/>
      <c r="F28" s="14" t="n"/>
      <c r="G28" s="14" t="n"/>
      <c r="H28" s="84" t="n"/>
      <c r="I28" s="14" t="n"/>
      <c r="J28" s="14" t="n"/>
    </row>
    <row r="29" outlineLevel="1" ht="13.7" customHeight="1">
      <c r="B29" s="85" t="inlineStr">
        <is>
          <t>Start date</t>
        </is>
      </c>
      <c r="C29" s="24" t="n"/>
      <c r="D29" s="108" t="n"/>
      <c r="E29" s="14" t="n"/>
      <c r="F29" s="14" t="n"/>
      <c r="G29" s="14" t="n"/>
      <c r="H29" s="84" t="n"/>
      <c r="I29" s="14" t="n"/>
      <c r="J29" s="14" t="n"/>
    </row>
    <row r="30" outlineLevel="1" ht="13.7" customHeight="1">
      <c r="B30" s="85" t="inlineStr">
        <is>
          <t>End date</t>
        </is>
      </c>
      <c r="C30" s="24" t="n"/>
      <c r="D30" s="108" t="n"/>
      <c r="E30" s="14" t="n"/>
      <c r="F30" s="14" t="n"/>
      <c r="G30" s="14" t="n"/>
      <c r="H30" s="84" t="n"/>
      <c r="I30" s="14" t="n"/>
      <c r="J30" s="14" t="n"/>
    </row>
    <row r="31" outlineLevel="1" ht="13.7" customHeight="1">
      <c r="B31" s="85" t="n"/>
      <c r="C31" s="14" t="n"/>
      <c r="D31" s="14" t="n"/>
      <c r="E31" s="14" t="n"/>
      <c r="F31" s="14" t="n"/>
      <c r="G31" s="14" t="n"/>
      <c r="H31" s="84" t="n"/>
      <c r="I31" s="14" t="n"/>
      <c r="J31" s="14" t="n"/>
    </row>
    <row r="32" outlineLevel="1" ht="13.7" customHeight="1">
      <c r="B32" s="92" t="inlineStr">
        <is>
          <t>Quarter-end reporting</t>
        </is>
      </c>
      <c r="C32" s="14" t="n"/>
      <c r="D32" s="14" t="n"/>
      <c r="E32" s="14" t="n"/>
      <c r="F32" s="14" t="n"/>
      <c r="G32" s="14" t="n"/>
      <c r="H32" s="84" t="n"/>
      <c r="I32" s="14" t="n"/>
      <c r="J32" s="14" t="n"/>
    </row>
    <row r="33" outlineLevel="1" ht="13.7" customHeight="1">
      <c r="B33" s="85" t="inlineStr">
        <is>
          <t>Start date</t>
        </is>
      </c>
      <c r="C33" s="24" t="n"/>
      <c r="D33" s="108" t="n"/>
      <c r="E33" s="14" t="n"/>
      <c r="F33" s="14" t="n"/>
      <c r="G33" s="14" t="n"/>
      <c r="H33" s="84" t="n"/>
      <c r="I33" s="14" t="n"/>
      <c r="J33" s="14" t="n"/>
    </row>
    <row r="34" outlineLevel="1" ht="13.7" customHeight="1">
      <c r="B34" s="85" t="inlineStr">
        <is>
          <t>End date</t>
        </is>
      </c>
      <c r="C34" s="24" t="n"/>
      <c r="D34" s="108" t="n"/>
      <c r="E34" s="14" t="n"/>
      <c r="F34" s="14" t="n"/>
      <c r="G34" s="14" t="n"/>
      <c r="H34" s="84" t="n"/>
      <c r="I34" s="14" t="n"/>
      <c r="J34" s="14" t="n"/>
    </row>
    <row r="35" outlineLevel="1" ht="13.7" customHeight="1">
      <c r="B35" s="85" t="n"/>
      <c r="C35" s="24" t="n"/>
      <c r="D35" s="14" t="n"/>
      <c r="E35" s="14" t="n"/>
      <c r="F35" s="14" t="n"/>
      <c r="G35" s="14" t="n"/>
      <c r="H35" s="84" t="n"/>
      <c r="I35" s="14" t="n"/>
      <c r="J35" s="14" t="n"/>
    </row>
    <row r="36" outlineLevel="1" ht="13.7" customHeight="1">
      <c r="B36" s="92" t="inlineStr">
        <is>
          <t>Month-end reporting</t>
        </is>
      </c>
      <c r="C36" s="14" t="n"/>
      <c r="D36" s="14" t="n"/>
      <c r="E36" s="14" t="n"/>
      <c r="F36" s="14" t="n"/>
      <c r="G36" s="14" t="n"/>
      <c r="H36" s="84" t="n"/>
      <c r="I36" s="14" t="n"/>
      <c r="J36" s="14" t="n"/>
    </row>
    <row r="37" outlineLevel="1" ht="13.7" customHeight="1">
      <c r="B37" s="85" t="inlineStr">
        <is>
          <t>Start date</t>
        </is>
      </c>
      <c r="C37" s="246" t="inlineStr">
        <is>
          <t>매월 1일</t>
        </is>
      </c>
      <c r="D37" s="108" t="n"/>
      <c r="E37" s="14" t="n"/>
      <c r="F37" s="14" t="n"/>
      <c r="G37" s="14" t="n"/>
      <c r="H37" s="84" t="n"/>
      <c r="I37" s="14" t="n"/>
      <c r="J37" s="14" t="n"/>
    </row>
    <row r="38" outlineLevel="1" ht="13.7" customHeight="1">
      <c r="B38" s="85" t="inlineStr">
        <is>
          <t>End date</t>
        </is>
      </c>
      <c r="C38" s="246" t="inlineStr">
        <is>
          <t>매월 말일</t>
        </is>
      </c>
      <c r="D38" s="108" t="n"/>
      <c r="E38" s="14" t="n"/>
      <c r="F38" s="14" t="n"/>
      <c r="G38" s="14" t="n"/>
      <c r="H38" s="84" t="n"/>
      <c r="I38" s="14" t="n"/>
      <c r="J38" s="14" t="n"/>
    </row>
    <row r="39" outlineLevel="1" ht="13.7" customHeight="1">
      <c r="B39" s="85" t="n"/>
      <c r="C39" s="14" t="n"/>
      <c r="D39" s="14" t="n"/>
      <c r="E39" s="14" t="n"/>
      <c r="F39" s="14" t="n"/>
      <c r="G39" s="14" t="n"/>
      <c r="H39" s="84" t="n"/>
      <c r="I39" s="14" t="n"/>
      <c r="J39" s="14" t="n"/>
    </row>
    <row r="40" outlineLevel="1" ht="13.7" customHeight="1">
      <c r="B40" s="85" t="n"/>
      <c r="C40" s="14" t="n"/>
      <c r="D40" s="14" t="n"/>
      <c r="E40" s="14" t="n"/>
      <c r="F40" s="14" t="n"/>
      <c r="G40" s="14" t="n"/>
      <c r="H40" s="84" t="n"/>
      <c r="I40" s="14" t="n"/>
      <c r="J40" s="14" t="n"/>
    </row>
    <row r="41" outlineLevel="1" ht="13.7" customHeight="1">
      <c r="B41" s="85" t="n"/>
      <c r="C41" s="14" t="n"/>
      <c r="D41" s="14" t="n"/>
      <c r="E41" s="14" t="n"/>
      <c r="F41" s="14" t="n"/>
      <c r="G41" s="14" t="n"/>
      <c r="H41" s="84" t="n"/>
      <c r="I41" s="14" t="n"/>
      <c r="J41" s="14" t="n"/>
    </row>
    <row r="42" outlineLevel="1" ht="13.7" customHeight="1">
      <c r="B42" s="85" t="n"/>
      <c r="C42" s="14" t="n"/>
      <c r="D42" s="14" t="n"/>
      <c r="E42" s="14" t="n"/>
      <c r="F42" s="14" t="n"/>
      <c r="G42" s="14" t="n"/>
      <c r="H42" s="84" t="n"/>
      <c r="I42" s="14" t="n"/>
      <c r="J42" s="14" t="n"/>
    </row>
    <row r="43" outlineLevel="1" ht="13.7" customHeight="1">
      <c r="B43" s="85" t="n"/>
      <c r="C43" s="14" t="n"/>
      <c r="D43" s="14" t="n"/>
      <c r="E43" s="14" t="n"/>
      <c r="F43" s="14" t="n"/>
      <c r="G43" s="14" t="n"/>
      <c r="H43" s="84" t="n"/>
      <c r="I43" s="14" t="n"/>
      <c r="J43" s="14" t="n"/>
    </row>
    <row r="44" outlineLevel="1" ht="13.7" customHeight="1">
      <c r="B44" s="85" t="n"/>
      <c r="C44" s="14" t="n"/>
      <c r="D44" s="14" t="n"/>
      <c r="E44" s="14" t="n"/>
      <c r="F44" s="14" t="n"/>
      <c r="G44" s="14" t="n"/>
      <c r="H44" s="84" t="n"/>
      <c r="I44" s="14" t="n"/>
      <c r="J44" s="14" t="n"/>
    </row>
    <row r="45" ht="13.7" customHeight="1">
      <c r="B45" s="87" t="n"/>
      <c r="C45" s="88" t="n"/>
      <c r="D45" s="88" t="n"/>
      <c r="E45" s="88" t="n"/>
      <c r="F45" s="88" t="n"/>
      <c r="G45" s="88" t="n"/>
      <c r="H45" s="89" t="n"/>
      <c r="I45" s="14" t="n"/>
      <c r="J45" s="14" t="n"/>
    </row>
    <row r="46" ht="13.7" customHeight="1">
      <c r="C46" s="14" t="n"/>
      <c r="D46" s="14" t="n"/>
      <c r="E46" s="14" t="n"/>
      <c r="F46" s="14" t="n"/>
      <c r="G46" s="14" t="n"/>
      <c r="H46" s="14" t="n"/>
      <c r="I46" s="14" t="n"/>
      <c r="J46" s="14" t="n"/>
    </row>
    <row r="47" ht="15.75" customFormat="1" customHeight="1" s="19">
      <c r="A47" s="7" t="inlineStr">
        <is>
          <t>3d.</t>
        </is>
      </c>
      <c r="B47" s="103" t="inlineStr">
        <is>
          <t xml:space="preserve"> Select and test journal entries and other adjustments made at the end of a reporting period and consider the need to select and test journal entries and other adjustments throughout the period (ISA 240.33.a.ii&amp;iii)</t>
        </is>
      </c>
    </row>
    <row r="48" ht="12.75" customFormat="1" customHeight="1" s="19"/>
    <row r="49" ht="15" customFormat="1" customHeight="1" s="19">
      <c r="B49" s="158" t="inlineStr">
        <is>
          <t>Population of journal entries and other adjustments made at the end of a reporting period and throughout the period (ISA 240.33.a.ii&amp;iii)</t>
        </is>
      </c>
      <c r="C49" s="214" t="n"/>
      <c r="D49" s="214" t="n"/>
      <c r="E49" s="214" t="n"/>
      <c r="F49" s="214" t="n"/>
      <c r="G49" s="214" t="n"/>
      <c r="H49" s="214" t="n"/>
      <c r="I49" s="214" t="n"/>
      <c r="J49" s="214" t="n"/>
    </row>
    <row r="50" ht="15" customFormat="1" customHeight="1" s="19">
      <c r="B50" s="81" t="inlineStr">
        <is>
          <t xml:space="preserve">We selected journal entries and other adjustments from the population per Step 3 for testing based on the characteristics identified below </t>
        </is>
      </c>
      <c r="I50" s="14" t="n"/>
    </row>
    <row r="51" ht="27.6" customFormat="1" customHeight="1" s="19">
      <c r="B51" s="71" t="n"/>
      <c r="C51" s="59" t="n"/>
      <c r="D51" s="59" t="n"/>
      <c r="E51" s="59" t="n"/>
      <c r="F51" s="59" t="n"/>
      <c r="G51" s="59" t="n"/>
      <c r="H51" s="183" t="inlineStr">
        <is>
          <t>Refer to "Decision Tree - step 3" tab for more details</t>
        </is>
      </c>
      <c r="I51" s="247" t="n"/>
      <c r="J51" s="247" t="n"/>
      <c r="K51" s="248" t="n"/>
      <c r="L51" s="73" t="n"/>
    </row>
    <row r="52" ht="46.7" customFormat="1" customHeight="1" s="19" thickBot="1">
      <c r="B52" s="80" t="n"/>
      <c r="C52" s="53" t="n"/>
      <c r="D52" s="53" t="n"/>
      <c r="E52" s="53" t="n"/>
      <c r="F52" s="53" t="n"/>
      <c r="G52" s="53" t="n"/>
      <c r="I52" s="132" t="inlineStr">
        <is>
          <t>If yes</t>
        </is>
      </c>
      <c r="J52" s="181" t="inlineStr">
        <is>
          <t>If no</t>
        </is>
      </c>
      <c r="K52" s="247" t="n"/>
      <c r="L52" s="74" t="n"/>
    </row>
    <row r="53" ht="101.45" customFormat="1" customHeight="1" s="19">
      <c r="B53" s="249" t="inlineStr">
        <is>
          <t xml:space="preserve">Fraud risk criteria </t>
        </is>
      </c>
      <c r="C53" s="250" t="n"/>
      <c r="D53" s="251" t="inlineStr">
        <is>
          <t xml:space="preserve">Justify the selection of the fraud risk criteria </t>
        </is>
      </c>
      <c r="E53" s="250" t="n"/>
      <c r="F53" s="252" t="inlineStr">
        <is>
          <t xml:space="preserve">Limited to JE and adjustments made at the end of a reporting period? (Yes/No + why)
</t>
        </is>
      </c>
      <c r="G53" s="250" t="n"/>
      <c r="H53" s="124" t="inlineStr">
        <is>
          <t>Do you think you have false positives in your selection? (entries which you do not consider to be fraud risk related?) 
(Yes/No)</t>
        </is>
      </c>
      <c r="I53" s="130" t="inlineStr">
        <is>
          <t>Justify why the criteria used are not indicative for a fraud risk.</t>
        </is>
      </c>
      <c r="J53" s="119" t="inlineStr">
        <is>
          <t>Is the individual JE already explicitly tested in the normal course of the audit? 
If yes -&gt; no further procedures required
If no -&gt; test ALL identified JE below</t>
        </is>
      </c>
      <c r="K53" s="131" t="inlineStr">
        <is>
          <t>Reference to testing procedures in the normal course of the audit.</t>
        </is>
      </c>
      <c r="P53" s="27" t="n"/>
    </row>
    <row r="54" ht="34" customFormat="1" customHeight="1" s="48">
      <c r="B54" s="253" t="inlineStr">
        <is>
          <t>① 기말/결산시점 수기 결산·재분류·감사조정 분개 (계정 대체·reclass)</t>
        </is>
      </c>
      <c r="C54" s="226" t="n"/>
      <c r="D54" s="254" t="inlineStr">
        <is>
          <t>결산·감사조정 과정에서 경영진 판단이 개입되어 통제 무력화 위험이 높음</t>
        </is>
      </c>
      <c r="E54" s="226" t="n"/>
      <c r="F54" s="255" t="inlineStr">
        <is>
          <t>Yes</t>
        </is>
      </c>
      <c r="G54" s="177" t="n"/>
      <c r="H54" s="256" t="inlineStr">
        <is>
          <t>No</t>
        </is>
      </c>
      <c r="I54" s="257" t="inlineStr"/>
      <c r="J54" s="254" t="inlineStr">
        <is>
          <t>일부는 관련 계정 실증절차에서 테스트됨 → 미테스트 항목 전수 테스트</t>
        </is>
      </c>
      <c r="K54" s="125" t="n"/>
      <c r="L54" s="19" t="n"/>
      <c r="M54" s="19" t="n"/>
      <c r="N54" s="19" t="n"/>
      <c r="O54" s="19" t="n"/>
    </row>
    <row r="55" ht="34" customFormat="1" customHeight="1" s="48">
      <c r="B55" s="253" t="inlineStr">
        <is>
          <t>② 비경상·미사용(seldom-used) 계정으로의 분개 (전기오류수정·유형자산처분손실·파생상품손실·영업권 등)</t>
        </is>
      </c>
      <c r="C55" s="226" t="n"/>
      <c r="D55" s="254" t="inlineStr">
        <is>
          <t>연중 사용빈도가 극히 낮은 계정은 비정상 분개의 은닉 통로가 될 수 있음</t>
        </is>
      </c>
      <c r="E55" s="226" t="n"/>
      <c r="F55" s="255" t="inlineStr">
        <is>
          <t>No</t>
        </is>
      </c>
      <c r="G55" s="177" t="n"/>
      <c r="H55" s="256" t="inlineStr">
        <is>
          <t>No</t>
        </is>
      </c>
      <c r="I55" s="257" t="inlineStr"/>
      <c r="J55" s="254" t="inlineStr">
        <is>
          <t>No → 식별 분개 전수 테스트</t>
        </is>
      </c>
      <c r="K55" s="125" t="n"/>
      <c r="L55" s="19" t="n"/>
      <c r="M55" s="19" t="n"/>
      <c r="N55" s="19" t="n"/>
      <c r="O55" s="19" t="n"/>
    </row>
    <row r="56" ht="34" customFormat="1" customHeight="1" s="48">
      <c r="B56" s="253" t="inlineStr">
        <is>
          <t>③ 임시·미결산 성격 계정(잡손실·잡이익) 대체분개</t>
        </is>
      </c>
      <c r="C56" s="226" t="n"/>
      <c r="D56" s="254" t="inlineStr">
        <is>
          <t>손익 조정 목적의 임시계정 이용 가능성 고려</t>
        </is>
      </c>
      <c r="E56" s="226" t="n"/>
      <c r="F56" s="255" t="inlineStr">
        <is>
          <t>No</t>
        </is>
      </c>
      <c r="G56" s="177" t="n"/>
      <c r="H56" s="256" t="inlineStr">
        <is>
          <t>No</t>
        </is>
      </c>
      <c r="I56" s="257" t="inlineStr"/>
      <c r="J56" s="254" t="inlineStr">
        <is>
          <t>No → 식별 분개 전수 테스트</t>
        </is>
      </c>
      <c r="K56" s="125" t="n"/>
      <c r="L56" s="19" t="n"/>
      <c r="M56" s="19" t="n"/>
      <c r="N56" s="19" t="n"/>
      <c r="O56" s="19" t="n"/>
    </row>
    <row r="57" ht="34" customFormat="1" customHeight="1" s="48">
      <c r="B57" s="253" t="inlineStr">
        <is>
          <t>④ 매출/VFF·충당금 등 유의계정에 대한 기말 조정분개</t>
        </is>
      </c>
      <c r="C57" s="226" t="n"/>
      <c r="D57" s="254" t="inlineStr">
        <is>
          <t>수익인식 및 추정치 조작 위험 고려(ISA 240 수익 추정 부정위험)</t>
        </is>
      </c>
      <c r="E57" s="226" t="n"/>
      <c r="F57" s="255" t="inlineStr">
        <is>
          <t>Yes</t>
        </is>
      </c>
      <c r="G57" s="177" t="n"/>
      <c r="H57" s="256" t="inlineStr">
        <is>
          <t>No</t>
        </is>
      </c>
      <c r="I57" s="257" t="inlineStr"/>
      <c r="J57" s="254" t="inlineStr">
        <is>
          <t>관련 회계추정치 조서(B1-3·C-4·Tax·N2)와 연계 테스트</t>
        </is>
      </c>
      <c r="K57" s="125" t="n"/>
      <c r="L57" s="19" t="n"/>
      <c r="M57" s="19" t="n"/>
      <c r="N57" s="19" t="n"/>
      <c r="O57" s="19" t="n"/>
    </row>
    <row r="58" ht="34" customFormat="1" customHeight="1" s="48">
      <c r="B58" s="176" t="n"/>
      <c r="C58" s="226" t="n"/>
      <c r="D58" s="177" t="n"/>
      <c r="E58" s="226" t="n"/>
      <c r="F58" s="177" t="n"/>
      <c r="G58" s="177" t="n"/>
      <c r="H58" s="113" t="n"/>
      <c r="I58" s="114" t="n"/>
      <c r="J58" s="177" t="n"/>
      <c r="K58" s="125" t="n"/>
      <c r="L58" s="19" t="n"/>
      <c r="M58" s="19" t="n"/>
      <c r="N58" s="19" t="n"/>
      <c r="O58" s="19" t="n"/>
    </row>
    <row r="59" ht="34" customFormat="1" customHeight="1" s="48">
      <c r="B59" s="176" t="n"/>
      <c r="C59" s="226" t="n"/>
      <c r="D59" s="177" t="n"/>
      <c r="E59" s="226" t="n"/>
      <c r="F59" s="177" t="n"/>
      <c r="G59" s="177" t="n"/>
      <c r="H59" s="113" t="n"/>
      <c r="I59" s="114" t="n"/>
      <c r="J59" s="177" t="n"/>
      <c r="K59" s="125" t="n"/>
      <c r="L59" s="19" t="n"/>
      <c r="M59" s="19" t="n"/>
      <c r="N59" s="19" t="n"/>
      <c r="O59" s="19" t="n"/>
    </row>
    <row r="60" ht="34" customFormat="1" customHeight="1" s="48">
      <c r="B60" s="176" t="n"/>
      <c r="C60" s="226" t="n"/>
      <c r="D60" s="177" t="n"/>
      <c r="E60" s="226" t="n"/>
      <c r="F60" s="177" t="n"/>
      <c r="G60" s="177" t="n"/>
      <c r="H60" s="113" t="n"/>
      <c r="I60" s="114" t="n"/>
      <c r="J60" s="177" t="n"/>
      <c r="K60" s="125" t="n"/>
      <c r="L60" s="19" t="n"/>
      <c r="M60" s="19" t="n"/>
      <c r="N60" s="19" t="n"/>
      <c r="O60" s="19" t="n"/>
    </row>
    <row r="61" ht="34" customFormat="1" customHeight="1" s="48">
      <c r="B61" s="176" t="n"/>
      <c r="C61" s="226" t="n"/>
      <c r="D61" s="177" t="n"/>
      <c r="E61" s="226" t="n"/>
      <c r="F61" s="177" t="n"/>
      <c r="G61" s="177" t="n"/>
      <c r="H61" s="113" t="n"/>
      <c r="I61" s="114" t="n"/>
      <c r="J61" s="177" t="n"/>
      <c r="K61" s="125" t="n"/>
      <c r="L61" s="19" t="n"/>
      <c r="M61" s="19" t="n"/>
      <c r="N61" s="19" t="n"/>
      <c r="O61" s="19" t="n"/>
    </row>
    <row r="62" ht="34" customFormat="1" customHeight="1" s="48">
      <c r="B62" s="176" t="n"/>
      <c r="C62" s="226" t="n"/>
      <c r="D62" s="177" t="n"/>
      <c r="E62" s="226" t="n"/>
      <c r="F62" s="177" t="n"/>
      <c r="G62" s="177" t="n"/>
      <c r="H62" s="113" t="n"/>
      <c r="I62" s="114" t="n"/>
      <c r="J62" s="177" t="n"/>
      <c r="K62" s="125" t="n"/>
      <c r="L62" s="19" t="n"/>
      <c r="M62" s="19" t="n"/>
      <c r="N62" s="19" t="n"/>
      <c r="O62" s="19" t="n"/>
    </row>
    <row r="63" ht="34" customFormat="1" customHeight="1" s="48" thickBot="1">
      <c r="B63" s="200" t="n"/>
      <c r="C63" s="233" t="n"/>
      <c r="D63" s="201" t="n"/>
      <c r="E63" s="233" t="n"/>
      <c r="F63" s="201" t="n"/>
      <c r="G63" s="201" t="n"/>
      <c r="H63" s="127" t="n"/>
      <c r="I63" s="128" t="n"/>
      <c r="J63" s="201" t="n"/>
      <c r="K63" s="129" t="n"/>
      <c r="L63" s="19" t="n"/>
      <c r="M63" s="19" t="n"/>
      <c r="N63" s="19" t="n"/>
      <c r="O63" s="19" t="n"/>
    </row>
    <row r="64" ht="12.75" customFormat="1" customHeight="1" s="19"/>
    <row r="65" ht="12.75" customFormat="1" customHeight="1" s="19"/>
    <row r="66" ht="13.7" customFormat="1" customHeight="1" s="19">
      <c r="A66" s="28" t="n"/>
      <c r="B66" s="60" t="n"/>
      <c r="C66" s="60" t="n"/>
      <c r="D66" s="61" t="n"/>
      <c r="E66" s="61" t="n"/>
      <c r="F66" s="60" t="n"/>
      <c r="G66" s="60" t="n"/>
      <c r="H66" s="60" t="n"/>
      <c r="I66" s="60" t="n"/>
      <c r="J66" s="60" t="n"/>
      <c r="K66" s="62" t="n"/>
      <c r="M66" s="62" t="n"/>
      <c r="N66" s="62" t="n"/>
      <c r="O66" s="62" t="n"/>
      <c r="P66" s="62" t="n"/>
      <c r="Q66" s="62" t="n"/>
    </row>
    <row r="67" ht="14.1" customFormat="1" customHeight="1" s="19">
      <c r="A67" s="28" t="n"/>
      <c r="B67" s="60" t="n"/>
      <c r="C67" s="60" t="n"/>
      <c r="D67" s="61" t="n"/>
      <c r="E67" s="61" t="n"/>
      <c r="F67" s="60" t="n"/>
      <c r="G67" s="60" t="n"/>
      <c r="H67" s="60" t="n"/>
      <c r="I67" s="60" t="n"/>
      <c r="J67" s="60" t="n"/>
      <c r="K67" s="62" t="n"/>
      <c r="L67" s="62" t="n"/>
      <c r="M67" s="62" t="n"/>
      <c r="N67" s="62" t="n"/>
      <c r="O67" s="62" t="n"/>
      <c r="P67" s="62" t="n"/>
      <c r="Q67" s="62" t="n"/>
    </row>
    <row r="68" ht="21" customFormat="1" customHeight="1" s="66">
      <c r="A68" s="63" t="n"/>
      <c r="B68" s="64" t="inlineStr">
        <is>
          <t>Document results of journal entries and other adjustments testing</t>
        </is>
      </c>
      <c r="C68" s="65" t="n"/>
      <c r="D68" s="65" t="n"/>
      <c r="E68" s="65" t="n"/>
      <c r="F68" s="65" t="n"/>
      <c r="G68" s="65" t="n"/>
    </row>
    <row r="69" ht="14.1" customFormat="1" customHeight="1" s="19" thickBot="1">
      <c r="A69" s="28" t="n"/>
      <c r="B69" s="60" t="n"/>
      <c r="C69" s="60" t="n"/>
      <c r="D69" s="61" t="n"/>
      <c r="E69" s="61" t="n"/>
      <c r="F69" s="60" t="n"/>
      <c r="G69" s="60" t="n"/>
      <c r="H69" s="60" t="n"/>
      <c r="I69" s="60" t="n"/>
      <c r="J69" s="60" t="n"/>
      <c r="K69" s="62" t="n"/>
      <c r="L69" s="62" t="n"/>
      <c r="M69" s="62" t="n"/>
      <c r="N69" s="62" t="n"/>
      <c r="O69" s="62" t="n"/>
      <c r="P69" s="62" t="n"/>
      <c r="Q69" s="62" t="n"/>
    </row>
    <row r="70" ht="19.5" customHeight="1" thickBot="1">
      <c r="B70" s="72" t="inlineStr">
        <is>
          <t>Entries identified in Step 3</t>
        </is>
      </c>
      <c r="I70" s="258" t="inlineStr">
        <is>
          <t>In case exeptions are noted:</t>
        </is>
      </c>
      <c r="J70" s="224" t="n"/>
      <c r="K70" s="224" t="n"/>
      <c r="L70" s="224" t="n"/>
      <c r="M70" s="259" t="n"/>
    </row>
    <row r="71" ht="57.95" customFormat="1" customHeight="1" s="10">
      <c r="A71" s="12" t="n"/>
      <c r="B71" s="178" t="inlineStr">
        <is>
          <t>Date of journal / adjustment</t>
        </is>
      </c>
      <c r="C71" s="160" t="inlineStr">
        <is>
          <t>Booking reference</t>
        </is>
      </c>
      <c r="D71" s="160" t="inlineStr">
        <is>
          <t>Type of journal / adjustment</t>
        </is>
      </c>
      <c r="E71" s="160" t="inlineStr">
        <is>
          <t xml:space="preserve">Description of transaction
 </t>
        </is>
      </c>
      <c r="F71" s="160" t="inlineStr">
        <is>
          <t xml:space="preserve">Amount
</t>
        </is>
      </c>
      <c r="G71" s="160" t="inlineStr">
        <is>
          <t>Reference to supporting documentation</t>
        </is>
      </c>
      <c r="H71" s="160" t="inlineStr">
        <is>
          <t>Exception noted?
(Yes/No)</t>
        </is>
      </c>
      <c r="I71" s="160" t="inlineStr">
        <is>
          <t>Preparer / 
Date of preparation</t>
        </is>
      </c>
      <c r="J71" s="160" t="inlineStr">
        <is>
          <t>Reviewer /
Date of review</t>
        </is>
      </c>
      <c r="K71" s="160" t="inlineStr">
        <is>
          <t>Approver / 
Date of approval</t>
        </is>
      </c>
      <c r="L71" s="160" t="inlineStr">
        <is>
          <t>Individual who posts to GL/ 
Date of posting</t>
        </is>
      </c>
      <c r="M71" s="186" t="inlineStr">
        <is>
          <t>Follow up</t>
        </is>
      </c>
    </row>
    <row r="72" ht="26" customFormat="1" customHeight="1" s="19">
      <c r="A72" s="18" t="n"/>
      <c r="B72" s="260" t="inlineStr">
        <is>
          <t>2026-04-30</t>
        </is>
      </c>
      <c r="C72" s="261" t="inlineStr">
        <is>
          <t>-</t>
        </is>
      </c>
      <c r="D72" s="254" t="inlineStr">
        <is>
          <t>감사조정</t>
        </is>
      </c>
      <c r="E72" s="254" t="inlineStr">
        <is>
          <t>(800000)VFF model income — FY26 감사조정사항_VFF Reclass (영업외→판관)</t>
        </is>
      </c>
      <c r="F72" s="262" t="n">
        <v>34966850055</v>
      </c>
      <c r="G72" s="254" t="inlineStr">
        <is>
          <t>Tax .1 / 세무조정</t>
        </is>
      </c>
      <c r="H72" s="263" t="inlineStr">
        <is>
          <t>No</t>
        </is>
      </c>
      <c r="I72" s="111" t="n"/>
      <c r="J72" s="141" t="n"/>
      <c r="K72" s="111" t="n"/>
      <c r="L72" s="111" t="n"/>
      <c r="M72" s="142" t="n"/>
    </row>
    <row r="73" ht="26" customFormat="1" customHeight="1" s="19">
      <c r="A73" s="18" t="n"/>
      <c r="B73" s="260" t="inlineStr">
        <is>
          <t>2026-04-30</t>
        </is>
      </c>
      <c r="C73" s="261" t="inlineStr">
        <is>
          <t>-</t>
        </is>
      </c>
      <c r="D73" s="254" t="inlineStr">
        <is>
          <t>결산(제거)</t>
        </is>
      </c>
      <c r="E73" s="254" t="inlineStr">
        <is>
          <t>(185510)ROU Asset Accum — FY26 US 리스분개 제거분개</t>
        </is>
      </c>
      <c r="F73" s="262" t="n">
        <v>7984693312</v>
      </c>
      <c r="G73" s="254" t="inlineStr">
        <is>
          <t>리스 조서</t>
        </is>
      </c>
      <c r="H73" s="263" t="inlineStr">
        <is>
          <t>No</t>
        </is>
      </c>
      <c r="I73" s="111" t="n"/>
      <c r="J73" s="141" t="n"/>
      <c r="K73" s="111" t="n"/>
      <c r="L73" s="111" t="n"/>
      <c r="M73" s="142" t="n"/>
    </row>
    <row r="74" ht="26" customFormat="1" customHeight="1" s="19">
      <c r="A74" s="18" t="n"/>
      <c r="B74" s="260" t="inlineStr">
        <is>
          <t>2026-04-30</t>
        </is>
      </c>
      <c r="C74" s="261" t="inlineStr">
        <is>
          <t>-</t>
        </is>
      </c>
      <c r="D74" s="254" t="inlineStr">
        <is>
          <t>감사조정</t>
        </is>
      </c>
      <c r="E74" s="254" t="inlineStr">
        <is>
          <t>지급수수료_기타(KR) — FY25 감사조정사항_DCE 재분류(영업외→판관비)</t>
        </is>
      </c>
      <c r="F74" s="262" t="n">
        <v>225732726</v>
      </c>
      <c r="G74" s="254" t="inlineStr">
        <is>
          <t>감사조정 명세</t>
        </is>
      </c>
      <c r="H74" s="263" t="inlineStr">
        <is>
          <t>No</t>
        </is>
      </c>
      <c r="I74" s="111" t="n"/>
      <c r="J74" s="141" t="n"/>
      <c r="K74" s="111" t="n"/>
      <c r="L74" s="111" t="n"/>
      <c r="M74" s="142" t="n"/>
    </row>
    <row r="75" ht="26" customFormat="1" customHeight="1" s="19">
      <c r="A75" s="18" t="n"/>
      <c r="B75" s="260" t="inlineStr">
        <is>
          <t>2026-04-30</t>
        </is>
      </c>
      <c r="C75" s="261" t="inlineStr">
        <is>
          <t>-</t>
        </is>
      </c>
      <c r="D75" s="254" t="inlineStr">
        <is>
          <t>감사조정</t>
        </is>
      </c>
      <c r="E75" s="254" t="inlineStr">
        <is>
          <t>수선비(KR) — FY26 감사조정사항_수선비·포장비(원가→판관)</t>
        </is>
      </c>
      <c r="F75" s="262" t="n">
        <v>150897377</v>
      </c>
      <c r="G75" s="254" t="inlineStr">
        <is>
          <t>감사조정 명세</t>
        </is>
      </c>
      <c r="H75" s="263" t="inlineStr">
        <is>
          <t>No</t>
        </is>
      </c>
      <c r="I75" s="111" t="n"/>
      <c r="J75" s="141" t="n"/>
      <c r="K75" s="111" t="n"/>
      <c r="L75" s="111" t="n"/>
      <c r="M75" s="142" t="n"/>
    </row>
    <row r="76" ht="26" customFormat="1" customHeight="1" s="19">
      <c r="A76" s="18" t="n"/>
      <c r="B76" s="260" t="inlineStr">
        <is>
          <t>2025-05-31</t>
        </is>
      </c>
      <c r="C76" s="261" t="inlineStr">
        <is>
          <t>-</t>
        </is>
      </c>
      <c r="D76" s="254" t="inlineStr">
        <is>
          <t>수기(비경상)</t>
        </is>
      </c>
      <c r="E76" s="254" t="inlineStr">
        <is>
          <t>(730051)파생상품거래손실 — NFD Hedge 5월</t>
        </is>
      </c>
      <c r="F76" s="262" t="n">
        <v>382583282</v>
      </c>
      <c r="G76" s="254" t="inlineStr">
        <is>
          <t>파생상품 조서</t>
        </is>
      </c>
      <c r="H76" s="263" t="inlineStr">
        <is>
          <t>No</t>
        </is>
      </c>
      <c r="I76" s="111" t="n"/>
      <c r="J76" s="141" t="n"/>
      <c r="K76" s="111" t="n"/>
      <c r="L76" s="111" t="n"/>
      <c r="M76" s="142" t="n"/>
    </row>
    <row r="77" ht="26" customFormat="1" customHeight="1" s="19">
      <c r="A77" s="18" t="n"/>
      <c r="B77" s="260" t="inlineStr">
        <is>
          <t>2026-04-30</t>
        </is>
      </c>
      <c r="C77" s="261" t="inlineStr">
        <is>
          <t>-</t>
        </is>
      </c>
      <c r="D77" s="254" t="inlineStr">
        <is>
          <t>재분류</t>
        </is>
      </c>
      <c r="E77" s="254" t="inlineStr">
        <is>
          <t>(664115)유형자산처분손실 — AK원주점 폐점 고정자산 정리</t>
        </is>
      </c>
      <c r="F77" s="262" t="n">
        <v>28699992</v>
      </c>
      <c r="G77" s="254" t="inlineStr">
        <is>
          <t>유형자산 조서</t>
        </is>
      </c>
      <c r="H77" s="263" t="inlineStr">
        <is>
          <t>No</t>
        </is>
      </c>
      <c r="I77" s="111" t="n"/>
      <c r="J77" s="141" t="n"/>
      <c r="K77" s="111" t="n"/>
      <c r="L77" s="111" t="n"/>
      <c r="M77" s="142" t="n"/>
    </row>
    <row r="78" ht="26" customFormat="1" customHeight="1" s="19">
      <c r="A78" s="18" t="n"/>
      <c r="B78" s="260" t="inlineStr">
        <is>
          <t>2026-04-01</t>
        </is>
      </c>
      <c r="C78" s="261" t="inlineStr">
        <is>
          <t>-</t>
        </is>
      </c>
      <c r="D78" s="254" t="inlineStr">
        <is>
          <t>수정분개</t>
        </is>
      </c>
      <c r="E78" s="254" t="inlineStr">
        <is>
          <t>(263500)Lease Liability — Lease entries 수정(2023.9월분 누락)</t>
        </is>
      </c>
      <c r="F78" s="262" t="n">
        <v>14800000</v>
      </c>
      <c r="G78" s="254" t="inlineStr">
        <is>
          <t>리스 조서</t>
        </is>
      </c>
      <c r="H78" s="263" t="inlineStr">
        <is>
          <t>No</t>
        </is>
      </c>
      <c r="I78" s="111" t="n"/>
      <c r="J78" s="141" t="n"/>
      <c r="K78" s="111" t="n"/>
      <c r="L78" s="111" t="n"/>
      <c r="M78" s="142" t="n"/>
    </row>
    <row r="79" ht="26" customFormat="1" customHeight="1" s="19">
      <c r="A79" s="18" t="n"/>
      <c r="B79" s="260" t="inlineStr">
        <is>
          <t>2026-04-30</t>
        </is>
      </c>
      <c r="C79" s="261" t="inlineStr">
        <is>
          <t>-</t>
        </is>
      </c>
      <c r="D79" s="254" t="inlineStr">
        <is>
          <t>결산</t>
        </is>
      </c>
      <c r="E79" s="254" t="inlineStr">
        <is>
          <t>(671030)지급수수료_전문용역 — FY26 딜로이트 세무조정 보수</t>
        </is>
      </c>
      <c r="F79" s="262" t="n">
        <v>9400000</v>
      </c>
      <c r="G79" s="254" t="inlineStr">
        <is>
          <t>증빙(계약/청구)</t>
        </is>
      </c>
      <c r="H79" s="263" t="inlineStr">
        <is>
          <t>No</t>
        </is>
      </c>
      <c r="I79" s="111" t="n"/>
      <c r="J79" s="141" t="n"/>
      <c r="K79" s="111" t="n"/>
      <c r="L79" s="111" t="n"/>
      <c r="M79" s="142" t="n"/>
    </row>
    <row r="80" ht="26" customFormat="1" customHeight="1" s="19">
      <c r="A80" s="18" t="n"/>
      <c r="B80" s="260" t="inlineStr">
        <is>
          <t>2026-04-30</t>
        </is>
      </c>
      <c r="C80" s="261" t="inlineStr">
        <is>
          <t>-</t>
        </is>
      </c>
      <c r="D80" s="254" t="inlineStr">
        <is>
          <t>결산</t>
        </is>
      </c>
      <c r="E80" s="254" t="inlineStr">
        <is>
          <t>(672000)대손상각비/(112000)대손충당금 — 대손충당금 설정</t>
        </is>
      </c>
      <c r="F80" s="262" t="n">
        <v>65944315</v>
      </c>
      <c r="G80" s="254" t="inlineStr">
        <is>
          <t>매출채권 조서 B1-3</t>
        </is>
      </c>
      <c r="H80" s="263" t="inlineStr">
        <is>
          <t>No</t>
        </is>
      </c>
      <c r="I80" s="111" t="n"/>
      <c r="J80" s="141" t="n"/>
      <c r="K80" s="111" t="n"/>
      <c r="L80" s="111" t="n"/>
      <c r="M80" s="142" t="n"/>
    </row>
    <row r="81" ht="14.1" customFormat="1" customHeight="1" s="19">
      <c r="A81" s="18" t="n"/>
      <c r="B81" s="133" t="n"/>
      <c r="C81" s="111" t="n"/>
      <c r="D81" s="111" t="n"/>
      <c r="E81" s="111" t="n"/>
      <c r="F81" s="146" t="n"/>
      <c r="G81" s="111" t="n"/>
      <c r="H81" s="140" t="n"/>
      <c r="I81" s="111" t="n"/>
      <c r="J81" s="141" t="n"/>
      <c r="K81" s="111" t="n"/>
      <c r="L81" s="111" t="n"/>
      <c r="M81" s="142" t="n"/>
    </row>
    <row r="82" ht="14.1" customFormat="1" customHeight="1" s="19">
      <c r="A82" s="18" t="n"/>
      <c r="B82" s="133" t="n"/>
      <c r="C82" s="111" t="n"/>
      <c r="D82" s="111" t="n"/>
      <c r="E82" s="111" t="n"/>
      <c r="F82" s="146" t="n"/>
      <c r="G82" s="111" t="n"/>
      <c r="H82" s="140" t="n"/>
      <c r="I82" s="111" t="n"/>
      <c r="J82" s="141" t="n"/>
      <c r="K82" s="111" t="n"/>
      <c r="L82" s="111" t="n"/>
      <c r="M82" s="142" t="n"/>
    </row>
    <row r="83" ht="14.1" customFormat="1" customHeight="1" s="19">
      <c r="A83" s="18" t="n"/>
      <c r="B83" s="133" t="n"/>
      <c r="C83" s="111" t="n"/>
      <c r="D83" s="111" t="n"/>
      <c r="E83" s="111" t="n"/>
      <c r="F83" s="146" t="n"/>
      <c r="G83" s="111" t="n"/>
      <c r="H83" s="140" t="n"/>
      <c r="I83" s="111" t="n"/>
      <c r="J83" s="141" t="n"/>
      <c r="K83" s="111" t="n"/>
      <c r="L83" s="111" t="n"/>
      <c r="M83" s="142" t="n"/>
    </row>
    <row r="84" ht="14.1" customFormat="1" customHeight="1" s="19">
      <c r="A84" s="18" t="n"/>
      <c r="B84" s="133" t="n"/>
      <c r="C84" s="111" t="n"/>
      <c r="D84" s="111" t="n"/>
      <c r="E84" s="111" t="n"/>
      <c r="F84" s="146" t="n"/>
      <c r="G84" s="111" t="n"/>
      <c r="H84" s="140" t="n"/>
      <c r="I84" s="111" t="n"/>
      <c r="J84" s="141" t="n"/>
      <c r="K84" s="111" t="n"/>
      <c r="L84" s="111" t="n"/>
      <c r="M84" s="142" t="n"/>
    </row>
    <row r="85" ht="14.1" customFormat="1" customHeight="1" s="19">
      <c r="A85" s="18" t="n"/>
      <c r="B85" s="133" t="n"/>
      <c r="C85" s="111" t="n"/>
      <c r="D85" s="111" t="n"/>
      <c r="E85" s="111" t="n"/>
      <c r="F85" s="146" t="n"/>
      <c r="G85" s="111" t="n"/>
      <c r="H85" s="140" t="n"/>
      <c r="I85" s="111" t="n"/>
      <c r="J85" s="141" t="n"/>
      <c r="K85" s="111" t="n"/>
      <c r="L85" s="111" t="n"/>
      <c r="M85" s="142" t="n"/>
    </row>
    <row r="86" ht="14.1" customFormat="1" customHeight="1" s="19">
      <c r="A86" s="26" t="n"/>
      <c r="B86" s="133" t="n"/>
      <c r="C86" s="111" t="n"/>
      <c r="D86" s="111" t="n"/>
      <c r="E86" s="111" t="n"/>
      <c r="F86" s="146" t="n"/>
      <c r="G86" s="111" t="n"/>
      <c r="H86" s="140" t="n"/>
      <c r="I86" s="111" t="n"/>
      <c r="J86" s="141" t="n"/>
      <c r="K86" s="111" t="n"/>
      <c r="L86" s="111" t="n"/>
      <c r="M86" s="142" t="n"/>
    </row>
    <row r="87" ht="14.1" customFormat="1" customHeight="1" s="19">
      <c r="A87" s="26" t="n"/>
      <c r="B87" s="133" t="n"/>
      <c r="C87" s="111" t="n"/>
      <c r="D87" s="111" t="n"/>
      <c r="E87" s="111" t="n"/>
      <c r="F87" s="146" t="n"/>
      <c r="G87" s="111" t="n"/>
      <c r="H87" s="140" t="n"/>
      <c r="I87" s="111" t="n"/>
      <c r="J87" s="141" t="n"/>
      <c r="K87" s="111" t="n"/>
      <c r="L87" s="111" t="n"/>
      <c r="M87" s="142" t="n"/>
    </row>
    <row r="88" ht="14.1" customFormat="1" customHeight="1" s="19">
      <c r="A88" s="26" t="n"/>
      <c r="B88" s="133" t="n"/>
      <c r="C88" s="111" t="n"/>
      <c r="D88" s="111" t="n"/>
      <c r="E88" s="111" t="n"/>
      <c r="F88" s="146" t="n"/>
      <c r="G88" s="111" t="n"/>
      <c r="H88" s="140" t="n"/>
      <c r="I88" s="111" t="n"/>
      <c r="J88" s="141" t="n"/>
      <c r="K88" s="111" t="n"/>
      <c r="L88" s="111" t="n"/>
      <c r="M88" s="142" t="n"/>
    </row>
    <row r="89" ht="14.1" customFormat="1" customHeight="1" s="19">
      <c r="A89" s="26" t="n"/>
      <c r="B89" s="133" t="n"/>
      <c r="C89" s="111" t="n"/>
      <c r="D89" s="111" t="n"/>
      <c r="E89" s="111" t="n"/>
      <c r="F89" s="146" t="n"/>
      <c r="G89" s="111" t="n"/>
      <c r="H89" s="140" t="n"/>
      <c r="I89" s="111" t="n"/>
      <c r="J89" s="141" t="n"/>
      <c r="K89" s="111" t="n"/>
      <c r="L89" s="111" t="n"/>
      <c r="M89" s="142" t="n"/>
    </row>
    <row r="90" ht="14.1" customFormat="1" customHeight="1" s="19">
      <c r="A90" s="26" t="n"/>
      <c r="B90" s="133" t="n"/>
      <c r="C90" s="111" t="n"/>
      <c r="D90" s="111" t="n"/>
      <c r="E90" s="111" t="n"/>
      <c r="F90" s="146" t="n"/>
      <c r="G90" s="111" t="n"/>
      <c r="H90" s="140" t="n"/>
      <c r="I90" s="111" t="n"/>
      <c r="J90" s="141" t="n"/>
      <c r="K90" s="111" t="n"/>
      <c r="L90" s="111" t="n"/>
      <c r="M90" s="142" t="n"/>
    </row>
    <row r="91" ht="14.1" customFormat="1" customHeight="1" s="19">
      <c r="A91" s="26" t="n"/>
      <c r="B91" s="133" t="n"/>
      <c r="C91" s="111" t="n"/>
      <c r="D91" s="111" t="n"/>
      <c r="E91" s="111" t="n"/>
      <c r="F91" s="146" t="n"/>
      <c r="G91" s="111" t="n"/>
      <c r="H91" s="140" t="n"/>
      <c r="I91" s="111" t="n"/>
      <c r="J91" s="141" t="n"/>
      <c r="K91" s="111" t="n"/>
      <c r="L91" s="111" t="n"/>
      <c r="M91" s="142" t="n"/>
    </row>
    <row r="92" ht="14.1" customFormat="1" customHeight="1" s="19">
      <c r="A92" s="26" t="n"/>
      <c r="B92" s="133" t="n"/>
      <c r="C92" s="111" t="n"/>
      <c r="D92" s="111" t="n"/>
      <c r="E92" s="111" t="n"/>
      <c r="F92" s="146" t="n"/>
      <c r="G92" s="111" t="n"/>
      <c r="H92" s="140" t="n"/>
      <c r="I92" s="111" t="n"/>
      <c r="J92" s="141" t="n"/>
      <c r="K92" s="111" t="n"/>
      <c r="L92" s="111" t="n"/>
      <c r="M92" s="142" t="n"/>
    </row>
    <row r="93" ht="14.1" customFormat="1" customHeight="1" s="19">
      <c r="A93" s="26" t="n"/>
      <c r="B93" s="133" t="n"/>
      <c r="C93" s="111" t="n"/>
      <c r="D93" s="111" t="n"/>
      <c r="E93" s="111" t="n"/>
      <c r="F93" s="146" t="n"/>
      <c r="G93" s="111" t="n"/>
      <c r="H93" s="140" t="n"/>
      <c r="I93" s="111" t="n"/>
      <c r="J93" s="141" t="n"/>
      <c r="K93" s="111" t="n"/>
      <c r="L93" s="111" t="n"/>
      <c r="M93" s="142" t="n"/>
    </row>
    <row r="94" ht="14.1" customFormat="1" customHeight="1" s="19">
      <c r="A94" s="26" t="n"/>
      <c r="B94" s="133" t="n"/>
      <c r="C94" s="111" t="n"/>
      <c r="D94" s="111" t="n"/>
      <c r="E94" s="111" t="n"/>
      <c r="F94" s="146" t="n"/>
      <c r="G94" s="111" t="n"/>
      <c r="H94" s="140" t="n"/>
      <c r="I94" s="111" t="n"/>
      <c r="J94" s="141" t="n"/>
      <c r="K94" s="111" t="n"/>
      <c r="L94" s="111" t="n"/>
      <c r="M94" s="142" t="n"/>
    </row>
    <row r="95" ht="14.1" customFormat="1" customHeight="1" s="19">
      <c r="A95" s="26" t="n"/>
      <c r="B95" s="133" t="n"/>
      <c r="C95" s="111" t="n"/>
      <c r="D95" s="111" t="n"/>
      <c r="E95" s="111" t="n"/>
      <c r="F95" s="146" t="n"/>
      <c r="G95" s="111" t="n"/>
      <c r="H95" s="140" t="n"/>
      <c r="I95" s="111" t="n"/>
      <c r="J95" s="141" t="n"/>
      <c r="K95" s="111" t="n"/>
      <c r="L95" s="111" t="n"/>
      <c r="M95" s="142" t="n"/>
      <c r="N95" s="99" t="n"/>
      <c r="O95" s="99" t="n"/>
      <c r="P95" s="99" t="n"/>
      <c r="Q95" s="99" t="n"/>
      <c r="R95" s="99" t="n"/>
    </row>
    <row r="96" ht="14.1" customFormat="1" customHeight="1" s="19">
      <c r="A96" s="26" t="n"/>
      <c r="B96" s="133" t="n"/>
      <c r="C96" s="111" t="n"/>
      <c r="D96" s="111" t="n"/>
      <c r="E96" s="111" t="n"/>
      <c r="F96" s="146" t="n"/>
      <c r="G96" s="111" t="n"/>
      <c r="H96" s="140" t="n"/>
      <c r="I96" s="111" t="n"/>
      <c r="J96" s="141" t="n"/>
      <c r="K96" s="111" t="n"/>
      <c r="L96" s="111" t="n"/>
      <c r="M96" s="142" t="n"/>
    </row>
    <row r="97" ht="14.1" customFormat="1" customHeight="1" s="19">
      <c r="A97" s="26" t="n"/>
      <c r="B97" s="133" t="n"/>
      <c r="C97" s="111" t="n"/>
      <c r="D97" s="111" t="n"/>
      <c r="E97" s="111" t="n"/>
      <c r="F97" s="146" t="n"/>
      <c r="G97" s="111" t="n"/>
      <c r="H97" s="140" t="n"/>
      <c r="I97" s="111" t="n"/>
      <c r="J97" s="141" t="n"/>
      <c r="K97" s="111" t="n"/>
      <c r="L97" s="111" t="n"/>
      <c r="M97" s="142" t="n"/>
    </row>
    <row r="98" ht="14.1" customHeight="1">
      <c r="A98" s="13" t="n"/>
      <c r="B98" s="133" t="n"/>
      <c r="C98" s="111" t="n"/>
      <c r="D98" s="111" t="n"/>
      <c r="E98" s="111" t="n"/>
      <c r="F98" s="146" t="n"/>
      <c r="G98" s="111" t="n"/>
      <c r="H98" s="140" t="n"/>
      <c r="I98" s="111" t="n"/>
      <c r="J98" s="141" t="n"/>
      <c r="K98" s="111" t="n"/>
      <c r="L98" s="111" t="n"/>
      <c r="M98" s="142" t="n"/>
    </row>
    <row r="99" ht="15" customHeight="1">
      <c r="B99" s="133" t="n"/>
      <c r="C99" s="111" t="n"/>
      <c r="D99" s="111" t="n"/>
      <c r="E99" s="111" t="n"/>
      <c r="F99" s="146" t="n"/>
      <c r="G99" s="111" t="n"/>
      <c r="H99" s="140" t="n"/>
      <c r="I99" s="111" t="n"/>
      <c r="J99" s="141" t="n"/>
      <c r="K99" s="111" t="n"/>
      <c r="L99" s="111" t="n"/>
      <c r="M99" s="142" t="n"/>
    </row>
    <row r="100" ht="15" customHeight="1">
      <c r="B100" s="133" t="n"/>
      <c r="C100" s="111" t="n"/>
      <c r="D100" s="111" t="n"/>
      <c r="E100" s="111" t="n"/>
      <c r="F100" s="146" t="n"/>
      <c r="G100" s="111" t="n"/>
      <c r="H100" s="140" t="n"/>
      <c r="I100" s="111" t="n"/>
      <c r="J100" s="141" t="n"/>
      <c r="K100" s="111" t="n"/>
      <c r="L100" s="111" t="n"/>
      <c r="M100" s="142" t="n"/>
    </row>
    <row r="101" ht="15" customHeight="1">
      <c r="B101" s="133" t="n"/>
      <c r="C101" s="111" t="n"/>
      <c r="D101" s="111" t="n"/>
      <c r="E101" s="111" t="n"/>
      <c r="F101" s="146" t="n"/>
      <c r="G101" s="111" t="n"/>
      <c r="H101" s="140" t="n"/>
      <c r="I101" s="111" t="n"/>
      <c r="J101" s="141" t="n"/>
      <c r="K101" s="111" t="n"/>
      <c r="L101" s="111" t="n"/>
      <c r="M101" s="142" t="n"/>
    </row>
    <row r="102" ht="15" customHeight="1">
      <c r="B102" s="133" t="n"/>
      <c r="C102" s="111" t="n"/>
      <c r="D102" s="111" t="n"/>
      <c r="E102" s="111" t="n"/>
      <c r="F102" s="146" t="n"/>
      <c r="G102" s="111" t="n"/>
      <c r="H102" s="140" t="n"/>
      <c r="I102" s="111" t="n"/>
      <c r="J102" s="141" t="n"/>
      <c r="K102" s="111" t="n"/>
      <c r="L102" s="111" t="n"/>
      <c r="M102" s="142" t="n"/>
    </row>
    <row r="103" ht="15" customHeight="1">
      <c r="B103" s="133" t="n"/>
      <c r="C103" s="111" t="n"/>
      <c r="D103" s="111" t="n"/>
      <c r="E103" s="111" t="n"/>
      <c r="F103" s="146" t="n"/>
      <c r="G103" s="111" t="n"/>
      <c r="H103" s="140" t="n"/>
      <c r="I103" s="111" t="n"/>
      <c r="J103" s="141" t="n"/>
      <c r="K103" s="111" t="n"/>
      <c r="L103" s="111" t="n"/>
      <c r="M103" s="142" t="n"/>
    </row>
    <row r="104" ht="15" customHeight="1">
      <c r="B104" s="133" t="n"/>
      <c r="C104" s="111" t="n"/>
      <c r="D104" s="111" t="n"/>
      <c r="E104" s="111" t="n"/>
      <c r="F104" s="146" t="n"/>
      <c r="G104" s="111" t="n"/>
      <c r="H104" s="140" t="n"/>
      <c r="I104" s="111" t="n"/>
      <c r="J104" s="141" t="n"/>
      <c r="K104" s="111" t="n"/>
      <c r="L104" s="111" t="n"/>
      <c r="M104" s="142" t="n"/>
    </row>
    <row r="105" ht="15.75" customHeight="1" thickBot="1">
      <c r="B105" s="138" t="n"/>
      <c r="C105" s="139" t="n"/>
      <c r="D105" s="139" t="n"/>
      <c r="E105" s="139" t="n"/>
      <c r="F105" s="147" t="n"/>
      <c r="G105" s="139" t="n"/>
      <c r="H105" s="143" t="n"/>
      <c r="I105" s="139" t="n"/>
      <c r="J105" s="144" t="n"/>
      <c r="K105" s="139" t="n"/>
      <c r="L105" s="139" t="n"/>
      <c r="M105" s="145" t="n"/>
    </row>
    <row r="106" ht="12.75" customHeight="1"/>
    <row r="107" ht="12.6" customHeight="1"/>
    <row r="108" ht="12.6" customHeight="1"/>
    <row r="109" ht="12.6" customHeight="1"/>
    <row r="110" ht="12.6" customHeight="1"/>
    <row r="111" ht="12.6" customHeight="1"/>
    <row r="112" ht="12.6" customHeight="1"/>
    <row r="113" ht="12.6" customHeight="1"/>
    <row r="114" ht="12.6" customHeight="1"/>
    <row r="115" ht="12.6" customHeight="1"/>
    <row r="116" ht="12.6" customHeight="1"/>
    <row r="117" ht="12.6" customHeight="1"/>
    <row r="118" ht="12.6" customHeight="1"/>
    <row r="119" ht="12.6" customHeight="1"/>
    <row r="120" ht="12.6" customHeight="1"/>
    <row r="121" ht="12.6" customHeight="1"/>
    <row r="122" ht="12.6" customHeight="1"/>
    <row r="123" ht="12.6" customHeight="1"/>
    <row r="124" ht="12.6" customHeight="1"/>
    <row r="125" ht="12.6" customHeight="1"/>
    <row r="126" ht="12.6" customHeight="1"/>
    <row r="127" ht="12.6" customHeight="1"/>
    <row r="128" ht="12.6" customHeight="1"/>
    <row r="129" ht="12.6" customHeight="1"/>
    <row r="130" ht="12.6" customHeight="1"/>
    <row r="131" ht="12.6" customHeight="1"/>
    <row r="132" ht="12.6" customHeight="1"/>
    <row r="133" ht="12.6" customHeight="1"/>
    <row r="134" ht="12.6" customHeight="1"/>
    <row r="135" ht="12.6" customHeight="1"/>
    <row r="136" ht="12.6" customHeight="1"/>
    <row r="137" ht="12.6" customHeight="1"/>
    <row r="138" ht="12.6" customHeight="1"/>
    <row r="139" ht="12.6" customHeight="1"/>
    <row r="140" ht="12.6" customHeight="1"/>
    <row r="141" ht="12.6" customHeight="1"/>
    <row r="142" ht="12.6" customHeight="1"/>
    <row r="143" ht="12.6" customHeight="1"/>
    <row r="144" ht="12.6" customHeight="1"/>
    <row r="145" ht="12.6" customHeight="1"/>
    <row r="146" ht="12.6" customHeight="1"/>
    <row r="147" ht="12.6" customHeight="1"/>
    <row r="148" ht="12.6" customHeight="1"/>
    <row r="149" ht="12.6" customHeight="1"/>
    <row r="150" ht="12.6" customHeight="1"/>
    <row r="151" ht="12.6" customHeight="1"/>
    <row r="152" ht="12.6" customHeight="1"/>
    <row r="153" ht="12.6" customHeight="1"/>
    <row r="154" ht="12.6" customHeight="1"/>
    <row r="155" ht="12.6" customHeight="1"/>
    <row r="156" ht="12.6" customHeight="1"/>
    <row r="157" ht="12.6" customHeight="1"/>
    <row r="158" ht="12.6" customHeight="1"/>
    <row r="159" ht="12.6" customHeight="1"/>
    <row r="160" ht="12.6" customHeight="1"/>
    <row r="161" ht="12.6" customHeight="1"/>
    <row r="162" ht="12.6" customHeight="1"/>
    <row r="163" ht="12.6" customHeight="1"/>
    <row r="164" ht="12.6" customHeight="1"/>
    <row r="165" ht="12.6" customHeight="1"/>
    <row r="166" ht="12.6" customHeight="1"/>
    <row r="167" ht="12.6" customHeight="1"/>
    <row r="168" ht="12.6" customHeight="1"/>
    <row r="169" ht="12.6" customHeight="1"/>
    <row r="170" ht="12.6" customHeight="1"/>
    <row r="171" ht="12.6" customHeight="1"/>
    <row r="172" ht="12.6" customHeight="1"/>
    <row r="173" ht="12.6" customHeight="1"/>
    <row r="174" ht="12.6" customHeight="1"/>
    <row r="175" ht="12.6" customHeight="1"/>
    <row r="176" ht="12.6" customHeight="1"/>
    <row r="177" ht="12.6" customHeight="1"/>
    <row r="178" ht="12.6" customHeight="1"/>
    <row r="179" ht="12.6" customHeight="1"/>
    <row r="180" ht="12.6" customHeight="1"/>
    <row r="181" ht="12.6" customHeight="1"/>
    <row r="182" ht="12.6" customHeight="1"/>
    <row r="183" ht="12.6" customHeight="1"/>
    <row r="184" ht="12.6" customHeight="1"/>
    <row r="185" ht="12.6" customHeight="1"/>
    <row r="186" ht="12.6" customHeight="1"/>
    <row r="187" ht="12.6" customHeight="1"/>
    <row r="188" ht="12.6" customHeight="1"/>
    <row r="189" ht="12.6" customHeight="1"/>
    <row r="190" ht="12.6" customHeight="1"/>
    <row r="191" ht="12.6" customHeight="1"/>
    <row r="192" ht="12.6" customHeight="1"/>
    <row r="193" ht="12.6" customHeight="1"/>
    <row r="194" ht="12.6" customHeight="1"/>
    <row r="195" ht="12.6" customHeight="1"/>
    <row r="196" ht="12.6" customHeight="1"/>
    <row r="197" ht="12.6" customHeight="1"/>
    <row r="198" ht="12.6" customHeight="1"/>
    <row r="199" ht="12.6" customHeight="1"/>
    <row r="200" ht="12.6" customHeight="1"/>
    <row r="201" ht="12.6" customHeight="1"/>
    <row r="202" ht="12.6" customHeight="1"/>
    <row r="203" ht="12.6" customHeight="1"/>
    <row r="204" ht="12.6" customHeight="1"/>
    <row r="205" ht="12.6" customHeight="1"/>
    <row r="206" ht="12.6" customHeight="1"/>
    <row r="207" ht="12.6" customHeight="1"/>
    <row r="208" ht="12.6" customHeight="1"/>
    <row r="209" ht="12.6" customHeight="1"/>
    <row r="210" ht="12.6" customHeight="1"/>
    <row r="211" ht="12.6" customHeight="1"/>
    <row r="212" ht="12.6" customHeight="1"/>
    <row r="213" ht="12.6" customHeight="1"/>
    <row r="214" ht="12.6" customHeight="1"/>
    <row r="215" ht="12.6" customHeight="1"/>
    <row r="216" ht="12.6" customHeight="1"/>
    <row r="217" ht="12.6" customHeight="1"/>
    <row r="218" ht="12.6" customHeight="1"/>
    <row r="219" ht="12.6" customHeight="1"/>
    <row r="220" ht="12.6" customHeight="1"/>
    <row r="221" ht="12.6" customHeight="1"/>
    <row r="222" ht="12.6" customHeight="1"/>
    <row r="223" ht="12.6" customHeight="1"/>
    <row r="224" ht="12.6" customHeight="1"/>
    <row r="225" ht="12.6" customHeight="1"/>
    <row r="226" ht="12.6" customHeight="1"/>
    <row r="227" ht="12.6" customHeight="1"/>
    <row r="228" ht="12.6" customHeight="1"/>
    <row r="229" ht="12.6" customHeight="1"/>
    <row r="230" ht="12.6" customHeight="1"/>
    <row r="231" ht="12.6" customHeight="1"/>
    <row r="232" ht="12.6" customHeight="1"/>
    <row r="233" ht="12.6" customHeight="1"/>
    <row r="234" ht="12.6" customHeight="1"/>
    <row r="235" ht="12.6" customHeight="1"/>
    <row r="236" ht="12.6" customHeight="1"/>
    <row r="237" ht="12.6" customHeight="1"/>
    <row r="238" ht="12.6" customHeight="1"/>
    <row r="239" ht="12.6" customHeight="1"/>
    <row r="240" ht="12.6" customHeight="1"/>
    <row r="241" ht="12.6" customHeight="1"/>
    <row r="242" ht="12.6" customHeight="1"/>
    <row r="243" ht="12.6" customHeight="1"/>
    <row r="244" ht="12.6" customHeight="1"/>
    <row r="245" ht="12.6" customHeight="1"/>
    <row r="246" ht="12.6" customHeight="1"/>
    <row r="247" ht="12.6" customHeight="1"/>
    <row r="248" ht="12.6" customHeight="1"/>
    <row r="249" ht="12.6" customHeight="1"/>
    <row r="250" ht="12.6" customHeight="1"/>
    <row r="251" ht="12.6" customHeight="1"/>
    <row r="252" ht="12.6" customHeight="1"/>
    <row r="253" ht="12.6" customHeight="1"/>
    <row r="254" ht="12.6" customHeight="1"/>
    <row r="255" ht="12.6" customHeight="1"/>
    <row r="256" ht="12.6" customHeight="1"/>
  </sheetData>
  <mergeCells count="34">
    <mergeCell ref="D60:E60"/>
    <mergeCell ref="B62:C62"/>
    <mergeCell ref="B54:C54"/>
    <mergeCell ref="B9:H9"/>
    <mergeCell ref="B59:C59"/>
    <mergeCell ref="D63:E63"/>
    <mergeCell ref="B15:H15"/>
    <mergeCell ref="B56:C56"/>
    <mergeCell ref="B58:C58"/>
    <mergeCell ref="I70:M70"/>
    <mergeCell ref="D57:E57"/>
    <mergeCell ref="B61:C61"/>
    <mergeCell ref="D61:E61"/>
    <mergeCell ref="B60:C60"/>
    <mergeCell ref="B49:J49"/>
    <mergeCell ref="B57:C57"/>
    <mergeCell ref="B53:C53"/>
    <mergeCell ref="D53:E53"/>
    <mergeCell ref="B18:H18"/>
    <mergeCell ref="B21:H21"/>
    <mergeCell ref="D62:E62"/>
    <mergeCell ref="D58:E58"/>
    <mergeCell ref="B11:H11"/>
    <mergeCell ref="D56:E56"/>
    <mergeCell ref="H51:K51"/>
    <mergeCell ref="B55:C55"/>
    <mergeCell ref="D55:E55"/>
    <mergeCell ref="B13:H13"/>
    <mergeCell ref="B16:H17"/>
    <mergeCell ref="B63:C63"/>
    <mergeCell ref="D54:E54"/>
    <mergeCell ref="J52:K52"/>
    <mergeCell ref="D59:E59"/>
    <mergeCell ref="F53:G53"/>
  </mergeCells>
  <conditionalFormatting sqref="B54:K63">
    <cfRule type="containsBlanks" priority="23" dxfId="8">
      <formula>LEN(TRIM(B54))=0</formula>
    </cfRule>
  </conditionalFormatting>
  <conditionalFormatting sqref="B72:M105">
    <cfRule type="containsBlanks" priority="13" dxfId="8">
      <formula>LEN(TRIM(B72))=0</formula>
    </cfRule>
  </conditionalFormatting>
  <conditionalFormatting sqref="C2:C3">
    <cfRule type="containsBlanks" priority="7" dxfId="8">
      <formula>LEN(TRIM(C2))=0</formula>
    </cfRule>
  </conditionalFormatting>
  <conditionalFormatting sqref="D25:D26">
    <cfRule type="containsBlanks" priority="6" dxfId="8">
      <formula>LEN(TRIM(D25))=0</formula>
    </cfRule>
  </conditionalFormatting>
  <conditionalFormatting sqref="D29:D30">
    <cfRule type="containsBlanks" priority="5" dxfId="8">
      <formula>LEN(TRIM(D29))=0</formula>
    </cfRule>
  </conditionalFormatting>
  <conditionalFormatting sqref="D33:D34">
    <cfRule type="containsBlanks" priority="4" dxfId="8">
      <formula>LEN(TRIM(D33))=0</formula>
    </cfRule>
  </conditionalFormatting>
  <conditionalFormatting sqref="D37:D38">
    <cfRule type="containsBlanks" priority="3" dxfId="8">
      <formula>LEN(TRIM(D37))=0</formula>
    </cfRule>
  </conditionalFormatting>
  <conditionalFormatting sqref="F2:F6">
    <cfRule type="containsBlanks" priority="8" dxfId="8">
      <formula>LEN(TRIM(F2))=0</formula>
    </cfRule>
  </conditionalFormatting>
  <conditionalFormatting sqref="I54:I63">
    <cfRule type="expression" priority="2" dxfId="0">
      <formula>H54="No"</formula>
    </cfRule>
  </conditionalFormatting>
  <conditionalFormatting sqref="I72:I105">
    <cfRule type="expression" priority="12" dxfId="0">
      <formula>H72="No"</formula>
    </cfRule>
  </conditionalFormatting>
  <conditionalFormatting sqref="J54:J63">
    <cfRule type="expression" priority="22" dxfId="0">
      <formula>H54="Yes"</formula>
    </cfRule>
  </conditionalFormatting>
  <conditionalFormatting sqref="J72:J105">
    <cfRule type="expression" priority="11" dxfId="0">
      <formula>H72="No"</formula>
    </cfRule>
  </conditionalFormatting>
  <conditionalFormatting sqref="K54:K63">
    <cfRule type="expression" priority="14" dxfId="0">
      <formula>H54="Yes"</formula>
    </cfRule>
  </conditionalFormatting>
  <conditionalFormatting sqref="K72:K105">
    <cfRule type="expression" priority="10" dxfId="0">
      <formula>H72="No"</formula>
    </cfRule>
  </conditionalFormatting>
  <conditionalFormatting sqref="L72:L105">
    <cfRule type="expression" priority="9" dxfId="0">
      <formula>H72="No"</formula>
    </cfRule>
  </conditionalFormatting>
  <conditionalFormatting sqref="M72:M105">
    <cfRule type="expression" priority="1" dxfId="0">
      <formula>H72="No"</formula>
    </cfRule>
  </conditionalFormatting>
  <dataValidations count="1">
    <dataValidation sqref="F54:F63 H54:H63 H72:H105" showDropDown="0" showInputMessage="1" showErrorMessage="1" allowBlank="1" type="list">
      <formula1>"Yes,No"</formula1>
    </dataValidation>
  </dataValidations>
  <hyperlinks>
    <hyperlink ref="H51" location="'Decision Tree - step 3'!A1" display="Refer to &quot;Decision Tree - step 3&quot; tab for more details"/>
  </hyperlinks>
  <pageMargins left="0.7480314960629921" right="0.7480314960629921" top="0.984251968503937" bottom="0.984251968503937" header="0.5118110236220472" footer="0.5118110236220472"/>
  <pageSetup orientation="landscape" paperSize="9" scale="22" fitToHeight="0"/>
  <rowBreaks count="1" manualBreakCount="1">
    <brk id="69" min="0" max="9" man="1"/>
  </rowBreaks>
  <legacyDrawing xmlns:r="http://schemas.openxmlformats.org/officeDocument/2006/relationships" r:id="anysvml"/>
</worksheet>
</file>

<file path=xl/worksheets/sheet9.xml><?xml version="1.0" encoding="utf-8"?>
<worksheet xmlns="http://schemas.openxmlformats.org/spreadsheetml/2006/main">
  <sheetPr codeName="Blad8">
    <tabColor rgb="FF464B4B"/>
    <outlinePr summaryBelow="1" summaryRight="1"/>
    <pageSetUpPr/>
  </sheetPr>
  <dimension ref="B2:B2"/>
  <sheetViews>
    <sheetView showGridLines="0" zoomScale="90" zoomScaleNormal="100" workbookViewId="0">
      <selection activeCell="C2" sqref="C2"/>
    </sheetView>
  </sheetViews>
  <sheetFormatPr baseColWidth="8" defaultRowHeight="15"/>
  <sheetData>
    <row r="2">
      <c r="B2" s="31" t="inlineStr">
        <is>
          <t>Decision tree relating to step 3:</t>
        </is>
      </c>
    </row>
  </sheetData>
  <pageMargins left="0.7" right="0.7" top="0.75" bottom="0.75" header="0.3" footer="0.3"/>
</worksheet>
</file>

<file path=xl/worksheets/sheet10.xml><?xml version="1.0" encoding="utf-8"?>
<worksheet xmlns="http://schemas.openxmlformats.org/spreadsheetml/2006/main">
  <sheetPr codeName="Blad9">
    <tabColor rgb="FF464B4B"/>
    <outlinePr summaryBelow="1" summaryRight="1"/>
    <pageSetUpPr/>
  </sheetPr>
  <dimension ref="A1:K8"/>
  <sheetViews>
    <sheetView showGridLines="0" view="pageBreakPreview" zoomScale="115" zoomScaleNormal="100" zoomScaleSheetLayoutView="115" workbookViewId="0">
      <selection activeCell="B3" sqref="B3:J3"/>
    </sheetView>
  </sheetViews>
  <sheetFormatPr baseColWidth="8" defaultColWidth="5.5703125" defaultRowHeight="15" customHeight="1"/>
  <cols>
    <col width="13" customWidth="1" style="1" min="1" max="1"/>
    <col width="10" customWidth="1" style="2" min="2" max="10"/>
    <col width="1.85546875" customWidth="1" style="3" min="11" max="11"/>
    <col width="5.5703125" customWidth="1" style="2" min="12" max="16384"/>
  </cols>
  <sheetData>
    <row r="1" ht="33" customHeight="1">
      <c r="A1" s="69" t="n"/>
      <c r="E1" s="70" t="inlineStr">
        <is>
          <t>Tickmarks</t>
        </is>
      </c>
    </row>
    <row r="2" ht="15" customHeight="1" thickBot="1">
      <c r="G2" s="4" t="n"/>
    </row>
    <row r="3" ht="69.95" customHeight="1" thickBot="1">
      <c r="A3" s="67" t="inlineStr">
        <is>
          <t>{a}</t>
        </is>
      </c>
      <c r="B3" s="264" t="n"/>
      <c r="C3" s="265" t="n"/>
      <c r="D3" s="265" t="n"/>
      <c r="E3" s="265" t="n"/>
      <c r="F3" s="265" t="n"/>
      <c r="G3" s="265" t="n"/>
      <c r="H3" s="265" t="n"/>
      <c r="I3" s="265" t="n"/>
      <c r="J3" s="266" t="n"/>
      <c r="K3" s="5" t="inlineStr">
        <is>
          <t>{a}</t>
        </is>
      </c>
    </row>
    <row r="4" ht="15" customHeight="1" thickBot="1">
      <c r="A4" s="68" t="n"/>
    </row>
    <row r="5" ht="69.95" customHeight="1" thickBot="1">
      <c r="A5" s="67" t="inlineStr">
        <is>
          <t>{b}</t>
        </is>
      </c>
      <c r="B5" s="264" t="n"/>
      <c r="C5" s="265" t="n"/>
      <c r="D5" s="265" t="n"/>
      <c r="E5" s="265" t="n"/>
      <c r="F5" s="265" t="n"/>
      <c r="G5" s="265" t="n"/>
      <c r="H5" s="265" t="n"/>
      <c r="I5" s="265" t="n"/>
      <c r="J5" s="266" t="n"/>
      <c r="K5" s="5" t="inlineStr">
        <is>
          <t>{b}</t>
        </is>
      </c>
    </row>
    <row r="6" ht="15" customHeight="1" thickBot="1">
      <c r="A6" s="68" t="n"/>
    </row>
    <row r="7" ht="15" customHeight="1" thickBot="1">
      <c r="A7" s="67" t="inlineStr">
        <is>
          <t>{c}</t>
        </is>
      </c>
      <c r="B7" s="264" t="n"/>
      <c r="C7" s="265" t="n"/>
      <c r="D7" s="265" t="n"/>
      <c r="E7" s="265" t="n"/>
      <c r="F7" s="265" t="n"/>
      <c r="G7" s="265" t="n"/>
      <c r="H7" s="265" t="n"/>
      <c r="I7" s="265" t="n"/>
      <c r="J7" s="266" t="n"/>
      <c r="K7" s="5" t="inlineStr">
        <is>
          <t>{c}</t>
        </is>
      </c>
    </row>
    <row r="8" ht="15" customHeight="1">
      <c r="A8" s="68" t="n"/>
    </row>
  </sheetData>
  <mergeCells count="3">
    <mergeCell ref="B7:J7"/>
    <mergeCell ref="B3:J3"/>
    <mergeCell ref="B5:J5"/>
  </mergeCells>
  <pageMargins left="0.65" right="0.6"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Mazars</dc:creator>
  <dcterms:created xsi:type="dcterms:W3CDTF">2010-01-27T04:07:26Z</dcterms:created>
  <dcterms:modified xsi:type="dcterms:W3CDTF">2026-07-21T06:20:53Z</dcterms:modified>
  <cp:lastModifiedBy>Ewa Lysik</cp:lastModifiedBy>
  <cp:lastPrinted>2013-03-06T12:11:04Z</cp:lastPrinted>
</cp:coreProperties>
</file>

<file path=docProps/custom.xml><?xml version="1.0" encoding="utf-8"?>
<Properties xmlns:vt="http://schemas.openxmlformats.org/officeDocument/2006/docPropsVTypes" xmlns="http://schemas.openxmlformats.org/officeDocument/2006/custom-properties">
  <property name="display_urn:schemas-microsoft-com:office:office#Editor" fmtid="{D5CDD505-2E9C-101B-9397-08002B2CF9AE}" pid="2">
    <vt:lpwstr>LYSIK Ewa</vt:lpwstr>
  </property>
  <property name="Order" fmtid="{D5CDD505-2E9C-101B-9397-08002B2CF9AE}" pid="3">
    <vt:lpwstr>385500.000000000</vt:lpwstr>
  </property>
  <property name="_ExtendedDescription" fmtid="{D5CDD505-2E9C-101B-9397-08002B2CF9AE}" pid="4">
    <vt:lpwstr/>
  </property>
  <property name="display_urn:schemas-microsoft-com:office:office#Author" fmtid="{D5CDD505-2E9C-101B-9397-08002B2CF9AE}" pid="5">
    <vt:lpwstr>LYSIK Ewa</vt:lpwstr>
  </property>
  <property name="MediaServiceImageTags" fmtid="{D5CDD505-2E9C-101B-9397-08002B2CF9AE}" pid="6">
    <vt:lpwstr/>
  </property>
  <property name="ContentTypeId" fmtid="{D5CDD505-2E9C-101B-9397-08002B2CF9AE}" pid="7">
    <vt:lpwstr>0x01010077C2AE7274C7214EA9C6749E3B848957</vt:lpwstr>
  </property>
</Properties>
</file>