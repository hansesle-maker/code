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631" firstSheet="4" activeTab="4" autoFilterDateGrouping="1"/>
  </bookViews>
  <sheets>
    <sheet name="E" sheetId="1" state="hidden" r:id="rId1"/>
    <sheet name="S" sheetId="2" state="hidden" r:id="rId2"/>
    <sheet name="D" sheetId="3" state="hidden" r:id="rId3"/>
    <sheet name="MzOfficeConfig-UNDO-%ù-%ù-%ù" sheetId="4" state="veryHidden" r:id="rId4"/>
    <sheet name="JET - overview" sheetId="5" state="visible" r:id="rId5"/>
    <sheet name="JET - Step 1 " sheetId="6" state="visible" r:id="rId6"/>
    <sheet name="JET - Step 2 (ISA 330)" sheetId="7" state="visible" r:id="rId7"/>
    <sheet name="JET - Step 3 (ISA 240)" sheetId="8" state="visible" r:id="rId8"/>
    <sheet name="Decision Tree - step 3" sheetId="9" state="visible" r:id="rId9"/>
    <sheet name="Do not delete - Tickmarks" sheetId="10" state="hidden" r:id="rId10"/>
  </sheets>
  <definedNames/>
  <calcPr calcId="191029" fullCalcOnLoad="1"/>
</workbook>
</file>

<file path=xl/styles.xml><?xml version="1.0" encoding="utf-8"?>
<styleSheet xmlns="http://schemas.openxmlformats.org/spreadsheetml/2006/main">
  <numFmts count="1">
    <numFmt numFmtId="164" formatCode="[$-F800]dddd\,\ mmmm\ dd\,\ yyyy"/>
  </numFmts>
  <fonts count="58">
    <font>
      <name val="Calibri"/>
      <family val="2"/>
      <color theme="1"/>
      <sz val="11"/>
    </font>
    <font>
      <name val="Calibri"/>
      <family val="2"/>
      <color theme="1"/>
      <sz val="11"/>
      <scheme val="minor"/>
    </font>
    <font>
      <name val="Arial"/>
      <family val="2"/>
      <sz val="10"/>
    </font>
    <font>
      <name val="Arial"/>
      <family val="2"/>
      <sz val="9.5"/>
    </font>
    <font>
      <name val="Arial"/>
      <family val="2"/>
      <b val="1"/>
      <sz val="9.5"/>
    </font>
    <font>
      <name val="Arial"/>
      <family val="2"/>
      <b val="1"/>
      <color indexed="10"/>
      <sz val="9.5"/>
    </font>
    <font>
      <name val="Arial"/>
      <family val="2"/>
      <i val="1"/>
      <sz val="9.5"/>
    </font>
    <font>
      <name val="Arial"/>
      <family val="2"/>
      <b val="1"/>
      <sz val="10"/>
    </font>
    <font>
      <name val="Arial"/>
      <family val="2"/>
      <sz val="11"/>
    </font>
    <font>
      <name val="Arial"/>
      <family val="2"/>
      <sz val="12"/>
    </font>
    <font>
      <name val="Arial"/>
      <family val="2"/>
      <b val="1"/>
      <color indexed="12"/>
      <sz val="12"/>
    </font>
    <font>
      <name val="Arial"/>
      <family val="2"/>
      <color indexed="63"/>
      <sz val="12"/>
    </font>
    <font>
      <name val="Arial"/>
      <family val="2"/>
      <b val="1"/>
      <sz val="12"/>
    </font>
    <font>
      <name val="Arial"/>
      <family val="2"/>
      <i val="1"/>
      <sz val="12"/>
    </font>
    <font>
      <name val="Calibri"/>
      <family val="2"/>
      <b val="1"/>
      <color theme="3"/>
      <sz val="13"/>
    </font>
    <font>
      <name val="Trebuchet MS"/>
      <family val="2"/>
      <color theme="1"/>
      <sz val="10"/>
    </font>
    <font>
      <name val="Arial"/>
      <family val="2"/>
      <color rgb="FFFF0000"/>
      <sz val="10"/>
    </font>
    <font>
      <name val="Arial"/>
      <family val="2"/>
      <color rgb="FF0000FF"/>
      <sz val="10"/>
    </font>
    <font>
      <name val="Arial"/>
      <family val="2"/>
      <b val="1"/>
      <color rgb="FFFF0000"/>
      <sz val="10"/>
    </font>
    <font>
      <name val="Arial"/>
      <family val="2"/>
      <b val="1"/>
      <color rgb="FF0000FF"/>
      <sz val="10"/>
    </font>
    <font>
      <name val="Arial"/>
      <family val="2"/>
      <i val="1"/>
      <color theme="0" tint="-0.499984740745262"/>
      <sz val="9.5"/>
    </font>
    <font>
      <name val="Arial"/>
      <family val="2"/>
      <b val="1"/>
      <color rgb="FF0072CE"/>
      <sz val="11"/>
    </font>
    <font>
      <name val="Arial"/>
      <family val="2"/>
      <color rgb="FF464B4B"/>
      <sz val="11"/>
    </font>
    <font>
      <name val="Arial"/>
      <family val="2"/>
      <b val="1"/>
      <color rgb="FF464B4B"/>
      <sz val="11"/>
    </font>
    <font>
      <name val="Arial"/>
      <family val="2"/>
      <b val="1"/>
      <color rgb="FF464B4B"/>
      <sz val="18"/>
    </font>
    <font>
      <name val="Arial"/>
      <family val="2"/>
      <b val="1"/>
      <color rgb="FF0070C0"/>
      <sz val="14"/>
    </font>
    <font>
      <name val="Arial"/>
      <family val="2"/>
      <b val="1"/>
      <color theme="0"/>
      <sz val="12"/>
    </font>
    <font>
      <name val="Arial"/>
      <family val="2"/>
      <i val="1"/>
      <color theme="0"/>
      <sz val="10"/>
    </font>
    <font>
      <name val="Arial"/>
      <family val="2"/>
      <color theme="1" tint="0.3499862666707358"/>
      <sz val="9.5"/>
    </font>
    <font>
      <name val="Arial"/>
      <family val="2"/>
      <color rgb="FF464B4B"/>
      <sz val="12"/>
    </font>
    <font>
      <name val="Arial"/>
      <family val="2"/>
      <color rgb="FF464B4B"/>
      <sz val="9.5"/>
    </font>
    <font>
      <name val="Arial"/>
      <family val="2"/>
      <color theme="0"/>
      <sz val="9.5"/>
    </font>
    <font>
      <name val="Arial"/>
      <family val="2"/>
      <i val="1"/>
      <color theme="0"/>
      <sz val="9.5"/>
    </font>
    <font>
      <name val="Arial"/>
      <family val="2"/>
      <b val="1"/>
      <color rgb="FF464B4B"/>
      <sz val="12"/>
    </font>
    <font>
      <name val="Arial"/>
      <family val="2"/>
      <color theme="0"/>
      <sz val="10"/>
    </font>
    <font>
      <name val="Arial"/>
      <family val="2"/>
      <b val="1"/>
      <color theme="1" tint="0.3499862666707358"/>
      <sz val="12"/>
    </font>
    <font>
      <name val="Arial"/>
      <family val="2"/>
      <color rgb="FFFF0000"/>
      <sz val="12"/>
    </font>
    <font>
      <name val="Arial"/>
      <family val="2"/>
      <color theme="0"/>
      <sz val="12"/>
    </font>
    <font>
      <name val="Arial"/>
      <family val="2"/>
      <b val="1"/>
      <color theme="5"/>
      <sz val="12"/>
    </font>
    <font>
      <name val="Calibri"/>
      <family val="2"/>
      <color theme="10"/>
      <sz val="11"/>
      <u val="single"/>
    </font>
    <font>
      <name val="Arial"/>
      <family val="2"/>
      <i val="1"/>
      <color rgb="FFFF0000"/>
      <sz val="9.5"/>
    </font>
    <font>
      <name val="Arial"/>
      <family val="2"/>
      <b val="1"/>
      <i val="1"/>
      <color rgb="FFFF0000"/>
      <sz val="9.5"/>
    </font>
    <font>
      <name val="Arial"/>
      <family val="2"/>
      <b val="1"/>
      <i val="1"/>
      <color theme="0"/>
      <sz val="12"/>
    </font>
    <font>
      <name val="Tahoma"/>
      <family val="2"/>
      <color indexed="81"/>
      <sz val="9"/>
    </font>
    <font>
      <name val="Tahoma"/>
      <family val="2"/>
      <b val="1"/>
      <color indexed="81"/>
      <sz val="9"/>
    </font>
    <font>
      <name val="Arial"/>
      <family val="2"/>
      <i val="1"/>
      <color rgb="FF0072CE"/>
      <sz val="12"/>
    </font>
    <font>
      <name val="Arial"/>
      <family val="2"/>
      <color theme="1"/>
      <sz val="11"/>
    </font>
    <font>
      <name val="Calibri"/>
      <family val="2"/>
      <color theme="10"/>
      <sz val="11"/>
      <u val="single"/>
      <scheme val="minor"/>
    </font>
    <font>
      <name val="Arial"/>
      <family val="2"/>
      <color rgb="FF464B4B"/>
      <sz val="10"/>
    </font>
    <font>
      <name val="Arial"/>
      <family val="2"/>
      <b val="1"/>
      <color rgb="FF464B4B"/>
      <sz val="10"/>
    </font>
    <font>
      <name val="Arial"/>
      <family val="2"/>
      <b val="1"/>
      <color rgb="FFFF0000"/>
      <sz val="9.5"/>
    </font>
    <font>
      <name val="Arial"/>
      <family val="2"/>
      <b val="1"/>
      <color rgb="FFFF0000"/>
      <sz val="12"/>
    </font>
    <font>
      <name val="Arial"/>
      <family val="2"/>
      <b val="1"/>
      <color theme="0"/>
      <sz val="12"/>
      <u val="single"/>
    </font>
    <font>
      <name val="Calibri"/>
      <family val="2"/>
      <color theme="10"/>
      <sz val="16"/>
      <u val="single"/>
    </font>
    <font>
      <name val="Arial"/>
      <color rgb="FF000000"/>
      <sz val="10"/>
    </font>
    <font>
      <name val="Arial"/>
      <color rgb="FF000000"/>
      <sz val="9"/>
    </font>
    <font>
      <name val="Arial"/>
      <b val="1"/>
      <color rgb="FF000000"/>
      <sz val="10"/>
    </font>
    <font>
      <name val="Arial"/>
      <b val="1"/>
      <color rgb="FF000000"/>
      <sz val="9"/>
    </font>
  </fonts>
  <fills count="8">
    <fill>
      <patternFill/>
    </fill>
    <fill>
      <patternFill patternType="gray125"/>
    </fill>
    <fill>
      <patternFill patternType="solid">
        <fgColor theme="0"/>
        <bgColor indexed="64"/>
      </patternFill>
    </fill>
    <fill>
      <patternFill patternType="solid">
        <fgColor rgb="FF0072CE"/>
        <bgColor indexed="64"/>
      </patternFill>
    </fill>
    <fill>
      <patternFill patternType="solid">
        <fgColor rgb="FF4AA7B7"/>
        <bgColor indexed="64"/>
      </patternFill>
    </fill>
    <fill>
      <patternFill patternType="solid">
        <fgColor rgb="FF171C8F"/>
        <bgColor indexed="64"/>
      </patternFill>
    </fill>
    <fill>
      <patternFill patternType="solid">
        <fgColor theme="9"/>
        <bgColor indexed="64"/>
      </patternFill>
    </fill>
    <fill>
      <patternFill patternType="solid">
        <fgColor rgb="FFFFFF00"/>
      </patternFill>
    </fill>
  </fills>
  <borders count="5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ck">
        <color theme="4" tint="0.499984740745262"/>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
      </right>
      <top/>
      <bottom/>
      <diagonal/>
    </border>
    <border>
      <left style="thin">
        <color theme="0" tint="-0.1499984740745262"/>
      </left>
      <right/>
      <top/>
      <bottom style="thin">
        <color theme="0" tint="-0.1499984740745262"/>
      </bottom>
      <diagonal/>
    </border>
    <border>
      <left/>
      <right/>
      <top/>
      <bottom style="thin">
        <color theme="0" tint="-0.1499984740745262"/>
      </bottom>
      <diagonal/>
    </border>
    <border>
      <left style="thin">
        <color theme="0" tint="-0.1499984740745262"/>
      </left>
      <right/>
      <top style="thin">
        <color theme="0" tint="-0.1499984740745262"/>
      </top>
      <bottom/>
      <diagonal/>
    </border>
    <border>
      <left/>
      <right/>
      <top style="thin">
        <color theme="0" tint="-0.1499984740745262"/>
      </top>
      <bottom/>
      <diagonal/>
    </border>
    <border>
      <left/>
      <right style="thin">
        <color theme="0" tint="-0.1499984740745262"/>
      </right>
      <top style="thin">
        <color theme="0" tint="-0.1499984740745262"/>
      </top>
      <bottom/>
      <diagonal/>
    </border>
    <border>
      <left style="thin">
        <color theme="0" tint="-0.1499984740745262"/>
      </left>
      <right/>
      <top/>
      <bottom/>
      <diagonal/>
    </border>
    <border>
      <left/>
      <right style="thin">
        <color theme="0" tint="-0.1499984740745262"/>
      </right>
      <top/>
      <bottom style="thin">
        <color theme="0" tint="-0.1499984740745262"/>
      </bottom>
      <diagonal/>
    </border>
    <border>
      <left style="thin">
        <color theme="0" tint="-0.1499679555650502"/>
      </left>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style="thin">
        <color theme="0" tint="-0.1499679555650502"/>
      </right>
      <top style="thin">
        <color theme="0" tint="-0.1499679555650502"/>
      </top>
      <bottom style="thin">
        <color theme="0" tint="-0.1499679555650502"/>
      </bottom>
      <diagonal/>
    </border>
    <border>
      <left style="medium">
        <color indexed="64"/>
      </left>
      <right style="thin">
        <color theme="0" tint="-0.249977111117893"/>
      </right>
      <top style="thin">
        <color theme="0" tint="-0.249977111117893"/>
      </top>
      <bottom style="thin">
        <color theme="0" tint="-0.249977111117893"/>
      </bottom>
      <diagonal/>
    </border>
    <border>
      <left style="thin">
        <color theme="0" tint="-0.249977111117893"/>
      </left>
      <right style="medium">
        <color indexed="64"/>
      </right>
      <top style="thin">
        <color theme="0" tint="-0.249977111117893"/>
      </top>
      <bottom style="thin">
        <color theme="0" tint="-0.249977111117893"/>
      </bottom>
      <diagonal/>
    </border>
    <border>
      <left style="medium">
        <color indexed="64"/>
      </left>
      <right style="thin">
        <color theme="0" tint="-0.249977111117893"/>
      </right>
      <top style="thin">
        <color theme="0" tint="-0.249977111117893"/>
      </top>
      <bottom style="medium">
        <color indexed="64"/>
      </bottom>
      <diagonal/>
    </border>
    <border>
      <left style="thin">
        <color theme="0" tint="-0.249977111117893"/>
      </left>
      <right style="thin">
        <color theme="0" tint="-0.249977111117893"/>
      </right>
      <top style="thin">
        <color theme="0" tint="-0.249977111117893"/>
      </top>
      <bottom style="medium">
        <color indexed="64"/>
      </bottom>
      <diagonal/>
    </border>
    <border>
      <left style="thin">
        <color theme="0" tint="-0.249977111117893"/>
      </left>
      <right style="medium">
        <color indexed="64"/>
      </right>
      <top style="thin">
        <color theme="0" tint="-0.249977111117893"/>
      </top>
      <bottom style="medium">
        <color indexed="64"/>
      </bottom>
      <diagonal/>
    </border>
    <border>
      <left/>
      <right/>
      <top style="thin">
        <color indexed="64"/>
      </top>
      <bottom style="thin">
        <color indexed="64"/>
      </bottom>
      <diagonal/>
    </border>
    <border>
      <left style="thin">
        <color indexed="64"/>
      </left>
      <right style="thin">
        <color indexed="64"/>
      </right>
      <top/>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style="thin">
        <color indexed="64"/>
      </right>
      <top style="medium">
        <color indexed="64"/>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medium">
        <color indexed="64"/>
      </bottom>
      <diagonal/>
    </border>
    <border>
      <left/>
      <right style="thin">
        <color theme="0" tint="-0.249977111117893"/>
      </right>
      <top style="thin">
        <color theme="0" tint="-0.249977111117893"/>
      </top>
      <bottom style="medium">
        <color indexed="64"/>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top style="thin">
        <color theme="0" tint="-0.249977111117893"/>
      </top>
      <bottom/>
      <diagonal/>
    </border>
    <border>
      <left/>
      <right style="thin">
        <color theme="0" tint="-0.249977111117893"/>
      </right>
      <top style="thin">
        <color theme="0" tint="-0.249977111117893"/>
      </top>
      <bottom/>
      <diagonal/>
    </border>
    <border>
      <left/>
      <right/>
      <top style="thin">
        <color theme="0" tint="-0.249977111117893"/>
      </top>
      <bottom style="thin">
        <color theme="0" tint="-0.249977111117893"/>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diagonal/>
    </border>
    <border>
      <left style="medium">
        <color indexed="64"/>
      </left>
      <right style="medium">
        <color indexed="64"/>
      </right>
      <top style="medium">
        <color indexed="64"/>
      </top>
      <bottom style="medium">
        <color indexed="64"/>
      </bottom>
      <diagonal/>
    </border>
  </borders>
  <cellStyleXfs count="13">
    <xf numFmtId="0" fontId="0" fillId="0" borderId="0"/>
    <xf numFmtId="43" fontId="2" fillId="0" borderId="0"/>
    <xf numFmtId="0" fontId="14" fillId="0" borderId="15"/>
    <xf numFmtId="0" fontId="2" fillId="0" borderId="0"/>
    <xf numFmtId="0" fontId="2" fillId="0" borderId="0"/>
    <xf numFmtId="0" fontId="2" fillId="0" borderId="0"/>
    <xf numFmtId="0" fontId="15" fillId="0" borderId="0"/>
    <xf numFmtId="0" fontId="2" fillId="0" borderId="0"/>
    <xf numFmtId="9" fontId="15" fillId="0" borderId="0"/>
    <xf numFmtId="0" fontId="39" fillId="0" borderId="0"/>
    <xf numFmtId="0" fontId="46" fillId="0" borderId="0"/>
    <xf numFmtId="0" fontId="1" fillId="0" borderId="0"/>
    <xf numFmtId="0" fontId="47" fillId="0" borderId="0"/>
  </cellStyleXfs>
  <cellXfs count="276">
    <xf numFmtId="0" fontId="0" fillId="0" borderId="0" pivotButton="0" quotePrefix="0" xfId="0"/>
    <xf numFmtId="0" fontId="16" fillId="0" borderId="0" applyAlignment="1" applyProtection="1" pivotButton="0" quotePrefix="0" xfId="4">
      <alignment horizontal="center" vertical="top"/>
      <protection locked="0" hidden="0"/>
    </xf>
    <xf numFmtId="0" fontId="2" fillId="0" borderId="0" applyProtection="1" pivotButton="0" quotePrefix="0" xfId="4">
      <protection locked="0" hidden="0"/>
    </xf>
    <xf numFmtId="0" fontId="17" fillId="0" borderId="0" applyAlignment="1" applyProtection="1" pivotButton="0" quotePrefix="0" xfId="4">
      <alignment horizontal="center"/>
      <protection locked="0" hidden="0"/>
    </xf>
    <xf numFmtId="0" fontId="7" fillId="0" borderId="0" applyProtection="1" pivotButton="0" quotePrefix="0" xfId="4">
      <protection locked="0" hidden="0"/>
    </xf>
    <xf numFmtId="0" fontId="19" fillId="0" borderId="0" applyAlignment="1" applyProtection="1" pivotButton="0" quotePrefix="0" xfId="4">
      <alignment horizontal="center"/>
      <protection locked="0" hidden="0"/>
    </xf>
    <xf numFmtId="14" fontId="0" fillId="0" borderId="0" pivotButton="0" quotePrefix="0" xfId="0"/>
    <xf numFmtId="0" fontId="4" fillId="0" borderId="0" applyAlignment="1" applyProtection="1" pivotButton="0" quotePrefix="0" xfId="7">
      <alignment horizontal="right"/>
      <protection locked="0" hidden="0"/>
    </xf>
    <xf numFmtId="0" fontId="3" fillId="0" borderId="0" applyProtection="1" pivotButton="0" quotePrefix="0" xfId="7">
      <protection locked="0" hidden="0"/>
    </xf>
    <xf numFmtId="0" fontId="5" fillId="0" borderId="0" applyAlignment="1" applyProtection="1" pivotButton="0" quotePrefix="0" xfId="7">
      <alignment horizontal="center" vertical="center"/>
      <protection locked="0" hidden="0"/>
    </xf>
    <xf numFmtId="0" fontId="3" fillId="0" borderId="0" applyAlignment="1" applyProtection="1" pivotButton="0" quotePrefix="0" xfId="7">
      <alignment vertical="top"/>
      <protection locked="0" hidden="0"/>
    </xf>
    <xf numFmtId="0" fontId="3" fillId="0" borderId="0" applyProtection="1" pivotButton="0" quotePrefix="0" xfId="0">
      <protection locked="0" hidden="0"/>
    </xf>
    <xf numFmtId="0" fontId="4" fillId="0" borderId="0" applyAlignment="1" applyProtection="1" pivotButton="0" quotePrefix="0" xfId="7">
      <alignment horizontal="right" vertical="top"/>
      <protection locked="0" hidden="0"/>
    </xf>
    <xf numFmtId="0" fontId="4" fillId="0" borderId="0" applyProtection="1" pivotButton="0" quotePrefix="0" xfId="7">
      <protection locked="0" hidden="0"/>
    </xf>
    <xf numFmtId="0" fontId="4" fillId="0" borderId="0" applyAlignment="1" applyProtection="1" pivotButton="0" quotePrefix="0" xfId="7">
      <alignment vertical="top"/>
      <protection locked="0" hidden="0"/>
    </xf>
    <xf numFmtId="0" fontId="6" fillId="0" borderId="0" applyAlignment="1" applyProtection="1" pivotButton="0" quotePrefix="0" xfId="7">
      <alignment horizontal="left" vertical="top" wrapText="1"/>
      <protection locked="0" hidden="0"/>
    </xf>
    <xf numFmtId="0" fontId="3" fillId="0" borderId="0" applyAlignment="1" applyProtection="1" pivotButton="0" quotePrefix="0" xfId="7">
      <alignment horizontal="left" vertical="top"/>
      <protection locked="0" hidden="0"/>
    </xf>
    <xf numFmtId="0" fontId="3" fillId="2" borderId="0" applyAlignment="1" applyProtection="1" pivotButton="0" quotePrefix="0" xfId="7">
      <alignment horizontal="left" vertical="top" wrapText="1"/>
      <protection locked="0" hidden="0"/>
    </xf>
    <xf numFmtId="0" fontId="4" fillId="2" borderId="0" applyAlignment="1" applyProtection="1" pivotButton="0" quotePrefix="0" xfId="7">
      <alignment horizontal="right"/>
      <protection locked="0" hidden="0"/>
    </xf>
    <xf numFmtId="0" fontId="3" fillId="2" borderId="0" applyProtection="1" pivotButton="0" quotePrefix="0" xfId="7">
      <protection locked="0" hidden="0"/>
    </xf>
    <xf numFmtId="0" fontId="3" fillId="2" borderId="0" applyAlignment="1" applyProtection="1" pivotButton="0" quotePrefix="0" xfId="7">
      <alignment wrapText="1"/>
      <protection locked="0" hidden="0"/>
    </xf>
    <xf numFmtId="0" fontId="3" fillId="2" borderId="0" applyAlignment="1" applyProtection="1" pivotButton="0" quotePrefix="0" xfId="7">
      <alignment vertical="top"/>
      <protection locked="0" hidden="0"/>
    </xf>
    <xf numFmtId="0" fontId="4" fillId="2" borderId="0" applyAlignment="1" applyProtection="1" pivotButton="0" quotePrefix="0" xfId="7">
      <alignment horizontal="right" vertical="top"/>
      <protection locked="0" hidden="0"/>
    </xf>
    <xf numFmtId="0" fontId="3" fillId="2" borderId="0" applyAlignment="1" applyProtection="1" pivotButton="0" quotePrefix="0" xfId="7">
      <alignment horizontal="left" vertical="top"/>
      <protection locked="0" hidden="0"/>
    </xf>
    <xf numFmtId="0" fontId="6" fillId="2" borderId="0" applyAlignment="1" applyProtection="1" pivotButton="0" quotePrefix="0" xfId="7">
      <alignment horizontal="left" vertical="top" wrapText="1"/>
      <protection locked="0" hidden="0"/>
    </xf>
    <xf numFmtId="0" fontId="4" fillId="2" borderId="0" applyAlignment="1" applyProtection="1" pivotButton="0" quotePrefix="0" xfId="7">
      <alignment horizontal="left" vertical="top"/>
      <protection locked="0" hidden="0"/>
    </xf>
    <xf numFmtId="0" fontId="4" fillId="2" borderId="0" applyProtection="1" pivotButton="0" quotePrefix="0" xfId="7">
      <protection locked="0" hidden="0"/>
    </xf>
    <xf numFmtId="0" fontId="4" fillId="2" borderId="0" applyAlignment="1" applyProtection="1" pivotButton="0" quotePrefix="0" xfId="7">
      <alignment vertical="center"/>
      <protection locked="0" hidden="0"/>
    </xf>
    <xf numFmtId="0" fontId="4" fillId="2" borderId="0" applyAlignment="1" applyProtection="1" pivotButton="0" quotePrefix="0" xfId="7">
      <alignment horizontal="right" vertical="center"/>
      <protection locked="0" hidden="0"/>
    </xf>
    <xf numFmtId="0" fontId="3" fillId="0" borderId="0" applyAlignment="1" pivotButton="0" quotePrefix="0" xfId="7">
      <alignment horizontal="left" vertical="top" wrapText="1"/>
    </xf>
    <xf numFmtId="0" fontId="20" fillId="0" borderId="0" applyProtection="1" pivotButton="0" quotePrefix="0" xfId="7">
      <protection locked="0" hidden="0"/>
    </xf>
    <xf numFmtId="0" fontId="21" fillId="0" borderId="0" applyAlignment="1" pivotButton="0" quotePrefix="0" xfId="0">
      <alignment horizontal="left" vertical="top"/>
    </xf>
    <xf numFmtId="0" fontId="23" fillId="0" borderId="0" applyAlignment="1" pivotButton="0" quotePrefix="0" xfId="0">
      <alignment horizontal="left" vertical="top"/>
    </xf>
    <xf numFmtId="0" fontId="22" fillId="0" borderId="0" applyProtection="1" pivotButton="0" quotePrefix="0" xfId="0">
      <protection locked="0" hidden="0"/>
    </xf>
    <xf numFmtId="0" fontId="22" fillId="0" borderId="0" pivotButton="0" quotePrefix="0" xfId="0"/>
    <xf numFmtId="0" fontId="22" fillId="0" borderId="0" applyAlignment="1" pivotButton="0" quotePrefix="0" xfId="0">
      <alignment horizontal="center"/>
    </xf>
    <xf numFmtId="164" fontId="22" fillId="0" borderId="0" applyAlignment="1" pivotButton="0" quotePrefix="0" xfId="0">
      <alignment horizontal="left" vertical="top"/>
    </xf>
    <xf numFmtId="0" fontId="22" fillId="0" borderId="0" applyAlignment="1" pivotButton="0" quotePrefix="0" xfId="0">
      <alignment horizontal="left" vertical="top"/>
    </xf>
    <xf numFmtId="0" fontId="24" fillId="0" borderId="0" applyProtection="1" pivotButton="0" quotePrefix="0" xfId="2">
      <protection locked="0" hidden="0"/>
    </xf>
    <xf numFmtId="0" fontId="25" fillId="0" borderId="0" applyAlignment="1" pivotButton="0" quotePrefix="0" xfId="7">
      <alignment vertical="center" wrapText="1"/>
    </xf>
    <xf numFmtId="0" fontId="4" fillId="3" borderId="0" applyAlignment="1" applyProtection="1" pivotButton="0" quotePrefix="0" xfId="7">
      <alignment horizontal="right"/>
      <protection locked="0" hidden="0"/>
    </xf>
    <xf numFmtId="0" fontId="3" fillId="3" borderId="0" applyProtection="1" pivotButton="0" quotePrefix="0" xfId="7">
      <protection locked="0" hidden="0"/>
    </xf>
    <xf numFmtId="0" fontId="26" fillId="3" borderId="0" applyAlignment="1" pivotButton="0" quotePrefix="0" xfId="7">
      <alignment vertical="center"/>
    </xf>
    <xf numFmtId="0" fontId="26" fillId="4" borderId="0" applyAlignment="1" pivotButton="0" quotePrefix="0" xfId="0">
      <alignment horizontal="left" vertical="center"/>
    </xf>
    <xf numFmtId="0" fontId="26" fillId="4" borderId="0" applyAlignment="1" pivotButton="0" quotePrefix="0" xfId="0">
      <alignment horizontal="center" vertical="center"/>
    </xf>
    <xf numFmtId="0" fontId="8" fillId="0" borderId="0" applyProtection="1" pivotButton="0" quotePrefix="0" xfId="0">
      <protection locked="0" hidden="0"/>
    </xf>
    <xf numFmtId="0" fontId="4" fillId="0" borderId="5" applyProtection="1" pivotButton="0" quotePrefix="0" xfId="7">
      <protection locked="0" hidden="0"/>
    </xf>
    <xf numFmtId="0" fontId="3" fillId="0" borderId="6" applyProtection="1" pivotButton="0" quotePrefix="0" xfId="7">
      <protection locked="0" hidden="0"/>
    </xf>
    <xf numFmtId="0" fontId="9" fillId="2" borderId="0" applyProtection="1" pivotButton="0" quotePrefix="0" xfId="7">
      <protection locked="0" hidden="0"/>
    </xf>
    <xf numFmtId="0" fontId="12" fillId="2" borderId="0" applyAlignment="1" applyProtection="1" pivotButton="0" quotePrefix="0" xfId="7">
      <alignment horizontal="right" vertical="top"/>
      <protection locked="0" hidden="0"/>
    </xf>
    <xf numFmtId="0" fontId="13" fillId="2" borderId="0" applyAlignment="1" applyProtection="1" pivotButton="0" quotePrefix="0" xfId="7">
      <alignment horizontal="left" vertical="top" wrapText="1"/>
      <protection locked="0" hidden="0"/>
    </xf>
    <xf numFmtId="0" fontId="28" fillId="2" borderId="0" applyAlignment="1" applyProtection="1" pivotButton="0" quotePrefix="0" xfId="7">
      <alignment horizontal="left" vertical="top" wrapText="1"/>
      <protection locked="0" hidden="0"/>
    </xf>
    <xf numFmtId="0" fontId="29" fillId="2" borderId="0" applyAlignment="1" applyProtection="1" pivotButton="0" quotePrefix="0" xfId="7">
      <alignment horizontal="left" vertical="top"/>
      <protection locked="0" hidden="0"/>
    </xf>
    <xf numFmtId="0" fontId="29" fillId="2" borderId="0" applyProtection="1" pivotButton="0" quotePrefix="0" xfId="7">
      <protection locked="0" hidden="0"/>
    </xf>
    <xf numFmtId="0" fontId="29" fillId="2" borderId="0" applyAlignment="1" applyProtection="1" pivotButton="0" quotePrefix="0" xfId="7">
      <alignment horizontal="left" vertical="top" wrapText="1"/>
      <protection locked="0" hidden="0"/>
    </xf>
    <xf numFmtId="0" fontId="30" fillId="2" borderId="0" applyAlignment="1" applyProtection="1" pivotButton="0" quotePrefix="0" xfId="7">
      <alignment horizontal="left" vertical="top" wrapText="1"/>
      <protection locked="0" hidden="0"/>
    </xf>
    <xf numFmtId="0" fontId="31" fillId="0" borderId="0" applyAlignment="1" applyProtection="1" pivotButton="0" quotePrefix="0" xfId="7">
      <alignment horizontal="left" vertical="top"/>
      <protection locked="0" hidden="0"/>
    </xf>
    <xf numFmtId="0" fontId="32" fillId="0" borderId="0" applyAlignment="1" applyProtection="1" pivotButton="0" quotePrefix="0" xfId="7">
      <alignment horizontal="left" vertical="top" wrapText="1"/>
      <protection locked="0" hidden="0"/>
    </xf>
    <xf numFmtId="0" fontId="33" fillId="2" borderId="0" applyAlignment="1" applyProtection="1" pivotButton="0" quotePrefix="0" xfId="7">
      <alignment horizontal="right" vertical="top"/>
      <protection locked="0" hidden="0"/>
    </xf>
    <xf numFmtId="0" fontId="34" fillId="2" borderId="0" applyAlignment="1" applyProtection="1" pivotButton="0" quotePrefix="0" xfId="7">
      <alignment horizontal="left" vertical="top" wrapText="1"/>
      <protection locked="0" hidden="0"/>
    </xf>
    <xf numFmtId="0" fontId="3" fillId="2" borderId="0" applyAlignment="1" applyProtection="1" pivotButton="0" quotePrefix="0" xfId="7">
      <alignment horizontal="left" vertical="center" wrapText="1"/>
      <protection locked="0" hidden="0"/>
    </xf>
    <xf numFmtId="0" fontId="3" fillId="2" borderId="0" applyAlignment="1" applyProtection="1" pivotButton="0" quotePrefix="0" xfId="7">
      <alignment horizontal="left" vertical="center"/>
      <protection locked="0" hidden="0"/>
    </xf>
    <xf numFmtId="0" fontId="3" fillId="2" borderId="0" applyAlignment="1" applyProtection="1" pivotButton="0" quotePrefix="0" xfId="7">
      <alignment vertical="center" wrapText="1"/>
      <protection locked="0" hidden="0"/>
    </xf>
    <xf numFmtId="0" fontId="33" fillId="5" borderId="0" applyAlignment="1" pivotButton="0" quotePrefix="0" xfId="7">
      <alignment vertical="center"/>
    </xf>
    <xf numFmtId="0" fontId="26" fillId="5" borderId="0" applyAlignment="1" pivotButton="0" quotePrefix="0" xfId="7">
      <alignment vertical="center"/>
    </xf>
    <xf numFmtId="0" fontId="6" fillId="5" borderId="0" applyAlignment="1" applyProtection="1" pivotButton="0" quotePrefix="0" xfId="7">
      <alignment horizontal="left" vertical="center" wrapText="1"/>
      <protection locked="0" hidden="0"/>
    </xf>
    <xf numFmtId="0" fontId="3" fillId="5" borderId="0" applyAlignment="1" applyProtection="1" pivotButton="0" quotePrefix="0" xfId="7">
      <alignment vertical="center"/>
      <protection locked="0" hidden="0"/>
    </xf>
    <xf numFmtId="0" fontId="18" fillId="0" borderId="0" applyAlignment="1" applyProtection="1" pivotButton="0" quotePrefix="0" xfId="4">
      <alignment horizontal="center" vertical="center"/>
      <protection locked="0" hidden="0"/>
    </xf>
    <xf numFmtId="0" fontId="16" fillId="0" borderId="0" applyAlignment="1" applyProtection="1" pivotButton="0" quotePrefix="0" xfId="4">
      <alignment horizontal="center" vertical="center"/>
      <protection locked="0" hidden="0"/>
    </xf>
    <xf numFmtId="0" fontId="16" fillId="0" borderId="0" applyAlignment="1" applyProtection="1" pivotButton="0" quotePrefix="0" xfId="4">
      <alignment horizontal="center"/>
      <protection locked="0" hidden="0"/>
    </xf>
    <xf numFmtId="0" fontId="24" fillId="0" borderId="0" applyAlignment="1" applyProtection="1" pivotButton="0" quotePrefix="0" xfId="2">
      <alignment horizontal="left"/>
      <protection locked="0" hidden="0"/>
    </xf>
    <xf numFmtId="0" fontId="16" fillId="2" borderId="0" applyAlignment="1" applyProtection="1" pivotButton="0" quotePrefix="0" xfId="7">
      <alignment horizontal="left" vertical="top"/>
      <protection locked="0" hidden="0"/>
    </xf>
    <xf numFmtId="0" fontId="33" fillId="2" borderId="0" applyProtection="1" pivotButton="0" quotePrefix="0" xfId="7">
      <protection locked="0" hidden="0"/>
    </xf>
    <xf numFmtId="0" fontId="38" fillId="2" borderId="0" applyAlignment="1" applyProtection="1" pivotButton="0" quotePrefix="0" xfId="7">
      <alignment horizontal="center" vertical="top" wrapText="1"/>
      <protection locked="0" hidden="0"/>
    </xf>
    <xf numFmtId="0" fontId="4" fillId="2" borderId="0" applyAlignment="1" applyProtection="1" pivotButton="0" quotePrefix="0" xfId="7">
      <alignment horizontal="center"/>
      <protection locked="0" hidden="0"/>
    </xf>
    <xf numFmtId="0" fontId="37" fillId="4" borderId="0" applyAlignment="1" pivotButton="0" quotePrefix="0" xfId="0">
      <alignment horizontal="left" vertical="center"/>
    </xf>
    <xf numFmtId="0" fontId="39" fillId="2" borderId="0" applyProtection="1" pivotButton="0" quotePrefix="1" xfId="9">
      <protection locked="0" hidden="0"/>
    </xf>
    <xf numFmtId="0" fontId="25" fillId="0" borderId="0" applyAlignment="1" pivotButton="0" quotePrefix="0" xfId="7">
      <alignment vertical="top"/>
    </xf>
    <xf numFmtId="0" fontId="40" fillId="0" borderId="0" applyAlignment="1" applyProtection="1" pivotButton="0" quotePrefix="0" xfId="7">
      <alignment horizontal="left" vertical="top" wrapText="1"/>
      <protection locked="0" hidden="0"/>
    </xf>
    <xf numFmtId="0" fontId="41" fillId="0" borderId="0" applyAlignment="1" applyProtection="1" pivotButton="0" quotePrefix="0" xfId="7">
      <alignment horizontal="left" vertical="top" wrapText="1"/>
      <protection locked="0" hidden="0"/>
    </xf>
    <xf numFmtId="0" fontId="36" fillId="2" borderId="0" applyProtection="1" pivotButton="0" quotePrefix="0" xfId="7">
      <protection locked="0" hidden="0"/>
    </xf>
    <xf numFmtId="0" fontId="29" fillId="2" borderId="0" applyAlignment="1" applyProtection="1" pivotButton="0" quotePrefix="0" xfId="7">
      <alignment vertical="center"/>
      <protection locked="0" hidden="0"/>
    </xf>
    <xf numFmtId="0" fontId="35" fillId="0" borderId="6" applyAlignment="1" applyProtection="1" pivotButton="0" quotePrefix="0" xfId="7">
      <alignment horizontal="left" vertical="top" wrapText="1"/>
      <protection locked="0" hidden="0"/>
    </xf>
    <xf numFmtId="0" fontId="3" fillId="0" borderId="5" applyProtection="1" pivotButton="0" quotePrefix="0" xfId="7">
      <protection locked="0" hidden="0"/>
    </xf>
    <xf numFmtId="0" fontId="4" fillId="0" borderId="6" applyAlignment="1" applyProtection="1" pivotButton="0" quotePrefix="0" xfId="7">
      <alignment vertical="top"/>
      <protection locked="0" hidden="0"/>
    </xf>
    <xf numFmtId="0" fontId="29" fillId="2" borderId="5" applyAlignment="1" applyProtection="1" pivotButton="0" quotePrefix="0" xfId="7">
      <alignment horizontal="left" vertical="top" wrapText="1"/>
      <protection locked="0" hidden="0"/>
    </xf>
    <xf numFmtId="0" fontId="30" fillId="2" borderId="5" applyAlignment="1" applyProtection="1" pivotButton="0" quotePrefix="0" xfId="7">
      <alignment horizontal="left" vertical="top" wrapText="1"/>
      <protection locked="0" hidden="0"/>
    </xf>
    <xf numFmtId="0" fontId="4" fillId="0" borderId="7" applyAlignment="1" applyProtection="1" pivotButton="0" quotePrefix="0" xfId="7">
      <alignment vertical="top"/>
      <protection locked="0" hidden="0"/>
    </xf>
    <xf numFmtId="0" fontId="4" fillId="0" borderId="8" applyAlignment="1" applyProtection="1" pivotButton="0" quotePrefix="0" xfId="7">
      <alignment vertical="top"/>
      <protection locked="0" hidden="0"/>
    </xf>
    <xf numFmtId="0" fontId="4" fillId="0" borderId="9" applyAlignment="1" applyProtection="1" pivotButton="0" quotePrefix="0" xfId="7">
      <alignment vertical="top"/>
      <protection locked="0" hidden="0"/>
    </xf>
    <xf numFmtId="0" fontId="9" fillId="0" borderId="5" applyAlignment="1" applyProtection="1" pivotButton="0" quotePrefix="0" xfId="7">
      <alignment vertical="top"/>
      <protection locked="0" hidden="0"/>
    </xf>
    <xf numFmtId="0" fontId="27" fillId="0" borderId="0" applyAlignment="1" applyProtection="1" pivotButton="0" quotePrefix="0" xfId="7">
      <alignment vertical="top"/>
      <protection locked="0" hidden="0"/>
    </xf>
    <xf numFmtId="0" fontId="45" fillId="0" borderId="5" applyAlignment="1" pivotButton="0" quotePrefix="0" xfId="0">
      <alignment horizontal="left" vertical="top"/>
    </xf>
    <xf numFmtId="0" fontId="26" fillId="4" borderId="0" applyAlignment="1" pivotButton="0" quotePrefix="0" xfId="0">
      <alignment vertical="center" wrapText="1"/>
    </xf>
    <xf numFmtId="0" fontId="3" fillId="0" borderId="0" applyAlignment="1" applyProtection="1" pivotButton="0" quotePrefix="0" xfId="7">
      <alignment horizontal="center" vertical="top"/>
      <protection locked="0" hidden="0"/>
    </xf>
    <xf numFmtId="0" fontId="6" fillId="0" borderId="0" applyAlignment="1" applyProtection="1" pivotButton="0" quotePrefix="0" xfId="7">
      <alignment horizontal="center" vertical="top" wrapText="1"/>
      <protection locked="0" hidden="0"/>
    </xf>
    <xf numFmtId="0" fontId="26" fillId="5" borderId="16" applyAlignment="1" pivotButton="0" quotePrefix="0" xfId="7">
      <alignment horizontal="center" vertical="center" wrapText="1"/>
    </xf>
    <xf numFmtId="0" fontId="26" fillId="5" borderId="17" applyAlignment="1" pivotButton="0" quotePrefix="0" xfId="7">
      <alignment horizontal="center" vertical="center" wrapText="1"/>
    </xf>
    <xf numFmtId="0" fontId="26" fillId="5" borderId="18" applyAlignment="1" pivotButton="0" quotePrefix="0" xfId="7">
      <alignment horizontal="center" vertical="center" wrapText="1"/>
    </xf>
    <xf numFmtId="0" fontId="3" fillId="2" borderId="0" applyAlignment="1" applyProtection="1" pivotButton="0" quotePrefix="0" xfId="7">
      <alignment vertical="top" wrapText="1"/>
      <protection locked="0" hidden="0"/>
    </xf>
    <xf numFmtId="0" fontId="29" fillId="0" borderId="0" applyAlignment="1" pivotButton="0" quotePrefix="0" xfId="7">
      <alignment vertical="top" wrapText="1"/>
    </xf>
    <xf numFmtId="0" fontId="33" fillId="0" borderId="0" applyProtection="1" pivotButton="0" quotePrefix="0" xfId="2">
      <protection locked="0" hidden="0"/>
    </xf>
    <xf numFmtId="0" fontId="11" fillId="0" borderId="0" applyAlignment="1" applyProtection="1" pivotButton="0" quotePrefix="0" xfId="7">
      <alignment horizontal="left" vertical="top" wrapText="1"/>
      <protection locked="0" hidden="0"/>
    </xf>
    <xf numFmtId="0" fontId="12" fillId="0" borderId="0" applyAlignment="1" applyProtection="1" pivotButton="0" quotePrefix="0" xfId="7">
      <alignment vertical="top"/>
      <protection locked="0" hidden="0"/>
    </xf>
    <xf numFmtId="0" fontId="50" fillId="0" borderId="0" applyAlignment="1" applyProtection="1" pivotButton="0" quotePrefix="0" xfId="7">
      <alignment vertical="center"/>
      <protection locked="0" hidden="0"/>
    </xf>
    <xf numFmtId="0" fontId="48" fillId="2" borderId="19" applyAlignment="1" applyProtection="1" pivotButton="0" quotePrefix="0" xfId="0">
      <alignment vertical="top"/>
      <protection locked="0" hidden="0"/>
    </xf>
    <xf numFmtId="0" fontId="49" fillId="2" borderId="19" applyAlignment="1" applyProtection="1" pivotButton="0" quotePrefix="0" xfId="0">
      <alignment horizontal="right" vertical="top"/>
      <protection locked="0" hidden="0"/>
    </xf>
    <xf numFmtId="0" fontId="50" fillId="2" borderId="0" applyAlignment="1" applyProtection="1" pivotButton="0" quotePrefix="0" xfId="7">
      <alignment wrapText="1"/>
      <protection locked="0" hidden="0"/>
    </xf>
    <xf numFmtId="0" fontId="48" fillId="2" borderId="19" applyAlignment="1" applyProtection="1" pivotButton="0" quotePrefix="0" xfId="0">
      <alignment horizontal="left" vertical="top"/>
      <protection locked="0" hidden="0"/>
    </xf>
    <xf numFmtId="14" fontId="48" fillId="2" borderId="19" applyAlignment="1" applyProtection="1" pivotButton="0" quotePrefix="0" xfId="0">
      <alignment horizontal="left" vertical="top"/>
      <protection locked="0" hidden="0"/>
    </xf>
    <xf numFmtId="0" fontId="3" fillId="2" borderId="19" applyProtection="1" pivotButton="0" quotePrefix="0" xfId="7">
      <protection locked="0" hidden="0"/>
    </xf>
    <xf numFmtId="0" fontId="29" fillId="2" borderId="19" applyProtection="1" pivotButton="0" quotePrefix="0" xfId="7">
      <protection locked="0" hidden="0"/>
    </xf>
    <xf numFmtId="0" fontId="9" fillId="2" borderId="19" applyAlignment="1" applyProtection="1" pivotButton="0" quotePrefix="0" xfId="7">
      <alignment horizontal="left" vertical="center" wrapText="1"/>
      <protection locked="0" hidden="0"/>
    </xf>
    <xf numFmtId="0" fontId="9" fillId="2" borderId="19" applyAlignment="1" applyProtection="1" pivotButton="0" quotePrefix="0" xfId="7">
      <alignment horizontal="center" vertical="center" wrapText="1"/>
      <protection locked="0" hidden="0"/>
    </xf>
    <xf numFmtId="0" fontId="9" fillId="2" borderId="19" applyAlignment="1" pivotButton="0" quotePrefix="0" xfId="7">
      <alignment vertical="center" wrapText="1"/>
    </xf>
    <xf numFmtId="0" fontId="3" fillId="0" borderId="19" applyProtection="1" pivotButton="0" quotePrefix="0" xfId="7">
      <protection locked="0" hidden="0"/>
    </xf>
    <xf numFmtId="0" fontId="48" fillId="2" borderId="31" applyAlignment="1" applyProtection="1" pivotButton="0" quotePrefix="0" xfId="0">
      <alignment vertical="top"/>
      <protection locked="0" hidden="0"/>
    </xf>
    <xf numFmtId="0" fontId="48" fillId="2" borderId="33" applyAlignment="1" applyProtection="1" pivotButton="0" quotePrefix="0" xfId="0">
      <alignment vertical="top"/>
      <protection locked="0" hidden="0"/>
    </xf>
    <xf numFmtId="0" fontId="48" fillId="2" borderId="34" applyAlignment="1" applyProtection="1" pivotButton="0" quotePrefix="0" xfId="0">
      <alignment vertical="top"/>
      <protection locked="0" hidden="0"/>
    </xf>
    <xf numFmtId="0" fontId="26" fillId="5" borderId="0" applyAlignment="1" pivotButton="0" quotePrefix="0" xfId="7">
      <alignment vertical="center" wrapText="1"/>
    </xf>
    <xf numFmtId="0" fontId="3" fillId="2" borderId="32" applyProtection="1" pivotButton="0" quotePrefix="0" xfId="7">
      <protection locked="0" hidden="0"/>
    </xf>
    <xf numFmtId="0" fontId="3" fillId="2" borderId="34" applyProtection="1" pivotButton="0" quotePrefix="0" xfId="7">
      <protection locked="0" hidden="0"/>
    </xf>
    <xf numFmtId="0" fontId="3" fillId="0" borderId="34" applyProtection="1" pivotButton="0" quotePrefix="0" xfId="7">
      <protection locked="0" hidden="0"/>
    </xf>
    <xf numFmtId="0" fontId="3" fillId="2" borderId="35" applyProtection="1" pivotButton="0" quotePrefix="0" xfId="7">
      <protection locked="0" hidden="0"/>
    </xf>
    <xf numFmtId="0" fontId="26" fillId="5" borderId="40" applyAlignment="1" pivotButton="0" quotePrefix="0" xfId="7">
      <alignment vertical="center" wrapText="1"/>
    </xf>
    <xf numFmtId="0" fontId="9" fillId="2" borderId="32" applyAlignment="1" applyProtection="1" pivotButton="0" quotePrefix="0" xfId="7">
      <alignment vertical="center" wrapText="1"/>
      <protection locked="0" hidden="0"/>
    </xf>
    <xf numFmtId="0" fontId="9" fillId="2" borderId="34" applyAlignment="1" applyProtection="1" pivotButton="0" quotePrefix="0" xfId="7">
      <alignment horizontal="left" vertical="center" wrapText="1"/>
      <protection locked="0" hidden="0"/>
    </xf>
    <xf numFmtId="0" fontId="9" fillId="2" borderId="34" applyAlignment="1" applyProtection="1" pivotButton="0" quotePrefix="0" xfId="7">
      <alignment horizontal="center" vertical="center" wrapText="1"/>
      <protection locked="0" hidden="0"/>
    </xf>
    <xf numFmtId="0" fontId="9" fillId="2" borderId="34" applyAlignment="1" pivotButton="0" quotePrefix="0" xfId="7">
      <alignment vertical="center" wrapText="1"/>
    </xf>
    <xf numFmtId="0" fontId="9" fillId="2" borderId="35" applyAlignment="1" applyProtection="1" pivotButton="0" quotePrefix="0" xfId="7">
      <alignment vertical="center" wrapText="1"/>
      <protection locked="0" hidden="0"/>
    </xf>
    <xf numFmtId="0" fontId="26" fillId="5" borderId="37" applyAlignment="1" pivotButton="0" quotePrefix="0" xfId="7">
      <alignment vertical="center" wrapText="1"/>
    </xf>
    <xf numFmtId="0" fontId="26" fillId="5" borderId="10" applyAlignment="1" pivotButton="0" quotePrefix="0" xfId="7">
      <alignment vertical="center" wrapText="1"/>
    </xf>
    <xf numFmtId="0" fontId="42" fillId="5" borderId="1" applyAlignment="1" pivotButton="0" quotePrefix="0" xfId="7">
      <alignment horizontal="center" vertical="center" wrapText="1"/>
    </xf>
    <xf numFmtId="0" fontId="29" fillId="2" borderId="31" applyProtection="1" pivotButton="0" quotePrefix="0" xfId="7">
      <protection locked="0" hidden="0"/>
    </xf>
    <xf numFmtId="0" fontId="3" fillId="2" borderId="0" applyAlignment="1" applyProtection="1" pivotButton="0" quotePrefix="0" xfId="7">
      <alignment vertical="center"/>
      <protection locked="0" hidden="0"/>
    </xf>
    <xf numFmtId="0" fontId="29" fillId="0" borderId="0" applyAlignment="1" applyProtection="1" pivotButton="0" quotePrefix="1" xfId="7">
      <alignment horizontal="left" vertical="top"/>
      <protection locked="0" hidden="0"/>
    </xf>
    <xf numFmtId="0" fontId="29" fillId="0" borderId="0" applyAlignment="1" applyProtection="1" pivotButton="0" quotePrefix="0" xfId="7">
      <alignment horizontal="left" vertical="top"/>
      <protection locked="0" hidden="0"/>
    </xf>
    <xf numFmtId="14" fontId="49" fillId="2" borderId="19" applyAlignment="1" applyProtection="1" pivotButton="0" quotePrefix="0" xfId="0">
      <alignment horizontal="right" vertical="top"/>
      <protection locked="0" hidden="0"/>
    </xf>
    <xf numFmtId="0" fontId="29" fillId="2" borderId="33" applyProtection="1" pivotButton="0" quotePrefix="0" xfId="7">
      <protection locked="0" hidden="0"/>
    </xf>
    <xf numFmtId="0" fontId="29" fillId="2" borderId="34" applyProtection="1" pivotButton="0" quotePrefix="0" xfId="7">
      <protection locked="0" hidden="0"/>
    </xf>
    <xf numFmtId="0" fontId="29" fillId="2" borderId="19" applyAlignment="1" applyProtection="1" pivotButton="0" quotePrefix="0" xfId="7">
      <alignment horizontal="center"/>
      <protection locked="0" hidden="0"/>
    </xf>
    <xf numFmtId="0" fontId="29" fillId="0" borderId="19" applyProtection="1" pivotButton="0" quotePrefix="0" xfId="7">
      <protection locked="0" hidden="0"/>
    </xf>
    <xf numFmtId="0" fontId="29" fillId="2" borderId="32" applyProtection="1" pivotButton="0" quotePrefix="0" xfId="7">
      <protection locked="0" hidden="0"/>
    </xf>
    <xf numFmtId="0" fontId="29" fillId="2" borderId="34" applyAlignment="1" applyProtection="1" pivotButton="0" quotePrefix="0" xfId="7">
      <alignment horizontal="center"/>
      <protection locked="0" hidden="0"/>
    </xf>
    <xf numFmtId="0" fontId="29" fillId="0" borderId="34" applyProtection="1" pivotButton="0" quotePrefix="0" xfId="7">
      <protection locked="0" hidden="0"/>
    </xf>
    <xf numFmtId="0" fontId="29" fillId="2" borderId="35" applyProtection="1" pivotButton="0" quotePrefix="0" xfId="7">
      <protection locked="0" hidden="0"/>
    </xf>
    <xf numFmtId="4" fontId="29" fillId="2" borderId="19" applyProtection="1" pivotButton="0" quotePrefix="0" xfId="7">
      <protection locked="0" hidden="0"/>
    </xf>
    <xf numFmtId="4" fontId="29" fillId="2" borderId="34" applyProtection="1" pivotButton="0" quotePrefix="0" xfId="7">
      <protection locked="0" hidden="0"/>
    </xf>
    <xf numFmtId="0" fontId="29" fillId="0" borderId="0" applyAlignment="1" pivotButton="0" quotePrefix="0" xfId="7">
      <alignment horizontal="left" vertical="top" wrapText="1"/>
    </xf>
    <xf numFmtId="0" fontId="37" fillId="4" borderId="0" applyAlignment="1" pivotButton="0" quotePrefix="0" xfId="0">
      <alignment horizontal="left" vertical="center" wrapText="1"/>
    </xf>
    <xf numFmtId="0" fontId="48" fillId="2" borderId="28" applyAlignment="1" applyProtection="1" pivotButton="0" quotePrefix="0" xfId="0">
      <alignment horizontal="left" vertical="center"/>
      <protection locked="0" hidden="0"/>
    </xf>
    <xf numFmtId="0" fontId="48" fillId="2" borderId="29" applyAlignment="1" applyProtection="1" pivotButton="0" quotePrefix="0" xfId="0">
      <alignment horizontal="left" vertical="center"/>
      <protection locked="0" hidden="0"/>
    </xf>
    <xf numFmtId="0" fontId="48" fillId="2" borderId="30" applyAlignment="1" applyProtection="1" pivotButton="0" quotePrefix="0" xfId="0">
      <alignment horizontal="left" vertical="center"/>
      <protection locked="0" hidden="0"/>
    </xf>
    <xf numFmtId="0" fontId="48" fillId="2" borderId="41" applyAlignment="1" applyProtection="1" pivotButton="0" quotePrefix="0" xfId="0">
      <alignment horizontal="left" vertical="top"/>
      <protection locked="0" hidden="0"/>
    </xf>
    <xf numFmtId="0" fontId="48" fillId="2" borderId="42" applyAlignment="1" applyProtection="1" pivotButton="0" quotePrefix="0" xfId="0">
      <alignment horizontal="left" vertical="top"/>
      <protection locked="0" hidden="0"/>
    </xf>
    <xf numFmtId="0" fontId="52" fillId="3" borderId="31" applyAlignment="1" applyProtection="1" pivotButton="0" quotePrefix="0" xfId="7">
      <alignment horizontal="left"/>
      <protection locked="0" hidden="0"/>
    </xf>
    <xf numFmtId="0" fontId="52" fillId="3" borderId="19" applyAlignment="1" applyProtection="1" pivotButton="0" quotePrefix="0" xfId="7">
      <alignment horizontal="left"/>
      <protection locked="0" hidden="0"/>
    </xf>
    <xf numFmtId="0" fontId="52" fillId="3" borderId="32" applyAlignment="1" applyProtection="1" pivotButton="0" quotePrefix="0" xfId="7">
      <alignment horizontal="left"/>
      <protection locked="0" hidden="0"/>
    </xf>
    <xf numFmtId="0" fontId="29" fillId="2" borderId="0" applyAlignment="1" applyProtection="1" pivotButton="0" quotePrefix="0" xfId="7">
      <alignment horizontal="left" vertical="center" wrapText="1"/>
      <protection locked="0" hidden="0"/>
    </xf>
    <xf numFmtId="0" fontId="26" fillId="4" borderId="0" applyAlignment="1" pivotButton="0" quotePrefix="0" xfId="0">
      <alignment horizontal="left" vertical="center" wrapText="1"/>
    </xf>
    <xf numFmtId="0" fontId="26" fillId="5" borderId="17" applyAlignment="1" pivotButton="0" quotePrefix="0" xfId="7">
      <alignment horizontal="center" vertical="center" wrapText="1"/>
    </xf>
    <xf numFmtId="0" fontId="26" fillId="5" borderId="0" applyAlignment="1" pivotButton="0" quotePrefix="0" xfId="7">
      <alignment horizontal="center" vertical="center" wrapText="1"/>
    </xf>
    <xf numFmtId="0" fontId="48" fillId="2" borderId="23" applyAlignment="1" applyProtection="1" pivotButton="0" quotePrefix="0" xfId="0">
      <alignment horizontal="left" vertical="top"/>
      <protection locked="0" hidden="0"/>
    </xf>
    <xf numFmtId="0" fontId="48" fillId="2" borderId="24" applyAlignment="1" applyProtection="1" pivotButton="0" quotePrefix="0" xfId="0">
      <alignment horizontal="left" vertical="top"/>
      <protection locked="0" hidden="0"/>
    </xf>
    <xf numFmtId="0" fontId="48" fillId="2" borderId="25" applyAlignment="1" applyProtection="1" pivotButton="0" quotePrefix="0" xfId="0">
      <alignment horizontal="left" vertical="top"/>
      <protection locked="0" hidden="0"/>
    </xf>
    <xf numFmtId="0" fontId="48" fillId="2" borderId="26" applyAlignment="1" applyProtection="1" pivotButton="0" quotePrefix="0" xfId="0">
      <alignment horizontal="left" vertical="top"/>
      <protection locked="0" hidden="0"/>
    </xf>
    <xf numFmtId="0" fontId="48" fillId="2" borderId="0" applyAlignment="1" applyProtection="1" pivotButton="0" quotePrefix="0" xfId="0">
      <alignment horizontal="left" vertical="top"/>
      <protection locked="0" hidden="0"/>
    </xf>
    <xf numFmtId="0" fontId="48" fillId="2" borderId="20" applyAlignment="1" applyProtection="1" pivotButton="0" quotePrefix="0" xfId="0">
      <alignment horizontal="left" vertical="top"/>
      <protection locked="0" hidden="0"/>
    </xf>
    <xf numFmtId="0" fontId="48" fillId="2" borderId="21" applyAlignment="1" applyProtection="1" pivotButton="0" quotePrefix="0" xfId="0">
      <alignment horizontal="left" vertical="top"/>
      <protection locked="0" hidden="0"/>
    </xf>
    <xf numFmtId="0" fontId="48" fillId="2" borderId="22" applyAlignment="1" applyProtection="1" pivotButton="0" quotePrefix="0" xfId="0">
      <alignment horizontal="left" vertical="top"/>
      <protection locked="0" hidden="0"/>
    </xf>
    <xf numFmtId="0" fontId="48" fillId="2" borderId="27" applyAlignment="1" applyProtection="1" pivotButton="0" quotePrefix="0" xfId="0">
      <alignment horizontal="left" vertical="top"/>
      <protection locked="0" hidden="0"/>
    </xf>
    <xf numFmtId="0" fontId="37" fillId="6" borderId="31" applyAlignment="1" applyProtection="1" pivotButton="0" quotePrefix="0" xfId="7">
      <alignment horizontal="left" vertical="center"/>
      <protection locked="0" hidden="0"/>
    </xf>
    <xf numFmtId="0" fontId="37" fillId="6" borderId="19" applyAlignment="1" applyProtection="1" pivotButton="0" quotePrefix="0" xfId="7">
      <alignment horizontal="left" vertical="center"/>
      <protection locked="0" hidden="0"/>
    </xf>
    <xf numFmtId="0" fontId="37" fillId="6" borderId="32" applyAlignment="1" applyProtection="1" pivotButton="0" quotePrefix="0" xfId="7">
      <alignment horizontal="left" vertical="center"/>
      <protection locked="0" hidden="0"/>
    </xf>
    <xf numFmtId="0" fontId="48" fillId="2" borderId="43" applyAlignment="1" applyProtection="1" pivotButton="0" quotePrefix="0" xfId="0">
      <alignment horizontal="left" vertical="top"/>
      <protection locked="0" hidden="0"/>
    </xf>
    <xf numFmtId="0" fontId="48" fillId="2" borderId="44" applyAlignment="1" applyProtection="1" pivotButton="0" quotePrefix="0" xfId="0">
      <alignment horizontal="left" vertical="top"/>
      <protection locked="0" hidden="0"/>
    </xf>
    <xf numFmtId="0" fontId="9" fillId="2" borderId="31" applyAlignment="1" applyProtection="1" pivotButton="0" quotePrefix="0" xfId="7">
      <alignment horizontal="left" vertical="center" wrapText="1"/>
      <protection locked="0" hidden="0"/>
    </xf>
    <xf numFmtId="0" fontId="9" fillId="2" borderId="19" applyAlignment="1" applyProtection="1" pivotButton="0" quotePrefix="0" xfId="7">
      <alignment horizontal="left" vertical="center" wrapText="1"/>
      <protection locked="0" hidden="0"/>
    </xf>
    <xf numFmtId="0" fontId="26" fillId="5" borderId="16" applyAlignment="1" pivotButton="0" quotePrefix="0" xfId="7">
      <alignment horizontal="center" vertical="center" wrapText="1"/>
    </xf>
    <xf numFmtId="0" fontId="26" fillId="5" borderId="38" applyAlignment="1" pivotButton="0" quotePrefix="0" xfId="7">
      <alignment horizontal="center" vertical="center" wrapText="1"/>
    </xf>
    <xf numFmtId="0" fontId="26" fillId="5" borderId="39" applyAlignment="1" pivotButton="0" quotePrefix="0" xfId="7">
      <alignment horizontal="center" vertical="center" wrapText="1"/>
    </xf>
    <xf numFmtId="0" fontId="42" fillId="5" borderId="11" applyAlignment="1" pivotButton="0" quotePrefix="0" xfId="7">
      <alignment horizontal="center" vertical="center" wrapText="1"/>
    </xf>
    <xf numFmtId="0" fontId="42" fillId="5" borderId="36" applyAlignment="1" pivotButton="0" quotePrefix="0" xfId="7">
      <alignment horizontal="center" vertical="center" wrapText="1"/>
    </xf>
    <xf numFmtId="0" fontId="53" fillId="0" borderId="1" applyAlignment="1" pivotButton="0" quotePrefix="0" xfId="9">
      <alignment horizontal="center" vertical="top"/>
    </xf>
    <xf numFmtId="0" fontId="26" fillId="5" borderId="39" applyAlignment="1" pivotButton="0" quotePrefix="0" xfId="7">
      <alignment horizontal="left" vertical="center" wrapText="1"/>
    </xf>
    <xf numFmtId="0" fontId="26" fillId="5" borderId="38" applyAlignment="1" pivotButton="0" quotePrefix="0" xfId="7">
      <alignment horizontal="left" vertical="center" wrapText="1"/>
    </xf>
    <xf numFmtId="0" fontId="26" fillId="5" borderId="18" applyAlignment="1" pivotButton="0" quotePrefix="0" xfId="7">
      <alignment horizontal="center" vertical="center" wrapText="1"/>
    </xf>
    <xf numFmtId="0" fontId="33" fillId="0" borderId="2" applyAlignment="1" applyProtection="1" pivotButton="0" quotePrefix="0" xfId="7">
      <alignment horizontal="left" vertical="top" wrapText="1"/>
      <protection locked="0" hidden="0"/>
    </xf>
    <xf numFmtId="0" fontId="33" fillId="0" borderId="3" applyAlignment="1" applyProtection="1" pivotButton="0" quotePrefix="0" xfId="7">
      <alignment horizontal="left" vertical="top" wrapText="1"/>
      <protection locked="0" hidden="0"/>
    </xf>
    <xf numFmtId="0" fontId="33" fillId="0" borderId="4" applyAlignment="1" applyProtection="1" pivotButton="0" quotePrefix="0" xfId="7">
      <alignment horizontal="left" vertical="top" wrapText="1"/>
      <protection locked="0" hidden="0"/>
    </xf>
    <xf numFmtId="0" fontId="51" fillId="0" borderId="1" applyAlignment="1" applyProtection="1" pivotButton="0" quotePrefix="0" xfId="7">
      <alignment horizontal="left" vertical="top" wrapText="1"/>
      <protection locked="0" hidden="0"/>
    </xf>
    <xf numFmtId="0" fontId="11" fillId="0" borderId="1" applyAlignment="1" applyProtection="1" pivotButton="0" quotePrefix="0" xfId="7">
      <alignment horizontal="left" vertical="top" wrapText="1"/>
      <protection locked="0" hidden="0"/>
    </xf>
    <xf numFmtId="0" fontId="9" fillId="0" borderId="7" applyAlignment="1" applyProtection="1" pivotButton="0" quotePrefix="0" xfId="7">
      <alignment horizontal="left" vertical="top" wrapText="1"/>
      <protection locked="0" hidden="0"/>
    </xf>
    <xf numFmtId="0" fontId="9" fillId="0" borderId="8" applyAlignment="1" applyProtection="1" pivotButton="0" quotePrefix="0" xfId="7">
      <alignment horizontal="left" vertical="top" wrapText="1"/>
      <protection locked="0" hidden="0"/>
    </xf>
    <xf numFmtId="0" fontId="9" fillId="0" borderId="9" applyAlignment="1" applyProtection="1" pivotButton="0" quotePrefix="0" xfId="7">
      <alignment horizontal="left" vertical="top" wrapText="1"/>
      <protection locked="0" hidden="0"/>
    </xf>
    <xf numFmtId="0" fontId="29" fillId="0" borderId="3" applyAlignment="1" applyProtection="1" pivotButton="0" quotePrefix="0" xfId="7">
      <alignment horizontal="left" vertical="top" wrapText="1"/>
      <protection locked="0" hidden="0"/>
    </xf>
    <xf numFmtId="0" fontId="29" fillId="0" borderId="4" applyAlignment="1" applyProtection="1" pivotButton="0" quotePrefix="0" xfId="7">
      <alignment horizontal="left" vertical="top" wrapText="1"/>
      <protection locked="0" hidden="0"/>
    </xf>
    <xf numFmtId="0" fontId="9" fillId="0" borderId="5" applyAlignment="1" applyProtection="1" pivotButton="0" quotePrefix="0" xfId="7">
      <alignment horizontal="left" vertical="top" wrapText="1"/>
      <protection locked="0" hidden="0"/>
    </xf>
    <xf numFmtId="0" fontId="9" fillId="0" borderId="0" applyAlignment="1" applyProtection="1" pivotButton="0" quotePrefix="0" xfId="7">
      <alignment horizontal="left" vertical="top" wrapText="1"/>
      <protection locked="0" hidden="0"/>
    </xf>
    <xf numFmtId="0" fontId="9" fillId="0" borderId="6" applyAlignment="1" applyProtection="1" pivotButton="0" quotePrefix="0" xfId="7">
      <alignment horizontal="left" vertical="top" wrapText="1"/>
      <protection locked="0" hidden="0"/>
    </xf>
    <xf numFmtId="0" fontId="9" fillId="2" borderId="33" applyAlignment="1" applyProtection="1" pivotButton="0" quotePrefix="0" xfId="7">
      <alignment horizontal="left" vertical="center" wrapText="1"/>
      <protection locked="0" hidden="0"/>
    </xf>
    <xf numFmtId="0" fontId="9" fillId="2" borderId="34" applyAlignment="1" applyProtection="1" pivotButton="0" quotePrefix="0" xfId="7">
      <alignment horizontal="left" vertical="center" wrapText="1"/>
      <protection locked="0" hidden="0"/>
    </xf>
    <xf numFmtId="0" fontId="2" fillId="0" borderId="12" applyAlignment="1" applyProtection="1" pivotButton="0" quotePrefix="0" xfId="4">
      <alignment horizontal="left" vertical="top" wrapText="1"/>
      <protection locked="0" hidden="0"/>
    </xf>
    <xf numFmtId="0" fontId="2" fillId="0" borderId="13" applyAlignment="1" applyProtection="1" pivotButton="0" quotePrefix="0" xfId="4">
      <alignment horizontal="left" vertical="top" wrapText="1"/>
      <protection locked="0" hidden="0"/>
    </xf>
    <xf numFmtId="0" fontId="2" fillId="0" borderId="14" applyAlignment="1" applyProtection="1" pivotButton="0" quotePrefix="0" xfId="4">
      <alignment horizontal="left" vertical="top" wrapText="1"/>
      <protection locked="0" hidden="0"/>
    </xf>
    <xf numFmtId="0" fontId="54" fillId="2" borderId="19" applyAlignment="1" applyProtection="1" pivotButton="0" quotePrefix="0" xfId="0">
      <alignment horizontal="right" vertical="top"/>
      <protection locked="0" hidden="0"/>
    </xf>
    <xf numFmtId="14" fontId="54" fillId="2" borderId="19" applyAlignment="1" applyProtection="1" pivotButton="0" quotePrefix="0" xfId="0">
      <alignment horizontal="right" vertical="top"/>
      <protection locked="0" hidden="0"/>
    </xf>
    <xf numFmtId="0" fontId="55" fillId="2" borderId="45" applyAlignment="1" applyProtection="1" pivotButton="0" quotePrefix="0" xfId="0">
      <alignment vertical="top" wrapText="1"/>
      <protection locked="0" hidden="0"/>
    </xf>
    <xf numFmtId="0" fontId="0" fillId="0" borderId="29" applyProtection="1" pivotButton="0" quotePrefix="0" xfId="0">
      <protection locked="0" hidden="0"/>
    </xf>
    <xf numFmtId="0" fontId="0" fillId="0" borderId="30" applyProtection="1" pivotButton="0" quotePrefix="0" xfId="0">
      <protection locked="0" hidden="0"/>
    </xf>
    <xf numFmtId="0" fontId="55" fillId="2" borderId="0" applyAlignment="1" applyProtection="1" pivotButton="0" quotePrefix="0" xfId="7">
      <alignment wrapText="1"/>
      <protection locked="0" hidden="0"/>
    </xf>
    <xf numFmtId="0" fontId="56" fillId="0" borderId="0" applyAlignment="1" applyProtection="1" pivotButton="0" quotePrefix="0" xfId="7">
      <alignment horizontal="left" vertical="top" wrapText="1"/>
      <protection locked="0" hidden="0"/>
    </xf>
    <xf numFmtId="0" fontId="55" fillId="0" borderId="0" applyAlignment="1" pivotButton="0" quotePrefix="0" xfId="0">
      <alignment vertical="top" wrapText="1"/>
    </xf>
    <xf numFmtId="0" fontId="54" fillId="2" borderId="0" applyAlignment="1" applyProtection="1" pivotButton="0" quotePrefix="0" xfId="7">
      <alignment horizontal="left" vertical="top" wrapText="1"/>
      <protection locked="0" hidden="0"/>
    </xf>
    <xf numFmtId="0" fontId="0" fillId="0" borderId="0" applyProtection="1" pivotButton="0" quotePrefix="0" xfId="0">
      <protection locked="0" hidden="0"/>
    </xf>
    <xf numFmtId="0" fontId="55" fillId="2" borderId="51" applyAlignment="1" applyProtection="1" pivotButton="0" quotePrefix="0" xfId="0">
      <alignment vertical="top" wrapText="1"/>
      <protection locked="0" hidden="0"/>
    </xf>
    <xf numFmtId="0" fontId="0" fillId="0" borderId="24" applyProtection="1" pivotButton="0" quotePrefix="0" xfId="0">
      <protection locked="0" hidden="0"/>
    </xf>
    <xf numFmtId="0" fontId="0" fillId="0" borderId="25" applyProtection="1" pivotButton="0" quotePrefix="0" xfId="0">
      <protection locked="0" hidden="0"/>
    </xf>
    <xf numFmtId="0" fontId="0" fillId="0" borderId="26" applyProtection="1" pivotButton="0" quotePrefix="0" xfId="0">
      <protection locked="0" hidden="0"/>
    </xf>
    <xf numFmtId="0" fontId="0" fillId="0" borderId="20" applyProtection="1" pivotButton="0" quotePrefix="0" xfId="0">
      <protection locked="0" hidden="0"/>
    </xf>
    <xf numFmtId="0" fontId="0" fillId="0" borderId="21" applyProtection="1" pivotButton="0" quotePrefix="0" xfId="0">
      <protection locked="0" hidden="0"/>
    </xf>
    <xf numFmtId="0" fontId="0" fillId="0" borderId="22" applyProtection="1" pivotButton="0" quotePrefix="0" xfId="0">
      <protection locked="0" hidden="0"/>
    </xf>
    <xf numFmtId="0" fontId="0" fillId="0" borderId="27" applyProtection="1" pivotButton="0" quotePrefix="0" xfId="0">
      <protection locked="0" hidden="0"/>
    </xf>
    <xf numFmtId="0" fontId="0" fillId="0" borderId="17" pivotButton="0" quotePrefix="0" xfId="0"/>
    <xf numFmtId="0" fontId="0" fillId="0" borderId="50" applyProtection="1" pivotButton="0" quotePrefix="0" xfId="0">
      <protection locked="0" hidden="0"/>
    </xf>
    <xf numFmtId="0" fontId="0" fillId="0" borderId="42" applyProtection="1" pivotButton="0" quotePrefix="0" xfId="0">
      <protection locked="0" hidden="0"/>
    </xf>
    <xf numFmtId="0" fontId="57" fillId="7" borderId="31" applyAlignment="1" applyProtection="1" pivotButton="0" quotePrefix="0" xfId="0">
      <alignment vertical="top" wrapText="1"/>
      <protection locked="0" hidden="0"/>
    </xf>
    <xf numFmtId="0" fontId="55" fillId="2" borderId="31" applyAlignment="1" applyProtection="1" pivotButton="0" quotePrefix="0" xfId="0">
      <alignment vertical="top"/>
      <protection locked="0" hidden="0"/>
    </xf>
    <xf numFmtId="0" fontId="55" fillId="2" borderId="19" applyAlignment="1" applyProtection="1" pivotButton="0" quotePrefix="0" xfId="0">
      <alignment vertical="top"/>
      <protection locked="0" hidden="0"/>
    </xf>
    <xf numFmtId="0" fontId="55" fillId="2" borderId="19" applyAlignment="1" applyProtection="1" pivotButton="0" quotePrefix="0" xfId="0">
      <alignment vertical="top" wrapText="1"/>
      <protection locked="0" hidden="0"/>
    </xf>
    <xf numFmtId="3" fontId="55" fillId="2" borderId="19" applyAlignment="1" applyProtection="1" pivotButton="0" quotePrefix="0" xfId="0">
      <alignment vertical="top"/>
      <protection locked="0" hidden="0"/>
    </xf>
    <xf numFmtId="0" fontId="55" fillId="2" borderId="31" applyAlignment="1" applyProtection="1" pivotButton="0" quotePrefix="0" xfId="7">
      <alignment vertical="top"/>
      <protection locked="0" hidden="0"/>
    </xf>
    <xf numFmtId="0" fontId="55" fillId="2" borderId="19" applyAlignment="1" pivotButton="0" quotePrefix="0" xfId="0">
      <alignment vertical="top"/>
    </xf>
    <xf numFmtId="0" fontId="55" fillId="2" borderId="19" applyAlignment="1" pivotButton="0" quotePrefix="0" xfId="0">
      <alignment vertical="top" wrapText="1"/>
    </xf>
    <xf numFmtId="0" fontId="0" fillId="0" borderId="42" pivotButton="0" quotePrefix="0" xfId="0"/>
    <xf numFmtId="3" fontId="55" fillId="2" borderId="19" applyAlignment="1" pivotButton="0" quotePrefix="0" xfId="0">
      <alignment vertical="top"/>
    </xf>
    <xf numFmtId="0" fontId="3" fillId="2" borderId="19" pivotButton="0" quotePrefix="0" xfId="0"/>
    <xf numFmtId="0" fontId="3" fillId="0" borderId="19" pivotButton="0" quotePrefix="0" xfId="0"/>
    <xf numFmtId="0" fontId="3" fillId="2" borderId="32" pivotButton="0" quotePrefix="0" xfId="0"/>
    <xf numFmtId="0" fontId="55" fillId="2" borderId="31" applyAlignment="1" pivotButton="0" quotePrefix="0" xfId="0">
      <alignment vertical="top"/>
    </xf>
    <xf numFmtId="0" fontId="52" fillId="3" borderId="0" applyAlignment="1" pivotButton="0" quotePrefix="0" xfId="0">
      <alignment horizontal="left"/>
    </xf>
    <xf numFmtId="0" fontId="57" fillId="0" borderId="0" applyAlignment="1" pivotButton="0" quotePrefix="0" xfId="0">
      <alignment horizontal="left"/>
    </xf>
    <xf numFmtId="0" fontId="33" fillId="0" borderId="53" applyAlignment="1" applyProtection="1" pivotButton="0" quotePrefix="0" xfId="7">
      <alignment horizontal="left" vertical="top" wrapText="1"/>
      <protection locked="0" hidden="0"/>
    </xf>
    <xf numFmtId="0" fontId="0" fillId="0" borderId="3" applyProtection="1" pivotButton="0" quotePrefix="0" xfId="0">
      <protection locked="0" hidden="0"/>
    </xf>
    <xf numFmtId="0" fontId="0" fillId="0" borderId="4" applyProtection="1" pivotButton="0" quotePrefix="0" xfId="0">
      <protection locked="0" hidden="0"/>
    </xf>
    <xf numFmtId="0" fontId="55" fillId="0" borderId="55" applyAlignment="1" applyProtection="1" pivotButton="0" quotePrefix="0" xfId="7">
      <alignment vertical="top" wrapText="1"/>
      <protection locked="0" hidden="0"/>
    </xf>
    <xf numFmtId="0" fontId="0" fillId="0" borderId="8" applyProtection="1" pivotButton="0" quotePrefix="0" xfId="0">
      <protection locked="0" hidden="0"/>
    </xf>
    <xf numFmtId="0" fontId="0" fillId="0" borderId="9" applyProtection="1" pivotButton="0" quotePrefix="0" xfId="0">
      <protection locked="0" hidden="0"/>
    </xf>
    <xf numFmtId="0" fontId="9" fillId="0" borderId="37" applyAlignment="1" applyProtection="1" pivotButton="0" quotePrefix="0" xfId="7">
      <alignment horizontal="left" vertical="top" wrapText="1"/>
      <protection locked="0" hidden="0"/>
    </xf>
    <xf numFmtId="0" fontId="0" fillId="0" borderId="6" applyProtection="1" pivotButton="0" quotePrefix="0" xfId="0">
      <protection locked="0" hidden="0"/>
    </xf>
    <xf numFmtId="0" fontId="0" fillId="0" borderId="5" applyProtection="1" pivotButton="0" quotePrefix="0" xfId="0">
      <protection locked="0" hidden="0"/>
    </xf>
    <xf numFmtId="0" fontId="55" fillId="0" borderId="1" applyAlignment="1" applyProtection="1" pivotButton="0" quotePrefix="0" xfId="7">
      <alignment horizontal="left" vertical="top" wrapText="1"/>
      <protection locked="0" hidden="0"/>
    </xf>
    <xf numFmtId="0" fontId="0" fillId="0" borderId="36" applyProtection="1" pivotButton="0" quotePrefix="0" xfId="0">
      <protection locked="0" hidden="0"/>
    </xf>
    <xf numFmtId="0" fontId="0" fillId="0" borderId="54" applyProtection="1" pivotButton="0" quotePrefix="0" xfId="0">
      <protection locked="0" hidden="0"/>
    </xf>
    <xf numFmtId="0" fontId="54" fillId="0" borderId="0" applyAlignment="1" applyProtection="1" pivotButton="0" quotePrefix="0" xfId="7">
      <alignment vertical="top"/>
      <protection locked="0" hidden="0"/>
    </xf>
    <xf numFmtId="0" fontId="0" fillId="0" borderId="36" pivotButton="0" quotePrefix="0" xfId="0"/>
    <xf numFmtId="0" fontId="0" fillId="0" borderId="54" pivotButton="0" quotePrefix="0" xfId="0"/>
    <xf numFmtId="0" fontId="26" fillId="5" borderId="56" applyAlignment="1" pivotButton="0" quotePrefix="0" xfId="7">
      <alignment horizontal="center" vertical="center" wrapText="1"/>
    </xf>
    <xf numFmtId="0" fontId="0" fillId="0" borderId="38" pivotButton="0" quotePrefix="0" xfId="0"/>
    <xf numFmtId="0" fontId="26" fillId="5" borderId="40" applyAlignment="1" pivotButton="0" quotePrefix="0" xfId="7">
      <alignment horizontal="center" vertical="center" wrapText="1"/>
    </xf>
    <xf numFmtId="0" fontId="26" fillId="5" borderId="40" applyAlignment="1" pivotButton="0" quotePrefix="0" xfId="7">
      <alignment horizontal="left" vertical="center" wrapText="1"/>
    </xf>
    <xf numFmtId="0" fontId="55" fillId="2" borderId="31" applyAlignment="1" applyProtection="1" pivotButton="0" quotePrefix="0" xfId="7">
      <alignment vertical="top" wrapText="1"/>
      <protection locked="0" hidden="0"/>
    </xf>
    <xf numFmtId="0" fontId="55" fillId="2" borderId="19" applyAlignment="1" applyProtection="1" pivotButton="0" quotePrefix="0" xfId="7">
      <alignment vertical="top" wrapText="1"/>
      <protection locked="0" hidden="0"/>
    </xf>
    <xf numFmtId="0" fontId="55" fillId="2" borderId="19" applyAlignment="1" applyProtection="1" pivotButton="0" quotePrefix="0" xfId="7">
      <alignment horizontal="left" vertical="center" wrapText="1"/>
      <protection locked="0" hidden="0"/>
    </xf>
    <xf numFmtId="0" fontId="55" fillId="2" borderId="19" applyAlignment="1" applyProtection="1" pivotButton="0" quotePrefix="0" xfId="7">
      <alignment horizontal="center" vertical="center" wrapText="1"/>
      <protection locked="0" hidden="0"/>
    </xf>
    <xf numFmtId="0" fontId="55" fillId="2" borderId="19" applyAlignment="1" pivotButton="0" quotePrefix="0" xfId="7">
      <alignment vertical="top" wrapText="1"/>
    </xf>
    <xf numFmtId="0" fontId="0" fillId="0" borderId="44" applyProtection="1" pivotButton="0" quotePrefix="0" xfId="0">
      <protection locked="0" hidden="0"/>
    </xf>
    <xf numFmtId="0" fontId="26" fillId="5" borderId="52" applyAlignment="1" pivotButton="0" quotePrefix="0" xfId="7">
      <alignment horizontal="center" vertical="center" wrapText="1"/>
    </xf>
    <xf numFmtId="0" fontId="0" fillId="0" borderId="18" pivotButton="0" quotePrefix="0" xfId="0"/>
    <xf numFmtId="0" fontId="55" fillId="2" borderId="31" applyProtection="1" pivotButton="0" quotePrefix="0" xfId="7">
      <protection locked="0" hidden="0"/>
    </xf>
    <xf numFmtId="0" fontId="55" fillId="2" borderId="19" applyProtection="1" pivotButton="0" quotePrefix="0" xfId="7">
      <protection locked="0" hidden="0"/>
    </xf>
    <xf numFmtId="3" fontId="55" fillId="2" borderId="19" applyProtection="1" pivotButton="0" quotePrefix="0" xfId="7">
      <protection locked="0" hidden="0"/>
    </xf>
    <xf numFmtId="0" fontId="55" fillId="2" borderId="19" applyAlignment="1" applyProtection="1" pivotButton="0" quotePrefix="0" xfId="7">
      <alignment horizontal="center"/>
      <protection locked="0" hidden="0"/>
    </xf>
    <xf numFmtId="0" fontId="2" fillId="0" borderId="57" applyAlignment="1" applyProtection="1" pivotButton="0" quotePrefix="0" xfId="4">
      <alignment horizontal="left" vertical="top" wrapText="1"/>
      <protection locked="0" hidden="0"/>
    </xf>
    <xf numFmtId="0" fontId="0" fillId="0" borderId="13" applyProtection="1" pivotButton="0" quotePrefix="0" xfId="0">
      <protection locked="0" hidden="0"/>
    </xf>
    <xf numFmtId="0" fontId="0" fillId="0" borderId="14" applyProtection="1" pivotButton="0" quotePrefix="0" xfId="0">
      <protection locked="0" hidden="0"/>
    </xf>
  </cellXfs>
  <cellStyles count="13">
    <cellStyle name="Normal" xfId="0" builtinId="0"/>
    <cellStyle name="Comma 2" xfId="1"/>
    <cellStyle name="Heading 2" xfId="2" builtinId="17"/>
    <cellStyle name="Normal 2" xfId="3"/>
    <cellStyle name="Normal 3" xfId="4"/>
    <cellStyle name="Normal 4" xfId="5"/>
    <cellStyle name="Normal 5" xfId="6"/>
    <cellStyle name="Normal_persusal test" xfId="7"/>
    <cellStyle name="Percent 2" xfId="8"/>
    <cellStyle name="Hyperlink" xfId="9" builtinId="8"/>
    <cellStyle name="Normal 6" xfId="10"/>
    <cellStyle name="Normal 2 2" xfId="11"/>
    <cellStyle name="Hyperlink 2" xfId="12"/>
  </cellStyles>
  <dxfs count="45">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rgb="FFDCE6F1"/>
        </patternFill>
      </fill>
    </dxf>
    <dxf>
      <fill>
        <patternFill>
          <bgColor rgb="FFDCE6F1"/>
        </patternFill>
      </fill>
    </dxf>
    <dxf>
      <fill>
        <patternFill>
          <bgColor rgb="FFDCE6F1"/>
        </patternFill>
      </fill>
    </dxf>
    <dxf>
      <fill>
        <patternFill>
          <bgColor rgb="FFDCE6F1"/>
        </patternFill>
      </fill>
    </dxf>
    <dxf>
      <fill>
        <patternFill>
          <bgColor rgb="FFDCE6F1"/>
        </patternFill>
      </fill>
    </dxf>
    <dxf>
      <fill>
        <patternFill>
          <bgColor rgb="FFDCE6F1"/>
        </patternFill>
      </fill>
    </dxf>
    <dxf>
      <fill>
        <patternFill>
          <bgColor rgb="FFDCE6F1"/>
        </patternFill>
      </fill>
    </dxf>
    <dxf>
      <fill>
        <patternFill>
          <bgColor rgb="FFDCE6F1"/>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rgb="FFDCE6F1"/>
        </patternFill>
      </fill>
    </dxf>
    <dxf>
      <fill>
        <patternFill>
          <bgColor rgb="FFDCE6F1"/>
        </patternFill>
      </fill>
    </dxf>
    <dxf>
      <fill>
        <patternFill>
          <bgColor rgb="FFDCE6F1"/>
        </patternFill>
      </fill>
    </dxf>
    <dxf>
      <fill>
        <patternFill>
          <bgColor rgb="FFDCE6F1"/>
        </patternFill>
      </fill>
    </dxf>
    <dxf>
      <fill>
        <patternFill>
          <bgColor rgb="FFDCE6F1"/>
        </patternFill>
      </fill>
    </dxf>
    <dxf>
      <fill>
        <patternFill>
          <bgColor rgb="FFDCE6F1"/>
        </patternFill>
      </fill>
    </dxf>
    <dxf>
      <fill>
        <patternFill>
          <bgColor rgb="FFDCE6F1"/>
        </patternFill>
      </fill>
    </dxf>
    <dxf>
      <fill>
        <patternFill>
          <bgColor rgb="FFDCE6F1"/>
        </patternFill>
      </fill>
    </dxf>
    <dxf>
      <fill>
        <patternFill>
          <bgColor rgb="FFDCE6F1"/>
        </patternFill>
      </fill>
    </dxf>
    <dxf>
      <fill>
        <patternFill>
          <bgColor rgb="FFDCE6F1"/>
        </patternFill>
      </fill>
    </dxf>
    <dxf>
      <fill>
        <patternFill>
          <bgColor rgb="FFDCE6F1"/>
        </patternFill>
      </fill>
    </dxf>
    <dxf>
      <fill>
        <patternFill>
          <bgColor rgb="FFDCE6F1"/>
        </patternFill>
      </fill>
    </dxf>
    <dxf>
      <fill>
        <patternFill>
          <bgColor rgb="FFDCE6F1"/>
        </patternFill>
      </fill>
    </dxf>
    <dxf>
      <fill>
        <patternFill>
          <bgColor rgb="FFDCE6F1"/>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Bo de Hoog</author>
  </authors>
  <commentList>
    <comment ref="F53" authorId="0" shapeId="0">
      <text>
        <t>Guidance:
Consider the need to look further than the reporting period</t>
      </text>
    </comment>
  </commentList>
</comments>
</file>

<file path=xl/theme/theme1.xml><?xml version="1.0" encoding="utf-8"?>
<a:theme xmlns:a="http://schemas.openxmlformats.org/drawingml/2006/main" name="Office Theme">
  <a:themeElements>
    <a:clrScheme name="Custom 1">
      <a:dk1>
        <a:sysClr val="windowText" lastClr="000000"/>
      </a:dk1>
      <a:lt1>
        <a:sysClr val="window" lastClr="FFFFFF"/>
      </a:lt1>
      <a:dk2>
        <a:srgbClr val="786860"/>
      </a:dk2>
      <a:lt2>
        <a:srgbClr val="D1108C"/>
      </a:lt2>
      <a:accent1>
        <a:srgbClr val="ED1A3B"/>
      </a:accent1>
      <a:accent2>
        <a:srgbClr val="2EAFA4"/>
      </a:accent2>
      <a:accent3>
        <a:srgbClr val="FFFFFF"/>
      </a:accent3>
      <a:accent4>
        <a:srgbClr val="000000"/>
      </a:accent4>
      <a:accent5>
        <a:srgbClr val="F4ABAF"/>
      </a:accent5>
      <a:accent6>
        <a:srgbClr val="29949E"/>
      </a:accent6>
      <a:hlink>
        <a:srgbClr val="98002E"/>
      </a:hlink>
      <a:folHlink>
        <a:srgbClr val="62CAE3"/>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codeName="Blad1">
    <outlinePr summaryBelow="1" summaryRight="1"/>
    <pageSetUpPr/>
  </sheetPr>
  <dimension ref="A1:D4"/>
  <sheetViews>
    <sheetView workbookViewId="0">
      <selection activeCell="B1" sqref="B1"/>
    </sheetView>
  </sheetViews>
  <sheetFormatPr baseColWidth="8" defaultColWidth="5.5703125" defaultRowHeight="15"/>
  <sheetData>
    <row r="1">
      <c r="A1" t="inlineStr">
        <is>
          <t>ZM:5:0</t>
        </is>
      </c>
      <c r="D1" t="inlineStr">
        <is>
          <t>Memory Zone output -&gt; Entity name Période : 0</t>
        </is>
      </c>
    </row>
    <row r="2">
      <c r="A2" t="inlineStr">
        <is>
          <t>VS:19:0</t>
        </is>
      </c>
      <c r="B2" s="6" t="n"/>
      <c r="D2" t="inlineStr">
        <is>
          <t>SYSTEM ZONE -&gt; Balance sheet date period 0 Period : 0</t>
        </is>
      </c>
    </row>
    <row r="3">
      <c r="A3" t="inlineStr">
        <is>
          <t>VS:21:0</t>
        </is>
      </c>
      <c r="D3" t="inlineStr">
        <is>
          <t>SYSTEM ZONE -&gt; Redactor of active document Period : 0</t>
        </is>
      </c>
    </row>
    <row r="4">
      <c r="A4" t="inlineStr">
        <is>
          <t>VS:20:0</t>
        </is>
      </c>
      <c r="D4" t="inlineStr">
        <is>
          <t>SYSTEM ZONE -&gt; Reference active document Period : 0</t>
        </is>
      </c>
    </row>
  </sheetData>
  <pageMargins left="0.7" right="0.7" top="0.75" bottom="0.75" header="0.3" footer="0.3"/>
</worksheet>
</file>

<file path=xl/worksheets/sheet2.xml><?xml version="1.0" encoding="utf-8"?>
<worksheet xmlns="http://schemas.openxmlformats.org/spreadsheetml/2006/main">
  <sheetPr codeName="Blad2">
    <outlinePr summaryBelow="1" summaryRight="1"/>
    <pageSetUpPr/>
  </sheetPr>
  <dimension ref="A1:A1"/>
  <sheetViews>
    <sheetView workbookViewId="0">
      <selection activeCell="A1" sqref="A1"/>
    </sheetView>
  </sheetViews>
  <sheetFormatPr baseColWidth="8" defaultColWidth="5.5703125" defaultRowHeight="15"/>
  <sheetData/>
  <pageMargins left="0.7" right="0.7" top="0.75" bottom="0.75" header="0.3" footer="0.3"/>
</worksheet>
</file>

<file path=xl/worksheets/sheet3.xml><?xml version="1.0" encoding="utf-8"?>
<worksheet xmlns="http://schemas.openxmlformats.org/spreadsheetml/2006/main">
  <sheetPr codeName="Blad3">
    <outlinePr summaryBelow="1" summaryRight="1"/>
    <pageSetUpPr/>
  </sheetPr>
  <dimension ref="A1:A1"/>
  <sheetViews>
    <sheetView workbookViewId="0">
      <selection activeCell="A1" sqref="A1"/>
    </sheetView>
  </sheetViews>
  <sheetFormatPr baseColWidth="8" defaultColWidth="5.5703125" defaultRowHeight="15"/>
  <sheetData/>
  <pageMargins left="0.7" right="0.7" top="0.75" bottom="0.75" header="0.3" footer="0.3"/>
</worksheet>
</file>

<file path=xl/worksheets/sheet4.xml><?xml version="1.0" encoding="utf-8"?>
<worksheet xmlns="http://schemas.openxmlformats.org/spreadsheetml/2006/main">
  <sheetPr codeName="Blad4">
    <outlinePr summaryBelow="1" summaryRight="1"/>
    <pageSetUpPr/>
  </sheetPr>
  <dimension ref="D148:D148"/>
  <sheetViews>
    <sheetView workbookViewId="0">
      <selection activeCell="D148" sqref="D148"/>
    </sheetView>
  </sheetViews>
  <sheetFormatPr baseColWidth="8" defaultColWidth="10.85546875" defaultRowHeight="15"/>
  <cols>
    <col width="9.140625" customWidth="1" min="1" max="256"/>
  </cols>
  <sheetData>
    <row r="12" ht="14.1" customHeight="1"/>
    <row r="26" ht="14.1" customHeight="1"/>
    <row r="67" ht="21" customHeight="1"/>
    <row r="148">
      <c r="D148" s="8" t="n"/>
    </row>
  </sheetData>
  <pageMargins left="0.7" right="0.7" top="0.75" bottom="0.75" header="0.3" footer="0.3"/>
</worksheet>
</file>

<file path=xl/worksheets/sheet5.xml><?xml version="1.0" encoding="utf-8"?>
<worksheet xmlns="http://schemas.openxmlformats.org/spreadsheetml/2006/main">
  <sheetPr codeName="Blad10">
    <tabColor rgb="FF0072CE"/>
    <outlinePr summaryBelow="1" summaryRight="1"/>
    <pageSetUpPr fitToPage="1"/>
  </sheetPr>
  <dimension ref="A2:Q28"/>
  <sheetViews>
    <sheetView showGridLines="0" tabSelected="1" zoomScale="90" zoomScaleNormal="90" zoomScaleSheetLayoutView="90" workbookViewId="0">
      <selection activeCell="C2" sqref="C2"/>
    </sheetView>
  </sheetViews>
  <sheetFormatPr baseColWidth="8" defaultColWidth="0" defaultRowHeight="12.6" customHeight="1" zeroHeight="1"/>
  <cols>
    <col width="7.42578125" customWidth="1" style="7" min="1" max="1"/>
    <col width="27.5703125" customWidth="1" style="8" min="2" max="2"/>
    <col width="18.140625" customWidth="1" style="8" min="3" max="3"/>
    <col width="41.5703125" customWidth="1" style="8" min="4" max="4"/>
    <col width="15.85546875" customWidth="1" style="8" min="5" max="5"/>
    <col width="18.85546875" customWidth="1" style="8" min="6" max="6"/>
    <col width="16.5703125" customWidth="1" style="8" min="7" max="7"/>
    <col width="25.140625" customWidth="1" style="8" min="8" max="8"/>
    <col width="22" customWidth="1" style="8" min="9" max="9"/>
    <col width="18.42578125" customWidth="1" style="8" min="10" max="10"/>
    <col width="20.5703125" customWidth="1" style="8" min="11" max="11"/>
    <col width="15.42578125" customWidth="1" style="8" min="12" max="12"/>
    <col width="20.140625" customWidth="1" style="8" min="13" max="13"/>
    <col width="7.42578125" bestFit="1" customWidth="1" style="8" min="14" max="14"/>
    <col width="5.5703125" customWidth="1" style="8" min="15" max="17"/>
    <col hidden="1" style="8" min="18" max="256"/>
    <col hidden="1" width="5.5703125" customWidth="1" style="8" min="257" max="16384"/>
  </cols>
  <sheetData>
    <row r="1" ht="12.75" customHeight="1"/>
    <row r="2" ht="15" customHeight="1">
      <c r="B2" s="31" t="inlineStr">
        <is>
          <t>Client:</t>
        </is>
      </c>
      <c r="C2" s="205" t="inlineStr">
        <is>
          <t>파타고니아코리아 (주) (Patagonia Korea)</t>
        </is>
      </c>
      <c r="D2" s="32" t="n"/>
      <c r="E2" s="31" t="inlineStr">
        <is>
          <t>Reference:</t>
        </is>
      </c>
      <c r="F2" s="205" t="inlineStr">
        <is>
          <t>JET</t>
        </is>
      </c>
      <c r="G2" s="32" t="n"/>
      <c r="H2" s="32" t="n"/>
      <c r="I2" s="32" t="n"/>
      <c r="J2" s="32" t="n"/>
      <c r="M2" s="33" t="n"/>
      <c r="N2" s="45" t="n"/>
      <c r="O2" s="34" t="n"/>
      <c r="P2" s="35" t="n"/>
    </row>
    <row r="3" ht="15" customHeight="1">
      <c r="B3" s="31" t="inlineStr">
        <is>
          <t>Year end:</t>
        </is>
      </c>
      <c r="C3" s="206" t="inlineStr">
        <is>
          <t>2026-04-30</t>
        </is>
      </c>
      <c r="D3" s="32" t="n"/>
      <c r="E3" s="31" t="inlineStr">
        <is>
          <t>Prepared by:</t>
        </is>
      </c>
      <c r="F3" s="205" t="inlineStr">
        <is>
          <t>HSH</t>
        </is>
      </c>
      <c r="G3" s="32" t="n"/>
      <c r="H3" s="32" t="n"/>
      <c r="I3" s="32" t="n"/>
      <c r="J3" s="32" t="n"/>
      <c r="M3" s="33" t="n"/>
      <c r="N3" s="45" t="n"/>
      <c r="O3" s="34" t="n"/>
      <c r="P3" s="35" t="n"/>
    </row>
    <row r="4" ht="15" customHeight="1">
      <c r="B4" s="31" t="n"/>
      <c r="C4" s="36" t="n"/>
      <c r="D4" s="32" t="n"/>
      <c r="E4" s="31" t="inlineStr">
        <is>
          <t>Date:</t>
        </is>
      </c>
      <c r="F4" s="206" t="inlineStr">
        <is>
          <t>2026-06-15</t>
        </is>
      </c>
      <c r="G4" s="32" t="n"/>
      <c r="H4" s="32" t="n"/>
      <c r="I4" s="32" t="n"/>
      <c r="J4" s="32" t="n"/>
      <c r="M4" s="33" t="n"/>
      <c r="N4" s="45" t="n"/>
      <c r="O4" s="34" t="n"/>
      <c r="P4" s="35" t="n"/>
    </row>
    <row r="5" ht="15" customHeight="1">
      <c r="B5" s="31" t="n"/>
      <c r="C5" s="37" t="n"/>
      <c r="D5" s="32" t="n"/>
      <c r="E5" s="31" t="inlineStr">
        <is>
          <t>Reviewed by:</t>
        </is>
      </c>
      <c r="F5" s="205" t="inlineStr">
        <is>
          <t>LJM</t>
        </is>
      </c>
      <c r="G5" s="32" t="n"/>
      <c r="H5" s="32" t="n"/>
      <c r="I5" s="32" t="n"/>
      <c r="J5" s="32" t="n"/>
      <c r="M5" s="33" t="n"/>
      <c r="N5" s="45" t="n"/>
      <c r="O5" s="34" t="n"/>
      <c r="P5" s="35" t="n"/>
    </row>
    <row r="6" ht="15" customHeight="1">
      <c r="C6" s="34" t="n"/>
      <c r="D6" s="34" t="n"/>
      <c r="E6" s="31" t="inlineStr">
        <is>
          <t>Date:</t>
        </is>
      </c>
      <c r="F6" s="206" t="inlineStr">
        <is>
          <t>2026-06-20</t>
        </is>
      </c>
      <c r="G6" s="34" t="n"/>
      <c r="H6" s="34" t="n"/>
      <c r="I6" s="34" t="n"/>
      <c r="J6" s="34" t="n"/>
      <c r="K6" s="34" t="n"/>
      <c r="L6" s="33" t="n"/>
      <c r="M6" s="33" t="n"/>
      <c r="N6" s="45" t="n"/>
      <c r="O6" s="34" t="n"/>
      <c r="P6" s="35" t="n"/>
    </row>
    <row r="7" ht="12.75" customHeight="1"/>
    <row r="8" ht="23.25" customHeight="1">
      <c r="B8" s="38" t="inlineStr">
        <is>
          <t>Journal Entries Testing</t>
        </is>
      </c>
    </row>
    <row r="9" ht="12.75" customHeight="1">
      <c r="B9" s="30" t="inlineStr">
        <is>
          <t>MAM Tool version March 2025</t>
        </is>
      </c>
    </row>
    <row r="10" ht="12.75" customHeight="1"/>
    <row r="11" ht="23.45" customHeight="1">
      <c r="B11" s="77" t="inlineStr">
        <is>
          <t xml:space="preserve">Please refer to the MAM Application guidance on Journal Entries Testing. 
</t>
        </is>
      </c>
      <c r="C11" s="77" t="n"/>
      <c r="D11" s="77" t="n"/>
      <c r="E11" s="39" t="n"/>
      <c r="F11" s="39" t="n"/>
      <c r="G11" s="39" t="n"/>
      <c r="H11" s="39" t="n"/>
      <c r="I11" s="9" t="n"/>
    </row>
    <row r="12" ht="33.6" customFormat="1" customHeight="1" s="41">
      <c r="A12" s="40" t="n"/>
      <c r="B12" s="42" t="inlineStr">
        <is>
          <t>Objectives</t>
        </is>
      </c>
    </row>
    <row r="13" ht="87" customHeight="1">
      <c r="B13" s="148" t="inlineStr">
        <is>
          <t>In the context of ISA 330§20 and ISA 240 and in order to respond to the risk of management override of controls, to obtain sufficient, appropriate audit evidence over the appropriateness of journal entries in the nominal ledger and other adjustments made in the preparation of the financial statements.
In the context of ISA 240 and in order to specifically respond to the risk of management override of controls, to obtain sufficient appropriate audit evidence that the journal entries and other adjustements made during the year/period under review are appropriate and did not indicate a potential fraud.</t>
        </is>
      </c>
      <c r="K13" s="100" t="n"/>
      <c r="L13" s="100" t="n"/>
    </row>
    <row r="14" ht="33.6" customFormat="1" customHeight="1" s="41">
      <c r="A14" s="40" t="n"/>
      <c r="B14" s="42" t="inlineStr">
        <is>
          <t>Procedures performed + reference</t>
        </is>
      </c>
    </row>
    <row r="15" ht="26.25" customHeight="1">
      <c r="B15" s="29" t="n"/>
      <c r="C15" s="29" t="n"/>
      <c r="D15" s="29" t="n"/>
      <c r="E15" s="29" t="n"/>
      <c r="F15" s="29" t="n"/>
      <c r="G15" s="29" t="n"/>
      <c r="H15" s="29" t="n"/>
      <c r="I15" s="11" t="n"/>
      <c r="J15" s="11" t="n"/>
      <c r="K15" s="101" t="inlineStr">
        <is>
          <t>Reference:</t>
        </is>
      </c>
    </row>
    <row r="16" ht="15" customHeight="1">
      <c r="K16" s="19" t="n"/>
      <c r="N16" s="19" t="n"/>
      <c r="O16" s="19" t="n"/>
      <c r="P16" s="19" t="n"/>
      <c r="Q16" s="19" t="n"/>
    </row>
    <row r="17" ht="26.45" customFormat="1" customHeight="1" s="10">
      <c r="A17" s="7" t="n"/>
      <c r="B17" s="44" t="inlineStr">
        <is>
          <t>STEP 1 - IPE</t>
        </is>
      </c>
      <c r="C17" s="75" t="inlineStr">
        <is>
          <t>Perform procedures to ensure that the population of journal entries and other adjustments is accurate and complete</t>
        </is>
      </c>
      <c r="D17" s="43" t="n"/>
      <c r="E17" s="43" t="n"/>
      <c r="F17" s="43" t="n"/>
      <c r="G17" s="43" t="n"/>
      <c r="H17" s="43" t="n"/>
      <c r="I17" s="43" t="n"/>
      <c r="J17" s="43" t="n"/>
      <c r="K17" s="76" t="inlineStr">
        <is>
          <t>JET - Step 1 '!A1</t>
        </is>
      </c>
      <c r="L17" s="8" t="n"/>
      <c r="N17" s="19" t="n"/>
      <c r="O17" s="19" t="n"/>
      <c r="P17" s="19" t="n"/>
      <c r="Q17" s="19" t="n"/>
    </row>
    <row r="18" ht="14.1" customFormat="1" customHeight="1" s="10">
      <c r="A18" s="7" t="n"/>
      <c r="B18" s="94" t="n"/>
      <c r="C18" s="15" t="n"/>
      <c r="D18" s="15" t="n"/>
      <c r="E18" s="15" t="n"/>
      <c r="F18" s="15" t="n"/>
      <c r="G18" s="15" t="n"/>
      <c r="K18" s="19" t="n"/>
      <c r="L18" s="8" t="n"/>
      <c r="N18" s="19" t="n"/>
      <c r="O18" s="19" t="n"/>
      <c r="P18" s="19" t="n"/>
      <c r="Q18" s="19" t="n"/>
    </row>
    <row r="19" ht="40.7" customHeight="1">
      <c r="B19" s="44" t="inlineStr">
        <is>
          <t>STEP 2 - ISA 330</t>
        </is>
      </c>
      <c r="C19" s="149" t="inlineStr">
        <is>
          <t>a) Determine the period of preparation of the financial statements
b) Select and test the material journal entries and other adjustments made during the course of preparing the financial statements (ISA 330.20.b)</t>
        </is>
      </c>
      <c r="K19" s="76" t="inlineStr">
        <is>
          <t>JET - Step 2 (ISA 330)'!A1</t>
        </is>
      </c>
      <c r="N19" s="19" t="n"/>
      <c r="O19" s="19" t="n"/>
      <c r="P19" s="19" t="n"/>
      <c r="Q19" s="19" t="n"/>
    </row>
    <row r="20" ht="14.1" customFormat="1" customHeight="1" s="10">
      <c r="A20" s="7" t="n"/>
      <c r="B20" s="95" t="n"/>
      <c r="C20" s="15" t="n"/>
      <c r="D20" s="15" t="n"/>
      <c r="E20" s="15" t="n"/>
      <c r="F20" s="15" t="n"/>
      <c r="G20" s="15" t="n"/>
      <c r="H20" s="16" t="n"/>
      <c r="K20" s="19" t="n"/>
      <c r="L20" s="8" t="n"/>
      <c r="N20" s="19" t="n"/>
      <c r="O20" s="19" t="n"/>
      <c r="P20" s="19" t="n"/>
      <c r="Q20" s="19" t="n"/>
    </row>
    <row r="21" ht="105.6" customFormat="1" customHeight="1" s="21">
      <c r="A21" s="7" t="n"/>
      <c r="B21" s="44" t="inlineStr">
        <is>
          <t>STEP 3 - ISA 240</t>
        </is>
      </c>
      <c r="C21" s="149" t="inlineStr">
        <is>
          <t>a) Make inquiries of individuals involved in the financial reporting process about inappropriate or unusual activity relating the processing of journal entries and other adjustments (ISA 240.33.a.i)
b) Assess the risk of a material misstatement due to fraud
c) Determine the 'reporting period'
d) Select and test journal entries and other adjustments made at the end of a reporting period and consider the need to select and test journal entries and other adjustments throughout the period (ISA 240.33.a.ii&amp;iii)</t>
        </is>
      </c>
      <c r="K21" s="76" t="inlineStr">
        <is>
          <t>JET - Step 3 (ISA 240)'!A1</t>
        </is>
      </c>
      <c r="L21" s="8" t="n"/>
      <c r="N21" s="19" t="n"/>
      <c r="O21" s="19" t="n"/>
      <c r="P21" s="19" t="n"/>
      <c r="Q21" s="19" t="n"/>
    </row>
    <row r="22" ht="14.1" customHeight="1">
      <c r="B22" s="14" t="n"/>
      <c r="C22" s="14" t="n"/>
      <c r="D22" s="14" t="n"/>
      <c r="E22" s="14" t="n"/>
      <c r="F22" s="14" t="n"/>
      <c r="G22" s="14" t="n"/>
      <c r="H22" s="14" t="n"/>
    </row>
    <row r="23" ht="14.1" customFormat="1" customHeight="1" s="19">
      <c r="A23" s="28" t="n"/>
      <c r="B23" s="60" t="n"/>
      <c r="C23" s="60" t="n"/>
      <c r="D23" s="61" t="n"/>
      <c r="E23" s="61" t="n"/>
      <c r="F23" s="60" t="n"/>
      <c r="G23" s="60" t="n"/>
      <c r="H23" s="60" t="n"/>
      <c r="I23" s="62" t="n"/>
      <c r="J23" s="62" t="n"/>
      <c r="K23" s="62" t="n"/>
      <c r="L23" s="62" t="n"/>
    </row>
    <row r="24" ht="14.1" customHeight="1">
      <c r="A24" s="13" t="n"/>
      <c r="N24" s="19" t="n"/>
      <c r="O24" s="19" t="n"/>
    </row>
    <row r="25" ht="33.6" customFormat="1" customHeight="1" s="41">
      <c r="A25" s="40" t="n"/>
      <c r="B25" s="42" t="inlineStr">
        <is>
          <t>Conclusion</t>
        </is>
      </c>
    </row>
    <row r="26" ht="24" customHeight="1">
      <c r="A26" s="13" t="n"/>
    </row>
    <row r="27" ht="60" customHeight="1">
      <c r="A27" s="13" t="n"/>
      <c r="B27" s="207" t="inlineStr">
        <is>
          <t>Step 1~3 수행 결과, 경영진의 통제 무력화 또는 부정을 시사하는 부적절하거나 비정상적인 분개는 식별되지 않았으며, 회계원장(GL) 모집단의 완전성·정확성이 WTB 및 재무제표와 대사하여 확인됨. 따라서 분개테스트의 목적이 달성되었음. (Based on the work performed in Steps 1-3, no inappropriate or unusual journal entries indicative of management override of controls or fraud were identified; the objective is met.)</t>
        </is>
      </c>
      <c r="C27" s="208" t="n"/>
      <c r="D27" s="208" t="n"/>
      <c r="E27" s="208" t="n"/>
      <c r="F27" s="208" t="n"/>
      <c r="G27" s="208" t="n"/>
      <c r="H27" s="208" t="n"/>
      <c r="I27" s="208" t="n"/>
      <c r="J27" s="209" t="n"/>
      <c r="K27" s="104" t="inlineStr">
        <is>
          <t>TO BE CHANGED BY USER IF NECESSARY.</t>
        </is>
      </c>
    </row>
    <row r="28" hidden="1" ht="12.75" customHeight="1">
      <c r="A28" s="13" t="n"/>
    </row>
    <row r="29" ht="12.6" customHeight="1"/>
    <row r="30" ht="12.6" customHeight="1"/>
    <row r="31" ht="12.6" customHeight="1"/>
    <row r="32" ht="12.6" customHeight="1"/>
    <row r="33" ht="12.6" customHeight="1"/>
    <row r="34" ht="12.6" customHeight="1"/>
    <row r="35" ht="12.6" customHeight="1"/>
    <row r="36" ht="12.6" customHeight="1"/>
    <row r="37" ht="12.6" customHeight="1"/>
    <row r="38" ht="12.6" customHeight="1"/>
    <row r="39" ht="12.6" customHeight="1"/>
    <row r="40" ht="7.5" customHeight="1"/>
    <row r="44" hidden="1" ht="12" customHeight="1"/>
    <row r="52" hidden="1" ht="12" customHeight="1"/>
    <row r="53" hidden="1" ht="12" customHeight="1"/>
    <row r="55" hidden="1" ht="12" customHeight="1"/>
    <row r="80" hidden="1" ht="12" customHeight="1"/>
    <row r="89" hidden="1" ht="12" customHeight="1"/>
    <row r="90" hidden="1" ht="12" customHeight="1"/>
    <row r="91" hidden="1" ht="12" customHeight="1"/>
    <row r="92" hidden="1" ht="12" customHeight="1"/>
    <row r="93" hidden="1" ht="4.5" customHeight="1"/>
    <row r="94" hidden="1" ht="12" customHeight="1"/>
    <row r="102" hidden="1" ht="12" customHeight="1"/>
    <row r="111" hidden="1" ht="12" customHeight="1"/>
    <row r="112" hidden="1" ht="12" customHeight="1"/>
    <row r="113" hidden="1" ht="12" customHeight="1"/>
    <row r="116" hidden="1" ht="12" customHeight="1"/>
    <row r="120" hidden="1" ht="12" customHeight="1"/>
    <row r="122" hidden="1" ht="12" customHeight="1"/>
    <row r="126" hidden="1" ht="12" customHeight="1"/>
    <row r="131" hidden="1" ht="12" customHeight="1"/>
    <row r="132" hidden="1" ht="12" customHeight="1"/>
    <row r="134" hidden="1" ht="12" customHeight="1"/>
    <row r="137" hidden="1" ht="12" customHeight="1"/>
    <row r="138" hidden="1" ht="3.75" customHeight="1"/>
    <row r="141" hidden="1" ht="12" customHeight="1"/>
    <row r="154" hidden="1" ht="12" customHeight="1"/>
    <row r="161" hidden="1" ht="12" customHeight="1"/>
    <row r="167" hidden="1" ht="12" customHeight="1"/>
    <row r="173" hidden="1" ht="12" customHeight="1"/>
    <row r="174" hidden="1" ht="3.75" customHeight="1"/>
    <row r="183" hidden="1" ht="12" customHeight="1"/>
    <row r="195" hidden="1" ht="12" customHeight="1"/>
    <row r="202" hidden="1" ht="12" customHeight="1"/>
  </sheetData>
  <mergeCells count="4">
    <mergeCell ref="B13:J13"/>
    <mergeCell ref="C19:J19"/>
    <mergeCell ref="B27:J27"/>
    <mergeCell ref="C21:J21"/>
  </mergeCells>
  <conditionalFormatting sqref="B27">
    <cfRule type="containsBlanks" priority="4" dxfId="8">
      <formula>LEN(TRIM(B27))=0</formula>
    </cfRule>
  </conditionalFormatting>
  <conditionalFormatting sqref="C2:C3">
    <cfRule type="containsBlanks" priority="2" dxfId="8">
      <formula>LEN(TRIM(C2))=0</formula>
    </cfRule>
  </conditionalFormatting>
  <conditionalFormatting sqref="F2:F6">
    <cfRule type="containsBlanks" priority="1" dxfId="8">
      <formula>LEN(TRIM(F2))=0</formula>
    </cfRule>
  </conditionalFormatting>
  <hyperlinks>
    <hyperlink ref="K17" location="'JET - Step 1 '!A1" display="'JET - Step 1 '!A1"/>
    <hyperlink ref="K19" location="'JET - Step 2 (ISA 330)'!A1" display="'JET - Step 2 (ISA 330)'!A1"/>
    <hyperlink ref="K21" location="'JET - Step 3 (ISA 240)'!A1" display="'JET - Step 3 (ISA 240)'!A1"/>
  </hyperlinks>
  <pageMargins left="0.7480314960629921" right="0.7480314960629921" top="0.984251968503937" bottom="0.984251968503937" header="0.5118110236220472" footer="0.5118110236220472"/>
  <pageSetup orientation="landscape" paperSize="9" fitToHeight="0"/>
</worksheet>
</file>

<file path=xl/worksheets/sheet6.xml><?xml version="1.0" encoding="utf-8"?>
<worksheet xmlns="http://schemas.openxmlformats.org/spreadsheetml/2006/main">
  <sheetPr codeName="Blad6">
    <tabColor rgb="FF0072CE"/>
    <outlinePr summaryBelow="1" summaryRight="1"/>
    <pageSetUpPr fitToPage="1"/>
  </sheetPr>
  <dimension ref="A2:Q18"/>
  <sheetViews>
    <sheetView showGridLines="0" zoomScale="90" zoomScaleNormal="90" zoomScaleSheetLayoutView="90" workbookViewId="0">
      <selection activeCell="C2" sqref="C2"/>
    </sheetView>
  </sheetViews>
  <sheetFormatPr baseColWidth="8" defaultColWidth="0" defaultRowHeight="12.75" zeroHeight="1"/>
  <cols>
    <col width="7.42578125" customWidth="1" style="7" min="1" max="1"/>
    <col width="27.5703125" customWidth="1" style="8" min="2" max="2"/>
    <col width="34.140625" customWidth="1" style="8" min="3" max="3"/>
    <col width="30.42578125" customWidth="1" style="8" min="4" max="4"/>
    <col width="30.5703125" customWidth="1" style="8" min="5" max="5"/>
    <col width="19.28515625" customWidth="1" style="8" min="6" max="6"/>
    <col width="21.42578125" customWidth="1" style="8" min="7" max="7"/>
    <col width="25.140625" customWidth="1" style="8" min="8" max="8"/>
    <col width="22" customWidth="1" style="8" min="9" max="9"/>
    <col width="18.42578125" customWidth="1" style="8" min="10" max="10"/>
    <col width="15.85546875" customWidth="1" style="8" min="11" max="11"/>
    <col width="19.42578125" customWidth="1" style="8" min="12" max="12"/>
    <col width="23.85546875" customWidth="1" style="8" min="13" max="13"/>
    <col width="7.42578125" bestFit="1" customWidth="1" style="8" min="14" max="14"/>
    <col width="5.5703125" customWidth="1" style="8" min="15" max="17"/>
    <col hidden="1" style="8" min="18" max="256"/>
    <col hidden="1" width="5.5703125" customWidth="1" style="8" min="257" max="16384"/>
  </cols>
  <sheetData>
    <row r="2" ht="15" customHeight="1">
      <c r="B2" s="31" t="inlineStr">
        <is>
          <t>Client:</t>
        </is>
      </c>
      <c r="C2" s="106">
        <f>'JET - overview'!C2</f>
        <v/>
      </c>
      <c r="D2" s="32" t="n"/>
      <c r="E2" s="31" t="inlineStr">
        <is>
          <t>Reference:</t>
        </is>
      </c>
      <c r="F2" s="106">
        <f>'JET - overview'!F2</f>
        <v/>
      </c>
      <c r="G2" s="32" t="n"/>
      <c r="H2" s="32" t="n"/>
      <c r="I2" s="32" t="n"/>
      <c r="J2" s="32" t="n"/>
      <c r="M2" s="33" t="n"/>
      <c r="N2" s="45" t="n"/>
      <c r="O2" s="34" t="n"/>
      <c r="P2" s="35" t="n"/>
    </row>
    <row r="3" ht="15" customHeight="1">
      <c r="B3" s="31" t="inlineStr">
        <is>
          <t>Year end:</t>
        </is>
      </c>
      <c r="C3" s="137">
        <f>'JET - overview'!C3</f>
        <v/>
      </c>
      <c r="D3" s="32" t="n"/>
      <c r="E3" s="31" t="inlineStr">
        <is>
          <t>Prepared by:</t>
        </is>
      </c>
      <c r="F3" s="106">
        <f>'JET - overview'!F3</f>
        <v/>
      </c>
      <c r="G3" s="32" t="n"/>
      <c r="H3" s="32" t="n"/>
      <c r="I3" s="32" t="n"/>
      <c r="J3" s="32" t="n"/>
      <c r="M3" s="33" t="n"/>
      <c r="N3" s="45" t="n"/>
      <c r="O3" s="34" t="n"/>
      <c r="P3" s="35" t="n"/>
    </row>
    <row r="4" ht="15" customHeight="1">
      <c r="B4" s="31" t="n"/>
      <c r="C4" s="36" t="n"/>
      <c r="D4" s="32" t="n"/>
      <c r="E4" s="31" t="inlineStr">
        <is>
          <t>Date:</t>
        </is>
      </c>
      <c r="F4" s="137">
        <f>'JET - overview'!F4</f>
        <v/>
      </c>
      <c r="G4" s="32" t="n"/>
      <c r="H4" s="32" t="n"/>
      <c r="I4" s="32" t="n"/>
      <c r="J4" s="32" t="n"/>
      <c r="M4" s="33" t="n"/>
      <c r="N4" s="45" t="n"/>
      <c r="O4" s="34" t="n"/>
      <c r="P4" s="35" t="n"/>
    </row>
    <row r="5" ht="15" customHeight="1">
      <c r="B5" s="31" t="n"/>
      <c r="C5" s="37" t="n"/>
      <c r="D5" s="32" t="n"/>
      <c r="E5" s="31" t="inlineStr">
        <is>
          <t>Reviewed by:</t>
        </is>
      </c>
      <c r="F5" s="106">
        <f>'JET - overview'!F5</f>
        <v/>
      </c>
      <c r="G5" s="32" t="n"/>
      <c r="H5" s="32" t="n"/>
      <c r="I5" s="32" t="n"/>
      <c r="J5" s="32" t="n"/>
      <c r="M5" s="33" t="n"/>
      <c r="N5" s="45" t="n"/>
      <c r="O5" s="34" t="n"/>
      <c r="P5" s="35" t="n"/>
    </row>
    <row r="6" ht="15" customHeight="1">
      <c r="C6" s="34" t="n"/>
      <c r="D6" s="34" t="n"/>
      <c r="E6" s="31" t="inlineStr">
        <is>
          <t>Date:</t>
        </is>
      </c>
      <c r="F6" s="137">
        <f>'JET - overview'!F6</f>
        <v/>
      </c>
      <c r="G6" s="34" t="n"/>
      <c r="H6" s="34" t="n"/>
      <c r="I6" s="34" t="n"/>
      <c r="J6" s="34" t="n"/>
      <c r="K6" s="34" t="n"/>
      <c r="L6" s="33" t="n"/>
      <c r="M6" s="33" t="n"/>
      <c r="N6" s="45" t="n"/>
      <c r="O6" s="34" t="n"/>
      <c r="P6" s="35" t="n"/>
    </row>
    <row r="8" ht="33" customHeight="1">
      <c r="B8" s="38" t="n"/>
    </row>
    <row r="9" ht="15" customHeight="1"/>
    <row r="10" ht="37.7" customFormat="1" customHeight="1" s="10">
      <c r="A10" s="43" t="n"/>
      <c r="B10" s="43" t="inlineStr">
        <is>
          <t>STEP 1: Perform procedures to ensure that the population of journal entries and other adjustments is accurate and complete</t>
        </is>
      </c>
      <c r="C10" s="43" t="n"/>
      <c r="D10" s="43" t="n"/>
      <c r="E10" s="43" t="n"/>
      <c r="F10" s="43" t="n"/>
      <c r="G10" s="43" t="n"/>
      <c r="H10" s="43" t="n"/>
      <c r="I10" s="43" t="n"/>
      <c r="J10" s="43" t="n"/>
      <c r="K10" s="43" t="n"/>
      <c r="L10" s="43" t="n"/>
      <c r="M10" s="43" t="n"/>
      <c r="N10" s="43" t="n"/>
      <c r="O10" s="43" t="n"/>
      <c r="P10" s="44" t="n"/>
      <c r="Q10" s="43" t="n"/>
    </row>
    <row r="11" ht="14.1" customFormat="1" customHeight="1" s="10">
      <c r="A11" s="12" t="n"/>
      <c r="C11" s="15" t="n"/>
      <c r="D11" s="15" t="n"/>
      <c r="E11" s="15" t="n"/>
      <c r="F11" s="15" t="n"/>
      <c r="G11" s="15" t="n"/>
    </row>
    <row r="12" ht="21" customFormat="1" customHeight="1" s="66">
      <c r="A12" s="63" t="n"/>
      <c r="B12" s="64" t="inlineStr">
        <is>
          <t>Accuracy and completeness of the listing of journal entries and adjustments ("JE listing")</t>
        </is>
      </c>
      <c r="C12" s="65" t="n"/>
      <c r="D12" s="65" t="n"/>
      <c r="E12" s="65" t="n"/>
      <c r="F12" s="65" t="n"/>
      <c r="G12" s="65" t="n"/>
    </row>
    <row r="13" ht="14.1" customFormat="1" customHeight="1" s="10">
      <c r="A13" s="7" t="n"/>
      <c r="B13" s="13" t="n"/>
      <c r="C13" s="15" t="n"/>
      <c r="D13" s="15" t="n"/>
      <c r="E13" s="15" t="n"/>
      <c r="F13" s="15" t="n"/>
      <c r="G13" s="15" t="n"/>
    </row>
    <row r="14" ht="14.1" customFormat="1" customHeight="1" s="21">
      <c r="A14" s="18" t="n"/>
      <c r="B14" s="53" t="inlineStr">
        <is>
          <t>We have documented the work on ensuring accuracy and completeness of the JE listing in the MAM Tool IPE scoping and working paper</t>
        </is>
      </c>
      <c r="C14" s="20" t="n"/>
      <c r="D14" s="20" t="n"/>
      <c r="E14" s="20" t="n"/>
      <c r="F14" s="20" t="n"/>
      <c r="G14" s="105" t="n"/>
      <c r="H14" s="210" t="inlineStr">
        <is>
          <t>GL 전체 다운로드 / WTB(WBS·WPL) 및 IPE scoping</t>
        </is>
      </c>
      <c r="I14" s="20" t="n"/>
      <c r="J14" s="20" t="n"/>
      <c r="K14" s="20" t="n"/>
    </row>
    <row r="15" ht="14.1" customFormat="1" customHeight="1" s="21">
      <c r="A15" s="18" t="n"/>
      <c r="B15" s="8" t="n"/>
      <c r="C15" s="20" t="n"/>
      <c r="D15" s="20" t="n"/>
      <c r="E15" s="20" t="n"/>
      <c r="F15" s="20" t="n"/>
      <c r="G15" s="20" t="n"/>
      <c r="H15" s="20" t="n"/>
      <c r="I15" s="20" t="n"/>
      <c r="J15" s="20" t="n"/>
      <c r="K15" s="20" t="n"/>
    </row>
    <row r="16" customFormat="1" s="10">
      <c r="A16" s="12" t="n"/>
      <c r="B16" s="211" t="inlineStr">
        <is>
          <t>[IPE - JE listing의 완전성 및 정확성]</t>
        </is>
      </c>
      <c r="C16" s="15" t="n"/>
      <c r="D16" s="15" t="n"/>
      <c r="E16" s="15" t="n"/>
      <c r="F16" s="15" t="n"/>
      <c r="G16" s="15" t="n"/>
      <c r="H16" s="16" t="n"/>
    </row>
    <row r="17" ht="135" customHeight="1">
      <c r="A17" s="13" t="n"/>
      <c r="B17" s="212" t="inlineStr">
        <is>
          <t>회사 회계시스템에서 당기(FY2026, 2025-05-01~2026-04-30) 전체 회계원장(GL)을 계정별 라인단위로 입수하여 완전성·정확성을 확인함:
 (1) 차변 합계 = 대변 합계 = 730,340,479,150원으로 대차 일치(차이 0) → 복식부기 무결성 확인.
 (2) 총 분개라인 98,977건, 계정과목 187개, 2025-05-01~2026-04-30 전 기간(12개월) 연속 계상 확인.
 (3) GL 기말 계정잔액을 WTB(WBS·WPL) 및 재무제표와 대사하여 일치함을 확인함 — 자산총계 38,873,177,425원, 부채와자본총계 38,873,177,425원, 매출액 119,475,596,526원(WTB '공시용(BS)/(IS)' 참조).
 (4) GL 필드: 계정코드·계정명·날짜·적요·거래처명·사업자번호·차변·대변·잔액. 단, GL에는 전표번호(booking reference), 작성자/승인자/검토자/전기자(posting user) 및 시스템 감사증적(audit trail)이 포함되어 있지 않으므로, 예외 발견 시 ERP 감사증적을 별도 입수하여야 함.</t>
        </is>
      </c>
    </row>
    <row r="18">
      <c r="A18" s="13" t="n"/>
    </row>
    <row r="29" ht="6" customHeight="1"/>
    <row r="67" hidden="1" ht="11.25" customHeight="1"/>
    <row r="110" hidden="1" ht="6.75" customHeight="1"/>
    <row r="144" hidden="1" ht="12" customHeight="1"/>
    <row r="182" hidden="1" ht="4.5" customHeight="1"/>
  </sheetData>
  <conditionalFormatting sqref="C2:C3">
    <cfRule type="containsBlanks" priority="2" dxfId="8">
      <formula>LEN(TRIM(C2))=0</formula>
    </cfRule>
  </conditionalFormatting>
  <conditionalFormatting sqref="F2:F6">
    <cfRule type="containsBlanks" priority="1" dxfId="8">
      <formula>LEN(TRIM(F2))=0</formula>
    </cfRule>
  </conditionalFormatting>
  <conditionalFormatting sqref="G14">
    <cfRule type="containsBlanks" priority="3" dxfId="8">
      <formula>LEN(TRIM(G14))=0</formula>
    </cfRule>
  </conditionalFormatting>
  <pageMargins left="0.7480314960629921" right="0.7480314960629921" top="0.984251968503937" bottom="0.984251968503937" header="0.5118110236220472" footer="0.5118110236220472"/>
  <pageSetup orientation="landscape" paperSize="9" fitToHeight="0"/>
</worksheet>
</file>

<file path=xl/worksheets/sheet7.xml><?xml version="1.0" encoding="utf-8"?>
<worksheet xmlns="http://schemas.openxmlformats.org/spreadsheetml/2006/main">
  <sheetPr codeName="Blad11">
    <tabColor rgb="FF0072CE"/>
    <outlinePr summaryBelow="1" summaryRight="1"/>
    <pageSetUpPr fitToPage="1"/>
  </sheetPr>
  <dimension ref="A2:R125"/>
  <sheetViews>
    <sheetView showGridLines="0" zoomScale="90" zoomScaleNormal="90" zoomScaleSheetLayoutView="90" workbookViewId="0">
      <selection activeCell="C2" sqref="C2"/>
    </sheetView>
  </sheetViews>
  <sheetFormatPr baseColWidth="8" defaultColWidth="0" defaultRowHeight="12.6" customHeight="1" zeroHeight="1"/>
  <cols>
    <col width="7.42578125" customWidth="1" style="7" min="1" max="1"/>
    <col width="38.42578125" customWidth="1" style="8" min="2" max="2"/>
    <col width="18.140625" customWidth="1" style="8" min="3" max="3"/>
    <col width="41.5703125" customWidth="1" style="8" min="4" max="4"/>
    <col width="15.85546875" customWidth="1" style="8" min="5" max="5"/>
    <col width="18.85546875" customWidth="1" style="8" min="6" max="6"/>
    <col width="16.5703125" customWidth="1" style="8" min="7" max="7"/>
    <col width="29.42578125" customWidth="1" style="8" min="8" max="8"/>
    <col width="22" customWidth="1" style="8" min="9" max="9"/>
    <col width="18.42578125" customWidth="1" style="8" min="10" max="10"/>
    <col width="25.140625" customWidth="1" style="8" min="11" max="11"/>
    <col width="30.42578125" customWidth="1" style="8" min="12" max="12"/>
    <col width="28.85546875" customWidth="1" style="8" min="13" max="13"/>
    <col width="54.140625" customWidth="1" style="8" min="14" max="14"/>
    <col width="11.140625" customWidth="1" style="8" min="15" max="15"/>
    <col width="5.5703125" customWidth="1" style="8" min="16" max="18"/>
    <col hidden="1" style="8" min="19" max="257"/>
    <col hidden="1" width="5.5703125" customWidth="1" style="8" min="258" max="16384"/>
  </cols>
  <sheetData>
    <row r="1" ht="12.75" customHeight="1"/>
    <row r="2" ht="15" customHeight="1">
      <c r="B2" s="31" t="inlineStr">
        <is>
          <t>Client:</t>
        </is>
      </c>
      <c r="C2" s="106">
        <f>'JET - overview'!C2</f>
        <v/>
      </c>
      <c r="D2" s="32" t="n"/>
      <c r="E2" s="31" t="inlineStr">
        <is>
          <t>Reference:</t>
        </is>
      </c>
      <c r="F2" s="106">
        <f>'JET - overview'!F2</f>
        <v/>
      </c>
      <c r="G2" s="32" t="n"/>
      <c r="H2" s="32" t="n"/>
      <c r="I2" s="32" t="n"/>
      <c r="J2" s="32" t="n"/>
      <c r="N2" s="33" t="n"/>
      <c r="O2" s="45" t="n"/>
      <c r="P2" s="34" t="n"/>
      <c r="Q2" s="35" t="n"/>
    </row>
    <row r="3" ht="15" customHeight="1">
      <c r="B3" s="31" t="inlineStr">
        <is>
          <t>Year end:</t>
        </is>
      </c>
      <c r="C3" s="137">
        <f>'JET - overview'!C3</f>
        <v/>
      </c>
      <c r="D3" s="32" t="n"/>
      <c r="E3" s="31" t="inlineStr">
        <is>
          <t>Prepared by:</t>
        </is>
      </c>
      <c r="F3" s="106">
        <f>'JET - overview'!F3</f>
        <v/>
      </c>
      <c r="G3" s="32" t="n"/>
      <c r="H3" s="32" t="n"/>
      <c r="I3" s="32" t="n"/>
      <c r="J3" s="32" t="n"/>
      <c r="N3" s="33" t="n"/>
      <c r="O3" s="45" t="n"/>
      <c r="P3" s="34" t="n"/>
      <c r="Q3" s="35" t="n"/>
    </row>
    <row r="4" ht="15" customHeight="1">
      <c r="B4" s="31" t="n"/>
      <c r="C4" s="36" t="n"/>
      <c r="D4" s="32" t="n"/>
      <c r="E4" s="31" t="inlineStr">
        <is>
          <t>Date:</t>
        </is>
      </c>
      <c r="F4" s="137">
        <f>'JET - overview'!F4</f>
        <v/>
      </c>
      <c r="G4" s="32" t="n"/>
      <c r="H4" s="32" t="n"/>
      <c r="I4" s="32" t="n"/>
      <c r="J4" s="32" t="n"/>
      <c r="N4" s="33" t="n"/>
      <c r="O4" s="45" t="n"/>
      <c r="P4" s="34" t="n"/>
      <c r="Q4" s="35" t="n"/>
    </row>
    <row r="5" ht="15" customHeight="1">
      <c r="B5" s="31" t="n"/>
      <c r="C5" s="37" t="n"/>
      <c r="D5" s="32" t="n"/>
      <c r="E5" s="31" t="inlineStr">
        <is>
          <t>Reviewed by:</t>
        </is>
      </c>
      <c r="F5" s="106">
        <f>'JET - overview'!F5</f>
        <v/>
      </c>
      <c r="G5" s="32" t="n"/>
      <c r="H5" s="32" t="n"/>
      <c r="I5" s="32" t="n"/>
      <c r="J5" s="32" t="n"/>
      <c r="N5" s="33" t="n"/>
      <c r="O5" s="45" t="n"/>
      <c r="P5" s="34" t="n"/>
      <c r="Q5" s="35" t="n"/>
    </row>
    <row r="6" ht="15" customHeight="1">
      <c r="C6" s="34" t="n"/>
      <c r="D6" s="34" t="n"/>
      <c r="E6" s="31" t="inlineStr">
        <is>
          <t>Date:</t>
        </is>
      </c>
      <c r="F6" s="137">
        <f>'JET - overview'!F6</f>
        <v/>
      </c>
      <c r="G6" s="34" t="n"/>
      <c r="H6" s="34" t="n"/>
      <c r="I6" s="34" t="n"/>
      <c r="J6" s="34" t="n"/>
      <c r="K6" s="34" t="n"/>
      <c r="L6" s="33" t="n"/>
      <c r="M6" s="33" t="n"/>
      <c r="N6" s="33" t="n"/>
      <c r="O6" s="45" t="n"/>
      <c r="P6" s="34" t="n"/>
      <c r="Q6" s="35" t="n"/>
    </row>
    <row r="7" ht="12.75" customHeight="1"/>
    <row r="8" ht="23.25" customHeight="1">
      <c r="B8" s="38" t="n"/>
    </row>
    <row r="9" ht="58.7" customHeight="1">
      <c r="A9" s="43" t="n"/>
      <c r="B9" s="159" t="inlineStr">
        <is>
          <t>STEP 2:
a) Determine the period of preparation of the financial statements
b) Select and test the material journal entries and other adjustments made during the course of preparing the financial statements (ISA 330.20.b)</t>
        </is>
      </c>
      <c r="O9" s="43" t="n"/>
      <c r="P9" s="43" t="n"/>
      <c r="Q9" s="44" t="n"/>
      <c r="R9" s="43" t="n"/>
    </row>
    <row r="10" ht="14.1" customFormat="1" customHeight="1" s="10">
      <c r="A10" s="12" t="n"/>
      <c r="B10" s="15" t="n"/>
      <c r="C10" s="15" t="n"/>
      <c r="D10" s="15" t="n"/>
      <c r="E10" s="15" t="n"/>
      <c r="F10" s="15" t="n"/>
      <c r="G10" s="15" t="n"/>
      <c r="H10" s="16" t="n"/>
    </row>
    <row r="11" ht="21" customFormat="1" customHeight="1" s="66">
      <c r="A11" s="63" t="n"/>
      <c r="B11" s="64" t="inlineStr">
        <is>
          <t>Selection criteria / Audit procedures</t>
        </is>
      </c>
      <c r="C11" s="65" t="n"/>
      <c r="D11" s="65" t="n"/>
      <c r="E11" s="65" t="n"/>
      <c r="F11" s="65" t="n"/>
      <c r="G11" s="65" t="n"/>
    </row>
    <row r="12" ht="14.1" customFormat="1" customHeight="1" s="10">
      <c r="A12" s="12" t="n"/>
      <c r="B12" s="15" t="n"/>
      <c r="C12" s="15" t="n"/>
      <c r="D12" s="15" t="n"/>
      <c r="E12" s="15" t="n"/>
      <c r="F12" s="15" t="n"/>
      <c r="G12" s="15" t="n"/>
      <c r="H12" s="16" t="n"/>
    </row>
    <row r="13" ht="15.75" customFormat="1" customHeight="1" s="21">
      <c r="A13" s="58" t="inlineStr">
        <is>
          <t>2a.</t>
        </is>
      </c>
      <c r="B13" s="52" t="inlineStr">
        <is>
          <t>We determined the period of preparation of the financial statements</t>
        </is>
      </c>
      <c r="C13" s="24" t="n"/>
      <c r="D13" s="24" t="n"/>
      <c r="E13" s="24" t="n"/>
      <c r="F13" s="24" t="n"/>
      <c r="G13" s="24" t="n"/>
      <c r="H13" s="23" t="n"/>
    </row>
    <row r="14" ht="15.75" customFormat="1" customHeight="1" s="21">
      <c r="A14" s="49" t="n"/>
      <c r="B14" s="79" t="n"/>
      <c r="C14" s="57" t="n"/>
      <c r="D14" s="78" t="n"/>
      <c r="E14" s="57" t="n"/>
      <c r="F14" s="57" t="n"/>
      <c r="G14" s="57" t="n"/>
      <c r="H14" s="56" t="n"/>
    </row>
    <row r="15" ht="21.6" customFormat="1" customHeight="1" s="21">
      <c r="A15" s="22" t="n"/>
      <c r="B15" s="52" t="inlineStr">
        <is>
          <t>(i) Preparing the financial statements</t>
        </is>
      </c>
      <c r="C15" s="24" t="n"/>
      <c r="D15" s="24" t="n"/>
      <c r="E15" s="24" t="n"/>
      <c r="F15" s="24" t="n"/>
      <c r="G15" s="24" t="n"/>
      <c r="H15" s="23" t="n"/>
    </row>
    <row r="16" ht="14.1" customFormat="1" customHeight="1" s="21">
      <c r="A16" s="22" t="n"/>
      <c r="B16" s="54" t="inlineStr">
        <is>
          <t>Start date</t>
        </is>
      </c>
      <c r="C16" s="213" t="inlineStr">
        <is>
          <t>2025-05-01</t>
        </is>
      </c>
      <c r="D16" s="109" t="n"/>
      <c r="E16" s="24" t="n"/>
      <c r="F16" s="24" t="n"/>
      <c r="G16" s="24" t="n"/>
      <c r="H16" s="23" t="n"/>
    </row>
    <row r="17" ht="14.1" customFormat="1" customHeight="1" s="21">
      <c r="A17" s="22" t="n"/>
      <c r="B17" s="54" t="inlineStr">
        <is>
          <t>End date</t>
        </is>
      </c>
      <c r="C17" s="213" t="inlineStr">
        <is>
          <t>2026-04-30</t>
        </is>
      </c>
      <c r="D17" s="108" t="n"/>
      <c r="E17" s="24" t="n"/>
      <c r="F17" s="24" t="n"/>
      <c r="G17" s="24" t="n"/>
      <c r="H17" s="23" t="n"/>
    </row>
    <row r="18" ht="14.1" customFormat="1" customHeight="1" s="21">
      <c r="A18" s="22" t="n"/>
      <c r="B18" s="55" t="n"/>
      <c r="C18" s="24" t="n"/>
      <c r="D18" s="50" t="n"/>
      <c r="E18" s="24" t="n"/>
      <c r="F18" s="24" t="n"/>
      <c r="G18" s="24" t="n"/>
      <c r="H18" s="23" t="n"/>
    </row>
    <row r="19" ht="14.1" customFormat="1" customHeight="1" s="21">
      <c r="A19" s="22" t="n"/>
      <c r="B19" s="51" t="n"/>
      <c r="C19" s="24" t="n"/>
      <c r="D19" s="24" t="n"/>
      <c r="E19" s="24" t="n"/>
      <c r="F19" s="24" t="n"/>
      <c r="G19" s="24" t="n"/>
      <c r="H19" s="23" t="n"/>
    </row>
    <row r="20" ht="14.1" customFormat="1" customHeight="1" s="21">
      <c r="A20" s="22" t="n"/>
      <c r="B20" s="51" t="n"/>
      <c r="C20" s="24" t="n"/>
      <c r="D20" s="24" t="n"/>
      <c r="E20" s="24" t="n"/>
      <c r="F20" s="24" t="n"/>
      <c r="G20" s="24" t="n"/>
      <c r="H20" s="23" t="n"/>
    </row>
    <row r="21" ht="15" customFormat="1" customHeight="1" s="21">
      <c r="A21" s="22" t="n"/>
      <c r="B21" s="158" t="inlineStr">
        <is>
          <t>(ii) Define the type of entries that are "journal entries / other adjustments made during the course of preparing the financial statements"</t>
        </is>
      </c>
      <c r="C21" s="214" t="n"/>
      <c r="D21" s="214" t="n"/>
      <c r="E21" s="214" t="n"/>
      <c r="F21" s="214" t="n"/>
      <c r="G21" s="214" t="n"/>
      <c r="H21" s="214" t="n"/>
    </row>
    <row r="22" ht="12.75" customFormat="1" customHeight="1" s="21">
      <c r="A22" s="22" t="n"/>
      <c r="B22" s="215" t="inlineStr">
        <is>
          <t>회사는 월 단위(월말) 결산을 수행하며, 재무제표 작성과정의 분개에는 ① 월별 정기 결산분개(감가상각·충당금·본사 Franchise agreement에 따른 월별 VFF 정산 등), ② 기말(2026-04-30자) 결산·재분류 분개, ③ 감사조정분개(FY26 감사조정사항, WTB Adj_2026 참조)가 포함됨. GL에 전표번호가 부여되어 있지 않아 분개는 계정·적요·시점·금액 기준 라인단위로 식별함.</t>
        </is>
      </c>
      <c r="C22" s="216" t="n"/>
      <c r="D22" s="216" t="n"/>
      <c r="E22" s="216" t="n"/>
      <c r="F22" s="216" t="n"/>
      <c r="G22" s="216" t="n"/>
      <c r="H22" s="217" t="n"/>
    </row>
    <row r="23" ht="14.1" customFormat="1" customHeight="1" s="21">
      <c r="A23" s="22" t="n"/>
      <c r="B23" s="218" t="n"/>
      <c r="C23" s="214" t="n"/>
      <c r="D23" s="214" t="n"/>
      <c r="E23" s="214" t="n"/>
      <c r="F23" s="214" t="n"/>
      <c r="G23" s="214" t="n"/>
      <c r="H23" s="219" t="n"/>
    </row>
    <row r="24" ht="14.1" customFormat="1" customHeight="1" s="21">
      <c r="A24" s="22" t="n"/>
      <c r="B24" s="218" t="n"/>
      <c r="C24" s="214" t="n"/>
      <c r="D24" s="214" t="n"/>
      <c r="E24" s="214" t="n"/>
      <c r="F24" s="214" t="n"/>
      <c r="G24" s="214" t="n"/>
      <c r="H24" s="219" t="n"/>
    </row>
    <row r="25" ht="14.1" customFormat="1" customHeight="1" s="21">
      <c r="A25" s="22" t="n"/>
      <c r="B25" s="218" t="n"/>
      <c r="C25" s="214" t="n"/>
      <c r="D25" s="214" t="n"/>
      <c r="E25" s="214" t="n"/>
      <c r="F25" s="214" t="n"/>
      <c r="G25" s="214" t="n"/>
      <c r="H25" s="219" t="n"/>
    </row>
    <row r="26" ht="14.1" customFormat="1" customHeight="1" s="21">
      <c r="A26" s="22" t="n"/>
      <c r="B26" s="218" t="n"/>
      <c r="C26" s="214" t="n"/>
      <c r="D26" s="214" t="n"/>
      <c r="E26" s="214" t="n"/>
      <c r="F26" s="214" t="n"/>
      <c r="G26" s="214" t="n"/>
      <c r="H26" s="219" t="n"/>
    </row>
    <row r="27" ht="14.1" customFormat="1" customHeight="1" s="21">
      <c r="A27" s="22" t="n"/>
      <c r="B27" s="218" t="n"/>
      <c r="C27" s="214" t="n"/>
      <c r="D27" s="214" t="n"/>
      <c r="E27" s="214" t="n"/>
      <c r="F27" s="214" t="n"/>
      <c r="G27" s="214" t="n"/>
      <c r="H27" s="219" t="n"/>
    </row>
    <row r="28" ht="14.1" customFormat="1" customHeight="1" s="21">
      <c r="A28" s="22" t="n"/>
      <c r="B28" s="218" t="n"/>
      <c r="C28" s="214" t="n"/>
      <c r="D28" s="214" t="n"/>
      <c r="E28" s="214" t="n"/>
      <c r="F28" s="214" t="n"/>
      <c r="G28" s="214" t="n"/>
      <c r="H28" s="219" t="n"/>
    </row>
    <row r="29" ht="14.1" customFormat="1" customHeight="1" s="21">
      <c r="A29" s="22" t="n"/>
      <c r="B29" s="220" t="n"/>
      <c r="C29" s="221" t="n"/>
      <c r="D29" s="221" t="n"/>
      <c r="E29" s="221" t="n"/>
      <c r="F29" s="221" t="n"/>
      <c r="G29" s="221" t="n"/>
      <c r="H29" s="222" t="n"/>
    </row>
    <row r="30" ht="14.1" customFormat="1" customHeight="1" s="21">
      <c r="A30" s="22" t="n"/>
      <c r="B30" s="25" t="n"/>
      <c r="C30" s="24" t="n"/>
      <c r="D30" s="24" t="n"/>
      <c r="E30" s="24" t="n"/>
      <c r="F30" s="24" t="n"/>
      <c r="G30" s="24" t="n"/>
      <c r="H30" s="23" t="n"/>
    </row>
    <row r="31" ht="14.1" customFormat="1" customHeight="1" s="21">
      <c r="A31" s="22" t="n"/>
      <c r="B31" s="25" t="n"/>
      <c r="C31" s="24" t="n"/>
      <c r="D31" s="24" t="n"/>
      <c r="E31" s="24" t="n"/>
      <c r="F31" s="24" t="n"/>
      <c r="G31" s="24" t="n"/>
      <c r="H31" s="23" t="n"/>
    </row>
    <row r="32" ht="21" customFormat="1" customHeight="1" s="66">
      <c r="A32" s="63" t="n"/>
      <c r="B32" s="64" t="inlineStr">
        <is>
          <t>Document results of journal entries and other adjustments testing</t>
        </is>
      </c>
      <c r="C32" s="65" t="n"/>
      <c r="D32" s="65" t="n"/>
      <c r="E32" s="65" t="n"/>
      <c r="F32" s="65" t="n"/>
      <c r="G32" s="65" t="n"/>
    </row>
    <row r="33" ht="14.1" customFormat="1" customHeight="1" s="21">
      <c r="A33" s="22" t="n"/>
      <c r="C33" s="24" t="n"/>
      <c r="D33" s="24" t="n"/>
      <c r="E33" s="24" t="n"/>
      <c r="F33" s="24" t="n"/>
      <c r="G33" s="24" t="n"/>
      <c r="H33" s="23" t="n"/>
    </row>
    <row r="34" ht="19.35" customFormat="1" customHeight="1" s="21">
      <c r="A34" s="58" t="inlineStr">
        <is>
          <t>2b.</t>
        </is>
      </c>
      <c r="B34" s="135" t="inlineStr">
        <is>
          <t>- Test 100% of the entries above PM; and</t>
        </is>
      </c>
      <c r="C34" s="24" t="n"/>
      <c r="D34" s="24" t="n"/>
      <c r="E34" s="24" t="n"/>
      <c r="F34" s="24" t="n"/>
      <c r="G34" s="24" t="n"/>
      <c r="H34" s="23" t="n"/>
    </row>
    <row r="35" ht="15" customFormat="1" customHeight="1" s="21">
      <c r="A35" s="22" t="n"/>
      <c r="B35" s="135" t="inlineStr">
        <is>
          <t>- Consider if qualitative factors for the selection of entries below PM on a judgemental basis apply</t>
        </is>
      </c>
    </row>
    <row r="36" ht="14.1" customFormat="1" customHeight="1" s="21">
      <c r="A36" s="22" t="n"/>
      <c r="B36" s="10" t="n"/>
      <c r="C36" s="24" t="n"/>
      <c r="D36" s="24" t="n"/>
      <c r="E36" s="24" t="n"/>
      <c r="F36" s="24" t="n"/>
      <c r="G36" s="24" t="n"/>
      <c r="H36" s="23" t="n"/>
    </row>
    <row r="37" ht="15" customFormat="1" customHeight="1" s="21">
      <c r="A37" s="22" t="n"/>
      <c r="B37" s="136" t="inlineStr">
        <is>
          <t>Document your work below.</t>
        </is>
      </c>
      <c r="C37" s="24" t="n"/>
      <c r="D37" s="24" t="n"/>
      <c r="E37" s="24" t="n"/>
      <c r="F37" s="24" t="n"/>
      <c r="G37" s="24" t="n"/>
      <c r="H37" s="23" t="n"/>
    </row>
    <row r="38" ht="14.1" customFormat="1" customHeight="1" s="21">
      <c r="A38" s="22" t="n"/>
      <c r="B38" s="17" t="n"/>
      <c r="C38" s="24" t="n"/>
      <c r="D38" s="24" t="n"/>
      <c r="E38" s="24" t="n"/>
      <c r="F38" s="24" t="n"/>
      <c r="G38" s="24" t="n"/>
      <c r="H38" s="23" t="n"/>
    </row>
    <row r="39" ht="16.5" customHeight="1" thickBot="1">
      <c r="B39" s="72" t="n"/>
      <c r="J39" s="161" t="inlineStr">
        <is>
          <t>In case exeptions are noted:</t>
        </is>
      </c>
    </row>
    <row r="40" ht="57.95" customFormat="1" customHeight="1" s="10">
      <c r="A40" s="12" t="n"/>
      <c r="B40" s="178" t="inlineStr">
        <is>
          <t>Date of journal / adjustment</t>
        </is>
      </c>
      <c r="C40" s="160" t="inlineStr">
        <is>
          <t>Booking reference</t>
        </is>
      </c>
      <c r="D40" s="160" t="inlineStr">
        <is>
          <t>Type of journal / adjustment</t>
        </is>
      </c>
      <c r="E40" s="160" t="inlineStr">
        <is>
          <t xml:space="preserve">Description of transaction
 </t>
        </is>
      </c>
      <c r="F40" s="223" t="n"/>
      <c r="G40" s="160" t="inlineStr">
        <is>
          <t>Amount
Currency</t>
        </is>
      </c>
      <c r="H40" s="160" t="inlineStr">
        <is>
          <t>Reference to supporting documentation</t>
        </is>
      </c>
      <c r="I40" s="160" t="inlineStr">
        <is>
          <t>Exception noted?
(Yes/No)</t>
        </is>
      </c>
      <c r="J40" s="160" t="inlineStr">
        <is>
          <t>Approver / 
Date of approval</t>
        </is>
      </c>
      <c r="K40" s="160" t="inlineStr">
        <is>
          <t>Preparer / 
Date of preparation</t>
        </is>
      </c>
      <c r="L40" s="160" t="inlineStr">
        <is>
          <t>Reviewer /
Date of review</t>
        </is>
      </c>
      <c r="M40" s="160" t="inlineStr">
        <is>
          <t>Individual who posts to GL/ 
Date of posting</t>
        </is>
      </c>
      <c r="N40" s="186" t="inlineStr">
        <is>
          <t>Follow up</t>
        </is>
      </c>
    </row>
    <row r="41" ht="15.75" customFormat="1" customHeight="1" s="19">
      <c r="A41" s="18" t="n"/>
      <c r="B41" s="155" t="inlineStr">
        <is>
          <t>Entries above PM  (성과중요성 PM 초과 분개 - 전수 테스트)</t>
        </is>
      </c>
      <c r="C41" s="224" t="n"/>
      <c r="D41" s="224" t="n"/>
      <c r="E41" s="224" t="n"/>
      <c r="F41" s="224" t="n"/>
      <c r="G41" s="224" t="n"/>
      <c r="H41" s="224" t="n"/>
      <c r="I41" s="224" t="n"/>
      <c r="J41" s="224" t="n"/>
      <c r="K41" s="224" t="n"/>
      <c r="L41" s="224" t="n"/>
      <c r="M41" s="224" t="n"/>
      <c r="N41" s="225" t="n"/>
    </row>
    <row r="42" ht="30" customFormat="1" customHeight="1" s="19">
      <c r="A42" s="18" t="n"/>
      <c r="B42" s="226" t="inlineStr">
        <is>
          <t>PM(성과중요성) = 1,433,707,158원 (매출액의 약 1.2%).  아래 PM 초과 분개 68건 전수 테스트 — 예외사항 없음. (반복적 자금이체·외화매입·VFF 정산은 현금·은행조회 및 관련 계정 실증절차로도 교차 확인됨.)</t>
        </is>
      </c>
      <c r="C42" s="224" t="n"/>
      <c r="D42" s="224" t="n"/>
      <c r="E42" s="224" t="n"/>
      <c r="F42" s="224" t="n"/>
      <c r="G42" s="224" t="n"/>
      <c r="H42" s="224" t="n"/>
      <c r="I42" s="224" t="n"/>
      <c r="J42" s="224" t="n"/>
      <c r="K42" s="224" t="n"/>
      <c r="L42" s="224" t="n"/>
      <c r="M42" s="224" t="n"/>
      <c r="N42" s="225" t="n"/>
    </row>
    <row r="43" ht="15" customFormat="1" customHeight="1" s="19">
      <c r="A43" s="18" t="n"/>
      <c r="B43" s="227" t="inlineStr">
        <is>
          <t>2026-04-30</t>
        </is>
      </c>
      <c r="C43" s="228" t="inlineStr">
        <is>
          <t>-</t>
        </is>
      </c>
      <c r="D43" s="229" t="inlineStr">
        <is>
          <t>감사조정/결산(수기)</t>
        </is>
      </c>
      <c r="E43" s="229" t="inlineStr">
        <is>
          <t>(800000)VFF model income — FY26 감사조정사항_VFF 계정 Reclass (영업외-&gt;판관)</t>
        </is>
      </c>
      <c r="F43" s="225" t="n"/>
      <c r="G43" s="230" t="n">
        <v>34966850055</v>
      </c>
      <c r="H43" s="229" t="inlineStr">
        <is>
          <t>WTB Adj_2026 / 리스 조서</t>
        </is>
      </c>
      <c r="I43" s="228" t="inlineStr">
        <is>
          <t>No</t>
        </is>
      </c>
      <c r="J43" s="110" t="n"/>
      <c r="K43" s="115" t="n"/>
      <c r="L43" s="110" t="n"/>
      <c r="M43" s="110" t="n"/>
      <c r="N43" s="120" t="n"/>
    </row>
    <row r="44" ht="15" customFormat="1" customHeight="1" s="19">
      <c r="A44" s="18" t="n"/>
      <c r="B44" s="227" t="inlineStr">
        <is>
          <t>2026-01-28</t>
        </is>
      </c>
      <c r="C44" s="228" t="inlineStr">
        <is>
          <t>-</t>
        </is>
      </c>
      <c r="D44" s="229" t="inlineStr">
        <is>
          <t>본사 VFF 정산(수기)</t>
        </is>
      </c>
      <c r="E44" s="229" t="inlineStr">
        <is>
          <t>(251001)외상매입금_외화(본사) — 20260128 VFF(Sep,Oct,Nov) $11,129,418.13 (excl t</t>
        </is>
      </c>
      <c r="F44" s="225" t="n"/>
      <c r="G44" s="230" t="n">
        <v>16057292692</v>
      </c>
      <c r="H44" s="229" t="inlineStr">
        <is>
          <t>Franchise agmt/VFF 명세, 매입</t>
        </is>
      </c>
      <c r="I44" s="228" t="inlineStr">
        <is>
          <t>No</t>
        </is>
      </c>
      <c r="J44" s="110" t="n"/>
      <c r="K44" s="115" t="n"/>
      <c r="L44" s="110" t="n"/>
      <c r="M44" s="110" t="n"/>
      <c r="N44" s="120" t="n"/>
    </row>
    <row r="45" ht="15" customFormat="1" customHeight="1" s="19">
      <c r="A45" s="18" t="n"/>
      <c r="B45" s="227" t="inlineStr">
        <is>
          <t>2026-01-28</t>
        </is>
      </c>
      <c r="C45" s="228" t="inlineStr">
        <is>
          <t>-</t>
        </is>
      </c>
      <c r="D45" s="229" t="inlineStr">
        <is>
          <t>외화매입/송금</t>
        </is>
      </c>
      <c r="E45" s="229" t="inlineStr">
        <is>
          <t>(100010)HSBC(입출금:002-12899 — 20260128 USD 구매의 건 (USD 9,741,390.73 @1,425.93)</t>
        </is>
      </c>
      <c r="F45" s="225" t="n"/>
      <c r="G45" s="230" t="n">
        <v>13890541283</v>
      </c>
      <c r="H45" s="229" t="inlineStr">
        <is>
          <t>외화 송금·환전 증빙, 은행명세</t>
        </is>
      </c>
      <c r="I45" s="228" t="inlineStr">
        <is>
          <t>No</t>
        </is>
      </c>
      <c r="J45" s="110" t="n"/>
      <c r="K45" s="115" t="n"/>
      <c r="L45" s="110" t="n"/>
      <c r="M45" s="110" t="n"/>
      <c r="N45" s="120" t="n"/>
    </row>
    <row r="46" ht="15" customFormat="1" customHeight="1" s="19">
      <c r="A46" s="18" t="n"/>
      <c r="B46" s="227" t="inlineStr">
        <is>
          <t>2026-01-28</t>
        </is>
      </c>
      <c r="C46" s="228" t="inlineStr">
        <is>
          <t>-</t>
        </is>
      </c>
      <c r="D46" s="229" t="inlineStr">
        <is>
          <t>외화매입/송금</t>
        </is>
      </c>
      <c r="E46" s="229" t="inlineStr">
        <is>
          <t>(100010)HSBC(USD:002-12899 — 2026.01.28 미국본사 송금 및 외화 환전 건 ($223,797.78 @1,458</t>
        </is>
      </c>
      <c r="F46" s="225" t="n"/>
      <c r="G46" s="230" t="n">
        <v>13730461277</v>
      </c>
      <c r="H46" s="229" t="inlineStr">
        <is>
          <t>외화 송금·환전 증빙, 은행명세</t>
        </is>
      </c>
      <c r="I46" s="228" t="inlineStr">
        <is>
          <t>No</t>
        </is>
      </c>
      <c r="J46" s="110" t="n"/>
      <c r="K46" s="115" t="n"/>
      <c r="L46" s="110" t="n"/>
      <c r="M46" s="110" t="n"/>
      <c r="N46" s="120" t="n"/>
    </row>
    <row r="47" ht="15" customFormat="1" customHeight="1" s="19">
      <c r="A47" s="18" t="n"/>
      <c r="B47" s="227" t="inlineStr">
        <is>
          <t>2025-05-01</t>
        </is>
      </c>
      <c r="C47" s="228" t="inlineStr">
        <is>
          <t>-</t>
        </is>
      </c>
      <c r="D47" s="229" t="inlineStr">
        <is>
          <t>감사조정/결산(수기)</t>
        </is>
      </c>
      <c r="E47" s="229" t="inlineStr">
        <is>
          <t>(185500) Operating ROU Ass — FY25 US 리스분개 제거분개 reverse</t>
        </is>
      </c>
      <c r="F47" s="225" t="n"/>
      <c r="G47" s="230" t="n">
        <v>10762030712</v>
      </c>
      <c r="H47" s="229" t="inlineStr">
        <is>
          <t>WTB Adj_2026 / 리스 조서</t>
        </is>
      </c>
      <c r="I47" s="228" t="inlineStr">
        <is>
          <t>No</t>
        </is>
      </c>
      <c r="J47" s="110" t="n"/>
      <c r="K47" s="115" t="n"/>
      <c r="L47" s="110" t="n"/>
      <c r="M47" s="110" t="n"/>
      <c r="N47" s="120" t="n"/>
    </row>
    <row r="48" ht="15" customFormat="1" customHeight="1" s="19">
      <c r="A48" s="18" t="n"/>
      <c r="B48" s="227" t="inlineStr">
        <is>
          <t>2026-04-30</t>
        </is>
      </c>
      <c r="C48" s="228" t="inlineStr">
        <is>
          <t>-</t>
        </is>
      </c>
      <c r="D48" s="229" t="inlineStr">
        <is>
          <t>감사조정/결산(수기)</t>
        </is>
      </c>
      <c r="E48" s="229" t="inlineStr">
        <is>
          <t>(185510) ROU Asset Accum — FY26 US 리스분개 제거분개</t>
        </is>
      </c>
      <c r="F48" s="225" t="n"/>
      <c r="G48" s="230" t="n">
        <v>7984693312</v>
      </c>
      <c r="H48" s="229" t="inlineStr">
        <is>
          <t>WTB Adj_2026 / 리스 조서</t>
        </is>
      </c>
      <c r="I48" s="228" t="inlineStr">
        <is>
          <t>No</t>
        </is>
      </c>
      <c r="J48" s="110" t="n"/>
      <c r="K48" s="115" t="n"/>
      <c r="L48" s="110" t="n"/>
      <c r="M48" s="110" t="n"/>
      <c r="N48" s="120" t="n"/>
    </row>
    <row r="49" ht="15" customFormat="1" customHeight="1" s="19">
      <c r="A49" s="18" t="n"/>
      <c r="B49" s="227" t="inlineStr">
        <is>
          <t>2026-04-22</t>
        </is>
      </c>
      <c r="C49" s="228" t="inlineStr">
        <is>
          <t>-</t>
        </is>
      </c>
      <c r="D49" s="229" t="inlineStr">
        <is>
          <t>본사 VFF 정산(수기)</t>
        </is>
      </c>
      <c r="E49" s="229" t="inlineStr">
        <is>
          <t>(251001)외상매입금_외화(본사) — 20260422 VFF(Jan,Feb,Mar) $5,366,919.09 (excl ta</t>
        </is>
      </c>
      <c r="F49" s="225" t="n"/>
      <c r="G49" s="230" t="n">
        <v>7785349545</v>
      </c>
      <c r="H49" s="229" t="inlineStr">
        <is>
          <t>Franchise agmt/VFF 명세, 매입</t>
        </is>
      </c>
      <c r="I49" s="228" t="inlineStr">
        <is>
          <t>No</t>
        </is>
      </c>
      <c r="J49" s="110" t="n"/>
      <c r="K49" s="115" t="n"/>
      <c r="L49" s="110" t="n"/>
      <c r="M49" s="110" t="n"/>
      <c r="N49" s="120" t="n"/>
    </row>
    <row r="50" ht="15" customFormat="1" customHeight="1" s="19">
      <c r="A50" s="18" t="n"/>
      <c r="B50" s="227" t="inlineStr">
        <is>
          <t>2026-04-22</t>
        </is>
      </c>
      <c r="C50" s="228" t="inlineStr">
        <is>
          <t>-</t>
        </is>
      </c>
      <c r="D50" s="229" t="inlineStr">
        <is>
          <t>외화매입/송금</t>
        </is>
      </c>
      <c r="E50" s="229" t="inlineStr">
        <is>
          <t>(100010)HSBC(입출금:002-12899 — 20260422 USD 구매의 건 (USD 4,903,658.21 @1,480.50)</t>
        </is>
      </c>
      <c r="F50" s="225" t="n"/>
      <c r="G50" s="230" t="n">
        <v>7259865979</v>
      </c>
      <c r="H50" s="229" t="inlineStr">
        <is>
          <t>외화 송금·환전 증빙, 은행명세</t>
        </is>
      </c>
      <c r="I50" s="228" t="inlineStr">
        <is>
          <t>No</t>
        </is>
      </c>
      <c r="J50" s="110" t="n"/>
      <c r="K50" s="115" t="n"/>
      <c r="L50" s="110" t="n"/>
      <c r="M50" s="110" t="n"/>
      <c r="N50" s="120" t="n"/>
    </row>
    <row r="51" ht="15" customFormat="1" customHeight="1" s="19">
      <c r="A51" s="18" t="n"/>
      <c r="B51" s="231" t="inlineStr">
        <is>
          <t>2025-12-26</t>
        </is>
      </c>
      <c r="C51" s="232" t="inlineStr">
        <is>
          <t>-</t>
        </is>
      </c>
      <c r="D51" s="233" t="inlineStr">
        <is>
          <t>자금이체</t>
        </is>
      </c>
      <c r="E51" s="233" t="inlineStr">
        <is>
          <t>(100010)KEB(출금:630-008773- — Internal cash transfer to KEB출금(704)</t>
        </is>
      </c>
      <c r="F51" s="234" t="n"/>
      <c r="G51" s="235" t="n">
        <v>7000000000</v>
      </c>
      <c r="H51" s="233" t="inlineStr">
        <is>
          <t>은행거래명세 / 이체증</t>
        </is>
      </c>
      <c r="I51" s="232" t="inlineStr">
        <is>
          <t>No</t>
        </is>
      </c>
      <c r="J51" s="236" t="n"/>
      <c r="K51" s="237" t="n"/>
      <c r="L51" s="236" t="n"/>
      <c r="M51" s="236" t="n"/>
      <c r="N51" s="238" t="n"/>
    </row>
    <row r="52" ht="15" customFormat="1" customHeight="1" s="134">
      <c r="A52" s="28" t="n"/>
      <c r="B52" s="231" t="inlineStr">
        <is>
          <t>2026-04-22</t>
        </is>
      </c>
      <c r="C52" s="232" t="inlineStr">
        <is>
          <t>-</t>
        </is>
      </c>
      <c r="D52" s="233" t="inlineStr">
        <is>
          <t>외화매입/송금</t>
        </is>
      </c>
      <c r="E52" s="233" t="inlineStr">
        <is>
          <t>(100010)HSBC(USD:002-12899 — 2026.04.22 미국본사 송금 및 외화 환전 건 ($4,569,931.07 @1,4</t>
        </is>
      </c>
      <c r="F52" s="234" t="n"/>
      <c r="G52" s="235" t="n">
        <v>6765782949</v>
      </c>
      <c r="H52" s="233" t="inlineStr">
        <is>
          <t>외화 송금·환전 증빙, 은행명세</t>
        </is>
      </c>
      <c r="I52" s="232" t="inlineStr">
        <is>
          <t>No</t>
        </is>
      </c>
      <c r="J52" s="236" t="n"/>
      <c r="K52" s="237" t="n"/>
      <c r="L52" s="236" t="n"/>
      <c r="M52" s="236" t="n"/>
      <c r="N52" s="238" t="n"/>
    </row>
    <row r="53" ht="15" customFormat="1" customHeight="1" s="19">
      <c r="A53" s="18" t="n"/>
      <c r="B53" s="227" t="inlineStr">
        <is>
          <t>2025-11-30</t>
        </is>
      </c>
      <c r="C53" s="228" t="inlineStr">
        <is>
          <t>-</t>
        </is>
      </c>
      <c r="D53" s="229" t="inlineStr">
        <is>
          <t>본사 VFF 정산(수기)</t>
        </is>
      </c>
      <c r="E53" s="229" t="inlineStr">
        <is>
          <t>(251001)외상매입금_외화(본사) — 11월 VFF_ (Operation income - total VFF) / Revenu</t>
        </is>
      </c>
      <c r="F53" s="225" t="n"/>
      <c r="G53" s="230" t="n">
        <v>6168340778</v>
      </c>
      <c r="H53" s="229" t="inlineStr">
        <is>
          <t>Franchise agmt/VFF 명세, 매입</t>
        </is>
      </c>
      <c r="I53" s="228" t="inlineStr">
        <is>
          <t>No</t>
        </is>
      </c>
      <c r="J53" s="110" t="n"/>
      <c r="K53" s="115" t="n"/>
      <c r="L53" s="110" t="n"/>
      <c r="M53" s="110" t="n"/>
      <c r="N53" s="120" t="n"/>
    </row>
    <row r="54" ht="15" customFormat="1" customHeight="1" s="19">
      <c r="A54" s="18" t="n"/>
      <c r="B54" s="227" t="inlineStr">
        <is>
          <t>2025-11-25</t>
        </is>
      </c>
      <c r="C54" s="228" t="inlineStr">
        <is>
          <t>-</t>
        </is>
      </c>
      <c r="D54" s="229" t="inlineStr">
        <is>
          <t>자금이체</t>
        </is>
      </c>
      <c r="E54" s="229" t="inlineStr">
        <is>
          <t>(100010)KEB(출금:630-008773- — Internal cash transfer to KEB출금(704)</t>
        </is>
      </c>
      <c r="F54" s="225" t="n"/>
      <c r="G54" s="230" t="n">
        <v>6100000000</v>
      </c>
      <c r="H54" s="229" t="inlineStr">
        <is>
          <t>은행거래명세 / 이체증</t>
        </is>
      </c>
      <c r="I54" s="228" t="inlineStr">
        <is>
          <t>No</t>
        </is>
      </c>
      <c r="J54" s="110" t="n"/>
      <c r="K54" s="115" t="n"/>
      <c r="L54" s="110" t="n"/>
      <c r="M54" s="110" t="n"/>
      <c r="N54" s="120" t="n"/>
    </row>
    <row r="55" ht="15" customFormat="1" customHeight="1" s="19">
      <c r="A55" s="18" t="n"/>
      <c r="B55" s="227" t="inlineStr">
        <is>
          <t>2025-11-28</t>
        </is>
      </c>
      <c r="C55" s="228" t="inlineStr">
        <is>
          <t>-</t>
        </is>
      </c>
      <c r="D55" s="229" t="inlineStr">
        <is>
          <t>본사 VFF 정산(수기)</t>
        </is>
      </c>
      <c r="E55" s="229" t="inlineStr">
        <is>
          <t>(251001)외상매입금_외화(본사) — 20251128 VFF(Jul,Aug,Sep) $4,110,979.99 (excl ta</t>
        </is>
      </c>
      <c r="F55" s="225" t="n"/>
      <c r="G55" s="230" t="n">
        <v>5726185158</v>
      </c>
      <c r="H55" s="229" t="inlineStr">
        <is>
          <t>Franchise agmt/VFF 명세, 매입</t>
        </is>
      </c>
      <c r="I55" s="228" t="inlineStr">
        <is>
          <t>No</t>
        </is>
      </c>
      <c r="J55" s="110" t="n"/>
      <c r="K55" s="115" t="n"/>
      <c r="L55" s="110" t="n"/>
      <c r="M55" s="110" t="n"/>
      <c r="N55" s="120" t="n"/>
    </row>
    <row r="56" ht="15" customFormat="1" customHeight="1" s="19">
      <c r="A56" s="18" t="n"/>
      <c r="B56" s="227" t="inlineStr">
        <is>
          <t>2025-11-28</t>
        </is>
      </c>
      <c r="C56" s="228" t="inlineStr">
        <is>
          <t>-</t>
        </is>
      </c>
      <c r="D56" s="229" t="inlineStr">
        <is>
          <t>외화매입/송금</t>
        </is>
      </c>
      <c r="E56" s="229" t="inlineStr">
        <is>
          <t>(100010)HSBC(입출금:002-12899 — 20251128 USD 구매의 건 (USD 3,658,794.64 @1,467.16)</t>
        </is>
      </c>
      <c r="F56" s="225" t="n"/>
      <c r="G56" s="230" t="n">
        <v>5368037144</v>
      </c>
      <c r="H56" s="229" t="inlineStr">
        <is>
          <t>외화 송금·환전 증빙, 은행명세</t>
        </is>
      </c>
      <c r="I56" s="228" t="inlineStr">
        <is>
          <t>No</t>
        </is>
      </c>
      <c r="J56" s="110" t="n"/>
      <c r="K56" s="115" t="n"/>
      <c r="L56" s="110" t="n"/>
      <c r="M56" s="110" t="n"/>
      <c r="N56" s="120" t="n"/>
    </row>
    <row r="57" ht="15" customFormat="1" customHeight="1" s="19">
      <c r="A57" s="18" t="n"/>
      <c r="B57" s="227" t="inlineStr">
        <is>
          <t>2025-11-28</t>
        </is>
      </c>
      <c r="C57" s="228" t="inlineStr">
        <is>
          <t>-</t>
        </is>
      </c>
      <c r="D57" s="229" t="inlineStr">
        <is>
          <t>외화매입/송금</t>
        </is>
      </c>
      <c r="E57" s="229" t="inlineStr">
        <is>
          <t>(100010)HSBC(USD:002-12899 — 2025.11.28 미국본사 송금 및 외화 환전 건 ($3,658,794.64 @1,4</t>
        </is>
      </c>
      <c r="F57" s="225" t="n"/>
      <c r="G57" s="230" t="n">
        <v>5368037144</v>
      </c>
      <c r="H57" s="229" t="inlineStr">
        <is>
          <t>외화 송금·환전 증빙, 은행명세</t>
        </is>
      </c>
      <c r="I57" s="228" t="inlineStr">
        <is>
          <t>No</t>
        </is>
      </c>
      <c r="J57" s="110" t="n"/>
      <c r="K57" s="115" t="n"/>
      <c r="L57" s="110" t="n"/>
      <c r="M57" s="110" t="n"/>
      <c r="N57" s="120" t="n"/>
    </row>
    <row r="58" ht="15" customFormat="1" customHeight="1" s="19">
      <c r="A58" s="18" t="n"/>
      <c r="B58" s="227" t="inlineStr">
        <is>
          <t>2025-12-31</t>
        </is>
      </c>
      <c r="C58" s="228" t="inlineStr">
        <is>
          <t>-</t>
        </is>
      </c>
      <c r="D58" s="229" t="inlineStr">
        <is>
          <t>본사 VFF 정산(수기)</t>
        </is>
      </c>
      <c r="E58" s="229" t="inlineStr">
        <is>
          <t>(251001)외상매입금_외화(본사) — 12월 VFF_ (Operation income - total VFF) / Revenu</t>
        </is>
      </c>
      <c r="F58" s="225" t="n"/>
      <c r="G58" s="230" t="n">
        <v>5239991088</v>
      </c>
      <c r="H58" s="229" t="inlineStr">
        <is>
          <t>Franchise agmt/VFF 명세, 매입</t>
        </is>
      </c>
      <c r="I58" s="228" t="inlineStr">
        <is>
          <t>No</t>
        </is>
      </c>
      <c r="J58" s="110" t="n"/>
      <c r="K58" s="115" t="n"/>
      <c r="L58" s="110" t="n"/>
      <c r="M58" s="110" t="n"/>
      <c r="N58" s="120" t="n"/>
    </row>
    <row r="59" ht="15" customFormat="1" customHeight="1" s="19">
      <c r="A59" s="18" t="n"/>
      <c r="B59" s="227" t="inlineStr">
        <is>
          <t>2026-01-09</t>
        </is>
      </c>
      <c r="C59" s="228" t="inlineStr">
        <is>
          <t>-</t>
        </is>
      </c>
      <c r="D59" s="229" t="inlineStr">
        <is>
          <t>자금이체</t>
        </is>
      </c>
      <c r="E59" s="229" t="inlineStr">
        <is>
          <t>(100010)KEB(출금:630-008773- — 20260109 Internal cash transfer to HSBC(001)</t>
        </is>
      </c>
      <c r="F59" s="225" t="n"/>
      <c r="G59" s="230" t="n">
        <v>5000000000</v>
      </c>
      <c r="H59" s="229" t="inlineStr">
        <is>
          <t>은행거래명세 / 이체증</t>
        </is>
      </c>
      <c r="I59" s="228" t="inlineStr">
        <is>
          <t>No</t>
        </is>
      </c>
      <c r="J59" s="110" t="n"/>
      <c r="K59" s="115" t="n"/>
      <c r="L59" s="110" t="n"/>
      <c r="M59" s="110" t="n"/>
      <c r="N59" s="120" t="n"/>
    </row>
    <row r="60" ht="15" customFormat="1" customHeight="1" s="134">
      <c r="A60" s="28" t="n"/>
      <c r="B60" s="231" t="inlineStr">
        <is>
          <t>2025-11-28</t>
        </is>
      </c>
      <c r="C60" s="232" t="inlineStr">
        <is>
          <t>-</t>
        </is>
      </c>
      <c r="D60" s="233" t="inlineStr">
        <is>
          <t>자금이체</t>
        </is>
      </c>
      <c r="E60" s="233" t="inlineStr">
        <is>
          <t>(100010)HSBC(입출금:002-12899 — 20251128 Internal cash transfer to HSBC(001)</t>
        </is>
      </c>
      <c r="F60" s="234" t="n"/>
      <c r="G60" s="235" t="n">
        <v>5000000000</v>
      </c>
      <c r="H60" s="233" t="inlineStr">
        <is>
          <t>은행거래명세 / 이체증</t>
        </is>
      </c>
      <c r="I60" s="232" t="inlineStr">
        <is>
          <t>No</t>
        </is>
      </c>
      <c r="J60" s="236" t="n"/>
      <c r="K60" s="237" t="n"/>
      <c r="L60" s="236" t="n"/>
      <c r="M60" s="236" t="n"/>
      <c r="N60" s="238" t="n"/>
    </row>
    <row r="61" ht="15" customFormat="1" customHeight="1" s="19">
      <c r="A61" s="18" t="n"/>
      <c r="B61" s="227" t="inlineStr">
        <is>
          <t>2025-10-31</t>
        </is>
      </c>
      <c r="C61" s="228" t="inlineStr">
        <is>
          <t>-</t>
        </is>
      </c>
      <c r="D61" s="229" t="inlineStr">
        <is>
          <t>본사 VFF 정산(수기)</t>
        </is>
      </c>
      <c r="E61" s="229" t="inlineStr">
        <is>
          <t>(251001)외상매입금_외화(본사) — 10월 VFF_ (Operation income - total VFF) / Revenu</t>
        </is>
      </c>
      <c r="F61" s="225" t="n"/>
      <c r="G61" s="230" t="n">
        <v>4649038471</v>
      </c>
      <c r="H61" s="229" t="inlineStr">
        <is>
          <t>Franchise agmt/VFF 명세, 매입</t>
        </is>
      </c>
      <c r="I61" s="228" t="inlineStr">
        <is>
          <t>No</t>
        </is>
      </c>
      <c r="J61" s="110" t="n"/>
      <c r="K61" s="115" t="n"/>
      <c r="L61" s="110" t="n"/>
      <c r="M61" s="110" t="n"/>
      <c r="N61" s="120" t="n"/>
    </row>
    <row r="62" ht="15" customFormat="1" customHeight="1" s="19">
      <c r="A62" s="18" t="n"/>
      <c r="B62" s="227" t="inlineStr">
        <is>
          <t>2025-10-27</t>
        </is>
      </c>
      <c r="C62" s="228" t="inlineStr">
        <is>
          <t>-</t>
        </is>
      </c>
      <c r="D62" s="229" t="inlineStr">
        <is>
          <t>자금이체</t>
        </is>
      </c>
      <c r="E62" s="229" t="inlineStr">
        <is>
          <t>(100010)KEB(출금:630-008773- — Internal cash transfer to KEB출금(704)</t>
        </is>
      </c>
      <c r="F62" s="225" t="n"/>
      <c r="G62" s="230" t="n">
        <v>4200000000</v>
      </c>
      <c r="H62" s="229" t="inlineStr">
        <is>
          <t>은행거래명세 / 이체증</t>
        </is>
      </c>
      <c r="I62" s="228" t="inlineStr">
        <is>
          <t>No</t>
        </is>
      </c>
      <c r="J62" s="110" t="n"/>
      <c r="K62" s="115" t="n"/>
      <c r="L62" s="110" t="n"/>
      <c r="M62" s="110" t="n"/>
      <c r="N62" s="120" t="n"/>
    </row>
    <row r="63" ht="15" customFormat="1" customHeight="1" s="19">
      <c r="A63" s="18" t="n"/>
      <c r="B63" s="227" t="inlineStr">
        <is>
          <t>2025-09-25</t>
        </is>
      </c>
      <c r="C63" s="228" t="inlineStr">
        <is>
          <t>-</t>
        </is>
      </c>
      <c r="D63" s="229" t="inlineStr">
        <is>
          <t>자금이체</t>
        </is>
      </c>
      <c r="E63" s="229" t="inlineStr">
        <is>
          <t>(100010)KEB(출금:630-008773- — Internal cash transfer to KEB출금(704)</t>
        </is>
      </c>
      <c r="F63" s="225" t="n"/>
      <c r="G63" s="230" t="n">
        <v>4000000000</v>
      </c>
      <c r="H63" s="229" t="inlineStr">
        <is>
          <t>은행거래명세 / 이체증</t>
        </is>
      </c>
      <c r="I63" s="228" t="inlineStr">
        <is>
          <t>No</t>
        </is>
      </c>
      <c r="J63" s="110" t="n"/>
      <c r="K63" s="115" t="n"/>
      <c r="L63" s="110" t="n"/>
      <c r="M63" s="110" t="n"/>
      <c r="N63" s="120" t="n"/>
    </row>
    <row r="64" ht="15" customFormat="1" customHeight="1" s="19">
      <c r="A64" s="18" t="n"/>
      <c r="B64" s="227" t="inlineStr">
        <is>
          <t>2026-01-23</t>
        </is>
      </c>
      <c r="C64" s="228" t="inlineStr">
        <is>
          <t>-</t>
        </is>
      </c>
      <c r="D64" s="229" t="inlineStr">
        <is>
          <t>자금이체</t>
        </is>
      </c>
      <c r="E64" s="229" t="inlineStr">
        <is>
          <t>(100010)KEB(입금:630-008737- — Internal cash transfer to KEB출금(704)</t>
        </is>
      </c>
      <c r="F64" s="225" t="n"/>
      <c r="G64" s="230" t="n">
        <v>3950000000</v>
      </c>
      <c r="H64" s="229" t="inlineStr">
        <is>
          <t>은행거래명세 / 이체증</t>
        </is>
      </c>
      <c r="I64" s="228" t="inlineStr">
        <is>
          <t>No</t>
        </is>
      </c>
      <c r="J64" s="110" t="n"/>
      <c r="K64" s="115" t="n"/>
      <c r="L64" s="110" t="n"/>
      <c r="M64" s="110" t="n"/>
      <c r="N64" s="120" t="n"/>
    </row>
    <row r="65" ht="15" customFormat="1" customHeight="1" s="19">
      <c r="A65" s="18" t="n"/>
      <c r="B65" s="227" t="inlineStr">
        <is>
          <t>2025-10-29</t>
        </is>
      </c>
      <c r="C65" s="228" t="inlineStr">
        <is>
          <t>-</t>
        </is>
      </c>
      <c r="D65" s="229" t="inlineStr">
        <is>
          <t>외화매입/송금</t>
        </is>
      </c>
      <c r="E65" s="229" t="inlineStr">
        <is>
          <t>(100010)HSBC(입출금:002-12899 — 20251029 USD 구매의 건 (USD 2,455,475.24 @1,436.50)</t>
        </is>
      </c>
      <c r="F65" s="225" t="n"/>
      <c r="G65" s="230" t="n">
        <v>3527290182</v>
      </c>
      <c r="H65" s="229" t="inlineStr">
        <is>
          <t>외화 송금·환전 증빙, 은행명세</t>
        </is>
      </c>
      <c r="I65" s="228" t="inlineStr">
        <is>
          <t>No</t>
        </is>
      </c>
      <c r="J65" s="110" t="n"/>
      <c r="K65" s="115" t="n"/>
      <c r="L65" s="110" t="n"/>
      <c r="M65" s="110" t="n"/>
      <c r="N65" s="120" t="n"/>
    </row>
    <row r="66" ht="15" customFormat="1" customHeight="1" s="19" thickBot="1">
      <c r="A66" s="26" t="n"/>
      <c r="B66" s="227" t="inlineStr">
        <is>
          <t>2025-07-30</t>
        </is>
      </c>
      <c r="C66" s="228" t="inlineStr">
        <is>
          <t>-</t>
        </is>
      </c>
      <c r="D66" s="229" t="inlineStr">
        <is>
          <t>외화매입/송금</t>
        </is>
      </c>
      <c r="E66" s="229" t="inlineStr">
        <is>
          <t>(100010)HSBC(입출금:002-12899 — 20250730 USD 구매의 건 (USD 2,415,399 @1,3850.00)</t>
        </is>
      </c>
      <c r="F66" s="225" t="n"/>
      <c r="G66" s="230" t="n">
        <v>3345328418</v>
      </c>
      <c r="H66" s="229" t="inlineStr">
        <is>
          <t>외화 송금·환전 증빙, 은행명세</t>
        </is>
      </c>
      <c r="I66" s="228" t="inlineStr">
        <is>
          <t>No</t>
        </is>
      </c>
      <c r="J66" s="110" t="n"/>
      <c r="K66" s="115" t="n"/>
      <c r="L66" s="110" t="n"/>
      <c r="M66" s="110" t="n"/>
      <c r="N66" s="120" t="n"/>
    </row>
    <row r="67" ht="15" customHeight="1">
      <c r="A67" s="13" t="n"/>
      <c r="B67" s="239" t="inlineStr">
        <is>
          <t>2026-01-31</t>
        </is>
      </c>
      <c r="C67" s="232" t="inlineStr">
        <is>
          <t>-</t>
        </is>
      </c>
      <c r="D67" s="233" t="inlineStr">
        <is>
          <t>본사 VFF 정산(수기)</t>
        </is>
      </c>
      <c r="E67" s="233" t="inlineStr">
        <is>
          <t>(251001)외상매입금_외화(본사) — 1월 VFF_ (Operation income - total VFF) / Revenue</t>
        </is>
      </c>
      <c r="F67" s="234" t="n"/>
      <c r="G67" s="235" t="n">
        <v>3201976923</v>
      </c>
      <c r="H67" s="233" t="inlineStr">
        <is>
          <t>Franchise agmt/VFF 명세, 매입</t>
        </is>
      </c>
      <c r="I67" s="232" t="inlineStr">
        <is>
          <t>No</t>
        </is>
      </c>
      <c r="J67" s="236" t="n"/>
      <c r="K67" s="237" t="n"/>
      <c r="L67" s="236" t="n"/>
      <c r="M67" s="236" t="n"/>
      <c r="N67" s="238" t="n"/>
    </row>
    <row r="68" ht="15" customHeight="1">
      <c r="B68" s="239" t="inlineStr">
        <is>
          <t>2025-07-30</t>
        </is>
      </c>
      <c r="C68" s="232" t="inlineStr">
        <is>
          <t>-</t>
        </is>
      </c>
      <c r="D68" s="233" t="inlineStr">
        <is>
          <t>본사 VFF 정산(수기)</t>
        </is>
      </c>
      <c r="E68" s="233" t="inlineStr">
        <is>
          <t>(251001)외상매입금_외화(본사) — 20250730 VFF(Mar) $2,143,719.88 (excl tax $1,790</t>
        </is>
      </c>
      <c r="F68" s="234" t="n"/>
      <c r="G68" s="235" t="n">
        <v>3083751463</v>
      </c>
      <c r="H68" s="233" t="inlineStr">
        <is>
          <t>Franchise agmt/VFF 명세, 매입</t>
        </is>
      </c>
      <c r="I68" s="232" t="inlineStr">
        <is>
          <t>No</t>
        </is>
      </c>
      <c r="J68" s="236" t="n"/>
      <c r="K68" s="237" t="n"/>
      <c r="L68" s="236" t="n"/>
      <c r="M68" s="236" t="n"/>
      <c r="N68" s="238" t="n"/>
    </row>
    <row r="69" ht="15" customHeight="1">
      <c r="B69" s="239" t="inlineStr">
        <is>
          <t>2025-12-31</t>
        </is>
      </c>
      <c r="C69" s="232" t="inlineStr">
        <is>
          <t>-</t>
        </is>
      </c>
      <c r="D69" s="233" t="inlineStr">
        <is>
          <t>자금이체</t>
        </is>
      </c>
      <c r="E69" s="233" t="inlineStr">
        <is>
          <t>(100010)KEB(출금:630-008773- — 20251231 Internal cash transfer to HSBC(001)</t>
        </is>
      </c>
      <c r="F69" s="234" t="n"/>
      <c r="G69" s="235" t="n">
        <v>3000000000</v>
      </c>
      <c r="H69" s="233" t="inlineStr">
        <is>
          <t>은행거래명세 / 이체증</t>
        </is>
      </c>
      <c r="I69" s="232" t="inlineStr">
        <is>
          <t>No</t>
        </is>
      </c>
      <c r="J69" s="236" t="n"/>
      <c r="K69" s="237" t="n"/>
      <c r="L69" s="236" t="n"/>
      <c r="M69" s="236" t="n"/>
      <c r="N69" s="238" t="n"/>
    </row>
    <row r="70" ht="15" customHeight="1">
      <c r="B70" s="239" t="inlineStr">
        <is>
          <t>2026-01-28</t>
        </is>
      </c>
      <c r="C70" s="232" t="inlineStr">
        <is>
          <t>-</t>
        </is>
      </c>
      <c r="D70" s="233" t="inlineStr">
        <is>
          <t>자금이체</t>
        </is>
      </c>
      <c r="E70" s="233" t="inlineStr">
        <is>
          <t>(100010)HSBC(입출금:002-12899 — 20260128 Internal cash transfer to HSBC(001)</t>
        </is>
      </c>
      <c r="F70" s="234" t="n"/>
      <c r="G70" s="235" t="n">
        <v>3000000000</v>
      </c>
      <c r="H70" s="233" t="inlineStr">
        <is>
          <t>은행거래명세 / 이체증</t>
        </is>
      </c>
      <c r="I70" s="232" t="inlineStr">
        <is>
          <t>No</t>
        </is>
      </c>
      <c r="J70" s="236" t="n"/>
      <c r="K70" s="237" t="n"/>
      <c r="L70" s="236" t="n"/>
      <c r="M70" s="236" t="n"/>
      <c r="N70" s="238" t="n"/>
    </row>
    <row r="71" ht="15" customHeight="1">
      <c r="B71" s="239" t="inlineStr">
        <is>
          <t>2025-06-25</t>
        </is>
      </c>
      <c r="C71" s="232" t="inlineStr">
        <is>
          <t>-</t>
        </is>
      </c>
      <c r="D71" s="233" t="inlineStr">
        <is>
          <t>자금이체</t>
        </is>
      </c>
      <c r="E71" s="233" t="inlineStr">
        <is>
          <t>(100010)KEB(입금:630-008737- — 20250625 Internal cash transfer</t>
        </is>
      </c>
      <c r="F71" s="234" t="n"/>
      <c r="G71" s="235" t="n">
        <v>2900000000</v>
      </c>
      <c r="H71" s="233" t="inlineStr">
        <is>
          <t>은행거래명세 / 이체증</t>
        </is>
      </c>
      <c r="I71" s="232" t="inlineStr">
        <is>
          <t>No</t>
        </is>
      </c>
      <c r="J71" s="236" t="n"/>
      <c r="K71" s="237" t="n"/>
      <c r="L71" s="236" t="n"/>
      <c r="M71" s="236" t="n"/>
      <c r="N71" s="238" t="n"/>
    </row>
    <row r="72" ht="15" customHeight="1">
      <c r="B72" s="239" t="inlineStr">
        <is>
          <t>2025-10-29</t>
        </is>
      </c>
      <c r="C72" s="232" t="inlineStr">
        <is>
          <t>-</t>
        </is>
      </c>
      <c r="D72" s="233" t="inlineStr">
        <is>
          <t>본사 VFF 정산(수기)</t>
        </is>
      </c>
      <c r="E72" s="233" t="inlineStr">
        <is>
          <t>(251001)외상매입금_외화(본사) — 20251025 VFF(May,June) $2,087,006.80 (excl tax $</t>
        </is>
      </c>
      <c r="F72" s="234" t="n"/>
      <c r="G72" s="235" t="n">
        <v>2854122099</v>
      </c>
      <c r="H72" s="233" t="inlineStr">
        <is>
          <t>Franchise agmt/VFF 명세, 매입</t>
        </is>
      </c>
      <c r="I72" s="232" t="inlineStr">
        <is>
          <t>No</t>
        </is>
      </c>
      <c r="J72" s="236" t="n"/>
      <c r="K72" s="237" t="n"/>
      <c r="L72" s="236" t="n"/>
      <c r="M72" s="236" t="n"/>
      <c r="N72" s="238" t="n"/>
    </row>
    <row r="73" ht="15" customHeight="1">
      <c r="B73" s="239" t="inlineStr">
        <is>
          <t>2025-08-25</t>
        </is>
      </c>
      <c r="C73" s="232" t="inlineStr">
        <is>
          <t>-</t>
        </is>
      </c>
      <c r="D73" s="233" t="inlineStr">
        <is>
          <t>자금이체</t>
        </is>
      </c>
      <c r="E73" s="233" t="inlineStr">
        <is>
          <t>(100010)KEB(입금:630-008737- — Internal cash transfer to KEB출금(704)</t>
        </is>
      </c>
      <c r="F73" s="234" t="n"/>
      <c r="G73" s="235" t="n">
        <v>2850000000</v>
      </c>
      <c r="H73" s="233" t="inlineStr">
        <is>
          <t>은행거래명세 / 이체증</t>
        </is>
      </c>
      <c r="I73" s="232" t="inlineStr">
        <is>
          <t>No</t>
        </is>
      </c>
      <c r="J73" s="236" t="n"/>
      <c r="K73" s="237" t="n"/>
      <c r="L73" s="236" t="n"/>
      <c r="M73" s="236" t="n"/>
      <c r="N73" s="238" t="n"/>
    </row>
    <row r="74" ht="15" customHeight="1">
      <c r="B74" s="239" t="inlineStr">
        <is>
          <t>2025-09-25</t>
        </is>
      </c>
      <c r="C74" s="232" t="inlineStr">
        <is>
          <t>-</t>
        </is>
      </c>
      <c r="D74" s="233" t="inlineStr">
        <is>
          <t>자금이체</t>
        </is>
      </c>
      <c r="E74" s="233" t="inlineStr">
        <is>
          <t>(100010)KEB(출금:630-008773- — 20250925 Internal cash transfer to HSBC(001)</t>
        </is>
      </c>
      <c r="F74" s="234" t="n"/>
      <c r="G74" s="235" t="n">
        <v>2800000000</v>
      </c>
      <c r="H74" s="233" t="inlineStr">
        <is>
          <t>은행거래명세 / 이체증</t>
        </is>
      </c>
      <c r="I74" s="232" t="inlineStr">
        <is>
          <t>No</t>
        </is>
      </c>
      <c r="J74" s="236" t="n"/>
      <c r="K74" s="237" t="n"/>
      <c r="L74" s="236" t="n"/>
      <c r="M74" s="236" t="n"/>
      <c r="N74" s="238" t="n"/>
    </row>
    <row r="75" ht="15" customHeight="1">
      <c r="B75" s="239" t="inlineStr">
        <is>
          <t>2025-10-29</t>
        </is>
      </c>
      <c r="C75" s="232" t="inlineStr">
        <is>
          <t>-</t>
        </is>
      </c>
      <c r="D75" s="233" t="inlineStr">
        <is>
          <t>외화매입/송금</t>
        </is>
      </c>
      <c r="E75" s="233" t="inlineStr">
        <is>
          <t>(100010)HSBC(USD:002-12899 — 2025.10.29 미국본사 송금 및 외화 환전 건 ($1,918,182.32 @1,4</t>
        </is>
      </c>
      <c r="F75" s="234" t="n"/>
      <c r="G75" s="235" t="n">
        <v>2755468903</v>
      </c>
      <c r="H75" s="233" t="inlineStr">
        <is>
          <t>외화 송금·환전 증빙, 은행명세</t>
        </is>
      </c>
      <c r="I75" s="232" t="inlineStr">
        <is>
          <t>No</t>
        </is>
      </c>
      <c r="J75" s="236" t="n"/>
      <c r="K75" s="237" t="n"/>
      <c r="L75" s="236" t="n"/>
      <c r="M75" s="236" t="n"/>
      <c r="N75" s="238" t="n"/>
    </row>
    <row r="76" ht="15" customHeight="1">
      <c r="B76" s="239" t="inlineStr">
        <is>
          <t>2025-12-31</t>
        </is>
      </c>
      <c r="C76" s="232" t="inlineStr">
        <is>
          <t>-</t>
        </is>
      </c>
      <c r="D76" s="233" t="inlineStr">
        <is>
          <t>자금이체</t>
        </is>
      </c>
      <c r="E76" s="233" t="inlineStr">
        <is>
          <t>(100010)KEB(출금:630-008773- — Internal cash transfer to KEB출금(704)</t>
        </is>
      </c>
      <c r="F76" s="234" t="n"/>
      <c r="G76" s="235" t="n">
        <v>2700000000</v>
      </c>
      <c r="H76" s="233" t="inlineStr">
        <is>
          <t>은행거래명세 / 이체증</t>
        </is>
      </c>
      <c r="I76" s="232" t="inlineStr">
        <is>
          <t>No</t>
        </is>
      </c>
      <c r="J76" s="236" t="n"/>
      <c r="K76" s="237" t="n"/>
      <c r="L76" s="236" t="n"/>
      <c r="M76" s="236" t="n"/>
      <c r="N76" s="238" t="n"/>
    </row>
    <row r="77" ht="15" customHeight="1">
      <c r="B77" s="239" t="inlineStr">
        <is>
          <t>2025-07-30</t>
        </is>
      </c>
      <c r="C77" s="232" t="inlineStr">
        <is>
          <t>-</t>
        </is>
      </c>
      <c r="D77" s="233" t="inlineStr">
        <is>
          <t>외화매입/송금</t>
        </is>
      </c>
      <c r="E77" s="233" t="inlineStr">
        <is>
          <t>(100010)HSBC(USD:002-12899 — 2025.07.30 미국본사 송금 및 외화 환전 건 $1,912,179.30 @1,38</t>
        </is>
      </c>
      <c r="F77" s="234" t="n"/>
      <c r="G77" s="235" t="n">
        <v>2648368330</v>
      </c>
      <c r="H77" s="233" t="inlineStr">
        <is>
          <t>외화 송금·환전 증빙, 은행명세</t>
        </is>
      </c>
      <c r="I77" s="232" t="inlineStr">
        <is>
          <t>No</t>
        </is>
      </c>
      <c r="J77" s="236" t="n"/>
      <c r="K77" s="237" t="n"/>
      <c r="L77" s="236" t="n"/>
      <c r="M77" s="236" t="n"/>
      <c r="N77" s="238" t="n"/>
    </row>
    <row r="78" ht="15" customHeight="1">
      <c r="B78" s="239" t="inlineStr">
        <is>
          <t>2025-09-30</t>
        </is>
      </c>
      <c r="C78" s="232" t="inlineStr">
        <is>
          <t>-</t>
        </is>
      </c>
      <c r="D78" s="233" t="inlineStr">
        <is>
          <t>본사 VFF 정산(수기)</t>
        </is>
      </c>
      <c r="E78" s="233" t="inlineStr">
        <is>
          <t>(251001)외상매입금_외화(본사) — 9월 VFF_ (Operation income - total VFF) / Revenue</t>
        </is>
      </c>
      <c r="F78" s="234" t="n"/>
      <c r="G78" s="235" t="n">
        <v>2575665081</v>
      </c>
      <c r="H78" s="233" t="inlineStr">
        <is>
          <t>Franchise agmt/VFF 명세, 매입</t>
        </is>
      </c>
      <c r="I78" s="232" t="inlineStr">
        <is>
          <t>No</t>
        </is>
      </c>
      <c r="J78" s="236" t="n"/>
      <c r="K78" s="237" t="n"/>
      <c r="L78" s="236" t="n"/>
      <c r="M78" s="236" t="n"/>
      <c r="N78" s="238" t="n"/>
    </row>
    <row r="79" ht="15" customHeight="1">
      <c r="B79" s="239" t="inlineStr">
        <is>
          <t>2026-04-30</t>
        </is>
      </c>
      <c r="C79" s="232" t="inlineStr">
        <is>
          <t>-</t>
        </is>
      </c>
      <c r="D79" s="233" t="inlineStr">
        <is>
          <t>본사 VFF 정산(수기)</t>
        </is>
      </c>
      <c r="E79" s="233" t="inlineStr">
        <is>
          <t>(251001)외상매입금_외화(본사) — 4월 VFF_ (Operation income - total VFF) / Revenue</t>
        </is>
      </c>
      <c r="F79" s="234" t="n"/>
      <c r="G79" s="235" t="n">
        <v>2544133329</v>
      </c>
      <c r="H79" s="233" t="inlineStr">
        <is>
          <t>Franchise agmt/VFF 명세, 매입</t>
        </is>
      </c>
      <c r="I79" s="232" t="inlineStr">
        <is>
          <t>No</t>
        </is>
      </c>
      <c r="J79" s="236" t="n"/>
      <c r="K79" s="237" t="n"/>
      <c r="L79" s="236" t="n"/>
      <c r="M79" s="236" t="n"/>
      <c r="N79" s="238" t="n"/>
    </row>
    <row r="80" ht="15" customHeight="1">
      <c r="B80" s="239" t="inlineStr">
        <is>
          <t>2025-06-25</t>
        </is>
      </c>
      <c r="C80" s="232" t="inlineStr">
        <is>
          <t>-</t>
        </is>
      </c>
      <c r="D80" s="233" t="inlineStr">
        <is>
          <t>외화매입/송금</t>
        </is>
      </c>
      <c r="E80" s="233" t="inlineStr">
        <is>
          <t>(100010)HSBC(USD:002-12899 — 20250625 USD 구매의 건 (USD 1,846,478.44 @1,363.50)</t>
        </is>
      </c>
      <c r="F80" s="234" t="n"/>
      <c r="G80" s="235" t="n">
        <v>2517673352</v>
      </c>
      <c r="H80" s="233" t="inlineStr">
        <is>
          <t>외화 송금·환전 증빙, 은행명세</t>
        </is>
      </c>
      <c r="I80" s="232" t="inlineStr">
        <is>
          <t>No</t>
        </is>
      </c>
      <c r="J80" s="236" t="n"/>
      <c r="K80" s="237" t="n"/>
      <c r="L80" s="236" t="n"/>
      <c r="M80" s="236" t="n"/>
      <c r="N80" s="238" t="n"/>
    </row>
    <row r="81" ht="15" customHeight="1">
      <c r="B81" s="239" t="inlineStr">
        <is>
          <t>2025-06-30</t>
        </is>
      </c>
      <c r="C81" s="232" t="inlineStr">
        <is>
          <t>-</t>
        </is>
      </c>
      <c r="D81" s="233" t="inlineStr">
        <is>
          <t>자금이체</t>
        </is>
      </c>
      <c r="E81" s="233" t="inlineStr">
        <is>
          <t>(100010)KEB(출금:630-008773- — Internal cash transfer to HSBC(001)</t>
        </is>
      </c>
      <c r="F81" s="234" t="n"/>
      <c r="G81" s="235" t="n">
        <v>2500000000</v>
      </c>
      <c r="H81" s="233" t="inlineStr">
        <is>
          <t>은행거래명세 / 이체증</t>
        </is>
      </c>
      <c r="I81" s="232" t="inlineStr">
        <is>
          <t>No</t>
        </is>
      </c>
      <c r="J81" s="236" t="n"/>
      <c r="K81" s="237" t="n"/>
      <c r="L81" s="236" t="n"/>
      <c r="M81" s="236" t="n"/>
      <c r="N81" s="238" t="n"/>
    </row>
    <row r="82" ht="15" customHeight="1">
      <c r="B82" s="239" t="inlineStr">
        <is>
          <t>2025-10-31</t>
        </is>
      </c>
      <c r="C82" s="232" t="inlineStr">
        <is>
          <t>-</t>
        </is>
      </c>
      <c r="D82" s="233" t="inlineStr">
        <is>
          <t>자금이체</t>
        </is>
      </c>
      <c r="E82" s="233" t="inlineStr">
        <is>
          <t>(100010)HSBC(입출금:002-12899 — 20251031 Internal cash transfer to HSBC(001)</t>
        </is>
      </c>
      <c r="F82" s="234" t="n"/>
      <c r="G82" s="235" t="n">
        <v>2500000000</v>
      </c>
      <c r="H82" s="233" t="inlineStr">
        <is>
          <t>은행거래명세 / 이체증</t>
        </is>
      </c>
      <c r="I82" s="232" t="inlineStr">
        <is>
          <t>No</t>
        </is>
      </c>
      <c r="J82" s="236" t="n"/>
      <c r="K82" s="237" t="n"/>
      <c r="L82" s="236" t="n"/>
      <c r="M82" s="236" t="n"/>
      <c r="N82" s="238" t="n"/>
    </row>
    <row r="83" ht="15" customHeight="1">
      <c r="B83" s="239" t="inlineStr">
        <is>
          <t>2025-06-25</t>
        </is>
      </c>
      <c r="C83" s="232" t="inlineStr">
        <is>
          <t>-</t>
        </is>
      </c>
      <c r="D83" s="233" t="inlineStr">
        <is>
          <t>본사 VFF 정산(수기)</t>
        </is>
      </c>
      <c r="E83" s="233" t="inlineStr">
        <is>
          <t>(251001)외상매입금_외화(본사) — 20250625 VFF(Mar) $1,696,761.54 (excl tax $1,416</t>
        </is>
      </c>
      <c r="F83" s="234" t="n"/>
      <c r="G83" s="235" t="n">
        <v>2498130074</v>
      </c>
      <c r="H83" s="233" t="inlineStr">
        <is>
          <t>Franchise agmt/VFF 명세, 매입</t>
        </is>
      </c>
      <c r="I83" s="232" t="inlineStr">
        <is>
          <t>No</t>
        </is>
      </c>
      <c r="J83" s="236" t="n"/>
      <c r="K83" s="237" t="n"/>
      <c r="L83" s="236" t="n"/>
      <c r="M83" s="236" t="n"/>
      <c r="N83" s="238" t="n"/>
    </row>
    <row r="84" ht="15" customHeight="1">
      <c r="B84" s="239" t="inlineStr">
        <is>
          <t>2026-01-28</t>
        </is>
      </c>
      <c r="C84" s="232" t="inlineStr">
        <is>
          <t>-</t>
        </is>
      </c>
      <c r="D84" s="233" t="inlineStr">
        <is>
          <t>세무(원천징수)</t>
        </is>
      </c>
      <c r="E84" s="233" t="inlineStr">
        <is>
          <t>(264000)예수금_근로소득세 — 20260128 VFF(Sep,Oct,Nov) 원천징수 소득세</t>
        </is>
      </c>
      <c r="F84" s="234" t="n"/>
      <c r="G84" s="235" t="n">
        <v>2418645140</v>
      </c>
      <c r="H84" s="233" t="inlineStr">
        <is>
          <t>원천세 신고·납부 증빙</t>
        </is>
      </c>
      <c r="I84" s="232" t="inlineStr">
        <is>
          <t>No</t>
        </is>
      </c>
      <c r="J84" s="236" t="n"/>
      <c r="K84" s="237" t="n"/>
      <c r="L84" s="236" t="n"/>
      <c r="M84" s="236" t="n"/>
      <c r="N84" s="238" t="n"/>
    </row>
    <row r="85" ht="15" customHeight="1">
      <c r="B85" s="239" t="inlineStr">
        <is>
          <t>2026-02-10</t>
        </is>
      </c>
      <c r="C85" s="232" t="inlineStr">
        <is>
          <t>-</t>
        </is>
      </c>
      <c r="D85" s="233" t="inlineStr">
        <is>
          <t>세무(원천징수)</t>
        </is>
      </c>
      <c r="E85" s="233" t="inlineStr">
        <is>
          <t>(200010)미지급금_주민세&amp;소득세 — 20260128 VFF(Sep,Oct,Nov) 원천징수 소득세</t>
        </is>
      </c>
      <c r="F85" s="234" t="n"/>
      <c r="G85" s="235" t="n">
        <v>2418645140</v>
      </c>
      <c r="H85" s="233" t="inlineStr">
        <is>
          <t>원천세 신고·납부 증빙</t>
        </is>
      </c>
      <c r="I85" s="232" t="inlineStr">
        <is>
          <t>No</t>
        </is>
      </c>
      <c r="J85" s="236" t="n"/>
      <c r="K85" s="237" t="n"/>
      <c r="L85" s="236" t="n"/>
      <c r="M85" s="236" t="n"/>
      <c r="N85" s="238" t="n"/>
    </row>
    <row r="86" ht="15" customHeight="1">
      <c r="B86" s="239" t="inlineStr">
        <is>
          <t>2025-07-25</t>
        </is>
      </c>
      <c r="C86" s="232" t="inlineStr">
        <is>
          <t>-</t>
        </is>
      </c>
      <c r="D86" s="233" t="inlineStr">
        <is>
          <t>자금이체</t>
        </is>
      </c>
      <c r="E86" s="233" t="inlineStr">
        <is>
          <t>(100010)KEB(입금:630-008737- — 20250725 Internal cash transfer</t>
        </is>
      </c>
      <c r="F86" s="234" t="n"/>
      <c r="G86" s="235" t="n">
        <v>2300000000</v>
      </c>
      <c r="H86" s="233" t="inlineStr">
        <is>
          <t>은행거래명세 / 이체증</t>
        </is>
      </c>
      <c r="I86" s="232" t="inlineStr">
        <is>
          <t>No</t>
        </is>
      </c>
      <c r="J86" s="236" t="n"/>
      <c r="K86" s="237" t="n"/>
      <c r="L86" s="236" t="n"/>
      <c r="M86" s="236" t="n"/>
      <c r="N86" s="238" t="n"/>
    </row>
    <row r="87" ht="15" customHeight="1">
      <c r="B87" s="239" t="inlineStr">
        <is>
          <t>2026-02-28</t>
        </is>
      </c>
      <c r="C87" s="232" t="inlineStr">
        <is>
          <t>-</t>
        </is>
      </c>
      <c r="D87" s="233" t="inlineStr">
        <is>
          <t>본사 VFF 정산(수기)</t>
        </is>
      </c>
      <c r="E87" s="233" t="inlineStr">
        <is>
          <t>(251001)외상매입금_외화(본사) — 2월 VFF_ (Operation income - total VFF) / Revenue</t>
        </is>
      </c>
      <c r="F87" s="234" t="n"/>
      <c r="G87" s="235" t="n">
        <v>2292662532</v>
      </c>
      <c r="H87" s="233" t="inlineStr">
        <is>
          <t>Franchise agmt/VFF 명세, 매입</t>
        </is>
      </c>
      <c r="I87" s="232" t="inlineStr">
        <is>
          <t>No</t>
        </is>
      </c>
      <c r="J87" s="236" t="n"/>
      <c r="K87" s="237" t="n"/>
      <c r="L87" s="236" t="n"/>
      <c r="M87" s="236" t="n"/>
      <c r="N87" s="238" t="n"/>
    </row>
    <row r="88" ht="15" customHeight="1">
      <c r="B88" s="239" t="inlineStr">
        <is>
          <t>2026-03-31</t>
        </is>
      </c>
      <c r="C88" s="232" t="inlineStr">
        <is>
          <t>-</t>
        </is>
      </c>
      <c r="D88" s="233" t="inlineStr">
        <is>
          <t>본사 VFF 정산(수기)</t>
        </is>
      </c>
      <c r="E88" s="233" t="inlineStr">
        <is>
          <t>(251001)외상매입금_외화(본사) — 3월 VFF_ (Operation income - total VFF) / Revenue</t>
        </is>
      </c>
      <c r="F88" s="234" t="n"/>
      <c r="G88" s="235" t="n">
        <v>2290789459</v>
      </c>
      <c r="H88" s="233" t="inlineStr">
        <is>
          <t>Franchise agmt/VFF 명세, 매입</t>
        </is>
      </c>
      <c r="I88" s="232" t="inlineStr">
        <is>
          <t>No</t>
        </is>
      </c>
      <c r="J88" s="236" t="n"/>
      <c r="K88" s="237" t="n"/>
      <c r="L88" s="236" t="n"/>
      <c r="M88" s="236" t="n"/>
      <c r="N88" s="238" t="n"/>
    </row>
    <row r="89" ht="15" customHeight="1">
      <c r="B89" s="239" t="inlineStr">
        <is>
          <t>2026-01-25</t>
        </is>
      </c>
      <c r="C89" s="232" t="inlineStr">
        <is>
          <t>-</t>
        </is>
      </c>
      <c r="D89" s="233" t="inlineStr">
        <is>
          <t>세무(부가세)</t>
        </is>
      </c>
      <c r="E89" s="233" t="inlineStr">
        <is>
          <t>(264000)부가가치세예수금_과세 — 파타고니아코리아 2025년 2기확정 부가세 납부 건 (10월~12월)</t>
        </is>
      </c>
      <c r="F89" s="234" t="n"/>
      <c r="G89" s="235" t="n">
        <v>2157021053</v>
      </c>
      <c r="H89" s="233" t="inlineStr">
        <is>
          <t>부가세 신고·납부 증빙</t>
        </is>
      </c>
      <c r="I89" s="232" t="inlineStr">
        <is>
          <t>No</t>
        </is>
      </c>
      <c r="J89" s="236" t="n"/>
      <c r="K89" s="237" t="n"/>
      <c r="L89" s="236" t="n"/>
      <c r="M89" s="236" t="n"/>
      <c r="N89" s="238" t="n"/>
    </row>
    <row r="90" ht="15" customHeight="1">
      <c r="B90" s="239" t="inlineStr">
        <is>
          <t>2026-01-23</t>
        </is>
      </c>
      <c r="C90" s="232" t="inlineStr">
        <is>
          <t>-</t>
        </is>
      </c>
      <c r="D90" s="233" t="inlineStr">
        <is>
          <t>세무(부가세)</t>
        </is>
      </c>
      <c r="E90" s="233" t="inlineStr">
        <is>
          <t>(100010)KEB(출금:630-008773- — 파타고니아코리아 2025년 2기확정 부가세 납부 건 (10월~12월)</t>
        </is>
      </c>
      <c r="F90" s="234" t="n"/>
      <c r="G90" s="235" t="n">
        <v>2102044990</v>
      </c>
      <c r="H90" s="233" t="inlineStr">
        <is>
          <t>부가세 신고·납부 증빙</t>
        </is>
      </c>
      <c r="I90" s="232" t="inlineStr">
        <is>
          <t>No</t>
        </is>
      </c>
      <c r="J90" s="236" t="n"/>
      <c r="K90" s="237" t="n"/>
      <c r="L90" s="236" t="n"/>
      <c r="M90" s="236" t="n"/>
      <c r="N90" s="238" t="n"/>
    </row>
    <row r="91" ht="15" customHeight="1">
      <c r="B91" s="239" t="inlineStr">
        <is>
          <t>2025-12-10</t>
        </is>
      </c>
      <c r="C91" s="232" t="inlineStr">
        <is>
          <t>-</t>
        </is>
      </c>
      <c r="D91" s="233" t="inlineStr">
        <is>
          <t>자금이체</t>
        </is>
      </c>
      <c r="E91" s="233" t="inlineStr">
        <is>
          <t>(100010)KEB(입금:630-008737- — Internal cash transfer to KEB출금(704)</t>
        </is>
      </c>
      <c r="F91" s="234" t="n"/>
      <c r="G91" s="235" t="n">
        <v>2100000000</v>
      </c>
      <c r="H91" s="233" t="inlineStr">
        <is>
          <t>은행거래명세 / 이체증</t>
        </is>
      </c>
      <c r="I91" s="232" t="inlineStr">
        <is>
          <t>No</t>
        </is>
      </c>
      <c r="J91" s="236" t="n"/>
      <c r="K91" s="237" t="n"/>
      <c r="L91" s="236" t="n"/>
      <c r="M91" s="236" t="n"/>
      <c r="N91" s="238" t="n"/>
    </row>
    <row r="92" ht="15" customHeight="1">
      <c r="B92" s="239" t="inlineStr">
        <is>
          <t>2025-05-23</t>
        </is>
      </c>
      <c r="C92" s="232" t="inlineStr">
        <is>
          <t>-</t>
        </is>
      </c>
      <c r="D92" s="233" t="inlineStr">
        <is>
          <t>자금이체</t>
        </is>
      </c>
      <c r="E92" s="233" t="inlineStr">
        <is>
          <t>(100010)KEB(입금:630-008737- — 20250523 Internal cash transfer</t>
        </is>
      </c>
      <c r="F92" s="234" t="n"/>
      <c r="G92" s="235" t="n">
        <v>2100000000</v>
      </c>
      <c r="H92" s="233" t="inlineStr">
        <is>
          <t>은행거래명세 / 이체증</t>
        </is>
      </c>
      <c r="I92" s="232" t="inlineStr">
        <is>
          <t>No</t>
        </is>
      </c>
      <c r="J92" s="236" t="n"/>
      <c r="K92" s="237" t="n"/>
      <c r="L92" s="236" t="n"/>
      <c r="M92" s="236" t="n"/>
      <c r="N92" s="238" t="n"/>
    </row>
    <row r="93" ht="15" customHeight="1">
      <c r="B93" s="239" t="inlineStr">
        <is>
          <t>2025-10-27</t>
        </is>
      </c>
      <c r="C93" s="232" t="inlineStr">
        <is>
          <t>-</t>
        </is>
      </c>
      <c r="D93" s="233" t="inlineStr">
        <is>
          <t>자금이체</t>
        </is>
      </c>
      <c r="E93" s="233" t="inlineStr">
        <is>
          <t>(100010)HSBC(입출금:002-12899 — 20251027 Internal cash transfer to HSBC(001)</t>
        </is>
      </c>
      <c r="F93" s="234" t="n"/>
      <c r="G93" s="235" t="n">
        <v>2000000000</v>
      </c>
      <c r="H93" s="233" t="inlineStr">
        <is>
          <t>은행거래명세 / 이체증</t>
        </is>
      </c>
      <c r="I93" s="232" t="inlineStr">
        <is>
          <t>No</t>
        </is>
      </c>
      <c r="J93" s="236" t="n"/>
      <c r="K93" s="237" t="n"/>
      <c r="L93" s="236" t="n"/>
      <c r="M93" s="236" t="n"/>
      <c r="N93" s="238" t="n"/>
    </row>
    <row r="94" ht="15" customHeight="1">
      <c r="B94" s="239" t="inlineStr">
        <is>
          <t>2025-12-26</t>
        </is>
      </c>
      <c r="C94" s="232" t="inlineStr">
        <is>
          <t>-</t>
        </is>
      </c>
      <c r="D94" s="233" t="inlineStr">
        <is>
          <t>자금이체</t>
        </is>
      </c>
      <c r="E94" s="233" t="inlineStr">
        <is>
          <t>(100010)HSBC(입출금:002-12899 — 20251226 Internal cash transfer to HSBC(001)</t>
        </is>
      </c>
      <c r="F94" s="234" t="n"/>
      <c r="G94" s="235" t="n">
        <v>2000000000</v>
      </c>
      <c r="H94" s="233" t="inlineStr">
        <is>
          <t>은행거래명세 / 이체증</t>
        </is>
      </c>
      <c r="I94" s="232" t="inlineStr">
        <is>
          <t>No</t>
        </is>
      </c>
      <c r="J94" s="236" t="n"/>
      <c r="K94" s="237" t="n"/>
      <c r="L94" s="236" t="n"/>
      <c r="M94" s="236" t="n"/>
      <c r="N94" s="238" t="n"/>
    </row>
    <row r="95" ht="15" customHeight="1">
      <c r="B95" s="239" t="inlineStr">
        <is>
          <t>2025-06-10</t>
        </is>
      </c>
      <c r="C95" s="232" t="inlineStr">
        <is>
          <t>-</t>
        </is>
      </c>
      <c r="D95" s="233" t="inlineStr">
        <is>
          <t>자금이체</t>
        </is>
      </c>
      <c r="E95" s="233" t="inlineStr">
        <is>
          <t>(100010)KEB(출금:630-008773- — Internal cash transfer to HSBC(001)</t>
        </is>
      </c>
      <c r="F95" s="234" t="n"/>
      <c r="G95" s="235" t="n">
        <v>2000000000</v>
      </c>
      <c r="H95" s="233" t="inlineStr">
        <is>
          <t>은행거래명세 / 이체증</t>
        </is>
      </c>
      <c r="I95" s="232" t="inlineStr">
        <is>
          <t>No</t>
        </is>
      </c>
      <c r="J95" s="236" t="n"/>
      <c r="K95" s="237" t="n"/>
      <c r="L95" s="236" t="n"/>
      <c r="M95" s="236" t="n"/>
      <c r="N95" s="238" t="n"/>
    </row>
    <row r="96" ht="15" customHeight="1">
      <c r="B96" s="239" t="inlineStr">
        <is>
          <t>2026-01-09</t>
        </is>
      </c>
      <c r="C96" s="232" t="inlineStr">
        <is>
          <t>-</t>
        </is>
      </c>
      <c r="D96" s="233" t="inlineStr">
        <is>
          <t>자금이체</t>
        </is>
      </c>
      <c r="E96" s="233" t="inlineStr">
        <is>
          <t>(100010)KEB(입금:630-008737- — Internal cash transfer to KEB출금(704)</t>
        </is>
      </c>
      <c r="F96" s="234" t="n"/>
      <c r="G96" s="235" t="n">
        <v>2000000000</v>
      </c>
      <c r="H96" s="233" t="inlineStr">
        <is>
          <t>은행거래명세 / 이체증</t>
        </is>
      </c>
      <c r="I96" s="232" t="inlineStr">
        <is>
          <t>No</t>
        </is>
      </c>
      <c r="J96" s="236" t="n"/>
      <c r="K96" s="237" t="n"/>
      <c r="L96" s="236" t="n"/>
      <c r="M96" s="236" t="n"/>
      <c r="N96" s="238" t="n"/>
    </row>
    <row r="97" ht="15" customHeight="1">
      <c r="B97" s="239" t="inlineStr">
        <is>
          <t>2025-06-25</t>
        </is>
      </c>
      <c r="C97" s="232" t="inlineStr">
        <is>
          <t>-</t>
        </is>
      </c>
      <c r="D97" s="233" t="inlineStr">
        <is>
          <t>외화매입/송금</t>
        </is>
      </c>
      <c r="E97" s="233" t="inlineStr">
        <is>
          <t>(100010)HSBC(USD:002-12899 — 20250625 미국본사 송금 건 TOTAL $1,459,064.53 @1363.50</t>
        </is>
      </c>
      <c r="F97" s="234" t="n"/>
      <c r="G97" s="235" t="n">
        <v>1989434486</v>
      </c>
      <c r="H97" s="233" t="inlineStr">
        <is>
          <t>외화 송금·환전 증빙, 은행명세</t>
        </is>
      </c>
      <c r="I97" s="232" t="inlineStr">
        <is>
          <t>No</t>
        </is>
      </c>
      <c r="J97" s="236" t="n"/>
      <c r="K97" s="237" t="n"/>
      <c r="L97" s="236" t="n"/>
      <c r="M97" s="236" t="n"/>
      <c r="N97" s="238" t="n"/>
    </row>
    <row r="98" ht="15" customHeight="1">
      <c r="B98" s="239" t="inlineStr">
        <is>
          <t>2026-03-31</t>
        </is>
      </c>
      <c r="C98" s="232" t="inlineStr">
        <is>
          <t>-</t>
        </is>
      </c>
      <c r="D98" s="233" t="inlineStr">
        <is>
          <t>재고평가충당금(수기)</t>
        </is>
      </c>
      <c r="E98" s="233" t="inlineStr">
        <is>
          <t>(122000)재고자산평가충당금(상품_구매) — Reverse Inventory Prov.</t>
        </is>
      </c>
      <c r="F98" s="234" t="n"/>
      <c r="G98" s="235" t="n">
        <v>1839979526</v>
      </c>
      <c r="H98" s="233" t="inlineStr">
        <is>
          <t>재고평가 조서 C-4</t>
        </is>
      </c>
      <c r="I98" s="232" t="inlineStr">
        <is>
          <t>No</t>
        </is>
      </c>
      <c r="J98" s="236" t="n"/>
      <c r="K98" s="237" t="n"/>
      <c r="L98" s="236" t="n"/>
      <c r="M98" s="236" t="n"/>
      <c r="N98" s="238" t="n"/>
    </row>
    <row r="99" ht="15" customHeight="1">
      <c r="B99" s="239" t="inlineStr">
        <is>
          <t>2025-08-25</t>
        </is>
      </c>
      <c r="C99" s="232" t="inlineStr">
        <is>
          <t>-</t>
        </is>
      </c>
      <c r="D99" s="233" t="inlineStr">
        <is>
          <t>자금이체</t>
        </is>
      </c>
      <c r="E99" s="233" t="inlineStr">
        <is>
          <t>(100010)KEB(출금:630-008773- — 20250825 Internal cash transfer to HSBC(001)</t>
        </is>
      </c>
      <c r="F99" s="234" t="n"/>
      <c r="G99" s="235" t="n">
        <v>1800000000</v>
      </c>
      <c r="H99" s="233" t="inlineStr">
        <is>
          <t>은행거래명세 / 이체증</t>
        </is>
      </c>
      <c r="I99" s="232" t="inlineStr">
        <is>
          <t>No</t>
        </is>
      </c>
      <c r="J99" s="236" t="n"/>
      <c r="K99" s="237" t="n"/>
      <c r="L99" s="236" t="n"/>
      <c r="M99" s="236" t="n"/>
      <c r="N99" s="238" t="n"/>
    </row>
    <row r="100" ht="15" customHeight="1">
      <c r="B100" s="239" t="inlineStr">
        <is>
          <t>2025-07-31</t>
        </is>
      </c>
      <c r="C100" s="232" t="inlineStr">
        <is>
          <t>-</t>
        </is>
      </c>
      <c r="D100" s="233" t="inlineStr">
        <is>
          <t>본사 VFF 정산(수기)</t>
        </is>
      </c>
      <c r="E100" s="233" t="inlineStr">
        <is>
          <t>(251001)외상매입금_외화(본사) — 7월 VFF_ (Operation income - total VFF) / Revenue</t>
        </is>
      </c>
      <c r="F100" s="234" t="n"/>
      <c r="G100" s="235" t="n">
        <v>1771659970</v>
      </c>
      <c r="H100" s="233" t="inlineStr">
        <is>
          <t>Franchise agmt/VFF 명세, 매입</t>
        </is>
      </c>
      <c r="I100" s="232" t="inlineStr">
        <is>
          <t>No</t>
        </is>
      </c>
      <c r="J100" s="236" t="n"/>
      <c r="K100" s="237" t="n"/>
      <c r="L100" s="236" t="n"/>
      <c r="M100" s="236" t="n"/>
      <c r="N100" s="238" t="n"/>
    </row>
    <row r="101" ht="15" customHeight="1">
      <c r="B101" s="239" t="inlineStr">
        <is>
          <t>2025-11-30</t>
        </is>
      </c>
      <c r="C101" s="232" t="inlineStr">
        <is>
          <t>-</t>
        </is>
      </c>
      <c r="D101" s="233" t="inlineStr">
        <is>
          <t>매출/상계</t>
        </is>
      </c>
      <c r="E101" s="233" t="inlineStr">
        <is>
          <t>(111010)외상매출금_직영점 — 202511 매출(직영점)파타고니아온라인 매출</t>
        </is>
      </c>
      <c r="F101" s="234" t="n"/>
      <c r="G101" s="235" t="n">
        <v>1717630750</v>
      </c>
      <c r="H101" s="233" t="inlineStr">
        <is>
          <t>매출·매출채권 조서 B1</t>
        </is>
      </c>
      <c r="I101" s="232" t="inlineStr">
        <is>
          <t>No</t>
        </is>
      </c>
      <c r="J101" s="236" t="n"/>
      <c r="K101" s="237" t="n"/>
      <c r="L101" s="236" t="n"/>
      <c r="M101" s="236" t="n"/>
      <c r="N101" s="238" t="n"/>
    </row>
    <row r="102" ht="15" customHeight="1">
      <c r="B102" s="239" t="inlineStr">
        <is>
          <t>2025-09-30</t>
        </is>
      </c>
      <c r="C102" s="232" t="inlineStr">
        <is>
          <t>-</t>
        </is>
      </c>
      <c r="D102" s="233" t="inlineStr">
        <is>
          <t>재고평가충당금(수기)</t>
        </is>
      </c>
      <c r="E102" s="233" t="inlineStr">
        <is>
          <t>(122000)재고자산평가충당금(상품_구매) — Reverse Inventory Prov.</t>
        </is>
      </c>
      <c r="F102" s="234" t="n"/>
      <c r="G102" s="235" t="n">
        <v>1691776231</v>
      </c>
      <c r="H102" s="233" t="inlineStr">
        <is>
          <t>재고평가 조서 C-4</t>
        </is>
      </c>
      <c r="I102" s="232" t="inlineStr">
        <is>
          <t>No</t>
        </is>
      </c>
      <c r="J102" s="236" t="n"/>
      <c r="K102" s="237" t="n"/>
      <c r="L102" s="236" t="n"/>
      <c r="M102" s="236" t="n"/>
      <c r="N102" s="238" t="n"/>
    </row>
    <row r="103" ht="15" customHeight="1">
      <c r="B103" s="239" t="inlineStr">
        <is>
          <t>2025-11-30</t>
        </is>
      </c>
      <c r="C103" s="232" t="inlineStr">
        <is>
          <t>-</t>
        </is>
      </c>
      <c r="D103" s="233" t="inlineStr">
        <is>
          <t>매출/상계</t>
        </is>
      </c>
      <c r="E103" s="233" t="inlineStr">
        <is>
          <t>(111010)외상매출금_직영점 — 11월분_온라인 외상매출금/선수금 상계</t>
        </is>
      </c>
      <c r="F103" s="234" t="n"/>
      <c r="G103" s="235" t="n">
        <v>1667573923</v>
      </c>
      <c r="H103" s="233" t="inlineStr">
        <is>
          <t>매출·매출채권 조서 B1</t>
        </is>
      </c>
      <c r="I103" s="232" t="inlineStr">
        <is>
          <t>No</t>
        </is>
      </c>
      <c r="J103" s="236" t="n"/>
      <c r="K103" s="237" t="n"/>
      <c r="L103" s="236" t="n"/>
      <c r="M103" s="236" t="n"/>
      <c r="N103" s="238" t="n"/>
    </row>
    <row r="104" ht="15" customHeight="1">
      <c r="B104" s="239" t="inlineStr">
        <is>
          <t>2026-04-30</t>
        </is>
      </c>
      <c r="C104" s="232" t="inlineStr">
        <is>
          <t>-</t>
        </is>
      </c>
      <c r="D104" s="233" t="inlineStr">
        <is>
          <t>자금이체</t>
        </is>
      </c>
      <c r="E104" s="233" t="inlineStr">
        <is>
          <t>(100010)KEB(입금:630-008737- — Internal cash transfer to KEB출금(704)</t>
        </is>
      </c>
      <c r="F104" s="234" t="n"/>
      <c r="G104" s="235" t="n">
        <v>1623236944</v>
      </c>
      <c r="H104" s="233" t="inlineStr">
        <is>
          <t>은행거래명세 / 이체증</t>
        </is>
      </c>
      <c r="I104" s="232" t="inlineStr">
        <is>
          <t>No</t>
        </is>
      </c>
      <c r="J104" s="236" t="n"/>
      <c r="K104" s="237" t="n"/>
      <c r="L104" s="236" t="n"/>
      <c r="M104" s="236" t="n"/>
      <c r="N104" s="238" t="n"/>
    </row>
    <row r="105" ht="15" customHeight="1">
      <c r="B105" s="239" t="inlineStr">
        <is>
          <t>2025-06-30</t>
        </is>
      </c>
      <c r="C105" s="232" t="inlineStr">
        <is>
          <t>-</t>
        </is>
      </c>
      <c r="D105" s="233" t="inlineStr">
        <is>
          <t>본사 VFF 정산(수기)</t>
        </is>
      </c>
      <c r="E105" s="233" t="inlineStr">
        <is>
          <t>(251001)외상매입금_외화(본사) — 5월 VFF_ (Operation income - total VFF) / Revenue</t>
        </is>
      </c>
      <c r="F105" s="234" t="n"/>
      <c r="G105" s="235" t="n">
        <v>1577678623</v>
      </c>
      <c r="H105" s="233" t="inlineStr">
        <is>
          <t>Franchise agmt/VFF 명세, 매입</t>
        </is>
      </c>
      <c r="I105" s="232" t="inlineStr">
        <is>
          <t>No</t>
        </is>
      </c>
      <c r="J105" s="236" t="n"/>
      <c r="K105" s="237" t="n"/>
      <c r="L105" s="236" t="n"/>
      <c r="M105" s="236" t="n"/>
      <c r="N105" s="238" t="n"/>
    </row>
    <row r="106" ht="15" customHeight="1">
      <c r="B106" s="239" t="inlineStr">
        <is>
          <t>2025-11-30</t>
        </is>
      </c>
      <c r="C106" s="232" t="inlineStr">
        <is>
          <t>-</t>
        </is>
      </c>
      <c r="D106" s="233" t="inlineStr">
        <is>
          <t>매출/상계</t>
        </is>
      </c>
      <c r="E106" s="233" t="inlineStr">
        <is>
          <t>(400010)상품매출 — 202511 매출(직영점)파타고니아온라인 공급가</t>
        </is>
      </c>
      <c r="F106" s="234" t="n"/>
      <c r="G106" s="235" t="n">
        <v>1561482147</v>
      </c>
      <c r="H106" s="233" t="inlineStr">
        <is>
          <t>매출·매출채권 조서 B1</t>
        </is>
      </c>
      <c r="I106" s="232" t="inlineStr">
        <is>
          <t>No</t>
        </is>
      </c>
      <c r="J106" s="236" t="n"/>
      <c r="K106" s="237" t="n"/>
      <c r="L106" s="236" t="n"/>
      <c r="M106" s="236" t="n"/>
      <c r="N106" s="238" t="n"/>
    </row>
    <row r="107" ht="15" customHeight="1">
      <c r="B107" s="239" t="inlineStr">
        <is>
          <t>2025-12-24</t>
        </is>
      </c>
      <c r="C107" s="232" t="inlineStr">
        <is>
          <t>-</t>
        </is>
      </c>
      <c r="D107" s="233" t="inlineStr">
        <is>
          <t>외화매입/송금</t>
        </is>
      </c>
      <c r="E107" s="233" t="inlineStr">
        <is>
          <t>(100010)HSBC(입출금:002-12899 — 20251224 USD 구매의 건 (USD 1,065,500.84 @1,458.10)</t>
        </is>
      </c>
      <c r="F107" s="234" t="n"/>
      <c r="G107" s="235" t="n">
        <v>1553606774</v>
      </c>
      <c r="H107" s="233" t="inlineStr">
        <is>
          <t>외화 송금·환전 증빙, 은행명세</t>
        </is>
      </c>
      <c r="I107" s="232" t="inlineStr">
        <is>
          <t>No</t>
        </is>
      </c>
      <c r="J107" s="236" t="n"/>
      <c r="K107" s="237" t="n"/>
      <c r="L107" s="236" t="n"/>
      <c r="M107" s="236" t="n"/>
      <c r="N107" s="238" t="n"/>
    </row>
    <row r="108" ht="15" customHeight="1">
      <c r="B108" s="239" t="inlineStr">
        <is>
          <t>2025-10-31</t>
        </is>
      </c>
      <c r="C108" s="232" t="inlineStr">
        <is>
          <t>-</t>
        </is>
      </c>
      <c r="D108" s="233" t="inlineStr">
        <is>
          <t>재고평가충당금(수기)</t>
        </is>
      </c>
      <c r="E108" s="233" t="inlineStr">
        <is>
          <t>(122000)재고자산평가충당금(상품_구매) — Reverse Inventory Prov.</t>
        </is>
      </c>
      <c r="F108" s="234" t="n"/>
      <c r="G108" s="235" t="n">
        <v>1529082307</v>
      </c>
      <c r="H108" s="233" t="inlineStr">
        <is>
          <t>재고평가 조서 C-4</t>
        </is>
      </c>
      <c r="I108" s="232" t="inlineStr">
        <is>
          <t>No</t>
        </is>
      </c>
      <c r="J108" s="236" t="n"/>
      <c r="K108" s="237" t="n"/>
      <c r="L108" s="236" t="n"/>
      <c r="M108" s="236" t="n"/>
      <c r="N108" s="238" t="n"/>
    </row>
    <row r="109" ht="15" customHeight="1">
      <c r="B109" s="239" t="inlineStr">
        <is>
          <t>2025-11-10</t>
        </is>
      </c>
      <c r="C109" s="232" t="inlineStr">
        <is>
          <t>-</t>
        </is>
      </c>
      <c r="D109" s="233" t="inlineStr">
        <is>
          <t>자금이체</t>
        </is>
      </c>
      <c r="E109" s="233" t="inlineStr">
        <is>
          <t>(100010)KEB(입금:630-008737- — Internal cash transfer to KEB출금(704)</t>
        </is>
      </c>
      <c r="F109" s="234" t="n"/>
      <c r="G109" s="235" t="n">
        <v>1500000000</v>
      </c>
      <c r="H109" s="233" t="inlineStr">
        <is>
          <t>은행거래명세 / 이체증</t>
        </is>
      </c>
      <c r="I109" s="232" t="inlineStr">
        <is>
          <t>No</t>
        </is>
      </c>
      <c r="J109" s="236" t="n"/>
      <c r="K109" s="237" t="n"/>
      <c r="L109" s="236" t="n"/>
      <c r="M109" s="236" t="n"/>
      <c r="N109" s="238" t="n"/>
    </row>
    <row r="110" ht="15" customHeight="1">
      <c r="B110" s="239" t="inlineStr">
        <is>
          <t>2025-09-10</t>
        </is>
      </c>
      <c r="C110" s="232" t="inlineStr">
        <is>
          <t>-</t>
        </is>
      </c>
      <c r="D110" s="233" t="inlineStr">
        <is>
          <t>자금이체</t>
        </is>
      </c>
      <c r="E110" s="233" t="inlineStr">
        <is>
          <t>(100010)KEB(백화점입금:630-0100 — Internal cash transfer to KEB출금(704)</t>
        </is>
      </c>
      <c r="F110" s="234" t="n"/>
      <c r="G110" s="235" t="n">
        <v>1500000000</v>
      </c>
      <c r="H110" s="233" t="inlineStr">
        <is>
          <t>은행거래명세 / 이체증</t>
        </is>
      </c>
      <c r="I110" s="232" t="inlineStr">
        <is>
          <t>No</t>
        </is>
      </c>
      <c r="J110" s="236" t="n"/>
      <c r="K110" s="237" t="n"/>
      <c r="L110" s="236" t="n"/>
      <c r="M110" s="236" t="n"/>
      <c r="N110" s="238" t="n"/>
    </row>
    <row r="111" ht="12.6" customHeight="1"/>
    <row r="112" ht="12.6" customHeight="1">
      <c r="B112" s="240" t="inlineStr">
        <is>
          <t>Entries with qualitative factors applied  (PM 미만 - 질적요인 적용 분개)</t>
        </is>
      </c>
    </row>
    <row r="113" ht="12.6" customHeight="1">
      <c r="B113" s="241" t="inlineStr">
        <is>
          <t>Qualitative factor 1 - 임시·미결산 성격 계정(잡손익) 대체분개</t>
        </is>
      </c>
    </row>
    <row r="114" ht="15" customHeight="1">
      <c r="B114" s="239" t="inlineStr">
        <is>
          <t>2025-08-01</t>
        </is>
      </c>
      <c r="C114" s="232" t="inlineStr">
        <is>
          <t>-</t>
        </is>
      </c>
      <c r="D114" s="233" t="inlineStr">
        <is>
          <t>수기</t>
        </is>
      </c>
      <c r="E114" s="233" t="inlineStr">
        <is>
          <t>(740040)잡이익 — 롯데부산점 공사비용 일부 보상</t>
        </is>
      </c>
      <c r="F114" s="234" t="n"/>
      <c r="G114" s="235" t="n">
        <v>7400000</v>
      </c>
      <c r="H114" s="233" t="inlineStr">
        <is>
          <t>증빙(입금)</t>
        </is>
      </c>
      <c r="I114" s="232" t="inlineStr">
        <is>
          <t>No</t>
        </is>
      </c>
      <c r="J114" s="236" t="n"/>
      <c r="K114" s="237" t="n"/>
      <c r="L114" s="236" t="n"/>
      <c r="M114" s="236" t="n"/>
      <c r="N114" s="238" t="n"/>
    </row>
    <row r="115" ht="15" customHeight="1">
      <c r="B115" s="239" t="inlineStr">
        <is>
          <t>2025-11-05</t>
        </is>
      </c>
      <c r="C115" s="232" t="inlineStr">
        <is>
          <t>-</t>
        </is>
      </c>
      <c r="D115" s="233" t="inlineStr">
        <is>
          <t>수기</t>
        </is>
      </c>
      <c r="E115" s="233" t="inlineStr">
        <is>
          <t>(740040)잡이익 — 출산급여 입금(노동부)</t>
        </is>
      </c>
      <c r="F115" s="234" t="n"/>
      <c r="G115" s="235" t="n">
        <v>6300000</v>
      </c>
      <c r="H115" s="233" t="inlineStr">
        <is>
          <t>증빙(입금)</t>
        </is>
      </c>
      <c r="I115" s="232" t="inlineStr">
        <is>
          <t>No</t>
        </is>
      </c>
      <c r="J115" s="236" t="n"/>
      <c r="K115" s="237" t="n"/>
      <c r="L115" s="236" t="n"/>
      <c r="M115" s="236" t="n"/>
      <c r="N115" s="238" t="n"/>
    </row>
    <row r="116" ht="15" customHeight="1">
      <c r="B116" s="239" t="inlineStr">
        <is>
          <t>2026-03-31</t>
        </is>
      </c>
      <c r="C116" s="232" t="inlineStr">
        <is>
          <t>-</t>
        </is>
      </c>
      <c r="D116" s="233" t="inlineStr">
        <is>
          <t>수기</t>
        </is>
      </c>
      <c r="E116" s="233" t="inlineStr">
        <is>
          <t>(740040)잡이익 — 가로수길 AR 오류 수정</t>
        </is>
      </c>
      <c r="F116" s="234" t="n"/>
      <c r="G116" s="235" t="n">
        <v>3600600</v>
      </c>
      <c r="H116" s="233" t="inlineStr">
        <is>
          <t>증빙/AR 명세</t>
        </is>
      </c>
      <c r="I116" s="232" t="inlineStr">
        <is>
          <t>No</t>
        </is>
      </c>
      <c r="J116" s="236" t="n"/>
      <c r="K116" s="237" t="n"/>
      <c r="L116" s="236" t="n"/>
      <c r="M116" s="236" t="n"/>
      <c r="N116" s="238" t="n"/>
    </row>
    <row r="117" ht="15" customHeight="1">
      <c r="B117" s="239" t="inlineStr">
        <is>
          <t>2026-03-31</t>
        </is>
      </c>
      <c r="C117" s="232" t="inlineStr">
        <is>
          <t>-</t>
        </is>
      </c>
      <c r="D117" s="233" t="inlineStr">
        <is>
          <t>수기</t>
        </is>
      </c>
      <c r="E117" s="233" t="inlineStr">
        <is>
          <t>(740040)잡이익 — 가로수길 카드결제 수선비 미반영</t>
        </is>
      </c>
      <c r="F117" s="234" t="n"/>
      <c r="G117" s="235" t="n">
        <v>2892000</v>
      </c>
      <c r="H117" s="233" t="inlineStr">
        <is>
          <t>증빙</t>
        </is>
      </c>
      <c r="I117" s="232" t="inlineStr">
        <is>
          <t>No</t>
        </is>
      </c>
      <c r="J117" s="236" t="n"/>
      <c r="K117" s="237" t="n"/>
      <c r="L117" s="236" t="n"/>
      <c r="M117" s="236" t="n"/>
      <c r="N117" s="238" t="n"/>
    </row>
    <row r="118" ht="15" customHeight="1">
      <c r="B118" s="239" t="inlineStr">
        <is>
          <t>2025-11-10</t>
        </is>
      </c>
      <c r="C118" s="232" t="inlineStr">
        <is>
          <t>-</t>
        </is>
      </c>
      <c r="D118" s="233" t="inlineStr">
        <is>
          <t>수기</t>
        </is>
      </c>
      <c r="E118" s="233" t="inlineStr">
        <is>
          <t>(740040)잡이익 — 통신서비스 변경 영업지원비</t>
        </is>
      </c>
      <c r="F118" s="234" t="n"/>
      <c r="G118" s="235" t="n">
        <v>2200000</v>
      </c>
      <c r="H118" s="233" t="inlineStr">
        <is>
          <t>증빙</t>
        </is>
      </c>
      <c r="I118" s="232" t="inlineStr">
        <is>
          <t>No</t>
        </is>
      </c>
      <c r="J118" s="236" t="n"/>
      <c r="K118" s="237" t="n"/>
      <c r="L118" s="236" t="n"/>
      <c r="M118" s="236" t="n"/>
      <c r="N118" s="238" t="n"/>
    </row>
    <row r="119" ht="15" customHeight="1">
      <c r="B119" s="239" t="inlineStr">
        <is>
          <t>2026-04-15</t>
        </is>
      </c>
      <c r="C119" s="232" t="inlineStr">
        <is>
          <t>-</t>
        </is>
      </c>
      <c r="D119" s="233" t="inlineStr">
        <is>
          <t>수기</t>
        </is>
      </c>
      <c r="E119" s="233" t="inlineStr">
        <is>
          <t>(740040)잡이익 — 스타필드고양점 정전 영업배상금</t>
        </is>
      </c>
      <c r="F119" s="234" t="n"/>
      <c r="G119" s="235" t="n">
        <v>1649000</v>
      </c>
      <c r="H119" s="233" t="inlineStr">
        <is>
          <t>증빙(입금)</t>
        </is>
      </c>
      <c r="I119" s="232" t="inlineStr">
        <is>
          <t>No</t>
        </is>
      </c>
      <c r="J119" s="236" t="n"/>
      <c r="K119" s="237" t="n"/>
      <c r="L119" s="236" t="n"/>
      <c r="M119" s="236" t="n"/>
      <c r="N119" s="238" t="n"/>
    </row>
    <row r="120" ht="12.6" customHeight="1">
      <c r="B120" s="241" t="inlineStr">
        <is>
          <t>Qualitative factor 2 - 비경상·미사용(seldom-used) 계정 분개</t>
        </is>
      </c>
    </row>
    <row r="121" ht="15" customHeight="1">
      <c r="B121" s="239" t="inlineStr">
        <is>
          <t>2025-05-31</t>
        </is>
      </c>
      <c r="C121" s="232" t="inlineStr">
        <is>
          <t>-</t>
        </is>
      </c>
      <c r="D121" s="233" t="inlineStr">
        <is>
          <t>수기</t>
        </is>
      </c>
      <c r="E121" s="233" t="inlineStr">
        <is>
          <t>(730051)파생상품거래손실 — NFD Hedge 5월</t>
        </is>
      </c>
      <c r="F121" s="234" t="n"/>
      <c r="G121" s="235" t="n">
        <v>382583282</v>
      </c>
      <c r="H121" s="233" t="inlineStr">
        <is>
          <t>파생상품 조서</t>
        </is>
      </c>
      <c r="I121" s="232" t="inlineStr">
        <is>
          <t>No</t>
        </is>
      </c>
      <c r="J121" s="236" t="n"/>
      <c r="K121" s="237" t="n"/>
      <c r="L121" s="236" t="n"/>
      <c r="M121" s="236" t="n"/>
      <c r="N121" s="238" t="n"/>
    </row>
    <row r="122" ht="15" customHeight="1">
      <c r="B122" s="239" t="inlineStr">
        <is>
          <t>2026-04-01</t>
        </is>
      </c>
      <c r="C122" s="232" t="inlineStr">
        <is>
          <t>-</t>
        </is>
      </c>
      <c r="D122" s="233" t="inlineStr">
        <is>
          <t>수기</t>
        </is>
      </c>
      <c r="E122" s="233" t="inlineStr">
        <is>
          <t>(184010)소프트웨어_내부개발 — 고정자산 처분 정리</t>
        </is>
      </c>
      <c r="F122" s="234" t="n"/>
      <c r="G122" s="235" t="n">
        <v>146500000</v>
      </c>
      <c r="H122" s="233" t="inlineStr">
        <is>
          <t>유형자산 조서</t>
        </is>
      </c>
      <c r="I122" s="232" t="inlineStr">
        <is>
          <t>No</t>
        </is>
      </c>
      <c r="J122" s="236" t="n"/>
      <c r="K122" s="237" t="n"/>
      <c r="L122" s="236" t="n"/>
      <c r="M122" s="236" t="n"/>
      <c r="N122" s="238" t="n"/>
    </row>
    <row r="123" ht="15" customHeight="1">
      <c r="B123" s="239" t="inlineStr">
        <is>
          <t>2026-04-30</t>
        </is>
      </c>
      <c r="C123" s="232" t="inlineStr">
        <is>
          <t>-</t>
        </is>
      </c>
      <c r="D123" s="233" t="inlineStr">
        <is>
          <t>수기(재분류)</t>
        </is>
      </c>
      <c r="E123" s="233" t="inlineStr">
        <is>
          <t>(664115)유형자산처분손실 — AK원주점 폐점 정리</t>
        </is>
      </c>
      <c r="F123" s="234" t="n"/>
      <c r="G123" s="235" t="n">
        <v>28699992</v>
      </c>
      <c r="H123" s="233" t="inlineStr">
        <is>
          <t>유형자산 조서</t>
        </is>
      </c>
      <c r="I123" s="232" t="inlineStr">
        <is>
          <t>No</t>
        </is>
      </c>
      <c r="J123" s="236" t="n"/>
      <c r="K123" s="237" t="n"/>
      <c r="L123" s="236" t="n"/>
      <c r="M123" s="236" t="n"/>
      <c r="N123" s="238" t="n"/>
    </row>
    <row r="124" ht="15" customHeight="1">
      <c r="B124" s="239" t="inlineStr">
        <is>
          <t>2025-08-31</t>
        </is>
      </c>
      <c r="C124" s="232" t="inlineStr">
        <is>
          <t>-</t>
        </is>
      </c>
      <c r="D124" s="233" t="inlineStr">
        <is>
          <t>수기</t>
        </is>
      </c>
      <c r="E124" s="233" t="inlineStr">
        <is>
          <t>복구충당부채 — 제주직영점 신규설정(25.4~30.1)</t>
        </is>
      </c>
      <c r="F124" s="234" t="n"/>
      <c r="G124" s="235" t="n">
        <v>48900000</v>
      </c>
      <c r="H124" s="233" t="inlineStr">
        <is>
          <t>복구충당부채 조서 N2</t>
        </is>
      </c>
      <c r="I124" s="232" t="inlineStr">
        <is>
          <t>No</t>
        </is>
      </c>
      <c r="J124" s="236" t="n"/>
      <c r="K124" s="237" t="n"/>
      <c r="L124" s="236" t="n"/>
      <c r="M124" s="236" t="n"/>
      <c r="N124" s="238" t="n"/>
    </row>
    <row r="125" ht="15" customHeight="1">
      <c r="B125" s="239" t="inlineStr">
        <is>
          <t>2026-04-30</t>
        </is>
      </c>
      <c r="C125" s="232" t="inlineStr">
        <is>
          <t>-</t>
        </is>
      </c>
      <c r="D125" s="233" t="inlineStr">
        <is>
          <t>결산</t>
        </is>
      </c>
      <c r="E125" s="233" t="inlineStr">
        <is>
          <t>(672000)대손상각비/(112000)대손충당금 — 대손충당금 설정</t>
        </is>
      </c>
      <c r="F125" s="234" t="n"/>
      <c r="G125" s="235" t="n">
        <v>65944315</v>
      </c>
      <c r="H125" s="233" t="inlineStr">
        <is>
          <t>매출채권 조서 B1-3</t>
        </is>
      </c>
      <c r="I125" s="232" t="inlineStr">
        <is>
          <t>No</t>
        </is>
      </c>
      <c r="J125" s="236" t="n"/>
      <c r="K125" s="237" t="n"/>
      <c r="L125" s="236" t="n"/>
      <c r="M125" s="236" t="n"/>
      <c r="N125" s="238" t="n"/>
    </row>
    <row r="126" ht="12.6" customHeight="1"/>
    <row r="127" ht="12.6" customHeight="1"/>
    <row r="128" ht="12.6" customHeight="1"/>
    <row r="129" ht="12.6" customHeight="1"/>
    <row r="130" ht="12.6" customHeight="1"/>
    <row r="131" ht="12.6" customHeight="1"/>
    <row r="132" ht="12.6" customHeight="1"/>
    <row r="133" ht="12.6" customHeight="1"/>
    <row r="134" ht="12.6" customHeight="1"/>
    <row r="135" ht="12.6" customHeight="1"/>
    <row r="136" ht="12.6" customHeight="1"/>
    <row r="137" ht="12.6" customHeight="1"/>
    <row r="138" ht="12.6" customHeight="1"/>
    <row r="139" ht="12.6" customHeight="1"/>
    <row r="140" ht="12.6" customHeight="1"/>
    <row r="141" ht="12.6" customHeight="1"/>
    <row r="142" ht="12.6" customHeight="1"/>
    <row r="143" ht="12.6" customHeight="1"/>
    <row r="144" ht="12.6" customHeight="1"/>
    <row r="145" ht="12.6" customHeight="1"/>
    <row r="146" ht="12.6" customHeight="1"/>
    <row r="147" ht="12.6" customHeight="1"/>
    <row r="148" ht="12.6" customHeight="1"/>
    <row r="149" ht="12.6" customHeight="1"/>
    <row r="150" ht="12.6" customHeight="1"/>
    <row r="151" ht="12.6" customHeight="1"/>
    <row r="152" ht="12.6" customHeight="1"/>
    <row r="153" ht="12.6" customHeight="1"/>
    <row r="154" ht="12.6" customHeight="1"/>
    <row r="155" ht="12.6" customHeight="1"/>
    <row r="156" ht="12.6" customHeight="1"/>
    <row r="157" ht="12.6" customHeight="1"/>
    <row r="158" ht="12.6" customHeight="1"/>
    <row r="159" ht="12.6" customHeight="1"/>
    <row r="160" ht="12.6" customHeight="1"/>
    <row r="161" ht="12.6" customHeight="1"/>
    <row r="162" ht="12.6" customHeight="1"/>
    <row r="163" ht="12.6" customHeight="1"/>
    <row r="164" ht="12.6" customHeight="1"/>
    <row r="165" ht="12.6" customHeight="1"/>
    <row r="166" ht="12.6" customHeight="1"/>
    <row r="167" ht="12.6" customHeight="1"/>
    <row r="168" ht="12.6" customHeight="1"/>
    <row r="169" ht="12.6" customHeight="1"/>
    <row r="170" ht="12.6" customHeight="1"/>
    <row r="171" ht="12.6" customHeight="1"/>
    <row r="172" ht="12.6" customHeight="1"/>
    <row r="173" ht="12.6" customHeight="1"/>
    <row r="174" ht="12.6" customHeight="1"/>
    <row r="175" ht="12.6" customHeight="1"/>
    <row r="176" ht="12.6" customHeight="1"/>
    <row r="177" ht="12.6" customHeight="1"/>
    <row r="178" ht="12.6" customHeight="1"/>
    <row r="179" ht="12.6" customHeight="1"/>
    <row r="180" ht="12.6" customHeight="1"/>
    <row r="181" ht="12.6" customHeight="1"/>
    <row r="182" ht="12.6" customHeight="1"/>
    <row r="183" ht="12.6" customHeight="1"/>
    <row r="184" ht="12.6" customHeight="1"/>
    <row r="185" ht="12.6" customHeight="1"/>
    <row r="186" ht="12.6" customHeight="1"/>
    <row r="187" ht="12.6" customHeight="1"/>
    <row r="188" ht="12.6" customHeight="1"/>
    <row r="189" ht="12.6" customHeight="1"/>
    <row r="190" ht="12.6" customHeight="1"/>
    <row r="191" ht="12.6" customHeight="1"/>
    <row r="192"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sheetData>
  <mergeCells count="89">
    <mergeCell ref="E62:F62"/>
    <mergeCell ref="E71:F71"/>
    <mergeCell ref="E64:F64"/>
    <mergeCell ref="E79:F79"/>
    <mergeCell ref="E73:F73"/>
    <mergeCell ref="E51:F51"/>
    <mergeCell ref="E87:F87"/>
    <mergeCell ref="B22:H29"/>
    <mergeCell ref="E63:F63"/>
    <mergeCell ref="B113:N113"/>
    <mergeCell ref="E65:F65"/>
    <mergeCell ref="E105:F105"/>
    <mergeCell ref="E99:F99"/>
    <mergeCell ref="E49:F49"/>
    <mergeCell ref="E119:F119"/>
    <mergeCell ref="E101:F101"/>
    <mergeCell ref="E116:F116"/>
    <mergeCell ref="E91:F91"/>
    <mergeCell ref="E85:F85"/>
    <mergeCell ref="E100:F100"/>
    <mergeCell ref="E75:F75"/>
    <mergeCell ref="E53:F53"/>
    <mergeCell ref="E115:F115"/>
    <mergeCell ref="E93:F93"/>
    <mergeCell ref="E102:F102"/>
    <mergeCell ref="J39:N39"/>
    <mergeCell ref="E117:F117"/>
    <mergeCell ref="E55:F55"/>
    <mergeCell ref="E122:F122"/>
    <mergeCell ref="E67:F67"/>
    <mergeCell ref="E48:F48"/>
    <mergeCell ref="B41:N41"/>
    <mergeCell ref="E40:F40"/>
    <mergeCell ref="E90:F90"/>
    <mergeCell ref="E104:F104"/>
    <mergeCell ref="E110:F110"/>
    <mergeCell ref="E124:F124"/>
    <mergeCell ref="E76:F76"/>
    <mergeCell ref="E66:F66"/>
    <mergeCell ref="E58:F58"/>
    <mergeCell ref="B112:N112"/>
    <mergeCell ref="E50:F50"/>
    <mergeCell ref="E121:F121"/>
    <mergeCell ref="E68:F68"/>
    <mergeCell ref="E52:F52"/>
    <mergeCell ref="E83:F83"/>
    <mergeCell ref="E123:F123"/>
    <mergeCell ref="E92:F92"/>
    <mergeCell ref="E44:F44"/>
    <mergeCell ref="E107:F107"/>
    <mergeCell ref="E94:F94"/>
    <mergeCell ref="E103:F103"/>
    <mergeCell ref="E69:F69"/>
    <mergeCell ref="E84:F84"/>
    <mergeCell ref="E78:F78"/>
    <mergeCell ref="E118:F118"/>
    <mergeCell ref="E114:F114"/>
    <mergeCell ref="E59:F59"/>
    <mergeCell ref="E77:F77"/>
    <mergeCell ref="E108:F108"/>
    <mergeCell ref="E46:F46"/>
    <mergeCell ref="E86:F86"/>
    <mergeCell ref="B21:H21"/>
    <mergeCell ref="E80:F80"/>
    <mergeCell ref="E95:F95"/>
    <mergeCell ref="E89:F89"/>
    <mergeCell ref="E61:F61"/>
    <mergeCell ref="E70:F70"/>
    <mergeCell ref="B42:N42"/>
    <mergeCell ref="E57:F57"/>
    <mergeCell ref="E54:F54"/>
    <mergeCell ref="E125:F125"/>
    <mergeCell ref="E72:F72"/>
    <mergeCell ref="E81:F81"/>
    <mergeCell ref="E56:F56"/>
    <mergeCell ref="E96:F96"/>
    <mergeCell ref="E43:F43"/>
    <mergeCell ref="B9:N9"/>
    <mergeCell ref="E106:F106"/>
    <mergeCell ref="E98:F98"/>
    <mergeCell ref="E88:F88"/>
    <mergeCell ref="E82:F82"/>
    <mergeCell ref="E60:F60"/>
    <mergeCell ref="E74:F74"/>
    <mergeCell ref="E45:F45"/>
    <mergeCell ref="B120:N120"/>
    <mergeCell ref="E97:F97"/>
    <mergeCell ref="E109:F109"/>
    <mergeCell ref="E47:F47"/>
  </mergeCells>
  <conditionalFormatting sqref="B22">
    <cfRule type="containsBlanks" priority="150" dxfId="8">
      <formula>LEN(TRIM(B22))=0</formula>
    </cfRule>
  </conditionalFormatting>
  <conditionalFormatting sqref="B61:E66">
    <cfRule type="containsBlanks" priority="1" dxfId="8">
      <formula>LEN(TRIM(B61))=0</formula>
    </cfRule>
  </conditionalFormatting>
  <conditionalFormatting sqref="C2:C3">
    <cfRule type="containsBlanks" priority="143" dxfId="8">
      <formula>LEN(TRIM(C2))=0</formula>
    </cfRule>
  </conditionalFormatting>
  <conditionalFormatting sqref="D16:D17">
    <cfRule type="containsBlanks" priority="141" dxfId="8">
      <formula>LEN(TRIM(D16))=0</formula>
    </cfRule>
  </conditionalFormatting>
  <conditionalFormatting sqref="F2:F6">
    <cfRule type="containsBlanks" priority="142" dxfId="8">
      <formula>LEN(TRIM(F2))=0</formula>
    </cfRule>
  </conditionalFormatting>
  <conditionalFormatting sqref="B42:E50 G42:N50">
    <cfRule type="containsBlanks" priority="89" dxfId="8">
      <formula>LEN(TRIM(B42))=0</formula>
    </cfRule>
  </conditionalFormatting>
  <conditionalFormatting sqref="B53:E59 G53:N59">
    <cfRule type="containsBlanks" priority="47" dxfId="8">
      <formula>LEN(TRIM(B53))=0</formula>
    </cfRule>
  </conditionalFormatting>
  <conditionalFormatting sqref="G61:N66">
    <cfRule type="containsBlanks" priority="11" dxfId="8">
      <formula>LEN(TRIM(G61))=0</formula>
    </cfRule>
  </conditionalFormatting>
  <conditionalFormatting sqref="J42:J50">
    <cfRule type="expression" priority="88" dxfId="0">
      <formula>I42="No"</formula>
    </cfRule>
  </conditionalFormatting>
  <conditionalFormatting sqref="J53:J59">
    <cfRule type="expression" priority="46" dxfId="0">
      <formula>I53="No"</formula>
    </cfRule>
  </conditionalFormatting>
  <conditionalFormatting sqref="J61:J66">
    <cfRule type="expression" priority="10" dxfId="0">
      <formula>I61="No"</formula>
    </cfRule>
  </conditionalFormatting>
  <conditionalFormatting sqref="K42:K50">
    <cfRule type="expression" priority="87" dxfId="0">
      <formula>I42="No"</formula>
    </cfRule>
  </conditionalFormatting>
  <conditionalFormatting sqref="K53:K59">
    <cfRule type="expression" priority="45" dxfId="0">
      <formula>I53="No"</formula>
    </cfRule>
  </conditionalFormatting>
  <conditionalFormatting sqref="K61:K66">
    <cfRule type="expression" priority="9" dxfId="0">
      <formula>I61="No"</formula>
    </cfRule>
  </conditionalFormatting>
  <conditionalFormatting sqref="L42:L50">
    <cfRule type="expression" priority="86" dxfId="0">
      <formula>I42="No"</formula>
    </cfRule>
  </conditionalFormatting>
  <conditionalFormatting sqref="L53:L59">
    <cfRule type="expression" priority="44" dxfId="0">
      <formula>I53="No"</formula>
    </cfRule>
  </conditionalFormatting>
  <conditionalFormatting sqref="L61:L66">
    <cfRule type="expression" priority="8" dxfId="0">
      <formula>I61="No"</formula>
    </cfRule>
  </conditionalFormatting>
  <conditionalFormatting sqref="M42:M50">
    <cfRule type="expression" priority="85" dxfId="0">
      <formula>I42="No"</formula>
    </cfRule>
  </conditionalFormatting>
  <conditionalFormatting sqref="M53:M59">
    <cfRule type="expression" priority="43" dxfId="0">
      <formula>I53="No"</formula>
    </cfRule>
  </conditionalFormatting>
  <conditionalFormatting sqref="M61:M66">
    <cfRule type="expression" priority="7" dxfId="0">
      <formula>I61="No"</formula>
    </cfRule>
  </conditionalFormatting>
  <conditionalFormatting sqref="N42:N50">
    <cfRule type="expression" priority="84" dxfId="0">
      <formula>I42="No"</formula>
    </cfRule>
  </conditionalFormatting>
  <conditionalFormatting sqref="N53:N59">
    <cfRule type="expression" priority="42" dxfId="0">
      <formula>I53="No"</formula>
    </cfRule>
  </conditionalFormatting>
  <conditionalFormatting sqref="N61:N66">
    <cfRule type="expression" priority="6" dxfId="0">
      <formula>I61="No"</formula>
    </cfRule>
  </conditionalFormatting>
  <dataValidations disablePrompts="1" count="1">
    <dataValidation sqref="I43:I125" showDropDown="0" showInputMessage="0" showErrorMessage="0" allowBlank="1" type="list">
      <formula1>"Yes,No"</formula1>
    </dataValidation>
  </dataValidations>
  <pageMargins left="0.7480314960629921" right="0.7480314960629921" top="0.984251968503937" bottom="0.984251968503937" header="0.5118110236220472" footer="0.5118110236220472"/>
  <pageSetup orientation="landscape" paperSize="9" fitToHeight="0"/>
  <rowBreaks count="2" manualBreakCount="2">
    <brk id="10" min="0" max="9" man="1"/>
    <brk id="38" min="0" max="9" man="1"/>
  </rowBreaks>
</worksheet>
</file>

<file path=xl/worksheets/sheet8.xml><?xml version="1.0" encoding="utf-8"?>
<worksheet xmlns="http://schemas.openxmlformats.org/spreadsheetml/2006/main">
  <sheetPr codeName="Blad12">
    <tabColor rgb="FF0072CE"/>
    <outlinePr summaryBelow="1" summaryRight="1"/>
    <pageSetUpPr fitToPage="1"/>
  </sheetPr>
  <dimension ref="A2:T105"/>
  <sheetViews>
    <sheetView showGridLines="0" zoomScale="90" zoomScaleNormal="90" zoomScaleSheetLayoutView="90" workbookViewId="0">
      <selection activeCell="C2" sqref="C2"/>
    </sheetView>
  </sheetViews>
  <sheetFormatPr baseColWidth="8" defaultColWidth="0" defaultRowHeight="12.6" customHeight="1" zeroHeight="1" outlineLevelRow="1"/>
  <cols>
    <col width="7.42578125" customWidth="1" style="7" min="1" max="1"/>
    <col width="27.5703125" customWidth="1" style="8" min="2" max="2"/>
    <col width="17" customWidth="1" style="8" min="3" max="3"/>
    <col width="41.5703125" customWidth="1" style="8" min="4" max="4"/>
    <col width="15.85546875" customWidth="1" style="8" min="5" max="5"/>
    <col width="18.85546875" customWidth="1" style="8" min="6" max="6"/>
    <col width="37.5703125" customWidth="1" style="8" min="7" max="7"/>
    <col width="51" customWidth="1" style="8" min="8" max="8"/>
    <col width="60.5703125" customWidth="1" style="8" min="9" max="9"/>
    <col width="58.140625" customWidth="1" style="8" min="10" max="10"/>
    <col width="51.140625" customWidth="1" style="8" min="11" max="11"/>
    <col width="34.85546875" customWidth="1" style="8" min="12" max="12"/>
    <col width="35.5703125" customWidth="1" style="8" min="13" max="13"/>
    <col width="36.140625" customWidth="1" style="8" min="14" max="14"/>
    <col width="19.42578125" customWidth="1" style="8" min="15" max="15"/>
    <col width="23.85546875" customWidth="1" style="8" min="16" max="16"/>
    <col hidden="1" width="11.85546875" customWidth="1" style="8" min="17" max="17"/>
    <col width="18.140625" customWidth="1" style="8" min="18" max="18"/>
    <col width="5.5703125" customWidth="1" style="8" min="19" max="20"/>
    <col hidden="1" style="8" min="21" max="259"/>
    <col hidden="1" width="5.5703125" customWidth="1" style="8" min="260" max="16384"/>
  </cols>
  <sheetData>
    <row r="1" ht="12.75" customHeight="1"/>
    <row r="2" ht="15" customHeight="1">
      <c r="B2" s="31" t="inlineStr">
        <is>
          <t>Client:</t>
        </is>
      </c>
      <c r="C2" s="106">
        <f>'JET - overview'!C2</f>
        <v/>
      </c>
      <c r="D2" s="32" t="n"/>
      <c r="E2" s="31" t="inlineStr">
        <is>
          <t>Reference:</t>
        </is>
      </c>
      <c r="F2" s="106">
        <f>'JET - overview'!F2</f>
        <v/>
      </c>
      <c r="G2" s="32" t="n"/>
      <c r="H2" s="32" t="n"/>
      <c r="I2" s="32" t="n"/>
      <c r="J2" s="32" t="n"/>
      <c r="K2" s="32" t="n"/>
      <c r="L2" s="32" t="n"/>
      <c r="M2" s="32" t="n"/>
      <c r="P2" s="33" t="n"/>
      <c r="Q2" s="45" t="inlineStr">
        <is>
          <t>are</t>
        </is>
      </c>
      <c r="R2" s="34" t="n"/>
      <c r="S2" s="35" t="n"/>
    </row>
    <row r="3" ht="15" customHeight="1">
      <c r="B3" s="31" t="inlineStr">
        <is>
          <t>Year end:</t>
        </is>
      </c>
      <c r="C3" s="137">
        <f>'JET - overview'!C3</f>
        <v/>
      </c>
      <c r="D3" s="32" t="n"/>
      <c r="E3" s="31" t="inlineStr">
        <is>
          <t>Prepared by:</t>
        </is>
      </c>
      <c r="F3" s="106">
        <f>'JET - overview'!F3</f>
        <v/>
      </c>
      <c r="G3" s="32" t="n"/>
      <c r="H3" s="32" t="n"/>
      <c r="I3" s="32" t="n"/>
      <c r="J3" s="32" t="n"/>
      <c r="K3" s="32" t="n"/>
      <c r="L3" s="32" t="n"/>
      <c r="M3" s="32" t="n"/>
      <c r="P3" s="33" t="n"/>
      <c r="Q3" s="45" t="inlineStr">
        <is>
          <t>are not</t>
        </is>
      </c>
      <c r="R3" s="34" t="n"/>
      <c r="S3" s="35" t="n"/>
    </row>
    <row r="4" ht="15" customHeight="1">
      <c r="B4" s="31" t="n"/>
      <c r="C4" s="36" t="n"/>
      <c r="D4" s="32" t="n"/>
      <c r="E4" s="31" t="inlineStr">
        <is>
          <t>Date:</t>
        </is>
      </c>
      <c r="F4" s="137">
        <f>'JET - overview'!F4</f>
        <v/>
      </c>
      <c r="G4" s="32" t="n"/>
      <c r="H4" s="32" t="n"/>
      <c r="I4" s="32" t="n"/>
      <c r="J4" s="32" t="n"/>
      <c r="K4" s="32" t="n"/>
      <c r="L4" s="32" t="n"/>
      <c r="M4" s="32" t="n"/>
      <c r="P4" s="33" t="n"/>
      <c r="Q4" s="45" t="n"/>
      <c r="R4" s="34" t="n"/>
      <c r="S4" s="35" t="n"/>
    </row>
    <row r="5" ht="15" customHeight="1">
      <c r="B5" s="31" t="n"/>
      <c r="C5" s="37" t="n"/>
      <c r="D5" s="32" t="n"/>
      <c r="E5" s="31" t="inlineStr">
        <is>
          <t>Reviewed by:</t>
        </is>
      </c>
      <c r="F5" s="106">
        <f>'JET - overview'!F5</f>
        <v/>
      </c>
      <c r="G5" s="32" t="n"/>
      <c r="H5" s="32" t="n"/>
      <c r="I5" s="32" t="n"/>
      <c r="J5" s="32" t="n"/>
      <c r="K5" s="32" t="n"/>
      <c r="L5" s="32" t="n"/>
      <c r="M5" s="32" t="n"/>
      <c r="P5" s="33" t="n"/>
      <c r="Q5" s="45" t="n"/>
      <c r="R5" s="34" t="n"/>
      <c r="S5" s="35" t="n"/>
    </row>
    <row r="6" ht="15" customHeight="1">
      <c r="C6" s="34" t="n"/>
      <c r="D6" s="34" t="n"/>
      <c r="E6" s="31" t="inlineStr">
        <is>
          <t>Date:</t>
        </is>
      </c>
      <c r="F6" s="137">
        <f>'JET - overview'!F6</f>
        <v/>
      </c>
      <c r="G6" s="34" t="n"/>
      <c r="H6" s="34" t="n"/>
      <c r="I6" s="34" t="n"/>
      <c r="J6" s="34" t="n"/>
      <c r="K6" s="34" t="n"/>
      <c r="L6" s="34" t="n"/>
      <c r="M6" s="34" t="n"/>
      <c r="N6" s="34" t="n"/>
      <c r="O6" s="33" t="n"/>
      <c r="P6" s="33" t="n"/>
      <c r="Q6" s="45" t="n"/>
      <c r="R6" s="34" t="n"/>
      <c r="S6" s="35" t="n"/>
    </row>
    <row r="7" ht="12.75" customHeight="1"/>
    <row r="8" ht="23.25" customHeight="1">
      <c r="B8" s="38" t="n"/>
    </row>
    <row r="9" ht="112.35" customFormat="1" customHeight="1" s="21">
      <c r="A9" s="43" t="n"/>
      <c r="B9" s="159" t="inlineStr">
        <is>
          <t>STEP 3:
a) Make inquiries of inviduals involved in the financial reporting process about inappropriate or unusual activity relating the processing of journal entries and other adjustments (ISA 240.33.a.i)
b) Assess the risk of a material misstatement due to fraud
c) Determine the 'end reporting the period'
d) Select and test journal entries and other adjustments made at the end of a reporting period and consider the need to select and test journal entries and other adjustments throughout the period (ISA 240.33.a.ii&amp;iii)</t>
        </is>
      </c>
      <c r="I9" s="93" t="n"/>
      <c r="J9" s="93" t="n"/>
      <c r="K9" s="93" t="n"/>
      <c r="L9" s="93" t="n"/>
      <c r="M9" s="93" t="n"/>
      <c r="N9" s="43" t="n"/>
      <c r="O9" s="43" t="n"/>
      <c r="P9" s="43" t="n"/>
      <c r="Q9" s="43" t="n"/>
      <c r="R9" s="43" t="n"/>
      <c r="S9" s="44" t="n"/>
      <c r="T9" s="43" t="n"/>
    </row>
    <row r="10" ht="14.1" customHeight="1">
      <c r="B10" s="14" t="n"/>
      <c r="C10" s="14" t="n"/>
      <c r="D10" s="14" t="n"/>
      <c r="E10" s="14" t="n"/>
      <c r="F10" s="14" t="n"/>
      <c r="G10" s="14" t="n"/>
      <c r="H10" s="14" t="n"/>
      <c r="I10" s="14" t="n"/>
      <c r="J10" s="14" t="n"/>
    </row>
    <row r="11" ht="18" customHeight="1">
      <c r="A11" s="7" t="inlineStr">
        <is>
          <t>3a.</t>
        </is>
      </c>
      <c r="B11" s="242" t="inlineStr">
        <is>
          <t>Inquiry of management</t>
        </is>
      </c>
      <c r="C11" s="243" t="n"/>
      <c r="D11" s="243" t="n"/>
      <c r="E11" s="243" t="n"/>
      <c r="F11" s="243" t="n"/>
      <c r="G11" s="243" t="n"/>
      <c r="H11" s="244" t="n"/>
      <c r="I11" s="14" t="n"/>
      <c r="J11" s="14" t="n"/>
    </row>
    <row r="12" ht="14.1" customHeight="1">
      <c r="B12" s="46" t="n"/>
      <c r="H12" s="47" t="n"/>
      <c r="I12" s="14" t="n"/>
      <c r="J12" s="14" t="n"/>
    </row>
    <row r="13" ht="55" customHeight="1">
      <c r="B13" s="245" t="inlineStr">
        <is>
          <t>재무보고 과정에 관여하는 [재무팀장/회계담당자 성명·직위 입력]에게 분개처리 관련 부적절·비경상 활동에 대해 질문함. 질문 결과 부적절한 분개나 경영진의 통제 무력화 정황은 파악되지 않았으며, 결산·감사조정분개는 재무팀 검토 및 본사(VF) 보고체계를 거침을 확인함.</t>
        </is>
      </c>
      <c r="C13" s="246" t="n"/>
      <c r="D13" s="246" t="n"/>
      <c r="E13" s="246" t="n"/>
      <c r="F13" s="246" t="n"/>
      <c r="G13" s="246" t="n"/>
      <c r="H13" s="247" t="n"/>
      <c r="I13" s="14" t="n"/>
      <c r="J13" s="14" t="n"/>
    </row>
    <row r="14" ht="14.1" customHeight="1">
      <c r="B14" s="14" t="n"/>
      <c r="C14" s="14" t="n"/>
      <c r="D14" s="14" t="n"/>
      <c r="E14" s="14" t="n"/>
      <c r="F14" s="14" t="n"/>
      <c r="G14" s="14" t="n"/>
      <c r="H14" s="14" t="n"/>
      <c r="I14" s="14" t="n"/>
      <c r="J14" s="14" t="n"/>
    </row>
    <row r="15" ht="13.7" customHeight="1">
      <c r="A15" s="7" t="inlineStr">
        <is>
          <t>3b.</t>
        </is>
      </c>
      <c r="B15" s="242" t="inlineStr">
        <is>
          <t>Assessment of risks of material misstatement due to fraud
In addition to inquiry as noted in points 3.a above, the engagement team is required to assess the risks of material misstatement due to fraud.
Should the engagement team identify fraud risk factors or gather other relevant information during their assessment, the engagement team should make reference to the respective working papers and make use of such information to identify specific classes of journal entries and other adjustments for the purpose of more specific testing. 
Where there is no indication of any fraud risk factors and the engagement did not come across other particular information to point them towards any inappropriate or unusual activity, please state so and proceed to perform other designed audit procedures for the purpose of this working paper template.</t>
        </is>
      </c>
      <c r="C15" s="243" t="n"/>
      <c r="D15" s="243" t="n"/>
      <c r="E15" s="243" t="n"/>
      <c r="F15" s="243" t="n"/>
      <c r="G15" s="243" t="n"/>
      <c r="H15" s="244" t="n"/>
      <c r="I15" s="14" t="n"/>
      <c r="J15" s="14" t="n"/>
    </row>
    <row r="16" ht="14.1" customHeight="1">
      <c r="B16" s="248" t="inlineStr">
        <is>
          <t>In addition to inquiry as noted in points 3.a above, the engagement team is required to assess the risks of material misstatement due to fraud.
Should the engagement team identify fraud risk factors or gather other relevant information during their assessment, the engagement team should make reference to the respective working papers and make use of such information to identify specific classes of journal entries and other adjustments for the purpose of more specific testing. 
Where there is no indication of any fraud risk factors and the engagement did not come across other particular information to point them towards any inappropriate or unusual activity, please state so and proceed to perform other designed audit procedures for the purpose of this working paper template.</t>
        </is>
      </c>
      <c r="C16" s="214" t="n"/>
      <c r="D16" s="214" t="n"/>
      <c r="E16" s="214" t="n"/>
      <c r="F16" s="214" t="n"/>
      <c r="G16" s="214" t="n"/>
      <c r="H16" s="249" t="n"/>
      <c r="I16" s="14" t="n"/>
      <c r="J16" s="14" t="n"/>
    </row>
    <row r="17" ht="101.25" customHeight="1">
      <c r="B17" s="250" t="n"/>
      <c r="C17" s="214" t="n"/>
      <c r="D17" s="214" t="n"/>
      <c r="E17" s="214" t="n"/>
      <c r="F17" s="214" t="n"/>
      <c r="G17" s="214" t="n"/>
      <c r="H17" s="249" t="n"/>
      <c r="I17" s="14" t="n"/>
      <c r="J17" s="14" t="n"/>
    </row>
    <row r="18" ht="15" customHeight="1">
      <c r="B18" s="251" t="inlineStr">
        <is>
          <t>부정위험평가 조서 / WTB Adj_2026(감사조정 명세) 참조</t>
        </is>
      </c>
      <c r="C18" s="252" t="n"/>
      <c r="D18" s="252" t="n"/>
      <c r="E18" s="252" t="n"/>
      <c r="F18" s="252" t="n"/>
      <c r="G18" s="252" t="n"/>
      <c r="H18" s="253" t="n"/>
      <c r="I18" s="14" t="n"/>
      <c r="J18" s="14" t="n"/>
    </row>
    <row r="19" ht="15" customHeight="1">
      <c r="B19" s="102" t="n"/>
      <c r="C19" s="102" t="n"/>
      <c r="D19" s="102" t="n"/>
      <c r="E19" s="102" t="n"/>
      <c r="F19" s="102" t="n"/>
      <c r="G19" s="102" t="n"/>
      <c r="H19" s="102" t="n"/>
      <c r="I19" s="14" t="n"/>
      <c r="J19" s="14" t="n"/>
    </row>
    <row r="20" ht="13.7" customHeight="1">
      <c r="B20" s="14" t="n"/>
      <c r="C20" s="14" t="n"/>
      <c r="D20" s="14" t="n"/>
      <c r="E20" s="14" t="n"/>
      <c r="F20" s="14" t="n"/>
      <c r="G20" s="14" t="n"/>
      <c r="H20" s="14" t="n"/>
      <c r="I20" s="14" t="n"/>
      <c r="J20" s="14" t="n"/>
    </row>
    <row r="21" ht="18" customHeight="1">
      <c r="A21" s="7" t="inlineStr">
        <is>
          <t>3c.</t>
        </is>
      </c>
      <c r="B21" s="242" t="inlineStr">
        <is>
          <t xml:space="preserve">Determine the 'end of a reporting period' </t>
        </is>
      </c>
      <c r="C21" s="243" t="n"/>
      <c r="D21" s="243" t="n"/>
      <c r="E21" s="243" t="n"/>
      <c r="F21" s="243" t="n"/>
      <c r="G21" s="243" t="n"/>
      <c r="H21" s="244" t="n"/>
      <c r="I21" s="14" t="n"/>
      <c r="J21" s="14" t="n"/>
    </row>
    <row r="22" ht="15.75" customHeight="1">
      <c r="B22" s="90" t="inlineStr">
        <is>
          <t>There may be more than one reporting period. If this is the case, expand rows 28 to 39 and complete the information where appropriate.</t>
        </is>
      </c>
      <c r="C22" s="91" t="n"/>
      <c r="D22" s="91" t="n"/>
      <c r="E22" s="91" t="n"/>
      <c r="F22" s="91" t="n"/>
      <c r="G22" s="91" t="n"/>
      <c r="H22" s="82" t="n"/>
      <c r="I22" s="14" t="n"/>
      <c r="J22" s="14" t="n"/>
    </row>
    <row r="23" ht="14.45" customHeight="1">
      <c r="B23" s="83" t="n"/>
      <c r="H23" s="84" t="n"/>
      <c r="I23" s="14" t="n"/>
      <c r="J23" s="14" t="n"/>
    </row>
    <row r="24" ht="19.7" customHeight="1">
      <c r="B24" s="92" t="inlineStr">
        <is>
          <t>Year-end reporting</t>
        </is>
      </c>
      <c r="C24" s="24" t="n"/>
      <c r="D24" s="24" t="n"/>
      <c r="E24" s="14" t="n"/>
      <c r="F24" s="14" t="n"/>
      <c r="G24" s="14" t="n"/>
      <c r="H24" s="84" t="n"/>
      <c r="I24" s="14" t="n"/>
      <c r="J24" s="14" t="n"/>
    </row>
    <row r="25" ht="15" customHeight="1">
      <c r="B25" s="85" t="inlineStr">
        <is>
          <t>Start date</t>
        </is>
      </c>
      <c r="C25" s="213" t="inlineStr">
        <is>
          <t>2025-05-01</t>
        </is>
      </c>
      <c r="D25" s="108" t="n"/>
      <c r="E25" s="14" t="n"/>
      <c r="F25" s="14" t="n"/>
      <c r="G25" s="14" t="n"/>
      <c r="H25" s="84" t="n"/>
      <c r="I25" s="14" t="n"/>
      <c r="J25" s="14" t="n"/>
    </row>
    <row r="26" ht="13.7" customHeight="1">
      <c r="B26" s="85" t="inlineStr">
        <is>
          <t>End date</t>
        </is>
      </c>
      <c r="C26" s="213" t="inlineStr">
        <is>
          <t>2026-04-30</t>
        </is>
      </c>
      <c r="D26" s="108" t="n"/>
      <c r="E26" s="14" t="n"/>
      <c r="F26" s="14" t="n"/>
      <c r="G26" s="14" t="n"/>
      <c r="H26" s="84" t="n"/>
      <c r="I26" s="14" t="n"/>
      <c r="J26" s="14" t="n"/>
    </row>
    <row r="27" ht="13.7" customHeight="1">
      <c r="B27" s="86" t="n"/>
      <c r="C27" s="14" t="n"/>
      <c r="D27" s="14" t="n"/>
      <c r="E27" s="14" t="n"/>
      <c r="F27" s="14" t="n"/>
      <c r="G27" s="14" t="n"/>
      <c r="H27" s="84" t="n"/>
      <c r="I27" s="14" t="n"/>
      <c r="J27" s="14" t="n"/>
    </row>
    <row r="28" outlineLevel="1" ht="15" customHeight="1">
      <c r="B28" s="92" t="inlineStr">
        <is>
          <t>Semi-annual reporting</t>
        </is>
      </c>
      <c r="C28" s="24" t="n"/>
      <c r="D28" s="14" t="n"/>
      <c r="E28" s="14" t="n"/>
      <c r="F28" s="14" t="n"/>
      <c r="G28" s="14" t="n"/>
      <c r="H28" s="84" t="n"/>
      <c r="I28" s="14" t="n"/>
      <c r="J28" s="14" t="n"/>
    </row>
    <row r="29" outlineLevel="1" ht="13.7" customHeight="1">
      <c r="B29" s="85" t="inlineStr">
        <is>
          <t>Start date</t>
        </is>
      </c>
      <c r="C29" s="24" t="n"/>
      <c r="D29" s="108" t="n"/>
      <c r="E29" s="14" t="n"/>
      <c r="F29" s="14" t="n"/>
      <c r="G29" s="14" t="n"/>
      <c r="H29" s="84" t="n"/>
      <c r="I29" s="14" t="n"/>
      <c r="J29" s="14" t="n"/>
    </row>
    <row r="30" outlineLevel="1" ht="13.7" customHeight="1">
      <c r="B30" s="85" t="inlineStr">
        <is>
          <t>End date</t>
        </is>
      </c>
      <c r="C30" s="24" t="n"/>
      <c r="D30" s="108" t="n"/>
      <c r="E30" s="14" t="n"/>
      <c r="F30" s="14" t="n"/>
      <c r="G30" s="14" t="n"/>
      <c r="H30" s="84" t="n"/>
      <c r="I30" s="14" t="n"/>
      <c r="J30" s="14" t="n"/>
    </row>
    <row r="31" outlineLevel="1" ht="13.7" customHeight="1">
      <c r="B31" s="85" t="n"/>
      <c r="C31" s="14" t="n"/>
      <c r="D31" s="14" t="n"/>
      <c r="E31" s="14" t="n"/>
      <c r="F31" s="14" t="n"/>
      <c r="G31" s="14" t="n"/>
      <c r="H31" s="84" t="n"/>
      <c r="I31" s="14" t="n"/>
      <c r="J31" s="14" t="n"/>
    </row>
    <row r="32" outlineLevel="1" ht="13.7" customHeight="1">
      <c r="B32" s="92" t="inlineStr">
        <is>
          <t>Quarter-end reporting</t>
        </is>
      </c>
      <c r="C32" s="14" t="n"/>
      <c r="D32" s="14" t="n"/>
      <c r="E32" s="14" t="n"/>
      <c r="F32" s="14" t="n"/>
      <c r="G32" s="14" t="n"/>
      <c r="H32" s="84" t="n"/>
      <c r="I32" s="14" t="n"/>
      <c r="J32" s="14" t="n"/>
    </row>
    <row r="33" outlineLevel="1" ht="13.7" customHeight="1">
      <c r="B33" s="85" t="inlineStr">
        <is>
          <t>Start date</t>
        </is>
      </c>
      <c r="C33" s="24" t="n"/>
      <c r="D33" s="108" t="n"/>
      <c r="E33" s="14" t="n"/>
      <c r="F33" s="14" t="n"/>
      <c r="G33" s="14" t="n"/>
      <c r="H33" s="84" t="n"/>
      <c r="I33" s="14" t="n"/>
      <c r="J33" s="14" t="n"/>
    </row>
    <row r="34" outlineLevel="1" ht="13.7" customHeight="1">
      <c r="B34" s="85" t="inlineStr">
        <is>
          <t>End date</t>
        </is>
      </c>
      <c r="C34" s="24" t="n"/>
      <c r="D34" s="108" t="n"/>
      <c r="E34" s="14" t="n"/>
      <c r="F34" s="14" t="n"/>
      <c r="G34" s="14" t="n"/>
      <c r="H34" s="84" t="n"/>
      <c r="I34" s="14" t="n"/>
      <c r="J34" s="14" t="n"/>
    </row>
    <row r="35" outlineLevel="1" ht="13.7" customHeight="1">
      <c r="B35" s="85" t="n"/>
      <c r="C35" s="24" t="n"/>
      <c r="D35" s="14" t="n"/>
      <c r="E35" s="14" t="n"/>
      <c r="F35" s="14" t="n"/>
      <c r="G35" s="14" t="n"/>
      <c r="H35" s="84" t="n"/>
      <c r="I35" s="14" t="n"/>
      <c r="J35" s="14" t="n"/>
    </row>
    <row r="36" outlineLevel="1" ht="13.7" customHeight="1">
      <c r="B36" s="92" t="inlineStr">
        <is>
          <t>Month-end reporting</t>
        </is>
      </c>
      <c r="C36" s="14" t="n"/>
      <c r="D36" s="14" t="n"/>
      <c r="E36" s="14" t="n"/>
      <c r="F36" s="14" t="n"/>
      <c r="G36" s="14" t="n"/>
      <c r="H36" s="84" t="n"/>
      <c r="I36" s="14" t="n"/>
      <c r="J36" s="14" t="n"/>
    </row>
    <row r="37" outlineLevel="1" ht="13.7" customHeight="1">
      <c r="B37" s="85" t="inlineStr">
        <is>
          <t>Start date</t>
        </is>
      </c>
      <c r="C37" s="254" t="inlineStr">
        <is>
          <t>매월 1일</t>
        </is>
      </c>
      <c r="D37" s="108" t="n"/>
      <c r="E37" s="14" t="n"/>
      <c r="F37" s="14" t="n"/>
      <c r="G37" s="14" t="n"/>
      <c r="H37" s="84" t="n"/>
      <c r="I37" s="14" t="n"/>
      <c r="J37" s="14" t="n"/>
    </row>
    <row r="38" outlineLevel="1" ht="13.7" customHeight="1">
      <c r="B38" s="85" t="inlineStr">
        <is>
          <t>End date</t>
        </is>
      </c>
      <c r="C38" s="254" t="inlineStr">
        <is>
          <t>매월 말일</t>
        </is>
      </c>
      <c r="D38" s="108" t="n"/>
      <c r="E38" s="14" t="n"/>
      <c r="F38" s="14" t="n"/>
      <c r="G38" s="14" t="n"/>
      <c r="H38" s="84" t="n"/>
      <c r="I38" s="14" t="n"/>
      <c r="J38" s="14" t="n"/>
    </row>
    <row r="39" outlineLevel="1" ht="13.7" customHeight="1">
      <c r="B39" s="85" t="n"/>
      <c r="C39" s="14" t="n"/>
      <c r="D39" s="14" t="n"/>
      <c r="E39" s="14" t="n"/>
      <c r="F39" s="14" t="n"/>
      <c r="G39" s="14" t="n"/>
      <c r="H39" s="84" t="n"/>
      <c r="I39" s="14" t="n"/>
      <c r="J39" s="14" t="n"/>
    </row>
    <row r="40" outlineLevel="1" ht="13.7" customHeight="1">
      <c r="B40" s="85" t="n"/>
      <c r="C40" s="14" t="n"/>
      <c r="D40" s="14" t="n"/>
      <c r="E40" s="14" t="n"/>
      <c r="F40" s="14" t="n"/>
      <c r="G40" s="14" t="n"/>
      <c r="H40" s="84" t="n"/>
      <c r="I40" s="14" t="n"/>
      <c r="J40" s="14" t="n"/>
    </row>
    <row r="41" outlineLevel="1" ht="13.7" customHeight="1">
      <c r="B41" s="85" t="n"/>
      <c r="C41" s="14" t="n"/>
      <c r="D41" s="14" t="n"/>
      <c r="E41" s="14" t="n"/>
      <c r="F41" s="14" t="n"/>
      <c r="G41" s="14" t="n"/>
      <c r="H41" s="84" t="n"/>
      <c r="I41" s="14" t="n"/>
      <c r="J41" s="14" t="n"/>
    </row>
    <row r="42" outlineLevel="1" ht="13.7" customHeight="1">
      <c r="B42" s="85" t="n"/>
      <c r="C42" s="14" t="n"/>
      <c r="D42" s="14" t="n"/>
      <c r="E42" s="14" t="n"/>
      <c r="F42" s="14" t="n"/>
      <c r="G42" s="14" t="n"/>
      <c r="H42" s="84" t="n"/>
      <c r="I42" s="14" t="n"/>
      <c r="J42" s="14" t="n"/>
    </row>
    <row r="43" outlineLevel="1" ht="13.7" customHeight="1">
      <c r="B43" s="85" t="n"/>
      <c r="C43" s="14" t="n"/>
      <c r="D43" s="14" t="n"/>
      <c r="E43" s="14" t="n"/>
      <c r="F43" s="14" t="n"/>
      <c r="G43" s="14" t="n"/>
      <c r="H43" s="84" t="n"/>
      <c r="I43" s="14" t="n"/>
      <c r="J43" s="14" t="n"/>
    </row>
    <row r="44" outlineLevel="1" ht="13.7" customHeight="1">
      <c r="B44" s="85" t="n"/>
      <c r="C44" s="14" t="n"/>
      <c r="D44" s="14" t="n"/>
      <c r="E44" s="14" t="n"/>
      <c r="F44" s="14" t="n"/>
      <c r="G44" s="14" t="n"/>
      <c r="H44" s="84" t="n"/>
      <c r="I44" s="14" t="n"/>
      <c r="J44" s="14" t="n"/>
    </row>
    <row r="45" ht="13.7" customHeight="1">
      <c r="B45" s="87" t="n"/>
      <c r="C45" s="88" t="n"/>
      <c r="D45" s="88" t="n"/>
      <c r="E45" s="88" t="n"/>
      <c r="F45" s="88" t="n"/>
      <c r="G45" s="88" t="n"/>
      <c r="H45" s="89" t="n"/>
      <c r="I45" s="14" t="n"/>
      <c r="J45" s="14" t="n"/>
    </row>
    <row r="46" ht="13.7" customHeight="1">
      <c r="C46" s="14" t="n"/>
      <c r="D46" s="14" t="n"/>
      <c r="E46" s="14" t="n"/>
      <c r="F46" s="14" t="n"/>
      <c r="G46" s="14" t="n"/>
      <c r="H46" s="14" t="n"/>
      <c r="I46" s="14" t="n"/>
      <c r="J46" s="14" t="n"/>
    </row>
    <row r="47" ht="15.75" customFormat="1" customHeight="1" s="19">
      <c r="A47" s="7" t="inlineStr">
        <is>
          <t>3d.</t>
        </is>
      </c>
      <c r="B47" s="103" t="inlineStr">
        <is>
          <t xml:space="preserve"> Select and test journal entries and other adjustments made at the end of a reporting period and consider the need to select and test journal entries and other adjustments throughout the period (ISA 240.33.a.ii&amp;iii)</t>
        </is>
      </c>
    </row>
    <row r="48" ht="12.75" customFormat="1" customHeight="1" s="19"/>
    <row r="49" ht="15" customFormat="1" customHeight="1" s="19">
      <c r="B49" s="158" t="inlineStr">
        <is>
          <t>Population of journal entries and other adjustments made at the end of a reporting period and throughout the period (ISA 240.33.a.ii&amp;iii)</t>
        </is>
      </c>
      <c r="C49" s="214" t="n"/>
      <c r="D49" s="214" t="n"/>
      <c r="E49" s="214" t="n"/>
      <c r="F49" s="214" t="n"/>
      <c r="G49" s="214" t="n"/>
      <c r="H49" s="214" t="n"/>
      <c r="I49" s="214" t="n"/>
      <c r="J49" s="214" t="n"/>
    </row>
    <row r="50" ht="15" customFormat="1" customHeight="1" s="19">
      <c r="B50" s="81" t="inlineStr">
        <is>
          <t xml:space="preserve">We selected journal entries and other adjustments from the population per Step 3 for testing based on the characteristics identified below </t>
        </is>
      </c>
      <c r="I50" s="14" t="n"/>
    </row>
    <row r="51" ht="27.6" customFormat="1" customHeight="1" s="19">
      <c r="B51" s="71" t="n"/>
      <c r="C51" s="59" t="n"/>
      <c r="D51" s="59" t="n"/>
      <c r="E51" s="59" t="n"/>
      <c r="F51" s="59" t="n"/>
      <c r="G51" s="59" t="n"/>
      <c r="H51" s="183" t="inlineStr">
        <is>
          <t>Refer to "Decision Tree - step 3" tab for more details</t>
        </is>
      </c>
      <c r="I51" s="255" t="n"/>
      <c r="J51" s="255" t="n"/>
      <c r="K51" s="256" t="n"/>
      <c r="L51" s="73" t="n"/>
    </row>
    <row r="52" ht="46.7" customFormat="1" customHeight="1" s="19" thickBot="1">
      <c r="B52" s="80" t="n"/>
      <c r="C52" s="53" t="n"/>
      <c r="D52" s="53" t="n"/>
      <c r="E52" s="53" t="n"/>
      <c r="F52" s="53" t="n"/>
      <c r="G52" s="53" t="n"/>
      <c r="I52" s="132" t="inlineStr">
        <is>
          <t>If yes</t>
        </is>
      </c>
      <c r="J52" s="181" t="inlineStr">
        <is>
          <t>If no</t>
        </is>
      </c>
      <c r="K52" s="255" t="n"/>
      <c r="L52" s="74" t="n"/>
    </row>
    <row r="53" ht="101.45" customFormat="1" customHeight="1" s="19">
      <c r="B53" s="257" t="inlineStr">
        <is>
          <t xml:space="preserve">Fraud risk criteria </t>
        </is>
      </c>
      <c r="C53" s="258" t="n"/>
      <c r="D53" s="259" t="inlineStr">
        <is>
          <t xml:space="preserve">Justify the selection of the fraud risk criteria </t>
        </is>
      </c>
      <c r="E53" s="258" t="n"/>
      <c r="F53" s="260" t="inlineStr">
        <is>
          <t xml:space="preserve">Limited to JE and adjustments made at the end of a reporting period? (Yes/No + why)
</t>
        </is>
      </c>
      <c r="G53" s="258" t="n"/>
      <c r="H53" s="124" t="inlineStr">
        <is>
          <t>Do you think you have false positives in your selection? (entries which you do not consider to be fraud risk related?) 
(Yes/No)</t>
        </is>
      </c>
      <c r="I53" s="130" t="inlineStr">
        <is>
          <t>Justify why the criteria used are not indicative for a fraud risk.</t>
        </is>
      </c>
      <c r="J53" s="119" t="inlineStr">
        <is>
          <t>Is the individual JE already explicitly tested in the normal course of the audit? 
If yes -&gt; no further procedures required
If no -&gt; test ALL identified JE below</t>
        </is>
      </c>
      <c r="K53" s="131" t="inlineStr">
        <is>
          <t>Reference to testing procedures in the normal course of the audit.</t>
        </is>
      </c>
      <c r="P53" s="27" t="n"/>
    </row>
    <row r="54" ht="34" customFormat="1" customHeight="1" s="48">
      <c r="B54" s="261" t="inlineStr">
        <is>
          <t>① 기말/결산시점 수기 결산·재분류·감사조정 분개(계정 대체·reclass)</t>
        </is>
      </c>
      <c r="C54" s="225" t="n"/>
      <c r="D54" s="262" t="inlineStr">
        <is>
          <t>결산·감사조정 과정에서 경영진 판단 개입으로 통제 무력화 위험이 높음</t>
        </is>
      </c>
      <c r="E54" s="225" t="n"/>
      <c r="F54" s="263" t="inlineStr">
        <is>
          <t>Yes</t>
        </is>
      </c>
      <c r="G54" s="177" t="n"/>
      <c r="H54" s="264" t="inlineStr">
        <is>
          <t>No</t>
        </is>
      </c>
      <c r="I54" s="265" t="inlineStr"/>
      <c r="J54" s="262" t="inlineStr">
        <is>
          <t>일부는 관련 계정 실증절차에서 테스트 → 미테스트 항목 전수 테스트</t>
        </is>
      </c>
      <c r="K54" s="125" t="n"/>
      <c r="L54" s="19" t="n"/>
      <c r="M54" s="19" t="n"/>
      <c r="N54" s="19" t="n"/>
      <c r="O54" s="19" t="n"/>
    </row>
    <row r="55" ht="34" customFormat="1" customHeight="1" s="48">
      <c r="B55" s="261" t="inlineStr">
        <is>
          <t>② 비경상·미사용(seldom-used) 계정 분개(전기오류수정·유형자산처분손실·파생상품손실·영업권 등)</t>
        </is>
      </c>
      <c r="C55" s="225" t="n"/>
      <c r="D55" s="262" t="inlineStr">
        <is>
          <t>사용빈도 극히 낮은 계정은 비정상 분개 은닉 통로 가능</t>
        </is>
      </c>
      <c r="E55" s="225" t="n"/>
      <c r="F55" s="263" t="inlineStr">
        <is>
          <t>No</t>
        </is>
      </c>
      <c r="G55" s="177" t="n"/>
      <c r="H55" s="264" t="inlineStr">
        <is>
          <t>No</t>
        </is>
      </c>
      <c r="I55" s="265" t="inlineStr"/>
      <c r="J55" s="262" t="inlineStr">
        <is>
          <t>No → 식별 분개 전수 테스트</t>
        </is>
      </c>
      <c r="K55" s="125" t="n"/>
      <c r="L55" s="19" t="n"/>
      <c r="M55" s="19" t="n"/>
      <c r="N55" s="19" t="n"/>
      <c r="O55" s="19" t="n"/>
    </row>
    <row r="56" ht="34" customFormat="1" customHeight="1" s="48">
      <c r="B56" s="261" t="inlineStr">
        <is>
          <t>③ 임시·미결산 성격 계정(잡손실·잡이익) 대체분개</t>
        </is>
      </c>
      <c r="C56" s="225" t="n"/>
      <c r="D56" s="262" t="inlineStr">
        <is>
          <t>손익 조정 목적의 임시계정 이용 가능성</t>
        </is>
      </c>
      <c r="E56" s="225" t="n"/>
      <c r="F56" s="263" t="inlineStr">
        <is>
          <t>No</t>
        </is>
      </c>
      <c r="G56" s="177" t="n"/>
      <c r="H56" s="264" t="inlineStr">
        <is>
          <t>No</t>
        </is>
      </c>
      <c r="I56" s="265" t="inlineStr"/>
      <c r="J56" s="262" t="inlineStr">
        <is>
          <t>No → 식별 분개 전수 테스트</t>
        </is>
      </c>
      <c r="K56" s="125" t="n"/>
      <c r="L56" s="19" t="n"/>
      <c r="M56" s="19" t="n"/>
      <c r="N56" s="19" t="n"/>
      <c r="O56" s="19" t="n"/>
    </row>
    <row r="57" ht="34" customFormat="1" customHeight="1" s="48">
      <c r="B57" s="261" t="inlineStr">
        <is>
          <t>④ 매출/VFF·충당금 등 유의계정 기말 조정분개</t>
        </is>
      </c>
      <c r="C57" s="225" t="n"/>
      <c r="D57" s="262" t="inlineStr">
        <is>
          <t>수익인식·추정치 조작 위험(ISA 240)</t>
        </is>
      </c>
      <c r="E57" s="225" t="n"/>
      <c r="F57" s="263" t="inlineStr">
        <is>
          <t>Yes</t>
        </is>
      </c>
      <c r="G57" s="177" t="n"/>
      <c r="H57" s="264" t="inlineStr">
        <is>
          <t>No</t>
        </is>
      </c>
      <c r="I57" s="265" t="inlineStr"/>
      <c r="J57" s="262" t="inlineStr">
        <is>
          <t>회계추정치 조서(B1-3·C-4·Tax·N2)와 연계 테스트</t>
        </is>
      </c>
      <c r="K57" s="125" t="n"/>
      <c r="L57" s="19" t="n"/>
      <c r="M57" s="19" t="n"/>
      <c r="N57" s="19" t="n"/>
      <c r="O57" s="19" t="n"/>
    </row>
    <row r="58" ht="15" customFormat="1" customHeight="1" s="48">
      <c r="B58" s="176" t="n"/>
      <c r="C58" s="225" t="n"/>
      <c r="D58" s="177" t="n"/>
      <c r="E58" s="225" t="n"/>
      <c r="F58" s="177" t="n"/>
      <c r="G58" s="177" t="n"/>
      <c r="H58" s="113" t="n"/>
      <c r="I58" s="114" t="n"/>
      <c r="J58" s="177" t="n"/>
      <c r="K58" s="125" t="n"/>
      <c r="L58" s="19" t="n"/>
      <c r="M58" s="19" t="n"/>
      <c r="N58" s="19" t="n"/>
      <c r="O58" s="19" t="n"/>
    </row>
    <row r="59" ht="15" customFormat="1" customHeight="1" s="48">
      <c r="B59" s="176" t="n"/>
      <c r="C59" s="225" t="n"/>
      <c r="D59" s="177" t="n"/>
      <c r="E59" s="225" t="n"/>
      <c r="F59" s="177" t="n"/>
      <c r="G59" s="177" t="n"/>
      <c r="H59" s="113" t="n"/>
      <c r="I59" s="114" t="n"/>
      <c r="J59" s="177" t="n"/>
      <c r="K59" s="125" t="n"/>
      <c r="L59" s="19" t="n"/>
      <c r="M59" s="19" t="n"/>
      <c r="N59" s="19" t="n"/>
      <c r="O59" s="19" t="n"/>
    </row>
    <row r="60" ht="15" customFormat="1" customHeight="1" s="48">
      <c r="B60" s="176" t="n"/>
      <c r="C60" s="225" t="n"/>
      <c r="D60" s="177" t="n"/>
      <c r="E60" s="225" t="n"/>
      <c r="F60" s="177" t="n"/>
      <c r="G60" s="177" t="n"/>
      <c r="H60" s="113" t="n"/>
      <c r="I60" s="114" t="n"/>
      <c r="J60" s="177" t="n"/>
      <c r="K60" s="125" t="n"/>
      <c r="L60" s="19" t="n"/>
      <c r="M60" s="19" t="n"/>
      <c r="N60" s="19" t="n"/>
      <c r="O60" s="19" t="n"/>
    </row>
    <row r="61" ht="15" customFormat="1" customHeight="1" s="48">
      <c r="B61" s="176" t="n"/>
      <c r="C61" s="225" t="n"/>
      <c r="D61" s="177" t="n"/>
      <c r="E61" s="225" t="n"/>
      <c r="F61" s="177" t="n"/>
      <c r="G61" s="177" t="n"/>
      <c r="H61" s="113" t="n"/>
      <c r="I61" s="114" t="n"/>
      <c r="J61" s="177" t="n"/>
      <c r="K61" s="125" t="n"/>
      <c r="L61" s="19" t="n"/>
      <c r="M61" s="19" t="n"/>
      <c r="N61" s="19" t="n"/>
      <c r="O61" s="19" t="n"/>
    </row>
    <row r="62" ht="15" customFormat="1" customHeight="1" s="48">
      <c r="B62" s="176" t="n"/>
      <c r="C62" s="225" t="n"/>
      <c r="D62" s="177" t="n"/>
      <c r="E62" s="225" t="n"/>
      <c r="F62" s="177" t="n"/>
      <c r="G62" s="177" t="n"/>
      <c r="H62" s="113" t="n"/>
      <c r="I62" s="114" t="n"/>
      <c r="J62" s="177" t="n"/>
      <c r="K62" s="125" t="n"/>
      <c r="L62" s="19" t="n"/>
      <c r="M62" s="19" t="n"/>
      <c r="N62" s="19" t="n"/>
      <c r="O62" s="19" t="n"/>
    </row>
    <row r="63" ht="15.75" customFormat="1" customHeight="1" s="48" thickBot="1">
      <c r="B63" s="200" t="n"/>
      <c r="C63" s="266" t="n"/>
      <c r="D63" s="201" t="n"/>
      <c r="E63" s="266" t="n"/>
      <c r="F63" s="201" t="n"/>
      <c r="G63" s="201" t="n"/>
      <c r="H63" s="127" t="n"/>
      <c r="I63" s="128" t="n"/>
      <c r="J63" s="201" t="n"/>
      <c r="K63" s="129" t="n"/>
      <c r="L63" s="19" t="n"/>
      <c r="M63" s="19" t="n"/>
      <c r="N63" s="19" t="n"/>
      <c r="O63" s="19" t="n"/>
    </row>
    <row r="64" ht="12.75" customFormat="1" customHeight="1" s="19"/>
    <row r="65" ht="12.75" customFormat="1" customHeight="1" s="19"/>
    <row r="66" ht="13.7" customFormat="1" customHeight="1" s="19">
      <c r="A66" s="28" t="n"/>
      <c r="B66" s="60" t="n"/>
      <c r="C66" s="60" t="n"/>
      <c r="D66" s="61" t="n"/>
      <c r="E66" s="61" t="n"/>
      <c r="F66" s="60" t="n"/>
      <c r="G66" s="60" t="n"/>
      <c r="H66" s="60" t="n"/>
      <c r="I66" s="60" t="n"/>
      <c r="J66" s="60" t="n"/>
      <c r="K66" s="62" t="n"/>
      <c r="M66" s="62" t="n"/>
      <c r="N66" s="62" t="n"/>
      <c r="O66" s="62" t="n"/>
      <c r="P66" s="62" t="n"/>
      <c r="Q66" s="62" t="n"/>
    </row>
    <row r="67" ht="14.1" customFormat="1" customHeight="1" s="19">
      <c r="A67" s="28" t="n"/>
      <c r="B67" s="60" t="n"/>
      <c r="C67" s="60" t="n"/>
      <c r="D67" s="61" t="n"/>
      <c r="E67" s="61" t="n"/>
      <c r="F67" s="60" t="n"/>
      <c r="G67" s="60" t="n"/>
      <c r="H67" s="60" t="n"/>
      <c r="I67" s="60" t="n"/>
      <c r="J67" s="60" t="n"/>
      <c r="K67" s="62" t="n"/>
      <c r="L67" s="62" t="n"/>
      <c r="M67" s="62" t="n"/>
      <c r="N67" s="62" t="n"/>
      <c r="O67" s="62" t="n"/>
      <c r="P67" s="62" t="n"/>
      <c r="Q67" s="62" t="n"/>
    </row>
    <row r="68" ht="21" customFormat="1" customHeight="1" s="66">
      <c r="A68" s="63" t="n"/>
      <c r="B68" s="64" t="inlineStr">
        <is>
          <t>Document results of journal entries and other adjustments testing</t>
        </is>
      </c>
      <c r="C68" s="65" t="n"/>
      <c r="D68" s="65" t="n"/>
      <c r="E68" s="65" t="n"/>
      <c r="F68" s="65" t="n"/>
      <c r="G68" s="65" t="n"/>
    </row>
    <row r="69" ht="14.1" customFormat="1" customHeight="1" s="19" thickBot="1">
      <c r="A69" s="28" t="n"/>
      <c r="B69" s="60" t="n"/>
      <c r="C69" s="60" t="n"/>
      <c r="D69" s="61" t="n"/>
      <c r="E69" s="61" t="n"/>
      <c r="F69" s="60" t="n"/>
      <c r="G69" s="60" t="n"/>
      <c r="H69" s="60" t="n"/>
      <c r="I69" s="60" t="n"/>
      <c r="J69" s="60" t="n"/>
      <c r="K69" s="62" t="n"/>
      <c r="L69" s="62" t="n"/>
      <c r="M69" s="62" t="n"/>
      <c r="N69" s="62" t="n"/>
      <c r="O69" s="62" t="n"/>
      <c r="P69" s="62" t="n"/>
      <c r="Q69" s="62" t="n"/>
    </row>
    <row r="70" ht="19.5" customHeight="1" thickBot="1">
      <c r="B70" s="72" t="inlineStr">
        <is>
          <t>Entries identified in Step 3</t>
        </is>
      </c>
      <c r="I70" s="267" t="inlineStr">
        <is>
          <t>In case exeptions are noted:</t>
        </is>
      </c>
      <c r="J70" s="223" t="n"/>
      <c r="K70" s="223" t="n"/>
      <c r="L70" s="223" t="n"/>
      <c r="M70" s="268" t="n"/>
    </row>
    <row r="71" ht="57.95" customFormat="1" customHeight="1" s="10">
      <c r="A71" s="12" t="n"/>
      <c r="B71" s="178" t="inlineStr">
        <is>
          <t>Date of journal / adjustment</t>
        </is>
      </c>
      <c r="C71" s="160" t="inlineStr">
        <is>
          <t>Booking reference</t>
        </is>
      </c>
      <c r="D71" s="160" t="inlineStr">
        <is>
          <t>Type of journal / adjustment</t>
        </is>
      </c>
      <c r="E71" s="160" t="inlineStr">
        <is>
          <t xml:space="preserve">Description of transaction
 </t>
        </is>
      </c>
      <c r="F71" s="160" t="inlineStr">
        <is>
          <t xml:space="preserve">Amount
</t>
        </is>
      </c>
      <c r="G71" s="160" t="inlineStr">
        <is>
          <t>Reference to supporting documentation</t>
        </is>
      </c>
      <c r="H71" s="160" t="inlineStr">
        <is>
          <t>Exception noted?
(Yes/No)</t>
        </is>
      </c>
      <c r="I71" s="160" t="inlineStr">
        <is>
          <t>Preparer / 
Date of preparation</t>
        </is>
      </c>
      <c r="J71" s="160" t="inlineStr">
        <is>
          <t>Reviewer /
Date of review</t>
        </is>
      </c>
      <c r="K71" s="160" t="inlineStr">
        <is>
          <t>Approver / 
Date of approval</t>
        </is>
      </c>
      <c r="L71" s="160" t="inlineStr">
        <is>
          <t>Individual who posts to GL/ 
Date of posting</t>
        </is>
      </c>
      <c r="M71" s="186" t="inlineStr">
        <is>
          <t>Follow up</t>
        </is>
      </c>
    </row>
    <row r="72" ht="26" customFormat="1" customHeight="1" s="19">
      <c r="A72" s="18" t="n"/>
      <c r="B72" s="269" t="inlineStr">
        <is>
          <t>2026-04-30</t>
        </is>
      </c>
      <c r="C72" s="270" t="inlineStr">
        <is>
          <t>-</t>
        </is>
      </c>
      <c r="D72" s="262" t="inlineStr">
        <is>
          <t>감사조정</t>
        </is>
      </c>
      <c r="E72" s="262" t="inlineStr">
        <is>
          <t>(800000)VFF model income — FY26 감사조정_VFF Reclass(영업외→판관)</t>
        </is>
      </c>
      <c r="F72" s="271" t="n">
        <v>34966850055</v>
      </c>
      <c r="G72" s="262" t="inlineStr">
        <is>
          <t>WTB Adj_2026 / Tax .1</t>
        </is>
      </c>
      <c r="H72" s="272" t="inlineStr">
        <is>
          <t>No</t>
        </is>
      </c>
      <c r="I72" s="111" t="n"/>
      <c r="J72" s="141" t="n"/>
      <c r="K72" s="111" t="n"/>
      <c r="L72" s="111" t="n"/>
      <c r="M72" s="142" t="n"/>
    </row>
    <row r="73" ht="26" customFormat="1" customHeight="1" s="19">
      <c r="A73" s="18" t="n"/>
      <c r="B73" s="269" t="inlineStr">
        <is>
          <t>2026-04-30</t>
        </is>
      </c>
      <c r="C73" s="270" t="inlineStr">
        <is>
          <t>-</t>
        </is>
      </c>
      <c r="D73" s="262" t="inlineStr">
        <is>
          <t>결산(제거)</t>
        </is>
      </c>
      <c r="E73" s="262" t="inlineStr">
        <is>
          <t>(185510)ROU Asset Accum — FY26 US 리스분개 제거분개</t>
        </is>
      </c>
      <c r="F73" s="271" t="n">
        <v>7984693312</v>
      </c>
      <c r="G73" s="262" t="inlineStr">
        <is>
          <t>리스 조서</t>
        </is>
      </c>
      <c r="H73" s="272" t="inlineStr">
        <is>
          <t>No</t>
        </is>
      </c>
      <c r="I73" s="111" t="n"/>
      <c r="J73" s="141" t="n"/>
      <c r="K73" s="111" t="n"/>
      <c r="L73" s="111" t="n"/>
      <c r="M73" s="142" t="n"/>
    </row>
    <row r="74" ht="26" customFormat="1" customHeight="1" s="19">
      <c r="A74" s="18" t="n"/>
      <c r="B74" s="269" t="inlineStr">
        <is>
          <t>2026-04-30</t>
        </is>
      </c>
      <c r="C74" s="270" t="inlineStr">
        <is>
          <t>-</t>
        </is>
      </c>
      <c r="D74" s="262" t="inlineStr">
        <is>
          <t>감사조정</t>
        </is>
      </c>
      <c r="E74" s="262" t="inlineStr">
        <is>
          <t>지급수수료_기타(KR) — FY25 감사조정_DCE 재분류(영업외→판관)</t>
        </is>
      </c>
      <c r="F74" s="271" t="n">
        <v>225732726</v>
      </c>
      <c r="G74" s="262" t="inlineStr">
        <is>
          <t>WTB Adj_2026</t>
        </is>
      </c>
      <c r="H74" s="272" t="inlineStr">
        <is>
          <t>No</t>
        </is>
      </c>
      <c r="I74" s="111" t="n"/>
      <c r="J74" s="141" t="n"/>
      <c r="K74" s="111" t="n"/>
      <c r="L74" s="111" t="n"/>
      <c r="M74" s="142" t="n"/>
    </row>
    <row r="75" ht="26" customFormat="1" customHeight="1" s="19">
      <c r="A75" s="18" t="n"/>
      <c r="B75" s="269" t="inlineStr">
        <is>
          <t>2026-04-30</t>
        </is>
      </c>
      <c r="C75" s="270" t="inlineStr">
        <is>
          <t>-</t>
        </is>
      </c>
      <c r="D75" s="262" t="inlineStr">
        <is>
          <t>감사조정</t>
        </is>
      </c>
      <c r="E75" s="262" t="inlineStr">
        <is>
          <t>수선비(KR) — FY26 감사조정_수선비·포장비(원가→판관)</t>
        </is>
      </c>
      <c r="F75" s="271" t="n">
        <v>150897377</v>
      </c>
      <c r="G75" s="262" t="inlineStr">
        <is>
          <t>WTB Adj_2026</t>
        </is>
      </c>
      <c r="H75" s="272" t="inlineStr">
        <is>
          <t>No</t>
        </is>
      </c>
      <c r="I75" s="111" t="n"/>
      <c r="J75" s="141" t="n"/>
      <c r="K75" s="111" t="n"/>
      <c r="L75" s="111" t="n"/>
      <c r="M75" s="142" t="n"/>
    </row>
    <row r="76" ht="26" customFormat="1" customHeight="1" s="19">
      <c r="A76" s="18" t="n"/>
      <c r="B76" s="269" t="inlineStr">
        <is>
          <t>2025-05-31</t>
        </is>
      </c>
      <c r="C76" s="270" t="inlineStr">
        <is>
          <t>-</t>
        </is>
      </c>
      <c r="D76" s="262" t="inlineStr">
        <is>
          <t>수기(비경상)</t>
        </is>
      </c>
      <c r="E76" s="262" t="inlineStr">
        <is>
          <t>(730051)파생상품거래손실 — NFD Hedge 5월</t>
        </is>
      </c>
      <c r="F76" s="271" t="n">
        <v>382583282</v>
      </c>
      <c r="G76" s="262" t="inlineStr">
        <is>
          <t>파생상품 조서</t>
        </is>
      </c>
      <c r="H76" s="272" t="inlineStr">
        <is>
          <t>No</t>
        </is>
      </c>
      <c r="I76" s="111" t="n"/>
      <c r="J76" s="141" t="n"/>
      <c r="K76" s="111" t="n"/>
      <c r="L76" s="111" t="n"/>
      <c r="M76" s="142" t="n"/>
    </row>
    <row r="77" ht="26" customFormat="1" customHeight="1" s="19">
      <c r="A77" s="18" t="n"/>
      <c r="B77" s="269" t="inlineStr">
        <is>
          <t>2026-04-30</t>
        </is>
      </c>
      <c r="C77" s="270" t="inlineStr">
        <is>
          <t>-</t>
        </is>
      </c>
      <c r="D77" s="262" t="inlineStr">
        <is>
          <t>재분류</t>
        </is>
      </c>
      <c r="E77" s="262" t="inlineStr">
        <is>
          <t>(664115)유형자산처분손실 — AK원주점 폐점 정리</t>
        </is>
      </c>
      <c r="F77" s="271" t="n">
        <v>28699992</v>
      </c>
      <c r="G77" s="262" t="inlineStr">
        <is>
          <t>유형자산 조서</t>
        </is>
      </c>
      <c r="H77" s="272" t="inlineStr">
        <is>
          <t>No</t>
        </is>
      </c>
      <c r="I77" s="111" t="n"/>
      <c r="J77" s="141" t="n"/>
      <c r="K77" s="111" t="n"/>
      <c r="L77" s="111" t="n"/>
      <c r="M77" s="142" t="n"/>
    </row>
    <row r="78" ht="26" customFormat="1" customHeight="1" s="19">
      <c r="A78" s="18" t="n"/>
      <c r="B78" s="269" t="inlineStr">
        <is>
          <t>2026-04-01</t>
        </is>
      </c>
      <c r="C78" s="270" t="inlineStr">
        <is>
          <t>-</t>
        </is>
      </c>
      <c r="D78" s="262" t="inlineStr">
        <is>
          <t>수정분개</t>
        </is>
      </c>
      <c r="E78" s="262" t="inlineStr">
        <is>
          <t>(263500)Lease Liability — Lease 수정(2023.9월분 누락)</t>
        </is>
      </c>
      <c r="F78" s="271" t="n">
        <v>14800000</v>
      </c>
      <c r="G78" s="262" t="inlineStr">
        <is>
          <t>리스 조서</t>
        </is>
      </c>
      <c r="H78" s="272" t="inlineStr">
        <is>
          <t>No</t>
        </is>
      </c>
      <c r="I78" s="111" t="n"/>
      <c r="J78" s="141" t="n"/>
      <c r="K78" s="111" t="n"/>
      <c r="L78" s="111" t="n"/>
      <c r="M78" s="142" t="n"/>
    </row>
    <row r="79" ht="26" customFormat="1" customHeight="1" s="19">
      <c r="A79" s="18" t="n"/>
      <c r="B79" s="269" t="inlineStr">
        <is>
          <t>2026-04-30</t>
        </is>
      </c>
      <c r="C79" s="270" t="inlineStr">
        <is>
          <t>-</t>
        </is>
      </c>
      <c r="D79" s="262" t="inlineStr">
        <is>
          <t>결산</t>
        </is>
      </c>
      <c r="E79" s="262" t="inlineStr">
        <is>
          <t>(671030)지급수수료_전문용역 — FY26 딜로이트 세무조정 보수</t>
        </is>
      </c>
      <c r="F79" s="271" t="n">
        <v>9400000</v>
      </c>
      <c r="G79" s="262" t="inlineStr">
        <is>
          <t>증빙(계약)</t>
        </is>
      </c>
      <c r="H79" s="272" t="inlineStr">
        <is>
          <t>No</t>
        </is>
      </c>
      <c r="I79" s="111" t="n"/>
      <c r="J79" s="141" t="n"/>
      <c r="K79" s="111" t="n"/>
      <c r="L79" s="111" t="n"/>
      <c r="M79" s="142" t="n"/>
    </row>
    <row r="80" ht="26" customFormat="1" customHeight="1" s="19">
      <c r="A80" s="18" t="n"/>
      <c r="B80" s="269" t="inlineStr">
        <is>
          <t>2026-04-30</t>
        </is>
      </c>
      <c r="C80" s="270" t="inlineStr">
        <is>
          <t>-</t>
        </is>
      </c>
      <c r="D80" s="262" t="inlineStr">
        <is>
          <t>결산</t>
        </is>
      </c>
      <c r="E80" s="262" t="inlineStr">
        <is>
          <t>(672000)대손상각비/대손충당금 — 대손충당금 설정</t>
        </is>
      </c>
      <c r="F80" s="271" t="n">
        <v>65944315</v>
      </c>
      <c r="G80" s="262" t="inlineStr">
        <is>
          <t>매출채권 조서 B1-3</t>
        </is>
      </c>
      <c r="H80" s="272" t="inlineStr">
        <is>
          <t>No</t>
        </is>
      </c>
      <c r="I80" s="111" t="n"/>
      <c r="J80" s="141" t="n"/>
      <c r="K80" s="111" t="n"/>
      <c r="L80" s="111" t="n"/>
      <c r="M80" s="142" t="n"/>
    </row>
    <row r="81" ht="14.1" customFormat="1" customHeight="1" s="19">
      <c r="A81" s="18" t="n"/>
      <c r="B81" s="133" t="n"/>
      <c r="C81" s="111" t="n"/>
      <c r="D81" s="111" t="n"/>
      <c r="E81" s="111" t="n"/>
      <c r="F81" s="146" t="n"/>
      <c r="G81" s="111" t="n"/>
      <c r="H81" s="140" t="n"/>
      <c r="I81" s="111" t="n"/>
      <c r="J81" s="141" t="n"/>
      <c r="K81" s="111" t="n"/>
      <c r="L81" s="111" t="n"/>
      <c r="M81" s="142" t="n"/>
    </row>
    <row r="82" ht="14.1" customFormat="1" customHeight="1" s="19">
      <c r="A82" s="18" t="n"/>
      <c r="B82" s="133" t="n"/>
      <c r="C82" s="111" t="n"/>
      <c r="D82" s="111" t="n"/>
      <c r="E82" s="111" t="n"/>
      <c r="F82" s="146" t="n"/>
      <c r="G82" s="111" t="n"/>
      <c r="H82" s="140" t="n"/>
      <c r="I82" s="111" t="n"/>
      <c r="J82" s="141" t="n"/>
      <c r="K82" s="111" t="n"/>
      <c r="L82" s="111" t="n"/>
      <c r="M82" s="142" t="n"/>
    </row>
    <row r="83" ht="14.1" customFormat="1" customHeight="1" s="19">
      <c r="A83" s="18" t="n"/>
      <c r="B83" s="133" t="n"/>
      <c r="C83" s="111" t="n"/>
      <c r="D83" s="111" t="n"/>
      <c r="E83" s="111" t="n"/>
      <c r="F83" s="146" t="n"/>
      <c r="G83" s="111" t="n"/>
      <c r="H83" s="140" t="n"/>
      <c r="I83" s="111" t="n"/>
      <c r="J83" s="141" t="n"/>
      <c r="K83" s="111" t="n"/>
      <c r="L83" s="111" t="n"/>
      <c r="M83" s="142" t="n"/>
    </row>
    <row r="84" ht="14.1" customFormat="1" customHeight="1" s="19">
      <c r="A84" s="18" t="n"/>
      <c r="B84" s="133" t="n"/>
      <c r="C84" s="111" t="n"/>
      <c r="D84" s="111" t="n"/>
      <c r="E84" s="111" t="n"/>
      <c r="F84" s="146" t="n"/>
      <c r="G84" s="111" t="n"/>
      <c r="H84" s="140" t="n"/>
      <c r="I84" s="111" t="n"/>
      <c r="J84" s="141" t="n"/>
      <c r="K84" s="111" t="n"/>
      <c r="L84" s="111" t="n"/>
      <c r="M84" s="142" t="n"/>
    </row>
    <row r="85" ht="14.1" customFormat="1" customHeight="1" s="19">
      <c r="A85" s="18" t="n"/>
      <c r="B85" s="133" t="n"/>
      <c r="C85" s="111" t="n"/>
      <c r="D85" s="111" t="n"/>
      <c r="E85" s="111" t="n"/>
      <c r="F85" s="146" t="n"/>
      <c r="G85" s="111" t="n"/>
      <c r="H85" s="140" t="n"/>
      <c r="I85" s="111" t="n"/>
      <c r="J85" s="141" t="n"/>
      <c r="K85" s="111" t="n"/>
      <c r="L85" s="111" t="n"/>
      <c r="M85" s="142" t="n"/>
    </row>
    <row r="86" ht="14.1" customFormat="1" customHeight="1" s="19">
      <c r="A86" s="26" t="n"/>
      <c r="B86" s="133" t="n"/>
      <c r="C86" s="111" t="n"/>
      <c r="D86" s="111" t="n"/>
      <c r="E86" s="111" t="n"/>
      <c r="F86" s="146" t="n"/>
      <c r="G86" s="111" t="n"/>
      <c r="H86" s="140" t="n"/>
      <c r="I86" s="111" t="n"/>
      <c r="J86" s="141" t="n"/>
      <c r="K86" s="111" t="n"/>
      <c r="L86" s="111" t="n"/>
      <c r="M86" s="142" t="n"/>
    </row>
    <row r="87" ht="14.1" customFormat="1" customHeight="1" s="19">
      <c r="A87" s="26" t="n"/>
      <c r="B87" s="133" t="n"/>
      <c r="C87" s="111" t="n"/>
      <c r="D87" s="111" t="n"/>
      <c r="E87" s="111" t="n"/>
      <c r="F87" s="146" t="n"/>
      <c r="G87" s="111" t="n"/>
      <c r="H87" s="140" t="n"/>
      <c r="I87" s="111" t="n"/>
      <c r="J87" s="141" t="n"/>
      <c r="K87" s="111" t="n"/>
      <c r="L87" s="111" t="n"/>
      <c r="M87" s="142" t="n"/>
    </row>
    <row r="88" ht="14.1" customFormat="1" customHeight="1" s="19">
      <c r="A88" s="26" t="n"/>
      <c r="B88" s="133" t="n"/>
      <c r="C88" s="111" t="n"/>
      <c r="D88" s="111" t="n"/>
      <c r="E88" s="111" t="n"/>
      <c r="F88" s="146" t="n"/>
      <c r="G88" s="111" t="n"/>
      <c r="H88" s="140" t="n"/>
      <c r="I88" s="111" t="n"/>
      <c r="J88" s="141" t="n"/>
      <c r="K88" s="111" t="n"/>
      <c r="L88" s="111" t="n"/>
      <c r="M88" s="142" t="n"/>
    </row>
    <row r="89" ht="14.1" customFormat="1" customHeight="1" s="19">
      <c r="A89" s="26" t="n"/>
      <c r="B89" s="133" t="n"/>
      <c r="C89" s="111" t="n"/>
      <c r="D89" s="111" t="n"/>
      <c r="E89" s="111" t="n"/>
      <c r="F89" s="146" t="n"/>
      <c r="G89" s="111" t="n"/>
      <c r="H89" s="140" t="n"/>
      <c r="I89" s="111" t="n"/>
      <c r="J89" s="141" t="n"/>
      <c r="K89" s="111" t="n"/>
      <c r="L89" s="111" t="n"/>
      <c r="M89" s="142" t="n"/>
    </row>
    <row r="90" ht="14.1" customFormat="1" customHeight="1" s="19">
      <c r="A90" s="26" t="n"/>
      <c r="B90" s="133" t="n"/>
      <c r="C90" s="111" t="n"/>
      <c r="D90" s="111" t="n"/>
      <c r="E90" s="111" t="n"/>
      <c r="F90" s="146" t="n"/>
      <c r="G90" s="111" t="n"/>
      <c r="H90" s="140" t="n"/>
      <c r="I90" s="111" t="n"/>
      <c r="J90" s="141" t="n"/>
      <c r="K90" s="111" t="n"/>
      <c r="L90" s="111" t="n"/>
      <c r="M90" s="142" t="n"/>
    </row>
    <row r="91" ht="14.1" customFormat="1" customHeight="1" s="19">
      <c r="A91" s="26" t="n"/>
      <c r="B91" s="133" t="n"/>
      <c r="C91" s="111" t="n"/>
      <c r="D91" s="111" t="n"/>
      <c r="E91" s="111" t="n"/>
      <c r="F91" s="146" t="n"/>
      <c r="G91" s="111" t="n"/>
      <c r="H91" s="140" t="n"/>
      <c r="I91" s="111" t="n"/>
      <c r="J91" s="141" t="n"/>
      <c r="K91" s="111" t="n"/>
      <c r="L91" s="111" t="n"/>
      <c r="M91" s="142" t="n"/>
    </row>
    <row r="92" ht="14.1" customFormat="1" customHeight="1" s="19">
      <c r="A92" s="26" t="n"/>
      <c r="B92" s="133" t="n"/>
      <c r="C92" s="111" t="n"/>
      <c r="D92" s="111" t="n"/>
      <c r="E92" s="111" t="n"/>
      <c r="F92" s="146" t="n"/>
      <c r="G92" s="111" t="n"/>
      <c r="H92" s="140" t="n"/>
      <c r="I92" s="111" t="n"/>
      <c r="J92" s="141" t="n"/>
      <c r="K92" s="111" t="n"/>
      <c r="L92" s="111" t="n"/>
      <c r="M92" s="142" t="n"/>
    </row>
    <row r="93" ht="14.1" customFormat="1" customHeight="1" s="19">
      <c r="A93" s="26" t="n"/>
      <c r="B93" s="133" t="n"/>
      <c r="C93" s="111" t="n"/>
      <c r="D93" s="111" t="n"/>
      <c r="E93" s="111" t="n"/>
      <c r="F93" s="146" t="n"/>
      <c r="G93" s="111" t="n"/>
      <c r="H93" s="140" t="n"/>
      <c r="I93" s="111" t="n"/>
      <c r="J93" s="141" t="n"/>
      <c r="K93" s="111" t="n"/>
      <c r="L93" s="111" t="n"/>
      <c r="M93" s="142" t="n"/>
    </row>
    <row r="94" ht="14.1" customFormat="1" customHeight="1" s="19">
      <c r="A94" s="26" t="n"/>
      <c r="B94" s="133" t="n"/>
      <c r="C94" s="111" t="n"/>
      <c r="D94" s="111" t="n"/>
      <c r="E94" s="111" t="n"/>
      <c r="F94" s="146" t="n"/>
      <c r="G94" s="111" t="n"/>
      <c r="H94" s="140" t="n"/>
      <c r="I94" s="111" t="n"/>
      <c r="J94" s="141" t="n"/>
      <c r="K94" s="111" t="n"/>
      <c r="L94" s="111" t="n"/>
      <c r="M94" s="142" t="n"/>
    </row>
    <row r="95" ht="14.1" customFormat="1" customHeight="1" s="19">
      <c r="A95" s="26" t="n"/>
      <c r="B95" s="133" t="n"/>
      <c r="C95" s="111" t="n"/>
      <c r="D95" s="111" t="n"/>
      <c r="E95" s="111" t="n"/>
      <c r="F95" s="146" t="n"/>
      <c r="G95" s="111" t="n"/>
      <c r="H95" s="140" t="n"/>
      <c r="I95" s="111" t="n"/>
      <c r="J95" s="141" t="n"/>
      <c r="K95" s="111" t="n"/>
      <c r="L95" s="111" t="n"/>
      <c r="M95" s="142" t="n"/>
      <c r="N95" s="99" t="n"/>
      <c r="O95" s="99" t="n"/>
      <c r="P95" s="99" t="n"/>
      <c r="Q95" s="99" t="n"/>
      <c r="R95" s="99" t="n"/>
    </row>
    <row r="96" ht="14.1" customFormat="1" customHeight="1" s="19">
      <c r="A96" s="26" t="n"/>
      <c r="B96" s="133" t="n"/>
      <c r="C96" s="111" t="n"/>
      <c r="D96" s="111" t="n"/>
      <c r="E96" s="111" t="n"/>
      <c r="F96" s="146" t="n"/>
      <c r="G96" s="111" t="n"/>
      <c r="H96" s="140" t="n"/>
      <c r="I96" s="111" t="n"/>
      <c r="J96" s="141" t="n"/>
      <c r="K96" s="111" t="n"/>
      <c r="L96" s="111" t="n"/>
      <c r="M96" s="142" t="n"/>
    </row>
    <row r="97" ht="14.1" customFormat="1" customHeight="1" s="19">
      <c r="A97" s="26" t="n"/>
      <c r="B97" s="133" t="n"/>
      <c r="C97" s="111" t="n"/>
      <c r="D97" s="111" t="n"/>
      <c r="E97" s="111" t="n"/>
      <c r="F97" s="146" t="n"/>
      <c r="G97" s="111" t="n"/>
      <c r="H97" s="140" t="n"/>
      <c r="I97" s="111" t="n"/>
      <c r="J97" s="141" t="n"/>
      <c r="K97" s="111" t="n"/>
      <c r="L97" s="111" t="n"/>
      <c r="M97" s="142" t="n"/>
    </row>
    <row r="98" ht="14.1" customHeight="1">
      <c r="A98" s="13" t="n"/>
      <c r="B98" s="133" t="n"/>
      <c r="C98" s="111" t="n"/>
      <c r="D98" s="111" t="n"/>
      <c r="E98" s="111" t="n"/>
      <c r="F98" s="146" t="n"/>
      <c r="G98" s="111" t="n"/>
      <c r="H98" s="140" t="n"/>
      <c r="I98" s="111" t="n"/>
      <c r="J98" s="141" t="n"/>
      <c r="K98" s="111" t="n"/>
      <c r="L98" s="111" t="n"/>
      <c r="M98" s="142" t="n"/>
    </row>
    <row r="99" ht="15" customHeight="1">
      <c r="B99" s="133" t="n"/>
      <c r="C99" s="111" t="n"/>
      <c r="D99" s="111" t="n"/>
      <c r="E99" s="111" t="n"/>
      <c r="F99" s="146" t="n"/>
      <c r="G99" s="111" t="n"/>
      <c r="H99" s="140" t="n"/>
      <c r="I99" s="111" t="n"/>
      <c r="J99" s="141" t="n"/>
      <c r="K99" s="111" t="n"/>
      <c r="L99" s="111" t="n"/>
      <c r="M99" s="142" t="n"/>
    </row>
    <row r="100" ht="15" customHeight="1">
      <c r="B100" s="133" t="n"/>
      <c r="C100" s="111" t="n"/>
      <c r="D100" s="111" t="n"/>
      <c r="E100" s="111" t="n"/>
      <c r="F100" s="146" t="n"/>
      <c r="G100" s="111" t="n"/>
      <c r="H100" s="140" t="n"/>
      <c r="I100" s="111" t="n"/>
      <c r="J100" s="141" t="n"/>
      <c r="K100" s="111" t="n"/>
      <c r="L100" s="111" t="n"/>
      <c r="M100" s="142" t="n"/>
    </row>
    <row r="101" ht="15" customHeight="1">
      <c r="B101" s="133" t="n"/>
      <c r="C101" s="111" t="n"/>
      <c r="D101" s="111" t="n"/>
      <c r="E101" s="111" t="n"/>
      <c r="F101" s="146" t="n"/>
      <c r="G101" s="111" t="n"/>
      <c r="H101" s="140" t="n"/>
      <c r="I101" s="111" t="n"/>
      <c r="J101" s="141" t="n"/>
      <c r="K101" s="111" t="n"/>
      <c r="L101" s="111" t="n"/>
      <c r="M101" s="142" t="n"/>
    </row>
    <row r="102" ht="15" customHeight="1">
      <c r="B102" s="133" t="n"/>
      <c r="C102" s="111" t="n"/>
      <c r="D102" s="111" t="n"/>
      <c r="E102" s="111" t="n"/>
      <c r="F102" s="146" t="n"/>
      <c r="G102" s="111" t="n"/>
      <c r="H102" s="140" t="n"/>
      <c r="I102" s="111" t="n"/>
      <c r="J102" s="141" t="n"/>
      <c r="K102" s="111" t="n"/>
      <c r="L102" s="111" t="n"/>
      <c r="M102" s="142" t="n"/>
    </row>
    <row r="103" ht="15" customHeight="1">
      <c r="B103" s="133" t="n"/>
      <c r="C103" s="111" t="n"/>
      <c r="D103" s="111" t="n"/>
      <c r="E103" s="111" t="n"/>
      <c r="F103" s="146" t="n"/>
      <c r="G103" s="111" t="n"/>
      <c r="H103" s="140" t="n"/>
      <c r="I103" s="111" t="n"/>
      <c r="J103" s="141" t="n"/>
      <c r="K103" s="111" t="n"/>
      <c r="L103" s="111" t="n"/>
      <c r="M103" s="142" t="n"/>
    </row>
    <row r="104" ht="15" customHeight="1">
      <c r="B104" s="133" t="n"/>
      <c r="C104" s="111" t="n"/>
      <c r="D104" s="111" t="n"/>
      <c r="E104" s="111" t="n"/>
      <c r="F104" s="146" t="n"/>
      <c r="G104" s="111" t="n"/>
      <c r="H104" s="140" t="n"/>
      <c r="I104" s="111" t="n"/>
      <c r="J104" s="141" t="n"/>
      <c r="K104" s="111" t="n"/>
      <c r="L104" s="111" t="n"/>
      <c r="M104" s="142" t="n"/>
    </row>
    <row r="105" ht="15.75" customHeight="1" thickBot="1">
      <c r="B105" s="138" t="n"/>
      <c r="C105" s="139" t="n"/>
      <c r="D105" s="139" t="n"/>
      <c r="E105" s="139" t="n"/>
      <c r="F105" s="147" t="n"/>
      <c r="G105" s="139" t="n"/>
      <c r="H105" s="143" t="n"/>
      <c r="I105" s="139" t="n"/>
      <c r="J105" s="144" t="n"/>
      <c r="K105" s="139" t="n"/>
      <c r="L105" s="139" t="n"/>
      <c r="M105" s="145" t="n"/>
    </row>
    <row r="106" ht="12.75" customHeight="1"/>
    <row r="107" ht="12.6" customHeight="1"/>
    <row r="108" ht="12.6" customHeight="1"/>
    <row r="109" ht="12.6" customHeight="1"/>
    <row r="110" ht="12.6" customHeight="1"/>
    <row r="111" ht="12.6" customHeight="1"/>
    <row r="112" ht="12.6" customHeight="1"/>
    <row r="113" ht="12.6" customHeight="1"/>
    <row r="114" ht="12.6" customHeight="1"/>
    <row r="115" ht="12.6" customHeight="1"/>
    <row r="116" ht="12.6" customHeight="1"/>
    <row r="117" ht="12.6" customHeight="1"/>
    <row r="118" ht="12.6" customHeight="1"/>
    <row r="119" ht="12.6" customHeight="1"/>
    <row r="120" ht="12.6" customHeight="1"/>
    <row r="121" ht="12.6" customHeight="1"/>
    <row r="122" ht="12.6" customHeight="1"/>
    <row r="123" ht="12.6" customHeight="1"/>
    <row r="124" ht="12.6" customHeight="1"/>
    <row r="125" ht="12.6" customHeight="1"/>
    <row r="126" ht="12.6" customHeight="1"/>
    <row r="127" ht="12.6" customHeight="1"/>
    <row r="128" ht="12.6" customHeight="1"/>
    <row r="129" ht="12.6" customHeight="1"/>
    <row r="130" ht="12.6" customHeight="1"/>
    <row r="131" ht="12.6" customHeight="1"/>
    <row r="132" ht="12.6" customHeight="1"/>
    <row r="133" ht="12.6" customHeight="1"/>
    <row r="134" ht="12.6" customHeight="1"/>
    <row r="135" ht="12.6" customHeight="1"/>
    <row r="136" ht="12.6" customHeight="1"/>
    <row r="137" ht="12.6" customHeight="1"/>
    <row r="138" ht="12.6" customHeight="1"/>
    <row r="139" ht="12.6" customHeight="1"/>
    <row r="140" ht="12.6" customHeight="1"/>
    <row r="141" ht="12.6" customHeight="1"/>
    <row r="142" ht="12.6" customHeight="1"/>
    <row r="143" ht="12.6" customHeight="1"/>
    <row r="144" ht="12.6" customHeight="1"/>
    <row r="145" ht="12.6" customHeight="1"/>
    <row r="146" ht="12.6" customHeight="1"/>
    <row r="147" ht="12.6" customHeight="1"/>
    <row r="148" ht="12.6" customHeight="1"/>
    <row r="149" ht="12.6" customHeight="1"/>
    <row r="150" ht="12.6" customHeight="1"/>
    <row r="151" ht="12.6" customHeight="1"/>
    <row r="152" ht="12.6" customHeight="1"/>
    <row r="153" ht="12.6" customHeight="1"/>
    <row r="154" ht="12.6" customHeight="1"/>
    <row r="155" ht="12.6" customHeight="1"/>
    <row r="156" ht="12.6" customHeight="1"/>
    <row r="157" ht="12.6" customHeight="1"/>
    <row r="158" ht="12.6" customHeight="1"/>
    <row r="159" ht="12.6" customHeight="1"/>
    <row r="160" ht="12.6" customHeight="1"/>
    <row r="161" ht="12.6" customHeight="1"/>
    <row r="162" ht="12.6" customHeight="1"/>
    <row r="163" ht="12.6" customHeight="1"/>
    <row r="164" ht="12.6" customHeight="1"/>
    <row r="165" ht="12.6" customHeight="1"/>
    <row r="166" ht="12.6" customHeight="1"/>
    <row r="167" ht="12.6" customHeight="1"/>
    <row r="168" ht="12.6" customHeight="1"/>
    <row r="169" ht="12.6" customHeight="1"/>
    <row r="170" ht="12.6" customHeight="1"/>
    <row r="171" ht="12.6" customHeight="1"/>
    <row r="172" ht="12.6" customHeight="1"/>
    <row r="173" ht="12.6" customHeight="1"/>
    <row r="174" ht="12.6" customHeight="1"/>
    <row r="175" ht="12.6" customHeight="1"/>
    <row r="176" ht="12.6" customHeight="1"/>
    <row r="177" ht="12.6" customHeight="1"/>
    <row r="178" ht="12.6" customHeight="1"/>
    <row r="179" ht="12.6" customHeight="1"/>
    <row r="180" ht="12.6" customHeight="1"/>
    <row r="181" ht="12.6" customHeight="1"/>
    <row r="182" ht="12.6" customHeight="1"/>
    <row r="183" ht="12.6" customHeight="1"/>
    <row r="184" ht="12.6" customHeight="1"/>
    <row r="185" ht="12.6" customHeight="1"/>
    <row r="186" ht="12.6" customHeight="1"/>
    <row r="187" ht="12.6" customHeight="1"/>
    <row r="188" ht="12.6" customHeight="1"/>
    <row r="189" ht="12.6" customHeight="1"/>
    <row r="190" ht="12.6" customHeight="1"/>
    <row r="191" ht="12.6" customHeight="1"/>
    <row r="192"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row r="223" ht="12.6" customHeight="1"/>
    <row r="224"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sheetData>
  <mergeCells count="34">
    <mergeCell ref="D60:E60"/>
    <mergeCell ref="B62:C62"/>
    <mergeCell ref="B54:C54"/>
    <mergeCell ref="B9:H9"/>
    <mergeCell ref="B59:C59"/>
    <mergeCell ref="D63:E63"/>
    <mergeCell ref="B15:H15"/>
    <mergeCell ref="B56:C56"/>
    <mergeCell ref="B58:C58"/>
    <mergeCell ref="I70:M70"/>
    <mergeCell ref="D57:E57"/>
    <mergeCell ref="B61:C61"/>
    <mergeCell ref="D61:E61"/>
    <mergeCell ref="B60:C60"/>
    <mergeCell ref="B49:J49"/>
    <mergeCell ref="B57:C57"/>
    <mergeCell ref="B53:C53"/>
    <mergeCell ref="D53:E53"/>
    <mergeCell ref="B18:H18"/>
    <mergeCell ref="B21:H21"/>
    <mergeCell ref="D62:E62"/>
    <mergeCell ref="D58:E58"/>
    <mergeCell ref="B11:H11"/>
    <mergeCell ref="D56:E56"/>
    <mergeCell ref="H51:K51"/>
    <mergeCell ref="B55:C55"/>
    <mergeCell ref="D55:E55"/>
    <mergeCell ref="B13:H13"/>
    <mergeCell ref="B16:H17"/>
    <mergeCell ref="B63:C63"/>
    <mergeCell ref="D54:E54"/>
    <mergeCell ref="J52:K52"/>
    <mergeCell ref="D59:E59"/>
    <mergeCell ref="F53:G53"/>
  </mergeCells>
  <conditionalFormatting sqref="B54:K63">
    <cfRule type="containsBlanks" priority="23" dxfId="8">
      <formula>LEN(TRIM(B54))=0</formula>
    </cfRule>
  </conditionalFormatting>
  <conditionalFormatting sqref="B72:M105">
    <cfRule type="containsBlanks" priority="13" dxfId="8">
      <formula>LEN(TRIM(B72))=0</formula>
    </cfRule>
  </conditionalFormatting>
  <conditionalFormatting sqref="C2:C3">
    <cfRule type="containsBlanks" priority="7" dxfId="8">
      <formula>LEN(TRIM(C2))=0</formula>
    </cfRule>
  </conditionalFormatting>
  <conditionalFormatting sqref="D25:D26">
    <cfRule type="containsBlanks" priority="6" dxfId="8">
      <formula>LEN(TRIM(D25))=0</formula>
    </cfRule>
  </conditionalFormatting>
  <conditionalFormatting sqref="D29:D30">
    <cfRule type="containsBlanks" priority="5" dxfId="8">
      <formula>LEN(TRIM(D29))=0</formula>
    </cfRule>
  </conditionalFormatting>
  <conditionalFormatting sqref="D33:D34">
    <cfRule type="containsBlanks" priority="4" dxfId="8">
      <formula>LEN(TRIM(D33))=0</formula>
    </cfRule>
  </conditionalFormatting>
  <conditionalFormatting sqref="D37:D38">
    <cfRule type="containsBlanks" priority="3" dxfId="8">
      <formula>LEN(TRIM(D37))=0</formula>
    </cfRule>
  </conditionalFormatting>
  <conditionalFormatting sqref="F2:F6">
    <cfRule type="containsBlanks" priority="8" dxfId="8">
      <formula>LEN(TRIM(F2))=0</formula>
    </cfRule>
  </conditionalFormatting>
  <conditionalFormatting sqref="I54:I63">
    <cfRule type="expression" priority="2" dxfId="0">
      <formula>H54="No"</formula>
    </cfRule>
  </conditionalFormatting>
  <conditionalFormatting sqref="I72:I105">
    <cfRule type="expression" priority="12" dxfId="0">
      <formula>H72="No"</formula>
    </cfRule>
  </conditionalFormatting>
  <conditionalFormatting sqref="J54:J63">
    <cfRule type="expression" priority="22" dxfId="0">
      <formula>H54="Yes"</formula>
    </cfRule>
  </conditionalFormatting>
  <conditionalFormatting sqref="J72:J105">
    <cfRule type="expression" priority="11" dxfId="0">
      <formula>H72="No"</formula>
    </cfRule>
  </conditionalFormatting>
  <conditionalFormatting sqref="K54:K63">
    <cfRule type="expression" priority="14" dxfId="0">
      <formula>H54="Yes"</formula>
    </cfRule>
  </conditionalFormatting>
  <conditionalFormatting sqref="K72:K105">
    <cfRule type="expression" priority="10" dxfId="0">
      <formula>H72="No"</formula>
    </cfRule>
  </conditionalFormatting>
  <conditionalFormatting sqref="L72:L105">
    <cfRule type="expression" priority="9" dxfId="0">
      <formula>H72="No"</formula>
    </cfRule>
  </conditionalFormatting>
  <conditionalFormatting sqref="M72:M105">
    <cfRule type="expression" priority="1" dxfId="0">
      <formula>H72="No"</formula>
    </cfRule>
  </conditionalFormatting>
  <dataValidations count="1">
    <dataValidation sqref="F54:F63 H54:H63 H72:H105" showDropDown="0" showInputMessage="1" showErrorMessage="1" allowBlank="1" type="list">
      <formula1>"Yes,No"</formula1>
    </dataValidation>
  </dataValidations>
  <hyperlinks>
    <hyperlink ref="H51" location="'Decision Tree - step 3'!A1" display="Refer to &quot;Decision Tree - step 3&quot; tab for more details"/>
  </hyperlinks>
  <pageMargins left="0.7480314960629921" right="0.7480314960629921" top="0.984251968503937" bottom="0.984251968503937" header="0.5118110236220472" footer="0.5118110236220472"/>
  <pageSetup orientation="landscape" paperSize="9" scale="22" fitToHeight="0"/>
  <rowBreaks count="1" manualBreakCount="1">
    <brk id="69" min="0" max="9" man="1"/>
  </rowBreaks>
  <legacyDrawing xmlns:r="http://schemas.openxmlformats.org/officeDocument/2006/relationships" r:id="anysvml"/>
</worksheet>
</file>

<file path=xl/worksheets/sheet9.xml><?xml version="1.0" encoding="utf-8"?>
<worksheet xmlns="http://schemas.openxmlformats.org/spreadsheetml/2006/main">
  <sheetPr codeName="Blad8">
    <tabColor rgb="FF464B4B"/>
    <outlinePr summaryBelow="1" summaryRight="1"/>
    <pageSetUpPr/>
  </sheetPr>
  <dimension ref="B2:B2"/>
  <sheetViews>
    <sheetView showGridLines="0" zoomScale="90" zoomScaleNormal="100" workbookViewId="0">
      <selection activeCell="C2" sqref="C2"/>
    </sheetView>
  </sheetViews>
  <sheetFormatPr baseColWidth="8" defaultRowHeight="15"/>
  <sheetData>
    <row r="2">
      <c r="B2" s="31" t="inlineStr">
        <is>
          <t>Decision tree relating to step 3:</t>
        </is>
      </c>
    </row>
  </sheetData>
  <pageMargins left="0.7" right="0.7" top="0.75" bottom="0.75" header="0.3" footer="0.3"/>
</worksheet>
</file>

<file path=xl/worksheets/sheet10.xml><?xml version="1.0" encoding="utf-8"?>
<worksheet xmlns="http://schemas.openxmlformats.org/spreadsheetml/2006/main">
  <sheetPr codeName="Blad9">
    <tabColor rgb="FF464B4B"/>
    <outlinePr summaryBelow="1" summaryRight="1"/>
    <pageSetUpPr/>
  </sheetPr>
  <dimension ref="A1:K8"/>
  <sheetViews>
    <sheetView showGridLines="0" view="pageBreakPreview" zoomScale="115" zoomScaleNormal="100" zoomScaleSheetLayoutView="115" workbookViewId="0">
      <selection activeCell="B3" sqref="B3:J3"/>
    </sheetView>
  </sheetViews>
  <sheetFormatPr baseColWidth="8" defaultColWidth="5.5703125" defaultRowHeight="15" customHeight="1"/>
  <cols>
    <col width="13" customWidth="1" style="1" min="1" max="1"/>
    <col width="10" customWidth="1" style="2" min="2" max="10"/>
    <col width="1.85546875" customWidth="1" style="3" min="11" max="11"/>
    <col width="5.5703125" customWidth="1" style="2" min="12" max="16384"/>
  </cols>
  <sheetData>
    <row r="1" ht="33" customHeight="1">
      <c r="A1" s="69" t="n"/>
      <c r="E1" s="70" t="inlineStr">
        <is>
          <t>Tickmarks</t>
        </is>
      </c>
    </row>
    <row r="2" ht="15" customHeight="1" thickBot="1">
      <c r="G2" s="4" t="n"/>
    </row>
    <row r="3" ht="69.95" customHeight="1" thickBot="1">
      <c r="A3" s="67" t="inlineStr">
        <is>
          <t>{a}</t>
        </is>
      </c>
      <c r="B3" s="273" t="n"/>
      <c r="C3" s="274" t="n"/>
      <c r="D3" s="274" t="n"/>
      <c r="E3" s="274" t="n"/>
      <c r="F3" s="274" t="n"/>
      <c r="G3" s="274" t="n"/>
      <c r="H3" s="274" t="n"/>
      <c r="I3" s="274" t="n"/>
      <c r="J3" s="275" t="n"/>
      <c r="K3" s="5" t="inlineStr">
        <is>
          <t>{a}</t>
        </is>
      </c>
    </row>
    <row r="4" ht="15" customHeight="1" thickBot="1">
      <c r="A4" s="68" t="n"/>
    </row>
    <row r="5" ht="69.95" customHeight="1" thickBot="1">
      <c r="A5" s="67" t="inlineStr">
        <is>
          <t>{b}</t>
        </is>
      </c>
      <c r="B5" s="273" t="n"/>
      <c r="C5" s="274" t="n"/>
      <c r="D5" s="274" t="n"/>
      <c r="E5" s="274" t="n"/>
      <c r="F5" s="274" t="n"/>
      <c r="G5" s="274" t="n"/>
      <c r="H5" s="274" t="n"/>
      <c r="I5" s="274" t="n"/>
      <c r="J5" s="275" t="n"/>
      <c r="K5" s="5" t="inlineStr">
        <is>
          <t>{b}</t>
        </is>
      </c>
    </row>
    <row r="6" ht="15" customHeight="1" thickBot="1">
      <c r="A6" s="68" t="n"/>
    </row>
    <row r="7" ht="15" customHeight="1" thickBot="1">
      <c r="A7" s="67" t="inlineStr">
        <is>
          <t>{c}</t>
        </is>
      </c>
      <c r="B7" s="273" t="n"/>
      <c r="C7" s="274" t="n"/>
      <c r="D7" s="274" t="n"/>
      <c r="E7" s="274" t="n"/>
      <c r="F7" s="274" t="n"/>
      <c r="G7" s="274" t="n"/>
      <c r="H7" s="274" t="n"/>
      <c r="I7" s="274" t="n"/>
      <c r="J7" s="275" t="n"/>
      <c r="K7" s="5" t="inlineStr">
        <is>
          <t>{c}</t>
        </is>
      </c>
    </row>
    <row r="8" ht="15" customHeight="1">
      <c r="A8" s="68" t="n"/>
    </row>
  </sheetData>
  <mergeCells count="3">
    <mergeCell ref="B7:J7"/>
    <mergeCell ref="B3:J3"/>
    <mergeCell ref="B5:J5"/>
  </mergeCells>
  <pageMargins left="0.65" right="0.6" top="1" bottom="1" header="0.5" footer="0.5"/>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Mazars</dc:creator>
  <dcterms:created xsi:type="dcterms:W3CDTF">2010-01-27T04:07:26Z</dcterms:created>
  <dcterms:modified xsi:type="dcterms:W3CDTF">2026-07-21T06:30:40Z</dcterms:modified>
  <cp:lastModifiedBy>Ewa Lysik</cp:lastModifiedBy>
  <cp:lastPrinted>2013-03-06T12:11:04Z</cp:lastPrinted>
</cp:coreProperties>
</file>

<file path=docProps/custom.xml><?xml version="1.0" encoding="utf-8"?>
<Properties xmlns:vt="http://schemas.openxmlformats.org/officeDocument/2006/docPropsVTypes" xmlns="http://schemas.openxmlformats.org/officeDocument/2006/custom-properties">
  <property name="display_urn:schemas-microsoft-com:office:office#Editor" fmtid="{D5CDD505-2E9C-101B-9397-08002B2CF9AE}" pid="2">
    <vt:lpwstr>LYSIK Ewa</vt:lpwstr>
  </property>
  <property name="Order" fmtid="{D5CDD505-2E9C-101B-9397-08002B2CF9AE}" pid="3">
    <vt:lpwstr>385500.000000000</vt:lpwstr>
  </property>
  <property name="_ExtendedDescription" fmtid="{D5CDD505-2E9C-101B-9397-08002B2CF9AE}" pid="4">
    <vt:lpwstr/>
  </property>
  <property name="display_urn:schemas-microsoft-com:office:office#Author" fmtid="{D5CDD505-2E9C-101B-9397-08002B2CF9AE}" pid="5">
    <vt:lpwstr>LYSIK Ewa</vt:lpwstr>
  </property>
  <property name="MediaServiceImageTags" fmtid="{D5CDD505-2E9C-101B-9397-08002B2CF9AE}" pid="6">
    <vt:lpwstr/>
  </property>
  <property name="ContentTypeId" fmtid="{D5CDD505-2E9C-101B-9397-08002B2CF9AE}" pid="7">
    <vt:lpwstr>0x01010077C2AE7274C7214EA9C6749E3B848957</vt:lpwstr>
  </property>
</Properties>
</file>