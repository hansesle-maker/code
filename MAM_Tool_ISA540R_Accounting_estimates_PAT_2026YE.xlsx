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7520" tabRatio="600" firstSheet="1" activeTab="1" autoFilterDateGrouping="1"/>
  </bookViews>
  <sheets>
    <sheet name="대손충당금" sheetId="1" state="visible" r:id="rId1"/>
    <sheet name="상품평가충당금" sheetId="2" state="visible" r:id="rId2"/>
    <sheet name="이연법인세자산" sheetId="3" state="visible" r:id="rId3"/>
    <sheet name="복구충당부채" sheetId="4" state="visible" r:id="rId4"/>
    <sheet name="퇴직급여충당부채" sheetId="5" state="visible" r:id="rId5"/>
    <sheet name="Guidance (Do not delete)" sheetId="6" state="visible" r:id="rId6"/>
    <sheet name="IAASB flowchart (Do not delete)" sheetId="7" state="visible" r:id="rId7"/>
    <sheet name="MzOfficeConfig-UNDO-%ù-%ù-%ù" sheetId="8" state="veryHidden" r:id="rId8"/>
  </sheets>
  <definedNames/>
  <calcPr calcId="191028" calcMode="auto" fullCalcOnLoad="1"/>
</workbook>
</file>

<file path=xl/styles.xml><?xml version="1.0" encoding="utf-8"?>
<styleSheet xmlns="http://schemas.openxmlformats.org/spreadsheetml/2006/main">
  <numFmts count="1">
    <numFmt numFmtId="164" formatCode="[$-F800]dddd\,\ mmmm\ dd\,\ yyyy"/>
  </numFmts>
  <fonts count="87">
    <font>
      <name val="맑은 고딕"/>
      <family val="2"/>
      <color theme="1"/>
      <sz val="11"/>
      <scheme val="minor"/>
    </font>
    <font>
      <name val="Arial"/>
      <family val="2"/>
      <b val="1"/>
      <sz val="8"/>
    </font>
    <font>
      <name val="Arial"/>
      <family val="2"/>
      <b val="1"/>
      <sz val="9"/>
    </font>
    <font>
      <name val="Arial"/>
      <family val="2"/>
      <sz val="11"/>
    </font>
    <font>
      <name val="Arial"/>
      <family val="2"/>
      <sz val="9"/>
    </font>
    <font>
      <name val="Arial"/>
      <family val="2"/>
      <sz val="10"/>
    </font>
    <font>
      <name val="Arial"/>
      <family val="2"/>
      <b val="1"/>
      <sz val="20"/>
    </font>
    <font>
      <name val="Arial"/>
      <family val="2"/>
      <sz val="8"/>
    </font>
    <font>
      <name val="Arial"/>
      <family val="2"/>
      <b val="1"/>
      <color indexed="63"/>
      <sz val="9"/>
    </font>
    <font>
      <name val="Arial"/>
      <family val="2"/>
      <color indexed="63"/>
      <sz val="8"/>
    </font>
    <font>
      <name val="Arial"/>
      <family val="2"/>
      <color indexed="63"/>
      <sz val="8"/>
      <u val="single"/>
    </font>
    <font>
      <name val="Arial"/>
      <family val="2"/>
      <b val="1"/>
      <color indexed="63"/>
      <sz val="8"/>
    </font>
    <font>
      <name val="Arial"/>
      <family val="2"/>
      <b val="1"/>
      <color indexed="63"/>
      <sz val="8"/>
      <u val="single"/>
    </font>
    <font>
      <name val="Arial"/>
      <family val="2"/>
      <b val="1"/>
      <color indexed="63"/>
      <sz val="9"/>
      <u val="single"/>
    </font>
    <font>
      <name val="맑은 고딕"/>
      <family val="2"/>
      <color theme="10"/>
      <sz val="11"/>
      <u val="single"/>
      <scheme val="minor"/>
    </font>
    <font>
      <name val="맑은 고딕"/>
      <family val="2"/>
      <b val="1"/>
      <color theme="3"/>
      <sz val="13"/>
      <scheme val="minor"/>
    </font>
    <font>
      <name val="맑은 고딕"/>
      <family val="2"/>
      <b val="1"/>
      <color theme="3"/>
      <sz val="11"/>
      <scheme val="minor"/>
    </font>
    <font>
      <name val="Arial"/>
      <family val="2"/>
      <b val="1"/>
      <color theme="1"/>
      <sz val="11"/>
    </font>
    <font>
      <name val="Arial"/>
      <family val="2"/>
      <color theme="1"/>
      <sz val="11"/>
    </font>
    <font>
      <name val="Arial"/>
      <family val="2"/>
      <i val="1"/>
      <color rgb="FFFF0000"/>
      <sz val="10"/>
    </font>
    <font>
      <name val="Arial"/>
      <family val="2"/>
      <color theme="1"/>
      <sz val="9"/>
    </font>
    <font>
      <name val="Arial"/>
      <family val="2"/>
      <i val="1"/>
      <color rgb="FFFF0000"/>
      <sz val="9"/>
    </font>
    <font>
      <name val="Arial"/>
      <family val="2"/>
      <strike val="1"/>
      <color theme="1"/>
      <sz val="11"/>
    </font>
    <font>
      <name val="Arial"/>
      <family val="2"/>
      <i val="1"/>
      <color rgb="FFFF0000"/>
      <sz val="11"/>
    </font>
    <font>
      <name val="Arial"/>
      <family val="2"/>
      <i val="1"/>
      <color theme="0"/>
      <sz val="9"/>
    </font>
    <font>
      <name val="Arial"/>
      <family val="2"/>
      <color theme="0"/>
      <sz val="8"/>
    </font>
    <font>
      <name val="Arial"/>
      <family val="2"/>
      <color theme="0"/>
      <sz val="11"/>
    </font>
    <font>
      <name val="Arial"/>
      <family val="2"/>
      <color theme="10"/>
      <sz val="11"/>
      <u val="single"/>
    </font>
    <font>
      <name val="Arial"/>
      <family val="2"/>
      <i val="1"/>
      <color rgb="FFFF0000"/>
      <sz val="16"/>
    </font>
    <font>
      <name val="Arial"/>
      <family val="2"/>
      <i val="1"/>
      <color theme="0"/>
      <sz val="8"/>
    </font>
    <font>
      <name val="Arial"/>
      <family val="2"/>
      <b val="1"/>
      <color theme="0"/>
      <sz val="9"/>
    </font>
    <font>
      <name val="Arial"/>
      <family val="2"/>
      <b val="1"/>
      <color theme="0"/>
      <sz val="11"/>
    </font>
    <font>
      <name val="Arial"/>
      <family val="2"/>
      <b val="1"/>
      <i val="1"/>
      <color theme="0"/>
      <sz val="10"/>
    </font>
    <font>
      <name val="Arial"/>
      <family val="2"/>
      <b val="1"/>
      <color theme="0"/>
      <sz val="10"/>
    </font>
    <font>
      <name val="Arial"/>
      <family val="2"/>
      <b val="1"/>
      <i val="1"/>
      <color theme="0"/>
      <sz val="11"/>
    </font>
    <font>
      <name val="Arial"/>
      <family val="2"/>
      <color theme="0"/>
      <sz val="9"/>
    </font>
    <font>
      <name val="Arial"/>
      <family val="2"/>
      <i val="1"/>
      <color theme="0"/>
      <sz val="11"/>
    </font>
    <font>
      <name val="Arial"/>
      <family val="2"/>
      <i val="1"/>
      <color theme="0"/>
      <sz val="10"/>
    </font>
    <font>
      <name val="Arial"/>
      <family val="2"/>
      <color rgb="FFFF0000"/>
      <sz val="10"/>
    </font>
    <font>
      <name val="Arial"/>
      <family val="2"/>
      <color theme="0"/>
      <sz val="10"/>
    </font>
    <font>
      <name val="Arial"/>
      <family val="2"/>
      <b val="1"/>
      <color theme="0"/>
      <sz val="8"/>
    </font>
    <font>
      <name val="Arial"/>
      <family val="2"/>
      <color rgb="FF0072CE"/>
      <sz val="11"/>
    </font>
    <font>
      <name val="Arial"/>
      <family val="2"/>
      <i val="1"/>
      <color rgb="FF0072CE"/>
      <sz val="10"/>
    </font>
    <font>
      <name val="Arial"/>
      <family val="2"/>
      <b val="1"/>
      <color rgb="FF0072CE"/>
      <sz val="11"/>
    </font>
    <font>
      <name val="Arial"/>
      <family val="2"/>
      <color rgb="FF0072CE"/>
      <sz val="11"/>
      <u val="single"/>
    </font>
    <font>
      <name val="Arial"/>
      <family val="2"/>
      <b val="1"/>
      <color theme="0"/>
      <sz val="20"/>
    </font>
    <font>
      <name val="Arial"/>
      <family val="2"/>
      <b val="1"/>
      <color rgb="FF464B4B"/>
      <sz val="11"/>
    </font>
    <font>
      <name val="Arial"/>
      <family val="2"/>
      <color rgb="FF464B4B"/>
      <sz val="11"/>
    </font>
    <font>
      <name val="Arial"/>
      <family val="2"/>
      <b val="1"/>
      <color rgb="FF464B4B"/>
      <sz val="10"/>
    </font>
    <font>
      <name val="Arial"/>
      <family val="2"/>
      <i val="1"/>
      <color rgb="FF464B4B"/>
      <sz val="10"/>
    </font>
    <font>
      <name val="Arial"/>
      <family val="2"/>
      <b val="1"/>
      <color rgb="FF464B4B"/>
      <sz val="9"/>
    </font>
    <font>
      <name val="Arial"/>
      <family val="2"/>
      <color rgb="FF464B4B"/>
      <sz val="9"/>
    </font>
    <font>
      <name val="Arial"/>
      <family val="2"/>
      <b val="1"/>
      <color theme="0"/>
      <sz val="12"/>
    </font>
    <font>
      <name val="Arial"/>
      <family val="2"/>
      <color rgb="FF464B4B"/>
      <sz val="8"/>
    </font>
    <font>
      <name val="Arial"/>
      <family val="2"/>
      <color rgb="FF464B4B"/>
      <sz val="8"/>
      <u val="single"/>
    </font>
    <font>
      <name val="Arial"/>
      <family val="2"/>
      <color rgb="FF464B4B"/>
      <sz val="11"/>
      <u val="single"/>
    </font>
    <font>
      <name val="Arial"/>
      <family val="2"/>
      <sz val="12"/>
    </font>
    <font>
      <name val="Arial"/>
      <family val="2"/>
      <color theme="1"/>
      <sz val="12"/>
    </font>
    <font>
      <name val="Arial"/>
      <family val="2"/>
      <color theme="10"/>
      <sz val="12"/>
      <u val="single"/>
    </font>
    <font>
      <name val="Arial"/>
      <family val="2"/>
      <i val="1"/>
      <color rgb="FFFF0000"/>
      <sz val="12"/>
    </font>
    <font>
      <name val="Arial"/>
      <family val="2"/>
      <b val="1"/>
      <color theme="1"/>
      <sz val="12"/>
    </font>
    <font>
      <name val="Arial"/>
      <family val="2"/>
      <strike val="1"/>
      <color theme="1"/>
      <sz val="12"/>
    </font>
    <font>
      <name val="Arial"/>
      <family val="2"/>
      <b val="1"/>
      <color theme="1"/>
      <sz val="12"/>
      <u val="single"/>
    </font>
    <font>
      <name val="Arial"/>
      <family val="2"/>
      <color theme="0"/>
      <sz val="12"/>
    </font>
    <font>
      <name val="Arial"/>
      <family val="2"/>
      <b val="1"/>
      <color rgb="FF464B4B"/>
      <sz val="18"/>
    </font>
    <font>
      <name val="Arial"/>
      <family val="2"/>
      <color rgb="FF464B4B"/>
      <sz val="10"/>
    </font>
    <font>
      <name val="Arial"/>
      <family val="2"/>
      <b val="1"/>
      <i val="1"/>
      <color rgb="FF464B4B"/>
      <sz val="10"/>
    </font>
    <font>
      <name val="Arial"/>
      <family val="2"/>
      <b val="1"/>
      <i val="1"/>
      <color rgb="FF464B4B"/>
      <sz val="9"/>
    </font>
    <font>
      <name val="Arial"/>
      <family val="2"/>
      <b val="1"/>
      <i val="1"/>
      <color rgb="FF464B4B"/>
      <sz val="11"/>
    </font>
    <font>
      <name val="Arial"/>
      <family val="2"/>
      <b val="1"/>
      <strike val="1"/>
      <color rgb="FF464B4B"/>
      <sz val="11"/>
    </font>
    <font>
      <name val="Arial"/>
      <family val="2"/>
      <i val="1"/>
      <color theme="0" tint="-0.499984740745262"/>
      <sz val="9.5"/>
    </font>
    <font>
      <name val="Arial"/>
      <family val="2"/>
      <b val="1"/>
      <color rgb="FFE56C73"/>
      <sz val="18"/>
    </font>
    <font>
      <name val="Arial"/>
      <family val="2"/>
      <color rgb="FF27B093"/>
      <sz val="11"/>
    </font>
    <font>
      <name val="Arial"/>
      <family val="2"/>
      <b val="1"/>
      <color rgb="FF27B093"/>
      <sz val="14"/>
    </font>
    <font>
      <name val="Arial"/>
      <family val="2"/>
      <color rgb="FF27B093"/>
      <sz val="11"/>
      <u val="single"/>
    </font>
    <font>
      <name val="Arial"/>
      <family val="2"/>
      <i val="1"/>
      <color rgb="FF27B093"/>
      <sz val="10"/>
    </font>
    <font>
      <name val="Arial"/>
      <family val="2"/>
      <color rgb="FF27B093"/>
      <sz val="9"/>
    </font>
    <font>
      <name val="Arial"/>
      <family val="2"/>
      <i val="1"/>
      <color rgb="FF27B093"/>
      <sz val="9"/>
    </font>
    <font>
      <name val="Arial"/>
      <family val="2"/>
      <i val="1"/>
      <color rgb="FF27B093"/>
      <sz val="16"/>
    </font>
    <font>
      <name val="Arial"/>
      <family val="2"/>
      <strike val="1"/>
      <color rgb="FF27B093"/>
      <sz val="11"/>
    </font>
    <font>
      <name val="Arial"/>
      <family val="2"/>
      <b val="1"/>
      <color rgb="FF27B093"/>
      <sz val="9"/>
    </font>
    <font>
      <name val="Arial"/>
      <family val="2"/>
      <i val="1"/>
      <color rgb="FF27B093"/>
      <sz val="11"/>
    </font>
    <font>
      <name val="Arial"/>
      <family val="2"/>
      <b val="1"/>
      <i val="1"/>
      <color rgb="FFFF0000"/>
      <sz val="10"/>
    </font>
    <font>
      <name val="맑은 고딕"/>
      <charset val="129"/>
      <family val="3"/>
      <sz val="8"/>
      <scheme val="minor"/>
    </font>
    <font>
      <name val="Arial"/>
      <color rgb="FF000000"/>
      <sz val="11"/>
    </font>
    <font>
      <name val="Arial"/>
      <color rgb="FF000000"/>
      <sz val="10"/>
    </font>
    <font>
      <name val="Arial"/>
      <b val="1"/>
      <color rgb="FF000000"/>
      <sz val="11"/>
    </font>
  </fonts>
  <fills count="16">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theme="8" tint="0.7999816888943144"/>
        <bgColor indexed="64"/>
      </patternFill>
    </fill>
    <fill>
      <patternFill patternType="solid">
        <fgColor theme="1"/>
        <bgColor indexed="64"/>
      </patternFill>
    </fill>
    <fill>
      <patternFill patternType="solid">
        <fgColor rgb="FFB3A9AF"/>
        <bgColor indexed="64"/>
      </patternFill>
    </fill>
    <fill>
      <patternFill patternType="solid">
        <fgColor rgb="FFF4F4F4"/>
        <bgColor indexed="64"/>
      </patternFill>
    </fill>
    <fill>
      <patternFill patternType="solid">
        <fgColor rgb="FF171C8F"/>
        <bgColor indexed="64"/>
      </patternFill>
    </fill>
    <fill>
      <patternFill patternType="solid">
        <fgColor rgb="FF464B4B"/>
        <bgColor indexed="64"/>
      </patternFill>
    </fill>
    <fill>
      <patternFill patternType="solid">
        <fgColor theme="0" tint="-0.499984740745262"/>
        <bgColor indexed="64"/>
      </patternFill>
    </fill>
    <fill>
      <patternFill patternType="solid">
        <fgColor rgb="FF0072CE"/>
        <bgColor indexed="64"/>
      </patternFill>
    </fill>
    <fill>
      <patternFill patternType="solid">
        <fgColor theme="0" tint="-0.0499893185216834"/>
        <bgColor indexed="64"/>
      </patternFill>
    </fill>
    <fill>
      <patternFill patternType="solid">
        <fgColor rgb="FF4AA7B7"/>
        <bgColor indexed="64"/>
      </patternFill>
    </fill>
    <fill>
      <patternFill patternType="solid">
        <fgColor theme="5" tint="0.7999816888943144"/>
        <bgColor indexed="64"/>
      </patternFill>
    </fill>
    <fill>
      <patternFill patternType="solid">
        <fgColor theme="3" tint="0.3999755851924192"/>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right/>
      <top/>
      <bottom style="thick">
        <color theme="4" tint="0.499984740745262"/>
      </bottom>
      <diagonal/>
    </border>
    <border>
      <left/>
      <right/>
      <top/>
      <bottom style="medium">
        <color theme="4" tint="0.3999755851924192"/>
      </bottom>
      <diagonal/>
    </border>
    <border>
      <left style="medium">
        <color rgb="FF171C8F"/>
      </left>
      <right style="medium">
        <color rgb="FF171C8F"/>
      </right>
      <top style="medium">
        <color rgb="FF171C8F"/>
      </top>
      <bottom style="medium">
        <color rgb="FF171C8F"/>
      </bottom>
      <diagonal/>
    </border>
    <border>
      <left style="medium">
        <color theme="0" tint="-0.1499984740745262"/>
      </left>
      <right/>
      <top style="medium">
        <color theme="0" tint="-0.1499984740745262"/>
      </top>
      <bottom/>
      <diagonal/>
    </border>
    <border>
      <left/>
      <right/>
      <top style="medium">
        <color theme="0" tint="-0.1499984740745262"/>
      </top>
      <bottom/>
      <diagonal/>
    </border>
    <border>
      <left/>
      <right style="medium">
        <color theme="0" tint="-0.1499984740745262"/>
      </right>
      <top style="medium">
        <color theme="0" tint="-0.1499984740745262"/>
      </top>
      <bottom/>
      <diagonal/>
    </border>
    <border>
      <left style="medium">
        <color theme="0" tint="-0.1499984740745262"/>
      </left>
      <right/>
      <top/>
      <bottom/>
      <diagonal/>
    </border>
    <border>
      <left/>
      <right style="medium">
        <color theme="0" tint="-0.1499984740745262"/>
      </right>
      <top/>
      <bottom/>
      <diagonal/>
    </border>
    <border>
      <left style="medium">
        <color theme="0" tint="-0.1499984740745262"/>
      </left>
      <right/>
      <top/>
      <bottom style="medium">
        <color theme="0" tint="-0.1499984740745262"/>
      </bottom>
      <diagonal/>
    </border>
    <border>
      <left/>
      <right/>
      <top/>
      <bottom style="medium">
        <color theme="0" tint="-0.1499984740745262"/>
      </bottom>
      <diagonal/>
    </border>
    <border>
      <left/>
      <right style="medium">
        <color theme="0" tint="-0.1499984740745262"/>
      </right>
      <top/>
      <bottom style="medium">
        <color theme="0" tint="-0.149998474074526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theme="0" tint="-0.1499984740745262"/>
      </left>
      <right style="medium">
        <color theme="0" tint="-0.1499984740745262"/>
      </right>
      <top style="medium">
        <color theme="0" tint="-0.1499984740745262"/>
      </top>
      <bottom/>
      <diagonal/>
    </border>
  </borders>
  <cellStyleXfs count="6">
    <xf numFmtId="0" fontId="0" fillId="0" borderId="0"/>
    <xf numFmtId="0" fontId="14" fillId="0" borderId="0"/>
    <xf numFmtId="0" fontId="15" fillId="0" borderId="3"/>
    <xf numFmtId="0" fontId="16" fillId="0" borderId="4"/>
    <xf numFmtId="0" fontId="16" fillId="0" borderId="0"/>
    <xf numFmtId="0" fontId="5" fillId="0" borderId="0"/>
  </cellStyleXfs>
  <cellXfs count="396">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18" fillId="0" borderId="0" applyProtection="1" pivotButton="0" quotePrefix="0" xfId="0">
      <protection locked="0" hidden="0"/>
    </xf>
    <xf numFmtId="0" fontId="18" fillId="0" borderId="0" pivotButton="0" quotePrefix="0" xfId="0"/>
    <xf numFmtId="0" fontId="3" fillId="0" borderId="0" pivotButton="0" quotePrefix="0" xfId="0"/>
    <xf numFmtId="0" fontId="19" fillId="0" borderId="0" applyAlignment="1" pivotButton="0" quotePrefix="1" xfId="0">
      <alignment horizontal="left" vertical="center" wrapText="1"/>
    </xf>
    <xf numFmtId="0" fontId="20" fillId="0" borderId="0" applyAlignment="1" pivotButton="0" quotePrefix="0" xfId="0">
      <alignment horizontal="left" vertical="center" wrapText="1"/>
    </xf>
    <xf numFmtId="0" fontId="4" fillId="0" borderId="0" applyAlignment="1" pivotButton="0" quotePrefix="0" xfId="0">
      <alignment horizontal="left" vertical="center" wrapText="1"/>
    </xf>
    <xf numFmtId="0" fontId="21" fillId="0" borderId="0" applyAlignment="1" pivotButton="0" quotePrefix="0" xfId="0">
      <alignment horizontal="left" wrapText="1"/>
    </xf>
    <xf numFmtId="0" fontId="19" fillId="0" borderId="0" applyAlignment="1" pivotButton="0" quotePrefix="0" xfId="0">
      <alignment vertical="top" wrapText="1"/>
    </xf>
    <xf numFmtId="0" fontId="20" fillId="0" borderId="0" pivotButton="0" quotePrefix="0" xfId="0"/>
    <xf numFmtId="0" fontId="19" fillId="0" borderId="0" applyAlignment="1" pivotButton="0" quotePrefix="0" xfId="0">
      <alignment horizontal="left" vertical="top" wrapText="1"/>
    </xf>
    <xf numFmtId="0" fontId="18"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horizontal="left" wrapText="1"/>
    </xf>
    <xf numFmtId="0" fontId="23" fillId="0" borderId="0" pivotButton="0" quotePrefix="0" xfId="0"/>
    <xf numFmtId="0" fontId="19" fillId="0" borderId="0" applyAlignment="1" pivotButton="0" quotePrefix="0" xfId="0">
      <alignment horizontal="left" wrapText="1"/>
    </xf>
    <xf numFmtId="0" fontId="18" fillId="0" borderId="0" applyAlignment="1" pivotButton="0" quotePrefix="0" xfId="0">
      <alignment wrapText="1"/>
    </xf>
    <xf numFmtId="0" fontId="18" fillId="3" borderId="0" pivotButton="0" quotePrefix="0" xfId="0"/>
    <xf numFmtId="0" fontId="6" fillId="0" borderId="0" applyAlignment="1" pivotButton="0" quotePrefix="0" xfId="0">
      <alignment horizontal="center" vertical="center"/>
    </xf>
    <xf numFmtId="0" fontId="19" fillId="0" borderId="0" applyAlignment="1" pivotButton="0" quotePrefix="0" xfId="4">
      <alignment horizontal="left" vertical="center" wrapText="1"/>
    </xf>
    <xf numFmtId="0" fontId="3" fillId="4" borderId="0" pivotButton="0" quotePrefix="0" xfId="0"/>
    <xf numFmtId="0" fontId="18" fillId="5" borderId="0" pivotButton="0" quotePrefix="0" xfId="0"/>
    <xf numFmtId="0" fontId="25" fillId="3" borderId="0" pivotButton="0" quotePrefix="0" xfId="0"/>
    <xf numFmtId="0" fontId="25" fillId="3" borderId="0" applyAlignment="1" pivotButton="0" quotePrefix="0" xfId="0">
      <alignment wrapText="1"/>
    </xf>
    <xf numFmtId="0" fontId="26" fillId="0" borderId="0" pivotButton="0" quotePrefix="0" xfId="0"/>
    <xf numFmtId="0" fontId="18" fillId="3" borderId="0" applyProtection="1" pivotButton="0" quotePrefix="0" xfId="0">
      <protection locked="0" hidden="0"/>
    </xf>
    <xf numFmtId="0" fontId="23" fillId="0" borderId="0" applyProtection="1" pivotButton="0" quotePrefix="0" xfId="0">
      <protection locked="0" hidden="0"/>
    </xf>
    <xf numFmtId="0" fontId="1" fillId="0" borderId="0" applyProtection="1" pivotButton="0" quotePrefix="0" xfId="0">
      <protection locked="0" hidden="0"/>
    </xf>
    <xf numFmtId="0" fontId="19" fillId="0" borderId="0" applyAlignment="1" applyProtection="1" pivotButton="0" quotePrefix="0" xfId="0">
      <alignment vertical="center"/>
      <protection locked="0" hidden="0"/>
    </xf>
    <xf numFmtId="0" fontId="19" fillId="0" borderId="0" applyAlignment="1" applyProtection="1" pivotButton="0" quotePrefix="1" xfId="0">
      <alignment vertical="center"/>
      <protection locked="0" hidden="0"/>
    </xf>
    <xf numFmtId="0" fontId="26" fillId="8" borderId="0" pivotButton="0" quotePrefix="0" xfId="0"/>
    <xf numFmtId="0" fontId="30" fillId="8" borderId="0" pivotButton="0" quotePrefix="0" xfId="0"/>
    <xf numFmtId="0" fontId="31" fillId="8" borderId="0" pivotButton="0" quotePrefix="0" xfId="0"/>
    <xf numFmtId="0" fontId="36" fillId="8" borderId="0" pivotButton="0" quotePrefix="0" xfId="0"/>
    <xf numFmtId="0" fontId="3" fillId="7" borderId="0" pivotButton="0" quotePrefix="0" xfId="0"/>
    <xf numFmtId="0" fontId="7" fillId="7" borderId="0" pivotButton="0" quotePrefix="0" xfId="0"/>
    <xf numFmtId="0" fontId="18" fillId="7" borderId="0" pivotButton="0" quotePrefix="0" xfId="0"/>
    <xf numFmtId="0" fontId="7" fillId="7" borderId="0" applyAlignment="1" pivotButton="0" quotePrefix="0" xfId="0">
      <alignment wrapText="1"/>
    </xf>
    <xf numFmtId="0" fontId="19" fillId="3" borderId="0" applyAlignment="1" applyProtection="1" pivotButton="0" quotePrefix="0" xfId="0">
      <alignment horizontal="left" vertical="top" wrapText="1"/>
      <protection locked="0" hidden="0"/>
    </xf>
    <xf numFmtId="0" fontId="46" fillId="0" borderId="0" applyAlignment="1" pivotButton="0" quotePrefix="0" xfId="0">
      <alignment horizontal="left" vertical="top"/>
    </xf>
    <xf numFmtId="0" fontId="47" fillId="0" borderId="0" applyProtection="1" pivotButton="0" quotePrefix="0" xfId="0">
      <protection locked="0" hidden="0"/>
    </xf>
    <xf numFmtId="0" fontId="47" fillId="0" borderId="0" pivotButton="0" quotePrefix="0" xfId="0"/>
    <xf numFmtId="0" fontId="46" fillId="0" borderId="0" applyProtection="1" pivotButton="0" quotePrefix="0" xfId="3">
      <protection locked="0" hidden="0"/>
    </xf>
    <xf numFmtId="0" fontId="53" fillId="7" borderId="0" pivotButton="0" quotePrefix="0" xfId="0"/>
    <xf numFmtId="0" fontId="53" fillId="7" borderId="0" applyAlignment="1" pivotButton="0" quotePrefix="0" xfId="0">
      <alignment horizontal="left" wrapText="1"/>
    </xf>
    <xf numFmtId="0" fontId="53" fillId="7" borderId="0" pivotButton="0" quotePrefix="1" xfId="0"/>
    <xf numFmtId="0" fontId="47" fillId="7" borderId="0" pivotButton="0" quotePrefix="0" xfId="0"/>
    <xf numFmtId="0" fontId="51" fillId="7" borderId="0" pivotButton="0" quotePrefix="0" xfId="0"/>
    <xf numFmtId="0" fontId="47" fillId="3" borderId="0" pivotButton="0" quotePrefix="0" xfId="0"/>
    <xf numFmtId="0" fontId="53" fillId="7" borderId="0" applyAlignment="1" pivotButton="0" quotePrefix="0" xfId="0">
      <alignment wrapText="1"/>
    </xf>
    <xf numFmtId="0" fontId="53" fillId="7" borderId="0" applyAlignment="1" pivotButton="0" quotePrefix="0" xfId="0">
      <alignment vertical="center"/>
    </xf>
    <xf numFmtId="0" fontId="57" fillId="0" borderId="0" applyProtection="1" pivotButton="0" quotePrefix="0" xfId="0">
      <protection locked="0" hidden="0"/>
    </xf>
    <xf numFmtId="0" fontId="57" fillId="2" borderId="0" pivotButton="0" quotePrefix="0" xfId="0"/>
    <xf numFmtId="0" fontId="57" fillId="0" borderId="0" pivotButton="0" quotePrefix="0" xfId="0"/>
    <xf numFmtId="0" fontId="58" fillId="0" borderId="0" applyAlignment="1" applyProtection="1" pivotButton="0" quotePrefix="0" xfId="1">
      <alignment horizontal="left" vertical="center" wrapText="1"/>
      <protection locked="0" hidden="0"/>
    </xf>
    <xf numFmtId="0" fontId="59" fillId="0" borderId="0" applyAlignment="1" applyProtection="1" pivotButton="0" quotePrefix="1" xfId="0">
      <alignment horizontal="left" vertical="center" wrapText="1"/>
      <protection locked="0" hidden="0"/>
    </xf>
    <xf numFmtId="0" fontId="59" fillId="0" borderId="0" applyAlignment="1" applyProtection="1" pivotButton="0" quotePrefix="0" xfId="0">
      <alignment horizontal="left" wrapText="1"/>
      <protection locked="0" hidden="0"/>
    </xf>
    <xf numFmtId="0" fontId="59" fillId="0" borderId="0" applyAlignment="1" applyProtection="1" pivotButton="0" quotePrefix="0" xfId="0">
      <alignment vertical="top" wrapText="1"/>
      <protection locked="0" hidden="0"/>
    </xf>
    <xf numFmtId="0" fontId="59" fillId="0" borderId="0" applyAlignment="1" applyProtection="1" pivotButton="0" quotePrefix="0" xfId="0">
      <alignment horizontal="left" vertical="top" wrapText="1"/>
      <protection locked="0" hidden="0"/>
    </xf>
    <xf numFmtId="0" fontId="60" fillId="2" borderId="1" pivotButton="0" quotePrefix="0" xfId="0"/>
    <xf numFmtId="0" fontId="57" fillId="0" borderId="0" applyAlignment="1" applyProtection="1" pivotButton="0" quotePrefix="0" xfId="0">
      <alignment vertical="top" wrapText="1"/>
      <protection locked="0" hidden="0"/>
    </xf>
    <xf numFmtId="0" fontId="59" fillId="0" borderId="0" applyProtection="1" pivotButton="0" quotePrefix="0" xfId="0">
      <protection locked="0" hidden="0"/>
    </xf>
    <xf numFmtId="0" fontId="57" fillId="3" borderId="0" applyProtection="1" pivotButton="0" quotePrefix="0" xfId="0">
      <protection locked="0" hidden="0"/>
    </xf>
    <xf numFmtId="0" fontId="57" fillId="3" borderId="0" pivotButton="0" quotePrefix="0" xfId="0"/>
    <xf numFmtId="0" fontId="18" fillId="11" borderId="0" pivotButton="0" quotePrefix="0" xfId="0"/>
    <xf numFmtId="0" fontId="30" fillId="11" borderId="0" applyAlignment="1" pivotButton="0" quotePrefix="0" xfId="4">
      <alignment horizontal="left" vertical="center"/>
    </xf>
    <xf numFmtId="0" fontId="26" fillId="11" borderId="0" pivotButton="0" quotePrefix="0" xfId="0"/>
    <xf numFmtId="0" fontId="30" fillId="11" borderId="0" applyAlignment="1" pivotButton="0" quotePrefix="0" xfId="0">
      <alignment horizontal="left" vertical="center"/>
    </xf>
    <xf numFmtId="0" fontId="30" fillId="11" borderId="0" applyAlignment="1" pivotButton="0" quotePrefix="0" xfId="0">
      <alignment vertical="center"/>
    </xf>
    <xf numFmtId="0" fontId="35" fillId="11" borderId="0" pivotButton="0" quotePrefix="0" xfId="0"/>
    <xf numFmtId="0" fontId="30" fillId="8" borderId="0" applyAlignment="1" pivotButton="0" quotePrefix="0" xfId="0">
      <alignment vertical="center"/>
    </xf>
    <xf numFmtId="0" fontId="30" fillId="8" borderId="0" pivotButton="0" quotePrefix="0" xfId="2"/>
    <xf numFmtId="0" fontId="37" fillId="8" borderId="0" applyAlignment="1" pivotButton="0" quotePrefix="1" xfId="0">
      <alignment vertical="center"/>
    </xf>
    <xf numFmtId="0" fontId="26" fillId="3" borderId="0" pivotButton="0" quotePrefix="0" xfId="0"/>
    <xf numFmtId="0" fontId="30" fillId="9" borderId="0" pivotButton="0" quotePrefix="0" xfId="0"/>
    <xf numFmtId="0" fontId="64" fillId="0" borderId="0" applyProtection="1" pivotButton="0" quotePrefix="0" xfId="2">
      <protection locked="0" hidden="0"/>
    </xf>
    <xf numFmtId="0" fontId="19" fillId="3" borderId="0" applyAlignment="1" pivotButton="0" quotePrefix="1" xfId="0">
      <alignment horizontal="left" vertical="center" wrapText="1"/>
    </xf>
    <xf numFmtId="0" fontId="57" fillId="12" borderId="0" pivotButton="0" quotePrefix="0" xfId="0"/>
    <xf numFmtId="0" fontId="57" fillId="12" borderId="0" applyProtection="1" pivotButton="0" quotePrefix="0" xfId="0">
      <protection locked="0" hidden="0"/>
    </xf>
    <xf numFmtId="16" fontId="57" fillId="12" borderId="0" applyAlignment="1" pivotButton="0" quotePrefix="0" xfId="0">
      <alignment horizontal="left"/>
    </xf>
    <xf numFmtId="0" fontId="59" fillId="12" borderId="0" applyAlignment="1" applyProtection="1" pivotButton="0" quotePrefix="0" xfId="0">
      <alignment horizontal="left" wrapText="1"/>
      <protection locked="0" hidden="0"/>
    </xf>
    <xf numFmtId="0" fontId="62" fillId="12" borderId="0" pivotButton="0" quotePrefix="0" xfId="0"/>
    <xf numFmtId="0" fontId="59" fillId="12" borderId="0" applyProtection="1" pivotButton="0" quotePrefix="0" xfId="0">
      <protection locked="0" hidden="0"/>
    </xf>
    <xf numFmtId="0" fontId="58" fillId="12" borderId="0" applyAlignment="1" applyProtection="1" pivotButton="0" quotePrefix="0" xfId="1">
      <alignment vertical="center" wrapText="1"/>
      <protection locked="0" hidden="0"/>
    </xf>
    <xf numFmtId="0" fontId="57" fillId="12" borderId="2" pivotButton="0" quotePrefix="0" xfId="0"/>
    <xf numFmtId="0" fontId="23" fillId="12" borderId="0" applyProtection="1" pivotButton="0" quotePrefix="0" xfId="0">
      <protection locked="0" hidden="0"/>
    </xf>
    <xf numFmtId="0" fontId="18" fillId="12" borderId="0" applyProtection="1" pivotButton="0" quotePrefix="0" xfId="0">
      <protection locked="0" hidden="0"/>
    </xf>
    <xf numFmtId="0" fontId="18" fillId="12" borderId="0" pivotButton="0" quotePrefix="0" xfId="0"/>
    <xf numFmtId="0" fontId="46" fillId="7" borderId="0" applyAlignment="1" pivotButton="0" quotePrefix="0" xfId="0">
      <alignment horizontal="center"/>
    </xf>
    <xf numFmtId="0" fontId="66" fillId="7" borderId="0" applyAlignment="1" pivotButton="0" quotePrefix="0" xfId="4">
      <alignment horizontal="center" vertical="center" wrapText="1"/>
    </xf>
    <xf numFmtId="0" fontId="66" fillId="7" borderId="0" applyAlignment="1" pivotButton="0" quotePrefix="1" xfId="0">
      <alignment horizontal="center" vertical="center" wrapText="1"/>
    </xf>
    <xf numFmtId="0" fontId="50" fillId="7" borderId="0" applyAlignment="1" pivotButton="0" quotePrefix="0" xfId="0">
      <alignment horizontal="center" vertical="center" wrapText="1"/>
    </xf>
    <xf numFmtId="0" fontId="67" fillId="7" borderId="0" applyAlignment="1" pivotButton="0" quotePrefix="0" xfId="0">
      <alignment horizontal="center" wrapText="1"/>
    </xf>
    <xf numFmtId="0" fontId="66" fillId="7" borderId="0" applyAlignment="1" pivotButton="0" quotePrefix="0" xfId="0">
      <alignment horizontal="center" vertical="top" wrapText="1"/>
    </xf>
    <xf numFmtId="0" fontId="68" fillId="7" borderId="0" applyAlignment="1" pivotButton="0" quotePrefix="0" xfId="0">
      <alignment horizontal="center"/>
    </xf>
    <xf numFmtId="0" fontId="50" fillId="7" borderId="0" applyAlignment="1" pivotButton="0" quotePrefix="0" xfId="0">
      <alignment horizontal="center"/>
    </xf>
    <xf numFmtId="0" fontId="46" fillId="7" borderId="0" applyAlignment="1" pivotButton="0" quotePrefix="0" xfId="0">
      <alignment horizontal="center" vertical="top" wrapText="1"/>
    </xf>
    <xf numFmtId="0" fontId="69" fillId="7" borderId="0" applyAlignment="1" pivotButton="0" quotePrefix="0" xfId="0">
      <alignment horizontal="center" vertical="top" wrapText="1"/>
    </xf>
    <xf numFmtId="0" fontId="68" fillId="7" borderId="0" applyAlignment="1" pivotButton="0" quotePrefix="0" xfId="0">
      <alignment horizontal="center" wrapText="1"/>
    </xf>
    <xf numFmtId="0" fontId="66" fillId="7" borderId="0" applyAlignment="1" pivotButton="0" quotePrefix="0" xfId="0">
      <alignment horizontal="center" wrapText="1"/>
    </xf>
    <xf numFmtId="0" fontId="46" fillId="7" borderId="0" applyAlignment="1" pivotButton="0" quotePrefix="0" xfId="0">
      <alignment horizontal="center" wrapText="1"/>
    </xf>
    <xf numFmtId="0" fontId="68" fillId="0" borderId="0" applyAlignment="1" pivotButton="0" quotePrefix="0" xfId="0">
      <alignment horizontal="center"/>
    </xf>
    <xf numFmtId="0" fontId="24" fillId="3" borderId="0" pivotButton="0" quotePrefix="0" xfId="0"/>
    <xf numFmtId="0" fontId="53" fillId="7" borderId="0" applyAlignment="1" pivotButton="0" quotePrefix="1" xfId="0">
      <alignment wrapText="1"/>
    </xf>
    <xf numFmtId="0" fontId="17" fillId="3" borderId="0" pivotButton="0" quotePrefix="0" xfId="0"/>
    <xf numFmtId="0" fontId="40" fillId="8" borderId="0" pivotButton="0" quotePrefix="0" xfId="0"/>
    <xf numFmtId="0" fontId="54" fillId="7" borderId="0" applyAlignment="1" pivotButton="0" quotePrefix="0" xfId="0">
      <alignment horizontal="left"/>
    </xf>
    <xf numFmtId="0" fontId="50" fillId="7" borderId="0" applyAlignment="1" pivotButton="0" quotePrefix="0" xfId="0">
      <alignment vertical="center"/>
    </xf>
    <xf numFmtId="0" fontId="55" fillId="7" borderId="0" pivotButton="0" quotePrefix="0" xfId="1"/>
    <xf numFmtId="0" fontId="26" fillId="8" borderId="0" applyAlignment="1" pivotButton="0" quotePrefix="0" xfId="0">
      <alignment wrapText="1"/>
    </xf>
    <xf numFmtId="0" fontId="18" fillId="4" borderId="0" pivotButton="0" quotePrefix="0" xfId="0"/>
    <xf numFmtId="0" fontId="7" fillId="7" borderId="0" applyAlignment="1" pivotButton="0" quotePrefix="0" xfId="0">
      <alignment horizontal="left" wrapText="1"/>
    </xf>
    <xf numFmtId="0" fontId="54" fillId="7" borderId="0" pivotButton="0" quotePrefix="0" xfId="0"/>
    <xf numFmtId="0" fontId="25" fillId="8" borderId="0" applyAlignment="1" pivotButton="0" quotePrefix="0" xfId="0">
      <alignment wrapText="1"/>
    </xf>
    <xf numFmtId="0" fontId="63" fillId="8" borderId="0" pivotButton="0" quotePrefix="0" xfId="0"/>
    <xf numFmtId="0" fontId="52" fillId="8" borderId="0" applyAlignment="1" pivotButton="0" quotePrefix="0" xfId="0">
      <alignment vertical="center"/>
    </xf>
    <xf numFmtId="0" fontId="52" fillId="8" borderId="0" applyAlignment="1" pivotButton="0" quotePrefix="0" xfId="0">
      <alignment horizontal="left" vertical="center"/>
    </xf>
    <xf numFmtId="0" fontId="52" fillId="13" borderId="0" applyAlignment="1" pivotButton="0" quotePrefix="0" xfId="0">
      <alignment horizontal="left" vertical="center"/>
    </xf>
    <xf numFmtId="0" fontId="63" fillId="13" borderId="0" pivotButton="0" quotePrefix="0" xfId="0"/>
    <xf numFmtId="0" fontId="52" fillId="13" borderId="0" applyAlignment="1" pivotButton="0" quotePrefix="0" xfId="0">
      <alignment horizontal="center"/>
    </xf>
    <xf numFmtId="0" fontId="52" fillId="13" borderId="0" applyAlignment="1" applyProtection="1" pivotButton="0" quotePrefix="0" xfId="0">
      <alignment horizontal="left" vertical="center"/>
      <protection locked="0" hidden="0"/>
    </xf>
    <xf numFmtId="0" fontId="2" fillId="3" borderId="0" applyAlignment="1" pivotButton="0" quotePrefix="0" xfId="4">
      <alignment horizontal="left" vertical="center"/>
    </xf>
    <xf numFmtId="0" fontId="3" fillId="3" borderId="0" pivotButton="0" quotePrefix="0" xfId="0"/>
    <xf numFmtId="0" fontId="52" fillId="8" borderId="0" applyAlignment="1" pivotButton="0" quotePrefix="0" xfId="0">
      <alignment horizontal="center"/>
    </xf>
    <xf numFmtId="0" fontId="18" fillId="0" borderId="0" applyAlignment="1" pivotButton="0" quotePrefix="0" xfId="0">
      <alignment horizontal="center"/>
    </xf>
    <xf numFmtId="0" fontId="47" fillId="0" borderId="0" applyAlignment="1" pivotButton="0" quotePrefix="0" xfId="0">
      <alignment horizontal="center"/>
    </xf>
    <xf numFmtId="0" fontId="18" fillId="3" borderId="0" applyAlignment="1" pivotButton="0" quotePrefix="0" xfId="0">
      <alignment horizontal="center"/>
    </xf>
    <xf numFmtId="0" fontId="23" fillId="0" borderId="0" applyAlignment="1" applyProtection="1" pivotButton="0" quotePrefix="0" xfId="0">
      <alignment horizontal="center"/>
      <protection locked="0" hidden="0"/>
    </xf>
    <xf numFmtId="0" fontId="18" fillId="0" borderId="0" applyAlignment="1" applyProtection="1" pivotButton="0" quotePrefix="0" xfId="0">
      <alignment horizontal="center"/>
      <protection locked="0" hidden="0"/>
    </xf>
    <xf numFmtId="0" fontId="19" fillId="3" borderId="0" applyAlignment="1" pivotButton="0" quotePrefix="0" xfId="4">
      <alignment horizontal="left" vertical="center" wrapText="1"/>
    </xf>
    <xf numFmtId="0" fontId="58" fillId="3" borderId="0" applyAlignment="1" applyProtection="1" pivotButton="0" quotePrefix="0" xfId="1">
      <alignment horizontal="left" vertical="center" wrapText="1"/>
      <protection locked="0" hidden="0"/>
    </xf>
    <xf numFmtId="0" fontId="59" fillId="3" borderId="0" applyAlignment="1" applyProtection="1" pivotButton="0" quotePrefix="1" xfId="0">
      <alignment horizontal="left" vertical="center" wrapText="1"/>
      <protection locked="0" hidden="0"/>
    </xf>
    <xf numFmtId="0" fontId="20" fillId="3" borderId="0" applyAlignment="1" pivotButton="0" quotePrefix="0" xfId="0">
      <alignment horizontal="left" vertical="center" wrapText="1"/>
    </xf>
    <xf numFmtId="0" fontId="56" fillId="3" borderId="0" applyAlignment="1" applyProtection="1" pivotButton="0" quotePrefix="0" xfId="0">
      <alignment horizontal="left" vertical="center" wrapText="1"/>
      <protection locked="0" hidden="0"/>
    </xf>
    <xf numFmtId="0" fontId="57" fillId="3" borderId="0" applyAlignment="1" applyProtection="1" pivotButton="0" quotePrefix="0" xfId="0">
      <alignment horizontal="left" vertical="center" wrapText="1"/>
      <protection locked="0" hidden="0"/>
    </xf>
    <xf numFmtId="0" fontId="4" fillId="3" borderId="0" applyAlignment="1" pivotButton="0" quotePrefix="0" xfId="0">
      <alignment horizontal="left" vertical="center" wrapText="1"/>
    </xf>
    <xf numFmtId="0" fontId="21" fillId="3" borderId="0" applyAlignment="1" pivotButton="0" quotePrefix="0" xfId="0">
      <alignment horizontal="left" wrapText="1"/>
    </xf>
    <xf numFmtId="0" fontId="19" fillId="3" borderId="0" applyAlignment="1" pivotButton="0" quotePrefix="0" xfId="0">
      <alignment vertical="top" wrapText="1"/>
    </xf>
    <xf numFmtId="0" fontId="23" fillId="3" borderId="0" pivotButton="0" quotePrefix="0" xfId="0"/>
    <xf numFmtId="0" fontId="19" fillId="3" borderId="0" applyAlignment="1" pivotButton="0" quotePrefix="0" xfId="0">
      <alignment horizontal="left" vertical="top" wrapText="1"/>
    </xf>
    <xf numFmtId="0" fontId="28" fillId="3" borderId="0" applyAlignment="1" pivotButton="0" quotePrefix="0" xfId="0">
      <alignment horizontal="left" vertical="top" wrapText="1"/>
    </xf>
    <xf numFmtId="0" fontId="20" fillId="3" borderId="0" pivotButton="0" quotePrefix="0" xfId="0"/>
    <xf numFmtId="0" fontId="18" fillId="3" borderId="0" applyAlignment="1" pivotButton="0" quotePrefix="0" xfId="0">
      <alignment vertical="top" wrapText="1"/>
    </xf>
    <xf numFmtId="0" fontId="57" fillId="3" borderId="0" applyAlignment="1" applyProtection="1" pivotButton="0" quotePrefix="0" xfId="0">
      <alignment vertical="top" wrapText="1"/>
      <protection locked="0" hidden="0"/>
    </xf>
    <xf numFmtId="0" fontId="22" fillId="3" borderId="0" applyAlignment="1" pivotButton="0" quotePrefix="0" xfId="0">
      <alignment vertical="top" wrapText="1"/>
    </xf>
    <xf numFmtId="0" fontId="22" fillId="3" borderId="0" applyAlignment="1" pivotButton="0" quotePrefix="0" xfId="0">
      <alignment horizontal="center" vertical="top" wrapText="1"/>
    </xf>
    <xf numFmtId="0" fontId="61" fillId="3" borderId="0" applyAlignment="1" applyProtection="1" pivotButton="0" quotePrefix="0" xfId="0">
      <alignment vertical="top" wrapText="1"/>
      <protection locked="0" hidden="0"/>
    </xf>
    <xf numFmtId="0" fontId="23" fillId="3" borderId="0" applyAlignment="1" pivotButton="0" quotePrefix="0" xfId="0">
      <alignment horizontal="left" wrapText="1"/>
    </xf>
    <xf numFmtId="0" fontId="19" fillId="3" borderId="0" applyAlignment="1" pivotButton="0" quotePrefix="0" xfId="0">
      <alignment horizontal="left" wrapText="1"/>
    </xf>
    <xf numFmtId="0" fontId="62" fillId="3" borderId="0" pivotButton="0" quotePrefix="0" xfId="0"/>
    <xf numFmtId="0" fontId="59" fillId="3" borderId="0" applyAlignment="1" applyProtection="1" pivotButton="0" quotePrefix="0" xfId="0">
      <alignment horizontal="left" wrapText="1"/>
      <protection locked="0" hidden="0"/>
    </xf>
    <xf numFmtId="0" fontId="59" fillId="3" borderId="0" applyProtection="1" pivotButton="0" quotePrefix="0" xfId="0">
      <protection locked="0" hidden="0"/>
    </xf>
    <xf numFmtId="0" fontId="18" fillId="3" borderId="0" applyAlignment="1" pivotButton="0" quotePrefix="0" xfId="0">
      <alignment wrapText="1"/>
    </xf>
    <xf numFmtId="0" fontId="57" fillId="3" borderId="0" applyAlignment="1" applyProtection="1" pivotButton="0" quotePrefix="0" xfId="0">
      <alignment wrapText="1"/>
      <protection locked="0" hidden="0"/>
    </xf>
    <xf numFmtId="0" fontId="26" fillId="3" borderId="0" applyAlignment="1" pivotButton="0" quotePrefix="0" xfId="0">
      <alignment wrapText="1"/>
    </xf>
    <xf numFmtId="0" fontId="63" fillId="3" borderId="0" applyProtection="1" pivotButton="0" quotePrefix="0" xfId="0">
      <protection locked="0" hidden="0"/>
    </xf>
    <xf numFmtId="0" fontId="63" fillId="3" borderId="0" pivotButton="0" quotePrefix="0" xfId="0"/>
    <xf numFmtId="0" fontId="52" fillId="13" borderId="0" applyAlignment="1" pivotButton="0" quotePrefix="0" xfId="0">
      <alignment horizontal="center" vertical="center"/>
    </xf>
    <xf numFmtId="0" fontId="40" fillId="0" borderId="0" pivotButton="0" quotePrefix="0" xfId="0"/>
    <xf numFmtId="0" fontId="41" fillId="0" borderId="0" applyAlignment="1" pivotButton="0" quotePrefix="0" xfId="0">
      <alignment horizontal="center"/>
    </xf>
    <xf numFmtId="0" fontId="31" fillId="0" borderId="0" applyAlignment="1" pivotButton="0" quotePrefix="0" xfId="0">
      <alignment vertical="center"/>
    </xf>
    <xf numFmtId="0" fontId="26" fillId="0" borderId="0" applyAlignment="1" pivotButton="0" quotePrefix="0" xfId="0">
      <alignment horizontal="center"/>
    </xf>
    <xf numFmtId="0" fontId="19" fillId="0" borderId="0" applyAlignment="1" applyProtection="1" pivotButton="0" quotePrefix="0" xfId="0">
      <alignment horizontal="left" vertical="top"/>
      <protection locked="0" hidden="0"/>
    </xf>
    <xf numFmtId="0" fontId="19"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center" vertical="top" wrapText="1"/>
      <protection locked="0" hidden="0"/>
    </xf>
    <xf numFmtId="0" fontId="2" fillId="0" borderId="0" applyAlignment="1" pivotButton="0" quotePrefix="0" xfId="0">
      <alignment vertical="center"/>
    </xf>
    <xf numFmtId="0" fontId="20" fillId="0" borderId="0" applyAlignment="1" pivotButton="0" quotePrefix="0" xfId="0">
      <alignment horizontal="center"/>
    </xf>
    <xf numFmtId="0" fontId="50" fillId="0" borderId="0" applyAlignment="1" pivotButton="0" quotePrefix="0" xfId="4">
      <alignment vertical="center"/>
    </xf>
    <xf numFmtId="0" fontId="30" fillId="11" borderId="0" applyAlignment="1" pivotButton="0" quotePrefix="0" xfId="2">
      <alignment horizontal="left"/>
    </xf>
    <xf numFmtId="0" fontId="2" fillId="11" borderId="0" applyAlignment="1" pivotButton="0" quotePrefix="0" xfId="2">
      <alignment horizontal="left"/>
    </xf>
    <xf numFmtId="0" fontId="24" fillId="11" borderId="0" pivotButton="0" quotePrefix="0" xfId="2"/>
    <xf numFmtId="0" fontId="20" fillId="11" borderId="0" pivotButton="0" quotePrefix="0" xfId="0"/>
    <xf numFmtId="0" fontId="31" fillId="11" borderId="0" pivotButton="0" quotePrefix="0" xfId="0"/>
    <xf numFmtId="0" fontId="36" fillId="11" borderId="0" pivotButton="0" quotePrefix="0" xfId="0"/>
    <xf numFmtId="0" fontId="24" fillId="11" borderId="0" pivotButton="0" quotePrefix="0" xfId="0"/>
    <xf numFmtId="0" fontId="23" fillId="11" borderId="0" pivotButton="0" quotePrefix="0" xfId="0"/>
    <xf numFmtId="0" fontId="37" fillId="11" borderId="0" applyAlignment="1" pivotButton="0" quotePrefix="1" xfId="0">
      <alignment vertical="center"/>
    </xf>
    <xf numFmtId="0" fontId="48" fillId="14" borderId="0" pivotButton="0" quotePrefix="0" xfId="0"/>
    <xf numFmtId="0" fontId="52" fillId="8" borderId="6" applyAlignment="1" pivotButton="0" quotePrefix="0" xfId="0">
      <alignment vertical="center"/>
    </xf>
    <xf numFmtId="0" fontId="52" fillId="8" borderId="7" applyAlignment="1" pivotButton="0" quotePrefix="0" xfId="0">
      <alignment vertical="center"/>
    </xf>
    <xf numFmtId="0" fontId="52" fillId="8" borderId="8" applyAlignment="1" pivotButton="0" quotePrefix="0" xfId="0">
      <alignment vertical="center"/>
    </xf>
    <xf numFmtId="0" fontId="35" fillId="11" borderId="9" pivotButton="0" quotePrefix="0" xfId="0"/>
    <xf numFmtId="0" fontId="35" fillId="12" borderId="10" pivotButton="0" quotePrefix="0" xfId="0"/>
    <xf numFmtId="0" fontId="30" fillId="11" borderId="9" applyAlignment="1" pivotButton="0" quotePrefix="0" xfId="0">
      <alignment vertical="center"/>
    </xf>
    <xf numFmtId="0" fontId="20" fillId="12" borderId="10" applyAlignment="1" pivotButton="0" quotePrefix="0" xfId="0">
      <alignment horizontal="center"/>
    </xf>
    <xf numFmtId="0" fontId="19" fillId="12" borderId="10" applyAlignment="1" pivotButton="0" quotePrefix="0" xfId="0">
      <alignment horizontal="center" vertical="top"/>
    </xf>
    <xf numFmtId="0" fontId="30" fillId="11" borderId="9" pivotButton="0" quotePrefix="0" xfId="2"/>
    <xf numFmtId="0" fontId="30" fillId="11" borderId="9" applyAlignment="1" pivotButton="0" quotePrefix="0" xfId="2">
      <alignment horizontal="left"/>
    </xf>
    <xf numFmtId="0" fontId="18" fillId="12" borderId="13" applyAlignment="1" pivotButton="0" quotePrefix="0" xfId="0">
      <alignment horizontal="center"/>
    </xf>
    <xf numFmtId="0" fontId="47" fillId="8" borderId="8" applyAlignment="1" pivotButton="0" quotePrefix="0" xfId="0">
      <alignment horizontal="center"/>
    </xf>
    <xf numFmtId="0" fontId="18" fillId="12" borderId="10" applyAlignment="1" pivotButton="0" quotePrefix="0" xfId="0">
      <alignment horizontal="center"/>
    </xf>
    <xf numFmtId="0" fontId="5" fillId="12" borderId="10" applyAlignment="1" pivotButton="0" quotePrefix="0" xfId="0">
      <alignment horizontal="center" wrapText="1"/>
    </xf>
    <xf numFmtId="0" fontId="30" fillId="11" borderId="9" pivotButton="0" quotePrefix="0" xfId="0"/>
    <xf numFmtId="0" fontId="32" fillId="11" borderId="0" pivotButton="0" quotePrefix="0" xfId="0"/>
    <xf numFmtId="0" fontId="29" fillId="11" borderId="0" pivotButton="0" quotePrefix="0" xfId="0"/>
    <xf numFmtId="0" fontId="33" fillId="11" borderId="0" applyAlignment="1" pivotButton="0" quotePrefix="0" xfId="0">
      <alignment horizontal="right"/>
    </xf>
    <xf numFmtId="0" fontId="34" fillId="11" borderId="0" pivotButton="0" quotePrefix="0" xfId="0"/>
    <xf numFmtId="0" fontId="23" fillId="12" borderId="10" applyAlignment="1" pivotButton="0" quotePrefix="0" xfId="0">
      <alignment horizontal="center"/>
    </xf>
    <xf numFmtId="0" fontId="19" fillId="12" borderId="10" applyAlignment="1" pivotButton="0" quotePrefix="0" xfId="0">
      <alignment horizontal="center" wrapText="1"/>
    </xf>
    <xf numFmtId="0" fontId="30" fillId="9" borderId="0" applyAlignment="1" pivotButton="0" quotePrefix="0" xfId="0">
      <alignment horizontal="left"/>
    </xf>
    <xf numFmtId="0" fontId="33" fillId="11" borderId="9" pivotButton="0" quotePrefix="0" xfId="0"/>
    <xf numFmtId="0" fontId="30" fillId="11" borderId="0" pivotButton="0" quotePrefix="0" xfId="0"/>
    <xf numFmtId="0" fontId="31" fillId="11" borderId="9" pivotButton="0" quotePrefix="0" xfId="0"/>
    <xf numFmtId="0" fontId="37" fillId="11" borderId="0" applyAlignment="1" pivotButton="0" quotePrefix="0" xfId="0">
      <alignment wrapText="1"/>
    </xf>
    <xf numFmtId="0" fontId="23" fillId="12" borderId="13" applyAlignment="1" pivotButton="0" quotePrefix="0" xfId="0">
      <alignment horizontal="center"/>
    </xf>
    <xf numFmtId="0" fontId="19" fillId="7" borderId="8" applyAlignment="1" pivotButton="0" quotePrefix="1" xfId="0">
      <alignment horizontal="center" vertical="center" wrapText="1"/>
    </xf>
    <xf numFmtId="0" fontId="30" fillId="11" borderId="9" applyAlignment="1" pivotButton="0" quotePrefix="0" xfId="4">
      <alignment horizontal="left" vertical="center"/>
    </xf>
    <xf numFmtId="0" fontId="18" fillId="7" borderId="10" applyAlignment="1" pivotButton="0" quotePrefix="0" xfId="0">
      <alignment horizontal="center"/>
    </xf>
    <xf numFmtId="0" fontId="19" fillId="3" borderId="9" applyAlignment="1" applyProtection="1" pivotButton="0" quotePrefix="0" xfId="0">
      <alignment horizontal="left" vertical="top" wrapText="1"/>
      <protection locked="0" hidden="0"/>
    </xf>
    <xf numFmtId="0" fontId="19" fillId="7" borderId="10" applyAlignment="1" pivotButton="0" quotePrefix="1" xfId="0">
      <alignment horizontal="center" vertical="center" wrapText="1"/>
    </xf>
    <xf numFmtId="0" fontId="19" fillId="3" borderId="10" applyAlignment="1" pivotButton="0" quotePrefix="1" xfId="0">
      <alignment horizontal="center" vertical="center" wrapText="1"/>
    </xf>
    <xf numFmtId="0" fontId="52" fillId="11" borderId="0" applyAlignment="1" pivotButton="0" quotePrefix="0" xfId="0">
      <alignment vertical="center"/>
    </xf>
    <xf numFmtId="0" fontId="20" fillId="7" borderId="10" applyAlignment="1" pivotButton="0" quotePrefix="0" xfId="0">
      <alignment horizontal="center" vertical="center" wrapText="1"/>
    </xf>
    <xf numFmtId="0" fontId="4" fillId="7" borderId="10" applyAlignment="1" pivotButton="0" quotePrefix="0" xfId="0">
      <alignment horizontal="center" vertical="center" wrapText="1"/>
    </xf>
    <xf numFmtId="0" fontId="21" fillId="7" borderId="10" applyAlignment="1" pivotButton="0" quotePrefix="0" xfId="0">
      <alignment horizontal="center" wrapText="1"/>
    </xf>
    <xf numFmtId="0" fontId="19" fillId="7" borderId="10" applyAlignment="1" pivotButton="0" quotePrefix="0" xfId="0">
      <alignment horizontal="center" vertical="top" wrapText="1"/>
    </xf>
    <xf numFmtId="0" fontId="19" fillId="12" borderId="10" applyAlignment="1" applyProtection="1" pivotButton="0" quotePrefix="0" xfId="0">
      <alignment horizontal="center" vertical="top"/>
      <protection locked="0" hidden="0"/>
    </xf>
    <xf numFmtId="0" fontId="30" fillId="11" borderId="11" applyAlignment="1" pivotButton="0" quotePrefix="0" xfId="4">
      <alignment horizontal="left" vertical="center"/>
    </xf>
    <xf numFmtId="0" fontId="26" fillId="11" borderId="12" pivotButton="0" quotePrefix="0" xfId="0"/>
    <xf numFmtId="0" fontId="59" fillId="3" borderId="0" applyAlignment="1" applyProtection="1" pivotButton="0" quotePrefix="0" xfId="0">
      <alignment horizontal="left" vertical="top" wrapText="1"/>
      <protection locked="0" hidden="0"/>
    </xf>
    <xf numFmtId="0" fontId="28" fillId="12" borderId="8" applyAlignment="1" pivotButton="0" quotePrefix="0" xfId="0">
      <alignment horizontal="center" vertical="top" wrapText="1"/>
    </xf>
    <xf numFmtId="0" fontId="26" fillId="8" borderId="8" applyAlignment="1" pivotButton="0" quotePrefix="0" xfId="0">
      <alignment horizontal="center"/>
    </xf>
    <xf numFmtId="0" fontId="19" fillId="7" borderId="10" applyAlignment="1" applyProtection="1" pivotButton="0" quotePrefix="0" xfId="4">
      <alignment horizontal="center" vertical="top" wrapText="1"/>
      <protection locked="0" hidden="0"/>
    </xf>
    <xf numFmtId="0" fontId="19" fillId="7" borderId="10" applyAlignment="1" applyProtection="1" pivotButton="0" quotePrefix="0" xfId="0">
      <alignment horizontal="center" vertical="top" wrapText="1"/>
      <protection locked="0" hidden="0"/>
    </xf>
    <xf numFmtId="0" fontId="19" fillId="3" borderId="10" applyAlignment="1" applyProtection="1" pivotButton="0" quotePrefix="0" xfId="0">
      <alignment horizontal="center" vertical="top" wrapText="1"/>
      <protection locked="0" hidden="0"/>
    </xf>
    <xf numFmtId="0" fontId="19" fillId="3" borderId="9" applyAlignment="1" pivotButton="0" quotePrefix="0" xfId="0">
      <alignment vertical="top"/>
    </xf>
    <xf numFmtId="0" fontId="2" fillId="7" borderId="9" applyAlignment="1" pivotButton="0" quotePrefix="0" xfId="0">
      <alignment vertical="center"/>
    </xf>
    <xf numFmtId="0" fontId="3" fillId="7" borderId="10" applyAlignment="1" pivotButton="0" quotePrefix="0" xfId="0">
      <alignment horizontal="center"/>
    </xf>
    <xf numFmtId="0" fontId="3" fillId="7" borderId="9" pivotButton="0" quotePrefix="0" xfId="0"/>
    <xf numFmtId="0" fontId="3" fillId="11" borderId="0" pivotButton="0" quotePrefix="0" xfId="0"/>
    <xf numFmtId="0" fontId="26" fillId="11" borderId="9" pivotButton="0" quotePrefix="0" xfId="0"/>
    <xf numFmtId="0" fontId="26" fillId="9" borderId="0" pivotButton="0" quotePrefix="0" xfId="0"/>
    <xf numFmtId="0" fontId="18" fillId="6" borderId="10" applyAlignment="1" pivotButton="0" quotePrefix="0" xfId="0">
      <alignment horizontal="center"/>
    </xf>
    <xf numFmtId="0" fontId="39" fillId="11" borderId="9" pivotButton="0" quotePrefix="0" xfId="0"/>
    <xf numFmtId="0" fontId="39" fillId="11" borderId="0" pivotButton="0" quotePrefix="0" xfId="0"/>
    <xf numFmtId="0" fontId="26" fillId="11" borderId="0" applyAlignment="1" pivotButton="0" quotePrefix="0" xfId="0">
      <alignment wrapText="1"/>
    </xf>
    <xf numFmtId="0" fontId="41" fillId="7" borderId="10" applyAlignment="1" pivotButton="0" quotePrefix="0" xfId="0">
      <alignment horizontal="center"/>
    </xf>
    <xf numFmtId="0" fontId="42" fillId="7" borderId="10" applyAlignment="1" applyProtection="1" pivotButton="0" quotePrefix="0" xfId="0">
      <alignment horizontal="center" vertical="top" wrapText="1"/>
      <protection locked="0" hidden="0"/>
    </xf>
    <xf numFmtId="0" fontId="41" fillId="7" borderId="10" applyAlignment="1" applyProtection="1" pivotButton="0" quotePrefix="0" xfId="0">
      <alignment horizontal="center"/>
      <protection locked="0" hidden="0"/>
    </xf>
    <xf numFmtId="0" fontId="37" fillId="11" borderId="9" pivotButton="0" quotePrefix="0" xfId="0"/>
    <xf numFmtId="0" fontId="26" fillId="11" borderId="0" applyProtection="1" pivotButton="0" quotePrefix="0" xfId="0">
      <protection locked="0" hidden="0"/>
    </xf>
    <xf numFmtId="0" fontId="3" fillId="7" borderId="12" applyProtection="1" pivotButton="0" quotePrefix="0" xfId="0">
      <protection locked="0" hidden="0"/>
    </xf>
    <xf numFmtId="0" fontId="41" fillId="7" borderId="13" applyAlignment="1" applyProtection="1" pivotButton="0" quotePrefix="0" xfId="0">
      <alignment horizontal="center"/>
      <protection locked="0" hidden="0"/>
    </xf>
    <xf numFmtId="0" fontId="43" fillId="7" borderId="10" applyAlignment="1" pivotButton="0" quotePrefix="0" xfId="0">
      <alignment horizontal="center"/>
    </xf>
    <xf numFmtId="0" fontId="41" fillId="7" borderId="13" applyAlignment="1" pivotButton="0" quotePrefix="0" xfId="0">
      <alignment horizontal="center"/>
    </xf>
    <xf numFmtId="0" fontId="43" fillId="0" borderId="0" applyAlignment="1" pivotButton="0" quotePrefix="0" xfId="0">
      <alignment horizontal="left" vertical="top"/>
    </xf>
    <xf numFmtId="164" fontId="47" fillId="0" borderId="0" applyAlignment="1" pivotButton="0" quotePrefix="0" xfId="0">
      <alignment horizontal="left" vertical="top"/>
    </xf>
    <xf numFmtId="0" fontId="47" fillId="0" borderId="0" applyAlignment="1" pivotButton="0" quotePrefix="0" xfId="0">
      <alignment horizontal="left" vertical="top"/>
    </xf>
    <xf numFmtId="0" fontId="49" fillId="12" borderId="0" applyAlignment="1" pivotButton="0" quotePrefix="0" xfId="0">
      <alignment horizontal="left" vertical="center"/>
    </xf>
    <xf numFmtId="0" fontId="49" fillId="12" borderId="0" applyAlignment="1" pivotButton="0" quotePrefix="0" xfId="0">
      <alignment vertical="center"/>
    </xf>
    <xf numFmtId="0" fontId="49" fillId="12" borderId="0" applyAlignment="1" applyProtection="1" pivotButton="0" quotePrefix="0" xfId="0">
      <alignment vertical="center"/>
      <protection locked="0" hidden="0"/>
    </xf>
    <xf numFmtId="0" fontId="18" fillId="12" borderId="0" applyAlignment="1" pivotButton="0" quotePrefix="0" xfId="0">
      <alignment vertical="top" wrapText="1"/>
    </xf>
    <xf numFmtId="0" fontId="38" fillId="12" borderId="9" applyAlignment="1" pivotButton="0" quotePrefix="0" xfId="0">
      <alignment horizontal="left" vertical="center"/>
    </xf>
    <xf numFmtId="0" fontId="19" fillId="12" borderId="10" applyAlignment="1" pivotButton="0" quotePrefix="0" xfId="0">
      <alignment horizontal="center" vertical="center"/>
    </xf>
    <xf numFmtId="0" fontId="65" fillId="12" borderId="9" applyAlignment="1" pivotButton="0" quotePrefix="0" xfId="0">
      <alignment vertical="center"/>
    </xf>
    <xf numFmtId="0" fontId="19" fillId="12" borderId="10" applyAlignment="1" applyProtection="1" pivotButton="0" quotePrefix="0" xfId="0">
      <alignment horizontal="center" vertical="center"/>
      <protection locked="0" hidden="0"/>
    </xf>
    <xf numFmtId="0" fontId="18" fillId="12" borderId="9" applyAlignment="1" pivotButton="0" quotePrefix="0" xfId="0">
      <alignment vertical="top" wrapText="1"/>
    </xf>
    <xf numFmtId="0" fontId="18" fillId="12" borderId="10" applyAlignment="1" pivotButton="0" quotePrefix="0" xfId="0">
      <alignment horizontal="center" vertical="top" wrapText="1"/>
    </xf>
    <xf numFmtId="0" fontId="22" fillId="12" borderId="11" applyAlignment="1" pivotButton="0" quotePrefix="0" xfId="0">
      <alignment vertical="top" wrapText="1"/>
    </xf>
    <xf numFmtId="0" fontId="22" fillId="12" borderId="12" applyAlignment="1" pivotButton="0" quotePrefix="0" xfId="0">
      <alignment vertical="top" wrapText="1"/>
    </xf>
    <xf numFmtId="0" fontId="22" fillId="12" borderId="13" applyAlignment="1" pivotButton="0" quotePrefix="0" xfId="0">
      <alignment horizontal="center" vertical="top" wrapText="1"/>
    </xf>
    <xf numFmtId="0" fontId="70" fillId="0" borderId="0" applyProtection="1" pivotButton="0" quotePrefix="0" xfId="5">
      <protection locked="0" hidden="0"/>
    </xf>
    <xf numFmtId="0" fontId="43" fillId="0" borderId="0" applyAlignment="1" pivotButton="0" quotePrefix="0" xfId="0">
      <alignment horizontal="left"/>
    </xf>
    <xf numFmtId="0" fontId="46" fillId="0" borderId="0" applyAlignment="1" pivotButton="0" quotePrefix="0" xfId="0">
      <alignment horizontal="left"/>
    </xf>
    <xf numFmtId="0" fontId="72" fillId="12" borderId="0" applyAlignment="1" applyProtection="1" pivotButton="0" quotePrefix="0" xfId="0">
      <alignment horizontal="left" vertical="top"/>
      <protection locked="0" hidden="0"/>
    </xf>
    <xf numFmtId="0" fontId="72" fillId="12" borderId="0" applyProtection="1" pivotButton="0" quotePrefix="0" xfId="0">
      <protection locked="0" hidden="0"/>
    </xf>
    <xf numFmtId="0" fontId="72" fillId="12" borderId="0" applyAlignment="1" applyProtection="1" pivotButton="0" quotePrefix="0" xfId="1">
      <alignment horizontal="left" vertical="top" wrapText="1"/>
      <protection locked="0" hidden="0"/>
    </xf>
    <xf numFmtId="0" fontId="72" fillId="12" borderId="0" applyAlignment="1" applyProtection="1" pivotButton="0" quotePrefix="0" xfId="1">
      <alignment horizontal="left" vertical="center" wrapText="1"/>
      <protection locked="0" hidden="0"/>
    </xf>
    <xf numFmtId="0" fontId="74" fillId="12" borderId="0" applyAlignment="1" applyProtection="1" pivotButton="0" quotePrefix="0" xfId="1">
      <alignment horizontal="left" vertical="center" wrapText="1"/>
      <protection locked="0" hidden="0"/>
    </xf>
    <xf numFmtId="0" fontId="75" fillId="12" borderId="0" applyAlignment="1" applyProtection="1" pivotButton="0" quotePrefix="1" xfId="0">
      <alignment horizontal="left" vertical="top" wrapText="1"/>
      <protection locked="0" hidden="0"/>
    </xf>
    <xf numFmtId="0" fontId="75" fillId="12" borderId="0" applyAlignment="1" applyProtection="1" pivotButton="0" quotePrefix="1" xfId="0">
      <alignment horizontal="left" vertical="center" wrapText="1"/>
      <protection locked="0" hidden="0"/>
    </xf>
    <xf numFmtId="0" fontId="76" fillId="12" borderId="0" applyAlignment="1" applyProtection="1" pivotButton="0" quotePrefix="0" xfId="0">
      <alignment horizontal="left" vertical="top" wrapText="1"/>
      <protection locked="0" hidden="0"/>
    </xf>
    <xf numFmtId="0" fontId="76" fillId="12" borderId="0" applyAlignment="1" applyProtection="1" pivotButton="0" quotePrefix="0" xfId="0">
      <alignment horizontal="left" vertical="center" wrapText="1"/>
      <protection locked="0" hidden="0"/>
    </xf>
    <xf numFmtId="0" fontId="77" fillId="12" borderId="0" applyAlignment="1" applyProtection="1" pivotButton="0" quotePrefix="0" xfId="0">
      <alignment horizontal="left" vertical="top" wrapText="1"/>
      <protection locked="0" hidden="0"/>
    </xf>
    <xf numFmtId="0" fontId="77" fillId="12" borderId="0" applyAlignment="1" applyProtection="1" pivotButton="0" quotePrefix="0" xfId="0">
      <alignment horizontal="left" wrapText="1"/>
      <protection locked="0" hidden="0"/>
    </xf>
    <xf numFmtId="0" fontId="75" fillId="12" borderId="0" applyAlignment="1" applyProtection="1" pivotButton="0" quotePrefix="0" xfId="0">
      <alignment horizontal="left" vertical="top" wrapText="1"/>
      <protection locked="0" hidden="0"/>
    </xf>
    <xf numFmtId="0" fontId="75" fillId="12" borderId="0" applyAlignment="1" applyProtection="1" pivotButton="0" quotePrefix="0" xfId="0">
      <alignment vertical="top" wrapText="1"/>
      <protection locked="0" hidden="0"/>
    </xf>
    <xf numFmtId="0" fontId="76" fillId="12" borderId="0" applyAlignment="1" applyProtection="1" pivotButton="0" quotePrefix="0" xfId="0">
      <alignment horizontal="left" vertical="top"/>
      <protection locked="0" hidden="0"/>
    </xf>
    <xf numFmtId="0" fontId="76" fillId="12" borderId="0" applyProtection="1" pivotButton="0" quotePrefix="0" xfId="0">
      <protection locked="0" hidden="0"/>
    </xf>
    <xf numFmtId="0" fontId="72" fillId="12" borderId="0" applyAlignment="1" pivotButton="0" quotePrefix="0" xfId="0">
      <alignment wrapText="1"/>
    </xf>
    <xf numFmtId="0" fontId="78" fillId="12" borderId="0" applyAlignment="1" applyProtection="1" pivotButton="0" quotePrefix="0" xfId="0">
      <alignment horizontal="left" vertical="top" wrapText="1"/>
      <protection locked="0" hidden="0"/>
    </xf>
    <xf numFmtId="0" fontId="72" fillId="12" borderId="0" applyAlignment="1" applyProtection="1" pivotButton="0" quotePrefix="0" xfId="0">
      <alignment horizontal="left" vertical="top" wrapText="1"/>
      <protection locked="0" hidden="0"/>
    </xf>
    <xf numFmtId="0" fontId="72" fillId="12" borderId="0" applyAlignment="1" applyProtection="1" pivotButton="0" quotePrefix="0" xfId="0">
      <alignment vertical="top" wrapText="1"/>
      <protection locked="0" hidden="0"/>
    </xf>
    <xf numFmtId="0" fontId="79" fillId="12" borderId="0" applyAlignment="1" applyProtection="1" pivotButton="0" quotePrefix="0" xfId="0">
      <alignment horizontal="left" vertical="top" wrapText="1"/>
      <protection locked="0" hidden="0"/>
    </xf>
    <xf numFmtId="0" fontId="79" fillId="12" borderId="0" applyAlignment="1" applyProtection="1" pivotButton="0" quotePrefix="0" xfId="0">
      <alignment vertical="top" wrapText="1"/>
      <protection locked="0" hidden="0"/>
    </xf>
    <xf numFmtId="0" fontId="80" fillId="12" borderId="0" applyAlignment="1" applyProtection="1" pivotButton="0" quotePrefix="0" xfId="0">
      <alignment horizontal="left" vertical="top" wrapText="1"/>
      <protection locked="0" hidden="0"/>
    </xf>
    <xf numFmtId="0" fontId="80" fillId="12" borderId="0" applyAlignment="1" applyProtection="1" pivotButton="0" quotePrefix="0" xfId="0">
      <alignment horizontal="left" vertical="center" wrapText="1"/>
      <protection locked="0" hidden="0"/>
    </xf>
    <xf numFmtId="0" fontId="81" fillId="12" borderId="0" applyAlignment="1" applyProtection="1" pivotButton="0" quotePrefix="0" xfId="0">
      <alignment horizontal="left" vertical="top" wrapText="1"/>
      <protection locked="0" hidden="0"/>
    </xf>
    <xf numFmtId="0" fontId="81" fillId="12" borderId="0" applyAlignment="1" applyProtection="1" pivotButton="0" quotePrefix="0" xfId="0">
      <alignment horizontal="left" wrapText="1"/>
      <protection locked="0" hidden="0"/>
    </xf>
    <xf numFmtId="0" fontId="81" fillId="12" borderId="0" applyAlignment="1" applyProtection="1" pivotButton="0" quotePrefix="0" xfId="0">
      <alignment horizontal="left" vertical="top"/>
      <protection locked="0" hidden="0"/>
    </xf>
    <xf numFmtId="0" fontId="81" fillId="12" borderId="0" applyProtection="1" pivotButton="0" quotePrefix="0" xfId="0">
      <protection locked="0" hidden="0"/>
    </xf>
    <xf numFmtId="0" fontId="72" fillId="12" borderId="0" applyAlignment="1" applyProtection="1" pivotButton="0" quotePrefix="0" xfId="1">
      <alignment vertical="center" wrapText="1"/>
      <protection locked="0" hidden="0"/>
    </xf>
    <xf numFmtId="0" fontId="74" fillId="12" borderId="0" applyAlignment="1" applyProtection="1" pivotButton="0" quotePrefix="0" xfId="1">
      <alignment vertical="center" wrapText="1"/>
      <protection locked="0" hidden="0"/>
    </xf>
    <xf numFmtId="0" fontId="75" fillId="12" borderId="0" applyAlignment="1" applyProtection="1" pivotButton="0" quotePrefix="0" xfId="0">
      <alignment horizontal="left" wrapText="1"/>
      <protection locked="0" hidden="0"/>
    </xf>
    <xf numFmtId="0" fontId="72" fillId="12" borderId="0" applyAlignment="1" applyProtection="1" pivotButton="0" quotePrefix="0" xfId="1">
      <alignment horizontal="left" vertical="top"/>
      <protection locked="0" hidden="0"/>
    </xf>
    <xf numFmtId="0" fontId="72" fillId="12" borderId="0" applyAlignment="1" pivotButton="0" quotePrefix="0" xfId="0">
      <alignment horizontal="left" vertical="top" wrapText="1"/>
    </xf>
    <xf numFmtId="0" fontId="72" fillId="12" borderId="0" applyAlignment="1" applyProtection="1" pivotButton="0" quotePrefix="0" xfId="0">
      <alignment wrapText="1"/>
      <protection locked="0" hidden="0"/>
    </xf>
    <xf numFmtId="0" fontId="72" fillId="12" borderId="0" applyAlignment="1" pivotButton="0" quotePrefix="0" xfId="0">
      <alignment horizontal="left" vertical="top" indent="1"/>
    </xf>
    <xf numFmtId="0" fontId="3" fillId="4" borderId="5" applyProtection="1" pivotButton="0" quotePrefix="0" xfId="0">
      <protection locked="0" hidden="0"/>
    </xf>
    <xf numFmtId="0" fontId="19" fillId="12" borderId="9" applyAlignment="1" pivotButton="0" quotePrefix="0" xfId="0">
      <alignment vertical="top"/>
    </xf>
    <xf numFmtId="0" fontId="49" fillId="12" borderId="0" applyAlignment="1" pivotButton="0" quotePrefix="1" xfId="0">
      <alignment horizontal="left" vertical="center" wrapText="1"/>
    </xf>
    <xf numFmtId="0" fontId="19" fillId="12" borderId="10" applyAlignment="1" pivotButton="0" quotePrefix="1" xfId="0">
      <alignment horizontal="center" vertical="center" wrapText="1"/>
    </xf>
    <xf numFmtId="0" fontId="19" fillId="12" borderId="9" applyAlignment="1" pivotButton="0" quotePrefix="0" xfId="0">
      <alignment horizontal="left" vertical="top"/>
    </xf>
    <xf numFmtId="0" fontId="49" fillId="12" borderId="0" applyAlignment="1" pivotButton="0" quotePrefix="0" xfId="0">
      <alignment horizontal="left" vertical="top"/>
    </xf>
    <xf numFmtId="0" fontId="49" fillId="12" borderId="0" applyAlignment="1" applyProtection="1" pivotButton="0" quotePrefix="0" xfId="0">
      <alignment horizontal="left" vertical="top"/>
      <protection locked="0" hidden="0"/>
    </xf>
    <xf numFmtId="0" fontId="3" fillId="12" borderId="5" applyProtection="1" pivotButton="0" quotePrefix="0" xfId="0">
      <protection locked="0" hidden="0"/>
    </xf>
    <xf numFmtId="0" fontId="19" fillId="7" borderId="11" applyProtection="1" pivotButton="0" quotePrefix="0" xfId="0">
      <protection locked="0" hidden="0"/>
    </xf>
    <xf numFmtId="0" fontId="14" fillId="7" borderId="0" applyAlignment="1" pivotButton="0" quotePrefix="0" xfId="1">
      <alignment horizontal="left"/>
    </xf>
    <xf numFmtId="0" fontId="52" fillId="8" borderId="7" applyAlignment="1" applyProtection="1" pivotButton="0" quotePrefix="0" xfId="0">
      <alignment vertical="center"/>
      <protection locked="0" hidden="0"/>
    </xf>
    <xf numFmtId="0" fontId="26" fillId="3" borderId="0" applyProtection="1" pivotButton="0" quotePrefix="0" xfId="0">
      <protection locked="0" hidden="0"/>
    </xf>
    <xf numFmtId="0" fontId="3" fillId="12" borderId="14" applyProtection="1" pivotButton="0" quotePrefix="0" xfId="0">
      <protection locked="0" hidden="0"/>
    </xf>
    <xf numFmtId="0" fontId="82" fillId="3" borderId="0" applyAlignment="1" pivotButton="0" quotePrefix="0" xfId="0">
      <alignment horizontal="left" vertical="top" wrapText="1"/>
    </xf>
    <xf numFmtId="0" fontId="19" fillId="12" borderId="9" applyAlignment="1" applyProtection="1" pivotButton="0" quotePrefix="0" xfId="0">
      <alignment horizontal="left" vertical="top" wrapText="1"/>
      <protection locked="0" hidden="0"/>
    </xf>
    <xf numFmtId="0" fontId="19" fillId="12" borderId="0" applyAlignment="1" applyProtection="1" pivotButton="0" quotePrefix="0" xfId="0">
      <alignment horizontal="left" vertical="top" wrapText="1"/>
      <protection locked="0" hidden="0"/>
    </xf>
    <xf numFmtId="0" fontId="35" fillId="11" borderId="9" applyAlignment="1" pivotButton="0" quotePrefix="0" xfId="0">
      <alignment horizontal="left" vertical="center" wrapText="1"/>
    </xf>
    <xf numFmtId="0" fontId="35" fillId="11" borderId="0" applyAlignment="1" pivotButton="0" quotePrefix="0" xfId="0">
      <alignment horizontal="left" vertical="center" wrapText="1"/>
    </xf>
    <xf numFmtId="164" fontId="47" fillId="0" borderId="0" applyAlignment="1" applyProtection="1" pivotButton="0" quotePrefix="0" xfId="0">
      <alignment horizontal="left" vertical="top"/>
      <protection locked="0" hidden="0"/>
    </xf>
    <xf numFmtId="0" fontId="47" fillId="0" borderId="0" applyAlignment="1" applyProtection="1" pivotButton="0" quotePrefix="0" xfId="0">
      <alignment horizontal="left"/>
      <protection locked="0" hidden="0"/>
    </xf>
    <xf numFmtId="0" fontId="47" fillId="0" borderId="0" applyAlignment="1" applyProtection="1" pivotButton="0" quotePrefix="0" xfId="0">
      <alignment horizontal="left" vertical="top"/>
      <protection locked="0" hidden="0"/>
    </xf>
    <xf numFmtId="0" fontId="38" fillId="12" borderId="9" applyAlignment="1" applyProtection="1" pivotButton="0" quotePrefix="0" xfId="0">
      <alignment horizontal="left" vertical="top" wrapText="1"/>
      <protection locked="0" hidden="0"/>
    </xf>
    <xf numFmtId="0" fontId="38" fillId="12" borderId="0" applyAlignment="1" applyProtection="1" pivotButton="0" quotePrefix="0" xfId="0">
      <alignment horizontal="left" vertical="top" wrapText="1"/>
      <protection locked="0" hidden="0"/>
    </xf>
    <xf numFmtId="0" fontId="38" fillId="12" borderId="11" applyAlignment="1" applyProtection="1" pivotButton="0" quotePrefix="0" xfId="0">
      <alignment horizontal="left" vertical="top" wrapText="1"/>
      <protection locked="0" hidden="0"/>
    </xf>
    <xf numFmtId="0" fontId="38" fillId="12" borderId="12" applyAlignment="1" applyProtection="1" pivotButton="0" quotePrefix="0" xfId="0">
      <alignment horizontal="left" vertical="top" wrapText="1"/>
      <protection locked="0" hidden="0"/>
    </xf>
    <xf numFmtId="0" fontId="66" fillId="12" borderId="0" applyAlignment="1" applyProtection="1" pivotButton="0" quotePrefix="0" xfId="0">
      <alignment horizontal="left" vertical="center"/>
      <protection locked="0" hidden="0"/>
    </xf>
    <xf numFmtId="0" fontId="65" fillId="12" borderId="9" applyAlignment="1" pivotButton="0" quotePrefix="0" xfId="0">
      <alignment horizontal="left" wrapText="1"/>
    </xf>
    <xf numFmtId="0" fontId="65" fillId="12" borderId="0" applyAlignment="1" pivotButton="0" quotePrefix="0" xfId="0">
      <alignment horizontal="left" wrapText="1"/>
    </xf>
    <xf numFmtId="0" fontId="30" fillId="11" borderId="9" applyAlignment="1" pivotButton="0" quotePrefix="0" xfId="0">
      <alignment horizontal="left" wrapText="1"/>
    </xf>
    <xf numFmtId="0" fontId="30" fillId="11" borderId="0" applyAlignment="1" pivotButton="0" quotePrefix="0" xfId="0">
      <alignment horizontal="left" wrapText="1"/>
    </xf>
    <xf numFmtId="0" fontId="66" fillId="12" borderId="0" applyAlignment="1" applyProtection="1" pivotButton="0" quotePrefix="0" xfId="0">
      <alignment horizontal="left" vertical="top"/>
      <protection locked="0" hidden="0"/>
    </xf>
    <xf numFmtId="0" fontId="27" fillId="7" borderId="10" applyAlignment="1" pivotButton="0" quotePrefix="0" xfId="1">
      <alignment horizontal="center" vertical="center" wrapText="1"/>
    </xf>
    <xf numFmtId="0" fontId="27" fillId="12" borderId="10" applyAlignment="1" pivotButton="0" quotePrefix="0" xfId="1">
      <alignment horizontal="center" vertical="center" wrapText="1"/>
    </xf>
    <xf numFmtId="0" fontId="19" fillId="12" borderId="0" applyAlignment="1" applyProtection="1" pivotButton="0" quotePrefix="0" xfId="0">
      <alignment horizontal="left"/>
      <protection locked="0" hidden="0"/>
    </xf>
    <xf numFmtId="0" fontId="38" fillId="12" borderId="9" applyAlignment="1" pivotButton="0" quotePrefix="0" xfId="0">
      <alignment horizontal="left" vertical="top" wrapText="1"/>
    </xf>
    <xf numFmtId="0" fontId="38" fillId="12" borderId="0" applyAlignment="1" pivotButton="0" quotePrefix="0" xfId="0">
      <alignment horizontal="left" vertical="top" wrapText="1"/>
    </xf>
    <xf numFmtId="0" fontId="19" fillId="12" borderId="9" applyAlignment="1" applyProtection="1" pivotButton="0" quotePrefix="0" xfId="4">
      <alignment horizontal="left" vertical="top" wrapText="1"/>
      <protection locked="0" hidden="0"/>
    </xf>
    <xf numFmtId="0" fontId="19" fillId="12" borderId="0" applyAlignment="1" applyProtection="1" pivotButton="0" quotePrefix="0" xfId="4">
      <alignment horizontal="left" vertical="top" wrapText="1"/>
      <protection locked="0" hidden="0"/>
    </xf>
    <xf numFmtId="0" fontId="33" fillId="11" borderId="9" applyAlignment="1" pivotButton="0" quotePrefix="0" xfId="0">
      <alignment horizontal="left"/>
    </xf>
    <xf numFmtId="0" fontId="33" fillId="11" borderId="0" applyAlignment="1" pivotButton="0" quotePrefix="0" xfId="0">
      <alignment horizontal="left"/>
    </xf>
    <xf numFmtId="0" fontId="33" fillId="9" borderId="9" applyAlignment="1" pivotButton="0" quotePrefix="0" xfId="0">
      <alignment horizontal="left"/>
    </xf>
    <xf numFmtId="0" fontId="33" fillId="9" borderId="0" applyAlignment="1" pivotButton="0" quotePrefix="0" xfId="0">
      <alignment horizontal="left"/>
    </xf>
    <xf numFmtId="0" fontId="72" fillId="12" borderId="0" applyAlignment="1" pivotButton="0" quotePrefix="0" xfId="0">
      <alignment horizontal="left" vertical="top" wrapText="1" indent="1"/>
    </xf>
    <xf numFmtId="0" fontId="72" fillId="12" borderId="0" applyAlignment="1" pivotButton="0" quotePrefix="0" xfId="0">
      <alignment wrapText="1"/>
    </xf>
    <xf numFmtId="0" fontId="72" fillId="12" borderId="0" applyAlignment="1" pivotButton="0" quotePrefix="0" xfId="1">
      <alignment horizontal="left" vertical="center" wrapText="1"/>
    </xf>
    <xf numFmtId="0" fontId="44" fillId="7" borderId="10" applyAlignment="1" pivotButton="0" quotePrefix="0" xfId="1">
      <alignment horizontal="center" vertical="center" wrapText="1"/>
    </xf>
    <xf numFmtId="0" fontId="27" fillId="12" borderId="10" applyAlignment="1" pivotButton="0" quotePrefix="0" xfId="1">
      <alignment horizontal="center" wrapText="1"/>
    </xf>
    <xf numFmtId="0" fontId="14" fillId="7" borderId="10" applyAlignment="1" pivotButton="0" quotePrefix="0" xfId="1">
      <alignment horizontal="center" vertical="center" wrapText="1"/>
    </xf>
    <xf numFmtId="0" fontId="52" fillId="8" borderId="6" applyAlignment="1" pivotButton="0" quotePrefix="0" xfId="0">
      <alignment horizontal="left" vertical="top"/>
    </xf>
    <xf numFmtId="0" fontId="52" fillId="8" borderId="7" applyAlignment="1" pivotButton="0" quotePrefix="0" xfId="0">
      <alignment horizontal="left" vertical="top"/>
    </xf>
    <xf numFmtId="0" fontId="52" fillId="8" borderId="8" applyAlignment="1" pivotButton="0" quotePrefix="0" xfId="0">
      <alignment horizontal="left" vertical="top"/>
    </xf>
    <xf numFmtId="0" fontId="19" fillId="12" borderId="11" applyAlignment="1" applyProtection="1" pivotButton="0" quotePrefix="0" xfId="4">
      <alignment horizontal="left" vertical="top" wrapText="1"/>
      <protection locked="0" hidden="0"/>
    </xf>
    <xf numFmtId="0" fontId="19" fillId="12" borderId="12" applyAlignment="1" applyProtection="1" pivotButton="0" quotePrefix="0" xfId="4">
      <alignment horizontal="left" vertical="top" wrapText="1"/>
      <protection locked="0" hidden="0"/>
    </xf>
    <xf numFmtId="0" fontId="72" fillId="12" borderId="0" applyAlignment="1" pivotButton="0" quotePrefix="0" xfId="1">
      <alignment horizontal="left" vertical="center" wrapText="1" indent="1"/>
    </xf>
    <xf numFmtId="0" fontId="72" fillId="12" borderId="0" applyAlignment="1" pivotButton="0" quotePrefix="0" xfId="0">
      <alignment horizontal="left" wrapText="1" indent="1"/>
    </xf>
    <xf numFmtId="0" fontId="33" fillId="15" borderId="15" applyAlignment="1" pivotButton="0" quotePrefix="0" xfId="0">
      <alignment horizontal="left" vertical="top" wrapText="1"/>
    </xf>
    <xf numFmtId="0" fontId="33" fillId="15" borderId="16" applyAlignment="1" pivotButton="0" quotePrefix="0" xfId="0">
      <alignment horizontal="left" vertical="top" wrapText="1"/>
    </xf>
    <xf numFmtId="0" fontId="33" fillId="15" borderId="17" applyAlignment="1" pivotButton="0" quotePrefix="0" xfId="0">
      <alignment horizontal="left" vertical="top" wrapText="1"/>
    </xf>
    <xf numFmtId="0" fontId="73" fillId="12" borderId="0" applyAlignment="1" applyProtection="1" pivotButton="0" quotePrefix="0" xfId="0">
      <alignment horizontal="left" vertical="top" wrapText="1"/>
      <protection locked="0" hidden="0"/>
    </xf>
    <xf numFmtId="0" fontId="48" fillId="3" borderId="0" applyAlignment="1" pivotButton="0" quotePrefix="0" xfId="3">
      <alignment horizontal="left" vertical="top" wrapText="1"/>
    </xf>
    <xf numFmtId="0" fontId="30" fillId="11" borderId="9" applyAlignment="1" pivotButton="0" quotePrefix="0" xfId="4">
      <alignment horizontal="left" vertical="center" wrapText="1"/>
    </xf>
    <xf numFmtId="0" fontId="30" fillId="11" borderId="0" applyAlignment="1" pivotButton="0" quotePrefix="0" xfId="4">
      <alignment horizontal="left" vertical="center" wrapText="1"/>
    </xf>
    <xf numFmtId="0" fontId="53" fillId="7" borderId="0" applyAlignment="1" pivotButton="0" quotePrefix="0" xfId="0">
      <alignment horizontal="left" wrapText="1"/>
    </xf>
    <xf numFmtId="0" fontId="50" fillId="7" borderId="0" applyAlignment="1" pivotButton="0" quotePrefix="0" xfId="0">
      <alignment horizontal="left" wrapText="1"/>
    </xf>
    <xf numFmtId="0" fontId="40" fillId="8" borderId="0" applyAlignment="1" pivotButton="0" quotePrefix="0" xfId="0">
      <alignment horizontal="left"/>
    </xf>
    <xf numFmtId="0" fontId="45" fillId="10" borderId="0" applyAlignment="1" pivotButton="0" quotePrefix="0" xfId="0">
      <alignment horizontal="center"/>
    </xf>
    <xf numFmtId="0" fontId="53" fillId="7" borderId="0" applyAlignment="1" pivotButton="0" quotePrefix="0" xfId="0">
      <alignment horizontal="left" vertical="center" wrapText="1"/>
    </xf>
    <xf numFmtId="0" fontId="53" fillId="7" borderId="0" applyAlignment="1" pivotButton="0" quotePrefix="0" xfId="0">
      <alignment horizontal="left" vertical="center"/>
    </xf>
    <xf numFmtId="0" fontId="53" fillId="7" borderId="0" applyAlignment="1" pivotButton="0" quotePrefix="0" xfId="0">
      <alignment horizontal="left" vertical="top" wrapText="1"/>
    </xf>
    <xf numFmtId="0" fontId="30" fillId="11" borderId="0" applyAlignment="1" pivotButton="0" quotePrefix="0" xfId="0">
      <alignment horizontal="left" vertical="center"/>
    </xf>
    <xf numFmtId="0" fontId="53" fillId="7" borderId="0" applyAlignment="1" pivotButton="0" quotePrefix="1" xfId="0">
      <alignment horizontal="left" wrapText="1"/>
    </xf>
    <xf numFmtId="0" fontId="45" fillId="11" borderId="0" applyAlignment="1" pivotButton="0" quotePrefix="0" xfId="0">
      <alignment horizontal="center" vertical="center"/>
    </xf>
    <xf numFmtId="0" fontId="84" fillId="0" borderId="0" applyAlignment="1" applyProtection="1" pivotButton="0" quotePrefix="0" xfId="0">
      <alignment horizontal="left"/>
      <protection locked="0" hidden="0"/>
    </xf>
    <xf numFmtId="0" fontId="0" fillId="0" borderId="0" applyProtection="1" pivotButton="0" quotePrefix="0" xfId="0">
      <protection locked="0" hidden="0"/>
    </xf>
    <xf numFmtId="164" fontId="84" fillId="0" borderId="0" applyAlignment="1" applyProtection="1" pivotButton="0" quotePrefix="0" xfId="0">
      <alignment horizontal="left" vertical="top"/>
      <protection locked="0" hidden="0"/>
    </xf>
    <xf numFmtId="0" fontId="84" fillId="0" borderId="0" applyAlignment="1" applyProtection="1" pivotButton="0" quotePrefix="0" xfId="0">
      <alignment horizontal="left" vertical="top"/>
      <protection locked="0" hidden="0"/>
    </xf>
    <xf numFmtId="164" fontId="47" fillId="0" borderId="0" applyAlignment="1" pivotButton="0" quotePrefix="0" xfId="0">
      <alignment horizontal="left" vertical="top"/>
    </xf>
    <xf numFmtId="0" fontId="86" fillId="0" borderId="0" applyProtection="1" pivotButton="0" quotePrefix="0" xfId="3">
      <protection locked="0" hidden="0"/>
    </xf>
    <xf numFmtId="0" fontId="85" fillId="12" borderId="9" applyAlignment="1" applyProtection="1" pivotButton="0" quotePrefix="0" xfId="4">
      <alignment horizontal="left" vertical="top" wrapText="1"/>
      <protection locked="0" hidden="0"/>
    </xf>
    <xf numFmtId="0" fontId="0" fillId="0" borderId="9" applyProtection="1" pivotButton="0" quotePrefix="0" xfId="0">
      <protection locked="0" hidden="0"/>
    </xf>
    <xf numFmtId="0" fontId="0" fillId="0" borderId="10" pivotButton="0" quotePrefix="0" xfId="0"/>
    <xf numFmtId="0" fontId="85" fillId="12" borderId="9" applyAlignment="1" applyProtection="1" pivotButton="0" quotePrefix="0" xfId="0">
      <alignment horizontal="left" vertical="top" wrapText="1"/>
      <protection locked="0" hidden="0"/>
    </xf>
    <xf numFmtId="0" fontId="33" fillId="15" borderId="18" applyAlignment="1" pivotButton="0" quotePrefix="0" xfId="0">
      <alignment horizontal="left" vertical="top" wrapText="1"/>
    </xf>
    <xf numFmtId="0" fontId="0" fillId="0" borderId="16" pivotButton="0" quotePrefix="0" xfId="0"/>
    <xf numFmtId="0" fontId="0" fillId="0" borderId="17" pivotButton="0" quotePrefix="0" xfId="0"/>
    <xf numFmtId="0" fontId="0" fillId="0" borderId="9" pivotButton="0" quotePrefix="0" xfId="0"/>
    <xf numFmtId="0" fontId="85" fillId="12" borderId="11" applyAlignment="1" applyProtection="1" pivotButton="0" quotePrefix="0" xfId="0">
      <alignment horizontal="left" vertical="top" wrapText="1"/>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85" fillId="11" borderId="9" pivotButton="0" quotePrefix="0" xfId="0"/>
    <xf numFmtId="0" fontId="85" fillId="7" borderId="11" applyProtection="1" pivotButton="0" quotePrefix="0" xfId="0">
      <protection locked="0" hidden="0"/>
    </xf>
    <xf numFmtId="0" fontId="52" fillId="8" borderId="19" applyAlignment="1" pivotButton="0" quotePrefix="0" xfId="0">
      <alignment horizontal="left" vertical="top"/>
    </xf>
    <xf numFmtId="0" fontId="0" fillId="0" borderId="7" pivotButton="0" quotePrefix="0" xfId="0"/>
    <xf numFmtId="0" fontId="0" fillId="0" borderId="8" pivotButton="0" quotePrefix="0" xfId="0"/>
    <xf numFmtId="0" fontId="85" fillId="12" borderId="11" applyAlignment="1" applyProtection="1" pivotButton="0" quotePrefix="0" xfId="4">
      <alignment horizontal="left" vertical="top" wrapText="1"/>
      <protection locked="0" hidden="0"/>
    </xf>
  </cellXfs>
  <cellStyles count="6">
    <cellStyle name="표준" xfId="0" builtinId="0"/>
    <cellStyle name="하이퍼링크" xfId="1" builtinId="8"/>
    <cellStyle name="제목 2" xfId="2" builtinId="17"/>
    <cellStyle name="제목 3" xfId="3" builtinId="18"/>
    <cellStyle name="제목 4" xfId="4" builtinId="19"/>
    <cellStyle name="Normal_persusal test" xfId="5"/>
  </cellStyles>
  <dxfs count="4">
    <dxf>
      <fill>
        <patternFill>
          <bgColor rgb="FFFFFFFF"/>
        </patternFill>
      </fill>
    </dxf>
    <dxf>
      <fill>
        <patternFill>
          <bgColor theme="0"/>
        </patternFill>
      </fill>
    </dxf>
    <dxf>
      <fill>
        <patternFill>
          <bgColor rgb="FF00B0F0"/>
        </patternFill>
      </fill>
    </dxf>
    <dxf>
      <font>
        <color theme="1"/>
      </font>
      <fill>
        <patternFill>
          <bgColor theme="9" tint="0.399945066682943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0072CE"/>
    <outlinePr summaryBelow="1" summaryRight="1"/>
    <pageSetUpPr/>
  </sheetPr>
  <dimension ref="A1:AA229"/>
  <sheetViews>
    <sheetView showGridLines="0" workbookViewId="0">
      <selection activeCell="A1" sqref="A1"/>
    </sheetView>
  </sheetViews>
  <sheetFormatPr baseColWidth="8" defaultColWidth="0" defaultRowHeight="15" zeroHeight="1"/>
  <cols>
    <col width="3.625" customWidth="1" style="79" min="1" max="1"/>
    <col width="11.875" customWidth="1" style="4" min="2" max="2"/>
    <col width="10.375" customWidth="1" style="4" min="3" max="3"/>
    <col width="9.375" customWidth="1" style="4" min="4" max="4"/>
    <col width="14.625" customWidth="1" style="4" min="5" max="5"/>
    <col width="11.875" customWidth="1" style="4" min="6" max="6"/>
    <col width="7.75" customWidth="1" style="4" min="7" max="9"/>
    <col width="13.625" customWidth="1" style="4" min="10" max="10"/>
    <col width="20.125" customWidth="1" style="4" min="11" max="11"/>
    <col width="16.375" customWidth="1" style="4" min="12" max="12"/>
    <col width="4.125" customWidth="1" style="4" min="13" max="13"/>
    <col width="11.75" customWidth="1" style="4" min="14" max="14"/>
    <col width="20.375" customWidth="1" style="4" min="15" max="15"/>
    <col width="19.125" customWidth="1" style="126" min="16" max="16"/>
    <col width="8.75" customWidth="1" style="89" min="17" max="17"/>
    <col hidden="1" width="11.375" customWidth="1" style="267" min="18" max="18"/>
    <col hidden="1" width="11.375" customWidth="1" style="268" min="19" max="21"/>
    <col hidden="1" width="23.625" customWidth="1" style="268" min="22" max="22"/>
    <col hidden="1" width="54.375" customWidth="1" style="80" min="23" max="23"/>
    <col hidden="1" width="54.375" customWidth="1" style="79" min="24" max="16384"/>
  </cols>
  <sheetData>
    <row r="1" ht="42" customFormat="1" customHeight="1" s="55">
      <c r="B1" s="265" t="inlineStr">
        <is>
          <t>Client:</t>
        </is>
      </c>
      <c r="C1" s="373" t="inlineStr">
        <is>
          <t>파타고니아코리아 (주) (Patagonia Korea)</t>
        </is>
      </c>
      <c r="D1" s="374" t="n"/>
      <c r="E1" s="374" t="n"/>
      <c r="F1" s="266" t="n"/>
      <c r="G1" s="266" t="n"/>
      <c r="H1" s="266" t="n"/>
      <c r="I1" s="266" t="n"/>
      <c r="J1" s="266" t="n"/>
      <c r="K1" s="265" t="inlineStr">
        <is>
          <t>Reference:</t>
        </is>
      </c>
      <c r="L1" s="373" t="inlineStr">
        <is>
          <t>B1-3</t>
        </is>
      </c>
      <c r="M1" s="374" t="n"/>
      <c r="N1" s="374" t="n"/>
      <c r="O1" s="43" t="n"/>
      <c r="P1" s="127" t="n"/>
      <c r="Q1" s="43" t="n"/>
      <c r="R1" s="267" t="n"/>
      <c r="S1" s="268" t="n"/>
      <c r="T1" s="268" t="n"/>
      <c r="U1" s="268" t="n"/>
      <c r="V1" s="268" t="n"/>
      <c r="W1" s="53" t="n"/>
      <c r="X1" s="54" t="n"/>
      <c r="Y1" s="54" t="n"/>
      <c r="Z1" s="54" t="n"/>
      <c r="AA1" s="54" t="n"/>
    </row>
    <row r="2" ht="17.25" customFormat="1" customHeight="1" s="55">
      <c r="B2" s="248" t="inlineStr">
        <is>
          <t>Year end:</t>
        </is>
      </c>
      <c r="C2" s="375" t="inlineStr">
        <is>
          <t>2026-04-30</t>
        </is>
      </c>
      <c r="D2" s="374" t="n"/>
      <c r="E2" s="374" t="n"/>
      <c r="F2" s="41" t="n"/>
      <c r="G2" s="41" t="n"/>
      <c r="H2" s="41" t="n"/>
      <c r="I2" s="41" t="n"/>
      <c r="J2" s="41" t="n"/>
      <c r="K2" s="248" t="inlineStr">
        <is>
          <t>Prepared by:</t>
        </is>
      </c>
      <c r="L2" s="376" t="inlineStr">
        <is>
          <t>HSH</t>
        </is>
      </c>
      <c r="M2" s="374" t="n"/>
      <c r="N2" s="374" t="n"/>
      <c r="O2" s="43" t="n"/>
      <c r="P2" s="127" t="n"/>
      <c r="Q2" s="43" t="n"/>
      <c r="R2" s="267" t="n"/>
      <c r="S2" s="268" t="n"/>
      <c r="T2" s="268" t="n"/>
      <c r="U2" s="268" t="n"/>
      <c r="V2" s="268" t="n"/>
      <c r="W2" s="53" t="n"/>
      <c r="X2" s="54" t="n"/>
      <c r="Y2" s="54" t="n"/>
      <c r="Z2" s="54" t="n"/>
      <c r="AA2" s="54" t="n"/>
    </row>
    <row r="3" ht="18" customFormat="1" customHeight="1" s="55">
      <c r="B3" s="248" t="n"/>
      <c r="C3" s="377" t="n"/>
      <c r="D3" s="41" t="n"/>
      <c r="E3" s="41" t="n"/>
      <c r="F3" s="41" t="n"/>
      <c r="G3" s="41" t="n"/>
      <c r="H3" s="41" t="n"/>
      <c r="I3" s="41" t="n"/>
      <c r="J3" s="41" t="n"/>
      <c r="K3" s="248" t="inlineStr">
        <is>
          <t>Date:</t>
        </is>
      </c>
      <c r="L3" s="375" t="inlineStr">
        <is>
          <t>2026-05-15</t>
        </is>
      </c>
      <c r="M3" s="374" t="n"/>
      <c r="N3" s="374" t="n"/>
      <c r="O3" s="43" t="n"/>
      <c r="P3" s="127" t="n"/>
      <c r="Q3" s="43" t="n"/>
      <c r="R3" s="359" t="inlineStr">
        <is>
          <t>Guidance notes on how fields interact with Atlas Next Generation</t>
        </is>
      </c>
      <c r="S3" s="374" t="n"/>
      <c r="T3" s="374" t="n"/>
      <c r="U3" s="374" t="n"/>
      <c r="V3" s="374" t="n"/>
      <c r="W3" s="53" t="n"/>
      <c r="X3" s="54" t="n"/>
      <c r="Y3" s="54" t="n"/>
      <c r="Z3" s="54" t="n"/>
      <c r="AA3" s="54" t="n"/>
    </row>
    <row r="4" customFormat="1" s="55">
      <c r="B4" s="248" t="n"/>
      <c r="C4" s="250" t="n"/>
      <c r="D4" s="41" t="n"/>
      <c r="E4" s="41" t="n"/>
      <c r="F4" s="41" t="n"/>
      <c r="G4" s="41" t="n"/>
      <c r="H4" s="41" t="n"/>
      <c r="I4" s="41" t="n"/>
      <c r="J4" s="41" t="n"/>
      <c r="K4" s="248" t="inlineStr">
        <is>
          <t>Reviewed by:</t>
        </is>
      </c>
      <c r="L4" s="376" t="inlineStr">
        <is>
          <t>LJM</t>
        </is>
      </c>
      <c r="M4" s="374" t="n"/>
      <c r="N4" s="374" t="n"/>
      <c r="O4" s="43" t="n"/>
      <c r="P4" s="127" t="n"/>
      <c r="Q4" s="43" t="n"/>
      <c r="R4" s="374" t="n"/>
      <c r="S4" s="374" t="n"/>
      <c r="T4" s="374" t="n"/>
      <c r="U4" s="374" t="n"/>
      <c r="V4" s="374" t="n"/>
      <c r="W4" s="53" t="n"/>
      <c r="X4" s="54" t="n"/>
      <c r="Y4" s="54" t="n"/>
      <c r="Z4" s="54" t="n"/>
      <c r="AA4" s="54" t="n"/>
    </row>
    <row r="5" ht="23.25" customFormat="1" customHeight="1" s="55">
      <c r="B5" s="77" t="inlineStr">
        <is>
          <t>Accounting estimate - 대손충당금 (Allowance for doubtful accounts)</t>
        </is>
      </c>
      <c r="C5" s="43" t="n"/>
      <c r="D5" s="43" t="n"/>
      <c r="E5" s="43" t="n"/>
      <c r="F5" s="43" t="n"/>
      <c r="G5" s="43" t="n"/>
      <c r="H5" s="43" t="n"/>
      <c r="I5" s="43" t="n"/>
      <c r="J5" s="43" t="n"/>
      <c r="K5" s="43" t="n"/>
      <c r="L5" s="42" t="n"/>
      <c r="M5" s="42" t="n"/>
      <c r="N5" s="42" t="n"/>
      <c r="O5" s="43" t="n"/>
      <c r="P5" s="127" t="n"/>
      <c r="Q5" s="43" t="n"/>
      <c r="R5" s="267" t="n"/>
      <c r="S5" s="268" t="n"/>
      <c r="T5" s="268" t="n"/>
      <c r="U5" s="268" t="n"/>
      <c r="V5" s="268" t="n"/>
      <c r="W5" s="53" t="n"/>
      <c r="X5" s="54" t="n"/>
      <c r="Y5" s="54" t="n"/>
      <c r="Z5" s="54" t="n"/>
      <c r="AA5" s="54" t="n"/>
    </row>
    <row r="6" ht="17.45" customFormat="1" customHeight="1" s="55">
      <c r="B6" s="264" t="inlineStr">
        <is>
          <t>MAM Tool version March 2026</t>
        </is>
      </c>
      <c r="D6" s="43" t="n"/>
      <c r="E6" s="43" t="n"/>
      <c r="F6" s="43" t="n"/>
      <c r="G6" s="43" t="n"/>
      <c r="H6" s="43" t="n"/>
      <c r="I6" s="43" t="n"/>
      <c r="J6" s="43" t="n"/>
      <c r="K6" s="43" t="n"/>
      <c r="L6" s="43" t="n"/>
      <c r="M6" s="43" t="n"/>
      <c r="N6" s="43" t="n"/>
      <c r="O6" s="43" t="n"/>
      <c r="P6" s="127" t="n"/>
      <c r="Q6" s="43" t="n"/>
      <c r="R6" s="267" t="n"/>
      <c r="S6" s="268" t="n"/>
      <c r="T6" s="268" t="n"/>
      <c r="U6" s="268" t="n"/>
      <c r="V6" s="268" t="n"/>
      <c r="W6" s="53" t="n"/>
      <c r="X6" s="54" t="n"/>
      <c r="Y6" s="54" t="n"/>
      <c r="Z6" s="54" t="n"/>
      <c r="AA6" s="54" t="n"/>
    </row>
    <row r="7" ht="15.75" customFormat="1" customHeight="1" s="55">
      <c r="B7" s="378" t="inlineStr">
        <is>
          <t>SCOTABD: 매출채권 및 대손충당금  /  관련 주장(Assertion): 평가(Valuation and allocation)
WCGW: 매출채권의 회수가능성이 대손충당금에 적절히 반영되지 않아 매출채권이 과대(대손충당금이 과소) 계상될 수 있음.</t>
        </is>
      </c>
      <c r="C7" s="43" t="n"/>
      <c r="D7" s="43" t="n"/>
      <c r="E7" s="43" t="n"/>
      <c r="F7" s="43" t="n"/>
      <c r="G7" s="43" t="n"/>
      <c r="H7" s="43" t="n"/>
      <c r="I7" s="43" t="n"/>
      <c r="J7" s="43" t="n"/>
      <c r="K7" s="43" t="n"/>
      <c r="L7" s="43" t="n"/>
      <c r="M7" s="43" t="n"/>
      <c r="N7" s="43" t="n"/>
      <c r="O7" s="43" t="n"/>
      <c r="P7" s="127" t="n"/>
      <c r="Q7" s="43" t="n"/>
      <c r="R7" s="343" t="inlineStr">
        <is>
          <t xml:space="preserve">Please ensure that the name of the SCOTABD matches the name that is used in Atlas on the node 'Identify COTABD's and map to TB accounts'. 
Please ensure that when creating WCGW's for your accounting estimate within Atlas on the node 'Identify WCGW's and relate to relevant assertions' that the assertion matches the assertion input on this template. </t>
        </is>
      </c>
      <c r="W7" s="53" t="n"/>
      <c r="X7" s="54" t="n"/>
      <c r="Y7" s="54" t="n"/>
      <c r="Z7" s="54" t="n"/>
      <c r="AA7" s="54" t="n"/>
    </row>
    <row r="8" ht="78.75" customFormat="1" customHeight="1" s="55">
      <c r="B8" s="360" t="inlineStr">
        <is>
          <t xml:space="preserve">This template does not need completed for immaterial accounting estimates that are assets or for provisions against gross immaterial assets (such as bad debt/stock provisions where the total gross receivables/stock balance is immaterial). The template must be completed for all other accounting estimates. 
Consideration should be given to disaggregating accounting estimates that may be within the same SCOTABD but have different risk profiles (for example assets carried at fair value vs assets carried at cost less depreciation).  </t>
        </is>
      </c>
      <c r="W8" s="53" t="n"/>
      <c r="X8" s="54" t="n"/>
      <c r="Y8" s="54" t="n"/>
      <c r="Z8" s="54" t="n"/>
      <c r="AA8" s="54" t="n"/>
    </row>
    <row r="9" ht="31.5" customFormat="1" customHeight="1" s="119">
      <c r="B9" s="119" t="inlineStr">
        <is>
          <t>STEP 1:   UNDERSTANDING THE ESTIMATE AND RISK ASSESSMENT PROCEDURES</t>
        </is>
      </c>
      <c r="P9" s="159" t="n"/>
      <c r="R9" s="267" t="n"/>
      <c r="S9" s="268" t="n"/>
      <c r="T9" s="268" t="n"/>
      <c r="U9" s="268" t="n"/>
      <c r="V9" s="268" t="n"/>
      <c r="W9" s="122" t="n"/>
    </row>
    <row r="10" ht="15.75" customFormat="1" customHeight="1" s="65" thickBot="1">
      <c r="B10" s="123" t="n"/>
      <c r="C10" s="124" t="n"/>
      <c r="D10" s="124" t="n"/>
      <c r="E10" s="124" t="n"/>
      <c r="F10" s="124" t="n"/>
      <c r="G10" s="124" t="n"/>
      <c r="H10" s="124" t="n"/>
      <c r="I10" s="124" t="n"/>
      <c r="J10" s="124" t="n"/>
      <c r="K10" s="124" t="n"/>
      <c r="L10" s="124" t="n"/>
      <c r="M10" s="124" t="n"/>
      <c r="N10" s="124" t="n"/>
      <c r="O10" s="19" t="n"/>
      <c r="P10" s="128" t="n"/>
      <c r="Q10" s="19" t="n"/>
      <c r="R10" s="267" t="n"/>
      <c r="S10" s="268" t="n"/>
      <c r="T10" s="268" t="n"/>
      <c r="U10" s="268" t="n"/>
      <c r="V10" s="268" t="n"/>
      <c r="W10" s="64" t="n"/>
    </row>
    <row r="11" ht="21" customFormat="1" customHeight="1" s="19">
      <c r="A11" s="4" t="n"/>
      <c r="B11" s="181" t="inlineStr">
        <is>
          <t>Obtaining an understanding of the entity and its environment and the applicable financial reporting framework</t>
        </is>
      </c>
      <c r="C11" s="182" t="n"/>
      <c r="D11" s="182" t="n"/>
      <c r="E11" s="182" t="n"/>
      <c r="F11" s="182" t="n"/>
      <c r="G11" s="182" t="n"/>
      <c r="H11" s="182" t="n"/>
      <c r="I11" s="182" t="n"/>
      <c r="J11" s="182" t="n"/>
      <c r="K11" s="182" t="n"/>
      <c r="L11" s="182" t="n"/>
      <c r="M11" s="182" t="n"/>
      <c r="N11" s="182" t="n"/>
      <c r="O11" s="182" t="n"/>
      <c r="P11" s="224" t="n"/>
      <c r="R11" s="355" t="inlineStr">
        <is>
          <t xml:space="preserve">Our understanding of the accounting estimate may already be documented within the Key Business Processes (KBP's) we have identified. Please review our documentation of our understanding of the KBP within Atlas on the node 'Document our understanding of the KBP's' and cross reference where appropriate. </t>
        </is>
      </c>
      <c r="W11" s="27" t="n"/>
    </row>
    <row r="12" ht="19.5" customFormat="1" customHeight="1" s="65">
      <c r="A12" s="55" t="n"/>
      <c r="B12" s="209" t="inlineStr">
        <is>
          <t>Entity's transactions and other events or conditions relevant to the specific accounting estimate [ISA (revised) 540.13a]</t>
        </is>
      </c>
      <c r="C12" s="68" t="n"/>
      <c r="D12" s="68" t="n"/>
      <c r="E12" s="68" t="n"/>
      <c r="F12" s="68" t="n"/>
      <c r="G12" s="68" t="n"/>
      <c r="H12" s="68" t="n"/>
      <c r="I12" s="68" t="n"/>
      <c r="J12" s="68" t="n"/>
      <c r="K12" s="68" t="n"/>
      <c r="L12" s="68" t="n"/>
      <c r="M12" s="68" t="n"/>
      <c r="N12" s="68" t="n"/>
      <c r="O12" s="68" t="n"/>
      <c r="P12" s="210" t="n"/>
      <c r="Q12" s="19" t="n"/>
      <c r="W12" s="64" t="n"/>
    </row>
    <row r="13" ht="15.75" customFormat="1" customHeight="1" s="65">
      <c r="A13" s="55" t="n"/>
      <c r="B13" s="379" t="inlineStr">
        <is>
          <t>회사는 대리점·직영점·백화점·아울렛·온라인(위탁)·특판 등 다양한 채널을 통해 상품(의류 및 잡화)을 판매하며 이에 따라 매출채권이 발생함. 매출채권의 대부분은 Retail 관련 채권으로 회수기간이 단기(대리점 15일 이내, 백화점·아울렛 등 1개월 이내)이며, 대리점의 경우 점주로부터 장기 예수보증금을 수령하고 있음. 당기말 매출채권은 6,594,431,452원(온라인몰 (-)매출채권 494,529,803원을 선수금으로 재분류하기 전 총 대손설정대상 채권 7,088,961,255원)이며 대손충당금 65,944,315원을 설정함. 당기 중 신규 거래유형이나 거래조건의 중요한 변경, 새로운 사건·상황은 없음.</t>
        </is>
      </c>
      <c r="C13" s="374" t="n"/>
      <c r="D13" s="374" t="n"/>
      <c r="E13" s="374" t="n"/>
      <c r="F13" s="374" t="n"/>
      <c r="G13" s="374" t="n"/>
      <c r="H13" s="374" t="n"/>
      <c r="I13" s="374" t="n"/>
      <c r="J13" s="374" t="n"/>
      <c r="K13" s="374" t="n"/>
      <c r="L13" s="374" t="n"/>
      <c r="M13" s="374" t="n"/>
      <c r="N13" s="374" t="n"/>
      <c r="O13" s="374" t="n"/>
      <c r="P13" s="332" t="inlineStr">
        <is>
          <t>Link to guidance</t>
        </is>
      </c>
      <c r="Q13" s="131" t="n"/>
      <c r="W13" s="132" t="n"/>
    </row>
    <row r="14" customFormat="1" s="65">
      <c r="A14" s="55" t="n"/>
      <c r="B14" s="380" t="n"/>
      <c r="C14" s="374" t="n"/>
      <c r="D14" s="374" t="n"/>
      <c r="E14" s="374" t="n"/>
      <c r="F14" s="374" t="n"/>
      <c r="G14" s="374" t="n"/>
      <c r="H14" s="374" t="n"/>
      <c r="I14" s="374" t="n"/>
      <c r="J14" s="374" t="n"/>
      <c r="K14" s="374" t="n"/>
      <c r="L14" s="374" t="n"/>
      <c r="M14" s="374" t="n"/>
      <c r="N14" s="374" t="n"/>
      <c r="O14" s="374" t="n"/>
      <c r="P14" s="381" t="n"/>
      <c r="Q14" s="131" t="n"/>
      <c r="W14" s="132" t="n"/>
    </row>
    <row r="15" customFormat="1" s="65">
      <c r="A15" s="55" t="n"/>
      <c r="B15" s="380" t="n"/>
      <c r="C15" s="374" t="n"/>
      <c r="D15" s="374" t="n"/>
      <c r="E15" s="374" t="n"/>
      <c r="F15" s="374" t="n"/>
      <c r="G15" s="374" t="n"/>
      <c r="H15" s="374" t="n"/>
      <c r="I15" s="374" t="n"/>
      <c r="J15" s="374" t="n"/>
      <c r="K15" s="374" t="n"/>
      <c r="L15" s="374" t="n"/>
      <c r="M15" s="374" t="n"/>
      <c r="N15" s="374" t="n"/>
      <c r="O15" s="374" t="n"/>
      <c r="P15" s="225" t="n"/>
      <c r="Q15" s="19" t="n"/>
      <c r="R15" s="267" t="n"/>
      <c r="S15" s="268" t="n"/>
      <c r="T15" s="268" t="n"/>
      <c r="U15" s="268" t="n"/>
      <c r="V15" s="268" t="n"/>
      <c r="W15" s="64" t="n"/>
    </row>
    <row r="16" ht="19.5" customFormat="1" customHeight="1" s="65">
      <c r="A16" s="55" t="n"/>
      <c r="B16" s="209" t="inlineStr">
        <is>
          <t>Requirements of the applicable financial reporting framework [ISA (revised) 540.13b]</t>
        </is>
      </c>
      <c r="C16" s="68" t="n"/>
      <c r="D16" s="68" t="n"/>
      <c r="E16" s="68" t="n"/>
      <c r="F16" s="68" t="n"/>
      <c r="G16" s="68" t="n"/>
      <c r="H16" s="68" t="n"/>
      <c r="I16" s="68" t="n"/>
      <c r="J16" s="68" t="n"/>
      <c r="K16" s="68" t="n"/>
      <c r="L16" s="68" t="n"/>
      <c r="M16" s="68" t="n"/>
      <c r="N16" s="68" t="n"/>
      <c r="O16" s="68" t="n"/>
      <c r="P16" s="210" t="n"/>
      <c r="Q16" s="19" t="n"/>
      <c r="R16" s="267" t="n"/>
      <c r="S16" s="268" t="n"/>
      <c r="T16" s="268" t="n"/>
      <c r="U16" s="268" t="n"/>
      <c r="V16" s="268" t="n"/>
      <c r="W16" s="64" t="n"/>
    </row>
    <row r="17" ht="15" customFormat="1" customHeight="1" s="65">
      <c r="A17" s="55" t="n"/>
      <c r="B17" s="382" t="inlineStr">
        <is>
          <t>적용 재무보고체계는 일반기업회계기준(K-GAAP)임. 매출채권은 회수가능액으로 평가하며, 합리적이고 객관적인 기준에 따라 산정한 대손추산액을 대손충당금으로 설정함. 회사는 매출채권 기말잔액에 세법상 대손설정률 1%를 적용하여 대손충당금을 설정하고 있음.</t>
        </is>
      </c>
      <c r="C17" s="374" t="n"/>
      <c r="D17" s="374" t="n"/>
      <c r="E17" s="374" t="n"/>
      <c r="F17" s="374" t="n"/>
      <c r="G17" s="374" t="n"/>
      <c r="H17" s="374" t="n"/>
      <c r="I17" s="374" t="n"/>
      <c r="J17" s="374" t="n"/>
      <c r="K17" s="374" t="n"/>
      <c r="L17" s="374" t="n"/>
      <c r="M17" s="374" t="n"/>
      <c r="N17" s="374" t="n"/>
      <c r="O17" s="374" t="n"/>
      <c r="P17" s="332" t="inlineStr">
        <is>
          <t>Link to guidance</t>
        </is>
      </c>
      <c r="Q17" s="78" t="n"/>
      <c r="R17" s="269" t="n"/>
      <c r="S17" s="270" t="n"/>
      <c r="T17" s="270" t="n"/>
      <c r="U17" s="271" t="n"/>
      <c r="V17" s="271" t="n"/>
      <c r="W17" s="132" t="n"/>
    </row>
    <row r="18" customFormat="1" s="65">
      <c r="A18" s="55" t="n"/>
      <c r="B18" s="380" t="n"/>
      <c r="C18" s="374" t="n"/>
      <c r="D18" s="374" t="n"/>
      <c r="E18" s="374" t="n"/>
      <c r="F18" s="374" t="n"/>
      <c r="G18" s="374" t="n"/>
      <c r="H18" s="374" t="n"/>
      <c r="I18" s="374" t="n"/>
      <c r="J18" s="374" t="n"/>
      <c r="K18" s="374" t="n"/>
      <c r="L18" s="374" t="n"/>
      <c r="M18" s="374" t="n"/>
      <c r="N18" s="374" t="n"/>
      <c r="O18" s="374" t="n"/>
      <c r="P18" s="381" t="n"/>
      <c r="Q18" s="78" t="n"/>
      <c r="R18" s="269" t="n"/>
      <c r="S18" s="270" t="n"/>
      <c r="T18" s="270" t="n"/>
      <c r="U18" s="271" t="n"/>
      <c r="V18" s="271" t="n"/>
      <c r="W18" s="132" t="n"/>
    </row>
    <row r="19" ht="15" customFormat="1" customHeight="1" s="65">
      <c r="A19" s="55" t="n"/>
      <c r="B19" s="380" t="n"/>
      <c r="C19" s="374" t="n"/>
      <c r="D19" s="374" t="n"/>
      <c r="E19" s="374" t="n"/>
      <c r="F19" s="374" t="n"/>
      <c r="G19" s="374" t="n"/>
      <c r="H19" s="374" t="n"/>
      <c r="I19" s="374" t="n"/>
      <c r="J19" s="374" t="n"/>
      <c r="K19" s="374" t="n"/>
      <c r="L19" s="374" t="n"/>
      <c r="M19" s="374" t="n"/>
      <c r="N19" s="374" t="n"/>
      <c r="O19" s="374" t="n"/>
      <c r="P19" s="226" t="n"/>
      <c r="Q19" s="78" t="n"/>
      <c r="R19" s="272" t="n"/>
      <c r="S19" s="273" t="n"/>
      <c r="T19" s="273" t="n"/>
      <c r="U19" s="273" t="n"/>
      <c r="V19" s="273" t="n"/>
      <c r="W19" s="133" t="n"/>
    </row>
    <row r="20" ht="19.5" customFormat="1" customHeight="1" s="65">
      <c r="A20" s="55" t="n"/>
      <c r="B20" s="209" t="inlineStr">
        <is>
          <t>Regulatory factors [ISA 540 (revised) 540.13c]</t>
        </is>
      </c>
      <c r="C20" s="68" t="n"/>
      <c r="D20" s="68" t="n"/>
      <c r="E20" s="68" t="n"/>
      <c r="F20" s="68" t="n"/>
      <c r="G20" s="68" t="n"/>
      <c r="H20" s="68" t="n"/>
      <c r="I20" s="68" t="n"/>
      <c r="J20" s="68" t="n"/>
      <c r="K20" s="68" t="n"/>
      <c r="L20" s="68" t="n"/>
      <c r="M20" s="68" t="n"/>
      <c r="N20" s="68" t="n"/>
      <c r="O20" s="68" t="n"/>
      <c r="P20" s="210" t="n"/>
      <c r="Q20" s="19" t="n"/>
      <c r="R20" s="274" t="n"/>
      <c r="S20" s="275" t="n"/>
      <c r="T20" s="275" t="n"/>
      <c r="U20" s="275" t="n"/>
      <c r="V20" s="275" t="n"/>
      <c r="W20" s="64" t="n"/>
    </row>
    <row r="21" ht="15" customFormat="1" customHeight="1" s="65">
      <c r="A21" s="55" t="n"/>
      <c r="B21" s="382" t="inlineStr">
        <is>
          <t>대손충당금 손금산입 한도(채권잔액의 1%) 등 법인세법상 세무규정 외에 대손충당금 추정에 영향을 미치는 특별한 규제요인은 식별되지 않음.</t>
        </is>
      </c>
      <c r="C21" s="374" t="n"/>
      <c r="D21" s="374" t="n"/>
      <c r="E21" s="374" t="n"/>
      <c r="F21" s="374" t="n"/>
      <c r="G21" s="374" t="n"/>
      <c r="H21" s="374" t="n"/>
      <c r="I21" s="374" t="n"/>
      <c r="J21" s="374" t="n"/>
      <c r="K21" s="374" t="n"/>
      <c r="L21" s="374" t="n"/>
      <c r="M21" s="374" t="n"/>
      <c r="N21" s="374" t="n"/>
      <c r="O21" s="374" t="n"/>
      <c r="P21" s="332" t="inlineStr">
        <is>
          <t>Link to guidance</t>
        </is>
      </c>
      <c r="Q21" s="19" t="n"/>
      <c r="R21" s="269" t="n"/>
      <c r="S21" s="270" t="n"/>
      <c r="T21" s="270" t="n"/>
      <c r="U21" s="271" t="n"/>
      <c r="V21" s="271" t="n"/>
      <c r="W21" s="132" t="n"/>
    </row>
    <row r="22" customFormat="1" s="65">
      <c r="A22" s="55" t="n"/>
      <c r="B22" s="380" t="n"/>
      <c r="C22" s="374" t="n"/>
      <c r="D22" s="374" t="n"/>
      <c r="E22" s="374" t="n"/>
      <c r="F22" s="374" t="n"/>
      <c r="G22" s="374" t="n"/>
      <c r="H22" s="374" t="n"/>
      <c r="I22" s="374" t="n"/>
      <c r="J22" s="374" t="n"/>
      <c r="K22" s="374" t="n"/>
      <c r="L22" s="374" t="n"/>
      <c r="M22" s="374" t="n"/>
      <c r="N22" s="374" t="n"/>
      <c r="O22" s="374" t="n"/>
      <c r="P22" s="381" t="n"/>
      <c r="Q22" s="78" t="n"/>
      <c r="R22" s="269" t="n"/>
      <c r="S22" s="270" t="n"/>
      <c r="T22" s="270" t="n"/>
      <c r="U22" s="271" t="n"/>
      <c r="V22" s="271" t="n"/>
      <c r="W22" s="132" t="n"/>
    </row>
    <row r="23" customFormat="1" s="65">
      <c r="A23" s="55" t="n"/>
      <c r="B23" s="380" t="n"/>
      <c r="C23" s="374" t="n"/>
      <c r="D23" s="374" t="n"/>
      <c r="E23" s="374" t="n"/>
      <c r="F23" s="374" t="n"/>
      <c r="G23" s="374" t="n"/>
      <c r="H23" s="374" t="n"/>
      <c r="I23" s="374" t="n"/>
      <c r="J23" s="374" t="n"/>
      <c r="K23" s="374" t="n"/>
      <c r="L23" s="374" t="n"/>
      <c r="M23" s="374" t="n"/>
      <c r="N23" s="374" t="n"/>
      <c r="O23" s="374" t="n"/>
      <c r="P23" s="226" t="n"/>
      <c r="Q23" s="78" t="n"/>
      <c r="R23" s="272" t="n"/>
      <c r="S23" s="273" t="n"/>
      <c r="T23" s="273" t="n"/>
      <c r="U23" s="273" t="n"/>
      <c r="V23" s="273" t="n"/>
      <c r="W23" s="133" t="n"/>
    </row>
    <row r="24" ht="15.75" customFormat="1" customHeight="1" s="65" thickBot="1">
      <c r="B24" s="211" t="n"/>
      <c r="C24" s="40" t="n"/>
      <c r="D24" s="40" t="n"/>
      <c r="E24" s="40" t="n"/>
      <c r="F24" s="40" t="n"/>
      <c r="G24" s="40" t="n"/>
      <c r="H24" s="40" t="n"/>
      <c r="I24" s="40" t="n"/>
      <c r="J24" s="40" t="n"/>
      <c r="K24" s="40" t="n"/>
      <c r="L24" s="40" t="n"/>
      <c r="M24" s="40" t="n"/>
      <c r="N24" s="40" t="n"/>
      <c r="O24" s="40" t="n"/>
      <c r="P24" s="227" t="n"/>
      <c r="Q24" s="78" t="n"/>
      <c r="R24" s="272" t="n"/>
      <c r="S24" s="273" t="n"/>
      <c r="T24" s="273" t="n"/>
      <c r="U24" s="273" t="n"/>
      <c r="V24" s="273" t="n"/>
      <c r="W24" s="133" t="n"/>
    </row>
    <row r="25" ht="16.5" customFormat="1" customHeight="1" s="65" thickBot="1">
      <c r="B25" s="181" t="inlineStr">
        <is>
          <t>Scoping Question</t>
        </is>
      </c>
      <c r="C25" s="311" t="n"/>
      <c r="D25" s="311" t="n"/>
      <c r="E25" s="311" t="n"/>
      <c r="F25" s="311" t="n"/>
      <c r="G25" s="311" t="n"/>
      <c r="H25" s="311" t="n"/>
      <c r="I25" s="311" t="n"/>
      <c r="J25" s="311" t="n"/>
      <c r="K25" s="311" t="n"/>
      <c r="L25" s="311" t="n"/>
      <c r="M25" s="311" t="n"/>
      <c r="N25" s="311" t="n"/>
      <c r="O25" s="311" t="n"/>
      <c r="P25" s="227" t="n"/>
      <c r="Q25" s="78" t="n"/>
      <c r="R25" s="272" t="n"/>
      <c r="S25" s="273" t="n"/>
      <c r="T25" s="273" t="n"/>
      <c r="U25" s="273" t="n"/>
      <c r="V25" s="273" t="n"/>
      <c r="W25" s="133" t="n"/>
    </row>
    <row r="26" ht="34.5" customFormat="1" customHeight="1" s="65" thickBot="1">
      <c r="B26" s="361" t="inlineStr">
        <is>
          <t>Considering the inherent risk factors including estimation uncertainty, complexity and subjectivity, do you consider there to be a risk of material misstatement (standard, enhanced or significant) associated with the accounting estimate?</t>
        </is>
      </c>
      <c r="K26" s="313" t="inlineStr">
        <is>
          <t>Yes</t>
        </is>
      </c>
      <c r="L26" s="312" t="n"/>
      <c r="M26" s="312" t="n"/>
      <c r="N26" s="312" t="n"/>
      <c r="O26" s="312" t="n"/>
      <c r="P26" s="227" t="n"/>
      <c r="Q26" s="78" t="n"/>
      <c r="R26" s="272" t="n"/>
      <c r="S26" s="273" t="n"/>
      <c r="T26" s="273" t="n"/>
      <c r="U26" s="273" t="n"/>
      <c r="V26" s="273" t="n"/>
      <c r="W26" s="133" t="n"/>
    </row>
    <row r="27" customFormat="1" s="65">
      <c r="B27" s="382" t="inlineStr">
        <is>
          <t>매출채권 총액이 재무제표에 중요하고 대손충당금이 경영진의 추정을 수반하므로 표준수준(Standard)의 중요왜곡표시위험이 존재하는 것으로 판단함. 다만 회수기간이 단기이고 대손경험이 거의 없으며 대리점 보증금을 수령하는 등 추정불확실성이 낮아 유의적/강화위험에는 해당하지 않는 것으로 판단함.</t>
        </is>
      </c>
      <c r="C27" s="374" t="n"/>
      <c r="D27" s="374" t="n"/>
      <c r="E27" s="374" t="n"/>
      <c r="F27" s="374" t="n"/>
      <c r="G27" s="374" t="n"/>
      <c r="H27" s="374" t="n"/>
      <c r="I27" s="374" t="n"/>
      <c r="J27" s="374" t="n"/>
      <c r="K27" s="374" t="n"/>
      <c r="L27" s="374" t="n"/>
      <c r="M27" s="374" t="n"/>
      <c r="N27" s="374" t="n"/>
      <c r="O27" s="374" t="n"/>
      <c r="P27" s="227" t="n"/>
      <c r="Q27" s="78" t="n"/>
      <c r="R27" s="272" t="n"/>
      <c r="S27" s="273" t="n"/>
      <c r="T27" s="273" t="n"/>
      <c r="U27" s="273" t="n"/>
      <c r="V27" s="273" t="n"/>
      <c r="W27" s="133" t="n"/>
    </row>
    <row r="28" customFormat="1" s="65">
      <c r="B28" s="380" t="n"/>
      <c r="C28" s="374" t="n"/>
      <c r="D28" s="374" t="n"/>
      <c r="E28" s="374" t="n"/>
      <c r="F28" s="374" t="n"/>
      <c r="G28" s="374" t="n"/>
      <c r="H28" s="374" t="n"/>
      <c r="I28" s="374" t="n"/>
      <c r="J28" s="374" t="n"/>
      <c r="K28" s="374" t="n"/>
      <c r="L28" s="374" t="n"/>
      <c r="M28" s="374" t="n"/>
      <c r="N28" s="374" t="n"/>
      <c r="O28" s="374" t="n"/>
      <c r="P28" s="227" t="n"/>
      <c r="Q28" s="78" t="n"/>
      <c r="R28" s="272" t="n"/>
      <c r="S28" s="273" t="n"/>
      <c r="T28" s="273" t="n"/>
      <c r="U28" s="273" t="n"/>
      <c r="V28" s="273" t="n"/>
      <c r="W28" s="133" t="n"/>
    </row>
    <row r="29" customFormat="1" s="65">
      <c r="B29" s="380" t="n"/>
      <c r="C29" s="374" t="n"/>
      <c r="D29" s="374" t="n"/>
      <c r="E29" s="374" t="n"/>
      <c r="F29" s="374" t="n"/>
      <c r="G29" s="374" t="n"/>
      <c r="H29" s="374" t="n"/>
      <c r="I29" s="374" t="n"/>
      <c r="J29" s="374" t="n"/>
      <c r="K29" s="374" t="n"/>
      <c r="L29" s="374" t="n"/>
      <c r="M29" s="374" t="n"/>
      <c r="N29" s="374" t="n"/>
      <c r="O29" s="374" t="n"/>
      <c r="P29" s="227" t="n"/>
      <c r="Q29" s="78" t="n"/>
      <c r="R29" s="272" t="n"/>
      <c r="S29" s="273" t="n"/>
      <c r="T29" s="273" t="n"/>
      <c r="U29" s="273" t="n"/>
      <c r="V29" s="273" t="n"/>
      <c r="W29" s="133" t="n"/>
    </row>
    <row r="30" ht="15.75" customFormat="1" customHeight="1" s="65" thickBot="1">
      <c r="B30" s="211" t="n"/>
      <c r="C30" s="40" t="n"/>
      <c r="D30" s="40" t="n"/>
      <c r="E30" s="40" t="n"/>
      <c r="F30" s="40" t="n"/>
      <c r="G30" s="40" t="n"/>
      <c r="H30" s="40" t="n"/>
      <c r="I30" s="40" t="n"/>
      <c r="J30" s="40" t="n"/>
      <c r="K30" s="40" t="n"/>
      <c r="L30" s="40" t="n"/>
      <c r="M30" s="40" t="n"/>
      <c r="N30" s="40" t="n"/>
      <c r="O30" s="40" t="n"/>
      <c r="P30" s="227" t="n"/>
      <c r="Q30" s="78" t="n"/>
      <c r="R30" s="272" t="n"/>
      <c r="S30" s="273" t="n"/>
      <c r="T30" s="273" t="n"/>
      <c r="U30" s="273" t="n"/>
      <c r="V30" s="273" t="n"/>
      <c r="W30" s="133" t="n"/>
    </row>
    <row r="31" ht="34.5" customFormat="1" customHeight="1" s="65">
      <c r="B31" s="383">
        <f>IF(K26="Yes","Please continue with this tool",IF(K26="No","Since you have not identified any risk of material misstatement associated with the accounting estimate, the remainder of this tool is not required to be completed.",""))</f>
        <v/>
      </c>
      <c r="C31" s="384" t="n"/>
      <c r="D31" s="384" t="n"/>
      <c r="E31" s="384" t="n"/>
      <c r="F31" s="384" t="n"/>
      <c r="G31" s="384" t="n"/>
      <c r="H31" s="384" t="n"/>
      <c r="I31" s="384" t="n"/>
      <c r="J31" s="384" t="n"/>
      <c r="K31" s="384" t="n"/>
      <c r="L31" s="384" t="n"/>
      <c r="M31" s="385" t="n"/>
      <c r="N31" s="40" t="n"/>
      <c r="P31" s="227" t="n"/>
      <c r="Q31" s="78" t="n"/>
      <c r="R31" s="272" t="n"/>
      <c r="S31" s="273" t="n"/>
      <c r="T31" s="273" t="n"/>
      <c r="U31" s="273" t="n"/>
      <c r="V31" s="273" t="n"/>
      <c r="W31" s="133" t="n"/>
    </row>
    <row r="32" ht="34.5" customFormat="1" customHeight="1" s="65">
      <c r="B32" s="314">
        <f>IF(K26="Yes","",IF(K26="No","If you obtain any additional information throughout the audit that leads you to believe that there is a risk of material misstatement, you must update this question.",""))</f>
        <v/>
      </c>
      <c r="N32" s="40" t="n"/>
      <c r="P32" s="227" t="n"/>
      <c r="Q32" s="78" t="n"/>
      <c r="R32" s="272" t="n"/>
      <c r="S32" s="273" t="n"/>
      <c r="T32" s="273" t="n"/>
      <c r="U32" s="273" t="n"/>
      <c r="V32" s="273" t="n"/>
      <c r="W32" s="133" t="n"/>
    </row>
    <row r="33" ht="15.75" customFormat="1" customHeight="1" s="65" thickBot="1">
      <c r="B33" s="228" t="n"/>
      <c r="C33" s="78" t="n"/>
      <c r="D33" s="78" t="n"/>
      <c r="E33" s="78" t="n"/>
      <c r="F33" s="78" t="n"/>
      <c r="G33" s="78" t="n"/>
      <c r="H33" s="78" t="n"/>
      <c r="I33" s="78" t="n"/>
      <c r="J33" s="78" t="n"/>
      <c r="K33" s="78" t="n"/>
      <c r="L33" s="78" t="n"/>
      <c r="M33" s="78" t="n"/>
      <c r="N33" s="78" t="n"/>
      <c r="O33" s="78" t="n"/>
      <c r="P33" s="213" t="n"/>
      <c r="Q33" s="78" t="n"/>
      <c r="R33" s="272" t="n"/>
      <c r="S33" s="273" t="n"/>
      <c r="T33" s="273" t="n"/>
      <c r="U33" s="273" t="n"/>
      <c r="V33" s="273" t="n"/>
      <c r="W33" s="133" t="n"/>
    </row>
    <row r="34" ht="21" customFormat="1" customHeight="1" s="65">
      <c r="A34" s="55" t="n"/>
      <c r="B34" s="181" t="inlineStr">
        <is>
          <t>Obtaining an understanding of the entity's system of internal control</t>
        </is>
      </c>
      <c r="C34" s="182" t="n"/>
      <c r="D34" s="182" t="n"/>
      <c r="E34" s="182" t="n"/>
      <c r="F34" s="182" t="n"/>
      <c r="G34" s="182" t="n"/>
      <c r="H34" s="182" t="n"/>
      <c r="I34" s="182" t="n"/>
      <c r="J34" s="182" t="n"/>
      <c r="K34" s="182" t="n"/>
      <c r="L34" s="182" t="n"/>
      <c r="M34" s="182" t="n"/>
      <c r="N34" s="182" t="n"/>
      <c r="O34" s="182" t="n"/>
      <c r="P34" s="208" t="n"/>
      <c r="Q34" s="78" t="n"/>
      <c r="R34" s="272" t="n"/>
      <c r="S34" s="273" t="n"/>
      <c r="T34" s="273" t="n"/>
      <c r="U34" s="273" t="n"/>
      <c r="V34" s="273" t="n"/>
      <c r="W34" s="133" t="n"/>
    </row>
    <row r="35" ht="19.5" customFormat="1" customHeight="1" s="65">
      <c r="A35" s="55" t="n"/>
      <c r="B35" s="209" t="inlineStr">
        <is>
          <t>Nature and extent of oversight and governance [ISA(revised) 540.13e]</t>
        </is>
      </c>
      <c r="C35" s="68" t="n"/>
      <c r="D35" s="68" t="n"/>
      <c r="E35" s="68" t="n"/>
      <c r="F35" s="68" t="n"/>
      <c r="G35" s="68" t="n"/>
      <c r="H35" s="68" t="n"/>
      <c r="I35" s="68" t="n"/>
      <c r="J35" s="68" t="n"/>
      <c r="K35" s="68" t="n"/>
      <c r="L35" s="68" t="n"/>
      <c r="M35" s="68" t="n"/>
      <c r="N35" s="68" t="n"/>
      <c r="O35" s="68" t="n"/>
      <c r="P35" s="210" t="n"/>
      <c r="Q35" s="19" t="n"/>
      <c r="R35" s="274" t="n"/>
      <c r="S35" s="275" t="n"/>
      <c r="T35" s="275" t="n"/>
      <c r="U35" s="275" t="n"/>
      <c r="V35" s="275" t="n"/>
      <c r="W35" s="64" t="n"/>
    </row>
    <row r="36" customFormat="1" s="65">
      <c r="A36" s="55" t="n"/>
      <c r="B36" s="382" t="inlineStr">
        <is>
          <t>재무팀 및 본사(VF, Franchise agreement)의 검토·보고체계를 통해 매출채권 회수현황과 대손충당금 정책의 적정성이 감독됨. 지배기구는 재무제표 및 채권 회수현황 검토를 통해 대손충당금 설정의 합리성을 감독함.</t>
        </is>
      </c>
      <c r="C36" s="374" t="n"/>
      <c r="D36" s="374" t="n"/>
      <c r="E36" s="374" t="n"/>
      <c r="F36" s="374" t="n"/>
      <c r="G36" s="374" t="n"/>
      <c r="H36" s="374" t="n"/>
      <c r="I36" s="374" t="n"/>
      <c r="J36" s="374" t="n"/>
      <c r="K36" s="374" t="n"/>
      <c r="L36" s="374" t="n"/>
      <c r="M36" s="374" t="n"/>
      <c r="N36" s="374" t="n"/>
      <c r="O36" s="374" t="n"/>
      <c r="P36" s="332" t="inlineStr">
        <is>
          <t>Link to guidance</t>
        </is>
      </c>
      <c r="Q36" s="134" t="n"/>
      <c r="R36" s="269" t="n"/>
      <c r="S36" s="270" t="n"/>
      <c r="T36" s="270" t="n"/>
      <c r="U36" s="271" t="n"/>
      <c r="V36" s="271" t="n"/>
      <c r="W36" s="132" t="n"/>
    </row>
    <row r="37" ht="15" customFormat="1" customHeight="1" s="65">
      <c r="A37" s="55" t="n"/>
      <c r="B37" s="380" t="n"/>
      <c r="C37" s="374" t="n"/>
      <c r="D37" s="374" t="n"/>
      <c r="E37" s="374" t="n"/>
      <c r="F37" s="374" t="n"/>
      <c r="G37" s="374" t="n"/>
      <c r="H37" s="374" t="n"/>
      <c r="I37" s="374" t="n"/>
      <c r="J37" s="374" t="n"/>
      <c r="K37" s="374" t="n"/>
      <c r="L37" s="374" t="n"/>
      <c r="M37" s="374" t="n"/>
      <c r="N37" s="374" t="n"/>
      <c r="O37" s="374" t="n"/>
      <c r="P37" s="381" t="n"/>
      <c r="Q37" s="134" t="n"/>
      <c r="R37" s="269" t="n"/>
      <c r="S37" s="270" t="n"/>
      <c r="T37" s="270" t="n"/>
      <c r="U37" s="271" t="n"/>
      <c r="V37" s="271" t="n"/>
      <c r="W37" s="132" t="n"/>
    </row>
    <row r="38" customFormat="1" s="65">
      <c r="A38" s="55" t="n"/>
      <c r="B38" s="380" t="n"/>
      <c r="C38" s="374" t="n"/>
      <c r="D38" s="374" t="n"/>
      <c r="E38" s="374" t="n"/>
      <c r="F38" s="374" t="n"/>
      <c r="G38" s="374" t="n"/>
      <c r="H38" s="374" t="n"/>
      <c r="I38" s="374" t="n"/>
      <c r="J38" s="374" t="n"/>
      <c r="K38" s="374" t="n"/>
      <c r="L38" s="374" t="n"/>
      <c r="M38" s="374" t="n"/>
      <c r="N38" s="374" t="n"/>
      <c r="O38" s="374" t="n"/>
      <c r="P38" s="212" t="n"/>
      <c r="Q38" s="78" t="n"/>
      <c r="R38" s="272" t="n"/>
      <c r="S38" s="273" t="n"/>
      <c r="T38" s="273" t="n"/>
      <c r="U38" s="273" t="n"/>
      <c r="V38" s="273" t="n"/>
      <c r="W38" s="133" t="n"/>
    </row>
    <row r="39" ht="19.5" customFormat="1" customHeight="1" s="65">
      <c r="A39" s="55" t="n"/>
      <c r="B39" s="209" t="inlineStr">
        <is>
          <t>Risk assessment processes [ISA(revised) 540.13g]</t>
        </is>
      </c>
      <c r="C39" s="68" t="n"/>
      <c r="D39" s="68" t="n"/>
      <c r="E39" s="68" t="n"/>
      <c r="F39" s="68" t="n"/>
      <c r="G39" s="68" t="n"/>
      <c r="H39" s="68" t="n"/>
      <c r="I39" s="68" t="n"/>
      <c r="J39" s="68" t="n"/>
      <c r="K39" s="68" t="n"/>
      <c r="L39" s="68" t="n"/>
      <c r="M39" s="68" t="n"/>
      <c r="N39" s="68" t="n"/>
      <c r="O39" s="68" t="n"/>
      <c r="P39" s="210" t="n"/>
      <c r="Q39" s="19" t="n"/>
      <c r="R39" s="274" t="n"/>
      <c r="S39" s="275" t="n"/>
      <c r="T39" s="275" t="n"/>
      <c r="U39" s="275" t="n"/>
      <c r="V39" s="275" t="n"/>
      <c r="W39" s="64" t="n"/>
    </row>
    <row r="40" ht="15" customFormat="1" customHeight="1" s="65">
      <c r="A40" s="55" t="n"/>
      <c r="B40" s="382" t="inlineStr">
        <is>
          <t>회사는 채널별(대리점·직영점·백화점·아울렛 등)로 매출채권 회수현황과 연체채권을 모니터링하며, 대리점의 경우 점주로부터 보증금을 수령하여 회수위험을 관리함. 과거 대손경험(진주·울산 대리점 미수금 연체)에 대해서는 개별적으로 회수가능성을 검토함.</t>
        </is>
      </c>
      <c r="C40" s="374" t="n"/>
      <c r="D40" s="374" t="n"/>
      <c r="E40" s="374" t="n"/>
      <c r="F40" s="374" t="n"/>
      <c r="G40" s="374" t="n"/>
      <c r="H40" s="374" t="n"/>
      <c r="I40" s="374" t="n"/>
      <c r="J40" s="374" t="n"/>
      <c r="K40" s="374" t="n"/>
      <c r="L40" s="374" t="n"/>
      <c r="M40" s="374" t="n"/>
      <c r="N40" s="374" t="n"/>
      <c r="O40" s="374" t="n"/>
      <c r="P40" s="332" t="inlineStr">
        <is>
          <t>Link to guidance</t>
        </is>
      </c>
      <c r="Q40" s="78" t="n"/>
      <c r="R40" s="269" t="n"/>
      <c r="S40" s="270" t="n"/>
      <c r="T40" s="270" t="n"/>
      <c r="U40" s="271" t="n"/>
      <c r="V40" s="271" t="n"/>
      <c r="W40" s="132" t="n"/>
    </row>
    <row r="41" ht="15" customFormat="1" customHeight="1" s="65">
      <c r="A41" s="55" t="n"/>
      <c r="B41" s="380" t="n"/>
      <c r="C41" s="374" t="n"/>
      <c r="D41" s="374" t="n"/>
      <c r="E41" s="374" t="n"/>
      <c r="F41" s="374" t="n"/>
      <c r="G41" s="374" t="n"/>
      <c r="H41" s="374" t="n"/>
      <c r="I41" s="374" t="n"/>
      <c r="J41" s="374" t="n"/>
      <c r="K41" s="374" t="n"/>
      <c r="L41" s="374" t="n"/>
      <c r="M41" s="374" t="n"/>
      <c r="N41" s="374" t="n"/>
      <c r="O41" s="374" t="n"/>
      <c r="P41" s="381" t="n"/>
      <c r="Q41" s="78" t="n"/>
      <c r="R41" s="269" t="n"/>
      <c r="S41" s="270" t="n"/>
      <c r="T41" s="270" t="n"/>
      <c r="U41" s="271" t="n"/>
      <c r="V41" s="271" t="n"/>
      <c r="W41" s="132" t="n"/>
    </row>
    <row r="42" ht="14.45" customFormat="1" customHeight="1" s="65">
      <c r="A42" s="55" t="n"/>
      <c r="B42" s="380" t="n"/>
      <c r="C42" s="374" t="n"/>
      <c r="D42" s="374" t="n"/>
      <c r="E42" s="374" t="n"/>
      <c r="F42" s="374" t="n"/>
      <c r="G42" s="374" t="n"/>
      <c r="H42" s="374" t="n"/>
      <c r="I42" s="374" t="n"/>
      <c r="J42" s="374" t="n"/>
      <c r="K42" s="374" t="n"/>
      <c r="L42" s="374" t="n"/>
      <c r="M42" s="374" t="n"/>
      <c r="N42" s="374" t="n"/>
      <c r="O42" s="374" t="n"/>
      <c r="P42" s="381" t="n"/>
      <c r="Q42" s="78" t="n"/>
      <c r="R42" s="269" t="n"/>
      <c r="S42" s="270" t="n"/>
      <c r="T42" s="270" t="n"/>
      <c r="U42" s="271" t="n"/>
      <c r="V42" s="271" t="n"/>
      <c r="W42" s="132" t="n"/>
    </row>
    <row r="43" ht="20.25" customFormat="1" customHeight="1" s="65">
      <c r="A43" s="55" t="n"/>
      <c r="B43" s="380" t="n"/>
      <c r="C43" s="374" t="n"/>
      <c r="D43" s="374" t="n"/>
      <c r="E43" s="374" t="n"/>
      <c r="F43" s="374" t="n"/>
      <c r="G43" s="374" t="n"/>
      <c r="H43" s="374" t="n"/>
      <c r="I43" s="374" t="n"/>
      <c r="J43" s="374" t="n"/>
      <c r="K43" s="374" t="n"/>
      <c r="L43" s="374" t="n"/>
      <c r="M43" s="374" t="n"/>
      <c r="N43" s="374" t="n"/>
      <c r="O43" s="374" t="n"/>
      <c r="P43" s="212" t="n"/>
      <c r="Q43" s="78" t="n"/>
      <c r="R43" s="272" t="n"/>
      <c r="S43" s="273" t="n"/>
      <c r="T43" s="273" t="n"/>
      <c r="U43" s="273" t="n"/>
      <c r="V43" s="273" t="n"/>
      <c r="W43" s="133" t="n"/>
    </row>
    <row r="44" ht="19.5" customFormat="1" customHeight="1" s="65">
      <c r="A44" s="55" t="n"/>
      <c r="B44" s="209" t="inlineStr">
        <is>
          <t>Control activities [ISA(revised) 540.13i]</t>
        </is>
      </c>
      <c r="C44" s="68" t="n"/>
      <c r="D44" s="68" t="n"/>
      <c r="E44" s="68" t="n"/>
      <c r="F44" s="68" t="n"/>
      <c r="G44" s="68" t="n"/>
      <c r="H44" s="68" t="n"/>
      <c r="I44" s="68" t="n"/>
      <c r="J44" s="68" t="n"/>
      <c r="K44" s="68" t="n"/>
      <c r="L44" s="68" t="n"/>
      <c r="M44" s="68" t="n"/>
      <c r="N44" s="68" t="n"/>
      <c r="O44" s="68" t="n"/>
      <c r="P44" s="210" t="n"/>
      <c r="Q44" s="19" t="n"/>
      <c r="R44" s="274" t="n"/>
      <c r="S44" s="275" t="n"/>
      <c r="T44" s="275" t="n"/>
      <c r="U44" s="275" t="n"/>
      <c r="V44" s="275" t="n"/>
      <c r="W44" s="64" t="n"/>
    </row>
    <row r="45" customFormat="1" s="65">
      <c r="A45" s="55" t="n"/>
      <c r="B45" s="382" t="inlineStr">
        <is>
          <t>① 매출채권 연령분석표(명세서)의 작성 및 검토, ② 대손충당금 계산내역(기초·설정·환입·제각·기말)의 검토 및 승인, ③ 채널별 회수현황 모니터링 및 대리점 보증금 관리. (식별된 통제는 Atlas의 'Identify controls that address WCGW's' 노드에 반영 필요.)</t>
        </is>
      </c>
      <c r="C45" s="374" t="n"/>
      <c r="D45" s="374" t="n"/>
      <c r="E45" s="374" t="n"/>
      <c r="F45" s="374" t="n"/>
      <c r="G45" s="374" t="n"/>
      <c r="H45" s="374" t="n"/>
      <c r="I45" s="374" t="n"/>
      <c r="J45" s="374" t="n"/>
      <c r="K45" s="374" t="n"/>
      <c r="L45" s="374" t="n"/>
      <c r="M45" s="374" t="n"/>
      <c r="N45" s="374" t="n"/>
      <c r="O45" s="374" t="n"/>
      <c r="P45" s="332" t="inlineStr">
        <is>
          <t>Link to guidance</t>
        </is>
      </c>
      <c r="Q45" s="78" t="n"/>
      <c r="R45" s="354" t="inlineStr">
        <is>
          <t xml:space="preserve">Please ensure that the controls identified here are copied into Atlas on the node 'Identify controls that address WCGW's and relate them to the WCGW's' </t>
        </is>
      </c>
      <c r="W45" s="132" t="n"/>
    </row>
    <row r="46" customFormat="1" s="65">
      <c r="A46" s="55" t="n"/>
      <c r="B46" s="380" t="n"/>
      <c r="C46" s="374" t="n"/>
      <c r="D46" s="374" t="n"/>
      <c r="E46" s="374" t="n"/>
      <c r="F46" s="374" t="n"/>
      <c r="G46" s="374" t="n"/>
      <c r="H46" s="374" t="n"/>
      <c r="I46" s="374" t="n"/>
      <c r="J46" s="374" t="n"/>
      <c r="K46" s="374" t="n"/>
      <c r="L46" s="374" t="n"/>
      <c r="M46" s="374" t="n"/>
      <c r="N46" s="374" t="n"/>
      <c r="O46" s="374" t="n"/>
      <c r="P46" s="381" t="n"/>
      <c r="Q46" s="78" t="n"/>
      <c r="W46" s="132" t="n"/>
    </row>
    <row r="47" customFormat="1" s="65">
      <c r="B47" s="380" t="n"/>
      <c r="C47" s="374" t="n"/>
      <c r="D47" s="374" t="n"/>
      <c r="E47" s="374" t="n"/>
      <c r="F47" s="374" t="n"/>
      <c r="G47" s="374" t="n"/>
      <c r="H47" s="374" t="n"/>
      <c r="I47" s="374" t="n"/>
      <c r="J47" s="374" t="n"/>
      <c r="K47" s="374" t="n"/>
      <c r="L47" s="374" t="n"/>
      <c r="M47" s="374" t="n"/>
      <c r="N47" s="374" t="n"/>
      <c r="O47" s="374" t="n"/>
      <c r="P47" s="304" t="n"/>
      <c r="Q47" s="78" t="n"/>
      <c r="W47" s="133" t="n"/>
    </row>
    <row r="48" ht="15" customFormat="1" customHeight="1" s="65">
      <c r="A48" s="55" t="n"/>
      <c r="B48" s="209" t="inlineStr">
        <is>
          <t>Entity's information system [ISA(revised) 540.13h]</t>
        </is>
      </c>
      <c r="C48" s="214" t="n"/>
      <c r="D48" s="214" t="n"/>
      <c r="E48" s="214" t="n"/>
      <c r="F48" s="214" t="n"/>
      <c r="G48" s="214" t="n"/>
      <c r="H48" s="214" t="n"/>
      <c r="I48" s="214" t="n"/>
      <c r="J48" s="214" t="n"/>
      <c r="K48" s="214" t="n"/>
      <c r="L48" s="214" t="n"/>
      <c r="M48" s="214" t="n"/>
      <c r="N48" s="214" t="n"/>
      <c r="O48" s="214" t="n"/>
      <c r="P48" s="215" t="n"/>
      <c r="Q48" s="134" t="n"/>
      <c r="R48" s="274" t="n"/>
      <c r="S48" s="275" t="n"/>
      <c r="T48" s="275" t="n"/>
      <c r="U48" s="275" t="n"/>
      <c r="V48" s="275" t="n"/>
      <c r="W48" s="136" t="n"/>
    </row>
    <row r="49" customFormat="1" s="65">
      <c r="A49" s="55" t="n"/>
      <c r="B49" s="317" t="inlineStr">
        <is>
          <t>How information relating to accounting estimates and related disclosures for significant classes of transactions, account balances or disclosures flows through the entity's information system [ISA 540.13h (i)]</t>
        </is>
      </c>
      <c r="P49" s="216" t="n"/>
      <c r="Q49" s="137" t="n"/>
      <c r="R49" s="274" t="n"/>
      <c r="S49" s="275" t="n"/>
      <c r="T49" s="275" t="n"/>
      <c r="U49" s="275" t="n"/>
      <c r="V49" s="275" t="n"/>
      <c r="W49" s="135" t="n"/>
    </row>
    <row r="50" customFormat="1" s="65">
      <c r="A50" s="55" t="n"/>
      <c r="B50" s="386" t="n"/>
      <c r="P50" s="216" t="n"/>
      <c r="Q50" s="137" t="n"/>
      <c r="R50" s="274" t="n"/>
      <c r="S50" s="275" t="n"/>
      <c r="T50" s="275" t="n"/>
      <c r="U50" s="275" t="n"/>
      <c r="V50" s="275" t="n"/>
      <c r="W50" s="135" t="n"/>
    </row>
    <row r="51" customFormat="1" s="55">
      <c r="B51" s="382" t="inlineStr">
        <is>
          <t>매출 발생 시 채널별로 매출채권이 ERP에 자동 기록되고, 기말에 매출채권 명세서 및 연령분석표를 산출하여 기말잔액에 설정률 1%를 적용, 대손충당금을 산출함. 산출된 금액은 총계정원장 및 재무제표에 반영됨.</t>
        </is>
      </c>
      <c r="C51" s="374" t="n"/>
      <c r="D51" s="374" t="n"/>
      <c r="E51" s="374" t="n"/>
      <c r="F51" s="374" t="n"/>
      <c r="G51" s="374" t="n"/>
      <c r="H51" s="374" t="n"/>
      <c r="I51" s="374" t="n"/>
      <c r="J51" s="374" t="n"/>
      <c r="K51" s="374" t="n"/>
      <c r="L51" s="374" t="n"/>
      <c r="M51" s="374" t="n"/>
      <c r="N51" s="374" t="n"/>
      <c r="O51" s="374" t="n"/>
      <c r="P51" s="332" t="inlineStr">
        <is>
          <t>Link to guidance</t>
        </is>
      </c>
      <c r="Q51" s="138" t="n"/>
      <c r="R51" s="269" t="n"/>
      <c r="S51" s="270" t="n"/>
      <c r="T51" s="270" t="n"/>
      <c r="U51" s="271" t="n"/>
      <c r="V51" s="271" t="n"/>
      <c r="W51" s="56" t="n"/>
      <c r="X51" s="54" t="n"/>
      <c r="Y51" s="54" t="n"/>
      <c r="Z51" s="54" t="n"/>
      <c r="AA51" s="54" t="n"/>
    </row>
    <row r="52" ht="15" customFormat="1" customHeight="1" s="55">
      <c r="B52" s="380" t="n"/>
      <c r="C52" s="374" t="n"/>
      <c r="D52" s="374" t="n"/>
      <c r="E52" s="374" t="n"/>
      <c r="F52" s="374" t="n"/>
      <c r="G52" s="374" t="n"/>
      <c r="H52" s="374" t="n"/>
      <c r="I52" s="374" t="n"/>
      <c r="J52" s="374" t="n"/>
      <c r="K52" s="374" t="n"/>
      <c r="L52" s="374" t="n"/>
      <c r="M52" s="374" t="n"/>
      <c r="N52" s="374" t="n"/>
      <c r="O52" s="374" t="n"/>
      <c r="P52" s="381" t="n"/>
      <c r="Q52" s="138" t="n"/>
      <c r="R52" s="269" t="n"/>
      <c r="S52" s="270" t="n"/>
      <c r="T52" s="270" t="n"/>
      <c r="U52" s="271" t="n"/>
      <c r="V52" s="271" t="n"/>
      <c r="W52" s="56" t="n"/>
      <c r="X52" s="54" t="n"/>
      <c r="Y52" s="54" t="n"/>
      <c r="Z52" s="54" t="n"/>
      <c r="AA52" s="54" t="n"/>
    </row>
    <row r="53" ht="15.75" customFormat="1" customHeight="1" s="55">
      <c r="B53" s="380" t="n"/>
      <c r="C53" s="374" t="n"/>
      <c r="D53" s="374" t="n"/>
      <c r="E53" s="374" t="n"/>
      <c r="F53" s="374" t="n"/>
      <c r="G53" s="374" t="n"/>
      <c r="H53" s="374" t="n"/>
      <c r="I53" s="374" t="n"/>
      <c r="J53" s="374" t="n"/>
      <c r="K53" s="374" t="n"/>
      <c r="L53" s="374" t="n"/>
      <c r="M53" s="374" t="n"/>
      <c r="N53" s="374" t="n"/>
      <c r="O53" s="374" t="n"/>
      <c r="P53" s="217" t="n"/>
      <c r="Q53" s="138" t="n"/>
      <c r="R53" s="276" t="n"/>
      <c r="S53" s="277" t="n"/>
      <c r="T53" s="277" t="n"/>
      <c r="U53" s="277" t="n"/>
      <c r="V53" s="277" t="n"/>
      <c r="W53" s="58" t="n"/>
      <c r="X53" s="54" t="n"/>
      <c r="Y53" s="54" t="n"/>
      <c r="Z53" s="54" t="n"/>
      <c r="AA53" s="54" t="n"/>
    </row>
    <row r="54" ht="19.5" customFormat="1" customHeight="1" s="55">
      <c r="B54" s="209" t="inlineStr">
        <is>
          <t>Method used in making the accounting estimate, including models used [ISA 540.13h(ii) a(i)]</t>
        </is>
      </c>
      <c r="C54" s="68" t="n"/>
      <c r="D54" s="68" t="n"/>
      <c r="E54" s="68" t="n"/>
      <c r="F54" s="68" t="n"/>
      <c r="G54" s="68" t="n"/>
      <c r="H54" s="68" t="n"/>
      <c r="I54" s="68" t="n"/>
      <c r="J54" s="68" t="n"/>
      <c r="K54" s="68" t="n"/>
      <c r="L54" s="68" t="n"/>
      <c r="M54" s="68" t="n"/>
      <c r="N54" s="68" t="n"/>
      <c r="O54" s="68" t="n"/>
      <c r="P54" s="193" t="n"/>
      <c r="Q54" s="19" t="n"/>
      <c r="R54" s="267" t="n"/>
      <c r="S54" s="268" t="n"/>
      <c r="T54" s="268" t="n"/>
      <c r="U54" s="268" t="n"/>
      <c r="V54" s="268" t="n"/>
      <c r="W54" s="53" t="n"/>
      <c r="X54" s="54" t="n"/>
      <c r="Y54" s="54" t="n"/>
      <c r="Z54" s="54" t="n"/>
      <c r="AA54" s="54" t="n"/>
    </row>
    <row r="55" customFormat="1" s="55">
      <c r="B55" s="382" t="inlineStr">
        <is>
          <t>[방법] 매출채권 기말잔액 × 세법상 대손설정률(1%) = 대손충당금 기말잔액. 별도의 모델은 사용하지 않으며, 개별 회수불능이 확인된 채권은 별도 검토함. 전기와 동일한 방법을 계속 적용하고 있으며, 계속 적용이 적정한 것으로 판단됨.</t>
        </is>
      </c>
      <c r="C55" s="374" t="n"/>
      <c r="D55" s="374" t="n"/>
      <c r="E55" s="374" t="n"/>
      <c r="F55" s="374" t="n"/>
      <c r="G55" s="374" t="n"/>
      <c r="H55" s="374" t="n"/>
      <c r="I55" s="374" t="n"/>
      <c r="J55" s="374" t="n"/>
      <c r="K55" s="374" t="n"/>
      <c r="L55" s="374" t="n"/>
      <c r="M55" s="374" t="n"/>
      <c r="N55" s="374" t="n"/>
      <c r="O55" s="374" t="n"/>
      <c r="P55" s="332" t="inlineStr">
        <is>
          <t>Link to guidance</t>
        </is>
      </c>
      <c r="Q55" s="139" t="n"/>
      <c r="R55" s="269" t="n"/>
      <c r="S55" s="270" t="n"/>
      <c r="T55" s="270" t="n"/>
      <c r="U55" s="271" t="n"/>
      <c r="V55" s="271" t="n"/>
      <c r="W55" s="56" t="n"/>
      <c r="X55" s="54" t="n"/>
      <c r="Y55" s="54" t="n"/>
      <c r="Z55" s="54" t="n"/>
      <c r="AA55" s="54" t="n"/>
    </row>
    <row r="56" customFormat="1" s="55">
      <c r="B56" s="380" t="n"/>
      <c r="C56" s="374" t="n"/>
      <c r="D56" s="374" t="n"/>
      <c r="E56" s="374" t="n"/>
      <c r="F56" s="374" t="n"/>
      <c r="G56" s="374" t="n"/>
      <c r="H56" s="374" t="n"/>
      <c r="I56" s="374" t="n"/>
      <c r="J56" s="374" t="n"/>
      <c r="K56" s="374" t="n"/>
      <c r="L56" s="374" t="n"/>
      <c r="M56" s="374" t="n"/>
      <c r="N56" s="374" t="n"/>
      <c r="O56" s="374" t="n"/>
      <c r="P56" s="381" t="n"/>
      <c r="Q56" s="139" t="n"/>
      <c r="R56" s="269" t="n"/>
      <c r="S56" s="270" t="n"/>
      <c r="T56" s="270" t="n"/>
      <c r="U56" s="271" t="n"/>
      <c r="V56" s="271" t="n"/>
      <c r="W56" s="56" t="n"/>
      <c r="X56" s="54" t="n"/>
      <c r="Y56" s="54" t="n"/>
      <c r="Z56" s="54" t="n"/>
      <c r="AA56" s="54" t="n"/>
    </row>
    <row r="57" customFormat="1" s="55">
      <c r="B57" s="380" t="n"/>
      <c r="C57" s="374" t="n"/>
      <c r="D57" s="374" t="n"/>
      <c r="E57" s="374" t="n"/>
      <c r="F57" s="374" t="n"/>
      <c r="G57" s="374" t="n"/>
      <c r="H57" s="374" t="n"/>
      <c r="I57" s="374" t="n"/>
      <c r="J57" s="374" t="n"/>
      <c r="K57" s="374" t="n"/>
      <c r="L57" s="374" t="n"/>
      <c r="M57" s="374" t="n"/>
      <c r="N57" s="374" t="n"/>
      <c r="O57" s="374" t="n"/>
      <c r="P57" s="218" t="n"/>
      <c r="Q57" s="139" t="n"/>
      <c r="R57" s="278" t="n"/>
      <c r="S57" s="279" t="n"/>
      <c r="T57" s="279" t="n"/>
      <c r="U57" s="279" t="n"/>
      <c r="V57" s="279" t="n"/>
      <c r="W57" s="59" t="n"/>
      <c r="X57" s="54" t="n"/>
      <c r="Y57" s="54" t="n"/>
      <c r="Z57" s="54" t="n"/>
      <c r="AA57" s="54" t="n"/>
    </row>
    <row r="58" ht="19.5" customFormat="1" customHeight="1" s="55">
      <c r="B58" s="209" t="inlineStr">
        <is>
          <t>Assumptions used in making the accounting estimate [ISA 540.13h (ii) a(ii)]</t>
        </is>
      </c>
      <c r="C58" s="68" t="n"/>
      <c r="D58" s="68" t="n"/>
      <c r="E58" s="68" t="n"/>
      <c r="F58" s="68" t="n"/>
      <c r="G58" s="68" t="n"/>
      <c r="H58" s="68" t="n"/>
      <c r="I58" s="68" t="n"/>
      <c r="J58" s="68" t="n"/>
      <c r="K58" s="68" t="n"/>
      <c r="L58" s="68" t="n"/>
      <c r="M58" s="68" t="n"/>
      <c r="N58" s="68" t="n"/>
      <c r="O58" s="68" t="n"/>
      <c r="P58" s="210" t="n"/>
      <c r="Q58" s="19" t="n"/>
      <c r="R58" s="267" t="n"/>
      <c r="S58" s="268" t="n"/>
      <c r="T58" s="268" t="n"/>
      <c r="U58" s="268" t="n"/>
      <c r="V58" s="268" t="n"/>
      <c r="W58" s="53" t="n"/>
      <c r="X58" s="54" t="n"/>
      <c r="Y58" s="54" t="n"/>
      <c r="Z58" s="54" t="n"/>
      <c r="AA58" s="54" t="n"/>
    </row>
    <row r="59" customFormat="1" s="55">
      <c r="B59" s="382" t="inlineStr">
        <is>
          <t>주요 가정은 대손설정률 1%(세법상 대손설정률)이며, 이는 매출채권의 단기 회수·대손경험 부재·대리점 보증금 수령 등을 근거로 회수불확실성이 낮다는 가정에 기초함.</t>
        </is>
      </c>
      <c r="C59" s="374" t="n"/>
      <c r="D59" s="374" t="n"/>
      <c r="E59" s="374" t="n"/>
      <c r="F59" s="374" t="n"/>
      <c r="G59" s="374" t="n"/>
      <c r="H59" s="374" t="n"/>
      <c r="I59" s="374" t="n"/>
      <c r="J59" s="374" t="n"/>
      <c r="K59" s="374" t="n"/>
      <c r="L59" s="374" t="n"/>
      <c r="M59" s="374" t="n"/>
      <c r="N59" s="374" t="n"/>
      <c r="O59" s="374" t="n"/>
      <c r="P59" s="332" t="inlineStr">
        <is>
          <t>Link to guidance</t>
        </is>
      </c>
      <c r="Q59" s="78" t="n"/>
      <c r="R59" s="269" t="n"/>
      <c r="S59" s="270" t="n"/>
      <c r="T59" s="270" t="n"/>
      <c r="U59" s="271" t="n"/>
      <c r="V59" s="271" t="n"/>
      <c r="W59" s="56" t="n"/>
      <c r="X59" s="54" t="n"/>
      <c r="Y59" s="54" t="n"/>
      <c r="Z59" s="54" t="n"/>
      <c r="AA59" s="54" t="n"/>
    </row>
    <row r="60" customFormat="1" s="55">
      <c r="B60" s="380" t="n"/>
      <c r="C60" s="374" t="n"/>
      <c r="D60" s="374" t="n"/>
      <c r="E60" s="374" t="n"/>
      <c r="F60" s="374" t="n"/>
      <c r="G60" s="374" t="n"/>
      <c r="H60" s="374" t="n"/>
      <c r="I60" s="374" t="n"/>
      <c r="J60" s="374" t="n"/>
      <c r="K60" s="374" t="n"/>
      <c r="L60" s="374" t="n"/>
      <c r="M60" s="374" t="n"/>
      <c r="N60" s="374" t="n"/>
      <c r="O60" s="374" t="n"/>
      <c r="P60" s="381" t="n"/>
      <c r="Q60" s="78" t="n"/>
      <c r="R60" s="269" t="n"/>
      <c r="S60" s="270" t="n"/>
      <c r="T60" s="270" t="n"/>
      <c r="U60" s="271" t="n"/>
      <c r="V60" s="271" t="n"/>
      <c r="W60" s="56" t="n"/>
      <c r="X60" s="54" t="n"/>
      <c r="Y60" s="54" t="n"/>
      <c r="Z60" s="54" t="n"/>
      <c r="AA60" s="54" t="n"/>
    </row>
    <row r="61" customFormat="1" s="55">
      <c r="B61" s="380" t="n"/>
      <c r="C61" s="374" t="n"/>
      <c r="D61" s="374" t="n"/>
      <c r="E61" s="374" t="n"/>
      <c r="F61" s="374" t="n"/>
      <c r="G61" s="374" t="n"/>
      <c r="H61" s="374" t="n"/>
      <c r="I61" s="374" t="n"/>
      <c r="J61" s="374" t="n"/>
      <c r="K61" s="374" t="n"/>
      <c r="L61" s="374" t="n"/>
      <c r="M61" s="374" t="n"/>
      <c r="N61" s="374" t="n"/>
      <c r="O61" s="374" t="n"/>
      <c r="P61" s="212" t="n"/>
      <c r="Q61" s="78" t="n"/>
      <c r="R61" s="272" t="n"/>
      <c r="S61" s="273" t="n"/>
      <c r="T61" s="273" t="n"/>
      <c r="U61" s="273" t="n"/>
      <c r="V61" s="273" t="n"/>
      <c r="W61" s="57" t="n"/>
      <c r="X61" s="54" t="n"/>
      <c r="Y61" s="54" t="n"/>
      <c r="Z61" s="54" t="n"/>
      <c r="AA61" s="54" t="n"/>
    </row>
    <row r="62" ht="19.5" customFormat="1" customHeight="1" s="55">
      <c r="A62" s="65" t="n"/>
      <c r="B62" s="209" t="inlineStr">
        <is>
          <t>Data used in making the accounting estimate [ISA 540.13h (ii) a(iii)]</t>
        </is>
      </c>
      <c r="C62" s="68" t="n"/>
      <c r="D62" s="68" t="n"/>
      <c r="E62" s="68" t="n"/>
      <c r="F62" s="68" t="n"/>
      <c r="G62" s="68" t="n"/>
      <c r="H62" s="68" t="n"/>
      <c r="I62" s="68" t="n"/>
      <c r="J62" s="68" t="n"/>
      <c r="K62" s="68" t="n"/>
      <c r="L62" s="68" t="n"/>
      <c r="M62" s="68" t="n"/>
      <c r="N62" s="68" t="n"/>
      <c r="O62" s="68" t="n"/>
      <c r="P62" s="210" t="n"/>
      <c r="Q62" s="19" t="n"/>
      <c r="R62" s="267" t="n"/>
      <c r="S62" s="268" t="n"/>
      <c r="T62" s="268" t="n"/>
      <c r="U62" s="268" t="n"/>
      <c r="V62" s="268" t="n"/>
      <c r="W62" s="53" t="n"/>
      <c r="X62" s="54" t="n"/>
      <c r="Y62" s="54" t="n"/>
      <c r="Z62" s="54" t="n"/>
      <c r="AA62" s="54" t="n"/>
    </row>
    <row r="63" customFormat="1" s="55">
      <c r="A63" s="65" t="n"/>
      <c r="B63" s="382" t="inlineStr">
        <is>
          <t>사용 데이터는 매출채권 기말잔액(회사제시 명세서), 채널별 채권 분류, 연령분석표임. 명세서상 매출채권(6,594,431,452원)이 재무제표 금액과 일치함을 확인함. 선수금으로 재분류된 온라인몰 (-)매출채권(494,529,803원)은 설정대상에서 제외됨.</t>
        </is>
      </c>
      <c r="C63" s="374" t="n"/>
      <c r="D63" s="374" t="n"/>
      <c r="E63" s="374" t="n"/>
      <c r="F63" s="374" t="n"/>
      <c r="G63" s="374" t="n"/>
      <c r="H63" s="374" t="n"/>
      <c r="I63" s="374" t="n"/>
      <c r="J63" s="374" t="n"/>
      <c r="K63" s="374" t="n"/>
      <c r="L63" s="374" t="n"/>
      <c r="M63" s="374" t="n"/>
      <c r="N63" s="374" t="n"/>
      <c r="O63" s="374" t="n"/>
      <c r="P63" s="332" t="inlineStr">
        <is>
          <t>Link to guidance</t>
        </is>
      </c>
      <c r="Q63" s="78" t="n"/>
      <c r="R63" s="269" t="n"/>
      <c r="S63" s="270" t="n"/>
      <c r="T63" s="270" t="n"/>
      <c r="U63" s="271" t="n"/>
      <c r="V63" s="271" t="n"/>
      <c r="W63" s="56" t="n"/>
      <c r="X63" s="54" t="n"/>
      <c r="Y63" s="54" t="n"/>
      <c r="Z63" s="54" t="n"/>
      <c r="AA63" s="54" t="n"/>
    </row>
    <row r="64" ht="15" customFormat="1" customHeight="1" s="55">
      <c r="A64" s="65" t="n"/>
      <c r="B64" s="380" t="n"/>
      <c r="C64" s="374" t="n"/>
      <c r="D64" s="374" t="n"/>
      <c r="E64" s="374" t="n"/>
      <c r="F64" s="374" t="n"/>
      <c r="G64" s="374" t="n"/>
      <c r="H64" s="374" t="n"/>
      <c r="I64" s="374" t="n"/>
      <c r="J64" s="374" t="n"/>
      <c r="K64" s="374" t="n"/>
      <c r="L64" s="374" t="n"/>
      <c r="M64" s="374" t="n"/>
      <c r="N64" s="374" t="n"/>
      <c r="O64" s="374" t="n"/>
      <c r="P64" s="381" t="n"/>
      <c r="Q64" s="78" t="n"/>
      <c r="R64" s="269" t="n"/>
      <c r="S64" s="270" t="n"/>
      <c r="T64" s="270" t="n"/>
      <c r="U64" s="271" t="n"/>
      <c r="V64" s="271" t="n"/>
      <c r="W64" s="56" t="n"/>
      <c r="X64" s="54" t="n"/>
      <c r="Y64" s="54" t="n"/>
      <c r="Z64" s="54" t="n"/>
      <c r="AA64" s="54" t="n"/>
    </row>
    <row r="65" customFormat="1" s="55">
      <c r="A65" s="65" t="n"/>
      <c r="B65" s="380" t="n"/>
      <c r="C65" s="374" t="n"/>
      <c r="D65" s="374" t="n"/>
      <c r="E65" s="374" t="n"/>
      <c r="F65" s="374" t="n"/>
      <c r="G65" s="374" t="n"/>
      <c r="H65" s="374" t="n"/>
      <c r="I65" s="374" t="n"/>
      <c r="J65" s="374" t="n"/>
      <c r="K65" s="374" t="n"/>
      <c r="L65" s="374" t="n"/>
      <c r="M65" s="374" t="n"/>
      <c r="N65" s="374" t="n"/>
      <c r="O65" s="374" t="n"/>
      <c r="P65" s="212" t="n"/>
      <c r="Q65" s="78" t="n"/>
      <c r="R65" s="272" t="n"/>
      <c r="S65" s="273" t="n"/>
      <c r="T65" s="273" t="n"/>
      <c r="U65" s="273" t="n"/>
      <c r="V65" s="273" t="n"/>
      <c r="W65" s="57" t="n"/>
      <c r="X65" s="54" t="n"/>
      <c r="Y65" s="54" t="n"/>
      <c r="Z65" s="54" t="n"/>
      <c r="AA65" s="54" t="n"/>
    </row>
    <row r="66" ht="19.5" customFormat="1" customHeight="1" s="55">
      <c r="A66" s="65" t="n"/>
      <c r="B66" s="209" t="inlineStr">
        <is>
          <t>Management's assessment of estimation uncertainty [ISA (revised) 540.13h b and c]</t>
        </is>
      </c>
      <c r="C66" s="68" t="n"/>
      <c r="D66" s="68" t="n"/>
      <c r="E66" s="68" t="n"/>
      <c r="F66" s="68" t="n"/>
      <c r="G66" s="68" t="n"/>
      <c r="H66" s="68" t="n"/>
      <c r="I66" s="68" t="n"/>
      <c r="J66" s="68" t="n"/>
      <c r="K66" s="68" t="n"/>
      <c r="L66" s="68" t="n"/>
      <c r="M66" s="68" t="n"/>
      <c r="N66" s="68" t="n"/>
      <c r="O66" s="68" t="n"/>
      <c r="P66" s="210" t="n"/>
      <c r="Q66" s="19" t="n"/>
      <c r="R66" s="280" t="n"/>
      <c r="S66" s="281" t="n"/>
      <c r="T66" s="281" t="n"/>
      <c r="U66" s="281" t="n"/>
      <c r="V66" s="281" t="n"/>
      <c r="W66" s="53" t="n"/>
      <c r="X66" s="54" t="n"/>
      <c r="Y66" s="54" t="n"/>
      <c r="Z66" s="54" t="n"/>
      <c r="AA66" s="54" t="n"/>
    </row>
    <row r="67" customFormat="1" s="55">
      <c r="A67" s="65" t="n"/>
      <c r="B67" s="382" t="inlineStr">
        <is>
          <t>회사는 대손경험이 거의 없고 회수기간이 단기이며 대리점 보증금을 수령하고 있어 추정불확실성이 낮다고 평가함. 추정불확실성이 낮아 대안적 방법이나 민감도분석(시나리오 분석)은 별도로 수행하지 않음.</t>
        </is>
      </c>
      <c r="C67" s="374" t="n"/>
      <c r="D67" s="374" t="n"/>
      <c r="E67" s="374" t="n"/>
      <c r="F67" s="374" t="n"/>
      <c r="G67" s="374" t="n"/>
      <c r="H67" s="374" t="n"/>
      <c r="I67" s="374" t="n"/>
      <c r="J67" s="374" t="n"/>
      <c r="K67" s="374" t="n"/>
      <c r="L67" s="374" t="n"/>
      <c r="M67" s="374" t="n"/>
      <c r="N67" s="374" t="n"/>
      <c r="O67" s="374" t="n"/>
      <c r="P67" s="332" t="inlineStr">
        <is>
          <t>Link to guidance</t>
        </is>
      </c>
      <c r="Q67" s="140" t="n"/>
      <c r="R67" s="269" t="n"/>
      <c r="S67" s="270" t="n"/>
      <c r="T67" s="270" t="n"/>
      <c r="U67" s="271" t="n"/>
      <c r="V67" s="271" t="n"/>
      <c r="W67" s="56" t="n"/>
      <c r="X67" s="54" t="n"/>
      <c r="Y67" s="54" t="n"/>
      <c r="Z67" s="54" t="n"/>
      <c r="AA67" s="54" t="n"/>
    </row>
    <row r="68" customFormat="1" s="55">
      <c r="A68" s="65" t="n"/>
      <c r="B68" s="380" t="n"/>
      <c r="C68" s="374" t="n"/>
      <c r="D68" s="374" t="n"/>
      <c r="E68" s="374" t="n"/>
      <c r="F68" s="374" t="n"/>
      <c r="G68" s="374" t="n"/>
      <c r="H68" s="374" t="n"/>
      <c r="I68" s="374" t="n"/>
      <c r="J68" s="374" t="n"/>
      <c r="K68" s="374" t="n"/>
      <c r="L68" s="374" t="n"/>
      <c r="M68" s="374" t="n"/>
      <c r="N68" s="374" t="n"/>
      <c r="O68" s="374" t="n"/>
      <c r="P68" s="381" t="n"/>
      <c r="Q68" s="140" t="n"/>
      <c r="R68" s="269" t="n"/>
      <c r="S68" s="270" t="n"/>
      <c r="T68" s="270" t="n"/>
      <c r="U68" s="271" t="n"/>
      <c r="V68" s="271" t="n"/>
      <c r="W68" s="56" t="n"/>
      <c r="X68" s="54" t="n"/>
      <c r="Y68" s="54" t="n"/>
      <c r="Z68" s="54" t="n"/>
      <c r="AA68" s="54" t="n"/>
    </row>
    <row r="69" customFormat="1" s="55">
      <c r="A69" s="65" t="n"/>
      <c r="B69" s="380" t="n"/>
      <c r="C69" s="374" t="n"/>
      <c r="D69" s="374" t="n"/>
      <c r="E69" s="374" t="n"/>
      <c r="F69" s="374" t="n"/>
      <c r="G69" s="374" t="n"/>
      <c r="H69" s="374" t="n"/>
      <c r="I69" s="374" t="n"/>
      <c r="J69" s="374" t="n"/>
      <c r="K69" s="374" t="n"/>
      <c r="L69" s="374" t="n"/>
      <c r="M69" s="374" t="n"/>
      <c r="N69" s="374" t="n"/>
      <c r="O69" s="374" t="n"/>
      <c r="P69" s="212" t="n"/>
      <c r="Q69" s="78" t="n"/>
      <c r="R69" s="272" t="n"/>
      <c r="S69" s="273" t="n"/>
      <c r="T69" s="273" t="n"/>
      <c r="U69" s="273" t="n"/>
      <c r="V69" s="273" t="n"/>
      <c r="W69" s="57" t="n"/>
      <c r="X69" s="54" t="n"/>
      <c r="Y69" s="54" t="n"/>
      <c r="Z69" s="54" t="n"/>
      <c r="AA69" s="54" t="n"/>
    </row>
    <row r="70" ht="19.5" customFormat="1" customHeight="1" s="55">
      <c r="A70" s="65" t="n"/>
      <c r="B70" s="209" t="inlineStr">
        <is>
          <t>Outcome or subsequent re-estimation in the current year of previous accounting estimates [ISA(revised) 540.13j and ISA (revised) 540.14]</t>
        </is>
      </c>
      <c r="C70" s="68" t="n"/>
      <c r="D70" s="68" t="n"/>
      <c r="E70" s="68" t="n"/>
      <c r="F70" s="68" t="n"/>
      <c r="G70" s="68" t="n"/>
      <c r="H70" s="68" t="n"/>
      <c r="I70" s="68" t="n"/>
      <c r="J70" s="68" t="n"/>
      <c r="K70" s="68" t="n"/>
      <c r="L70" s="68" t="n"/>
      <c r="M70" s="68" t="n"/>
      <c r="N70" s="68" t="n"/>
      <c r="O70" s="68" t="n"/>
      <c r="P70" s="210" t="n"/>
      <c r="Q70" s="19" t="n"/>
      <c r="R70" s="274" t="n"/>
      <c r="S70" s="275" t="n"/>
      <c r="T70" s="275" t="n"/>
      <c r="U70" s="275" t="n"/>
      <c r="V70" s="275" t="n"/>
      <c r="W70" s="53" t="n"/>
      <c r="X70" s="54" t="n"/>
      <c r="Y70" s="54" t="n"/>
      <c r="Z70" s="54" t="n"/>
      <c r="AA70" s="54" t="n"/>
    </row>
    <row r="71" customFormat="1" s="55">
      <c r="A71" s="65" t="n"/>
      <c r="B71" s="382" t="inlineStr">
        <is>
          <t>전기 대손충당금은 61,249,965원이며, 당기 중 대손 제각 및 환입 실적이 없음(당기 설정 4,694,350원, 제각·환입 0원). 전기 추정치가 과대 또는 과소하게 설정되었다는 징후는 없으며, 경영진 편의(management bias)의 징후도 식별되지 않음.</t>
        </is>
      </c>
      <c r="C71" s="374" t="n"/>
      <c r="D71" s="374" t="n"/>
      <c r="E71" s="374" t="n"/>
      <c r="F71" s="374" t="n"/>
      <c r="G71" s="374" t="n"/>
      <c r="H71" s="374" t="n"/>
      <c r="I71" s="374" t="n"/>
      <c r="J71" s="374" t="n"/>
      <c r="K71" s="374" t="n"/>
      <c r="L71" s="374" t="n"/>
      <c r="M71" s="374" t="n"/>
      <c r="N71" s="374" t="n"/>
      <c r="O71" s="374" t="n"/>
      <c r="P71" s="332" t="inlineStr">
        <is>
          <t>Link to guidance</t>
        </is>
      </c>
      <c r="Q71" s="78" t="n"/>
      <c r="R71" s="269" t="n"/>
      <c r="S71" s="270" t="n"/>
      <c r="T71" s="270" t="n"/>
      <c r="U71" s="271" t="n"/>
      <c r="V71" s="271" t="n"/>
      <c r="W71" s="56" t="n"/>
      <c r="X71" s="54" t="n"/>
      <c r="Y71" s="54" t="n"/>
      <c r="Z71" s="54" t="n"/>
      <c r="AA71" s="54" t="n"/>
    </row>
    <row r="72" customFormat="1" s="55">
      <c r="A72" s="65" t="n"/>
      <c r="B72" s="380" t="n"/>
      <c r="C72" s="374" t="n"/>
      <c r="D72" s="374" t="n"/>
      <c r="E72" s="374" t="n"/>
      <c r="F72" s="374" t="n"/>
      <c r="G72" s="374" t="n"/>
      <c r="H72" s="374" t="n"/>
      <c r="I72" s="374" t="n"/>
      <c r="J72" s="374" t="n"/>
      <c r="K72" s="374" t="n"/>
      <c r="L72" s="374" t="n"/>
      <c r="M72" s="374" t="n"/>
      <c r="N72" s="374" t="n"/>
      <c r="O72" s="374" t="n"/>
      <c r="P72" s="381" t="n"/>
      <c r="Q72" s="141" t="n"/>
      <c r="R72" s="269" t="n"/>
      <c r="S72" s="270" t="n"/>
      <c r="T72" s="270" t="n"/>
      <c r="U72" s="271" t="n"/>
      <c r="V72" s="271" t="n"/>
      <c r="W72" s="56" t="n"/>
      <c r="X72" s="54" t="n"/>
      <c r="Y72" s="54" t="n"/>
      <c r="Z72" s="54" t="n"/>
      <c r="AA72" s="54" t="n"/>
    </row>
    <row r="73" customFormat="1" s="55">
      <c r="A73" s="65" t="n"/>
      <c r="B73" s="380" t="n"/>
      <c r="C73" s="374" t="n"/>
      <c r="D73" s="374" t="n"/>
      <c r="E73" s="374" t="n"/>
      <c r="F73" s="374" t="n"/>
      <c r="G73" s="374" t="n"/>
      <c r="H73" s="374" t="n"/>
      <c r="I73" s="374" t="n"/>
      <c r="J73" s="374" t="n"/>
      <c r="K73" s="374" t="n"/>
      <c r="L73" s="374" t="n"/>
      <c r="M73" s="374" t="n"/>
      <c r="N73" s="374" t="n"/>
      <c r="O73" s="374" t="n"/>
      <c r="P73" s="218" t="n"/>
      <c r="Q73" s="141" t="n"/>
      <c r="R73" s="278" t="n"/>
      <c r="S73" s="278" t="n"/>
      <c r="T73" s="278" t="n"/>
      <c r="U73" s="278" t="n"/>
      <c r="V73" s="278" t="n"/>
      <c r="W73" s="60" t="n"/>
      <c r="X73" s="54" t="n"/>
      <c r="Y73" s="54" t="n"/>
      <c r="Z73" s="54" t="n"/>
      <c r="AA73" s="54" t="n"/>
    </row>
    <row r="74" ht="19.5" customFormat="1" customHeight="1" s="55">
      <c r="A74" s="65" t="n"/>
      <c r="B74" s="209" t="inlineStr">
        <is>
          <t>Identifying a need for management's expert [ISA(revised) 540.13f]</t>
        </is>
      </c>
      <c r="C74" s="68" t="n"/>
      <c r="D74" s="68" t="n"/>
      <c r="E74" s="68" t="n"/>
      <c r="F74" s="68" t="n"/>
      <c r="G74" s="68" t="n"/>
      <c r="H74" s="68" t="n"/>
      <c r="I74" s="68" t="n"/>
      <c r="J74" s="68" t="n"/>
      <c r="K74" s="68" t="n"/>
      <c r="L74" s="68" t="n"/>
      <c r="M74" s="68" t="n"/>
      <c r="N74" s="68" t="n"/>
      <c r="O74" s="68" t="n"/>
      <c r="P74" s="210" t="n"/>
      <c r="Q74" s="19" t="n"/>
      <c r="R74" s="274" t="n"/>
      <c r="S74" s="275" t="n"/>
      <c r="T74" s="275" t="n"/>
      <c r="U74" s="275" t="n"/>
      <c r="V74" s="275" t="n"/>
      <c r="W74" s="53" t="n"/>
      <c r="X74" s="54" t="n"/>
      <c r="Y74" s="54" t="n"/>
      <c r="Z74" s="54" t="n"/>
      <c r="AA74" s="54" t="n"/>
    </row>
    <row r="75" customFormat="1" s="55">
      <c r="A75" s="65" t="n"/>
      <c r="B75" s="382" t="inlineStr">
        <is>
          <t>대손충당금은 단순 정률 계산으로 산정되어 전문적 지식이 요구되지 않으므로 경영진의 전문가는 이용되지 않음.</t>
        </is>
      </c>
      <c r="C75" s="374" t="n"/>
      <c r="D75" s="374" t="n"/>
      <c r="E75" s="374" t="n"/>
      <c r="F75" s="374" t="n"/>
      <c r="G75" s="374" t="n"/>
      <c r="H75" s="374" t="n"/>
      <c r="I75" s="374" t="n"/>
      <c r="J75" s="374" t="n"/>
      <c r="K75" s="374" t="n"/>
      <c r="L75" s="374" t="n"/>
      <c r="M75" s="374" t="n"/>
      <c r="N75" s="374" t="n"/>
      <c r="O75" s="374" t="n"/>
      <c r="P75" s="332" t="inlineStr">
        <is>
          <t>Link to guidance</t>
        </is>
      </c>
      <c r="Q75" s="78" t="n"/>
      <c r="R75" s="269" t="n"/>
      <c r="S75" s="270" t="n"/>
      <c r="T75" s="270" t="n"/>
      <c r="U75" s="271" t="n"/>
      <c r="V75" s="271" t="n"/>
      <c r="W75" s="56" t="n"/>
      <c r="X75" s="54" t="n"/>
      <c r="Y75" s="54" t="n"/>
      <c r="Z75" s="54" t="n"/>
      <c r="AA75" s="54" t="n"/>
    </row>
    <row r="76" ht="15.75" customFormat="1" customHeight="1" s="55">
      <c r="A76" s="65" t="n"/>
      <c r="B76" s="380" t="n"/>
      <c r="C76" s="374" t="n"/>
      <c r="D76" s="374" t="n"/>
      <c r="E76" s="374" t="n"/>
      <c r="F76" s="374" t="n"/>
      <c r="G76" s="374" t="n"/>
      <c r="H76" s="374" t="n"/>
      <c r="I76" s="374" t="n"/>
      <c r="J76" s="374" t="n"/>
      <c r="K76" s="374" t="n"/>
      <c r="L76" s="374" t="n"/>
      <c r="M76" s="374" t="n"/>
      <c r="N76" s="374" t="n"/>
      <c r="O76" s="374" t="n"/>
      <c r="P76" s="381" t="n"/>
      <c r="Q76" s="78" t="n"/>
      <c r="R76" s="269" t="n"/>
      <c r="S76" s="270" t="n"/>
      <c r="T76" s="270" t="n"/>
      <c r="U76" s="271" t="n"/>
      <c r="V76" s="271" t="n"/>
      <c r="W76" s="56" t="n"/>
      <c r="X76" s="61" t="inlineStr">
        <is>
          <t>Use of an expert dropdown (to be hidden)</t>
        </is>
      </c>
      <c r="Y76" s="54" t="n"/>
      <c r="Z76" s="54" t="n"/>
      <c r="AA76" s="54" t="n"/>
    </row>
    <row r="77" ht="15.75" customFormat="1" customHeight="1" s="55" thickBot="1">
      <c r="A77" s="65" t="n"/>
      <c r="B77" s="380" t="n"/>
      <c r="C77" s="374" t="n"/>
      <c r="D77" s="374" t="n"/>
      <c r="E77" s="374" t="n"/>
      <c r="F77" s="374" t="n"/>
      <c r="G77" s="374" t="n"/>
      <c r="H77" s="374" t="n"/>
      <c r="I77" s="374" t="n"/>
      <c r="J77" s="374" t="n"/>
      <c r="K77" s="374" t="n"/>
      <c r="L77" s="374" t="n"/>
      <c r="M77" s="374" t="n"/>
      <c r="N77" s="374" t="n"/>
      <c r="O77" s="374" t="n"/>
      <c r="P77" s="212" t="n"/>
      <c r="Q77" s="78" t="n"/>
      <c r="R77" s="272" t="n"/>
      <c r="S77" s="273" t="n"/>
      <c r="T77" s="273" t="n"/>
      <c r="U77" s="273" t="n"/>
      <c r="V77" s="273" t="n"/>
      <c r="W77" s="57" t="n"/>
      <c r="X77" s="54" t="inlineStr">
        <is>
          <t>Yes</t>
        </is>
      </c>
      <c r="Y77" s="54" t="n"/>
      <c r="Z77" s="54" t="n"/>
      <c r="AA77" s="54" t="n"/>
    </row>
    <row r="78" ht="15.75" customFormat="1" customHeight="1" s="55" thickBot="1">
      <c r="A78" s="65" t="n"/>
      <c r="B78" s="220" t="inlineStr">
        <is>
          <t xml:space="preserve">Have management used an expert? </t>
        </is>
      </c>
      <c r="C78" s="221" t="n"/>
      <c r="D78" s="221" t="n"/>
      <c r="E78" s="301" t="inlineStr">
        <is>
          <t>No</t>
        </is>
      </c>
      <c r="F78" s="221" t="inlineStr">
        <is>
          <t>User should select from dropdown menu</t>
        </is>
      </c>
      <c r="G78" s="221" t="n"/>
      <c r="H78" s="221" t="n"/>
      <c r="I78" s="221" t="n"/>
      <c r="J78" s="221" t="n"/>
      <c r="K78" s="221" t="n"/>
      <c r="L78" s="221" t="n"/>
      <c r="M78" s="221" t="n"/>
      <c r="N78" s="221" t="n"/>
      <c r="O78" s="221" t="n"/>
      <c r="P78" s="210" t="n"/>
      <c r="Q78" s="19" t="n"/>
      <c r="R78" s="344" t="inlineStr">
        <is>
          <t>If a management's expert is used then you must document this in Atlas on the node 'Details of reliance on experts'</t>
        </is>
      </c>
      <c r="W78" s="53" t="n"/>
      <c r="X78" s="54" t="inlineStr">
        <is>
          <t>No</t>
        </is>
      </c>
      <c r="Y78" s="54" t="n"/>
      <c r="Z78" s="54" t="n"/>
      <c r="AA78" s="54" t="n"/>
    </row>
    <row r="79" ht="15" customFormat="1" customHeight="1" s="55">
      <c r="A79" s="65" t="n"/>
      <c r="B79" s="302">
        <f>IF(E78="Yes","Please document the details in the experts template/screen within the audit file","")</f>
        <v/>
      </c>
      <c r="C79" s="303" t="n"/>
      <c r="D79" s="303" t="n"/>
      <c r="E79" s="303" t="n"/>
      <c r="F79" s="303" t="n"/>
      <c r="G79" s="303" t="n"/>
      <c r="H79" s="303" t="n"/>
      <c r="I79" s="303" t="n"/>
      <c r="J79" s="303" t="n"/>
      <c r="K79" s="303" t="n"/>
      <c r="L79" s="303" t="n"/>
      <c r="M79" s="303" t="n"/>
      <c r="N79" s="303" t="n"/>
      <c r="O79" s="303" t="n"/>
      <c r="P79" s="304" t="n"/>
      <c r="Q79" s="78" t="n"/>
      <c r="W79" s="57" t="n"/>
      <c r="X79" s="54" t="n"/>
      <c r="Y79" s="54" t="n"/>
      <c r="Z79" s="54" t="n"/>
      <c r="AA79" s="54" t="n"/>
    </row>
    <row r="80" ht="15" customFormat="1" customHeight="1" s="55">
      <c r="A80" s="65" t="n"/>
      <c r="B80" s="305">
        <f>IF(E78="YES","Please insert the file reference of the experts documentation:","")</f>
        <v/>
      </c>
      <c r="C80" s="306" t="n"/>
      <c r="D80" s="306" t="n"/>
      <c r="E80" s="306" t="n"/>
      <c r="F80" s="306" t="n"/>
      <c r="G80" s="331" t="n"/>
      <c r="H80" s="374" t="n"/>
      <c r="I80" s="374" t="n"/>
      <c r="J80" s="307" t="n"/>
      <c r="K80" s="307" t="n"/>
      <c r="L80" s="307" t="n"/>
      <c r="M80" s="307" t="n"/>
      <c r="N80" s="307" t="n"/>
      <c r="O80" s="307" t="n"/>
      <c r="P80" s="219" t="n"/>
      <c r="Q80" s="141" t="n"/>
      <c r="W80" s="60" t="n"/>
      <c r="X80" s="54" t="n"/>
      <c r="Y80" s="54" t="n"/>
      <c r="Z80" s="54" t="n"/>
      <c r="AA80" s="54" t="n"/>
    </row>
    <row r="81" ht="15.75" customFormat="1" customHeight="1" s="55" thickBot="1">
      <c r="A81" s="65" t="n"/>
      <c r="B81" s="261" t="n"/>
      <c r="C81" s="262" t="n"/>
      <c r="D81" s="262" t="n"/>
      <c r="E81" s="262" t="n"/>
      <c r="F81" s="262" t="n"/>
      <c r="G81" s="262" t="n"/>
      <c r="H81" s="262" t="n"/>
      <c r="I81" s="262" t="n"/>
      <c r="J81" s="262" t="n"/>
      <c r="K81" s="262" t="n"/>
      <c r="L81" s="262" t="n"/>
      <c r="M81" s="262" t="n"/>
      <c r="N81" s="262" t="n"/>
      <c r="O81" s="262" t="n"/>
      <c r="P81" s="263" t="n"/>
      <c r="Q81" s="141" t="n"/>
      <c r="R81" s="278" t="n"/>
      <c r="S81" s="278" t="n"/>
      <c r="T81" s="278" t="n"/>
      <c r="U81" s="278" t="n"/>
      <c r="V81" s="278" t="n"/>
      <c r="W81" s="60" t="n"/>
      <c r="X81" s="54" t="n"/>
      <c r="Y81" s="54" t="n"/>
      <c r="Z81" s="54" t="n"/>
      <c r="AA81" s="54" t="n"/>
    </row>
    <row r="82" ht="15.75" customFormat="1" customHeight="1" s="65" thickBot="1">
      <c r="Q82" s="141" t="n"/>
      <c r="R82" s="278" t="n"/>
      <c r="S82" s="278" t="n"/>
      <c r="T82" s="278" t="n"/>
      <c r="U82" s="278" t="n"/>
      <c r="V82" s="278" t="n"/>
      <c r="W82" s="222" t="n"/>
    </row>
    <row r="83" ht="20.25" customFormat="1" customHeight="1" s="55">
      <c r="A83" s="65" t="n"/>
      <c r="B83" s="181" t="inlineStr">
        <is>
          <t>The audit team</t>
        </is>
      </c>
      <c r="C83" s="182" t="n"/>
      <c r="D83" s="182" t="n"/>
      <c r="E83" s="182" t="n"/>
      <c r="F83" s="182" t="n"/>
      <c r="G83" s="182" t="n"/>
      <c r="H83" s="182" t="n"/>
      <c r="I83" s="182" t="n"/>
      <c r="J83" s="182" t="n"/>
      <c r="K83" s="182" t="n"/>
      <c r="L83" s="182" t="n"/>
      <c r="M83" s="182" t="n"/>
      <c r="N83" s="182" t="n"/>
      <c r="O83" s="182" t="n"/>
      <c r="P83" s="223" t="n"/>
      <c r="Q83" s="142" t="n"/>
      <c r="R83" s="283" t="n"/>
      <c r="S83" s="283" t="n"/>
      <c r="T83" s="283" t="n"/>
      <c r="U83" s="283" t="n"/>
      <c r="V83" s="283" t="n"/>
      <c r="W83" s="60" t="n"/>
      <c r="X83" s="54" t="n"/>
      <c r="Y83" s="54" t="n"/>
      <c r="Z83" s="54" t="n"/>
      <c r="AA83" s="54" t="n"/>
    </row>
    <row r="84" customFormat="1" s="55">
      <c r="A84" s="65" t="n"/>
      <c r="B84" s="186" t="inlineStr">
        <is>
          <t>Engagement team skills and knowledge [ISA (revised) 540.15]</t>
        </is>
      </c>
      <c r="C84" s="71" t="n"/>
      <c r="D84" s="71" t="n"/>
      <c r="E84" s="71" t="n"/>
      <c r="F84" s="71" t="n"/>
      <c r="G84" s="71" t="n"/>
      <c r="H84" s="71" t="n"/>
      <c r="I84" s="71" t="n"/>
      <c r="J84" s="174" t="n"/>
      <c r="K84" s="174" t="n"/>
      <c r="L84" s="174" t="n"/>
      <c r="M84" s="174" t="n"/>
      <c r="N84" s="174" t="n"/>
      <c r="O84" s="174" t="n"/>
      <c r="P84" s="187" t="n"/>
      <c r="Q84" s="143" t="n"/>
      <c r="R84" s="280" t="n"/>
      <c r="S84" s="281" t="n"/>
      <c r="T84" s="281" t="n"/>
      <c r="U84" s="281" t="n"/>
      <c r="V84" s="281" t="n"/>
      <c r="W84" s="53" t="n"/>
      <c r="X84" s="54" t="n"/>
      <c r="Y84" s="54" t="n"/>
      <c r="Z84" s="54" t="n"/>
      <c r="AA84" s="54" t="n"/>
    </row>
    <row r="85" ht="15" customFormat="1" customHeight="1" s="55">
      <c r="A85" s="65" t="n"/>
      <c r="B85" s="382" t="inlineStr">
        <is>
          <t>대손충당금은 정률 적용에 의한 단순 추정으로, 감사팀의 통상적 감사기술 및 지식으로 충분하며 별도의 전문 스킬은 요구되지 않음.</t>
        </is>
      </c>
      <c r="C85" s="374" t="n"/>
      <c r="D85" s="374" t="n"/>
      <c r="E85" s="374" t="n"/>
      <c r="F85" s="374" t="n"/>
      <c r="G85" s="374" t="n"/>
      <c r="H85" s="374" t="n"/>
      <c r="I85" s="374" t="n"/>
      <c r="J85" s="374" t="n"/>
      <c r="K85" s="374" t="n"/>
      <c r="L85" s="374" t="n"/>
      <c r="M85" s="374" t="n"/>
      <c r="N85" s="374" t="n"/>
      <c r="O85" s="374" t="n"/>
      <c r="P85" s="333" t="inlineStr">
        <is>
          <t>Link to guidance</t>
        </is>
      </c>
      <c r="Q85" s="140" t="n"/>
      <c r="R85" s="269" t="n"/>
      <c r="S85" s="270" t="n"/>
      <c r="T85" s="270" t="n"/>
      <c r="U85" s="271" t="n"/>
      <c r="V85" s="271" t="n"/>
      <c r="W85" s="56" t="n"/>
      <c r="X85" s="54" t="n"/>
      <c r="Y85" s="54" t="n"/>
      <c r="Z85" s="54" t="n"/>
      <c r="AA85" s="54" t="n"/>
    </row>
    <row r="86" customFormat="1" s="55">
      <c r="A86" s="65" t="n"/>
      <c r="B86" s="380" t="n"/>
      <c r="C86" s="374" t="n"/>
      <c r="D86" s="374" t="n"/>
      <c r="E86" s="374" t="n"/>
      <c r="F86" s="374" t="n"/>
      <c r="G86" s="374" t="n"/>
      <c r="H86" s="374" t="n"/>
      <c r="I86" s="374" t="n"/>
      <c r="J86" s="374" t="n"/>
      <c r="K86" s="374" t="n"/>
      <c r="L86" s="374" t="n"/>
      <c r="M86" s="374" t="n"/>
      <c r="N86" s="374" t="n"/>
      <c r="O86" s="374" t="n"/>
      <c r="P86" s="381" t="n"/>
      <c r="Q86" s="78" t="n"/>
      <c r="R86" s="269" t="n"/>
      <c r="S86" s="270" t="n"/>
      <c r="T86" s="270" t="n"/>
      <c r="U86" s="271" t="n"/>
      <c r="V86" s="271" t="n"/>
      <c r="W86" s="56" t="n"/>
      <c r="X86" s="54" t="n"/>
      <c r="Y86" s="54" t="n"/>
      <c r="Z86" s="54" t="n"/>
      <c r="AA86" s="54" t="n"/>
    </row>
    <row r="87" ht="16.5" customFormat="1" customHeight="1" s="55" thickBot="1">
      <c r="A87" s="65" t="n"/>
      <c r="B87" s="380" t="n"/>
      <c r="C87" s="374" t="n"/>
      <c r="D87" s="374" t="n"/>
      <c r="E87" s="374" t="n"/>
      <c r="F87" s="374" t="n"/>
      <c r="G87" s="374" t="n"/>
      <c r="H87" s="374" t="n"/>
      <c r="I87" s="374" t="n"/>
      <c r="J87" s="374" t="n"/>
      <c r="K87" s="374" t="n"/>
      <c r="L87" s="374" t="n"/>
      <c r="M87" s="374" t="n"/>
      <c r="N87" s="374" t="n"/>
      <c r="O87" s="374" t="n"/>
      <c r="P87" s="219" t="n"/>
      <c r="Q87" s="144" t="n"/>
      <c r="R87" s="344" t="inlineStr">
        <is>
          <t>If an auditor's expert is used then you must document this in Atlas on the node 'Details of reliance on experts'.
If a specialist is used then within Atlas they must be added to the engagement team within the node 'Engagement'.</t>
        </is>
      </c>
      <c r="W87" s="62" t="n"/>
      <c r="X87" s="54" t="n"/>
      <c r="Y87" s="54" t="n"/>
      <c r="Z87" s="54" t="n"/>
      <c r="AA87" s="54" t="n"/>
    </row>
    <row r="88" ht="15.75" customFormat="1" customHeight="1" s="55" thickBot="1">
      <c r="A88" s="65" t="n"/>
      <c r="B88" s="209" t="inlineStr">
        <is>
          <t>Will we use an auditor's expert or specialist?</t>
        </is>
      </c>
      <c r="C88" s="68" t="n"/>
      <c r="D88" s="68" t="n"/>
      <c r="E88" s="68" t="n"/>
      <c r="F88" s="308" t="inlineStr">
        <is>
          <t>No</t>
        </is>
      </c>
      <c r="G88" s="68" t="inlineStr">
        <is>
          <t>User should select from dropdown menu</t>
        </is>
      </c>
      <c r="H88" s="68" t="n"/>
      <c r="I88" s="68" t="n"/>
      <c r="J88" s="68" t="n"/>
      <c r="K88" s="68" t="n"/>
      <c r="L88" s="68" t="n"/>
      <c r="M88" s="68" t="n"/>
      <c r="N88" s="68" t="n"/>
      <c r="O88" s="68" t="n"/>
      <c r="P88" s="193" t="n"/>
      <c r="Q88" s="19" t="n"/>
      <c r="W88" s="53" t="n"/>
      <c r="X88" s="54" t="n"/>
      <c r="Y88" s="54" t="n"/>
      <c r="Z88" s="54" t="n"/>
      <c r="AA88" s="54" t="n"/>
    </row>
    <row r="89" ht="15" customFormat="1" customHeight="1" s="55">
      <c r="B89" s="255">
        <f>IF(F88="Yes","Please document the details in the experts template/screen within the audit file","")</f>
        <v/>
      </c>
      <c r="C89" s="251" t="n"/>
      <c r="D89" s="251" t="n"/>
      <c r="E89" s="251" t="n"/>
      <c r="F89" s="251" t="n"/>
      <c r="G89" s="251" t="n"/>
      <c r="H89" s="251" t="n"/>
      <c r="I89" s="251" t="n"/>
      <c r="J89" s="251" t="n"/>
      <c r="K89" s="251" t="n"/>
      <c r="L89" s="251" t="n"/>
      <c r="M89" s="251" t="n"/>
      <c r="N89" s="251" t="n"/>
      <c r="O89" s="251" t="n"/>
      <c r="P89" s="256" t="n"/>
      <c r="Q89" s="13" t="n"/>
      <c r="W89" s="62" t="n"/>
    </row>
    <row r="90" ht="15.75" customFormat="1" customHeight="1" s="55">
      <c r="B90" s="257">
        <f>IF(F88="YES","Please insert the file reference of the experts documentation:","")</f>
        <v/>
      </c>
      <c r="C90" s="252" t="n"/>
      <c r="D90" s="252" t="n"/>
      <c r="E90" s="252" t="n"/>
      <c r="F90" s="252" t="n"/>
      <c r="G90" s="326" t="n"/>
      <c r="H90" s="374" t="n"/>
      <c r="I90" s="374" t="n"/>
      <c r="J90" s="253" t="n"/>
      <c r="K90" s="253" t="n"/>
      <c r="L90" s="253" t="n"/>
      <c r="M90" s="253" t="n"/>
      <c r="N90" s="253" t="n"/>
      <c r="O90" s="253" t="n"/>
      <c r="P90" s="258" t="n"/>
      <c r="Q90" s="13" t="n"/>
      <c r="W90" s="62" t="n"/>
    </row>
    <row r="91" ht="15.75" customFormat="1" customHeight="1" s="55">
      <c r="B91" s="257" t="n"/>
      <c r="C91" s="252" t="n"/>
      <c r="D91" s="252" t="n"/>
      <c r="E91" s="252" t="n"/>
      <c r="F91" s="253" t="n"/>
      <c r="G91" s="253" t="n"/>
      <c r="H91" s="253" t="n"/>
      <c r="I91" s="253" t="n"/>
      <c r="J91" s="253" t="n"/>
      <c r="K91" s="253" t="n"/>
      <c r="L91" s="253" t="n"/>
      <c r="M91" s="253" t="n"/>
      <c r="N91" s="253" t="n"/>
      <c r="O91" s="253" t="n"/>
      <c r="P91" s="258" t="n"/>
      <c r="Q91" s="13" t="n"/>
      <c r="W91" s="62" t="n"/>
    </row>
    <row r="92" customFormat="1" s="65">
      <c r="B92" s="259" t="n"/>
      <c r="C92" s="254" t="n"/>
      <c r="D92" s="254" t="n"/>
      <c r="E92" s="254" t="n"/>
      <c r="F92" s="254" t="n"/>
      <c r="G92" s="254" t="n"/>
      <c r="H92" s="254" t="n"/>
      <c r="I92" s="254" t="n"/>
      <c r="J92" s="254" t="n"/>
      <c r="K92" s="254" t="n"/>
      <c r="L92" s="254" t="n"/>
      <c r="M92" s="254" t="n"/>
      <c r="N92" s="254" t="n"/>
      <c r="O92" s="254" t="n"/>
      <c r="P92" s="260" t="n"/>
      <c r="Q92" s="144" t="n"/>
      <c r="R92" s="284" t="n"/>
      <c r="S92" s="285" t="n"/>
      <c r="T92" s="285" t="n"/>
      <c r="U92" s="285" t="n"/>
      <c r="V92" s="285" t="n"/>
      <c r="W92" s="145" t="n"/>
    </row>
    <row r="93" ht="15.75" customFormat="1" customHeight="1" s="65" thickBot="1">
      <c r="B93" s="261" t="n"/>
      <c r="C93" s="262" t="n"/>
      <c r="D93" s="262" t="n"/>
      <c r="E93" s="262" t="n"/>
      <c r="F93" s="262" t="n"/>
      <c r="G93" s="262" t="n"/>
      <c r="H93" s="262" t="n"/>
      <c r="I93" s="262" t="n"/>
      <c r="J93" s="262" t="n"/>
      <c r="K93" s="262" t="n"/>
      <c r="L93" s="262" t="n"/>
      <c r="M93" s="262" t="n"/>
      <c r="N93" s="262" t="n"/>
      <c r="O93" s="262" t="n"/>
      <c r="P93" s="263" t="n"/>
      <c r="Q93" s="146" t="n"/>
      <c r="R93" s="286" t="n"/>
      <c r="S93" s="287" t="n"/>
      <c r="T93" s="287" t="n"/>
      <c r="U93" s="287" t="n"/>
      <c r="V93" s="287" t="n"/>
      <c r="W93" s="148" t="n"/>
    </row>
    <row r="94" customFormat="1" s="65">
      <c r="B94" s="146" t="n"/>
      <c r="C94" s="146" t="n"/>
      <c r="D94" s="146" t="n"/>
      <c r="E94" s="146" t="n"/>
      <c r="F94" s="146" t="n"/>
      <c r="G94" s="146" t="n"/>
      <c r="H94" s="146" t="n"/>
      <c r="I94" s="146" t="n"/>
      <c r="J94" s="146" t="n"/>
      <c r="K94" s="146" t="n"/>
      <c r="L94" s="146" t="n"/>
      <c r="M94" s="146" t="n"/>
      <c r="N94" s="146" t="n"/>
      <c r="O94" s="146" t="n"/>
      <c r="P94" s="147" t="n"/>
      <c r="Q94" s="146" t="n"/>
      <c r="R94" s="286" t="n"/>
      <c r="S94" s="287" t="n"/>
      <c r="T94" s="287" t="n"/>
      <c r="U94" s="287" t="n"/>
      <c r="V94" s="287" t="n"/>
      <c r="W94" s="148" t="n"/>
    </row>
    <row r="95" ht="31.5" customFormat="1" customHeight="1" s="119">
      <c r="B95" s="119" t="inlineStr">
        <is>
          <t>STEP 2:   IDENTIFYING AND ASSESSING THE RISKS OF MATERIAL MISSTATEMENT</t>
        </is>
      </c>
      <c r="P95" s="159" t="n"/>
      <c r="R95" s="267" t="n"/>
      <c r="S95" s="268" t="n"/>
      <c r="T95" s="268" t="n"/>
      <c r="U95" s="268" t="n"/>
      <c r="V95" s="268" t="n"/>
      <c r="W95" s="122" t="n"/>
      <c r="Z95" s="119" t="inlineStr">
        <is>
          <t>Inherent risk matrix</t>
        </is>
      </c>
    </row>
    <row r="96" ht="15.75" customHeight="1" thickBot="1">
      <c r="A96" s="55" t="n"/>
      <c r="B96" s="170" t="n"/>
      <c r="C96" s="43" t="n"/>
      <c r="D96" s="43" t="n"/>
      <c r="E96" s="43" t="n"/>
      <c r="F96" s="43" t="n"/>
      <c r="G96" s="43" t="n"/>
      <c r="H96" s="43" t="n"/>
      <c r="I96" s="43" t="n"/>
      <c r="J96" s="43" t="n"/>
      <c r="K96" s="43" t="n"/>
      <c r="L96" s="43" t="n"/>
      <c r="M96" s="43" t="n"/>
      <c r="N96" s="43" t="n"/>
      <c r="O96" s="43" t="n"/>
      <c r="P96" s="127" t="n"/>
      <c r="Q96" s="4" t="n"/>
      <c r="Z96" s="79" t="inlineStr">
        <is>
          <t>Significant</t>
        </is>
      </c>
      <c r="AA96" s="79" t="inlineStr">
        <is>
          <t>&gt;6</t>
        </is>
      </c>
    </row>
    <row r="97" ht="27.6" customHeight="1">
      <c r="A97" s="65" t="n"/>
      <c r="B97" s="181" t="inlineStr">
        <is>
          <t>Inherent risk assessment</t>
        </is>
      </c>
      <c r="C97" s="182" t="n"/>
      <c r="D97" s="182" t="n"/>
      <c r="E97" s="182" t="n"/>
      <c r="F97" s="182" t="n"/>
      <c r="G97" s="182" t="n"/>
      <c r="H97" s="182" t="n"/>
      <c r="I97" s="182" t="n"/>
      <c r="J97" s="182" t="n"/>
      <c r="K97" s="182" t="n"/>
      <c r="L97" s="182" t="n"/>
      <c r="M97" s="182" t="n"/>
      <c r="N97" s="182" t="n"/>
      <c r="O97" s="182" t="n"/>
      <c r="P97" s="192" t="n"/>
      <c r="Q97" s="19" t="n"/>
      <c r="Z97" s="79" t="inlineStr">
        <is>
          <t>Enhanced</t>
        </is>
      </c>
      <c r="AA97" s="81" t="inlineStr">
        <is>
          <t>4 to 6</t>
        </is>
      </c>
    </row>
    <row r="98" ht="19.5" customFormat="1" customHeight="1" s="55">
      <c r="A98" s="65" t="n"/>
      <c r="B98" s="186" t="inlineStr">
        <is>
          <t>Identifying and assessing the risks of material misstatement relating to an accounting estimate and related disclosures at assertion level [ISA (revised) 540.16]</t>
        </is>
      </c>
      <c r="C98" s="71" t="n"/>
      <c r="D98" s="71" t="n"/>
      <c r="E98" s="71" t="n"/>
      <c r="F98" s="71" t="n"/>
      <c r="G98" s="71" t="n"/>
      <c r="H98" s="71" t="n"/>
      <c r="I98" s="71" t="n"/>
      <c r="J98" s="174" t="n"/>
      <c r="K98" s="174" t="n"/>
      <c r="L98" s="174" t="n"/>
      <c r="M98" s="174" t="n"/>
      <c r="N98" s="174" t="n"/>
      <c r="O98" s="174" t="n"/>
      <c r="P98" s="193" t="n"/>
      <c r="Q98" s="19" t="n"/>
      <c r="R98" s="288" t="n"/>
      <c r="S98" s="289" t="n"/>
      <c r="T98" s="289" t="n"/>
      <c r="U98" s="289" t="n"/>
      <c r="V98" s="289" t="n"/>
      <c r="W98" s="53" t="n"/>
      <c r="X98" s="54" t="n"/>
      <c r="Y98" s="54" t="n"/>
      <c r="Z98" s="54" t="inlineStr">
        <is>
          <t>Standard</t>
        </is>
      </c>
      <c r="AA98" s="54" t="inlineStr">
        <is>
          <t>&gt;4</t>
        </is>
      </c>
    </row>
    <row r="99" ht="15" customHeight="1">
      <c r="A99" s="65" t="n"/>
      <c r="B99" s="327" t="inlineStr">
        <is>
          <t xml:space="preserve">In identifying and assessing risks of material misstatement at the assertion level for an accounting estimate and related disclosures, we must consider inherent risk and control risk separately. We must consider the factors of estimation uncertainty, complexity, subjectivity and other inherent risk factors when considering the level of inherent risk. The below sections will help to guide you in determining to what degree your accounting estimate is subject to these factors. You will then form an overall assessment of the inherent and control risks associated with your accounting estimate. </t>
        </is>
      </c>
      <c r="P99" s="194" t="n"/>
      <c r="Q99" s="149" t="n"/>
      <c r="R99" s="290" t="n"/>
      <c r="S99" s="291" t="n"/>
      <c r="T99" s="291" t="n"/>
      <c r="U99" s="291" t="n"/>
      <c r="V99" s="291" t="n"/>
      <c r="W99" s="82" t="n"/>
    </row>
    <row r="100" ht="15" customHeight="1">
      <c r="A100" s="65" t="n"/>
      <c r="B100" s="386" t="n"/>
      <c r="P100" s="194" t="n"/>
      <c r="Q100" s="149" t="n"/>
      <c r="R100" s="290" t="n"/>
      <c r="S100" s="291" t="n"/>
      <c r="T100" s="291" t="n"/>
      <c r="U100" s="291" t="n"/>
      <c r="V100" s="291" t="n"/>
      <c r="W100" s="82" t="n"/>
    </row>
    <row r="101" ht="15" customHeight="1">
      <c r="A101" s="65" t="n"/>
      <c r="B101" s="386" t="n"/>
      <c r="P101" s="194" t="n"/>
      <c r="Q101" s="149" t="n"/>
      <c r="R101" s="290" t="n"/>
      <c r="S101" s="291" t="n"/>
      <c r="T101" s="291" t="n"/>
      <c r="U101" s="291" t="n"/>
      <c r="V101" s="291" t="n"/>
      <c r="W101" s="82" t="n"/>
    </row>
    <row r="102" ht="15" customHeight="1" thickBot="1">
      <c r="A102" s="65" t="n"/>
      <c r="B102" s="386" t="n"/>
      <c r="P102" s="194" t="n"/>
      <c r="Q102" s="149" t="n"/>
      <c r="R102" s="290" t="n"/>
      <c r="S102" s="291" t="n"/>
      <c r="T102" s="291" t="n"/>
      <c r="U102" s="291" t="n"/>
      <c r="V102" s="291" t="n"/>
      <c r="W102" s="82" t="n"/>
      <c r="X102" s="83" t="inlineStr">
        <is>
          <t>Risk indicator level for dropdown menu (to be hidden)</t>
        </is>
      </c>
      <c r="Z102" s="83" t="inlineStr">
        <is>
          <t>Calculation based on answers</t>
        </is>
      </c>
    </row>
    <row r="103" ht="15" customHeight="1" thickBot="1">
      <c r="A103" s="65" t="n"/>
      <c r="B103" s="195" t="inlineStr">
        <is>
          <t>The degree to which the accounting estimate is subject to estimation uncertainty</t>
        </is>
      </c>
      <c r="C103" s="175" t="n"/>
      <c r="D103" s="196" t="n"/>
      <c r="E103" s="196" t="n"/>
      <c r="F103" s="196" t="n"/>
      <c r="G103" s="196" t="n"/>
      <c r="H103" s="196" t="n"/>
      <c r="I103" s="196" t="n"/>
      <c r="J103" s="197" t="inlineStr">
        <is>
          <t>User to select from the dropdown menu</t>
        </is>
      </c>
      <c r="K103" s="197" t="n"/>
      <c r="L103" s="198" t="inlineStr">
        <is>
          <t>Risk indicator:</t>
        </is>
      </c>
      <c r="M103" s="199" t="n"/>
      <c r="N103" s="301" t="inlineStr">
        <is>
          <t>Low</t>
        </is>
      </c>
      <c r="O103" s="176" t="n"/>
      <c r="P103" s="200" t="n"/>
      <c r="Q103" s="140" t="n"/>
      <c r="R103" s="292" t="n"/>
      <c r="S103" s="293" t="n"/>
      <c r="T103" s="293" t="n"/>
      <c r="U103" s="293" t="n"/>
      <c r="V103" s="293" t="n"/>
      <c r="W103" s="84" t="n"/>
      <c r="X103" s="79" t="inlineStr">
        <is>
          <t>Low</t>
        </is>
      </c>
      <c r="Z103" s="79" t="inlineStr">
        <is>
          <t>Estm uncert.</t>
        </is>
      </c>
      <c r="AA103" s="79">
        <f>IF($N$103="High",3,IF($N$103="Moderate",2,IF($N$103="Low",1,"")))</f>
        <v/>
      </c>
    </row>
    <row r="104" ht="15" customHeight="1">
      <c r="A104" s="65" t="n"/>
      <c r="B104" s="382" t="inlineStr">
        <is>
          <t>세법상 정률(1%)을 적용하고 회수기간이 단기이며 대손경험이 거의 없어 측정의 추정불확실성이 낮음.</t>
        </is>
      </c>
      <c r="C104" s="374" t="n"/>
      <c r="D104" s="374" t="n"/>
      <c r="E104" s="374" t="n"/>
      <c r="F104" s="374" t="n"/>
      <c r="G104" s="374" t="n"/>
      <c r="H104" s="374" t="n"/>
      <c r="I104" s="374" t="n"/>
      <c r="J104" s="374" t="n"/>
      <c r="K104" s="374" t="n"/>
      <c r="L104" s="374" t="n"/>
      <c r="M104" s="374" t="n"/>
      <c r="N104" s="374" t="n"/>
      <c r="O104" s="374" t="n"/>
      <c r="P104" s="333" t="inlineStr">
        <is>
          <t>Link to guidance</t>
        </is>
      </c>
      <c r="Q104" s="150" t="n"/>
      <c r="R104" s="269" t="n"/>
      <c r="S104" s="294" t="n"/>
      <c r="T104" s="294" t="n"/>
      <c r="U104" s="295" t="n"/>
      <c r="V104" s="295" t="n"/>
      <c r="W104" s="85" t="n"/>
      <c r="X104" s="79" t="inlineStr">
        <is>
          <t>Moderate</t>
        </is>
      </c>
      <c r="Z104" s="79" t="inlineStr">
        <is>
          <t>Com</t>
        </is>
      </c>
      <c r="AA104" s="79">
        <f>IF($N$110="High",3,IF($N$110="Moderate",2,IF($N$110="Low",1,"")))</f>
        <v/>
      </c>
    </row>
    <row r="105" ht="15" customHeight="1">
      <c r="A105" s="65" t="n"/>
      <c r="B105" s="380" t="n"/>
      <c r="C105" s="374" t="n"/>
      <c r="D105" s="374" t="n"/>
      <c r="E105" s="374" t="n"/>
      <c r="F105" s="374" t="n"/>
      <c r="G105" s="374" t="n"/>
      <c r="H105" s="374" t="n"/>
      <c r="I105" s="374" t="n"/>
      <c r="J105" s="374" t="n"/>
      <c r="K105" s="374" t="n"/>
      <c r="L105" s="374" t="n"/>
      <c r="M105" s="374" t="n"/>
      <c r="N105" s="374" t="n"/>
      <c r="O105" s="374" t="n"/>
      <c r="P105" s="381" t="n"/>
      <c r="Q105" s="150" t="n"/>
      <c r="R105" s="278" t="n"/>
      <c r="S105" s="296" t="n"/>
      <c r="T105" s="296" t="n"/>
      <c r="U105" s="296" t="n"/>
      <c r="V105" s="296" t="n"/>
      <c r="W105" s="82" t="n"/>
      <c r="X105" s="79" t="inlineStr">
        <is>
          <t>High</t>
        </is>
      </c>
      <c r="Z105" s="79" t="inlineStr">
        <is>
          <t>Sub</t>
        </is>
      </c>
      <c r="AA105" s="79">
        <f>IF($N$115="High",3,IF($N$115="Moderate",2,IF($N$115="Low",1,"")))</f>
        <v/>
      </c>
    </row>
    <row r="106" ht="15" customHeight="1">
      <c r="A106" s="65" t="n"/>
      <c r="B106" s="380" t="n"/>
      <c r="C106" s="374" t="n"/>
      <c r="D106" s="374" t="n"/>
      <c r="E106" s="374" t="n"/>
      <c r="F106" s="374" t="n"/>
      <c r="G106" s="374" t="n"/>
      <c r="H106" s="374" t="n"/>
      <c r="I106" s="374" t="n"/>
      <c r="J106" s="374" t="n"/>
      <c r="K106" s="374" t="n"/>
      <c r="L106" s="374" t="n"/>
      <c r="M106" s="374" t="n"/>
      <c r="N106" s="374" t="n"/>
      <c r="O106" s="374" t="n"/>
      <c r="P106" s="201" t="n"/>
      <c r="Q106" s="150" t="n"/>
      <c r="R106" s="278" t="n"/>
      <c r="S106" s="296" t="n"/>
      <c r="T106" s="296" t="n"/>
      <c r="U106" s="296" t="n"/>
      <c r="V106" s="296" t="n"/>
      <c r="W106" s="82" t="n"/>
      <c r="AA106" s="86">
        <f>SUM(AA103:AA105)</f>
        <v/>
      </c>
    </row>
    <row r="107" ht="15" customHeight="1">
      <c r="A107" s="65" t="n"/>
      <c r="B107" s="380" t="n"/>
      <c r="C107" s="374" t="n"/>
      <c r="D107" s="374" t="n"/>
      <c r="E107" s="374" t="n"/>
      <c r="F107" s="374" t="n"/>
      <c r="G107" s="374" t="n"/>
      <c r="H107" s="374" t="n"/>
      <c r="I107" s="374" t="n"/>
      <c r="J107" s="374" t="n"/>
      <c r="K107" s="374" t="n"/>
      <c r="L107" s="374" t="n"/>
      <c r="M107" s="374" t="n"/>
      <c r="N107" s="374" t="n"/>
      <c r="O107" s="374" t="n"/>
      <c r="P107" s="201" t="n"/>
      <c r="Q107" s="150" t="n"/>
      <c r="R107" s="278" t="n"/>
      <c r="S107" s="296" t="n"/>
      <c r="T107" s="296" t="n"/>
      <c r="U107" s="296" t="n"/>
      <c r="V107" s="296" t="n"/>
      <c r="W107" s="82" t="n"/>
    </row>
    <row r="108" ht="15" customHeight="1">
      <c r="A108" s="65" t="n"/>
      <c r="B108" s="329" t="inlineStr">
        <is>
          <t>The degree to which the selection and application of the method, assumptions and data in making the accounting estimate, or the selection of management's point estimate and related disclosures are affected by:</t>
        </is>
      </c>
      <c r="P108" s="200" t="n"/>
      <c r="Q108" s="140" t="n"/>
      <c r="R108" s="292" t="n"/>
      <c r="S108" s="293" t="n"/>
      <c r="T108" s="293" t="n"/>
      <c r="U108" s="293" t="n"/>
      <c r="V108" s="293" t="n"/>
      <c r="W108" s="84" t="n"/>
    </row>
    <row r="109" ht="15.75" customHeight="1" thickBot="1">
      <c r="A109" s="65" t="n"/>
      <c r="B109" s="386" t="n"/>
      <c r="P109" s="200" t="n"/>
      <c r="Q109" s="140" t="n"/>
      <c r="R109" s="292" t="n"/>
      <c r="S109" s="293" t="n"/>
      <c r="T109" s="293" t="n"/>
      <c r="U109" s="293" t="n"/>
      <c r="V109" s="293" t="n"/>
      <c r="W109" s="84" t="n"/>
    </row>
    <row r="110" ht="15" customHeight="1" thickBot="1">
      <c r="A110" s="65" t="n"/>
      <c r="B110" s="195" t="inlineStr">
        <is>
          <t>Complexity</t>
        </is>
      </c>
      <c r="C110" s="175" t="n"/>
      <c r="D110" s="196" t="n"/>
      <c r="E110" s="196" t="n"/>
      <c r="F110" s="196" t="n"/>
      <c r="G110" s="196" t="n"/>
      <c r="H110" s="196" t="n"/>
      <c r="I110" s="196" t="n"/>
      <c r="J110" s="197" t="inlineStr">
        <is>
          <t>User to select from the dropdown menu</t>
        </is>
      </c>
      <c r="K110" s="197" t="n"/>
      <c r="L110" s="198" t="inlineStr">
        <is>
          <t>Risk indicator:</t>
        </is>
      </c>
      <c r="M110" s="199" t="n"/>
      <c r="N110" s="301" t="inlineStr">
        <is>
          <t>Low</t>
        </is>
      </c>
      <c r="O110" s="176" t="n"/>
      <c r="P110" s="200" t="n"/>
      <c r="Q110" s="140" t="n"/>
      <c r="R110" s="292" t="n"/>
      <c r="S110" s="293" t="n"/>
      <c r="T110" s="293" t="n"/>
      <c r="U110" s="293" t="n"/>
      <c r="V110" s="293" t="n"/>
      <c r="W110" s="84" t="n"/>
    </row>
    <row r="111" ht="15" customHeight="1">
      <c r="A111" s="65" t="n"/>
      <c r="B111" s="382" t="inlineStr">
        <is>
          <t>기말잔액에 단일 설정률을 곱하는 단순한 계산으로, 복수의 데이터·가정이나 복잡한 모델이 개입하지 않아 복잡성이 낮음.</t>
        </is>
      </c>
      <c r="C111" s="374" t="n"/>
      <c r="D111" s="374" t="n"/>
      <c r="E111" s="374" t="n"/>
      <c r="F111" s="374" t="n"/>
      <c r="G111" s="374" t="n"/>
      <c r="H111" s="374" t="n"/>
      <c r="I111" s="374" t="n"/>
      <c r="J111" s="374" t="n"/>
      <c r="K111" s="374" t="n"/>
      <c r="L111" s="374" t="n"/>
      <c r="M111" s="374" t="n"/>
      <c r="N111" s="374" t="n"/>
      <c r="O111" s="374" t="n"/>
      <c r="P111" s="333" t="inlineStr">
        <is>
          <t>Link to guidance</t>
        </is>
      </c>
      <c r="Q111" s="150" t="n"/>
      <c r="R111" s="269" t="n"/>
      <c r="S111" s="294" t="n"/>
      <c r="T111" s="294" t="n"/>
      <c r="U111" s="295" t="n"/>
      <c r="V111" s="295" t="n"/>
      <c r="W111" s="85" t="n"/>
    </row>
    <row r="112" ht="15" customHeight="1">
      <c r="A112" s="65" t="n"/>
      <c r="B112" s="380" t="n"/>
      <c r="C112" s="374" t="n"/>
      <c r="D112" s="374" t="n"/>
      <c r="E112" s="374" t="n"/>
      <c r="F112" s="374" t="n"/>
      <c r="G112" s="374" t="n"/>
      <c r="H112" s="374" t="n"/>
      <c r="I112" s="374" t="n"/>
      <c r="J112" s="374" t="n"/>
      <c r="K112" s="374" t="n"/>
      <c r="L112" s="374" t="n"/>
      <c r="M112" s="374" t="n"/>
      <c r="N112" s="374" t="n"/>
      <c r="O112" s="374" t="n"/>
      <c r="P112" s="381" t="n"/>
      <c r="Q112" s="150" t="n"/>
      <c r="R112" s="278" t="n"/>
      <c r="S112" s="296" t="n"/>
      <c r="T112" s="296" t="n"/>
      <c r="U112" s="296" t="n"/>
      <c r="V112" s="296" t="n"/>
      <c r="W112" s="82" t="n"/>
    </row>
    <row r="113" ht="15" customHeight="1">
      <c r="A113" s="65" t="n"/>
      <c r="B113" s="380" t="n"/>
      <c r="C113" s="374" t="n"/>
      <c r="D113" s="374" t="n"/>
      <c r="E113" s="374" t="n"/>
      <c r="F113" s="374" t="n"/>
      <c r="G113" s="374" t="n"/>
      <c r="H113" s="374" t="n"/>
      <c r="I113" s="374" t="n"/>
      <c r="J113" s="374" t="n"/>
      <c r="K113" s="374" t="n"/>
      <c r="L113" s="374" t="n"/>
      <c r="M113" s="374" t="n"/>
      <c r="N113" s="374" t="n"/>
      <c r="O113" s="374" t="n"/>
      <c r="P113" s="201" t="n"/>
      <c r="Q113" s="150" t="n"/>
      <c r="R113" s="278" t="n"/>
      <c r="S113" s="296" t="n"/>
      <c r="T113" s="296" t="n"/>
      <c r="U113" s="296" t="n"/>
      <c r="V113" s="296" t="n"/>
      <c r="W113" s="82" t="n"/>
    </row>
    <row r="114" ht="15" customHeight="1" thickBot="1">
      <c r="A114" s="65" t="n"/>
      <c r="B114" s="380" t="n"/>
      <c r="C114" s="374" t="n"/>
      <c r="D114" s="374" t="n"/>
      <c r="E114" s="374" t="n"/>
      <c r="F114" s="374" t="n"/>
      <c r="G114" s="374" t="n"/>
      <c r="H114" s="374" t="n"/>
      <c r="I114" s="374" t="n"/>
      <c r="J114" s="374" t="n"/>
      <c r="K114" s="374" t="n"/>
      <c r="L114" s="374" t="n"/>
      <c r="M114" s="374" t="n"/>
      <c r="N114" s="374" t="n"/>
      <c r="O114" s="374" t="n"/>
      <c r="P114" s="201" t="n"/>
      <c r="Q114" s="150" t="n"/>
      <c r="R114" s="278" t="n"/>
      <c r="S114" s="296" t="n"/>
      <c r="T114" s="296" t="n"/>
      <c r="U114" s="296" t="n"/>
      <c r="V114" s="296" t="n"/>
      <c r="W114" s="82" t="n"/>
    </row>
    <row r="115" ht="15" customHeight="1" thickBot="1">
      <c r="A115" s="65" t="n"/>
      <c r="B115" s="195" t="inlineStr">
        <is>
          <t>Subjectivity</t>
        </is>
      </c>
      <c r="C115" s="175" t="n"/>
      <c r="D115" s="196" t="n"/>
      <c r="E115" s="196" t="n"/>
      <c r="F115" s="196" t="n"/>
      <c r="G115" s="196" t="n"/>
      <c r="H115" s="196" t="n"/>
      <c r="I115" s="196" t="n"/>
      <c r="J115" s="197" t="inlineStr">
        <is>
          <t>User to select from the dropdown menu</t>
        </is>
      </c>
      <c r="K115" s="197" t="n"/>
      <c r="L115" s="198" t="inlineStr">
        <is>
          <t>Risk indicator:</t>
        </is>
      </c>
      <c r="M115" s="199" t="n"/>
      <c r="N115" s="301" t="inlineStr">
        <is>
          <t>Low</t>
        </is>
      </c>
      <c r="O115" s="176" t="n"/>
      <c r="P115" s="200" t="n"/>
      <c r="Q115" s="140" t="n"/>
      <c r="R115" s="292" t="n"/>
      <c r="S115" s="293" t="n"/>
      <c r="T115" s="293" t="n"/>
      <c r="U115" s="293" t="n"/>
      <c r="V115" s="293" t="n"/>
      <c r="W115" s="84" t="n"/>
    </row>
    <row r="116" ht="15" customFormat="1" customHeight="1" s="65">
      <c r="B116" s="382" t="inlineStr">
        <is>
          <t>설정률이 세법상 정률로 정해져 있어 경영진의 판단개입 여지가 제한적이므로 주관성이 낮음.</t>
        </is>
      </c>
      <c r="C116" s="374" t="n"/>
      <c r="D116" s="374" t="n"/>
      <c r="E116" s="374" t="n"/>
      <c r="F116" s="374" t="n"/>
      <c r="G116" s="374" t="n"/>
      <c r="H116" s="374" t="n"/>
      <c r="I116" s="374" t="n"/>
      <c r="J116" s="374" t="n"/>
      <c r="K116" s="374" t="n"/>
      <c r="L116" s="374" t="n"/>
      <c r="M116" s="374" t="n"/>
      <c r="N116" s="374" t="n"/>
      <c r="O116" s="374" t="n"/>
      <c r="P116" s="333" t="inlineStr">
        <is>
          <t>Link to guidance</t>
        </is>
      </c>
      <c r="Q116" s="150" t="n"/>
      <c r="R116" s="269" t="n"/>
      <c r="S116" s="270" t="n"/>
      <c r="T116" s="270" t="n"/>
      <c r="U116" s="271" t="n"/>
      <c r="V116" s="271" t="n"/>
      <c r="W116" s="132" t="n"/>
    </row>
    <row r="117" ht="15" customFormat="1" customHeight="1" s="65">
      <c r="B117" s="380" t="n"/>
      <c r="C117" s="374" t="n"/>
      <c r="D117" s="374" t="n"/>
      <c r="E117" s="374" t="n"/>
      <c r="F117" s="374" t="n"/>
      <c r="G117" s="374" t="n"/>
      <c r="H117" s="374" t="n"/>
      <c r="I117" s="374" t="n"/>
      <c r="J117" s="374" t="n"/>
      <c r="K117" s="374" t="n"/>
      <c r="L117" s="374" t="n"/>
      <c r="M117" s="374" t="n"/>
      <c r="N117" s="374" t="n"/>
      <c r="O117" s="374" t="n"/>
      <c r="P117" s="381" t="n"/>
      <c r="Q117" s="150" t="n"/>
      <c r="R117" s="269" t="n"/>
      <c r="S117" s="270" t="n"/>
      <c r="T117" s="270" t="n"/>
      <c r="U117" s="271" t="n"/>
      <c r="V117" s="271" t="n"/>
      <c r="W117" s="132" t="n"/>
      <c r="X117" s="151" t="inlineStr">
        <is>
          <t>Inherent risk level for dropdown menu (to be hidden)</t>
        </is>
      </c>
    </row>
    <row r="118" customFormat="1" s="65">
      <c r="B118" s="380" t="n"/>
      <c r="C118" s="374" t="n"/>
      <c r="D118" s="374" t="n"/>
      <c r="E118" s="374" t="n"/>
      <c r="F118" s="374" t="n"/>
      <c r="G118" s="374" t="n"/>
      <c r="H118" s="374" t="n"/>
      <c r="I118" s="374" t="n"/>
      <c r="J118" s="374" t="n"/>
      <c r="K118" s="374" t="n"/>
      <c r="L118" s="374" t="n"/>
      <c r="M118" s="374" t="n"/>
      <c r="N118" s="374" t="n"/>
      <c r="O118" s="374" t="n"/>
      <c r="P118" s="201" t="n"/>
      <c r="Q118" s="150" t="n"/>
      <c r="R118" s="278" t="n"/>
      <c r="S118" s="296" t="n"/>
      <c r="T118" s="296" t="n"/>
      <c r="U118" s="296" t="n"/>
      <c r="V118" s="296" t="n"/>
      <c r="W118" s="152" t="n"/>
      <c r="X118" s="65" t="inlineStr">
        <is>
          <t>Standard</t>
        </is>
      </c>
    </row>
    <row r="119" customFormat="1" s="65">
      <c r="B119" s="380" t="n"/>
      <c r="C119" s="374" t="n"/>
      <c r="D119" s="374" t="n"/>
      <c r="E119" s="374" t="n"/>
      <c r="F119" s="374" t="n"/>
      <c r="G119" s="374" t="n"/>
      <c r="H119" s="374" t="n"/>
      <c r="I119" s="374" t="n"/>
      <c r="J119" s="374" t="n"/>
      <c r="K119" s="374" t="n"/>
      <c r="L119" s="374" t="n"/>
      <c r="M119" s="374" t="n"/>
      <c r="N119" s="374" t="n"/>
      <c r="O119" s="374" t="n"/>
      <c r="P119" s="201" t="n"/>
      <c r="Q119" s="150" t="n"/>
      <c r="R119" s="278" t="n"/>
      <c r="S119" s="296" t="n"/>
      <c r="T119" s="296" t="n"/>
      <c r="U119" s="296" t="n"/>
      <c r="V119" s="296" t="n"/>
      <c r="W119" s="152" t="n"/>
      <c r="X119" s="65" t="inlineStr">
        <is>
          <t>Enhanced</t>
        </is>
      </c>
    </row>
    <row r="120" ht="21.95" customFormat="1" customHeight="1" s="65">
      <c r="B120" s="341" t="inlineStr">
        <is>
          <t>Overall conclusion on inherent risk on the accounting estimate:</t>
        </is>
      </c>
      <c r="L120" s="202" t="n"/>
      <c r="M120" s="202" t="n"/>
      <c r="N120" s="202" t="n"/>
      <c r="O120" s="202" t="n"/>
      <c r="P120" s="333" t="inlineStr">
        <is>
          <t>Link to guidance</t>
        </is>
      </c>
      <c r="Q120" s="140" t="n"/>
      <c r="R120" s="292" t="n"/>
      <c r="S120" s="293" t="n"/>
      <c r="T120" s="293" t="n"/>
      <c r="U120" s="293" t="n"/>
      <c r="V120" s="293" t="n"/>
      <c r="W120" s="153" t="n"/>
      <c r="X120" s="65" t="inlineStr">
        <is>
          <t>Significant</t>
        </is>
      </c>
    </row>
    <row r="121" ht="15" customFormat="1" customHeight="1" s="65">
      <c r="B121" s="203" t="inlineStr">
        <is>
          <t>The suggested calculated level of inherent risk associated with this accounting estimate is:</t>
        </is>
      </c>
      <c r="C121" s="204" t="n"/>
      <c r="D121" s="204" t="n"/>
      <c r="E121" s="204" t="n"/>
      <c r="F121" s="204" t="n"/>
      <c r="G121" s="204" t="n"/>
      <c r="H121" s="204" t="n"/>
      <c r="I121" s="204" t="n"/>
      <c r="J121" s="204" t="n"/>
      <c r="K121" s="68" t="n"/>
      <c r="L121" s="180">
        <f>IF(AA106&gt;6,"Significant",IF(AA106=6,"Enhanced",IF(AA106=5,"Enhanced",IF(AA106=3,"Standard",IF(AA106=4,"Enhanced","")))))</f>
        <v/>
      </c>
      <c r="M121" s="197" t="inlineStr">
        <is>
          <t>Calculation is based on the 3 answers above</t>
        </is>
      </c>
      <c r="N121" s="197" t="n"/>
      <c r="O121" s="197" t="n"/>
      <c r="P121" s="381" t="n"/>
      <c r="Q121" s="140" t="n"/>
      <c r="R121" s="269" t="n"/>
      <c r="S121" s="270" t="n"/>
      <c r="T121" s="270" t="n"/>
      <c r="U121" s="271" t="n"/>
      <c r="V121" s="271" t="n"/>
      <c r="W121" s="132" t="n"/>
    </row>
    <row r="122" ht="15" customFormat="1" customHeight="1" s="65">
      <c r="B122" s="339" t="inlineStr">
        <is>
          <t>Other inherent risk factors</t>
        </is>
      </c>
      <c r="P122" s="200" t="n"/>
      <c r="Q122" s="140" t="n"/>
      <c r="R122" s="292" t="n"/>
      <c r="S122" s="293" t="n"/>
      <c r="T122" s="293" t="n"/>
      <c r="U122" s="293" t="n"/>
      <c r="V122" s="293" t="n"/>
      <c r="W122" s="153" t="n"/>
    </row>
    <row r="123" ht="15" customFormat="1" customHeight="1" s="65">
      <c r="B123" s="382" t="inlineStr">
        <is>
          <t>대리점(진주·울산) 미수금에서 과거 연체·대손경험이 일부 존재하나 금액이 미미함. 경영진 편의의 징후는 식별되지 않음.</t>
        </is>
      </c>
      <c r="C123" s="374" t="n"/>
      <c r="D123" s="374" t="n"/>
      <c r="E123" s="374" t="n"/>
      <c r="F123" s="374" t="n"/>
      <c r="G123" s="374" t="n"/>
      <c r="H123" s="374" t="n"/>
      <c r="I123" s="374" t="n"/>
      <c r="J123" s="374" t="n"/>
      <c r="K123" s="374" t="n"/>
      <c r="L123" s="374" t="n"/>
      <c r="M123" s="374" t="n"/>
      <c r="N123" s="374" t="n"/>
      <c r="O123" s="374" t="n"/>
      <c r="P123" s="333" t="inlineStr">
        <is>
          <t>Link to guidance</t>
        </is>
      </c>
      <c r="Q123" s="140" t="n"/>
      <c r="R123" s="355" t="inlineStr">
        <is>
          <t xml:space="preserve">The auditor's selected level of inherent risk for the accounting estimate should be reflected in Atlas within the node 'Determine preliminary RMM for assertions'. Please note that this template only deals with the accounting estimate, and therefore there may be other factors which drive the inherent risk level for the overall assertion. The inherent risk level for the assertion may the same or a higher level of inherent risk as this template. </t>
        </is>
      </c>
      <c r="W123" s="132" t="n"/>
    </row>
    <row r="124" ht="15" customFormat="1" customHeight="1" s="65">
      <c r="B124" s="380" t="n"/>
      <c r="C124" s="374" t="n"/>
      <c r="D124" s="374" t="n"/>
      <c r="E124" s="374" t="n"/>
      <c r="F124" s="374" t="n"/>
      <c r="G124" s="374" t="n"/>
      <c r="H124" s="374" t="n"/>
      <c r="I124" s="374" t="n"/>
      <c r="J124" s="374" t="n"/>
      <c r="K124" s="374" t="n"/>
      <c r="L124" s="374" t="n"/>
      <c r="M124" s="374" t="n"/>
      <c r="N124" s="374" t="n"/>
      <c r="O124" s="374" t="n"/>
      <c r="P124" s="381" t="n"/>
      <c r="Q124" s="140" t="n"/>
      <c r="W124" s="132" t="n"/>
    </row>
    <row r="125" ht="15" customFormat="1" customHeight="1" s="65" thickBot="1">
      <c r="B125" s="380" t="n"/>
      <c r="C125" s="374" t="n"/>
      <c r="D125" s="374" t="n"/>
      <c r="E125" s="374" t="n"/>
      <c r="F125" s="374" t="n"/>
      <c r="G125" s="374" t="n"/>
      <c r="H125" s="374" t="n"/>
      <c r="I125" s="374" t="n"/>
      <c r="J125" s="374" t="n"/>
      <c r="K125" s="374" t="n"/>
      <c r="L125" s="374" t="n"/>
      <c r="M125" s="374" t="n"/>
      <c r="N125" s="374" t="n"/>
      <c r="O125" s="374" t="n"/>
      <c r="P125" s="200" t="n"/>
      <c r="Q125" s="140" t="n"/>
      <c r="W125" s="153" t="n"/>
    </row>
    <row r="126" ht="16.5" customFormat="1" customHeight="1" s="65" thickBot="1">
      <c r="B126" s="205" t="inlineStr">
        <is>
          <t>Auditor's selected level of inherent risk associated with this accounting estimate is:</t>
        </is>
      </c>
      <c r="C126" s="206" t="n"/>
      <c r="D126" s="206" t="n"/>
      <c r="E126" s="206" t="n"/>
      <c r="F126" s="206" t="n"/>
      <c r="G126" s="206" t="n"/>
      <c r="H126" s="206" t="n"/>
      <c r="I126" s="206" t="n"/>
      <c r="J126" s="206" t="n"/>
      <c r="K126" s="68" t="n"/>
      <c r="L126" s="301" t="inlineStr">
        <is>
          <t>Standard</t>
        </is>
      </c>
      <c r="M126" s="197" t="inlineStr">
        <is>
          <t>User should select from the dropdown menu.</t>
        </is>
      </c>
      <c r="N126" s="206" t="n"/>
      <c r="O126" s="206" t="n"/>
      <c r="P126" s="333" t="inlineStr">
        <is>
          <t>Link to guidance</t>
        </is>
      </c>
      <c r="Q126" s="149" t="n"/>
      <c r="W126" s="132" t="n"/>
    </row>
    <row r="127" ht="18.75" customFormat="1" customHeight="1" s="65">
      <c r="B127" s="339" t="inlineStr">
        <is>
          <t>The reason for the auditor's selected level of inherent risk is due to (Mandatory to explain if there is a departure from the suggested level of inherent risk):</t>
        </is>
      </c>
      <c r="P127" s="381" t="n"/>
      <c r="Q127" s="140" t="n"/>
      <c r="W127" s="132" t="n"/>
    </row>
    <row r="128" ht="15" customFormat="1" customHeight="1" s="65">
      <c r="B128" s="387" t="inlineStr">
        <is>
          <t>세법상 정률 적용, 단기 회수, 대손경험 부재 및 대리점 보증금 수령 등을 고려할 때 추정불확실성·복잡성·주관성이 모두 낮으므로 고유위험을 표준(Standard)으로 선택함. 계산된 제안 수준과 동일함.</t>
        </is>
      </c>
      <c r="C128" s="374" t="n"/>
      <c r="D128" s="374" t="n"/>
      <c r="E128" s="374" t="n"/>
      <c r="F128" s="374" t="n"/>
      <c r="G128" s="374" t="n"/>
      <c r="H128" s="374" t="n"/>
      <c r="I128" s="374" t="n"/>
      <c r="J128" s="374" t="n"/>
      <c r="K128" s="374" t="n"/>
      <c r="L128" s="374" t="n"/>
      <c r="M128" s="374" t="n"/>
      <c r="N128" s="374" t="n"/>
      <c r="O128" s="374" t="n"/>
      <c r="P128" s="333" t="inlineStr">
        <is>
          <t>Link to guidance</t>
        </is>
      </c>
      <c r="Q128" s="140" t="n"/>
      <c r="W128" s="132" t="n"/>
    </row>
    <row r="129" ht="15" customFormat="1" customHeight="1" s="65">
      <c r="B129" s="380" t="n"/>
      <c r="C129" s="374" t="n"/>
      <c r="D129" s="374" t="n"/>
      <c r="E129" s="374" t="n"/>
      <c r="F129" s="374" t="n"/>
      <c r="G129" s="374" t="n"/>
      <c r="H129" s="374" t="n"/>
      <c r="I129" s="374" t="n"/>
      <c r="J129" s="374" t="n"/>
      <c r="K129" s="374" t="n"/>
      <c r="L129" s="374" t="n"/>
      <c r="M129" s="374" t="n"/>
      <c r="N129" s="374" t="n"/>
      <c r="O129" s="374" t="n"/>
      <c r="P129" s="381" t="n"/>
      <c r="Q129" s="140" t="n"/>
      <c r="W129" s="153" t="n"/>
    </row>
    <row r="130" ht="15" customFormat="1" customHeight="1" s="65" thickBot="1">
      <c r="B130" s="388" t="n"/>
      <c r="C130" s="389" t="n"/>
      <c r="D130" s="389" t="n"/>
      <c r="E130" s="389" t="n"/>
      <c r="F130" s="389" t="n"/>
      <c r="G130" s="389" t="n"/>
      <c r="H130" s="389" t="n"/>
      <c r="I130" s="389" t="n"/>
      <c r="J130" s="389" t="n"/>
      <c r="K130" s="389" t="n"/>
      <c r="L130" s="389" t="n"/>
      <c r="M130" s="389" t="n"/>
      <c r="N130" s="389" t="n"/>
      <c r="O130" s="389" t="n"/>
      <c r="P130" s="207" t="n"/>
      <c r="Q130" s="140" t="n"/>
      <c r="W130" s="153" t="n"/>
    </row>
    <row r="131" ht="15" customFormat="1" customHeight="1" s="55">
      <c r="B131" s="166" t="n"/>
      <c r="C131" s="166" t="n"/>
      <c r="D131" s="166" t="n"/>
      <c r="E131" s="166" t="n"/>
      <c r="F131" s="166" t="n"/>
      <c r="G131" s="166" t="n"/>
      <c r="H131" s="166" t="n"/>
      <c r="I131" s="166" t="n"/>
      <c r="J131" s="166" t="n"/>
      <c r="K131" s="166" t="n"/>
      <c r="L131" s="166" t="n"/>
      <c r="M131" s="166" t="n"/>
      <c r="N131" s="166" t="n"/>
      <c r="O131" s="166" t="n"/>
      <c r="P131" s="167" t="n"/>
      <c r="Q131" s="16" t="n"/>
      <c r="W131" s="63" t="n"/>
    </row>
    <row r="132" ht="24.75" customFormat="1" customHeight="1" s="55" thickBot="1">
      <c r="B132" s="168" t="n"/>
      <c r="C132" s="11" t="n"/>
      <c r="D132" s="11" t="n"/>
      <c r="E132" s="11" t="n"/>
      <c r="F132" s="11" t="n"/>
      <c r="G132" s="11" t="n"/>
      <c r="H132" s="11" t="n"/>
      <c r="I132" s="11" t="n"/>
      <c r="J132" s="11" t="n"/>
      <c r="K132" s="11" t="n"/>
      <c r="L132" s="11" t="n"/>
      <c r="M132" s="11" t="n"/>
      <c r="N132" s="11" t="n"/>
      <c r="O132" s="11" t="n"/>
      <c r="P132" s="169" t="n"/>
      <c r="Q132" s="11" t="n"/>
      <c r="R132" s="280" t="n"/>
      <c r="S132" s="281" t="n"/>
      <c r="T132" s="281" t="n"/>
      <c r="U132" s="281" t="n"/>
      <c r="V132" s="281" t="n"/>
      <c r="W132" s="53" t="n"/>
    </row>
    <row r="133" ht="33" customFormat="1" customHeight="1" s="65">
      <c r="B133" s="181" t="inlineStr">
        <is>
          <t>Control risk assessment</t>
        </is>
      </c>
      <c r="C133" s="182" t="n"/>
      <c r="D133" s="182" t="n"/>
      <c r="E133" s="182" t="n"/>
      <c r="F133" s="182" t="n"/>
      <c r="G133" s="182" t="n"/>
      <c r="H133" s="182" t="n"/>
      <c r="I133" s="182" t="n"/>
      <c r="J133" s="182" t="n"/>
      <c r="K133" s="182" t="n"/>
      <c r="L133" s="182" t="n"/>
      <c r="M133" s="182" t="n"/>
      <c r="N133" s="182" t="n"/>
      <c r="O133" s="182" t="n"/>
      <c r="P133" s="183" t="n"/>
      <c r="Q133" s="143" t="n"/>
      <c r="R133" s="280" t="n"/>
      <c r="S133" s="281" t="n"/>
      <c r="T133" s="281" t="n"/>
      <c r="U133" s="281" t="n"/>
      <c r="V133" s="281" t="n"/>
      <c r="W133" s="64" t="n"/>
    </row>
    <row r="134" customFormat="1" s="65">
      <c r="B134" s="184" t="inlineStr">
        <is>
          <t>Control Risk [ISA (revised) 540.16 and 17]</t>
        </is>
      </c>
      <c r="C134" s="71" t="n"/>
      <c r="D134" s="71" t="n"/>
      <c r="E134" s="71" t="n"/>
      <c r="F134" s="71" t="n"/>
      <c r="G134" s="71" t="n"/>
      <c r="H134" s="71" t="n"/>
      <c r="I134" s="174" t="n"/>
      <c r="J134" s="174" t="n"/>
      <c r="K134" s="174" t="n"/>
      <c r="L134" s="174" t="n"/>
      <c r="M134" s="174" t="n"/>
      <c r="N134" s="174" t="n"/>
      <c r="O134" s="71" t="n"/>
      <c r="P134" s="185" t="n"/>
      <c r="Q134" s="143" t="n"/>
      <c r="R134" s="280" t="n"/>
      <c r="S134" s="281" t="n"/>
      <c r="T134" s="281" t="n"/>
      <c r="U134" s="281" t="n"/>
      <c r="V134" s="281" t="n"/>
      <c r="W134" s="64" t="n"/>
    </row>
    <row r="135" ht="15" customFormat="1" customHeight="1" s="65">
      <c r="B135" s="186" t="inlineStr">
        <is>
          <t>Controls associated with accounting estimates</t>
        </is>
      </c>
      <c r="C135" s="71" t="n"/>
      <c r="D135" s="71" t="n"/>
      <c r="E135" s="71" t="n"/>
      <c r="F135" s="71" t="n"/>
      <c r="G135" s="71" t="n"/>
      <c r="H135" s="174" t="n"/>
      <c r="I135" s="174" t="n"/>
      <c r="J135" s="174" t="n"/>
      <c r="K135" s="174" t="n"/>
      <c r="L135" s="174" t="n"/>
      <c r="M135" s="174" t="n"/>
      <c r="N135" s="174" t="n"/>
      <c r="O135" s="174" t="n"/>
      <c r="P135" s="187" t="n"/>
      <c r="Q135" s="143" t="n"/>
      <c r="R135" s="280" t="n"/>
      <c r="S135" s="281" t="n"/>
      <c r="T135" s="281" t="n"/>
      <c r="U135" s="281" t="n"/>
      <c r="V135" s="281" t="n"/>
      <c r="W135" s="64" t="n"/>
    </row>
    <row r="136" customFormat="1" s="65">
      <c r="B136" s="186" t="inlineStr">
        <is>
          <t>THIS INFORMATION IS COPIED FROM CELLS ABOVE</t>
        </is>
      </c>
      <c r="C136" s="71" t="n"/>
      <c r="D136" s="71" t="n"/>
      <c r="E136" s="71" t="n"/>
      <c r="F136" s="71" t="n"/>
      <c r="G136" s="71" t="n"/>
      <c r="H136" s="174" t="n"/>
      <c r="I136" s="174" t="n"/>
      <c r="J136" s="174" t="n"/>
      <c r="K136" s="174" t="n"/>
      <c r="L136" s="174" t="n"/>
      <c r="M136" s="174" t="n"/>
      <c r="N136" s="174" t="n"/>
      <c r="O136" s="174" t="n"/>
      <c r="P136" s="187" t="n"/>
      <c r="Q136" s="143" t="n"/>
      <c r="R136" s="280" t="n"/>
      <c r="S136" s="281" t="n"/>
      <c r="T136" s="281" t="n"/>
      <c r="U136" s="281" t="n"/>
      <c r="V136" s="281" t="n"/>
      <c r="W136" s="64" t="n"/>
    </row>
    <row r="137" ht="15" customFormat="1" customHeight="1" s="65">
      <c r="B137" s="335">
        <f>B45</f>
        <v/>
      </c>
      <c r="P137" s="188" t="n"/>
      <c r="Q137" s="143" t="n"/>
      <c r="R137" s="355" t="inlineStr">
        <is>
          <t xml:space="preserve">Please ensure that the controls identified here are copied into Atlas on the node 'Identify controls that address WCGW's and relate them to the WCGW's' </t>
        </is>
      </c>
      <c r="W137" s="64" t="n"/>
    </row>
    <row r="138" ht="15.75" customFormat="1" customHeight="1" s="65">
      <c r="B138" s="386" t="n"/>
      <c r="P138" s="188" t="n"/>
      <c r="Q138" s="143" t="n"/>
      <c r="W138" s="64" t="n"/>
      <c r="X138" s="151" t="inlineStr">
        <is>
          <t>TOE performed dropdown menu (to be hidden)</t>
        </is>
      </c>
    </row>
    <row r="139" ht="15.75" customFormat="1" customHeight="1" s="65" thickBot="1">
      <c r="B139" s="386" t="n"/>
      <c r="P139" s="333" t="inlineStr">
        <is>
          <t>Link to guidance</t>
        </is>
      </c>
      <c r="Q139" s="143" t="n"/>
      <c r="W139" s="64" t="n"/>
      <c r="X139" s="65" t="inlineStr">
        <is>
          <t>Yes</t>
        </is>
      </c>
    </row>
    <row r="140" ht="16.5" customFormat="1" customHeight="1" s="65" thickBot="1">
      <c r="B140" s="186" t="inlineStr">
        <is>
          <t>Will we rely on the control(s) operating effectively?</t>
        </is>
      </c>
      <c r="C140" s="175" t="n"/>
      <c r="D140" s="175" t="n"/>
      <c r="E140" s="175" t="n"/>
      <c r="F140" s="175" t="n"/>
      <c r="G140" s="176" t="n"/>
      <c r="H140" s="301" t="inlineStr">
        <is>
          <t>No</t>
        </is>
      </c>
      <c r="I140" s="177" t="inlineStr">
        <is>
          <t>User to select from dropdown menu</t>
        </is>
      </c>
      <c r="J140" s="176" t="n"/>
      <c r="K140" s="176" t="n"/>
      <c r="L140" s="178" t="n"/>
      <c r="M140" s="178" t="n"/>
      <c r="N140" s="178" t="n"/>
      <c r="O140" s="178" t="n"/>
      <c r="P140" s="381" t="n"/>
      <c r="Q140" s="140" t="n"/>
      <c r="R140" s="343" t="inlineStr">
        <is>
          <t>Our response should be copied into the node 'Document our understanding of and planned approach for the identified controls'</t>
        </is>
      </c>
      <c r="W140" s="153" t="n"/>
      <c r="X140" s="65" t="inlineStr">
        <is>
          <t>No</t>
        </is>
      </c>
    </row>
    <row r="141" customFormat="1" s="65">
      <c r="B141" s="189" t="inlineStr">
        <is>
          <t>Planned control reliance:</t>
        </is>
      </c>
      <c r="C141" s="179" t="n"/>
      <c r="D141" s="68" t="n"/>
      <c r="E141" s="180">
        <f>IF(H140="Yes","High reliance",IF(H140="No","No reliance",""))</f>
        <v/>
      </c>
      <c r="F141" s="173" t="inlineStr">
        <is>
          <t xml:space="preserve">Please note this is the inverse of the control risk. </t>
        </is>
      </c>
      <c r="G141" s="68" t="n"/>
      <c r="H141" s="68" t="n"/>
      <c r="I141" s="68" t="n"/>
      <c r="J141" s="68" t="n"/>
      <c r="K141" s="68" t="n"/>
      <c r="L141" s="66" t="n"/>
      <c r="M141" s="66" t="n"/>
      <c r="N141" s="66" t="n"/>
      <c r="O141" s="66" t="n"/>
      <c r="P141" s="347" t="inlineStr">
        <is>
          <t>Link to guidance</t>
        </is>
      </c>
      <c r="Q141" s="19" t="n"/>
      <c r="R141" s="297" t="n"/>
      <c r="S141" s="270" t="n"/>
      <c r="T141" s="270" t="n"/>
      <c r="U141" s="271" t="n"/>
      <c r="V141" s="271" t="n"/>
      <c r="W141" s="64" t="n"/>
    </row>
    <row r="142" customFormat="1" s="65">
      <c r="B142" s="189" t="inlineStr">
        <is>
          <t>Planned control risk:</t>
        </is>
      </c>
      <c r="C142" s="179" t="n"/>
      <c r="D142" s="68" t="n"/>
      <c r="E142" s="180">
        <f>IF(E141="High reliance","Low",IF(E141="No reliance","High",""))</f>
        <v/>
      </c>
      <c r="F142" s="173" t="n"/>
      <c r="G142" s="68" t="n"/>
      <c r="H142" s="68" t="n"/>
      <c r="I142" s="68" t="n"/>
      <c r="J142" s="68" t="n"/>
      <c r="K142" s="68" t="n"/>
      <c r="L142" s="66" t="n"/>
      <c r="M142" s="66" t="n"/>
      <c r="N142" s="66" t="n"/>
      <c r="O142" s="66" t="n"/>
      <c r="P142" s="381" t="n"/>
      <c r="Q142" s="19" t="n"/>
      <c r="R142" s="300" t="inlineStr">
        <is>
          <t>This will display in the node 'Audit strategy overview'</t>
        </is>
      </c>
      <c r="S142" s="344" t="n"/>
      <c r="T142" s="344" t="n"/>
      <c r="U142" s="344" t="n"/>
      <c r="V142" s="344" t="n"/>
      <c r="W142" s="64" t="n"/>
    </row>
    <row r="143" ht="15.75" customFormat="1" customHeight="1" s="65">
      <c r="B143" s="190" t="inlineStr">
        <is>
          <t>Reason for assessment of control reliance:</t>
        </is>
      </c>
      <c r="C143" s="171" t="n"/>
      <c r="D143" s="171" t="n"/>
      <c r="E143" s="171" t="n"/>
      <c r="F143" s="171" t="n"/>
      <c r="G143" s="171" t="n"/>
      <c r="H143" s="171" t="n"/>
      <c r="I143" s="171" t="n"/>
      <c r="J143" s="171" t="n"/>
      <c r="K143" s="171" t="n"/>
      <c r="L143" s="172" t="n"/>
      <c r="M143" s="172" t="n"/>
      <c r="N143" s="172" t="n"/>
      <c r="O143" s="172" t="n"/>
      <c r="P143" s="381" t="n"/>
      <c r="Q143" s="154" t="n"/>
      <c r="R143" s="298" t="n"/>
      <c r="S143" s="344" t="n"/>
      <c r="T143" s="344" t="n"/>
      <c r="U143" s="344" t="n"/>
      <c r="V143" s="344" t="n"/>
      <c r="W143" s="155" t="n"/>
      <c r="X143" s="151" t="inlineStr">
        <is>
          <t>Planned control reliance dropdown menu (to be hidden)</t>
        </is>
      </c>
    </row>
    <row r="144" ht="15" customFormat="1" customHeight="1" s="65">
      <c r="B144" s="387" t="inlineStr">
        <is>
          <t>매출채권 기말잔액에 대한 실증절차(명세서 대사 및 대손충당금 재계산)만으로 충분하고 적합한 감사증거를 확보할 수 있어 통제의 운영효과성에 의존하지 않음(실증적 접근).</t>
        </is>
      </c>
      <c r="C144" s="374" t="n"/>
      <c r="D144" s="374" t="n"/>
      <c r="E144" s="374" t="n"/>
      <c r="F144" s="374" t="n"/>
      <c r="G144" s="374" t="n"/>
      <c r="H144" s="374" t="n"/>
      <c r="I144" s="374" t="n"/>
      <c r="J144" s="374" t="n"/>
      <c r="K144" s="374" t="n"/>
      <c r="L144" s="374" t="n"/>
      <c r="M144" s="374" t="n"/>
      <c r="N144" s="374" t="n"/>
      <c r="O144" s="374" t="n"/>
      <c r="P144" s="333" t="n"/>
      <c r="Q144" s="154" t="n"/>
      <c r="R144" s="298" t="n"/>
      <c r="S144" s="344" t="n"/>
      <c r="T144" s="344" t="n"/>
      <c r="U144" s="344" t="n"/>
      <c r="V144" s="344" t="n"/>
      <c r="W144" s="132" t="n"/>
      <c r="X144" s="65" t="inlineStr">
        <is>
          <t>No reliance</t>
        </is>
      </c>
    </row>
    <row r="145" customFormat="1" s="65">
      <c r="B145" s="380" t="n"/>
      <c r="C145" s="374" t="n"/>
      <c r="D145" s="374" t="n"/>
      <c r="E145" s="374" t="n"/>
      <c r="F145" s="374" t="n"/>
      <c r="G145" s="374" t="n"/>
      <c r="H145" s="374" t="n"/>
      <c r="I145" s="374" t="n"/>
      <c r="J145" s="374" t="n"/>
      <c r="K145" s="374" t="n"/>
      <c r="L145" s="374" t="n"/>
      <c r="M145" s="374" t="n"/>
      <c r="N145" s="374" t="n"/>
      <c r="O145" s="374" t="n"/>
      <c r="P145" s="381" t="n"/>
      <c r="Q145" s="154" t="n"/>
      <c r="R145" s="298" t="n"/>
      <c r="S145" s="344" t="n"/>
      <c r="T145" s="344" t="n"/>
      <c r="U145" s="344" t="n"/>
      <c r="V145" s="344" t="n"/>
      <c r="W145" s="132" t="n"/>
      <c r="X145" s="65" t="inlineStr">
        <is>
          <t>High reliance</t>
        </is>
      </c>
    </row>
    <row r="146" ht="15.75" customFormat="1" customHeight="1" s="65" thickBot="1">
      <c r="B146" s="388" t="n"/>
      <c r="C146" s="389" t="n"/>
      <c r="D146" s="389" t="n"/>
      <c r="E146" s="389" t="n"/>
      <c r="F146" s="389" t="n"/>
      <c r="G146" s="389" t="n"/>
      <c r="H146" s="389" t="n"/>
      <c r="I146" s="389" t="n"/>
      <c r="J146" s="389" t="n"/>
      <c r="K146" s="389" t="n"/>
      <c r="L146" s="389" t="n"/>
      <c r="M146" s="389" t="n"/>
      <c r="N146" s="389" t="n"/>
      <c r="O146" s="389" t="n"/>
      <c r="P146" s="191" t="n"/>
      <c r="Q146" s="19" t="n"/>
      <c r="R146" s="267" t="n"/>
      <c r="S146" s="268" t="n"/>
      <c r="T146" s="268" t="n"/>
      <c r="U146" s="268" t="n"/>
      <c r="V146" s="268" t="n"/>
      <c r="W146" s="64" t="n"/>
    </row>
    <row r="147" customFormat="1" s="55">
      <c r="B147" s="164">
        <f>IF(H140="yes","Please document any tests of control below in the planned response section","")</f>
        <v/>
      </c>
      <c r="C147" s="164" t="n"/>
      <c r="D147" s="164" t="n"/>
      <c r="E147" s="164" t="n"/>
      <c r="F147" s="164" t="n"/>
      <c r="G147" s="164" t="n"/>
      <c r="H147" s="164" t="n"/>
      <c r="I147" s="164" t="n"/>
      <c r="J147" s="164" t="n"/>
      <c r="K147" s="164" t="n"/>
      <c r="L147" s="164" t="n"/>
      <c r="M147" s="164" t="n"/>
      <c r="N147" s="164" t="n"/>
      <c r="O147" s="164" t="n"/>
      <c r="P147" s="165" t="n"/>
      <c r="Q147" s="4" t="n"/>
      <c r="R147" s="267" t="n"/>
      <c r="S147" s="268" t="n"/>
      <c r="T147" s="268" t="n"/>
      <c r="U147" s="268" t="n"/>
      <c r="V147" s="268" t="n"/>
      <c r="W147" s="53" t="n"/>
    </row>
    <row r="148" customFormat="1" s="65">
      <c r="B148" s="1" t="n"/>
      <c r="C148" s="5" t="n"/>
      <c r="D148" s="5" t="n"/>
      <c r="E148" s="5" t="n"/>
      <c r="F148" s="5" t="n"/>
      <c r="G148" s="5" t="n"/>
      <c r="H148" s="5" t="n"/>
      <c r="I148" s="5" t="n"/>
      <c r="J148" s="5" t="n"/>
      <c r="K148" s="5" t="n"/>
      <c r="L148" s="5" t="n"/>
      <c r="M148" s="5" t="n"/>
      <c r="N148" s="5" t="n"/>
      <c r="O148" s="4" t="n"/>
      <c r="P148" s="126" t="n"/>
      <c r="Q148" s="19" t="n"/>
      <c r="R148" s="267" t="n"/>
      <c r="S148" s="268" t="n"/>
      <c r="T148" s="268" t="n"/>
      <c r="U148" s="268" t="n"/>
      <c r="V148" s="268" t="n"/>
      <c r="W148" s="64" t="n"/>
    </row>
    <row r="149" ht="31.5" customFormat="1" customHeight="1" s="119">
      <c r="B149" s="119" t="inlineStr">
        <is>
          <t>STEP 3:   RESPONSES TO THE ASSESSED RISKS OF MATERIAL MISSTATEMENT</t>
        </is>
      </c>
      <c r="P149" s="159" t="n"/>
      <c r="R149" s="267" t="n"/>
      <c r="S149" s="268" t="n"/>
      <c r="T149" s="268" t="n"/>
      <c r="U149" s="268" t="n"/>
      <c r="V149" s="268" t="n"/>
      <c r="W149" s="122" t="n"/>
    </row>
    <row r="150" ht="35.1" customFormat="1" customHeight="1" s="55" thickBot="1">
      <c r="B150" s="162" t="n"/>
      <c r="C150" s="26" t="n"/>
      <c r="D150" s="26" t="n"/>
      <c r="E150" s="26" t="n"/>
      <c r="F150" s="26" t="n"/>
      <c r="G150" s="26" t="n"/>
      <c r="H150" s="26" t="n"/>
      <c r="I150" s="26" t="n"/>
      <c r="J150" s="26" t="n"/>
      <c r="K150" s="26" t="n"/>
      <c r="L150" s="26" t="n"/>
      <c r="M150" s="26" t="n"/>
      <c r="N150" s="26" t="n"/>
      <c r="O150" s="26" t="n"/>
      <c r="P150" s="163" t="n"/>
      <c r="Q150" s="26" t="n"/>
      <c r="R150" s="267" t="n"/>
      <c r="S150" s="268" t="n"/>
      <c r="T150" s="268" t="n"/>
      <c r="U150" s="268" t="n"/>
      <c r="V150" s="268" t="n"/>
      <c r="W150" s="53" t="n"/>
    </row>
    <row r="151" ht="35.1" customFormat="1" customHeight="1" s="65">
      <c r="B151" s="181" t="inlineStr">
        <is>
          <t>Risk of material misstatement</t>
        </is>
      </c>
      <c r="C151" s="182" t="n"/>
      <c r="D151" s="182" t="n"/>
      <c r="E151" s="182" t="n"/>
      <c r="F151" s="182" t="n"/>
      <c r="G151" s="182" t="n"/>
      <c r="H151" s="182" t="n"/>
      <c r="I151" s="182" t="n"/>
      <c r="J151" s="182" t="n"/>
      <c r="K151" s="182" t="n"/>
      <c r="L151" s="182" t="n"/>
      <c r="M151" s="182" t="n"/>
      <c r="N151" s="182" t="n"/>
      <c r="O151" s="182" t="n"/>
      <c r="P151" s="183" t="n"/>
      <c r="Q151" s="143" t="n"/>
      <c r="R151" s="267" t="n"/>
      <c r="S151" s="268" t="n"/>
      <c r="T151" s="268" t="n"/>
      <c r="U151" s="268" t="n"/>
      <c r="V151" s="268" t="n"/>
      <c r="W151" s="64" t="n"/>
    </row>
    <row r="152" hidden="1" ht="35.1" customFormat="1" customHeight="1" s="65">
      <c r="B152" s="229" t="n"/>
      <c r="C152" s="36" t="n"/>
      <c r="D152" s="36" t="n"/>
      <c r="E152" s="36" t="n"/>
      <c r="F152" s="36" t="n"/>
      <c r="G152" s="36" t="n"/>
      <c r="H152" s="36" t="n"/>
      <c r="I152" s="36" t="n"/>
      <c r="J152" s="36" t="n"/>
      <c r="K152" s="36" t="n"/>
      <c r="L152" s="36" t="n"/>
      <c r="M152" s="36" t="n"/>
      <c r="N152" s="36" t="n"/>
      <c r="O152" s="36" t="n"/>
      <c r="P152" s="230" t="n"/>
      <c r="Q152" s="75" t="n"/>
      <c r="R152" s="267" t="n"/>
      <c r="S152" s="268" t="n"/>
      <c r="T152" s="268" t="n"/>
      <c r="U152" s="268" t="n"/>
      <c r="V152" s="268" t="n"/>
      <c r="W152" s="64" t="n"/>
    </row>
    <row r="153" hidden="1" ht="35.1" customFormat="1" customHeight="1" s="65">
      <c r="B153" s="231" t="inlineStr">
        <is>
          <t>Combined field for formula</t>
        </is>
      </c>
      <c r="C153" s="36" t="n"/>
      <c r="D153" s="36" t="n"/>
      <c r="E153" s="36">
        <f>L126&amp;E141</f>
        <v/>
      </c>
      <c r="F153" s="36" t="n"/>
      <c r="G153" s="36" t="n"/>
      <c r="H153" s="36" t="inlineStr">
        <is>
          <t>THIS ROW IS TO BE HIDDEN</t>
        </is>
      </c>
      <c r="I153" s="36" t="n"/>
      <c r="J153" s="36" t="n"/>
      <c r="K153" s="36" t="n"/>
      <c r="L153" s="36" t="n"/>
      <c r="M153" s="36" t="n"/>
      <c r="N153" s="36" t="n"/>
      <c r="O153" s="36" t="n"/>
      <c r="P153" s="230" t="n"/>
      <c r="Q153" s="75" t="n"/>
      <c r="R153" s="267" t="n"/>
      <c r="S153" s="268" t="n"/>
      <c r="T153" s="268" t="n"/>
      <c r="U153" s="268" t="n"/>
      <c r="V153" s="268" t="n"/>
      <c r="W153" s="64" t="n"/>
    </row>
    <row r="154" customFormat="1" s="65">
      <c r="B154" s="195" t="inlineStr">
        <is>
          <t>The risk of material misstatement associated with the accounting estimate is:</t>
        </is>
      </c>
      <c r="C154" s="68" t="n"/>
      <c r="D154" s="68" t="n"/>
      <c r="E154" s="68" t="n"/>
      <c r="F154" s="68" t="n"/>
      <c r="G154" s="68" t="n"/>
      <c r="H154" s="68" t="n"/>
      <c r="I154" s="68" t="n"/>
      <c r="J154" s="180">
        <f>IFERROR(VLOOKUP(E153,X192:AA197,4,FALSE),"")</f>
        <v/>
      </c>
      <c r="K154" s="232" t="n"/>
      <c r="L154" s="232" t="n"/>
      <c r="M154" s="232" t="n"/>
      <c r="N154" s="232" t="n"/>
      <c r="O154" s="232" t="n"/>
      <c r="P154" s="230" t="n"/>
      <c r="Q154" s="75" t="n"/>
      <c r="R154" s="267" t="n"/>
      <c r="S154" s="268" t="n"/>
      <c r="T154" s="268" t="n"/>
      <c r="U154" s="268" t="n"/>
      <c r="V154" s="268" t="n"/>
      <c r="W154" s="64" t="n"/>
    </row>
    <row r="155" hidden="1" ht="35.1" customFormat="1" customHeight="1" s="65">
      <c r="B155" s="233" t="n"/>
      <c r="C155" s="68" t="n"/>
      <c r="D155" s="68" t="n"/>
      <c r="E155" s="68" t="n"/>
      <c r="F155" s="68" t="n"/>
      <c r="G155" s="68" t="n"/>
      <c r="H155" s="68" t="n"/>
      <c r="I155" s="68" t="n"/>
      <c r="J155" s="234" t="n"/>
      <c r="K155" s="234" t="n"/>
      <c r="L155" s="234" t="n"/>
      <c r="M155" s="234" t="n"/>
      <c r="N155" s="234" t="n"/>
      <c r="O155" s="234" t="n"/>
      <c r="P155" s="235" t="n"/>
      <c r="Q155" s="75" t="n"/>
      <c r="R155" s="267" t="n"/>
      <c r="S155" s="268" t="n"/>
      <c r="T155" s="268" t="n"/>
      <c r="U155" s="268" t="n"/>
      <c r="V155" s="268" t="n"/>
      <c r="W155" s="64" t="n"/>
    </row>
    <row r="156" customFormat="1" s="65">
      <c r="B156" s="236" t="inlineStr">
        <is>
          <t>Our further audit procedures should include one or more of the following approaches:</t>
        </is>
      </c>
      <c r="C156" s="237" t="n"/>
      <c r="D156" s="238" t="n"/>
      <c r="E156" s="238" t="n"/>
      <c r="F156" s="238" t="n"/>
      <c r="G156" s="238" t="n"/>
      <c r="H156" s="238" t="n"/>
      <c r="I156" s="238" t="n"/>
      <c r="J156" s="238" t="n"/>
      <c r="K156" s="238" t="n"/>
      <c r="L156" s="238" t="n"/>
      <c r="M156" s="238" t="n"/>
      <c r="N156" s="238" t="n"/>
      <c r="O156" s="68" t="n"/>
      <c r="P156" s="348" t="inlineStr">
        <is>
          <t>Link to guidance</t>
        </is>
      </c>
      <c r="Q156" s="156" t="n"/>
      <c r="R156" s="284" t="n"/>
      <c r="S156" s="299" t="n"/>
      <c r="T156" s="299" t="n"/>
      <c r="U156" s="299" t="n"/>
      <c r="V156" s="299" t="n"/>
      <c r="W156" s="155" t="n"/>
    </row>
    <row r="157" customFormat="1" s="65">
      <c r="B157" s="236" t="n"/>
      <c r="C157" s="237" t="inlineStr">
        <is>
          <t xml:space="preserve"> - Obtaining audit evidence from events occurring up to the date of the auditor's report; [ISA (revised) 540.21]</t>
        </is>
      </c>
      <c r="D157" s="68" t="n"/>
      <c r="E157" s="68" t="n"/>
      <c r="F157" s="68" t="n"/>
      <c r="G157" s="68" t="n"/>
      <c r="H157" s="68" t="n"/>
      <c r="I157" s="68" t="n"/>
      <c r="J157" s="68" t="n"/>
      <c r="K157" s="68" t="n"/>
      <c r="L157" s="68" t="n"/>
      <c r="M157" s="68" t="n"/>
      <c r="N157" s="68" t="n"/>
      <c r="O157" s="68" t="n"/>
      <c r="P157" s="381" t="n"/>
      <c r="Q157" s="75" t="n"/>
      <c r="R157" s="267" t="n"/>
      <c r="S157" s="268" t="n"/>
      <c r="T157" s="268" t="n"/>
      <c r="U157" s="268" t="n"/>
      <c r="V157" s="268" t="n"/>
      <c r="W157" s="64" t="n"/>
    </row>
    <row r="158" customFormat="1" s="65">
      <c r="B158" s="236" t="n"/>
      <c r="C158" s="237" t="inlineStr">
        <is>
          <t xml:space="preserve"> - Testing how management made the accounting estimate; or [ISA (revised) 540.22 - 27]</t>
        </is>
      </c>
      <c r="D158" s="68" t="n"/>
      <c r="E158" s="68" t="n"/>
      <c r="F158" s="68" t="n"/>
      <c r="G158" s="68" t="n"/>
      <c r="H158" s="68" t="n"/>
      <c r="I158" s="68" t="n"/>
      <c r="J158" s="68" t="n"/>
      <c r="K158" s="68" t="n"/>
      <c r="L158" s="68" t="n"/>
      <c r="M158" s="68" t="n"/>
      <c r="N158" s="68" t="n"/>
      <c r="O158" s="68" t="n"/>
      <c r="P158" s="239" t="n"/>
      <c r="Q158" s="75" t="n"/>
      <c r="R158" s="267" t="n"/>
      <c r="S158" s="268" t="n"/>
      <c r="T158" s="268" t="n"/>
      <c r="U158" s="268" t="n"/>
      <c r="V158" s="268" t="n"/>
      <c r="W158" s="64" t="n"/>
    </row>
    <row r="159" customFormat="1" s="65">
      <c r="B159" s="236" t="n"/>
      <c r="C159" s="237" t="inlineStr">
        <is>
          <t xml:space="preserve"> - Developing an auditor's point estimate or range [ ISA (revised) 540.28]</t>
        </is>
      </c>
      <c r="D159" s="68" t="n"/>
      <c r="E159" s="68" t="n"/>
      <c r="F159" s="68" t="n"/>
      <c r="G159" s="68" t="n"/>
      <c r="H159" s="68" t="n"/>
      <c r="I159" s="68" t="n"/>
      <c r="J159" s="68" t="n"/>
      <c r="K159" s="68" t="n"/>
      <c r="L159" s="68" t="n"/>
      <c r="M159" s="68" t="n"/>
      <c r="N159" s="68" t="n"/>
      <c r="O159" s="68" t="n"/>
      <c r="P159" s="239" t="n"/>
      <c r="Q159" s="75" t="n"/>
      <c r="R159" s="267" t="n"/>
      <c r="S159" s="268" t="n"/>
      <c r="T159" s="268" t="n"/>
      <c r="U159" s="268" t="n"/>
      <c r="V159" s="268" t="n"/>
      <c r="W159" s="64" t="n"/>
    </row>
    <row r="160" customFormat="1" s="65">
      <c r="B160" s="195" t="inlineStr">
        <is>
          <t>Planned responses [ISA (revised) 540.18]</t>
        </is>
      </c>
      <c r="C160" s="238" t="n"/>
      <c r="D160" s="238" t="n"/>
      <c r="E160" s="238" t="n"/>
      <c r="F160" s="238" t="n"/>
      <c r="G160" s="238" t="n"/>
      <c r="H160" s="238" t="n"/>
      <c r="I160" s="238" t="n"/>
      <c r="J160" s="238" t="n"/>
      <c r="K160" s="238" t="n"/>
      <c r="L160" s="238" t="n"/>
      <c r="M160" s="238" t="n"/>
      <c r="N160" s="238" t="n"/>
      <c r="O160" s="238" t="n"/>
      <c r="P160" s="239" t="n"/>
      <c r="Q160" s="75" t="n"/>
      <c r="R160" s="269" t="n"/>
      <c r="S160" s="270" t="n"/>
      <c r="T160" s="270" t="n"/>
      <c r="U160" s="271" t="n"/>
      <c r="V160" s="271" t="n"/>
      <c r="W160" s="132" t="n"/>
    </row>
    <row r="161" customFormat="1" s="65">
      <c r="B161" s="382" t="inlineStr">
        <is>
          <t>[접근법: 경영진이 추정치를 산출한 방법의 검토 - ISA 540.22~27]
① 회사의 대손충당금 설정정책을 검토하고 회계기준 위배 여부를 확인함. ② 매출채권 명세서·연령분석표를 입수하여 채권 분류의 적정성을 검토함. ③ 설정대상 채권의 완전성을 검토함(BS상 매출채권과 설정대상 채권 대사, 선수금 재분류분 제외 확인). ④ 기말잔액 × 1% 재계산 검증 수행: 회사 설정액 65,944,315원 대 감사인 재계산액 70,889,613원, 차이 4,945,298원은 선수금 재분류 채권 제외에 기인하며 중요하지 않아 Minor pass. 결론: 대손충당금은 중요성 관점에서 적정하게 계상됨(Fairly stated).</t>
        </is>
      </c>
      <c r="C161" s="374" t="n"/>
      <c r="D161" s="374" t="n"/>
      <c r="E161" s="374" t="n"/>
      <c r="F161" s="374" t="n"/>
      <c r="G161" s="374" t="n"/>
      <c r="H161" s="374" t="n"/>
      <c r="I161" s="374" t="n"/>
      <c r="J161" s="374" t="n"/>
      <c r="K161" s="374" t="n"/>
      <c r="L161" s="374" t="n"/>
      <c r="M161" s="374" t="n"/>
      <c r="N161" s="374" t="n"/>
      <c r="O161" s="374" t="n"/>
      <c r="P161" s="346" t="inlineStr">
        <is>
          <t>Link to guidance</t>
        </is>
      </c>
      <c r="Q161" s="75" t="n"/>
      <c r="R161" s="269" t="n"/>
      <c r="S161" s="270" t="n"/>
      <c r="T161" s="270" t="n"/>
      <c r="U161" s="271" t="n"/>
      <c r="V161" s="271" t="n"/>
      <c r="W161" s="132" t="n"/>
    </row>
    <row r="162" ht="15" customFormat="1" customHeight="1" s="65">
      <c r="B162" s="380" t="n"/>
      <c r="C162" s="374" t="n"/>
      <c r="D162" s="374" t="n"/>
      <c r="E162" s="374" t="n"/>
      <c r="F162" s="374" t="n"/>
      <c r="G162" s="374" t="n"/>
      <c r="H162" s="374" t="n"/>
      <c r="I162" s="374" t="n"/>
      <c r="J162" s="374" t="n"/>
      <c r="K162" s="374" t="n"/>
      <c r="L162" s="374" t="n"/>
      <c r="M162" s="374" t="n"/>
      <c r="N162" s="374" t="n"/>
      <c r="O162" s="374" t="n"/>
      <c r="P162" s="381" t="n"/>
      <c r="Q162" s="75" t="n"/>
      <c r="R162" s="344" t="inlineStr">
        <is>
          <t xml:space="preserve">Our planned response should be created in the work programme of the applicable SCOTABD. To access the work programme please see the screen 'Audit Strategy Overview'. </t>
        </is>
      </c>
      <c r="W162" s="132" t="n"/>
    </row>
    <row r="163" customFormat="1" s="65">
      <c r="B163" s="380" t="n"/>
      <c r="C163" s="374" t="n"/>
      <c r="D163" s="374" t="n"/>
      <c r="E163" s="374" t="n"/>
      <c r="F163" s="374" t="n"/>
      <c r="G163" s="374" t="n"/>
      <c r="H163" s="374" t="n"/>
      <c r="I163" s="374" t="n"/>
      <c r="J163" s="374" t="n"/>
      <c r="K163" s="374" t="n"/>
      <c r="L163" s="374" t="n"/>
      <c r="M163" s="374" t="n"/>
      <c r="N163" s="374" t="n"/>
      <c r="O163" s="374" t="n"/>
      <c r="P163" s="240" t="n"/>
      <c r="Q163" s="75" t="n"/>
      <c r="W163" s="64" t="n"/>
    </row>
    <row r="164" ht="15" customFormat="1" customHeight="1" s="65">
      <c r="B164" s="380" t="n"/>
      <c r="C164" s="374" t="n"/>
      <c r="D164" s="374" t="n"/>
      <c r="E164" s="374" t="n"/>
      <c r="F164" s="374" t="n"/>
      <c r="G164" s="374" t="n"/>
      <c r="H164" s="374" t="n"/>
      <c r="I164" s="374" t="n"/>
      <c r="J164" s="374" t="n"/>
      <c r="K164" s="374" t="n"/>
      <c r="L164" s="374" t="n"/>
      <c r="M164" s="374" t="n"/>
      <c r="N164" s="374" t="n"/>
      <c r="O164" s="374" t="n"/>
      <c r="P164" s="240" t="n"/>
      <c r="Q164" s="75" t="n"/>
      <c r="W164" s="64" t="n"/>
    </row>
    <row r="165" ht="15" customFormat="1" customHeight="1" s="65">
      <c r="B165" s="380" t="n"/>
      <c r="C165" s="374" t="n"/>
      <c r="D165" s="374" t="n"/>
      <c r="E165" s="374" t="n"/>
      <c r="F165" s="374" t="n"/>
      <c r="G165" s="374" t="n"/>
      <c r="H165" s="374" t="n"/>
      <c r="I165" s="374" t="n"/>
      <c r="J165" s="374" t="n"/>
      <c r="K165" s="374" t="n"/>
      <c r="L165" s="374" t="n"/>
      <c r="M165" s="374" t="n"/>
      <c r="N165" s="374" t="n"/>
      <c r="O165" s="374" t="n"/>
      <c r="P165" s="240" t="n"/>
      <c r="Q165" s="75" t="n"/>
      <c r="W165" s="64" t="n"/>
    </row>
    <row r="166" ht="15" customFormat="1" customHeight="1" s="65">
      <c r="B166" s="380" t="n"/>
      <c r="C166" s="374" t="n"/>
      <c r="D166" s="374" t="n"/>
      <c r="E166" s="374" t="n"/>
      <c r="F166" s="374" t="n"/>
      <c r="G166" s="374" t="n"/>
      <c r="H166" s="374" t="n"/>
      <c r="I166" s="374" t="n"/>
      <c r="J166" s="374" t="n"/>
      <c r="K166" s="374" t="n"/>
      <c r="L166" s="374" t="n"/>
      <c r="M166" s="374" t="n"/>
      <c r="N166" s="374" t="n"/>
      <c r="O166" s="374" t="n"/>
      <c r="P166" s="240" t="n"/>
      <c r="Q166" s="75" t="n"/>
      <c r="R166" s="267" t="n"/>
      <c r="S166" s="268" t="n"/>
      <c r="T166" s="268" t="n"/>
      <c r="U166" s="268" t="n"/>
      <c r="V166" s="268" t="n"/>
      <c r="W166" s="64" t="n"/>
    </row>
    <row r="167" customFormat="1" s="65">
      <c r="B167" s="380" t="n"/>
      <c r="C167" s="374" t="n"/>
      <c r="D167" s="374" t="n"/>
      <c r="E167" s="374" t="n"/>
      <c r="F167" s="374" t="n"/>
      <c r="G167" s="374" t="n"/>
      <c r="H167" s="374" t="n"/>
      <c r="I167" s="374" t="n"/>
      <c r="J167" s="374" t="n"/>
      <c r="K167" s="374" t="n"/>
      <c r="L167" s="374" t="n"/>
      <c r="M167" s="374" t="n"/>
      <c r="N167" s="374" t="n"/>
      <c r="O167" s="374" t="n"/>
      <c r="P167" s="240" t="n"/>
      <c r="Q167" s="75" t="n"/>
      <c r="R167" s="267" t="n"/>
      <c r="S167" s="268" t="n"/>
      <c r="T167" s="268" t="n"/>
      <c r="U167" s="268" t="n"/>
      <c r="V167" s="268" t="n"/>
      <c r="W167" s="64" t="n"/>
    </row>
    <row r="168" customFormat="1" s="65">
      <c r="B168" s="380" t="n"/>
      <c r="C168" s="374" t="n"/>
      <c r="D168" s="374" t="n"/>
      <c r="E168" s="374" t="n"/>
      <c r="F168" s="374" t="n"/>
      <c r="G168" s="374" t="n"/>
      <c r="H168" s="374" t="n"/>
      <c r="I168" s="374" t="n"/>
      <c r="J168" s="374" t="n"/>
      <c r="K168" s="374" t="n"/>
      <c r="L168" s="374" t="n"/>
      <c r="M168" s="374" t="n"/>
      <c r="N168" s="374" t="n"/>
      <c r="O168" s="374" t="n"/>
      <c r="P168" s="240" t="n"/>
      <c r="Q168" s="75" t="n"/>
      <c r="R168" s="267" t="n"/>
      <c r="S168" s="268" t="n"/>
      <c r="T168" s="268" t="n"/>
      <c r="U168" s="268" t="n"/>
      <c r="V168" s="268" t="n"/>
      <c r="W168" s="64" t="n"/>
    </row>
    <row r="169" ht="14.45" customFormat="1" customHeight="1" s="65">
      <c r="B169" s="233" t="inlineStr">
        <is>
          <t>We have added these procedures to the work programme at reference:</t>
        </is>
      </c>
      <c r="C169" s="68" t="n"/>
      <c r="D169" s="68" t="n"/>
      <c r="E169" s="68" t="n"/>
      <c r="F169" s="68" t="n"/>
      <c r="G169" s="68" t="n"/>
      <c r="H169" s="68" t="n"/>
      <c r="I169" s="334" t="n"/>
      <c r="J169" s="374" t="n"/>
      <c r="K169" s="374" t="n"/>
      <c r="L169" s="374" t="n"/>
      <c r="M169" s="374" t="n"/>
      <c r="N169" s="374" t="n"/>
      <c r="O169" s="374" t="n"/>
      <c r="P169" s="241" t="n"/>
      <c r="Q169" s="75" t="n"/>
      <c r="R169" s="267" t="n"/>
      <c r="S169" s="268" t="n"/>
      <c r="T169" s="268" t="n"/>
      <c r="U169" s="268" t="n"/>
      <c r="V169" s="268" t="n"/>
      <c r="W169" s="64" t="n"/>
    </row>
    <row r="170" customFormat="1" s="158">
      <c r="B170" s="390" t="inlineStr">
        <is>
          <t>B1-3 (매출채권 SCOTABD Work Programme)</t>
        </is>
      </c>
      <c r="C170" s="243" t="n"/>
      <c r="D170" s="243" t="n"/>
      <c r="E170" s="243" t="n"/>
      <c r="F170" s="243" t="n"/>
      <c r="G170" s="243" t="n"/>
      <c r="H170" s="243" t="n"/>
      <c r="I170" s="243" t="n"/>
      <c r="J170" s="243" t="n"/>
      <c r="K170" s="243" t="n"/>
      <c r="L170" s="243" t="n"/>
      <c r="M170" s="243" t="n"/>
      <c r="N170" s="243" t="n"/>
      <c r="O170" s="243" t="n"/>
      <c r="P170" s="241" t="n"/>
      <c r="Q170" s="75" t="n"/>
      <c r="R170" s="267" t="n"/>
      <c r="S170" s="268" t="n"/>
      <c r="T170" s="268" t="n"/>
      <c r="U170" s="268" t="n"/>
      <c r="V170" s="268" t="n"/>
      <c r="W170" s="157" t="n"/>
    </row>
    <row r="171" ht="15.75" customFormat="1" customHeight="1" s="65" thickBot="1">
      <c r="B171" s="391" t="inlineStr">
        <is>
          <t>상기 절차는 매출채권(SCOTABD B) 감사조서 B1-3에 문서화되어 있으며, 결과 특이사항 없음.</t>
        </is>
      </c>
      <c r="C171" s="244" t="n"/>
      <c r="D171" s="244" t="n"/>
      <c r="E171" s="244" t="n"/>
      <c r="F171" s="244" t="n"/>
      <c r="G171" s="244" t="n"/>
      <c r="H171" s="244" t="n"/>
      <c r="I171" s="244" t="n"/>
      <c r="J171" s="244" t="n"/>
      <c r="K171" s="244" t="n"/>
      <c r="L171" s="244" t="n"/>
      <c r="M171" s="244" t="n"/>
      <c r="N171" s="244" t="n"/>
      <c r="O171" s="244" t="n"/>
      <c r="P171" s="245" t="n"/>
      <c r="Q171" s="75" t="n"/>
      <c r="R171" s="267" t="n"/>
      <c r="S171" s="268" t="n"/>
      <c r="T171" s="268" t="n"/>
      <c r="U171" s="268" t="n"/>
      <c r="V171" s="268" t="n"/>
      <c r="W171" s="64" t="n"/>
    </row>
    <row r="172" ht="27" customFormat="1" customHeight="1" s="55" thickBot="1">
      <c r="B172" s="160" t="n"/>
      <c r="C172" s="26" t="n"/>
      <c r="D172" s="26" t="n"/>
      <c r="E172" s="26" t="n"/>
      <c r="F172" s="26" t="n"/>
      <c r="G172" s="26" t="n"/>
      <c r="H172" s="26" t="n"/>
      <c r="I172" s="26" t="n"/>
      <c r="J172" s="26" t="n"/>
      <c r="K172" s="26" t="n"/>
      <c r="L172" s="26" t="n"/>
      <c r="M172" s="26" t="n"/>
      <c r="N172" s="26" t="n"/>
      <c r="O172" s="26" t="n"/>
      <c r="P172" s="161" t="n"/>
      <c r="Q172" s="26" t="n"/>
      <c r="R172" s="267" t="n"/>
      <c r="S172" s="268" t="n"/>
      <c r="T172" s="268" t="n"/>
      <c r="U172" s="268" t="n"/>
      <c r="V172" s="268" t="n"/>
      <c r="W172" s="53" t="n"/>
    </row>
    <row r="173" ht="24.6" customFormat="1" customHeight="1" s="65">
      <c r="B173" s="392" t="inlineStr">
        <is>
          <t>General implications</t>
        </is>
      </c>
      <c r="C173" s="393" t="n"/>
      <c r="D173" s="393" t="n"/>
      <c r="E173" s="393" t="n"/>
      <c r="F173" s="393" t="n"/>
      <c r="G173" s="393" t="n"/>
      <c r="H173" s="393" t="n"/>
      <c r="I173" s="393" t="n"/>
      <c r="J173" s="393" t="n"/>
      <c r="K173" s="393" t="n"/>
      <c r="L173" s="393" t="n"/>
      <c r="M173" s="393" t="n"/>
      <c r="N173" s="393" t="n"/>
      <c r="O173" s="393" t="n"/>
      <c r="P173" s="394" t="n"/>
      <c r="Q173" s="75" t="n"/>
      <c r="R173" s="267" t="n"/>
      <c r="S173" s="268" t="n"/>
      <c r="T173" s="268" t="n"/>
      <c r="U173" s="268" t="n"/>
      <c r="V173" s="268" t="n"/>
      <c r="W173" s="64" t="n"/>
    </row>
    <row r="174" customFormat="1" s="65">
      <c r="B174" s="209" t="inlineStr">
        <is>
          <t>Further considerations where the accounting estimate is at the higher end of the inherent risk spectrum</t>
        </is>
      </c>
      <c r="C174" s="68" t="n"/>
      <c r="D174" s="68" t="n"/>
      <c r="E174" s="68" t="n"/>
      <c r="F174" s="68" t="n"/>
      <c r="G174" s="68" t="n"/>
      <c r="H174" s="68" t="n"/>
      <c r="I174" s="68" t="n"/>
      <c r="J174" s="68" t="n"/>
      <c r="K174" s="68" t="n"/>
      <c r="L174" s="68" t="n"/>
      <c r="M174" s="68" t="n"/>
      <c r="N174" s="68" t="n"/>
      <c r="O174" s="68" t="n"/>
      <c r="P174" s="239" t="n"/>
      <c r="Q174" s="75" t="n"/>
      <c r="R174" s="267" t="n"/>
      <c r="S174" s="268" t="n"/>
      <c r="T174" s="268" t="n"/>
      <c r="U174" s="268" t="n"/>
      <c r="V174" s="268" t="n"/>
      <c r="W174" s="64" t="n"/>
    </row>
    <row r="175" ht="15.75" customFormat="1" customHeight="1" s="65">
      <c r="B175" s="209" t="inlineStr">
        <is>
          <t xml:space="preserve">The below should be considered for all accounting estimates, however there should be particular focus for those that have significant or enhanced inherent risk. </t>
        </is>
      </c>
      <c r="C175" s="68" t="n"/>
      <c r="D175" s="68" t="n"/>
      <c r="E175" s="68" t="n"/>
      <c r="F175" s="68" t="n"/>
      <c r="G175" s="68" t="n"/>
      <c r="H175" s="68" t="n"/>
      <c r="I175" s="68" t="n"/>
      <c r="J175" s="68" t="n"/>
      <c r="K175" s="68" t="n"/>
      <c r="L175" s="68" t="n"/>
      <c r="M175" s="68" t="n"/>
      <c r="N175" s="68" t="n"/>
      <c r="O175" s="68" t="n"/>
      <c r="P175" s="246" t="n"/>
      <c r="Q175" s="75" t="n"/>
      <c r="R175" s="267" t="n"/>
      <c r="S175" s="268" t="n"/>
      <c r="T175" s="268" t="n"/>
      <c r="U175" s="268" t="n"/>
      <c r="V175" s="268" t="n"/>
      <c r="W175" s="64" t="n"/>
    </row>
    <row r="176" customFormat="1" s="65">
      <c r="B176" s="209" t="inlineStr">
        <is>
          <t>Increased professional scepticism:</t>
        </is>
      </c>
      <c r="C176" s="68" t="n"/>
      <c r="D176" s="68" t="n"/>
      <c r="E176" s="68" t="n"/>
      <c r="F176" s="68" t="n"/>
      <c r="G176" s="68" t="n"/>
      <c r="H176" s="68" t="n"/>
      <c r="I176" s="68" t="n"/>
      <c r="J176" s="68" t="n"/>
      <c r="K176" s="68" t="n"/>
      <c r="L176" s="68" t="n"/>
      <c r="M176" s="68" t="n"/>
      <c r="N176" s="68" t="n"/>
      <c r="O176" s="68" t="n"/>
      <c r="P176" s="239" t="n"/>
      <c r="Q176" s="75" t="n"/>
      <c r="R176" s="267" t="n"/>
      <c r="S176" s="268" t="n"/>
      <c r="T176" s="268" t="n"/>
      <c r="U176" s="268" t="n"/>
      <c r="V176" s="268" t="n"/>
      <c r="W176" s="64" t="n"/>
    </row>
    <row r="177" ht="15" customFormat="1" customHeight="1" s="65">
      <c r="B177" s="379" t="inlineStr">
        <is>
          <t>표준위험 수준에 상응하는 전문가적 회의주의를 적용함. 회사 설정정책의 근거(단기 회수·보증금·대손경험)를 비판적으로 검토하고 재계산으로 검증함.</t>
        </is>
      </c>
      <c r="C177" s="374" t="n"/>
      <c r="D177" s="374" t="n"/>
      <c r="E177" s="374" t="n"/>
      <c r="F177" s="374" t="n"/>
      <c r="G177" s="374" t="n"/>
      <c r="H177" s="374" t="n"/>
      <c r="I177" s="374" t="n"/>
      <c r="J177" s="374" t="n"/>
      <c r="K177" s="374" t="n"/>
      <c r="L177" s="374" t="n"/>
      <c r="M177" s="374" t="n"/>
      <c r="N177" s="374" t="n"/>
      <c r="O177" s="374" t="n"/>
      <c r="P177" s="346" t="inlineStr">
        <is>
          <t>Link to guidance</t>
        </is>
      </c>
      <c r="Q177" s="75" t="n"/>
      <c r="R177" s="269" t="n"/>
      <c r="S177" s="270" t="n"/>
      <c r="T177" s="270" t="n"/>
      <c r="U177" s="271" t="n"/>
      <c r="V177" s="271" t="n"/>
      <c r="W177" s="132" t="n"/>
    </row>
    <row r="178" ht="15" customFormat="1" customHeight="1" s="65">
      <c r="B178" s="380" t="n"/>
      <c r="C178" s="374" t="n"/>
      <c r="D178" s="374" t="n"/>
      <c r="E178" s="374" t="n"/>
      <c r="F178" s="374" t="n"/>
      <c r="G178" s="374" t="n"/>
      <c r="H178" s="374" t="n"/>
      <c r="I178" s="374" t="n"/>
      <c r="J178" s="374" t="n"/>
      <c r="K178" s="374" t="n"/>
      <c r="L178" s="374" t="n"/>
      <c r="M178" s="374" t="n"/>
      <c r="N178" s="374" t="n"/>
      <c r="O178" s="374" t="n"/>
      <c r="P178" s="381" t="n"/>
      <c r="Q178" s="75" t="n"/>
      <c r="R178" s="269" t="n"/>
      <c r="S178" s="270" t="n"/>
      <c r="T178" s="270" t="n"/>
      <c r="U178" s="271" t="n"/>
      <c r="V178" s="271" t="n"/>
      <c r="W178" s="132" t="n"/>
    </row>
    <row r="179" customFormat="1" s="65">
      <c r="B179" s="380" t="n"/>
      <c r="C179" s="374" t="n"/>
      <c r="D179" s="374" t="n"/>
      <c r="E179" s="374" t="n"/>
      <c r="F179" s="374" t="n"/>
      <c r="G179" s="374" t="n"/>
      <c r="H179" s="374" t="n"/>
      <c r="I179" s="374" t="n"/>
      <c r="J179" s="374" t="n"/>
      <c r="K179" s="374" t="n"/>
      <c r="L179" s="374" t="n"/>
      <c r="M179" s="374" t="n"/>
      <c r="N179" s="374" t="n"/>
      <c r="O179" s="374" t="n"/>
      <c r="P179" s="239" t="n"/>
      <c r="Q179" s="75" t="n"/>
      <c r="R179" s="267" t="n"/>
      <c r="S179" s="268" t="n"/>
      <c r="T179" s="268" t="n"/>
      <c r="U179" s="268" t="n"/>
      <c r="V179" s="268" t="n"/>
      <c r="W179" s="64" t="n"/>
    </row>
    <row r="180" customFormat="1" s="65">
      <c r="B180" s="209" t="inlineStr">
        <is>
          <t>Consideration of method of testing:</t>
        </is>
      </c>
      <c r="C180" s="68" t="n"/>
      <c r="D180" s="68" t="n"/>
      <c r="E180" s="68" t="n"/>
      <c r="F180" s="68" t="n"/>
      <c r="G180" s="68" t="n"/>
      <c r="H180" s="68" t="n"/>
      <c r="I180" s="68" t="n"/>
      <c r="J180" s="68" t="n"/>
      <c r="K180" s="68" t="n"/>
      <c r="L180" s="68" t="n"/>
      <c r="M180" s="68" t="n"/>
      <c r="N180" s="68" t="n"/>
      <c r="O180" s="68" t="n"/>
      <c r="P180" s="239" t="n"/>
      <c r="Q180" s="75" t="n"/>
      <c r="R180" s="267" t="n"/>
      <c r="S180" s="268" t="n"/>
      <c r="T180" s="268" t="n"/>
      <c r="U180" s="268" t="n"/>
      <c r="V180" s="268" t="n"/>
      <c r="W180" s="64" t="n"/>
    </row>
    <row r="181" ht="15" customFormat="1" customHeight="1" s="65">
      <c r="B181" s="379" t="inlineStr">
        <is>
          <t>실증적 재계산 및 명세서 대사를 중심으로 테스트를 수행함. 통제 의존 없이 기말잔액 전체에 대한 재계산으로 평가주장을 검증함.</t>
        </is>
      </c>
      <c r="C181" s="374" t="n"/>
      <c r="D181" s="374" t="n"/>
      <c r="E181" s="374" t="n"/>
      <c r="F181" s="374" t="n"/>
      <c r="G181" s="374" t="n"/>
      <c r="H181" s="374" t="n"/>
      <c r="I181" s="374" t="n"/>
      <c r="J181" s="374" t="n"/>
      <c r="K181" s="374" t="n"/>
      <c r="L181" s="374" t="n"/>
      <c r="M181" s="374" t="n"/>
      <c r="N181" s="374" t="n"/>
      <c r="O181" s="374" t="n"/>
      <c r="P181" s="346" t="inlineStr">
        <is>
          <t>Link to guidance</t>
        </is>
      </c>
      <c r="Q181" s="75" t="n"/>
      <c r="R181" s="269" t="n"/>
      <c r="S181" s="270" t="n"/>
      <c r="T181" s="270" t="n"/>
      <c r="U181" s="271" t="n"/>
      <c r="V181" s="271" t="n"/>
      <c r="W181" s="132" t="n"/>
    </row>
    <row r="182" customFormat="1" s="65">
      <c r="B182" s="380" t="n"/>
      <c r="C182" s="374" t="n"/>
      <c r="D182" s="374" t="n"/>
      <c r="E182" s="374" t="n"/>
      <c r="F182" s="374" t="n"/>
      <c r="G182" s="374" t="n"/>
      <c r="H182" s="374" t="n"/>
      <c r="I182" s="374" t="n"/>
      <c r="J182" s="374" t="n"/>
      <c r="K182" s="374" t="n"/>
      <c r="L182" s="374" t="n"/>
      <c r="M182" s="374" t="n"/>
      <c r="N182" s="374" t="n"/>
      <c r="O182" s="374" t="n"/>
      <c r="P182" s="381" t="n"/>
      <c r="Q182" s="75" t="n"/>
      <c r="R182" s="269" t="n"/>
      <c r="S182" s="270" t="n"/>
      <c r="T182" s="270" t="n"/>
      <c r="U182" s="271" t="n"/>
      <c r="V182" s="271" t="n"/>
      <c r="W182" s="132" t="n"/>
    </row>
    <row r="183" ht="15" customFormat="1" customHeight="1" s="65">
      <c r="B183" s="380" t="n"/>
      <c r="C183" s="374" t="n"/>
      <c r="D183" s="374" t="n"/>
      <c r="E183" s="374" t="n"/>
      <c r="F183" s="374" t="n"/>
      <c r="G183" s="374" t="n"/>
      <c r="H183" s="374" t="n"/>
      <c r="I183" s="374" t="n"/>
      <c r="J183" s="374" t="n"/>
      <c r="K183" s="374" t="n"/>
      <c r="L183" s="374" t="n"/>
      <c r="M183" s="374" t="n"/>
      <c r="N183" s="374" t="n"/>
      <c r="O183" s="374" t="n"/>
      <c r="P183" s="239" t="n"/>
      <c r="Q183" s="75" t="n"/>
      <c r="R183" s="267" t="n"/>
      <c r="S183" s="268" t="n"/>
      <c r="T183" s="268" t="n"/>
      <c r="U183" s="268" t="n"/>
      <c r="V183" s="268" t="n"/>
      <c r="W183" s="64" t="n"/>
    </row>
    <row r="184" customFormat="1" s="65">
      <c r="B184" s="209" t="inlineStr">
        <is>
          <t>Engagement team appropriate resourcing:</t>
        </is>
      </c>
      <c r="C184" s="68" t="n"/>
      <c r="D184" s="68" t="n"/>
      <c r="E184" s="68" t="n"/>
      <c r="F184" s="68" t="n"/>
      <c r="G184" s="68" t="n"/>
      <c r="H184" s="68" t="n"/>
      <c r="I184" s="68" t="n"/>
      <c r="J184" s="68" t="n"/>
      <c r="K184" s="68" t="n"/>
      <c r="L184" s="68" t="n"/>
      <c r="M184" s="68" t="n"/>
      <c r="N184" s="68" t="n"/>
      <c r="O184" s="68" t="n"/>
      <c r="P184" s="239" t="n"/>
      <c r="Q184" s="75" t="n"/>
      <c r="R184" s="267" t="n"/>
      <c r="S184" s="268" t="n"/>
      <c r="T184" s="268" t="n"/>
      <c r="U184" s="268" t="n"/>
      <c r="V184" s="268" t="n"/>
      <c r="W184" s="64" t="n"/>
    </row>
    <row r="185" ht="15" customFormat="1" customHeight="1" s="65">
      <c r="B185" s="379" t="inlineStr">
        <is>
          <t>표준위험 수준으로 통상적 감사팀 구성으로 충분하며 별도의 추가 자원은 필요하지 않음.</t>
        </is>
      </c>
      <c r="C185" s="374" t="n"/>
      <c r="D185" s="374" t="n"/>
      <c r="E185" s="374" t="n"/>
      <c r="F185" s="374" t="n"/>
      <c r="G185" s="374" t="n"/>
      <c r="H185" s="374" t="n"/>
      <c r="I185" s="374" t="n"/>
      <c r="J185" s="374" t="n"/>
      <c r="K185" s="374" t="n"/>
      <c r="L185" s="374" t="n"/>
      <c r="M185" s="374" t="n"/>
      <c r="N185" s="374" t="n"/>
      <c r="O185" s="374" t="n"/>
      <c r="P185" s="346" t="inlineStr">
        <is>
          <t>Link to guidance</t>
        </is>
      </c>
      <c r="Q185" s="75" t="n"/>
      <c r="R185" s="345" t="inlineStr">
        <is>
          <t>Please ensure that all audit team members are documented within the screen 'Engagement'</t>
        </is>
      </c>
      <c r="W185" s="132" t="n"/>
    </row>
    <row r="186" customFormat="1" s="65">
      <c r="B186" s="380" t="n"/>
      <c r="C186" s="374" t="n"/>
      <c r="D186" s="374" t="n"/>
      <c r="E186" s="374" t="n"/>
      <c r="F186" s="374" t="n"/>
      <c r="G186" s="374" t="n"/>
      <c r="H186" s="374" t="n"/>
      <c r="I186" s="374" t="n"/>
      <c r="J186" s="374" t="n"/>
      <c r="K186" s="374" t="n"/>
      <c r="L186" s="374" t="n"/>
      <c r="M186" s="374" t="n"/>
      <c r="N186" s="374" t="n"/>
      <c r="O186" s="374" t="n"/>
      <c r="P186" s="381" t="n"/>
      <c r="Q186" s="75" t="n"/>
      <c r="W186" s="132" t="n"/>
    </row>
    <row r="187" customFormat="1" s="65">
      <c r="B187" s="380" t="n"/>
      <c r="C187" s="374" t="n"/>
      <c r="D187" s="374" t="n"/>
      <c r="E187" s="374" t="n"/>
      <c r="F187" s="374" t="n"/>
      <c r="G187" s="374" t="n"/>
      <c r="H187" s="374" t="n"/>
      <c r="I187" s="374" t="n"/>
      <c r="J187" s="374" t="n"/>
      <c r="K187" s="374" t="n"/>
      <c r="L187" s="374" t="n"/>
      <c r="M187" s="374" t="n"/>
      <c r="N187" s="374" t="n"/>
      <c r="O187" s="374" t="n"/>
      <c r="P187" s="239" t="n"/>
      <c r="Q187" s="75" t="n"/>
      <c r="W187" s="64" t="n"/>
    </row>
    <row r="188" customFormat="1" s="65">
      <c r="B188" s="209" t="inlineStr">
        <is>
          <t>Additional supervision:</t>
        </is>
      </c>
      <c r="C188" s="68" t="n"/>
      <c r="D188" s="68" t="n"/>
      <c r="E188" s="68" t="n"/>
      <c r="F188" s="68" t="n"/>
      <c r="G188" s="68" t="n"/>
      <c r="H188" s="68" t="n"/>
      <c r="I188" s="68" t="n"/>
      <c r="J188" s="68" t="n"/>
      <c r="K188" s="68" t="n"/>
      <c r="L188" s="68" t="n"/>
      <c r="M188" s="68" t="n"/>
      <c r="N188" s="68" t="n"/>
      <c r="O188" s="68" t="n"/>
      <c r="P188" s="239" t="n"/>
      <c r="Q188" s="75" t="n"/>
      <c r="W188" s="64" t="n"/>
    </row>
    <row r="189" ht="15" customFormat="1" customHeight="1" s="65">
      <c r="B189" s="395" t="inlineStr">
        <is>
          <t>표준위험 수준에 상응하는 통상적 검토·감독을 수행함.</t>
        </is>
      </c>
      <c r="C189" s="374" t="n"/>
      <c r="D189" s="374" t="n"/>
      <c r="E189" s="374" t="n"/>
      <c r="F189" s="374" t="n"/>
      <c r="G189" s="374" t="n"/>
      <c r="H189" s="374" t="n"/>
      <c r="I189" s="374" t="n"/>
      <c r="J189" s="374" t="n"/>
      <c r="K189" s="374" t="n"/>
      <c r="L189" s="374" t="n"/>
      <c r="M189" s="374" t="n"/>
      <c r="N189" s="374" t="n"/>
      <c r="O189" s="374" t="n"/>
      <c r="P189" s="346" t="inlineStr">
        <is>
          <t>Link to guidance</t>
        </is>
      </c>
      <c r="Q189" s="75" t="n"/>
      <c r="W189" s="132" t="n"/>
    </row>
    <row r="190" customFormat="1" s="65">
      <c r="B190" s="380" t="n"/>
      <c r="C190" s="374" t="n"/>
      <c r="D190" s="374" t="n"/>
      <c r="E190" s="374" t="n"/>
      <c r="F190" s="374" t="n"/>
      <c r="G190" s="374" t="n"/>
      <c r="H190" s="374" t="n"/>
      <c r="I190" s="374" t="n"/>
      <c r="J190" s="374" t="n"/>
      <c r="K190" s="374" t="n"/>
      <c r="L190" s="374" t="n"/>
      <c r="M190" s="374" t="n"/>
      <c r="N190" s="374" t="n"/>
      <c r="O190" s="374" t="n"/>
      <c r="P190" s="381" t="n"/>
      <c r="Q190" s="75" t="n"/>
      <c r="W190" s="132" t="n"/>
    </row>
    <row r="191" ht="15.75" customHeight="1" thickBot="1">
      <c r="A191" s="65" t="n"/>
      <c r="B191" s="388" t="n"/>
      <c r="C191" s="389" t="n"/>
      <c r="D191" s="389" t="n"/>
      <c r="E191" s="389" t="n"/>
      <c r="F191" s="389" t="n"/>
      <c r="G191" s="389" t="n"/>
      <c r="H191" s="389" t="n"/>
      <c r="I191" s="389" t="n"/>
      <c r="J191" s="389" t="n"/>
      <c r="K191" s="389" t="n"/>
      <c r="L191" s="389" t="n"/>
      <c r="M191" s="389" t="n"/>
      <c r="N191" s="389" t="n"/>
      <c r="O191" s="389" t="n"/>
      <c r="P191" s="247" t="n"/>
      <c r="Q191" s="75" t="n"/>
    </row>
    <row r="192" ht="15" customFormat="1" customHeight="1" s="80">
      <c r="B192" s="28" t="n"/>
      <c r="C192" s="28" t="n"/>
      <c r="D192" s="28" t="n"/>
      <c r="E192" s="28" t="n"/>
      <c r="F192" s="28" t="n"/>
      <c r="G192" s="28" t="n"/>
      <c r="H192" s="28" t="n"/>
      <c r="I192" s="28" t="n"/>
      <c r="J192" s="28" t="n"/>
      <c r="K192" s="28" t="n"/>
      <c r="L192" s="28" t="n"/>
      <c r="M192" s="28" t="n"/>
      <c r="N192" s="28" t="n"/>
      <c r="O192" s="28" t="n"/>
      <c r="P192" s="129" t="n"/>
      <c r="Q192" s="87" t="n"/>
      <c r="R192" s="292" t="n"/>
      <c r="S192" s="293" t="n"/>
      <c r="T192" s="293" t="n"/>
      <c r="U192" s="293" t="n"/>
      <c r="V192" s="293" t="n"/>
      <c r="W192" s="84" t="n"/>
      <c r="X192" s="80">
        <f>Y192&amp;Z192</f>
        <v/>
      </c>
      <c r="Y192" s="80" t="inlineStr">
        <is>
          <t>Standard</t>
        </is>
      </c>
      <c r="Z192" s="80" t="inlineStr">
        <is>
          <t>High reliance</t>
        </is>
      </c>
      <c r="AA192" s="80" t="inlineStr">
        <is>
          <t>Standard</t>
        </is>
      </c>
    </row>
    <row r="193" ht="15" customFormat="1" customHeight="1" s="80">
      <c r="B193" s="29" t="n"/>
      <c r="C193" s="3" t="n"/>
      <c r="D193" s="3" t="n"/>
      <c r="E193" s="3" t="n"/>
      <c r="F193" s="3" t="n"/>
      <c r="G193" s="3" t="n"/>
      <c r="H193" s="3" t="n"/>
      <c r="I193" s="3" t="n"/>
      <c r="J193" s="3" t="n"/>
      <c r="K193" s="3" t="n"/>
      <c r="L193" s="3" t="n"/>
      <c r="M193" s="3" t="n"/>
      <c r="N193" s="3" t="n"/>
      <c r="O193" s="3" t="n"/>
      <c r="P193" s="130" t="n"/>
      <c r="Q193" s="88" t="n"/>
      <c r="R193" s="267" t="n"/>
      <c r="S193" s="268" t="n"/>
      <c r="T193" s="268" t="n"/>
      <c r="U193" s="268" t="n"/>
      <c r="V193" s="268" t="n"/>
      <c r="X193" s="80">
        <f>Y193&amp;Z193</f>
        <v/>
      </c>
      <c r="Y193" s="80" t="inlineStr">
        <is>
          <t>Standard</t>
        </is>
      </c>
      <c r="Z193" s="80" t="inlineStr">
        <is>
          <t>No reliance</t>
        </is>
      </c>
      <c r="AA193" s="80" t="inlineStr">
        <is>
          <t>Standard</t>
        </is>
      </c>
    </row>
    <row r="194" ht="15" customFormat="1" customHeight="1" s="80">
      <c r="B194" s="30" t="n"/>
      <c r="C194" s="28" t="n"/>
      <c r="D194" s="28" t="n"/>
      <c r="E194" s="28" t="n"/>
      <c r="F194" s="28" t="n"/>
      <c r="G194" s="28" t="n"/>
      <c r="H194" s="28" t="n"/>
      <c r="I194" s="28" t="n"/>
      <c r="J194" s="28" t="n"/>
      <c r="K194" s="28" t="n"/>
      <c r="L194" s="28" t="n"/>
      <c r="M194" s="28" t="n"/>
      <c r="N194" s="28" t="n"/>
      <c r="O194" s="28" t="n"/>
      <c r="P194" s="129" t="n"/>
      <c r="Q194" s="87" t="n"/>
      <c r="R194" s="292" t="n"/>
      <c r="S194" s="293" t="n"/>
      <c r="T194" s="293" t="n"/>
      <c r="U194" s="293" t="n"/>
      <c r="V194" s="293" t="n"/>
      <c r="W194" s="84" t="n"/>
      <c r="X194" s="80">
        <f>Y194&amp;Z194</f>
        <v/>
      </c>
      <c r="Y194" s="80" t="inlineStr">
        <is>
          <t>Enhanced</t>
        </is>
      </c>
      <c r="Z194" s="80" t="inlineStr">
        <is>
          <t>High reliance</t>
        </is>
      </c>
      <c r="AA194" s="80" t="inlineStr">
        <is>
          <t>Enhanced</t>
        </is>
      </c>
    </row>
    <row r="195" ht="15" customFormat="1" customHeight="1" s="80">
      <c r="B195" s="30" t="n"/>
      <c r="C195" s="28" t="n"/>
      <c r="D195" s="28" t="n"/>
      <c r="E195" s="28" t="n"/>
      <c r="F195" s="28" t="n"/>
      <c r="G195" s="28" t="n"/>
      <c r="H195" s="28" t="n"/>
      <c r="I195" s="28" t="n"/>
      <c r="J195" s="28" t="n"/>
      <c r="K195" s="28" t="n"/>
      <c r="L195" s="28" t="n"/>
      <c r="M195" s="28" t="n"/>
      <c r="N195" s="28" t="n"/>
      <c r="O195" s="28" t="n"/>
      <c r="P195" s="129" t="n"/>
      <c r="Q195" s="87" t="n"/>
      <c r="R195" s="292" t="n"/>
      <c r="S195" s="293" t="n"/>
      <c r="T195" s="293" t="n"/>
      <c r="U195" s="293" t="n"/>
      <c r="V195" s="293" t="n"/>
      <c r="W195" s="84" t="n"/>
      <c r="X195">
        <f>Y195&amp;Z195</f>
        <v/>
      </c>
      <c r="Y195" t="inlineStr">
        <is>
          <t>Enhanced</t>
        </is>
      </c>
      <c r="Z195" t="inlineStr">
        <is>
          <t>No reliance</t>
        </is>
      </c>
      <c r="AA195" t="inlineStr">
        <is>
          <t>Enhanced</t>
        </is>
      </c>
    </row>
    <row r="196" ht="15" customFormat="1" customHeight="1" s="80">
      <c r="B196" s="30" t="n"/>
      <c r="C196" s="28" t="n"/>
      <c r="D196" s="28" t="n"/>
      <c r="E196" s="28" t="n"/>
      <c r="F196" s="28" t="n"/>
      <c r="G196" s="28" t="n"/>
      <c r="H196" s="28" t="n"/>
      <c r="I196" s="28" t="n"/>
      <c r="J196" s="28" t="n"/>
      <c r="K196" s="28" t="n"/>
      <c r="L196" s="28" t="n"/>
      <c r="M196" s="28" t="n"/>
      <c r="N196" s="28" t="n"/>
      <c r="O196" s="28" t="n"/>
      <c r="P196" s="129" t="n"/>
      <c r="Q196" s="87" t="n"/>
      <c r="R196" s="292" t="n"/>
      <c r="S196" s="293" t="n"/>
      <c r="T196" s="293" t="n"/>
      <c r="U196" s="293" t="n"/>
      <c r="V196" s="293" t="n"/>
      <c r="W196" s="84" t="n"/>
      <c r="X196">
        <f>Y196&amp;Z196</f>
        <v/>
      </c>
      <c r="Y196" t="inlineStr">
        <is>
          <t>Significant</t>
        </is>
      </c>
      <c r="Z196" t="inlineStr">
        <is>
          <t>High reliance</t>
        </is>
      </c>
      <c r="AA196" t="inlineStr">
        <is>
          <t>Significant</t>
        </is>
      </c>
    </row>
    <row r="197" ht="15" customFormat="1" customHeight="1" s="80">
      <c r="B197" s="28" t="n"/>
      <c r="C197" s="28" t="n"/>
      <c r="D197" s="28" t="n"/>
      <c r="E197" s="28" t="n"/>
      <c r="F197" s="28" t="n"/>
      <c r="G197" s="28" t="n"/>
      <c r="H197" s="28" t="n"/>
      <c r="I197" s="28" t="n"/>
      <c r="J197" s="28" t="n"/>
      <c r="K197" s="28" t="n"/>
      <c r="L197" s="28" t="n"/>
      <c r="M197" s="28" t="n"/>
      <c r="N197" s="28" t="n"/>
      <c r="O197" s="28" t="n"/>
      <c r="P197" s="129" t="n"/>
      <c r="Q197" s="87" t="n"/>
      <c r="R197" s="292" t="n"/>
      <c r="S197" s="293" t="n"/>
      <c r="T197" s="293" t="n"/>
      <c r="U197" s="293" t="n"/>
      <c r="V197" s="293" t="n"/>
      <c r="W197" s="84" t="n"/>
      <c r="X197">
        <f>Y197&amp;Z197</f>
        <v/>
      </c>
      <c r="Y197" t="inlineStr">
        <is>
          <t>Significant</t>
        </is>
      </c>
      <c r="Z197" t="inlineStr">
        <is>
          <t>No reliance</t>
        </is>
      </c>
      <c r="AA197" t="inlineStr">
        <is>
          <t>Significant</t>
        </is>
      </c>
    </row>
    <row r="198" ht="15" customFormat="1" customHeight="1" s="80">
      <c r="B198" s="29" t="n"/>
      <c r="C198" s="3" t="n"/>
      <c r="D198" s="3" t="n"/>
      <c r="E198" s="3" t="n"/>
      <c r="F198" s="3" t="n"/>
      <c r="G198" s="3" t="n"/>
      <c r="H198" s="3" t="n"/>
      <c r="I198" s="3" t="n"/>
      <c r="J198" s="3" t="n"/>
      <c r="K198" s="3" t="n"/>
      <c r="L198" s="3" t="n"/>
      <c r="M198" s="3" t="n"/>
      <c r="N198" s="3" t="n"/>
      <c r="O198" s="3" t="n"/>
      <c r="P198" s="130" t="n"/>
      <c r="Q198" s="88" t="n"/>
      <c r="R198" s="267" t="n"/>
      <c r="S198" s="268" t="n"/>
      <c r="T198" s="268" t="n"/>
      <c r="U198" s="268" t="n"/>
      <c r="V198" s="268" t="n"/>
    </row>
    <row r="199" ht="15" customFormat="1" customHeight="1" s="80">
      <c r="B199" s="30" t="n"/>
      <c r="C199" s="28" t="n"/>
      <c r="D199" s="28" t="n"/>
      <c r="E199" s="28" t="n"/>
      <c r="F199" s="28" t="n"/>
      <c r="G199" s="28" t="n"/>
      <c r="H199" s="28" t="n"/>
      <c r="I199" s="28" t="n"/>
      <c r="J199" s="28" t="n"/>
      <c r="K199" s="28" t="n"/>
      <c r="L199" s="28" t="n"/>
      <c r="M199" s="28" t="n"/>
      <c r="N199" s="28" t="n"/>
      <c r="O199" s="28" t="n"/>
      <c r="P199" s="129" t="n"/>
      <c r="Q199" s="87" t="n"/>
      <c r="R199" s="292" t="n"/>
      <c r="S199" s="293" t="n"/>
      <c r="T199" s="293" t="n"/>
      <c r="U199" s="293" t="n"/>
      <c r="V199" s="293" t="n"/>
      <c r="W199" s="84" t="n"/>
    </row>
    <row r="200" ht="15" customFormat="1" customHeight="1" s="80">
      <c r="B200" s="28" t="n"/>
      <c r="C200" s="30" t="n"/>
      <c r="D200" s="28" t="n"/>
      <c r="E200" s="28" t="n"/>
      <c r="F200" s="28" t="n"/>
      <c r="G200" s="28" t="n"/>
      <c r="H200" s="28" t="n"/>
      <c r="I200" s="28" t="n"/>
      <c r="J200" s="28" t="n"/>
      <c r="K200" s="28" t="n"/>
      <c r="L200" s="28" t="n"/>
      <c r="M200" s="28" t="n"/>
      <c r="N200" s="28" t="n"/>
      <c r="O200" s="28" t="n"/>
      <c r="P200" s="129" t="n"/>
      <c r="Q200" s="87" t="n"/>
      <c r="R200" s="292" t="n"/>
      <c r="S200" s="293" t="n"/>
      <c r="T200" s="293" t="n"/>
      <c r="U200" s="293" t="n"/>
      <c r="V200" s="293" t="n"/>
      <c r="W200" s="84" t="n"/>
    </row>
    <row r="201" ht="15" customFormat="1" customHeight="1" s="80">
      <c r="B201" s="28" t="n"/>
      <c r="C201" s="30" t="n"/>
      <c r="D201" s="28" t="n"/>
      <c r="E201" s="28" t="n"/>
      <c r="F201" s="28" t="n"/>
      <c r="G201" s="28" t="n"/>
      <c r="H201" s="28" t="n"/>
      <c r="I201" s="28" t="n"/>
      <c r="J201" s="28" t="n"/>
      <c r="K201" s="28" t="n"/>
      <c r="L201" s="28" t="n"/>
      <c r="M201" s="28" t="n"/>
      <c r="N201" s="28" t="n"/>
      <c r="O201" s="28" t="n"/>
      <c r="P201" s="129" t="n"/>
      <c r="Q201" s="87" t="n"/>
      <c r="R201" s="292" t="n"/>
      <c r="S201" s="293" t="n"/>
      <c r="T201" s="293" t="n"/>
      <c r="U201" s="293" t="n"/>
      <c r="V201" s="293" t="n"/>
      <c r="W201" s="84" t="n"/>
    </row>
    <row r="202" ht="15" customFormat="1" customHeight="1" s="80">
      <c r="B202" s="28" t="n"/>
      <c r="C202" s="31" t="n"/>
      <c r="D202" s="28" t="n"/>
      <c r="E202" s="28" t="n"/>
      <c r="F202" s="28" t="n"/>
      <c r="G202" s="28" t="n"/>
      <c r="H202" s="28" t="n"/>
      <c r="I202" s="28" t="n"/>
      <c r="J202" s="28" t="n"/>
      <c r="K202" s="28" t="n"/>
      <c r="L202" s="28" t="n"/>
      <c r="M202" s="28" t="n"/>
      <c r="N202" s="28" t="n"/>
      <c r="O202" s="28" t="n"/>
      <c r="P202" s="129" t="n"/>
      <c r="Q202" s="87" t="n"/>
      <c r="R202" s="292" t="n"/>
      <c r="S202" s="293" t="n"/>
      <c r="T202" s="293" t="n"/>
      <c r="U202" s="293" t="n"/>
      <c r="V202" s="293" t="n"/>
      <c r="W202" s="84" t="n"/>
    </row>
    <row r="203" ht="15" customFormat="1" customHeight="1" s="80">
      <c r="B203" s="28" t="n"/>
      <c r="C203" s="28" t="n"/>
      <c r="D203" s="28" t="n"/>
      <c r="E203" s="28" t="n"/>
      <c r="F203" s="28" t="n"/>
      <c r="G203" s="28" t="n"/>
      <c r="H203" s="28" t="n"/>
      <c r="I203" s="28" t="n"/>
      <c r="J203" s="28" t="n"/>
      <c r="K203" s="28" t="n"/>
      <c r="L203" s="28" t="n"/>
      <c r="M203" s="28" t="n"/>
      <c r="N203" s="28" t="n"/>
      <c r="O203" s="28" t="n"/>
      <c r="P203" s="129" t="n"/>
      <c r="Q203" s="87" t="n"/>
      <c r="R203" s="292" t="n"/>
      <c r="S203" s="293" t="n"/>
      <c r="T203" s="293" t="n"/>
      <c r="U203" s="293" t="n"/>
      <c r="V203" s="293" t="n"/>
      <c r="W203" s="84" t="n"/>
    </row>
    <row r="204" ht="15" customFormat="1" customHeight="1" s="80">
      <c r="B204" s="29" t="n"/>
      <c r="C204" s="3" t="n"/>
      <c r="D204" s="3" t="n"/>
      <c r="E204" s="3" t="n"/>
      <c r="F204" s="3" t="n"/>
      <c r="G204" s="3" t="n"/>
      <c r="H204" s="3" t="n"/>
      <c r="I204" s="3" t="n"/>
      <c r="J204" s="3" t="n"/>
      <c r="K204" s="3" t="n"/>
      <c r="L204" s="3" t="n"/>
      <c r="M204" s="3" t="n"/>
      <c r="N204" s="3" t="n"/>
      <c r="O204" s="3" t="n"/>
      <c r="P204" s="130" t="n"/>
      <c r="Q204" s="88" t="n"/>
      <c r="R204" s="267" t="n"/>
      <c r="S204" s="268" t="n"/>
      <c r="T204" s="268" t="n"/>
      <c r="U204" s="268" t="n"/>
      <c r="V204" s="268" t="n"/>
    </row>
    <row r="205" ht="15" customFormat="1" customHeight="1" s="80">
      <c r="B205" s="28" t="n"/>
      <c r="C205" s="28" t="n"/>
      <c r="D205" s="28" t="n"/>
      <c r="E205" s="28" t="n"/>
      <c r="F205" s="28" t="n"/>
      <c r="G205" s="28" t="n"/>
      <c r="H205" s="28" t="n"/>
      <c r="I205" s="28" t="n"/>
      <c r="J205" s="28" t="n"/>
      <c r="K205" s="28" t="n"/>
      <c r="L205" s="28" t="n"/>
      <c r="M205" s="28" t="n"/>
      <c r="N205" s="28" t="n"/>
      <c r="O205" s="28" t="n"/>
      <c r="P205" s="129" t="n"/>
      <c r="Q205" s="87" t="n"/>
      <c r="R205" s="292" t="n"/>
      <c r="S205" s="293" t="n"/>
      <c r="T205" s="293" t="n"/>
      <c r="U205" s="293" t="n"/>
      <c r="V205" s="293" t="n"/>
      <c r="W205" s="84" t="n"/>
    </row>
    <row r="206" ht="15" customFormat="1" customHeight="1" s="80">
      <c r="B206" s="28" t="n"/>
      <c r="C206" s="28" t="n"/>
      <c r="D206" s="28" t="n"/>
      <c r="E206" s="28" t="n"/>
      <c r="F206" s="28" t="n"/>
      <c r="G206" s="28" t="n"/>
      <c r="H206" s="28" t="n"/>
      <c r="I206" s="28" t="n"/>
      <c r="J206" s="28" t="n"/>
      <c r="K206" s="28" t="n"/>
      <c r="L206" s="28" t="n"/>
      <c r="M206" s="28" t="n"/>
      <c r="N206" s="28" t="n"/>
      <c r="O206" s="28" t="n"/>
      <c r="P206" s="129" t="n"/>
      <c r="Q206" s="87" t="n"/>
      <c r="R206" s="292" t="n"/>
      <c r="S206" s="293" t="n"/>
      <c r="T206" s="293" t="n"/>
      <c r="U206" s="293" t="n"/>
      <c r="V206" s="293" t="n"/>
      <c r="W206" s="84" t="n"/>
    </row>
    <row r="207" ht="15" customFormat="1" customHeight="1" s="80">
      <c r="B207" s="28" t="n"/>
      <c r="C207" s="28" t="n"/>
      <c r="D207" s="28" t="n"/>
      <c r="E207" s="28" t="n"/>
      <c r="F207" s="28" t="n"/>
      <c r="G207" s="28" t="n"/>
      <c r="H207" s="28" t="n"/>
      <c r="I207" s="28" t="n"/>
      <c r="J207" s="28" t="n"/>
      <c r="K207" s="28" t="n"/>
      <c r="L207" s="28" t="n"/>
      <c r="M207" s="28" t="n"/>
      <c r="N207" s="28" t="n"/>
      <c r="O207" s="28" t="n"/>
      <c r="P207" s="129" t="n"/>
      <c r="Q207" s="87" t="n"/>
      <c r="R207" s="292" t="n"/>
      <c r="S207" s="293" t="n"/>
      <c r="T207" s="293" t="n"/>
      <c r="U207" s="293" t="n"/>
      <c r="V207" s="293" t="n"/>
      <c r="W207" s="84" t="n"/>
    </row>
    <row r="208" ht="15" customFormat="1" customHeight="1" s="80">
      <c r="B208" s="3" t="n"/>
      <c r="C208" s="3" t="n"/>
      <c r="D208" s="3" t="n"/>
      <c r="E208" s="3" t="n"/>
      <c r="F208" s="3" t="n"/>
      <c r="G208" s="3" t="n"/>
      <c r="H208" s="3" t="n"/>
      <c r="I208" s="3" t="n"/>
      <c r="J208" s="3" t="n"/>
      <c r="K208" s="3" t="n"/>
      <c r="L208" s="3" t="n"/>
      <c r="M208" s="3" t="n"/>
      <c r="N208" s="3" t="n"/>
      <c r="O208" s="3" t="n"/>
      <c r="P208" s="130" t="n"/>
      <c r="Q208" s="88" t="n"/>
      <c r="R208" s="267" t="n"/>
      <c r="S208" s="268" t="n"/>
      <c r="T208" s="268" t="n"/>
      <c r="U208" s="268" t="n"/>
      <c r="V208" s="268" t="n"/>
    </row>
    <row r="209" ht="15" customFormat="1" customHeight="1" s="80">
      <c r="B209" s="3" t="n"/>
      <c r="C209" s="3" t="n"/>
      <c r="D209" s="3" t="n"/>
      <c r="E209" s="3" t="n"/>
      <c r="F209" s="3" t="n"/>
      <c r="G209" s="3" t="n"/>
      <c r="H209" s="3" t="n"/>
      <c r="I209" s="3" t="n"/>
      <c r="J209" s="3" t="n"/>
      <c r="K209" s="3" t="n"/>
      <c r="L209" s="3" t="n"/>
      <c r="M209" s="3" t="n"/>
      <c r="N209" s="3" t="n"/>
      <c r="O209" s="3" t="n"/>
      <c r="P209" s="130" t="n"/>
      <c r="Q209" s="88" t="n"/>
      <c r="R209" s="267" t="n"/>
      <c r="S209" s="268" t="n"/>
      <c r="T209" s="268" t="n"/>
      <c r="U209" s="268" t="n"/>
      <c r="V209" s="268" t="n"/>
    </row>
    <row r="210" ht="15" customFormat="1" customHeight="1" s="80">
      <c r="B210" s="3" t="n"/>
      <c r="C210" s="3" t="n"/>
      <c r="D210" s="3" t="n"/>
      <c r="E210" s="3" t="n"/>
      <c r="F210" s="3" t="n"/>
      <c r="G210" s="3" t="n"/>
      <c r="H210" s="3" t="n"/>
      <c r="I210" s="3" t="n"/>
      <c r="J210" s="3" t="n"/>
      <c r="K210" s="3" t="n"/>
      <c r="L210" s="3" t="n"/>
      <c r="M210" s="3" t="n"/>
      <c r="N210" s="3" t="n"/>
      <c r="O210" s="3" t="n"/>
      <c r="P210" s="130" t="n"/>
      <c r="Q210" s="88" t="n"/>
      <c r="R210" s="267" t="n"/>
      <c r="S210" s="268" t="n"/>
      <c r="T210" s="268" t="n"/>
      <c r="U210" s="268" t="n"/>
      <c r="V210" s="268" t="n"/>
    </row>
    <row r="211" ht="15" customFormat="1" customHeight="1" s="80">
      <c r="B211" s="3" t="n"/>
      <c r="C211" s="3" t="n"/>
      <c r="D211" s="3" t="n"/>
      <c r="E211" s="3" t="n"/>
      <c r="F211" s="3" t="n"/>
      <c r="G211" s="3" t="n"/>
      <c r="H211" s="3" t="n"/>
      <c r="I211" s="3" t="n"/>
      <c r="J211" s="3" t="n"/>
      <c r="K211" s="3" t="n"/>
      <c r="L211" s="3" t="n"/>
      <c r="M211" s="3" t="n"/>
      <c r="N211" s="3" t="n"/>
      <c r="O211" s="3" t="n"/>
      <c r="P211" s="130" t="n"/>
      <c r="Q211" s="88" t="n"/>
      <c r="R211" s="267" t="n"/>
      <c r="S211" s="268" t="n"/>
      <c r="T211" s="268" t="n"/>
      <c r="U211" s="268" t="n"/>
      <c r="V211" s="268" t="n"/>
    </row>
    <row r="212" ht="15" customFormat="1" customHeight="1" s="80">
      <c r="B212" s="3" t="n"/>
      <c r="C212" s="3" t="n"/>
      <c r="D212" s="3" t="n"/>
      <c r="E212" s="3" t="n"/>
      <c r="F212" s="3" t="n"/>
      <c r="G212" s="3" t="n"/>
      <c r="H212" s="3" t="n"/>
      <c r="I212" s="3" t="n"/>
      <c r="J212" s="3" t="n"/>
      <c r="K212" s="3" t="n"/>
      <c r="L212" s="3" t="n"/>
      <c r="M212" s="3" t="n"/>
      <c r="N212" s="3" t="n"/>
      <c r="O212" s="3" t="n"/>
      <c r="P212" s="130" t="n"/>
      <c r="Q212" s="88" t="n"/>
      <c r="R212" s="267" t="n"/>
      <c r="S212" s="268" t="n"/>
      <c r="T212" s="268" t="n"/>
      <c r="U212" s="268" t="n"/>
      <c r="V212" s="268" t="n"/>
    </row>
    <row r="213" ht="15" customFormat="1" customHeight="1" s="80">
      <c r="B213" s="3" t="n"/>
      <c r="C213" s="3" t="n"/>
      <c r="D213" s="3" t="n"/>
      <c r="E213" s="3" t="n"/>
      <c r="F213" s="3" t="n"/>
      <c r="G213" s="3" t="n"/>
      <c r="H213" s="3" t="n"/>
      <c r="I213" s="3" t="n"/>
      <c r="J213" s="3" t="n"/>
      <c r="K213" s="3" t="n"/>
      <c r="L213" s="3" t="n"/>
      <c r="M213" s="3" t="n"/>
      <c r="N213" s="3" t="n"/>
      <c r="O213" s="3" t="n"/>
      <c r="P213" s="130" t="n"/>
      <c r="Q213" s="88" t="n"/>
      <c r="R213" s="267" t="n"/>
      <c r="S213" s="268" t="n"/>
      <c r="T213" s="268" t="n"/>
      <c r="U213" s="268" t="n"/>
      <c r="V213" s="268" t="n"/>
    </row>
    <row r="214" ht="15" customFormat="1" customHeight="1" s="80">
      <c r="B214" s="3" t="n"/>
      <c r="C214" s="3" t="n"/>
      <c r="D214" s="3" t="n"/>
      <c r="E214" s="3" t="n"/>
      <c r="F214" s="3" t="n"/>
      <c r="G214" s="3" t="n"/>
      <c r="H214" s="3" t="n"/>
      <c r="I214" s="3" t="n"/>
      <c r="J214" s="3" t="n"/>
      <c r="K214" s="3" t="n"/>
      <c r="L214" s="3" t="n"/>
      <c r="M214" s="3" t="n"/>
      <c r="N214" s="3" t="n"/>
      <c r="O214" s="3" t="n"/>
      <c r="P214" s="130" t="n"/>
      <c r="Q214" s="88" t="n"/>
      <c r="R214" s="267" t="n"/>
      <c r="S214" s="268" t="n"/>
      <c r="T214" s="268" t="n"/>
      <c r="U214" s="268" t="n"/>
      <c r="V214" s="268" t="n"/>
    </row>
    <row r="215" ht="15" customFormat="1" customHeight="1" s="80">
      <c r="B215" s="3" t="n"/>
      <c r="C215" s="3" t="n"/>
      <c r="D215" s="3" t="n"/>
      <c r="E215" s="3" t="n"/>
      <c r="F215" s="3" t="n"/>
      <c r="G215" s="3" t="n"/>
      <c r="H215" s="3" t="n"/>
      <c r="I215" s="3" t="n"/>
      <c r="J215" s="3" t="n"/>
      <c r="K215" s="3" t="n"/>
      <c r="L215" s="3" t="n"/>
      <c r="M215" s="3" t="n"/>
      <c r="N215" s="3" t="n"/>
      <c r="O215" s="3" t="n"/>
      <c r="P215" s="130" t="n"/>
      <c r="Q215" s="88" t="n"/>
      <c r="R215" s="267" t="n"/>
      <c r="S215" s="268" t="n"/>
      <c r="T215" s="268" t="n"/>
      <c r="U215" s="268" t="n"/>
      <c r="V215" s="268" t="n"/>
    </row>
    <row r="216" ht="15" customFormat="1" customHeight="1" s="80">
      <c r="B216" s="3" t="n"/>
      <c r="C216" s="3" t="n"/>
      <c r="D216" s="3" t="n"/>
      <c r="E216" s="3" t="n"/>
      <c r="F216" s="3" t="n"/>
      <c r="G216" s="3" t="n"/>
      <c r="H216" s="3" t="n"/>
      <c r="I216" s="3" t="n"/>
      <c r="J216" s="3" t="n"/>
      <c r="K216" s="3" t="n"/>
      <c r="L216" s="3" t="n"/>
      <c r="M216" s="3" t="n"/>
      <c r="N216" s="3" t="n"/>
      <c r="O216" s="3" t="n"/>
      <c r="P216" s="130" t="n"/>
      <c r="Q216" s="88" t="n"/>
      <c r="R216" s="267" t="n"/>
      <c r="S216" s="268" t="n"/>
      <c r="T216" s="268" t="n"/>
      <c r="U216" s="268" t="n"/>
      <c r="V216" s="268" t="n"/>
    </row>
    <row r="217" ht="15" customFormat="1" customHeight="1" s="80">
      <c r="B217" s="3" t="n"/>
      <c r="C217" s="3" t="n"/>
      <c r="D217" s="3" t="n"/>
      <c r="E217" s="3" t="n"/>
      <c r="F217" s="3" t="n"/>
      <c r="G217" s="3" t="n"/>
      <c r="H217" s="3" t="n"/>
      <c r="I217" s="3" t="n"/>
      <c r="J217" s="3" t="n"/>
      <c r="K217" s="3" t="n"/>
      <c r="L217" s="3" t="n"/>
      <c r="M217" s="3" t="n"/>
      <c r="N217" s="3" t="n"/>
      <c r="O217" s="3" t="n"/>
      <c r="P217" s="130" t="n"/>
      <c r="Q217" s="88" t="n"/>
      <c r="R217" s="267" t="n"/>
      <c r="S217" s="268" t="n"/>
      <c r="T217" s="268" t="n"/>
      <c r="U217" s="268" t="n"/>
      <c r="V217" s="268" t="n"/>
    </row>
    <row r="218" ht="15" customFormat="1" customHeight="1" s="80">
      <c r="B218" s="3" t="n"/>
      <c r="C218" s="3" t="n"/>
      <c r="D218" s="3" t="n"/>
      <c r="E218" s="3" t="n"/>
      <c r="F218" s="3" t="n"/>
      <c r="G218" s="3" t="n"/>
      <c r="H218" s="3" t="n"/>
      <c r="I218" s="3" t="n"/>
      <c r="J218" s="3" t="n"/>
      <c r="K218" s="3" t="n"/>
      <c r="L218" s="3" t="n"/>
      <c r="M218" s="3" t="n"/>
      <c r="N218" s="3" t="n"/>
      <c r="O218" s="3" t="n"/>
      <c r="P218" s="130" t="n"/>
      <c r="Q218" s="88" t="n"/>
      <c r="R218" s="267" t="n"/>
      <c r="S218" s="268" t="n"/>
      <c r="T218" s="268" t="n"/>
      <c r="U218" s="268" t="n"/>
      <c r="V218" s="268" t="n"/>
    </row>
    <row r="219" ht="15" customFormat="1" customHeight="1" s="80">
      <c r="B219" s="3" t="n"/>
      <c r="C219" s="3" t="n"/>
      <c r="D219" s="3" t="n"/>
      <c r="E219" s="3" t="n"/>
      <c r="F219" s="3" t="n"/>
      <c r="G219" s="3" t="n"/>
      <c r="H219" s="3" t="n"/>
      <c r="I219" s="3" t="n"/>
      <c r="J219" s="3" t="n"/>
      <c r="K219" s="3" t="n"/>
      <c r="L219" s="3" t="n"/>
      <c r="M219" s="3" t="n"/>
      <c r="N219" s="3" t="n"/>
      <c r="O219" s="3" t="n"/>
      <c r="P219" s="130" t="n"/>
      <c r="Q219" s="88" t="n"/>
      <c r="R219" s="267" t="n"/>
      <c r="S219" s="268" t="n"/>
      <c r="T219" s="268" t="n"/>
      <c r="U219" s="268" t="n"/>
      <c r="V219" s="268" t="n"/>
    </row>
    <row r="220" ht="15" customFormat="1" customHeight="1" s="80">
      <c r="B220" s="3" t="n"/>
      <c r="C220" s="3" t="n"/>
      <c r="D220" s="3" t="n"/>
      <c r="E220" s="3" t="n"/>
      <c r="F220" s="3" t="n"/>
      <c r="G220" s="3" t="n"/>
      <c r="H220" s="3" t="n"/>
      <c r="I220" s="3" t="n"/>
      <c r="J220" s="3" t="n"/>
      <c r="K220" s="3" t="n"/>
      <c r="L220" s="3" t="n"/>
      <c r="M220" s="3" t="n"/>
      <c r="N220" s="3" t="n"/>
      <c r="O220" s="3" t="n"/>
      <c r="P220" s="130" t="n"/>
      <c r="Q220" s="88" t="n"/>
      <c r="R220" s="267" t="n"/>
      <c r="S220" s="268" t="n"/>
      <c r="T220" s="268" t="n"/>
      <c r="U220" s="268" t="n"/>
      <c r="V220" s="268" t="n"/>
    </row>
    <row r="221" ht="15" customFormat="1" customHeight="1" s="80">
      <c r="B221" s="3" t="n"/>
      <c r="C221" s="3" t="n"/>
      <c r="D221" s="3" t="n"/>
      <c r="E221" s="3" t="n"/>
      <c r="F221" s="3" t="n"/>
      <c r="G221" s="3" t="n"/>
      <c r="H221" s="3" t="n"/>
      <c r="I221" s="3" t="n"/>
      <c r="J221" s="3" t="n"/>
      <c r="K221" s="3" t="n"/>
      <c r="L221" s="3" t="n"/>
      <c r="M221" s="3" t="n"/>
      <c r="N221" s="3" t="n"/>
      <c r="O221" s="3" t="n"/>
      <c r="P221" s="130" t="n"/>
      <c r="Q221" s="88" t="n"/>
      <c r="R221" s="267" t="n"/>
      <c r="S221" s="268" t="n"/>
      <c r="T221" s="268" t="n"/>
      <c r="U221" s="268" t="n"/>
      <c r="V221" s="268" t="n"/>
    </row>
    <row r="222" ht="15" customFormat="1" customHeight="1" s="80">
      <c r="B222" s="3" t="n"/>
      <c r="C222" s="3" t="n"/>
      <c r="D222" s="3" t="n"/>
      <c r="E222" s="3" t="n"/>
      <c r="F222" s="3" t="n"/>
      <c r="G222" s="3" t="n"/>
      <c r="H222" s="3" t="n"/>
      <c r="I222" s="3" t="n"/>
      <c r="J222" s="3" t="n"/>
      <c r="K222" s="3" t="n"/>
      <c r="L222" s="3" t="n"/>
      <c r="M222" s="3" t="n"/>
      <c r="N222" s="3" t="n"/>
      <c r="O222" s="3" t="n"/>
      <c r="P222" s="130" t="n"/>
      <c r="Q222" s="88" t="n"/>
      <c r="R222" s="267" t="n"/>
      <c r="S222" s="268" t="n"/>
      <c r="T222" s="268" t="n"/>
      <c r="U222" s="268" t="n"/>
      <c r="V222" s="268" t="n"/>
    </row>
    <row r="223" ht="15" customFormat="1" customHeight="1" s="80">
      <c r="B223" s="3" t="n"/>
      <c r="C223" s="3" t="n"/>
      <c r="D223" s="3" t="n"/>
      <c r="E223" s="3" t="n"/>
      <c r="F223" s="3" t="n"/>
      <c r="G223" s="3" t="n"/>
      <c r="H223" s="3" t="n"/>
      <c r="I223" s="3" t="n"/>
      <c r="J223" s="3" t="n"/>
      <c r="K223" s="3" t="n"/>
      <c r="L223" s="3" t="n"/>
      <c r="M223" s="3" t="n"/>
      <c r="N223" s="3" t="n"/>
      <c r="O223" s="3" t="n"/>
      <c r="P223" s="130" t="n"/>
      <c r="Q223" s="88" t="n"/>
      <c r="R223" s="267" t="n"/>
      <c r="S223" s="268" t="n"/>
      <c r="T223" s="268" t="n"/>
      <c r="U223" s="268" t="n"/>
      <c r="V223" s="268" t="n"/>
    </row>
    <row r="224" ht="15" customFormat="1" customHeight="1" s="80">
      <c r="B224" s="3" t="n"/>
      <c r="C224" s="3" t="n"/>
      <c r="D224" s="3" t="n"/>
      <c r="E224" s="3" t="n"/>
      <c r="F224" s="3" t="n"/>
      <c r="G224" s="3" t="n"/>
      <c r="H224" s="3" t="n"/>
      <c r="I224" s="3" t="n"/>
      <c r="J224" s="3" t="n"/>
      <c r="K224" s="3" t="n"/>
      <c r="L224" s="3" t="n"/>
      <c r="M224" s="3" t="n"/>
      <c r="N224" s="3" t="n"/>
      <c r="O224" s="3" t="n"/>
      <c r="P224" s="130" t="n"/>
      <c r="Q224" s="88" t="n"/>
      <c r="R224" s="267" t="n"/>
      <c r="S224" s="268" t="n"/>
      <c r="T224" s="268" t="n"/>
      <c r="U224" s="268" t="n"/>
      <c r="V224" s="268" t="n"/>
    </row>
    <row r="225" ht="15" customFormat="1" customHeight="1" s="80">
      <c r="B225" s="3" t="n"/>
      <c r="C225" s="3" t="n"/>
      <c r="D225" s="3" t="n"/>
      <c r="E225" s="3" t="n"/>
      <c r="F225" s="3" t="n"/>
      <c r="G225" s="3" t="n"/>
      <c r="H225" s="3" t="n"/>
      <c r="I225" s="3" t="n"/>
      <c r="J225" s="3" t="n"/>
      <c r="K225" s="3" t="n"/>
      <c r="L225" s="3" t="n"/>
      <c r="M225" s="3" t="n"/>
      <c r="N225" s="3" t="n"/>
      <c r="O225" s="3" t="n"/>
      <c r="P225" s="130" t="n"/>
      <c r="Q225" s="88" t="n"/>
      <c r="R225" s="267" t="n"/>
      <c r="S225" s="268" t="n"/>
      <c r="T225" s="268" t="n"/>
      <c r="U225" s="268" t="n"/>
      <c r="V225" s="268" t="n"/>
    </row>
    <row r="226" ht="15" customFormat="1" customHeight="1" s="80">
      <c r="B226" s="3" t="n"/>
      <c r="C226" s="3" t="n"/>
      <c r="D226" s="3" t="n"/>
      <c r="E226" s="3" t="n"/>
      <c r="F226" s="3" t="n"/>
      <c r="G226" s="3" t="n"/>
      <c r="H226" s="3" t="n"/>
      <c r="I226" s="3" t="n"/>
      <c r="J226" s="3" t="n"/>
      <c r="K226" s="3" t="n"/>
      <c r="L226" s="3" t="n"/>
      <c r="M226" s="3" t="n"/>
      <c r="N226" s="3" t="n"/>
      <c r="O226" s="3" t="n"/>
      <c r="P226" s="130" t="n"/>
      <c r="Q226" s="88" t="n"/>
      <c r="R226" s="267" t="n"/>
      <c r="S226" s="268" t="n"/>
      <c r="T226" s="268" t="n"/>
      <c r="U226" s="268" t="n"/>
      <c r="V226" s="268" t="n"/>
    </row>
    <row r="227" ht="15" customFormat="1" customHeight="1" s="80">
      <c r="B227" s="3" t="n"/>
      <c r="C227" s="3" t="n"/>
      <c r="D227" s="3" t="n"/>
      <c r="E227" s="3" t="n"/>
      <c r="F227" s="3" t="n"/>
      <c r="G227" s="3" t="n"/>
      <c r="H227" s="3" t="n"/>
      <c r="I227" s="3" t="n"/>
      <c r="J227" s="3" t="n"/>
      <c r="K227" s="3" t="n"/>
      <c r="L227" s="3" t="n"/>
      <c r="M227" s="3" t="n"/>
      <c r="N227" s="3" t="n"/>
      <c r="O227" s="3" t="n"/>
      <c r="P227" s="130" t="n"/>
      <c r="Q227" s="88" t="n"/>
      <c r="R227" s="267" t="n"/>
      <c r="S227" s="268" t="n"/>
      <c r="T227" s="268" t="n"/>
      <c r="U227" s="268" t="n"/>
      <c r="V227" s="268" t="n"/>
    </row>
    <row r="228" ht="15" customFormat="1" customHeight="1" s="80">
      <c r="B228" s="3" t="n"/>
      <c r="C228" s="3" t="n"/>
      <c r="D228" s="3" t="n"/>
      <c r="E228" s="3" t="n"/>
      <c r="F228" s="3" t="n"/>
      <c r="G228" s="3" t="n"/>
      <c r="H228" s="3" t="n"/>
      <c r="I228" s="3" t="n"/>
      <c r="J228" s="3" t="n"/>
      <c r="K228" s="3" t="n"/>
      <c r="L228" s="3" t="n"/>
      <c r="M228" s="3" t="n"/>
      <c r="N228" s="3" t="n"/>
      <c r="O228" s="3" t="n"/>
      <c r="P228" s="130" t="n"/>
      <c r="Q228" s="88" t="n"/>
      <c r="R228" s="267" t="n"/>
      <c r="S228" s="268" t="n"/>
      <c r="T228" s="268" t="n"/>
      <c r="U228" s="268" t="n"/>
      <c r="V228" s="268" t="n"/>
    </row>
    <row r="229" ht="15" customFormat="1" customHeight="1" s="80">
      <c r="B229" s="3" t="n"/>
      <c r="C229" s="3" t="n"/>
      <c r="D229" s="3" t="n"/>
      <c r="E229" s="3" t="n"/>
      <c r="F229" s="3" t="n"/>
      <c r="G229" s="3" t="n"/>
      <c r="H229" s="3" t="n"/>
      <c r="I229" s="3" t="n"/>
      <c r="J229" s="3" t="n"/>
      <c r="K229" s="3" t="n"/>
      <c r="L229" s="3" t="n"/>
      <c r="M229" s="3" t="n"/>
      <c r="N229" s="3" t="n"/>
      <c r="O229" s="3" t="n"/>
      <c r="P229" s="130" t="n"/>
      <c r="Q229" s="88" t="n"/>
      <c r="R229" s="267" t="n"/>
      <c r="S229" s="268" t="n"/>
      <c r="T229" s="268" t="n"/>
      <c r="U229" s="268" t="n"/>
      <c r="V229" s="268" t="n"/>
    </row>
  </sheetData>
  <mergeCells count="88">
    <mergeCell ref="B144:O146"/>
    <mergeCell ref="B51:O53"/>
    <mergeCell ref="P59:P60"/>
    <mergeCell ref="B185:O187"/>
    <mergeCell ref="B63:O65"/>
    <mergeCell ref="P21:P22"/>
    <mergeCell ref="P67:P68"/>
    <mergeCell ref="B49:O50"/>
    <mergeCell ref="R3:V4"/>
    <mergeCell ref="R185:V190"/>
    <mergeCell ref="R137:V139"/>
    <mergeCell ref="B99:O102"/>
    <mergeCell ref="B27:O29"/>
    <mergeCell ref="P185:P186"/>
    <mergeCell ref="B67:O69"/>
    <mergeCell ref="B17:O19"/>
    <mergeCell ref="G90:I90"/>
    <mergeCell ref="B104:O107"/>
    <mergeCell ref="P71:P72"/>
    <mergeCell ref="B26:J26"/>
    <mergeCell ref="B173:P173"/>
    <mergeCell ref="P177:P178"/>
    <mergeCell ref="B120:K120"/>
    <mergeCell ref="P40:P42"/>
    <mergeCell ref="B55:O57"/>
    <mergeCell ref="B189:O191"/>
    <mergeCell ref="B45:O47"/>
    <mergeCell ref="P51:P52"/>
    <mergeCell ref="P189:P190"/>
    <mergeCell ref="B122:O122"/>
    <mergeCell ref="L1:N1"/>
    <mergeCell ref="R78:V80"/>
    <mergeCell ref="B40:O43"/>
    <mergeCell ref="G80:I80"/>
    <mergeCell ref="B21:O23"/>
    <mergeCell ref="P126:P127"/>
    <mergeCell ref="P36:P37"/>
    <mergeCell ref="B71:O73"/>
    <mergeCell ref="P116:P117"/>
    <mergeCell ref="P181:P182"/>
    <mergeCell ref="R87:V91"/>
    <mergeCell ref="B181:O183"/>
    <mergeCell ref="P13:P14"/>
    <mergeCell ref="B128:O130"/>
    <mergeCell ref="B137:O139"/>
    <mergeCell ref="R140:V140"/>
    <mergeCell ref="B31:M31"/>
    <mergeCell ref="P144:P145"/>
    <mergeCell ref="R162:V165"/>
    <mergeCell ref="P63:P64"/>
    <mergeCell ref="P128:P129"/>
    <mergeCell ref="B36:O38"/>
    <mergeCell ref="B123:O125"/>
    <mergeCell ref="B85:O87"/>
    <mergeCell ref="B116:O119"/>
    <mergeCell ref="L4:N4"/>
    <mergeCell ref="B75:O77"/>
    <mergeCell ref="P120:P121"/>
    <mergeCell ref="C2:E2"/>
    <mergeCell ref="P161:P162"/>
    <mergeCell ref="P17:P18"/>
    <mergeCell ref="R123:V131"/>
    <mergeCell ref="P75:P76"/>
    <mergeCell ref="P156:P157"/>
    <mergeCell ref="L2:N2"/>
    <mergeCell ref="R7:V8"/>
    <mergeCell ref="B8:Q8"/>
    <mergeCell ref="P55:P56"/>
    <mergeCell ref="B177:O179"/>
    <mergeCell ref="B111:O114"/>
    <mergeCell ref="L3:N3"/>
    <mergeCell ref="P45:P46"/>
    <mergeCell ref="C1:E1"/>
    <mergeCell ref="P141:P143"/>
    <mergeCell ref="B161:O168"/>
    <mergeCell ref="B59:O61"/>
    <mergeCell ref="I169:O169"/>
    <mergeCell ref="P111:P112"/>
    <mergeCell ref="B108:O109"/>
    <mergeCell ref="R45:V47"/>
    <mergeCell ref="B13:O15"/>
    <mergeCell ref="B32:M32"/>
    <mergeCell ref="R11:V14"/>
    <mergeCell ref="P139:P140"/>
    <mergeCell ref="B127:O127"/>
    <mergeCell ref="P123:P124"/>
    <mergeCell ref="P104:P105"/>
    <mergeCell ref="P85:P86"/>
  </mergeCells>
  <dataValidations count="5">
    <dataValidation sqref="K26" showDropDown="0" showInputMessage="0" showErrorMessage="0" allowBlank="1" type="list">
      <formula1>"Yes,No"</formula1>
    </dataValidation>
    <dataValidation sqref="E78 F88" showDropDown="0" showInputMessage="0" showErrorMessage="0" allowBlank="1" type="list">
      <formula1>$X$77:$X$78</formula1>
    </dataValidation>
    <dataValidation sqref="N103 N110 N115" showDropDown="0" showInputMessage="0" showErrorMessage="0" allowBlank="1" type="list">
      <formula1>$X$103:$X$105</formula1>
    </dataValidation>
    <dataValidation sqref="H140" showDropDown="0" showInputMessage="0" showErrorMessage="0" allowBlank="1" type="list">
      <formula1>$X$139:$X$140</formula1>
    </dataValidation>
    <dataValidation sqref="L126" showDropDown="0" showInputMessage="0" showErrorMessage="0" allowBlank="1" type="list">
      <formula1>$X$118:$X$120</formula1>
    </dataValidation>
  </dataValidations>
  <hyperlinks>
    <hyperlink ref="P13" location="'Guidance (Do not delete)'!B7" display="Link to guidance"/>
    <hyperlink ref="P17" location="'Guidance (Do not delete)'!B13" display="Link to guidance"/>
    <hyperlink ref="P21" location="'Guidance (Do not delete)'!B20" display="Link to guidance"/>
    <hyperlink ref="P36" location="'Guidance (Do not delete)'!B30" display="Link to guidance"/>
    <hyperlink ref="P40" location="'Guidance (Do not delete)'!B40" display="Link to guidance"/>
    <hyperlink ref="P45" location="'Guidance (Do not delete)'!B50" display="Link to guidance"/>
    <hyperlink ref="P51" location="'Guidance (Do not delete)'!B65" display="Link to guidance"/>
    <hyperlink ref="P55" location="'Guidance (Do not delete)'!B69" display="Link to guidance"/>
    <hyperlink ref="P59" location="'Guidance (Do not delete)'!B83" display="Link to guidance"/>
    <hyperlink ref="P63" location="'Guidance (Do not delete)'!B88" display="Link to guidance"/>
    <hyperlink ref="P67" location="'Guidance (Do not delete)'!B96" display="Link to guidance"/>
    <hyperlink ref="P71" location="'Guidance (Do not delete)'!B100" display="Link to guidance"/>
    <hyperlink ref="P75" location="'Guidance (Do not delete)'!B105" display="Link to guidance"/>
    <hyperlink ref="P85" location="'Guidance (Do not delete)'!B114" display="Link to guidance"/>
    <hyperlink ref="P104" location="'Guidance (Do not delete)'!B141" display="Link to guidance"/>
    <hyperlink ref="P111" location="'Guidance (Do not delete)'!B151" display="Link to guidance"/>
    <hyperlink ref="P116" location="'Guidance (Do not delete)'!B160" display="Link to guidance"/>
    <hyperlink ref="P120" location="'Guidance (Do not delete)'!B167" display="Link to guidance"/>
    <hyperlink ref="P123" location="'Guidance (Do not delete)'!B173" display="Link to guidance"/>
    <hyperlink ref="P126" location="'Guidance (Do not delete)'!B178" display="Link to guidance"/>
    <hyperlink ref="P128" location="'Guidance (Do not delete)'!B201" display="Link to guidance"/>
    <hyperlink ref="P139" location="'Guidance (Do not delete)'!B217" display="Link to guidance"/>
    <hyperlink ref="P141" location="'Guidance (Do not delete)'!B222" display="Link to guidance"/>
    <hyperlink ref="P156" location="'Guidance (Do not delete)'!B240" display="Link to guidance"/>
    <hyperlink ref="P161" location="'Guidance (Do not delete)'!B250" display="Link to guidance"/>
    <hyperlink ref="P177" location="'Guidance (Do not delete)'!B326" display="Link to guidance"/>
    <hyperlink ref="P181" location="'Guidance (Do not delete)'!B333" display="Link to guidance"/>
    <hyperlink ref="P185" location="'Guidance (Do not delete)'!B337" display="Link to guidance"/>
    <hyperlink ref="P189" location="'Guidance (Do not delete)'!B341" display="Link to guidance"/>
  </hyperlinks>
  <pageMargins left="0.7" right="0.7" top="0.75" bottom="0.75" header="0.3" footer="0.3"/>
  <pageSetup orientation="portrait" paperSize="9"/>
</worksheet>
</file>

<file path=xl/worksheets/sheet2.xml><?xml version="1.0" encoding="utf-8"?>
<worksheet xmlns="http://schemas.openxmlformats.org/spreadsheetml/2006/main">
  <sheetPr codeName="Sheet1">
    <tabColor rgb="FF0072CE"/>
    <outlinePr summaryBelow="1" summaryRight="1"/>
    <pageSetUpPr/>
  </sheetPr>
  <dimension ref="A1:AA229"/>
  <sheetViews>
    <sheetView showGridLines="0" workbookViewId="0">
      <selection activeCell="A1" sqref="A1"/>
    </sheetView>
  </sheetViews>
  <sheetFormatPr baseColWidth="8" defaultColWidth="0" defaultRowHeight="15" zeroHeight="1"/>
  <cols>
    <col width="3.625" customWidth="1" style="79" min="1" max="1"/>
    <col width="11.875" customWidth="1" style="4" min="2" max="2"/>
    <col width="10.375" customWidth="1" style="4" min="3" max="3"/>
    <col width="9.375" customWidth="1" style="4" min="4" max="4"/>
    <col width="14.625" customWidth="1" style="4" min="5" max="5"/>
    <col width="11.875" customWidth="1" style="4" min="6" max="6"/>
    <col width="7.75" customWidth="1" style="4" min="7" max="9"/>
    <col width="13.625" customWidth="1" style="4" min="10" max="10"/>
    <col width="20.125" customWidth="1" style="4" min="11" max="11"/>
    <col width="16.375" customWidth="1" style="4" min="12" max="12"/>
    <col width="4.125" customWidth="1" style="4" min="13" max="13"/>
    <col width="11.75" customWidth="1" style="4" min="14" max="14"/>
    <col width="20.375" customWidth="1" style="4" min="15" max="15"/>
    <col width="19.125" customWidth="1" style="126" min="16" max="16"/>
    <col width="8.75" customWidth="1" style="89" min="17" max="17"/>
    <col hidden="1" width="11.375" customWidth="1" style="267" min="18" max="18"/>
    <col hidden="1" width="11.375" customWidth="1" style="268" min="19" max="21"/>
    <col hidden="1" width="23.625" customWidth="1" style="268" min="22" max="22"/>
    <col hidden="1" width="54.375" customWidth="1" style="80" min="23" max="23"/>
    <col hidden="1" width="54.375" customWidth="1" style="79" min="24" max="16384"/>
  </cols>
  <sheetData>
    <row r="1" ht="42" customFormat="1" customHeight="1" s="55">
      <c r="B1" s="265" t="inlineStr">
        <is>
          <t>Client:</t>
        </is>
      </c>
      <c r="C1" s="373" t="inlineStr">
        <is>
          <t>파타고니아코리아 (주) (Patagonia Korea)</t>
        </is>
      </c>
      <c r="D1" s="374" t="n"/>
      <c r="E1" s="374" t="n"/>
      <c r="F1" s="266" t="n"/>
      <c r="G1" s="266" t="n"/>
      <c r="H1" s="266" t="n"/>
      <c r="I1" s="266" t="n"/>
      <c r="J1" s="266" t="n"/>
      <c r="K1" s="265" t="inlineStr">
        <is>
          <t>Reference:</t>
        </is>
      </c>
      <c r="L1" s="373" t="inlineStr">
        <is>
          <t>C-4</t>
        </is>
      </c>
      <c r="M1" s="374" t="n"/>
      <c r="N1" s="374" t="n"/>
      <c r="O1" s="43" t="n"/>
      <c r="P1" s="127" t="n"/>
      <c r="Q1" s="43" t="n"/>
      <c r="R1" s="267" t="n"/>
      <c r="S1" s="268" t="n"/>
      <c r="T1" s="268" t="n"/>
      <c r="U1" s="268" t="n"/>
      <c r="V1" s="268" t="n"/>
      <c r="W1" s="53" t="n"/>
      <c r="X1" s="54" t="n"/>
      <c r="Y1" s="54" t="n"/>
      <c r="Z1" s="54" t="n"/>
      <c r="AA1" s="54" t="n"/>
    </row>
    <row r="2" ht="17.25" customFormat="1" customHeight="1" s="55">
      <c r="B2" s="248" t="inlineStr">
        <is>
          <t>Year end:</t>
        </is>
      </c>
      <c r="C2" s="375" t="inlineStr">
        <is>
          <t>2026-04-30</t>
        </is>
      </c>
      <c r="D2" s="374" t="n"/>
      <c r="E2" s="374" t="n"/>
      <c r="F2" s="41" t="n"/>
      <c r="G2" s="41" t="n"/>
      <c r="H2" s="41" t="n"/>
      <c r="I2" s="41" t="n"/>
      <c r="J2" s="41" t="n"/>
      <c r="K2" s="248" t="inlineStr">
        <is>
          <t>Prepared by:</t>
        </is>
      </c>
      <c r="L2" s="376" t="inlineStr">
        <is>
          <t>HSH</t>
        </is>
      </c>
      <c r="M2" s="374" t="n"/>
      <c r="N2" s="374" t="n"/>
      <c r="O2" s="43" t="n"/>
      <c r="P2" s="127" t="n"/>
      <c r="Q2" s="43" t="n"/>
      <c r="R2" s="267" t="n"/>
      <c r="S2" s="268" t="n"/>
      <c r="T2" s="268" t="n"/>
      <c r="U2" s="268" t="n"/>
      <c r="V2" s="268" t="n"/>
      <c r="W2" s="53" t="n"/>
      <c r="X2" s="54" t="n"/>
      <c r="Y2" s="54" t="n"/>
      <c r="Z2" s="54" t="n"/>
      <c r="AA2" s="54" t="n"/>
    </row>
    <row r="3" ht="18" customFormat="1" customHeight="1" s="55">
      <c r="B3" s="248" t="n"/>
      <c r="C3" s="377" t="n"/>
      <c r="D3" s="41" t="n"/>
      <c r="E3" s="41" t="n"/>
      <c r="F3" s="41" t="n"/>
      <c r="G3" s="41" t="n"/>
      <c r="H3" s="41" t="n"/>
      <c r="I3" s="41" t="n"/>
      <c r="J3" s="41" t="n"/>
      <c r="K3" s="248" t="inlineStr">
        <is>
          <t>Date:</t>
        </is>
      </c>
      <c r="L3" s="375" t="inlineStr">
        <is>
          <t>2026-05-19</t>
        </is>
      </c>
      <c r="M3" s="374" t="n"/>
      <c r="N3" s="374" t="n"/>
      <c r="O3" s="43" t="n"/>
      <c r="P3" s="127" t="n"/>
      <c r="Q3" s="43" t="n"/>
      <c r="R3" s="359" t="inlineStr">
        <is>
          <t>Guidance notes on how fields interact with Atlas Next Generation</t>
        </is>
      </c>
      <c r="S3" s="374" t="n"/>
      <c r="T3" s="374" t="n"/>
      <c r="U3" s="374" t="n"/>
      <c r="V3" s="374" t="n"/>
      <c r="W3" s="53" t="n"/>
      <c r="X3" s="54" t="n"/>
      <c r="Y3" s="54" t="n"/>
      <c r="Z3" s="54" t="n"/>
      <c r="AA3" s="54" t="n"/>
    </row>
    <row r="4" customFormat="1" s="55">
      <c r="B4" s="248" t="n"/>
      <c r="C4" s="250" t="n"/>
      <c r="D4" s="41" t="n"/>
      <c r="E4" s="41" t="n"/>
      <c r="F4" s="41" t="n"/>
      <c r="G4" s="41" t="n"/>
      <c r="H4" s="41" t="n"/>
      <c r="I4" s="41" t="n"/>
      <c r="J4" s="41" t="n"/>
      <c r="K4" s="248" t="inlineStr">
        <is>
          <t>Reviewed by:</t>
        </is>
      </c>
      <c r="L4" s="376" t="inlineStr">
        <is>
          <t>LJM</t>
        </is>
      </c>
      <c r="M4" s="374" t="n"/>
      <c r="N4" s="374" t="n"/>
      <c r="O4" s="43" t="n"/>
      <c r="P4" s="127" t="n"/>
      <c r="Q4" s="43" t="n"/>
      <c r="R4" s="374" t="n"/>
      <c r="S4" s="374" t="n"/>
      <c r="T4" s="374" t="n"/>
      <c r="U4" s="374" t="n"/>
      <c r="V4" s="374" t="n"/>
      <c r="W4" s="53" t="n"/>
      <c r="X4" s="54" t="n"/>
      <c r="Y4" s="54" t="n"/>
      <c r="Z4" s="54" t="n"/>
      <c r="AA4" s="54" t="n"/>
    </row>
    <row r="5" ht="23.25" customFormat="1" customHeight="1" s="55">
      <c r="B5" s="77" t="inlineStr">
        <is>
          <t>Accounting estimate - 상품평가충당금 (Inventory valuation allowance)</t>
        </is>
      </c>
      <c r="C5" s="43" t="n"/>
      <c r="D5" s="43" t="n"/>
      <c r="E5" s="43" t="n"/>
      <c r="F5" s="43" t="n"/>
      <c r="G5" s="43" t="n"/>
      <c r="H5" s="43" t="n"/>
      <c r="I5" s="43" t="n"/>
      <c r="J5" s="43" t="n"/>
      <c r="K5" s="43" t="n"/>
      <c r="L5" s="42" t="n"/>
      <c r="M5" s="42" t="n"/>
      <c r="N5" s="42" t="n"/>
      <c r="O5" s="43" t="n"/>
      <c r="P5" s="127" t="n"/>
      <c r="Q5" s="43" t="n"/>
      <c r="R5" s="267" t="n"/>
      <c r="S5" s="268" t="n"/>
      <c r="T5" s="268" t="n"/>
      <c r="U5" s="268" t="n"/>
      <c r="V5" s="268" t="n"/>
      <c r="W5" s="53" t="n"/>
      <c r="X5" s="54" t="n"/>
      <c r="Y5" s="54" t="n"/>
      <c r="Z5" s="54" t="n"/>
      <c r="AA5" s="54" t="n"/>
    </row>
    <row r="6" ht="17.45" customFormat="1" customHeight="1" s="55">
      <c r="B6" s="264" t="inlineStr">
        <is>
          <t>MAM Tool version March 2026</t>
        </is>
      </c>
      <c r="D6" s="43" t="n"/>
      <c r="E6" s="43" t="n"/>
      <c r="F6" s="43" t="n"/>
      <c r="G6" s="43" t="n"/>
      <c r="H6" s="43" t="n"/>
      <c r="I6" s="43" t="n"/>
      <c r="J6" s="43" t="n"/>
      <c r="K6" s="43" t="n"/>
      <c r="L6" s="43" t="n"/>
      <c r="M6" s="43" t="n"/>
      <c r="N6" s="43" t="n"/>
      <c r="O6" s="43" t="n"/>
      <c r="P6" s="127" t="n"/>
      <c r="Q6" s="43" t="n"/>
      <c r="R6" s="267" t="n"/>
      <c r="S6" s="268" t="n"/>
      <c r="T6" s="268" t="n"/>
      <c r="U6" s="268" t="n"/>
      <c r="V6" s="268" t="n"/>
      <c r="W6" s="53" t="n"/>
      <c r="X6" s="54" t="n"/>
      <c r="Y6" s="54" t="n"/>
      <c r="Z6" s="54" t="n"/>
      <c r="AA6" s="54" t="n"/>
    </row>
    <row r="7" ht="15.75" customFormat="1" customHeight="1" s="55">
      <c r="B7" s="378" t="inlineStr">
        <is>
          <t>SCOTABD: 재고자산(상품) 및 재고자산평가충당금  /  관련 주장(Assertion): 평가(Valuation)
WCGW: 재고자산이 순실현가능가치(NRV)를 초과하여 계상(평가충당금이 과소 설정)될 수 있음.</t>
        </is>
      </c>
      <c r="C7" s="43" t="n"/>
      <c r="D7" s="43" t="n"/>
      <c r="E7" s="43" t="n"/>
      <c r="F7" s="43" t="n"/>
      <c r="G7" s="43" t="n"/>
      <c r="H7" s="43" t="n"/>
      <c r="I7" s="43" t="n"/>
      <c r="J7" s="43" t="n"/>
      <c r="K7" s="43" t="n"/>
      <c r="L7" s="43" t="n"/>
      <c r="M7" s="43" t="n"/>
      <c r="N7" s="43" t="n"/>
      <c r="O7" s="43" t="n"/>
      <c r="P7" s="127" t="n"/>
      <c r="Q7" s="43" t="n"/>
      <c r="R7" s="343" t="inlineStr">
        <is>
          <t xml:space="preserve">Please ensure that the name of the SCOTABD matches the name that is used in Atlas on the node 'Identify COTABD's and map to TB accounts'. 
Please ensure that when creating WCGW's for your accounting estimate within Atlas on the node 'Identify WCGW's and relate to relevant assertions' that the assertion matches the assertion input on this template. </t>
        </is>
      </c>
      <c r="W7" s="53" t="n"/>
      <c r="X7" s="54" t="n"/>
      <c r="Y7" s="54" t="n"/>
      <c r="Z7" s="54" t="n"/>
      <c r="AA7" s="54" t="n"/>
    </row>
    <row r="8" ht="78.75" customFormat="1" customHeight="1" s="55">
      <c r="B8" s="360" t="inlineStr">
        <is>
          <t xml:space="preserve">This template does not need completed for immaterial accounting estimates that are assets or for provisions against gross immaterial assets (such as bad debt/stock provisions where the total gross receivables/stock balance is immaterial). The template must be completed for all other accounting estimates. 
Consideration should be given to disaggregating accounting estimates that may be within the same SCOTABD but have different risk profiles (for example assets carried at fair value vs assets carried at cost less depreciation).  </t>
        </is>
      </c>
      <c r="W8" s="53" t="n"/>
      <c r="X8" s="54" t="n"/>
      <c r="Y8" s="54" t="n"/>
      <c r="Z8" s="54" t="n"/>
      <c r="AA8" s="54" t="n"/>
    </row>
    <row r="9" ht="31.5" customFormat="1" customHeight="1" s="119">
      <c r="B9" s="119" t="inlineStr">
        <is>
          <t>STEP 1:   UNDERSTANDING THE ESTIMATE AND RISK ASSESSMENT PROCEDURES</t>
        </is>
      </c>
      <c r="P9" s="159" t="n"/>
      <c r="R9" s="267" t="n"/>
      <c r="S9" s="268" t="n"/>
      <c r="T9" s="268" t="n"/>
      <c r="U9" s="268" t="n"/>
      <c r="V9" s="268" t="n"/>
      <c r="W9" s="122" t="n"/>
    </row>
    <row r="10" ht="15.75" customFormat="1" customHeight="1" s="65" thickBot="1">
      <c r="B10" s="123" t="n"/>
      <c r="C10" s="124" t="n"/>
      <c r="D10" s="124" t="n"/>
      <c r="E10" s="124" t="n"/>
      <c r="F10" s="124" t="n"/>
      <c r="G10" s="124" t="n"/>
      <c r="H10" s="124" t="n"/>
      <c r="I10" s="124" t="n"/>
      <c r="J10" s="124" t="n"/>
      <c r="K10" s="124" t="n"/>
      <c r="L10" s="124" t="n"/>
      <c r="M10" s="124" t="n"/>
      <c r="N10" s="124" t="n"/>
      <c r="O10" s="19" t="n"/>
      <c r="P10" s="128" t="n"/>
      <c r="Q10" s="19" t="n"/>
      <c r="R10" s="267" t="n"/>
      <c r="S10" s="268" t="n"/>
      <c r="T10" s="268" t="n"/>
      <c r="U10" s="268" t="n"/>
      <c r="V10" s="268" t="n"/>
      <c r="W10" s="64" t="n"/>
    </row>
    <row r="11" ht="21" customFormat="1" customHeight="1" s="19">
      <c r="A11" s="4" t="n"/>
      <c r="B11" s="181" t="inlineStr">
        <is>
          <t>Obtaining an understanding of the entity and its environment and the applicable financial reporting framework</t>
        </is>
      </c>
      <c r="C11" s="182" t="n"/>
      <c r="D11" s="182" t="n"/>
      <c r="E11" s="182" t="n"/>
      <c r="F11" s="182" t="n"/>
      <c r="G11" s="182" t="n"/>
      <c r="H11" s="182" t="n"/>
      <c r="I11" s="182" t="n"/>
      <c r="J11" s="182" t="n"/>
      <c r="K11" s="182" t="n"/>
      <c r="L11" s="182" t="n"/>
      <c r="M11" s="182" t="n"/>
      <c r="N11" s="182" t="n"/>
      <c r="O11" s="182" t="n"/>
      <c r="P11" s="224" t="n"/>
      <c r="R11" s="355" t="inlineStr">
        <is>
          <t xml:space="preserve">Our understanding of the accounting estimate may already be documented within the Key Business Processes (KBP's) we have identified. Please review our documentation of our understanding of the KBP within Atlas on the node 'Document our understanding of the KBP's' and cross reference where appropriate. </t>
        </is>
      </c>
      <c r="W11" s="27" t="n"/>
    </row>
    <row r="12" ht="19.5" customFormat="1" customHeight="1" s="65">
      <c r="A12" s="55" t="n"/>
      <c r="B12" s="209" t="inlineStr">
        <is>
          <t>Entity's transactions and other events or conditions relevant to the specific accounting estimate [ISA (revised) 540.13a]</t>
        </is>
      </c>
      <c r="C12" s="68" t="n"/>
      <c r="D12" s="68" t="n"/>
      <c r="E12" s="68" t="n"/>
      <c r="F12" s="68" t="n"/>
      <c r="G12" s="68" t="n"/>
      <c r="H12" s="68" t="n"/>
      <c r="I12" s="68" t="n"/>
      <c r="J12" s="68" t="n"/>
      <c r="K12" s="68" t="n"/>
      <c r="L12" s="68" t="n"/>
      <c r="M12" s="68" t="n"/>
      <c r="N12" s="68" t="n"/>
      <c r="O12" s="68" t="n"/>
      <c r="P12" s="210" t="n"/>
      <c r="Q12" s="19" t="n"/>
      <c r="W12" s="64" t="n"/>
    </row>
    <row r="13" ht="15.75" customFormat="1" customHeight="1" s="65">
      <c r="A13" s="55" t="n"/>
      <c r="B13" s="379" t="inlineStr">
        <is>
          <t>회사의 재고자산은 상품과 미착품으로 구성되며, 상품에 대해서만 시즌별 충당금율을 적용하여 재고자산평가충당금을 인식함. 당기말 상품 15,140,346,287원, 미착품 1,681,310,791원, 평가충당금 1,264,011,446원(설정률 약 7.5%)임. FY2025부터 ageing 구간별 충당금 설정률을 하향 조정한 사건이 있으며, 당기에도 동일한 정책을 계속 적용함.</t>
        </is>
      </c>
      <c r="C13" s="374" t="n"/>
      <c r="D13" s="374" t="n"/>
      <c r="E13" s="374" t="n"/>
      <c r="F13" s="374" t="n"/>
      <c r="G13" s="374" t="n"/>
      <c r="H13" s="374" t="n"/>
      <c r="I13" s="374" t="n"/>
      <c r="J13" s="374" t="n"/>
      <c r="K13" s="374" t="n"/>
      <c r="L13" s="374" t="n"/>
      <c r="M13" s="374" t="n"/>
      <c r="N13" s="374" t="n"/>
      <c r="O13" s="374" t="n"/>
      <c r="P13" s="332" t="inlineStr">
        <is>
          <t>Link to guidance</t>
        </is>
      </c>
      <c r="Q13" s="131" t="n"/>
      <c r="W13" s="132" t="n"/>
    </row>
    <row r="14" customFormat="1" s="65">
      <c r="A14" s="55" t="n"/>
      <c r="B14" s="380" t="n"/>
      <c r="C14" s="374" t="n"/>
      <c r="D14" s="374" t="n"/>
      <c r="E14" s="374" t="n"/>
      <c r="F14" s="374" t="n"/>
      <c r="G14" s="374" t="n"/>
      <c r="H14" s="374" t="n"/>
      <c r="I14" s="374" t="n"/>
      <c r="J14" s="374" t="n"/>
      <c r="K14" s="374" t="n"/>
      <c r="L14" s="374" t="n"/>
      <c r="M14" s="374" t="n"/>
      <c r="N14" s="374" t="n"/>
      <c r="O14" s="374" t="n"/>
      <c r="P14" s="381" t="n"/>
      <c r="Q14" s="131" t="n"/>
      <c r="W14" s="132" t="n"/>
    </row>
    <row r="15" customFormat="1" s="65">
      <c r="A15" s="55" t="n"/>
      <c r="B15" s="380" t="n"/>
      <c r="C15" s="374" t="n"/>
      <c r="D15" s="374" t="n"/>
      <c r="E15" s="374" t="n"/>
      <c r="F15" s="374" t="n"/>
      <c r="G15" s="374" t="n"/>
      <c r="H15" s="374" t="n"/>
      <c r="I15" s="374" t="n"/>
      <c r="J15" s="374" t="n"/>
      <c r="K15" s="374" t="n"/>
      <c r="L15" s="374" t="n"/>
      <c r="M15" s="374" t="n"/>
      <c r="N15" s="374" t="n"/>
      <c r="O15" s="374" t="n"/>
      <c r="P15" s="225" t="n"/>
      <c r="Q15" s="19" t="n"/>
      <c r="R15" s="267" t="n"/>
      <c r="S15" s="268" t="n"/>
      <c r="T15" s="268" t="n"/>
      <c r="U15" s="268" t="n"/>
      <c r="V15" s="268" t="n"/>
      <c r="W15" s="64" t="n"/>
    </row>
    <row r="16" ht="19.5" customFormat="1" customHeight="1" s="65">
      <c r="A16" s="55" t="n"/>
      <c r="B16" s="209" t="inlineStr">
        <is>
          <t>Requirements of the applicable financial reporting framework [ISA (revised) 540.13b]</t>
        </is>
      </c>
      <c r="C16" s="68" t="n"/>
      <c r="D16" s="68" t="n"/>
      <c r="E16" s="68" t="n"/>
      <c r="F16" s="68" t="n"/>
      <c r="G16" s="68" t="n"/>
      <c r="H16" s="68" t="n"/>
      <c r="I16" s="68" t="n"/>
      <c r="J16" s="68" t="n"/>
      <c r="K16" s="68" t="n"/>
      <c r="L16" s="68" t="n"/>
      <c r="M16" s="68" t="n"/>
      <c r="N16" s="68" t="n"/>
      <c r="O16" s="68" t="n"/>
      <c r="P16" s="210" t="n"/>
      <c r="Q16" s="19" t="n"/>
      <c r="R16" s="267" t="n"/>
      <c r="S16" s="268" t="n"/>
      <c r="T16" s="268" t="n"/>
      <c r="U16" s="268" t="n"/>
      <c r="V16" s="268" t="n"/>
      <c r="W16" s="64" t="n"/>
    </row>
    <row r="17" ht="15" customFormat="1" customHeight="1" s="65">
      <c r="A17" s="55" t="n"/>
      <c r="B17" s="382" t="inlineStr">
        <is>
          <t>적용 재무보고체계는 일반기업회계기준(K-GAAP)임. 재고자산은 취득원가와 순실현가능가치(NRV) 중 낮은 금액으로 평가하며(저가법), NRV가 원가에 미달하는 경우 그 차액을 재고자산평가충당금(평가손실)으로 인식함.</t>
        </is>
      </c>
      <c r="C17" s="374" t="n"/>
      <c r="D17" s="374" t="n"/>
      <c r="E17" s="374" t="n"/>
      <c r="F17" s="374" t="n"/>
      <c r="G17" s="374" t="n"/>
      <c r="H17" s="374" t="n"/>
      <c r="I17" s="374" t="n"/>
      <c r="J17" s="374" t="n"/>
      <c r="K17" s="374" t="n"/>
      <c r="L17" s="374" t="n"/>
      <c r="M17" s="374" t="n"/>
      <c r="N17" s="374" t="n"/>
      <c r="O17" s="374" t="n"/>
      <c r="P17" s="332" t="inlineStr">
        <is>
          <t>Link to guidance</t>
        </is>
      </c>
      <c r="Q17" s="78" t="n"/>
      <c r="R17" s="269" t="n"/>
      <c r="S17" s="270" t="n"/>
      <c r="T17" s="270" t="n"/>
      <c r="U17" s="271" t="n"/>
      <c r="V17" s="271" t="n"/>
      <c r="W17" s="132" t="n"/>
    </row>
    <row r="18" customFormat="1" s="65">
      <c r="A18" s="55" t="n"/>
      <c r="B18" s="380" t="n"/>
      <c r="C18" s="374" t="n"/>
      <c r="D18" s="374" t="n"/>
      <c r="E18" s="374" t="n"/>
      <c r="F18" s="374" t="n"/>
      <c r="G18" s="374" t="n"/>
      <c r="H18" s="374" t="n"/>
      <c r="I18" s="374" t="n"/>
      <c r="J18" s="374" t="n"/>
      <c r="K18" s="374" t="n"/>
      <c r="L18" s="374" t="n"/>
      <c r="M18" s="374" t="n"/>
      <c r="N18" s="374" t="n"/>
      <c r="O18" s="374" t="n"/>
      <c r="P18" s="381" t="n"/>
      <c r="Q18" s="78" t="n"/>
      <c r="R18" s="269" t="n"/>
      <c r="S18" s="270" t="n"/>
      <c r="T18" s="270" t="n"/>
      <c r="U18" s="271" t="n"/>
      <c r="V18" s="271" t="n"/>
      <c r="W18" s="132" t="n"/>
    </row>
    <row r="19" ht="15" customFormat="1" customHeight="1" s="65">
      <c r="A19" s="55" t="n"/>
      <c r="B19" s="380" t="n"/>
      <c r="C19" s="374" t="n"/>
      <c r="D19" s="374" t="n"/>
      <c r="E19" s="374" t="n"/>
      <c r="F19" s="374" t="n"/>
      <c r="G19" s="374" t="n"/>
      <c r="H19" s="374" t="n"/>
      <c r="I19" s="374" t="n"/>
      <c r="J19" s="374" t="n"/>
      <c r="K19" s="374" t="n"/>
      <c r="L19" s="374" t="n"/>
      <c r="M19" s="374" t="n"/>
      <c r="N19" s="374" t="n"/>
      <c r="O19" s="374" t="n"/>
      <c r="P19" s="226" t="n"/>
      <c r="Q19" s="78" t="n"/>
      <c r="R19" s="272" t="n"/>
      <c r="S19" s="273" t="n"/>
      <c r="T19" s="273" t="n"/>
      <c r="U19" s="273" t="n"/>
      <c r="V19" s="273" t="n"/>
      <c r="W19" s="133" t="n"/>
    </row>
    <row r="20" ht="19.5" customFormat="1" customHeight="1" s="65">
      <c r="A20" s="55" t="n"/>
      <c r="B20" s="209" t="inlineStr">
        <is>
          <t>Regulatory factors [ISA 540 (revised) 540.13c]</t>
        </is>
      </c>
      <c r="C20" s="68" t="n"/>
      <c r="D20" s="68" t="n"/>
      <c r="E20" s="68" t="n"/>
      <c r="F20" s="68" t="n"/>
      <c r="G20" s="68" t="n"/>
      <c r="H20" s="68" t="n"/>
      <c r="I20" s="68" t="n"/>
      <c r="J20" s="68" t="n"/>
      <c r="K20" s="68" t="n"/>
      <c r="L20" s="68" t="n"/>
      <c r="M20" s="68" t="n"/>
      <c r="N20" s="68" t="n"/>
      <c r="O20" s="68" t="n"/>
      <c r="P20" s="210" t="n"/>
      <c r="Q20" s="19" t="n"/>
      <c r="R20" s="274" t="n"/>
      <c r="S20" s="275" t="n"/>
      <c r="T20" s="275" t="n"/>
      <c r="U20" s="275" t="n"/>
      <c r="V20" s="275" t="n"/>
      <c r="W20" s="64" t="n"/>
    </row>
    <row r="21" ht="15" customFormat="1" customHeight="1" s="65">
      <c r="A21" s="55" t="n"/>
      <c r="B21" s="382" t="inlineStr">
        <is>
          <t>재고자산 평가에 영향을 미치는 특별한 규제요인은 식별되지 않음.</t>
        </is>
      </c>
      <c r="C21" s="374" t="n"/>
      <c r="D21" s="374" t="n"/>
      <c r="E21" s="374" t="n"/>
      <c r="F21" s="374" t="n"/>
      <c r="G21" s="374" t="n"/>
      <c r="H21" s="374" t="n"/>
      <c r="I21" s="374" t="n"/>
      <c r="J21" s="374" t="n"/>
      <c r="K21" s="374" t="n"/>
      <c r="L21" s="374" t="n"/>
      <c r="M21" s="374" t="n"/>
      <c r="N21" s="374" t="n"/>
      <c r="O21" s="374" t="n"/>
      <c r="P21" s="332" t="inlineStr">
        <is>
          <t>Link to guidance</t>
        </is>
      </c>
      <c r="Q21" s="19" t="n"/>
      <c r="R21" s="269" t="n"/>
      <c r="S21" s="270" t="n"/>
      <c r="T21" s="270" t="n"/>
      <c r="U21" s="271" t="n"/>
      <c r="V21" s="271" t="n"/>
      <c r="W21" s="132" t="n"/>
    </row>
    <row r="22" customFormat="1" s="65">
      <c r="A22" s="55" t="n"/>
      <c r="B22" s="380" t="n"/>
      <c r="C22" s="374" t="n"/>
      <c r="D22" s="374" t="n"/>
      <c r="E22" s="374" t="n"/>
      <c r="F22" s="374" t="n"/>
      <c r="G22" s="374" t="n"/>
      <c r="H22" s="374" t="n"/>
      <c r="I22" s="374" t="n"/>
      <c r="J22" s="374" t="n"/>
      <c r="K22" s="374" t="n"/>
      <c r="L22" s="374" t="n"/>
      <c r="M22" s="374" t="n"/>
      <c r="N22" s="374" t="n"/>
      <c r="O22" s="374" t="n"/>
      <c r="P22" s="381" t="n"/>
      <c r="Q22" s="78" t="n"/>
      <c r="R22" s="269" t="n"/>
      <c r="S22" s="270" t="n"/>
      <c r="T22" s="270" t="n"/>
      <c r="U22" s="271" t="n"/>
      <c r="V22" s="271" t="n"/>
      <c r="W22" s="132" t="n"/>
    </row>
    <row r="23" customFormat="1" s="65">
      <c r="A23" s="55" t="n"/>
      <c r="B23" s="380" t="n"/>
      <c r="C23" s="374" t="n"/>
      <c r="D23" s="374" t="n"/>
      <c r="E23" s="374" t="n"/>
      <c r="F23" s="374" t="n"/>
      <c r="G23" s="374" t="n"/>
      <c r="H23" s="374" t="n"/>
      <c r="I23" s="374" t="n"/>
      <c r="J23" s="374" t="n"/>
      <c r="K23" s="374" t="n"/>
      <c r="L23" s="374" t="n"/>
      <c r="M23" s="374" t="n"/>
      <c r="N23" s="374" t="n"/>
      <c r="O23" s="374" t="n"/>
      <c r="P23" s="226" t="n"/>
      <c r="Q23" s="78" t="n"/>
      <c r="R23" s="272" t="n"/>
      <c r="S23" s="273" t="n"/>
      <c r="T23" s="273" t="n"/>
      <c r="U23" s="273" t="n"/>
      <c r="V23" s="273" t="n"/>
      <c r="W23" s="133" t="n"/>
    </row>
    <row r="24" ht="15.75" customFormat="1" customHeight="1" s="65" thickBot="1">
      <c r="B24" s="211" t="n"/>
      <c r="C24" s="40" t="n"/>
      <c r="D24" s="40" t="n"/>
      <c r="E24" s="40" t="n"/>
      <c r="F24" s="40" t="n"/>
      <c r="G24" s="40" t="n"/>
      <c r="H24" s="40" t="n"/>
      <c r="I24" s="40" t="n"/>
      <c r="J24" s="40" t="n"/>
      <c r="K24" s="40" t="n"/>
      <c r="L24" s="40" t="n"/>
      <c r="M24" s="40" t="n"/>
      <c r="N24" s="40" t="n"/>
      <c r="O24" s="40" t="n"/>
      <c r="P24" s="227" t="n"/>
      <c r="Q24" s="78" t="n"/>
      <c r="R24" s="272" t="n"/>
      <c r="S24" s="273" t="n"/>
      <c r="T24" s="273" t="n"/>
      <c r="U24" s="273" t="n"/>
      <c r="V24" s="273" t="n"/>
      <c r="W24" s="133" t="n"/>
    </row>
    <row r="25" ht="16.5" customFormat="1" customHeight="1" s="65" thickBot="1">
      <c r="B25" s="181" t="inlineStr">
        <is>
          <t>Scoping Question</t>
        </is>
      </c>
      <c r="C25" s="311" t="n"/>
      <c r="D25" s="311" t="n"/>
      <c r="E25" s="311" t="n"/>
      <c r="F25" s="311" t="n"/>
      <c r="G25" s="311" t="n"/>
      <c r="H25" s="311" t="n"/>
      <c r="I25" s="311" t="n"/>
      <c r="J25" s="311" t="n"/>
      <c r="K25" s="311" t="n"/>
      <c r="L25" s="311" t="n"/>
      <c r="M25" s="311" t="n"/>
      <c r="N25" s="311" t="n"/>
      <c r="O25" s="311" t="n"/>
      <c r="P25" s="227" t="n"/>
      <c r="Q25" s="78" t="n"/>
      <c r="R25" s="272" t="n"/>
      <c r="S25" s="273" t="n"/>
      <c r="T25" s="273" t="n"/>
      <c r="U25" s="273" t="n"/>
      <c r="V25" s="273" t="n"/>
      <c r="W25" s="133" t="n"/>
    </row>
    <row r="26" ht="34.5" customFormat="1" customHeight="1" s="65" thickBot="1">
      <c r="B26" s="361" t="inlineStr">
        <is>
          <t>Considering the inherent risk factors including estimation uncertainty, complexity and subjectivity, do you consider there to be a risk of material misstatement (standard, enhanced or significant) associated with the accounting estimate?</t>
        </is>
      </c>
      <c r="K26" s="313" t="inlineStr">
        <is>
          <t>Yes</t>
        </is>
      </c>
      <c r="L26" s="312" t="n"/>
      <c r="M26" s="312" t="n"/>
      <c r="N26" s="312" t="n"/>
      <c r="O26" s="312" t="n"/>
      <c r="P26" s="227" t="n"/>
      <c r="Q26" s="78" t="n"/>
      <c r="R26" s="272" t="n"/>
      <c r="S26" s="273" t="n"/>
      <c r="T26" s="273" t="n"/>
      <c r="U26" s="273" t="n"/>
      <c r="V26" s="273" t="n"/>
      <c r="W26" s="133" t="n"/>
    </row>
    <row r="27" customFormat="1" s="65">
      <c r="B27" s="382" t="inlineStr">
        <is>
          <t>재고자산(상품) 총액이 재무제표에 중요하고 시즌별 설정률 적용에 경영진의 판단이 개입되며 FY2025 중 설정률을 하향 조정한 이력이 있어 중요왜곡표시위험이 존재함. 판단개입 및 정책변경 이력을 고려하여 강화위험(Enhanced)으로 판단함.</t>
        </is>
      </c>
      <c r="C27" s="374" t="n"/>
      <c r="D27" s="374" t="n"/>
      <c r="E27" s="374" t="n"/>
      <c r="F27" s="374" t="n"/>
      <c r="G27" s="374" t="n"/>
      <c r="H27" s="374" t="n"/>
      <c r="I27" s="374" t="n"/>
      <c r="J27" s="374" t="n"/>
      <c r="K27" s="374" t="n"/>
      <c r="L27" s="374" t="n"/>
      <c r="M27" s="374" t="n"/>
      <c r="N27" s="374" t="n"/>
      <c r="O27" s="374" t="n"/>
      <c r="P27" s="227" t="n"/>
      <c r="Q27" s="78" t="n"/>
      <c r="R27" s="272" t="n"/>
      <c r="S27" s="273" t="n"/>
      <c r="T27" s="273" t="n"/>
      <c r="U27" s="273" t="n"/>
      <c r="V27" s="273" t="n"/>
      <c r="W27" s="133" t="n"/>
    </row>
    <row r="28" customFormat="1" s="65">
      <c r="B28" s="380" t="n"/>
      <c r="C28" s="374" t="n"/>
      <c r="D28" s="374" t="n"/>
      <c r="E28" s="374" t="n"/>
      <c r="F28" s="374" t="n"/>
      <c r="G28" s="374" t="n"/>
      <c r="H28" s="374" t="n"/>
      <c r="I28" s="374" t="n"/>
      <c r="J28" s="374" t="n"/>
      <c r="K28" s="374" t="n"/>
      <c r="L28" s="374" t="n"/>
      <c r="M28" s="374" t="n"/>
      <c r="N28" s="374" t="n"/>
      <c r="O28" s="374" t="n"/>
      <c r="P28" s="227" t="n"/>
      <c r="Q28" s="78" t="n"/>
      <c r="R28" s="272" t="n"/>
      <c r="S28" s="273" t="n"/>
      <c r="T28" s="273" t="n"/>
      <c r="U28" s="273" t="n"/>
      <c r="V28" s="273" t="n"/>
      <c r="W28" s="133" t="n"/>
    </row>
    <row r="29" customFormat="1" s="65">
      <c r="B29" s="380" t="n"/>
      <c r="C29" s="374" t="n"/>
      <c r="D29" s="374" t="n"/>
      <c r="E29" s="374" t="n"/>
      <c r="F29" s="374" t="n"/>
      <c r="G29" s="374" t="n"/>
      <c r="H29" s="374" t="n"/>
      <c r="I29" s="374" t="n"/>
      <c r="J29" s="374" t="n"/>
      <c r="K29" s="374" t="n"/>
      <c r="L29" s="374" t="n"/>
      <c r="M29" s="374" t="n"/>
      <c r="N29" s="374" t="n"/>
      <c r="O29" s="374" t="n"/>
      <c r="P29" s="227" t="n"/>
      <c r="Q29" s="78" t="n"/>
      <c r="R29" s="272" t="n"/>
      <c r="S29" s="273" t="n"/>
      <c r="T29" s="273" t="n"/>
      <c r="U29" s="273" t="n"/>
      <c r="V29" s="273" t="n"/>
      <c r="W29" s="133" t="n"/>
    </row>
    <row r="30" ht="15.75" customFormat="1" customHeight="1" s="65" thickBot="1">
      <c r="B30" s="211" t="n"/>
      <c r="C30" s="40" t="n"/>
      <c r="D30" s="40" t="n"/>
      <c r="E30" s="40" t="n"/>
      <c r="F30" s="40" t="n"/>
      <c r="G30" s="40" t="n"/>
      <c r="H30" s="40" t="n"/>
      <c r="I30" s="40" t="n"/>
      <c r="J30" s="40" t="n"/>
      <c r="K30" s="40" t="n"/>
      <c r="L30" s="40" t="n"/>
      <c r="M30" s="40" t="n"/>
      <c r="N30" s="40" t="n"/>
      <c r="O30" s="40" t="n"/>
      <c r="P30" s="227" t="n"/>
      <c r="Q30" s="78" t="n"/>
      <c r="R30" s="272" t="n"/>
      <c r="S30" s="273" t="n"/>
      <c r="T30" s="273" t="n"/>
      <c r="U30" s="273" t="n"/>
      <c r="V30" s="273" t="n"/>
      <c r="W30" s="133" t="n"/>
    </row>
    <row r="31" ht="34.5" customFormat="1" customHeight="1" s="65">
      <c r="B31" s="383">
        <f>IF(K26="Yes","Please continue with this tool",IF(K26="No","Since you have not identified any risk of material misstatement associated with the accounting estimate, the remainder of this tool is not required to be completed.",""))</f>
        <v/>
      </c>
      <c r="C31" s="384" t="n"/>
      <c r="D31" s="384" t="n"/>
      <c r="E31" s="384" t="n"/>
      <c r="F31" s="384" t="n"/>
      <c r="G31" s="384" t="n"/>
      <c r="H31" s="384" t="n"/>
      <c r="I31" s="384" t="n"/>
      <c r="J31" s="384" t="n"/>
      <c r="K31" s="384" t="n"/>
      <c r="L31" s="384" t="n"/>
      <c r="M31" s="385" t="n"/>
      <c r="N31" s="40" t="n"/>
      <c r="P31" s="227" t="n"/>
      <c r="Q31" s="78" t="n"/>
      <c r="R31" s="272" t="n"/>
      <c r="S31" s="273" t="n"/>
      <c r="T31" s="273" t="n"/>
      <c r="U31" s="273" t="n"/>
      <c r="V31" s="273" t="n"/>
      <c r="W31" s="133" t="n"/>
    </row>
    <row r="32" ht="34.5" customFormat="1" customHeight="1" s="65">
      <c r="B32" s="314">
        <f>IF(K26="Yes","",IF(K26="No","If you obtain any additional information throughout the audit that leads you to believe that there is a risk of material misstatement, you must update this question.",""))</f>
        <v/>
      </c>
      <c r="N32" s="40" t="n"/>
      <c r="P32" s="227" t="n"/>
      <c r="Q32" s="78" t="n"/>
      <c r="R32" s="272" t="n"/>
      <c r="S32" s="273" t="n"/>
      <c r="T32" s="273" t="n"/>
      <c r="U32" s="273" t="n"/>
      <c r="V32" s="273" t="n"/>
      <c r="W32" s="133" t="n"/>
    </row>
    <row r="33" ht="15.75" customFormat="1" customHeight="1" s="65" thickBot="1">
      <c r="B33" s="228" t="n"/>
      <c r="C33" s="78" t="n"/>
      <c r="D33" s="78" t="n"/>
      <c r="E33" s="78" t="n"/>
      <c r="F33" s="78" t="n"/>
      <c r="G33" s="78" t="n"/>
      <c r="H33" s="78" t="n"/>
      <c r="I33" s="78" t="n"/>
      <c r="J33" s="78" t="n"/>
      <c r="K33" s="78" t="n"/>
      <c r="L33" s="78" t="n"/>
      <c r="M33" s="78" t="n"/>
      <c r="N33" s="78" t="n"/>
      <c r="O33" s="78" t="n"/>
      <c r="P33" s="213" t="n"/>
      <c r="Q33" s="78" t="n"/>
      <c r="R33" s="272" t="n"/>
      <c r="S33" s="273" t="n"/>
      <c r="T33" s="273" t="n"/>
      <c r="U33" s="273" t="n"/>
      <c r="V33" s="273" t="n"/>
      <c r="W33" s="133" t="n"/>
    </row>
    <row r="34" ht="21" customFormat="1" customHeight="1" s="65">
      <c r="A34" s="55" t="n"/>
      <c r="B34" s="181" t="inlineStr">
        <is>
          <t>Obtaining an understanding of the entity's system of internal control</t>
        </is>
      </c>
      <c r="C34" s="182" t="n"/>
      <c r="D34" s="182" t="n"/>
      <c r="E34" s="182" t="n"/>
      <c r="F34" s="182" t="n"/>
      <c r="G34" s="182" t="n"/>
      <c r="H34" s="182" t="n"/>
      <c r="I34" s="182" t="n"/>
      <c r="J34" s="182" t="n"/>
      <c r="K34" s="182" t="n"/>
      <c r="L34" s="182" t="n"/>
      <c r="M34" s="182" t="n"/>
      <c r="N34" s="182" t="n"/>
      <c r="O34" s="182" t="n"/>
      <c r="P34" s="208" t="n"/>
      <c r="Q34" s="78" t="n"/>
      <c r="R34" s="272" t="n"/>
      <c r="S34" s="273" t="n"/>
      <c r="T34" s="273" t="n"/>
      <c r="U34" s="273" t="n"/>
      <c r="V34" s="273" t="n"/>
      <c r="W34" s="133" t="n"/>
    </row>
    <row r="35" ht="19.5" customFormat="1" customHeight="1" s="65">
      <c r="A35" s="55" t="n"/>
      <c r="B35" s="209" t="inlineStr">
        <is>
          <t>Nature and extent of oversight and governance [ISA(revised) 540.13e]</t>
        </is>
      </c>
      <c r="C35" s="68" t="n"/>
      <c r="D35" s="68" t="n"/>
      <c r="E35" s="68" t="n"/>
      <c r="F35" s="68" t="n"/>
      <c r="G35" s="68" t="n"/>
      <c r="H35" s="68" t="n"/>
      <c r="I35" s="68" t="n"/>
      <c r="J35" s="68" t="n"/>
      <c r="K35" s="68" t="n"/>
      <c r="L35" s="68" t="n"/>
      <c r="M35" s="68" t="n"/>
      <c r="N35" s="68" t="n"/>
      <c r="O35" s="68" t="n"/>
      <c r="P35" s="210" t="n"/>
      <c r="Q35" s="19" t="n"/>
      <c r="R35" s="274" t="n"/>
      <c r="S35" s="275" t="n"/>
      <c r="T35" s="275" t="n"/>
      <c r="U35" s="275" t="n"/>
      <c r="V35" s="275" t="n"/>
      <c r="W35" s="64" t="n"/>
    </row>
    <row r="36" customFormat="1" s="65">
      <c r="A36" s="55" t="n"/>
      <c r="B36" s="382" t="inlineStr">
        <is>
          <t>회사는 FY2025 중 ageing 구간별 충당금 설정률을 하향 조정하면서 내부 리뷰 및 본사(VF) 승인을 득하였으며, 이를 통해 지배기구/본사 차원에서 평가충당금 정책에 대한 감독이 이루어짐.</t>
        </is>
      </c>
      <c r="C36" s="374" t="n"/>
      <c r="D36" s="374" t="n"/>
      <c r="E36" s="374" t="n"/>
      <c r="F36" s="374" t="n"/>
      <c r="G36" s="374" t="n"/>
      <c r="H36" s="374" t="n"/>
      <c r="I36" s="374" t="n"/>
      <c r="J36" s="374" t="n"/>
      <c r="K36" s="374" t="n"/>
      <c r="L36" s="374" t="n"/>
      <c r="M36" s="374" t="n"/>
      <c r="N36" s="374" t="n"/>
      <c r="O36" s="374" t="n"/>
      <c r="P36" s="332" t="inlineStr">
        <is>
          <t>Link to guidance</t>
        </is>
      </c>
      <c r="Q36" s="134" t="n"/>
      <c r="R36" s="269" t="n"/>
      <c r="S36" s="270" t="n"/>
      <c r="T36" s="270" t="n"/>
      <c r="U36" s="271" t="n"/>
      <c r="V36" s="271" t="n"/>
      <c r="W36" s="132" t="n"/>
    </row>
    <row r="37" ht="15" customFormat="1" customHeight="1" s="65">
      <c r="A37" s="55" t="n"/>
      <c r="B37" s="380" t="n"/>
      <c r="C37" s="374" t="n"/>
      <c r="D37" s="374" t="n"/>
      <c r="E37" s="374" t="n"/>
      <c r="F37" s="374" t="n"/>
      <c r="G37" s="374" t="n"/>
      <c r="H37" s="374" t="n"/>
      <c r="I37" s="374" t="n"/>
      <c r="J37" s="374" t="n"/>
      <c r="K37" s="374" t="n"/>
      <c r="L37" s="374" t="n"/>
      <c r="M37" s="374" t="n"/>
      <c r="N37" s="374" t="n"/>
      <c r="O37" s="374" t="n"/>
      <c r="P37" s="381" t="n"/>
      <c r="Q37" s="134" t="n"/>
      <c r="R37" s="269" t="n"/>
      <c r="S37" s="270" t="n"/>
      <c r="T37" s="270" t="n"/>
      <c r="U37" s="271" t="n"/>
      <c r="V37" s="271" t="n"/>
      <c r="W37" s="132" t="n"/>
    </row>
    <row r="38" customFormat="1" s="65">
      <c r="A38" s="55" t="n"/>
      <c r="B38" s="380" t="n"/>
      <c r="C38" s="374" t="n"/>
      <c r="D38" s="374" t="n"/>
      <c r="E38" s="374" t="n"/>
      <c r="F38" s="374" t="n"/>
      <c r="G38" s="374" t="n"/>
      <c r="H38" s="374" t="n"/>
      <c r="I38" s="374" t="n"/>
      <c r="J38" s="374" t="n"/>
      <c r="K38" s="374" t="n"/>
      <c r="L38" s="374" t="n"/>
      <c r="M38" s="374" t="n"/>
      <c r="N38" s="374" t="n"/>
      <c r="O38" s="374" t="n"/>
      <c r="P38" s="212" t="n"/>
      <c r="Q38" s="78" t="n"/>
      <c r="R38" s="272" t="n"/>
      <c r="S38" s="273" t="n"/>
      <c r="T38" s="273" t="n"/>
      <c r="U38" s="273" t="n"/>
      <c r="V38" s="273" t="n"/>
      <c r="W38" s="133" t="n"/>
    </row>
    <row r="39" ht="19.5" customFormat="1" customHeight="1" s="65">
      <c r="A39" s="55" t="n"/>
      <c r="B39" s="209" t="inlineStr">
        <is>
          <t>Risk assessment processes [ISA(revised) 540.13g]</t>
        </is>
      </c>
      <c r="C39" s="68" t="n"/>
      <c r="D39" s="68" t="n"/>
      <c r="E39" s="68" t="n"/>
      <c r="F39" s="68" t="n"/>
      <c r="G39" s="68" t="n"/>
      <c r="H39" s="68" t="n"/>
      <c r="I39" s="68" t="n"/>
      <c r="J39" s="68" t="n"/>
      <c r="K39" s="68" t="n"/>
      <c r="L39" s="68" t="n"/>
      <c r="M39" s="68" t="n"/>
      <c r="N39" s="68" t="n"/>
      <c r="O39" s="68" t="n"/>
      <c r="P39" s="210" t="n"/>
      <c r="Q39" s="19" t="n"/>
      <c r="R39" s="274" t="n"/>
      <c r="S39" s="275" t="n"/>
      <c r="T39" s="275" t="n"/>
      <c r="U39" s="275" t="n"/>
      <c r="V39" s="275" t="n"/>
      <c r="W39" s="64" t="n"/>
    </row>
    <row r="40" ht="15" customFormat="1" customHeight="1" s="65">
      <c r="A40" s="55" t="n"/>
      <c r="B40" s="382" t="inlineStr">
        <is>
          <t>회사는 시즌별 재고 age 및 재고회전을 모니터링하고, 과거 재고 폐기·원가이하판매 등 NRV 미실현 경험을 근거로 설정률의 적정성을 평가·조정함.</t>
        </is>
      </c>
      <c r="C40" s="374" t="n"/>
      <c r="D40" s="374" t="n"/>
      <c r="E40" s="374" t="n"/>
      <c r="F40" s="374" t="n"/>
      <c r="G40" s="374" t="n"/>
      <c r="H40" s="374" t="n"/>
      <c r="I40" s="374" t="n"/>
      <c r="J40" s="374" t="n"/>
      <c r="K40" s="374" t="n"/>
      <c r="L40" s="374" t="n"/>
      <c r="M40" s="374" t="n"/>
      <c r="N40" s="374" t="n"/>
      <c r="O40" s="374" t="n"/>
      <c r="P40" s="332" t="inlineStr">
        <is>
          <t>Link to guidance</t>
        </is>
      </c>
      <c r="Q40" s="78" t="n"/>
      <c r="R40" s="269" t="n"/>
      <c r="S40" s="270" t="n"/>
      <c r="T40" s="270" t="n"/>
      <c r="U40" s="271" t="n"/>
      <c r="V40" s="271" t="n"/>
      <c r="W40" s="132" t="n"/>
    </row>
    <row r="41" ht="15" customFormat="1" customHeight="1" s="65">
      <c r="A41" s="55" t="n"/>
      <c r="B41" s="380" t="n"/>
      <c r="C41" s="374" t="n"/>
      <c r="D41" s="374" t="n"/>
      <c r="E41" s="374" t="n"/>
      <c r="F41" s="374" t="n"/>
      <c r="G41" s="374" t="n"/>
      <c r="H41" s="374" t="n"/>
      <c r="I41" s="374" t="n"/>
      <c r="J41" s="374" t="n"/>
      <c r="K41" s="374" t="n"/>
      <c r="L41" s="374" t="n"/>
      <c r="M41" s="374" t="n"/>
      <c r="N41" s="374" t="n"/>
      <c r="O41" s="374" t="n"/>
      <c r="P41" s="381" t="n"/>
      <c r="Q41" s="78" t="n"/>
      <c r="R41" s="269" t="n"/>
      <c r="S41" s="270" t="n"/>
      <c r="T41" s="270" t="n"/>
      <c r="U41" s="271" t="n"/>
      <c r="V41" s="271" t="n"/>
      <c r="W41" s="132" t="n"/>
    </row>
    <row r="42" ht="14.45" customFormat="1" customHeight="1" s="65">
      <c r="A42" s="55" t="n"/>
      <c r="B42" s="380" t="n"/>
      <c r="C42" s="374" t="n"/>
      <c r="D42" s="374" t="n"/>
      <c r="E42" s="374" t="n"/>
      <c r="F42" s="374" t="n"/>
      <c r="G42" s="374" t="n"/>
      <c r="H42" s="374" t="n"/>
      <c r="I42" s="374" t="n"/>
      <c r="J42" s="374" t="n"/>
      <c r="K42" s="374" t="n"/>
      <c r="L42" s="374" t="n"/>
      <c r="M42" s="374" t="n"/>
      <c r="N42" s="374" t="n"/>
      <c r="O42" s="374" t="n"/>
      <c r="P42" s="381" t="n"/>
      <c r="Q42" s="78" t="n"/>
      <c r="R42" s="269" t="n"/>
      <c r="S42" s="270" t="n"/>
      <c r="T42" s="270" t="n"/>
      <c r="U42" s="271" t="n"/>
      <c r="V42" s="271" t="n"/>
      <c r="W42" s="132" t="n"/>
    </row>
    <row r="43" ht="20.25" customFormat="1" customHeight="1" s="65">
      <c r="A43" s="55" t="n"/>
      <c r="B43" s="380" t="n"/>
      <c r="C43" s="374" t="n"/>
      <c r="D43" s="374" t="n"/>
      <c r="E43" s="374" t="n"/>
      <c r="F43" s="374" t="n"/>
      <c r="G43" s="374" t="n"/>
      <c r="H43" s="374" t="n"/>
      <c r="I43" s="374" t="n"/>
      <c r="J43" s="374" t="n"/>
      <c r="K43" s="374" t="n"/>
      <c r="L43" s="374" t="n"/>
      <c r="M43" s="374" t="n"/>
      <c r="N43" s="374" t="n"/>
      <c r="O43" s="374" t="n"/>
      <c r="P43" s="212" t="n"/>
      <c r="Q43" s="78" t="n"/>
      <c r="R43" s="272" t="n"/>
      <c r="S43" s="273" t="n"/>
      <c r="T43" s="273" t="n"/>
      <c r="U43" s="273" t="n"/>
      <c r="V43" s="273" t="n"/>
      <c r="W43" s="133" t="n"/>
    </row>
    <row r="44" ht="19.5" customFormat="1" customHeight="1" s="65">
      <c r="A44" s="55" t="n"/>
      <c r="B44" s="209" t="inlineStr">
        <is>
          <t>Control activities [ISA(revised) 540.13i]</t>
        </is>
      </c>
      <c r="C44" s="68" t="n"/>
      <c r="D44" s="68" t="n"/>
      <c r="E44" s="68" t="n"/>
      <c r="F44" s="68" t="n"/>
      <c r="G44" s="68" t="n"/>
      <c r="H44" s="68" t="n"/>
      <c r="I44" s="68" t="n"/>
      <c r="J44" s="68" t="n"/>
      <c r="K44" s="68" t="n"/>
      <c r="L44" s="68" t="n"/>
      <c r="M44" s="68" t="n"/>
      <c r="N44" s="68" t="n"/>
      <c r="O44" s="68" t="n"/>
      <c r="P44" s="210" t="n"/>
      <c r="Q44" s="19" t="n"/>
      <c r="R44" s="274" t="n"/>
      <c r="S44" s="275" t="n"/>
      <c r="T44" s="275" t="n"/>
      <c r="U44" s="275" t="n"/>
      <c r="V44" s="275" t="n"/>
      <c r="W44" s="64" t="n"/>
    </row>
    <row r="45" customFormat="1" s="65">
      <c r="A45" s="55" t="n"/>
      <c r="B45" s="382" t="inlineStr">
        <is>
          <t>① 시즌별 재고수불부(재고리스트) 관리, ② 재고자산평가충당금 계산내역의 검토 및 승인, ③ 설정률 변경 시 내부 리뷰 및 본사 승인. (식별된 통제는 Atlas의 해당 노드에 반영 필요.)</t>
        </is>
      </c>
      <c r="C45" s="374" t="n"/>
      <c r="D45" s="374" t="n"/>
      <c r="E45" s="374" t="n"/>
      <c r="F45" s="374" t="n"/>
      <c r="G45" s="374" t="n"/>
      <c r="H45" s="374" t="n"/>
      <c r="I45" s="374" t="n"/>
      <c r="J45" s="374" t="n"/>
      <c r="K45" s="374" t="n"/>
      <c r="L45" s="374" t="n"/>
      <c r="M45" s="374" t="n"/>
      <c r="N45" s="374" t="n"/>
      <c r="O45" s="374" t="n"/>
      <c r="P45" s="332" t="inlineStr">
        <is>
          <t>Link to guidance</t>
        </is>
      </c>
      <c r="Q45" s="78" t="n"/>
      <c r="R45" s="354" t="inlineStr">
        <is>
          <t xml:space="preserve">Please ensure that the controls identified here are copied into Atlas on the node 'Identify controls that address WCGW's and relate them to the WCGW's' </t>
        </is>
      </c>
      <c r="W45" s="132" t="n"/>
    </row>
    <row r="46" customFormat="1" s="65">
      <c r="A46" s="55" t="n"/>
      <c r="B46" s="380" t="n"/>
      <c r="C46" s="374" t="n"/>
      <c r="D46" s="374" t="n"/>
      <c r="E46" s="374" t="n"/>
      <c r="F46" s="374" t="n"/>
      <c r="G46" s="374" t="n"/>
      <c r="H46" s="374" t="n"/>
      <c r="I46" s="374" t="n"/>
      <c r="J46" s="374" t="n"/>
      <c r="K46" s="374" t="n"/>
      <c r="L46" s="374" t="n"/>
      <c r="M46" s="374" t="n"/>
      <c r="N46" s="374" t="n"/>
      <c r="O46" s="374" t="n"/>
      <c r="P46" s="381" t="n"/>
      <c r="Q46" s="78" t="n"/>
      <c r="W46" s="132" t="n"/>
    </row>
    <row r="47" customFormat="1" s="65">
      <c r="B47" s="380" t="n"/>
      <c r="C47" s="374" t="n"/>
      <c r="D47" s="374" t="n"/>
      <c r="E47" s="374" t="n"/>
      <c r="F47" s="374" t="n"/>
      <c r="G47" s="374" t="n"/>
      <c r="H47" s="374" t="n"/>
      <c r="I47" s="374" t="n"/>
      <c r="J47" s="374" t="n"/>
      <c r="K47" s="374" t="n"/>
      <c r="L47" s="374" t="n"/>
      <c r="M47" s="374" t="n"/>
      <c r="N47" s="374" t="n"/>
      <c r="O47" s="374" t="n"/>
      <c r="P47" s="304" t="n"/>
      <c r="Q47" s="78" t="n"/>
      <c r="W47" s="133" t="n"/>
    </row>
    <row r="48" ht="15" customFormat="1" customHeight="1" s="65">
      <c r="A48" s="55" t="n"/>
      <c r="B48" s="209" t="inlineStr">
        <is>
          <t>Entity's information system [ISA(revised) 540.13h]</t>
        </is>
      </c>
      <c r="C48" s="214" t="n"/>
      <c r="D48" s="214" t="n"/>
      <c r="E48" s="214" t="n"/>
      <c r="F48" s="214" t="n"/>
      <c r="G48" s="214" t="n"/>
      <c r="H48" s="214" t="n"/>
      <c r="I48" s="214" t="n"/>
      <c r="J48" s="214" t="n"/>
      <c r="K48" s="214" t="n"/>
      <c r="L48" s="214" t="n"/>
      <c r="M48" s="214" t="n"/>
      <c r="N48" s="214" t="n"/>
      <c r="O48" s="214" t="n"/>
      <c r="P48" s="215" t="n"/>
      <c r="Q48" s="134" t="n"/>
      <c r="R48" s="274" t="n"/>
      <c r="S48" s="275" t="n"/>
      <c r="T48" s="275" t="n"/>
      <c r="U48" s="275" t="n"/>
      <c r="V48" s="275" t="n"/>
      <c r="W48" s="136" t="n"/>
    </row>
    <row r="49" customFormat="1" s="65">
      <c r="A49" s="55" t="n"/>
      <c r="B49" s="317" t="inlineStr">
        <is>
          <t>How information relating to accounting estimates and related disclosures for significant classes of transactions, account balances or disclosures flows through the entity's information system [ISA 540.13h (i)]</t>
        </is>
      </c>
      <c r="P49" s="216" t="n"/>
      <c r="Q49" s="137" t="n"/>
      <c r="R49" s="274" t="n"/>
      <c r="S49" s="275" t="n"/>
      <c r="T49" s="275" t="n"/>
      <c r="U49" s="275" t="n"/>
      <c r="V49" s="275" t="n"/>
      <c r="W49" s="135" t="n"/>
    </row>
    <row r="50" customFormat="1" s="65">
      <c r="A50" s="55" t="n"/>
      <c r="B50" s="386" t="n"/>
      <c r="P50" s="216" t="n"/>
      <c r="Q50" s="137" t="n"/>
      <c r="R50" s="274" t="n"/>
      <c r="S50" s="275" t="n"/>
      <c r="T50" s="275" t="n"/>
      <c r="U50" s="275" t="n"/>
      <c r="V50" s="275" t="n"/>
      <c r="W50" s="135" t="n"/>
    </row>
    <row r="51" customFormat="1" s="55">
      <c r="B51" s="382" t="inlineStr">
        <is>
          <t>재고수불부(재고리스트)에서 시즌별(연도별 S/F NEW) 재고수량 및 금액을 집계하고, 시즌별 설정률을 적용하여 평가충당금을 산출한 뒤 총계정원장·재무제표에 반영함.</t>
        </is>
      </c>
      <c r="C51" s="374" t="n"/>
      <c r="D51" s="374" t="n"/>
      <c r="E51" s="374" t="n"/>
      <c r="F51" s="374" t="n"/>
      <c r="G51" s="374" t="n"/>
      <c r="H51" s="374" t="n"/>
      <c r="I51" s="374" t="n"/>
      <c r="J51" s="374" t="n"/>
      <c r="K51" s="374" t="n"/>
      <c r="L51" s="374" t="n"/>
      <c r="M51" s="374" t="n"/>
      <c r="N51" s="374" t="n"/>
      <c r="O51" s="374" t="n"/>
      <c r="P51" s="332" t="inlineStr">
        <is>
          <t>Link to guidance</t>
        </is>
      </c>
      <c r="Q51" s="138" t="n"/>
      <c r="R51" s="269" t="n"/>
      <c r="S51" s="270" t="n"/>
      <c r="T51" s="270" t="n"/>
      <c r="U51" s="271" t="n"/>
      <c r="V51" s="271" t="n"/>
      <c r="W51" s="56" t="n"/>
      <c r="X51" s="54" t="n"/>
      <c r="Y51" s="54" t="n"/>
      <c r="Z51" s="54" t="n"/>
      <c r="AA51" s="54" t="n"/>
    </row>
    <row r="52" ht="15" customFormat="1" customHeight="1" s="55">
      <c r="B52" s="380" t="n"/>
      <c r="C52" s="374" t="n"/>
      <c r="D52" s="374" t="n"/>
      <c r="E52" s="374" t="n"/>
      <c r="F52" s="374" t="n"/>
      <c r="G52" s="374" t="n"/>
      <c r="H52" s="374" t="n"/>
      <c r="I52" s="374" t="n"/>
      <c r="J52" s="374" t="n"/>
      <c r="K52" s="374" t="n"/>
      <c r="L52" s="374" t="n"/>
      <c r="M52" s="374" t="n"/>
      <c r="N52" s="374" t="n"/>
      <c r="O52" s="374" t="n"/>
      <c r="P52" s="381" t="n"/>
      <c r="Q52" s="138" t="n"/>
      <c r="R52" s="269" t="n"/>
      <c r="S52" s="270" t="n"/>
      <c r="T52" s="270" t="n"/>
      <c r="U52" s="271" t="n"/>
      <c r="V52" s="271" t="n"/>
      <c r="W52" s="56" t="n"/>
      <c r="X52" s="54" t="n"/>
      <c r="Y52" s="54" t="n"/>
      <c r="Z52" s="54" t="n"/>
      <c r="AA52" s="54" t="n"/>
    </row>
    <row r="53" ht="15.75" customFormat="1" customHeight="1" s="55">
      <c r="B53" s="380" t="n"/>
      <c r="C53" s="374" t="n"/>
      <c r="D53" s="374" t="n"/>
      <c r="E53" s="374" t="n"/>
      <c r="F53" s="374" t="n"/>
      <c r="G53" s="374" t="n"/>
      <c r="H53" s="374" t="n"/>
      <c r="I53" s="374" t="n"/>
      <c r="J53" s="374" t="n"/>
      <c r="K53" s="374" t="n"/>
      <c r="L53" s="374" t="n"/>
      <c r="M53" s="374" t="n"/>
      <c r="N53" s="374" t="n"/>
      <c r="O53" s="374" t="n"/>
      <c r="P53" s="217" t="n"/>
      <c r="Q53" s="138" t="n"/>
      <c r="R53" s="276" t="n"/>
      <c r="S53" s="277" t="n"/>
      <c r="T53" s="277" t="n"/>
      <c r="U53" s="277" t="n"/>
      <c r="V53" s="277" t="n"/>
      <c r="W53" s="58" t="n"/>
      <c r="X53" s="54" t="n"/>
      <c r="Y53" s="54" t="n"/>
      <c r="Z53" s="54" t="n"/>
      <c r="AA53" s="54" t="n"/>
    </row>
    <row r="54" ht="19.5" customFormat="1" customHeight="1" s="55">
      <c r="B54" s="209" t="inlineStr">
        <is>
          <t>Method used in making the accounting estimate, including models used [ISA 540.13h(ii) a(i)]</t>
        </is>
      </c>
      <c r="C54" s="68" t="n"/>
      <c r="D54" s="68" t="n"/>
      <c r="E54" s="68" t="n"/>
      <c r="F54" s="68" t="n"/>
      <c r="G54" s="68" t="n"/>
      <c r="H54" s="68" t="n"/>
      <c r="I54" s="68" t="n"/>
      <c r="J54" s="68" t="n"/>
      <c r="K54" s="68" t="n"/>
      <c r="L54" s="68" t="n"/>
      <c r="M54" s="68" t="n"/>
      <c r="N54" s="68" t="n"/>
      <c r="O54" s="68" t="n"/>
      <c r="P54" s="193" t="n"/>
      <c r="Q54" s="19" t="n"/>
      <c r="R54" s="267" t="n"/>
      <c r="S54" s="268" t="n"/>
      <c r="T54" s="268" t="n"/>
      <c r="U54" s="268" t="n"/>
      <c r="V54" s="268" t="n"/>
      <c r="W54" s="53" t="n"/>
      <c r="X54" s="54" t="n"/>
      <c r="Y54" s="54" t="n"/>
      <c r="Z54" s="54" t="n"/>
      <c r="AA54" s="54" t="n"/>
    </row>
    <row r="55" customFormat="1" s="55">
      <c r="B55" s="382" t="inlineStr">
        <is>
          <t>[방법] 시즌별 재고금액 × 시즌별 충당금 설정률의 합계로 평가충당금을 산정함. 의류 외 잡화 등 All 시즌 상품은 S 시즌으로 간주하며, 미착품에는 1.5%를 적용함. FY2025 중 방법(설정률)을 하향 조정하였으며, 이는 매출 증가에도 NRV 미실현 경험이 극히 드문 환경변화를 반영한 것으로 정당한 사유에 해당함.</t>
        </is>
      </c>
      <c r="C55" s="374" t="n"/>
      <c r="D55" s="374" t="n"/>
      <c r="E55" s="374" t="n"/>
      <c r="F55" s="374" t="n"/>
      <c r="G55" s="374" t="n"/>
      <c r="H55" s="374" t="n"/>
      <c r="I55" s="374" t="n"/>
      <c r="J55" s="374" t="n"/>
      <c r="K55" s="374" t="n"/>
      <c r="L55" s="374" t="n"/>
      <c r="M55" s="374" t="n"/>
      <c r="N55" s="374" t="n"/>
      <c r="O55" s="374" t="n"/>
      <c r="P55" s="332" t="inlineStr">
        <is>
          <t>Link to guidance</t>
        </is>
      </c>
      <c r="Q55" s="139" t="n"/>
      <c r="R55" s="269" t="n"/>
      <c r="S55" s="270" t="n"/>
      <c r="T55" s="270" t="n"/>
      <c r="U55" s="271" t="n"/>
      <c r="V55" s="271" t="n"/>
      <c r="W55" s="56" t="n"/>
      <c r="X55" s="54" t="n"/>
      <c r="Y55" s="54" t="n"/>
      <c r="Z55" s="54" t="n"/>
      <c r="AA55" s="54" t="n"/>
    </row>
    <row r="56" customFormat="1" s="55">
      <c r="B56" s="380" t="n"/>
      <c r="C56" s="374" t="n"/>
      <c r="D56" s="374" t="n"/>
      <c r="E56" s="374" t="n"/>
      <c r="F56" s="374" t="n"/>
      <c r="G56" s="374" t="n"/>
      <c r="H56" s="374" t="n"/>
      <c r="I56" s="374" t="n"/>
      <c r="J56" s="374" t="n"/>
      <c r="K56" s="374" t="n"/>
      <c r="L56" s="374" t="n"/>
      <c r="M56" s="374" t="n"/>
      <c r="N56" s="374" t="n"/>
      <c r="O56" s="374" t="n"/>
      <c r="P56" s="381" t="n"/>
      <c r="Q56" s="139" t="n"/>
      <c r="R56" s="269" t="n"/>
      <c r="S56" s="270" t="n"/>
      <c r="T56" s="270" t="n"/>
      <c r="U56" s="271" t="n"/>
      <c r="V56" s="271" t="n"/>
      <c r="W56" s="56" t="n"/>
      <c r="X56" s="54" t="n"/>
      <c r="Y56" s="54" t="n"/>
      <c r="Z56" s="54" t="n"/>
      <c r="AA56" s="54" t="n"/>
    </row>
    <row r="57" customFormat="1" s="55">
      <c r="B57" s="380" t="n"/>
      <c r="C57" s="374" t="n"/>
      <c r="D57" s="374" t="n"/>
      <c r="E57" s="374" t="n"/>
      <c r="F57" s="374" t="n"/>
      <c r="G57" s="374" t="n"/>
      <c r="H57" s="374" t="n"/>
      <c r="I57" s="374" t="n"/>
      <c r="J57" s="374" t="n"/>
      <c r="K57" s="374" t="n"/>
      <c r="L57" s="374" t="n"/>
      <c r="M57" s="374" t="n"/>
      <c r="N57" s="374" t="n"/>
      <c r="O57" s="374" t="n"/>
      <c r="P57" s="218" t="n"/>
      <c r="Q57" s="139" t="n"/>
      <c r="R57" s="278" t="n"/>
      <c r="S57" s="279" t="n"/>
      <c r="T57" s="279" t="n"/>
      <c r="U57" s="279" t="n"/>
      <c r="V57" s="279" t="n"/>
      <c r="W57" s="59" t="n"/>
      <c r="X57" s="54" t="n"/>
      <c r="Y57" s="54" t="n"/>
      <c r="Z57" s="54" t="n"/>
      <c r="AA57" s="54" t="n"/>
    </row>
    <row r="58" ht="19.5" customFormat="1" customHeight="1" s="55">
      <c r="B58" s="209" t="inlineStr">
        <is>
          <t>Assumptions used in making the accounting estimate [ISA 540.13h (ii) a(ii)]</t>
        </is>
      </c>
      <c r="C58" s="68" t="n"/>
      <c r="D58" s="68" t="n"/>
      <c r="E58" s="68" t="n"/>
      <c r="F58" s="68" t="n"/>
      <c r="G58" s="68" t="n"/>
      <c r="H58" s="68" t="n"/>
      <c r="I58" s="68" t="n"/>
      <c r="J58" s="68" t="n"/>
      <c r="K58" s="68" t="n"/>
      <c r="L58" s="68" t="n"/>
      <c r="M58" s="68" t="n"/>
      <c r="N58" s="68" t="n"/>
      <c r="O58" s="68" t="n"/>
      <c r="P58" s="210" t="n"/>
      <c r="Q58" s="19" t="n"/>
      <c r="R58" s="267" t="n"/>
      <c r="S58" s="268" t="n"/>
      <c r="T58" s="268" t="n"/>
      <c r="U58" s="268" t="n"/>
      <c r="V58" s="268" t="n"/>
      <c r="W58" s="53" t="n"/>
      <c r="X58" s="54" t="n"/>
      <c r="Y58" s="54" t="n"/>
      <c r="Z58" s="54" t="n"/>
      <c r="AA58" s="54" t="n"/>
    </row>
    <row r="59" customFormat="1" s="55">
      <c r="B59" s="382" t="inlineStr">
        <is>
          <t>주요 가정은 시즌별 설정률임(예: 2024SNEW이전 100%, 2024FNEW 50%, 2025SNEW 20%, 2025FNEW 7%, 2026SNEW 2%, 2026FNEW 1.5%, 미착품 1.5%). 설정률은 최근 수년간 매출이 지속 증가하였으나 재고 폐기·원가이하판매 등 NRV 미실현 경험이 극히 드물다는 가정에 기초함.</t>
        </is>
      </c>
      <c r="C59" s="374" t="n"/>
      <c r="D59" s="374" t="n"/>
      <c r="E59" s="374" t="n"/>
      <c r="F59" s="374" t="n"/>
      <c r="G59" s="374" t="n"/>
      <c r="H59" s="374" t="n"/>
      <c r="I59" s="374" t="n"/>
      <c r="J59" s="374" t="n"/>
      <c r="K59" s="374" t="n"/>
      <c r="L59" s="374" t="n"/>
      <c r="M59" s="374" t="n"/>
      <c r="N59" s="374" t="n"/>
      <c r="O59" s="374" t="n"/>
      <c r="P59" s="332" t="inlineStr">
        <is>
          <t>Link to guidance</t>
        </is>
      </c>
      <c r="Q59" s="78" t="n"/>
      <c r="R59" s="269" t="n"/>
      <c r="S59" s="270" t="n"/>
      <c r="T59" s="270" t="n"/>
      <c r="U59" s="271" t="n"/>
      <c r="V59" s="271" t="n"/>
      <c r="W59" s="56" t="n"/>
      <c r="X59" s="54" t="n"/>
      <c r="Y59" s="54" t="n"/>
      <c r="Z59" s="54" t="n"/>
      <c r="AA59" s="54" t="n"/>
    </row>
    <row r="60" customFormat="1" s="55">
      <c r="B60" s="380" t="n"/>
      <c r="C60" s="374" t="n"/>
      <c r="D60" s="374" t="n"/>
      <c r="E60" s="374" t="n"/>
      <c r="F60" s="374" t="n"/>
      <c r="G60" s="374" t="n"/>
      <c r="H60" s="374" t="n"/>
      <c r="I60" s="374" t="n"/>
      <c r="J60" s="374" t="n"/>
      <c r="K60" s="374" t="n"/>
      <c r="L60" s="374" t="n"/>
      <c r="M60" s="374" t="n"/>
      <c r="N60" s="374" t="n"/>
      <c r="O60" s="374" t="n"/>
      <c r="P60" s="381" t="n"/>
      <c r="Q60" s="78" t="n"/>
      <c r="R60" s="269" t="n"/>
      <c r="S60" s="270" t="n"/>
      <c r="T60" s="270" t="n"/>
      <c r="U60" s="271" t="n"/>
      <c r="V60" s="271" t="n"/>
      <c r="W60" s="56" t="n"/>
      <c r="X60" s="54" t="n"/>
      <c r="Y60" s="54" t="n"/>
      <c r="Z60" s="54" t="n"/>
      <c r="AA60" s="54" t="n"/>
    </row>
    <row r="61" customFormat="1" s="55">
      <c r="B61" s="380" t="n"/>
      <c r="C61" s="374" t="n"/>
      <c r="D61" s="374" t="n"/>
      <c r="E61" s="374" t="n"/>
      <c r="F61" s="374" t="n"/>
      <c r="G61" s="374" t="n"/>
      <c r="H61" s="374" t="n"/>
      <c r="I61" s="374" t="n"/>
      <c r="J61" s="374" t="n"/>
      <c r="K61" s="374" t="n"/>
      <c r="L61" s="374" t="n"/>
      <c r="M61" s="374" t="n"/>
      <c r="N61" s="374" t="n"/>
      <c r="O61" s="374" t="n"/>
      <c r="P61" s="212" t="n"/>
      <c r="Q61" s="78" t="n"/>
      <c r="R61" s="272" t="n"/>
      <c r="S61" s="273" t="n"/>
      <c r="T61" s="273" t="n"/>
      <c r="U61" s="273" t="n"/>
      <c r="V61" s="273" t="n"/>
      <c r="W61" s="57" t="n"/>
      <c r="X61" s="54" t="n"/>
      <c r="Y61" s="54" t="n"/>
      <c r="Z61" s="54" t="n"/>
      <c r="AA61" s="54" t="n"/>
    </row>
    <row r="62" ht="19.5" customFormat="1" customHeight="1" s="55">
      <c r="A62" s="65" t="n"/>
      <c r="B62" s="209" t="inlineStr">
        <is>
          <t>Data used in making the accounting estimate [ISA 540.13h (ii) a(iii)]</t>
        </is>
      </c>
      <c r="C62" s="68" t="n"/>
      <c r="D62" s="68" t="n"/>
      <c r="E62" s="68" t="n"/>
      <c r="F62" s="68" t="n"/>
      <c r="G62" s="68" t="n"/>
      <c r="H62" s="68" t="n"/>
      <c r="I62" s="68" t="n"/>
      <c r="J62" s="68" t="n"/>
      <c r="K62" s="68" t="n"/>
      <c r="L62" s="68" t="n"/>
      <c r="M62" s="68" t="n"/>
      <c r="N62" s="68" t="n"/>
      <c r="O62" s="68" t="n"/>
      <c r="P62" s="210" t="n"/>
      <c r="Q62" s="19" t="n"/>
      <c r="R62" s="267" t="n"/>
      <c r="S62" s="268" t="n"/>
      <c r="T62" s="268" t="n"/>
      <c r="U62" s="268" t="n"/>
      <c r="V62" s="268" t="n"/>
      <c r="W62" s="53" t="n"/>
      <c r="X62" s="54" t="n"/>
      <c r="Y62" s="54" t="n"/>
      <c r="Z62" s="54" t="n"/>
      <c r="AA62" s="54" t="n"/>
    </row>
    <row r="63" customFormat="1" s="55">
      <c r="A63" s="65" t="n"/>
      <c r="B63" s="382" t="inlineStr">
        <is>
          <t>사용 데이터는 재고수불부상 시즌별 재고수량·금액 및 상품평가충당금 계산내역임. 계산내역상 재고금액(16,821,657,078원)이 BS상 재고금액과 일치함을 확인하였고, 시즌별 수량·금액이 수불부와 일치함(수량·금액 차이 0).</t>
        </is>
      </c>
      <c r="C63" s="374" t="n"/>
      <c r="D63" s="374" t="n"/>
      <c r="E63" s="374" t="n"/>
      <c r="F63" s="374" t="n"/>
      <c r="G63" s="374" t="n"/>
      <c r="H63" s="374" t="n"/>
      <c r="I63" s="374" t="n"/>
      <c r="J63" s="374" t="n"/>
      <c r="K63" s="374" t="n"/>
      <c r="L63" s="374" t="n"/>
      <c r="M63" s="374" t="n"/>
      <c r="N63" s="374" t="n"/>
      <c r="O63" s="374" t="n"/>
      <c r="P63" s="332" t="inlineStr">
        <is>
          <t>Link to guidance</t>
        </is>
      </c>
      <c r="Q63" s="78" t="n"/>
      <c r="R63" s="269" t="n"/>
      <c r="S63" s="270" t="n"/>
      <c r="T63" s="270" t="n"/>
      <c r="U63" s="271" t="n"/>
      <c r="V63" s="271" t="n"/>
      <c r="W63" s="56" t="n"/>
      <c r="X63" s="54" t="n"/>
      <c r="Y63" s="54" t="n"/>
      <c r="Z63" s="54" t="n"/>
      <c r="AA63" s="54" t="n"/>
    </row>
    <row r="64" ht="15" customFormat="1" customHeight="1" s="55">
      <c r="A64" s="65" t="n"/>
      <c r="B64" s="380" t="n"/>
      <c r="C64" s="374" t="n"/>
      <c r="D64" s="374" t="n"/>
      <c r="E64" s="374" t="n"/>
      <c r="F64" s="374" t="n"/>
      <c r="G64" s="374" t="n"/>
      <c r="H64" s="374" t="n"/>
      <c r="I64" s="374" t="n"/>
      <c r="J64" s="374" t="n"/>
      <c r="K64" s="374" t="n"/>
      <c r="L64" s="374" t="n"/>
      <c r="M64" s="374" t="n"/>
      <c r="N64" s="374" t="n"/>
      <c r="O64" s="374" t="n"/>
      <c r="P64" s="381" t="n"/>
      <c r="Q64" s="78" t="n"/>
      <c r="R64" s="269" t="n"/>
      <c r="S64" s="270" t="n"/>
      <c r="T64" s="270" t="n"/>
      <c r="U64" s="271" t="n"/>
      <c r="V64" s="271" t="n"/>
      <c r="W64" s="56" t="n"/>
      <c r="X64" s="54" t="n"/>
      <c r="Y64" s="54" t="n"/>
      <c r="Z64" s="54" t="n"/>
      <c r="AA64" s="54" t="n"/>
    </row>
    <row r="65" customFormat="1" s="55">
      <c r="A65" s="65" t="n"/>
      <c r="B65" s="380" t="n"/>
      <c r="C65" s="374" t="n"/>
      <c r="D65" s="374" t="n"/>
      <c r="E65" s="374" t="n"/>
      <c r="F65" s="374" t="n"/>
      <c r="G65" s="374" t="n"/>
      <c r="H65" s="374" t="n"/>
      <c r="I65" s="374" t="n"/>
      <c r="J65" s="374" t="n"/>
      <c r="K65" s="374" t="n"/>
      <c r="L65" s="374" t="n"/>
      <c r="M65" s="374" t="n"/>
      <c r="N65" s="374" t="n"/>
      <c r="O65" s="374" t="n"/>
      <c r="P65" s="212" t="n"/>
      <c r="Q65" s="78" t="n"/>
      <c r="R65" s="272" t="n"/>
      <c r="S65" s="273" t="n"/>
      <c r="T65" s="273" t="n"/>
      <c r="U65" s="273" t="n"/>
      <c r="V65" s="273" t="n"/>
      <c r="W65" s="57" t="n"/>
      <c r="X65" s="54" t="n"/>
      <c r="Y65" s="54" t="n"/>
      <c r="Z65" s="54" t="n"/>
      <c r="AA65" s="54" t="n"/>
    </row>
    <row r="66" ht="19.5" customFormat="1" customHeight="1" s="55">
      <c r="A66" s="65" t="n"/>
      <c r="B66" s="209" t="inlineStr">
        <is>
          <t>Management's assessment of estimation uncertainty [ISA (revised) 540.13h b and c]</t>
        </is>
      </c>
      <c r="C66" s="68" t="n"/>
      <c r="D66" s="68" t="n"/>
      <c r="E66" s="68" t="n"/>
      <c r="F66" s="68" t="n"/>
      <c r="G66" s="68" t="n"/>
      <c r="H66" s="68" t="n"/>
      <c r="I66" s="68" t="n"/>
      <c r="J66" s="68" t="n"/>
      <c r="K66" s="68" t="n"/>
      <c r="L66" s="68" t="n"/>
      <c r="M66" s="68" t="n"/>
      <c r="N66" s="68" t="n"/>
      <c r="O66" s="68" t="n"/>
      <c r="P66" s="210" t="n"/>
      <c r="Q66" s="19" t="n"/>
      <c r="R66" s="280" t="n"/>
      <c r="S66" s="281" t="n"/>
      <c r="T66" s="281" t="n"/>
      <c r="U66" s="281" t="n"/>
      <c r="V66" s="281" t="n"/>
      <c r="W66" s="53" t="n"/>
      <c r="X66" s="54" t="n"/>
      <c r="Y66" s="54" t="n"/>
      <c r="Z66" s="54" t="n"/>
      <c r="AA66" s="54" t="n"/>
    </row>
    <row r="67" customFormat="1" s="55">
      <c r="A67" s="65" t="n"/>
      <c r="B67" s="382" t="inlineStr">
        <is>
          <t>회사는 과거 NRV 미실현 경험이 극히 드물다는 점을 근거로 시즌별 설정률을 결정함. 당기 평가충당금 변동에는 Season mix 변경효과(47,064,250원)가 반영됨. 별도의 민감도분석은 수행하지 않으나 과거 실적 데이터에 근거하여 설정률을 산정함.</t>
        </is>
      </c>
      <c r="C67" s="374" t="n"/>
      <c r="D67" s="374" t="n"/>
      <c r="E67" s="374" t="n"/>
      <c r="F67" s="374" t="n"/>
      <c r="G67" s="374" t="n"/>
      <c r="H67" s="374" t="n"/>
      <c r="I67" s="374" t="n"/>
      <c r="J67" s="374" t="n"/>
      <c r="K67" s="374" t="n"/>
      <c r="L67" s="374" t="n"/>
      <c r="M67" s="374" t="n"/>
      <c r="N67" s="374" t="n"/>
      <c r="O67" s="374" t="n"/>
      <c r="P67" s="332" t="inlineStr">
        <is>
          <t>Link to guidance</t>
        </is>
      </c>
      <c r="Q67" s="140" t="n"/>
      <c r="R67" s="269" t="n"/>
      <c r="S67" s="270" t="n"/>
      <c r="T67" s="270" t="n"/>
      <c r="U67" s="271" t="n"/>
      <c r="V67" s="271" t="n"/>
      <c r="W67" s="56" t="n"/>
      <c r="X67" s="54" t="n"/>
      <c r="Y67" s="54" t="n"/>
      <c r="Z67" s="54" t="n"/>
      <c r="AA67" s="54" t="n"/>
    </row>
    <row r="68" customFormat="1" s="55">
      <c r="A68" s="65" t="n"/>
      <c r="B68" s="380" t="n"/>
      <c r="C68" s="374" t="n"/>
      <c r="D68" s="374" t="n"/>
      <c r="E68" s="374" t="n"/>
      <c r="F68" s="374" t="n"/>
      <c r="G68" s="374" t="n"/>
      <c r="H68" s="374" t="n"/>
      <c r="I68" s="374" t="n"/>
      <c r="J68" s="374" t="n"/>
      <c r="K68" s="374" t="n"/>
      <c r="L68" s="374" t="n"/>
      <c r="M68" s="374" t="n"/>
      <c r="N68" s="374" t="n"/>
      <c r="O68" s="374" t="n"/>
      <c r="P68" s="381" t="n"/>
      <c r="Q68" s="140" t="n"/>
      <c r="R68" s="269" t="n"/>
      <c r="S68" s="270" t="n"/>
      <c r="T68" s="270" t="n"/>
      <c r="U68" s="271" t="n"/>
      <c r="V68" s="271" t="n"/>
      <c r="W68" s="56" t="n"/>
      <c r="X68" s="54" t="n"/>
      <c r="Y68" s="54" t="n"/>
      <c r="Z68" s="54" t="n"/>
      <c r="AA68" s="54" t="n"/>
    </row>
    <row r="69" customFormat="1" s="55">
      <c r="A69" s="65" t="n"/>
      <c r="B69" s="380" t="n"/>
      <c r="C69" s="374" t="n"/>
      <c r="D69" s="374" t="n"/>
      <c r="E69" s="374" t="n"/>
      <c r="F69" s="374" t="n"/>
      <c r="G69" s="374" t="n"/>
      <c r="H69" s="374" t="n"/>
      <c r="I69" s="374" t="n"/>
      <c r="J69" s="374" t="n"/>
      <c r="K69" s="374" t="n"/>
      <c r="L69" s="374" t="n"/>
      <c r="M69" s="374" t="n"/>
      <c r="N69" s="374" t="n"/>
      <c r="O69" s="374" t="n"/>
      <c r="P69" s="212" t="n"/>
      <c r="Q69" s="78" t="n"/>
      <c r="R69" s="272" t="n"/>
      <c r="S69" s="273" t="n"/>
      <c r="T69" s="273" t="n"/>
      <c r="U69" s="273" t="n"/>
      <c r="V69" s="273" t="n"/>
      <c r="W69" s="57" t="n"/>
      <c r="X69" s="54" t="n"/>
      <c r="Y69" s="54" t="n"/>
      <c r="Z69" s="54" t="n"/>
      <c r="AA69" s="54" t="n"/>
    </row>
    <row r="70" ht="19.5" customFormat="1" customHeight="1" s="55">
      <c r="A70" s="65" t="n"/>
      <c r="B70" s="209" t="inlineStr">
        <is>
          <t>Outcome or subsequent re-estimation in the current year of previous accounting estimates [ISA(revised) 540.13j and ISA (revised) 540.14]</t>
        </is>
      </c>
      <c r="C70" s="68" t="n"/>
      <c r="D70" s="68" t="n"/>
      <c r="E70" s="68" t="n"/>
      <c r="F70" s="68" t="n"/>
      <c r="G70" s="68" t="n"/>
      <c r="H70" s="68" t="n"/>
      <c r="I70" s="68" t="n"/>
      <c r="J70" s="68" t="n"/>
      <c r="K70" s="68" t="n"/>
      <c r="L70" s="68" t="n"/>
      <c r="M70" s="68" t="n"/>
      <c r="N70" s="68" t="n"/>
      <c r="O70" s="68" t="n"/>
      <c r="P70" s="210" t="n"/>
      <c r="Q70" s="19" t="n"/>
      <c r="R70" s="274" t="n"/>
      <c r="S70" s="275" t="n"/>
      <c r="T70" s="275" t="n"/>
      <c r="U70" s="275" t="n"/>
      <c r="V70" s="275" t="n"/>
      <c r="W70" s="53" t="n"/>
      <c r="X70" s="54" t="n"/>
      <c r="Y70" s="54" t="n"/>
      <c r="Z70" s="54" t="n"/>
      <c r="AA70" s="54" t="n"/>
    </row>
    <row r="71" customFormat="1" s="55">
      <c r="A71" s="65" t="n"/>
      <c r="B71" s="382" t="inlineStr">
        <is>
          <t>기초 평가충당금 1,216,947,196원이 당기 시즌 롤포워드 및 mix 변경을 거쳐 1,264,011,446원으로 산정됨. 전기에 설정한 재고의 후속 폐기·판매 실적을 통해 설정률의 적정성을 확인하였으며, 경영진 편의의 명백한 징후는 없음.</t>
        </is>
      </c>
      <c r="C71" s="374" t="n"/>
      <c r="D71" s="374" t="n"/>
      <c r="E71" s="374" t="n"/>
      <c r="F71" s="374" t="n"/>
      <c r="G71" s="374" t="n"/>
      <c r="H71" s="374" t="n"/>
      <c r="I71" s="374" t="n"/>
      <c r="J71" s="374" t="n"/>
      <c r="K71" s="374" t="n"/>
      <c r="L71" s="374" t="n"/>
      <c r="M71" s="374" t="n"/>
      <c r="N71" s="374" t="n"/>
      <c r="O71" s="374" t="n"/>
      <c r="P71" s="332" t="inlineStr">
        <is>
          <t>Link to guidance</t>
        </is>
      </c>
      <c r="Q71" s="78" t="n"/>
      <c r="R71" s="269" t="n"/>
      <c r="S71" s="270" t="n"/>
      <c r="T71" s="270" t="n"/>
      <c r="U71" s="271" t="n"/>
      <c r="V71" s="271" t="n"/>
      <c r="W71" s="56" t="n"/>
      <c r="X71" s="54" t="n"/>
      <c r="Y71" s="54" t="n"/>
      <c r="Z71" s="54" t="n"/>
      <c r="AA71" s="54" t="n"/>
    </row>
    <row r="72" customFormat="1" s="55">
      <c r="A72" s="65" t="n"/>
      <c r="B72" s="380" t="n"/>
      <c r="C72" s="374" t="n"/>
      <c r="D72" s="374" t="n"/>
      <c r="E72" s="374" t="n"/>
      <c r="F72" s="374" t="n"/>
      <c r="G72" s="374" t="n"/>
      <c r="H72" s="374" t="n"/>
      <c r="I72" s="374" t="n"/>
      <c r="J72" s="374" t="n"/>
      <c r="K72" s="374" t="n"/>
      <c r="L72" s="374" t="n"/>
      <c r="M72" s="374" t="n"/>
      <c r="N72" s="374" t="n"/>
      <c r="O72" s="374" t="n"/>
      <c r="P72" s="381" t="n"/>
      <c r="Q72" s="141" t="n"/>
      <c r="R72" s="269" t="n"/>
      <c r="S72" s="270" t="n"/>
      <c r="T72" s="270" t="n"/>
      <c r="U72" s="271" t="n"/>
      <c r="V72" s="271" t="n"/>
      <c r="W72" s="56" t="n"/>
      <c r="X72" s="54" t="n"/>
      <c r="Y72" s="54" t="n"/>
      <c r="Z72" s="54" t="n"/>
      <c r="AA72" s="54" t="n"/>
    </row>
    <row r="73" customFormat="1" s="55">
      <c r="A73" s="65" t="n"/>
      <c r="B73" s="380" t="n"/>
      <c r="C73" s="374" t="n"/>
      <c r="D73" s="374" t="n"/>
      <c r="E73" s="374" t="n"/>
      <c r="F73" s="374" t="n"/>
      <c r="G73" s="374" t="n"/>
      <c r="H73" s="374" t="n"/>
      <c r="I73" s="374" t="n"/>
      <c r="J73" s="374" t="n"/>
      <c r="K73" s="374" t="n"/>
      <c r="L73" s="374" t="n"/>
      <c r="M73" s="374" t="n"/>
      <c r="N73" s="374" t="n"/>
      <c r="O73" s="374" t="n"/>
      <c r="P73" s="218" t="n"/>
      <c r="Q73" s="141" t="n"/>
      <c r="R73" s="278" t="n"/>
      <c r="S73" s="278" t="n"/>
      <c r="T73" s="278" t="n"/>
      <c r="U73" s="278" t="n"/>
      <c r="V73" s="278" t="n"/>
      <c r="W73" s="60" t="n"/>
      <c r="X73" s="54" t="n"/>
      <c r="Y73" s="54" t="n"/>
      <c r="Z73" s="54" t="n"/>
      <c r="AA73" s="54" t="n"/>
    </row>
    <row r="74" ht="19.5" customFormat="1" customHeight="1" s="55">
      <c r="A74" s="65" t="n"/>
      <c r="B74" s="209" t="inlineStr">
        <is>
          <t>Identifying a need for management's expert [ISA(revised) 540.13f]</t>
        </is>
      </c>
      <c r="C74" s="68" t="n"/>
      <c r="D74" s="68" t="n"/>
      <c r="E74" s="68" t="n"/>
      <c r="F74" s="68" t="n"/>
      <c r="G74" s="68" t="n"/>
      <c r="H74" s="68" t="n"/>
      <c r="I74" s="68" t="n"/>
      <c r="J74" s="68" t="n"/>
      <c r="K74" s="68" t="n"/>
      <c r="L74" s="68" t="n"/>
      <c r="M74" s="68" t="n"/>
      <c r="N74" s="68" t="n"/>
      <c r="O74" s="68" t="n"/>
      <c r="P74" s="210" t="n"/>
      <c r="Q74" s="19" t="n"/>
      <c r="R74" s="274" t="n"/>
      <c r="S74" s="275" t="n"/>
      <c r="T74" s="275" t="n"/>
      <c r="U74" s="275" t="n"/>
      <c r="V74" s="275" t="n"/>
      <c r="W74" s="53" t="n"/>
      <c r="X74" s="54" t="n"/>
      <c r="Y74" s="54" t="n"/>
      <c r="Z74" s="54" t="n"/>
      <c r="AA74" s="54" t="n"/>
    </row>
    <row r="75" customFormat="1" s="55">
      <c r="A75" s="65" t="n"/>
      <c r="B75" s="382" t="inlineStr">
        <is>
          <t>시즌별 정률 계산에 의한 산정으로 경영진의 전문가는 이용되지 않음.</t>
        </is>
      </c>
      <c r="C75" s="374" t="n"/>
      <c r="D75" s="374" t="n"/>
      <c r="E75" s="374" t="n"/>
      <c r="F75" s="374" t="n"/>
      <c r="G75" s="374" t="n"/>
      <c r="H75" s="374" t="n"/>
      <c r="I75" s="374" t="n"/>
      <c r="J75" s="374" t="n"/>
      <c r="K75" s="374" t="n"/>
      <c r="L75" s="374" t="n"/>
      <c r="M75" s="374" t="n"/>
      <c r="N75" s="374" t="n"/>
      <c r="O75" s="374" t="n"/>
      <c r="P75" s="332" t="inlineStr">
        <is>
          <t>Link to guidance</t>
        </is>
      </c>
      <c r="Q75" s="78" t="n"/>
      <c r="R75" s="269" t="n"/>
      <c r="S75" s="270" t="n"/>
      <c r="T75" s="270" t="n"/>
      <c r="U75" s="271" t="n"/>
      <c r="V75" s="271" t="n"/>
      <c r="W75" s="56" t="n"/>
      <c r="X75" s="54" t="n"/>
      <c r="Y75" s="54" t="n"/>
      <c r="Z75" s="54" t="n"/>
      <c r="AA75" s="54" t="n"/>
    </row>
    <row r="76" ht="15.75" customFormat="1" customHeight="1" s="55">
      <c r="A76" s="65" t="n"/>
      <c r="B76" s="380" t="n"/>
      <c r="C76" s="374" t="n"/>
      <c r="D76" s="374" t="n"/>
      <c r="E76" s="374" t="n"/>
      <c r="F76" s="374" t="n"/>
      <c r="G76" s="374" t="n"/>
      <c r="H76" s="374" t="n"/>
      <c r="I76" s="374" t="n"/>
      <c r="J76" s="374" t="n"/>
      <c r="K76" s="374" t="n"/>
      <c r="L76" s="374" t="n"/>
      <c r="M76" s="374" t="n"/>
      <c r="N76" s="374" t="n"/>
      <c r="O76" s="374" t="n"/>
      <c r="P76" s="381" t="n"/>
      <c r="Q76" s="78" t="n"/>
      <c r="R76" s="269" t="n"/>
      <c r="S76" s="270" t="n"/>
      <c r="T76" s="270" t="n"/>
      <c r="U76" s="271" t="n"/>
      <c r="V76" s="271" t="n"/>
      <c r="W76" s="56" t="n"/>
      <c r="X76" s="61" t="inlineStr">
        <is>
          <t>Use of an expert dropdown (to be hidden)</t>
        </is>
      </c>
      <c r="Y76" s="54" t="n"/>
      <c r="Z76" s="54" t="n"/>
      <c r="AA76" s="54" t="n"/>
    </row>
    <row r="77" ht="15.75" customFormat="1" customHeight="1" s="55" thickBot="1">
      <c r="A77" s="65" t="n"/>
      <c r="B77" s="380" t="n"/>
      <c r="C77" s="374" t="n"/>
      <c r="D77" s="374" t="n"/>
      <c r="E77" s="374" t="n"/>
      <c r="F77" s="374" t="n"/>
      <c r="G77" s="374" t="n"/>
      <c r="H77" s="374" t="n"/>
      <c r="I77" s="374" t="n"/>
      <c r="J77" s="374" t="n"/>
      <c r="K77" s="374" t="n"/>
      <c r="L77" s="374" t="n"/>
      <c r="M77" s="374" t="n"/>
      <c r="N77" s="374" t="n"/>
      <c r="O77" s="374" t="n"/>
      <c r="P77" s="212" t="n"/>
      <c r="Q77" s="78" t="n"/>
      <c r="R77" s="272" t="n"/>
      <c r="S77" s="273" t="n"/>
      <c r="T77" s="273" t="n"/>
      <c r="U77" s="273" t="n"/>
      <c r="V77" s="273" t="n"/>
      <c r="W77" s="57" t="n"/>
      <c r="X77" s="54" t="inlineStr">
        <is>
          <t>Yes</t>
        </is>
      </c>
      <c r="Y77" s="54" t="n"/>
      <c r="Z77" s="54" t="n"/>
      <c r="AA77" s="54" t="n"/>
    </row>
    <row r="78" ht="15.75" customFormat="1" customHeight="1" s="55" thickBot="1">
      <c r="A78" s="65" t="n"/>
      <c r="B78" s="220" t="inlineStr">
        <is>
          <t xml:space="preserve">Have management used an expert? </t>
        </is>
      </c>
      <c r="C78" s="221" t="n"/>
      <c r="D78" s="221" t="n"/>
      <c r="E78" s="301" t="inlineStr">
        <is>
          <t>No</t>
        </is>
      </c>
      <c r="F78" s="221" t="inlineStr">
        <is>
          <t>User should select from dropdown menu</t>
        </is>
      </c>
      <c r="G78" s="221" t="n"/>
      <c r="H78" s="221" t="n"/>
      <c r="I78" s="221" t="n"/>
      <c r="J78" s="221" t="n"/>
      <c r="K78" s="221" t="n"/>
      <c r="L78" s="221" t="n"/>
      <c r="M78" s="221" t="n"/>
      <c r="N78" s="221" t="n"/>
      <c r="O78" s="221" t="n"/>
      <c r="P78" s="210" t="n"/>
      <c r="Q78" s="19" t="n"/>
      <c r="R78" s="344" t="inlineStr">
        <is>
          <t>If a management's expert is used then you must document this in Atlas on the node 'Details of reliance on experts'</t>
        </is>
      </c>
      <c r="W78" s="53" t="n"/>
      <c r="X78" s="54" t="inlineStr">
        <is>
          <t>No</t>
        </is>
      </c>
      <c r="Y78" s="54" t="n"/>
      <c r="Z78" s="54" t="n"/>
      <c r="AA78" s="54" t="n"/>
    </row>
    <row r="79" ht="15" customFormat="1" customHeight="1" s="55">
      <c r="A79" s="65" t="n"/>
      <c r="B79" s="302">
        <f>IF(E78="Yes","Please document the details in the experts template/screen within the audit file","")</f>
        <v/>
      </c>
      <c r="C79" s="303" t="n"/>
      <c r="D79" s="303" t="n"/>
      <c r="E79" s="303" t="n"/>
      <c r="F79" s="303" t="n"/>
      <c r="G79" s="303" t="n"/>
      <c r="H79" s="303" t="n"/>
      <c r="I79" s="303" t="n"/>
      <c r="J79" s="303" t="n"/>
      <c r="K79" s="303" t="n"/>
      <c r="L79" s="303" t="n"/>
      <c r="M79" s="303" t="n"/>
      <c r="N79" s="303" t="n"/>
      <c r="O79" s="303" t="n"/>
      <c r="P79" s="304" t="n"/>
      <c r="Q79" s="78" t="n"/>
      <c r="W79" s="57" t="n"/>
      <c r="X79" s="54" t="n"/>
      <c r="Y79" s="54" t="n"/>
      <c r="Z79" s="54" t="n"/>
      <c r="AA79" s="54" t="n"/>
    </row>
    <row r="80" ht="15" customFormat="1" customHeight="1" s="55">
      <c r="A80" s="65" t="n"/>
      <c r="B80" s="305">
        <f>IF(E78="YES","Please insert the file reference of the experts documentation:","")</f>
        <v/>
      </c>
      <c r="C80" s="306" t="n"/>
      <c r="D80" s="306" t="n"/>
      <c r="E80" s="306" t="n"/>
      <c r="F80" s="306" t="n"/>
      <c r="G80" s="331" t="n"/>
      <c r="H80" s="374" t="n"/>
      <c r="I80" s="374" t="n"/>
      <c r="J80" s="307" t="n"/>
      <c r="K80" s="307" t="n"/>
      <c r="L80" s="307" t="n"/>
      <c r="M80" s="307" t="n"/>
      <c r="N80" s="307" t="n"/>
      <c r="O80" s="307" t="n"/>
      <c r="P80" s="219" t="n"/>
      <c r="Q80" s="141" t="n"/>
      <c r="W80" s="60" t="n"/>
      <c r="X80" s="54" t="n"/>
      <c r="Y80" s="54" t="n"/>
      <c r="Z80" s="54" t="n"/>
      <c r="AA80" s="54" t="n"/>
    </row>
    <row r="81" ht="15.75" customFormat="1" customHeight="1" s="55" thickBot="1">
      <c r="A81" s="65" t="n"/>
      <c r="B81" s="261" t="n"/>
      <c r="C81" s="262" t="n"/>
      <c r="D81" s="262" t="n"/>
      <c r="E81" s="262" t="n"/>
      <c r="F81" s="262" t="n"/>
      <c r="G81" s="262" t="n"/>
      <c r="H81" s="262" t="n"/>
      <c r="I81" s="262" t="n"/>
      <c r="J81" s="262" t="n"/>
      <c r="K81" s="262" t="n"/>
      <c r="L81" s="262" t="n"/>
      <c r="M81" s="262" t="n"/>
      <c r="N81" s="262" t="n"/>
      <c r="O81" s="262" t="n"/>
      <c r="P81" s="263" t="n"/>
      <c r="Q81" s="141" t="n"/>
      <c r="R81" s="278" t="n"/>
      <c r="S81" s="278" t="n"/>
      <c r="T81" s="278" t="n"/>
      <c r="U81" s="278" t="n"/>
      <c r="V81" s="278" t="n"/>
      <c r="W81" s="60" t="n"/>
      <c r="X81" s="54" t="n"/>
      <c r="Y81" s="54" t="n"/>
      <c r="Z81" s="54" t="n"/>
      <c r="AA81" s="54" t="n"/>
    </row>
    <row r="82" ht="15.75" customFormat="1" customHeight="1" s="65" thickBot="1">
      <c r="Q82" s="141" t="n"/>
      <c r="R82" s="278" t="n"/>
      <c r="S82" s="278" t="n"/>
      <c r="T82" s="278" t="n"/>
      <c r="U82" s="278" t="n"/>
      <c r="V82" s="278" t="n"/>
      <c r="W82" s="222" t="n"/>
    </row>
    <row r="83" ht="20.25" customFormat="1" customHeight="1" s="55">
      <c r="A83" s="65" t="n"/>
      <c r="B83" s="181" t="inlineStr">
        <is>
          <t>The audit team</t>
        </is>
      </c>
      <c r="C83" s="182" t="n"/>
      <c r="D83" s="182" t="n"/>
      <c r="E83" s="182" t="n"/>
      <c r="F83" s="182" t="n"/>
      <c r="G83" s="182" t="n"/>
      <c r="H83" s="182" t="n"/>
      <c r="I83" s="182" t="n"/>
      <c r="J83" s="182" t="n"/>
      <c r="K83" s="182" t="n"/>
      <c r="L83" s="182" t="n"/>
      <c r="M83" s="182" t="n"/>
      <c r="N83" s="182" t="n"/>
      <c r="O83" s="182" t="n"/>
      <c r="P83" s="223" t="n"/>
      <c r="Q83" s="142" t="n"/>
      <c r="R83" s="283" t="n"/>
      <c r="S83" s="283" t="n"/>
      <c r="T83" s="283" t="n"/>
      <c r="U83" s="283" t="n"/>
      <c r="V83" s="283" t="n"/>
      <c r="W83" s="60" t="n"/>
      <c r="X83" s="54" t="n"/>
      <c r="Y83" s="54" t="n"/>
      <c r="Z83" s="54" t="n"/>
      <c r="AA83" s="54" t="n"/>
    </row>
    <row r="84" customFormat="1" s="55">
      <c r="A84" s="65" t="n"/>
      <c r="B84" s="186" t="inlineStr">
        <is>
          <t>Engagement team skills and knowledge [ISA (revised) 540.15]</t>
        </is>
      </c>
      <c r="C84" s="71" t="n"/>
      <c r="D84" s="71" t="n"/>
      <c r="E84" s="71" t="n"/>
      <c r="F84" s="71" t="n"/>
      <c r="G84" s="71" t="n"/>
      <c r="H84" s="71" t="n"/>
      <c r="I84" s="71" t="n"/>
      <c r="J84" s="174" t="n"/>
      <c r="K84" s="174" t="n"/>
      <c r="L84" s="174" t="n"/>
      <c r="M84" s="174" t="n"/>
      <c r="N84" s="174" t="n"/>
      <c r="O84" s="174" t="n"/>
      <c r="P84" s="187" t="n"/>
      <c r="Q84" s="143" t="n"/>
      <c r="R84" s="280" t="n"/>
      <c r="S84" s="281" t="n"/>
      <c r="T84" s="281" t="n"/>
      <c r="U84" s="281" t="n"/>
      <c r="V84" s="281" t="n"/>
      <c r="W84" s="53" t="n"/>
      <c r="X84" s="54" t="n"/>
      <c r="Y84" s="54" t="n"/>
      <c r="Z84" s="54" t="n"/>
      <c r="AA84" s="54" t="n"/>
    </row>
    <row r="85" ht="15" customFormat="1" customHeight="1" s="55">
      <c r="A85" s="65" t="n"/>
      <c r="B85" s="382" t="inlineStr">
        <is>
          <t>시즌별 설정률 적용 및 재계산 검증은 감사팀의 통상적 감사기술로 충분하며 별도의 전문 스킬은 요구되지 않음.</t>
        </is>
      </c>
      <c r="C85" s="374" t="n"/>
      <c r="D85" s="374" t="n"/>
      <c r="E85" s="374" t="n"/>
      <c r="F85" s="374" t="n"/>
      <c r="G85" s="374" t="n"/>
      <c r="H85" s="374" t="n"/>
      <c r="I85" s="374" t="n"/>
      <c r="J85" s="374" t="n"/>
      <c r="K85" s="374" t="n"/>
      <c r="L85" s="374" t="n"/>
      <c r="M85" s="374" t="n"/>
      <c r="N85" s="374" t="n"/>
      <c r="O85" s="374" t="n"/>
      <c r="P85" s="333" t="inlineStr">
        <is>
          <t>Link to guidance</t>
        </is>
      </c>
      <c r="Q85" s="140" t="n"/>
      <c r="R85" s="269" t="n"/>
      <c r="S85" s="270" t="n"/>
      <c r="T85" s="270" t="n"/>
      <c r="U85" s="271" t="n"/>
      <c r="V85" s="271" t="n"/>
      <c r="W85" s="56" t="n"/>
      <c r="X85" s="54" t="n"/>
      <c r="Y85" s="54" t="n"/>
      <c r="Z85" s="54" t="n"/>
      <c r="AA85" s="54" t="n"/>
    </row>
    <row r="86" customFormat="1" s="55">
      <c r="A86" s="65" t="n"/>
      <c r="B86" s="380" t="n"/>
      <c r="C86" s="374" t="n"/>
      <c r="D86" s="374" t="n"/>
      <c r="E86" s="374" t="n"/>
      <c r="F86" s="374" t="n"/>
      <c r="G86" s="374" t="n"/>
      <c r="H86" s="374" t="n"/>
      <c r="I86" s="374" t="n"/>
      <c r="J86" s="374" t="n"/>
      <c r="K86" s="374" t="n"/>
      <c r="L86" s="374" t="n"/>
      <c r="M86" s="374" t="n"/>
      <c r="N86" s="374" t="n"/>
      <c r="O86" s="374" t="n"/>
      <c r="P86" s="381" t="n"/>
      <c r="Q86" s="78" t="n"/>
      <c r="R86" s="269" t="n"/>
      <c r="S86" s="270" t="n"/>
      <c r="T86" s="270" t="n"/>
      <c r="U86" s="271" t="n"/>
      <c r="V86" s="271" t="n"/>
      <c r="W86" s="56" t="n"/>
      <c r="X86" s="54" t="n"/>
      <c r="Y86" s="54" t="n"/>
      <c r="Z86" s="54" t="n"/>
      <c r="AA86" s="54" t="n"/>
    </row>
    <row r="87" ht="16.5" customFormat="1" customHeight="1" s="55" thickBot="1">
      <c r="A87" s="65" t="n"/>
      <c r="B87" s="380" t="n"/>
      <c r="C87" s="374" t="n"/>
      <c r="D87" s="374" t="n"/>
      <c r="E87" s="374" t="n"/>
      <c r="F87" s="374" t="n"/>
      <c r="G87" s="374" t="n"/>
      <c r="H87" s="374" t="n"/>
      <c r="I87" s="374" t="n"/>
      <c r="J87" s="374" t="n"/>
      <c r="K87" s="374" t="n"/>
      <c r="L87" s="374" t="n"/>
      <c r="M87" s="374" t="n"/>
      <c r="N87" s="374" t="n"/>
      <c r="O87" s="374" t="n"/>
      <c r="P87" s="219" t="n"/>
      <c r="Q87" s="144" t="n"/>
      <c r="R87" s="344" t="inlineStr">
        <is>
          <t>If an auditor's expert is used then you must document this in Atlas on the node 'Details of reliance on experts'.
If a specialist is used then within Atlas they must be added to the engagement team within the node 'Engagement'.</t>
        </is>
      </c>
      <c r="W87" s="62" t="n"/>
      <c r="X87" s="54" t="n"/>
      <c r="Y87" s="54" t="n"/>
      <c r="Z87" s="54" t="n"/>
      <c r="AA87" s="54" t="n"/>
    </row>
    <row r="88" ht="15.75" customFormat="1" customHeight="1" s="55" thickBot="1">
      <c r="A88" s="65" t="n"/>
      <c r="B88" s="209" t="inlineStr">
        <is>
          <t>Will we use an auditor's expert or specialist?</t>
        </is>
      </c>
      <c r="C88" s="68" t="n"/>
      <c r="D88" s="68" t="n"/>
      <c r="E88" s="68" t="n"/>
      <c r="F88" s="308" t="inlineStr">
        <is>
          <t>No</t>
        </is>
      </c>
      <c r="G88" s="68" t="inlineStr">
        <is>
          <t>User should select from dropdown menu</t>
        </is>
      </c>
      <c r="H88" s="68" t="n"/>
      <c r="I88" s="68" t="n"/>
      <c r="J88" s="68" t="n"/>
      <c r="K88" s="68" t="n"/>
      <c r="L88" s="68" t="n"/>
      <c r="M88" s="68" t="n"/>
      <c r="N88" s="68" t="n"/>
      <c r="O88" s="68" t="n"/>
      <c r="P88" s="193" t="n"/>
      <c r="Q88" s="19" t="n"/>
      <c r="W88" s="53" t="n"/>
      <c r="X88" s="54" t="n"/>
      <c r="Y88" s="54" t="n"/>
      <c r="Z88" s="54" t="n"/>
      <c r="AA88" s="54" t="n"/>
    </row>
    <row r="89" ht="15" customFormat="1" customHeight="1" s="55">
      <c r="B89" s="255">
        <f>IF(F88="Yes","Please document the details in the experts template/screen within the audit file","")</f>
        <v/>
      </c>
      <c r="C89" s="251" t="n"/>
      <c r="D89" s="251" t="n"/>
      <c r="E89" s="251" t="n"/>
      <c r="F89" s="251" t="n"/>
      <c r="G89" s="251" t="n"/>
      <c r="H89" s="251" t="n"/>
      <c r="I89" s="251" t="n"/>
      <c r="J89" s="251" t="n"/>
      <c r="K89" s="251" t="n"/>
      <c r="L89" s="251" t="n"/>
      <c r="M89" s="251" t="n"/>
      <c r="N89" s="251" t="n"/>
      <c r="O89" s="251" t="n"/>
      <c r="P89" s="256" t="n"/>
      <c r="Q89" s="13" t="n"/>
      <c r="W89" s="62" t="n"/>
    </row>
    <row r="90" ht="15.75" customFormat="1" customHeight="1" s="55">
      <c r="B90" s="257">
        <f>IF(F88="YES","Please insert the file reference of the experts documentation:","")</f>
        <v/>
      </c>
      <c r="C90" s="252" t="n"/>
      <c r="D90" s="252" t="n"/>
      <c r="E90" s="252" t="n"/>
      <c r="F90" s="252" t="n"/>
      <c r="G90" s="326" t="n"/>
      <c r="H90" s="374" t="n"/>
      <c r="I90" s="374" t="n"/>
      <c r="J90" s="253" t="n"/>
      <c r="K90" s="253" t="n"/>
      <c r="L90" s="253" t="n"/>
      <c r="M90" s="253" t="n"/>
      <c r="N90" s="253" t="n"/>
      <c r="O90" s="253" t="n"/>
      <c r="P90" s="258" t="n"/>
      <c r="Q90" s="13" t="n"/>
      <c r="W90" s="62" t="n"/>
    </row>
    <row r="91" ht="15.75" customFormat="1" customHeight="1" s="55">
      <c r="B91" s="257" t="n"/>
      <c r="C91" s="252" t="n"/>
      <c r="D91" s="252" t="n"/>
      <c r="E91" s="252" t="n"/>
      <c r="F91" s="253" t="n"/>
      <c r="G91" s="253" t="n"/>
      <c r="H91" s="253" t="n"/>
      <c r="I91" s="253" t="n"/>
      <c r="J91" s="253" t="n"/>
      <c r="K91" s="253" t="n"/>
      <c r="L91" s="253" t="n"/>
      <c r="M91" s="253" t="n"/>
      <c r="N91" s="253" t="n"/>
      <c r="O91" s="253" t="n"/>
      <c r="P91" s="258" t="n"/>
      <c r="Q91" s="13" t="n"/>
      <c r="W91" s="62" t="n"/>
    </row>
    <row r="92" customFormat="1" s="65">
      <c r="B92" s="259" t="n"/>
      <c r="C92" s="254" t="n"/>
      <c r="D92" s="254" t="n"/>
      <c r="E92" s="254" t="n"/>
      <c r="F92" s="254" t="n"/>
      <c r="G92" s="254" t="n"/>
      <c r="H92" s="254" t="n"/>
      <c r="I92" s="254" t="n"/>
      <c r="J92" s="254" t="n"/>
      <c r="K92" s="254" t="n"/>
      <c r="L92" s="254" t="n"/>
      <c r="M92" s="254" t="n"/>
      <c r="N92" s="254" t="n"/>
      <c r="O92" s="254" t="n"/>
      <c r="P92" s="260" t="n"/>
      <c r="Q92" s="144" t="n"/>
      <c r="R92" s="284" t="n"/>
      <c r="S92" s="285" t="n"/>
      <c r="T92" s="285" t="n"/>
      <c r="U92" s="285" t="n"/>
      <c r="V92" s="285" t="n"/>
      <c r="W92" s="145" t="n"/>
    </row>
    <row r="93" ht="15.75" customFormat="1" customHeight="1" s="65" thickBot="1">
      <c r="B93" s="261" t="n"/>
      <c r="C93" s="262" t="n"/>
      <c r="D93" s="262" t="n"/>
      <c r="E93" s="262" t="n"/>
      <c r="F93" s="262" t="n"/>
      <c r="G93" s="262" t="n"/>
      <c r="H93" s="262" t="n"/>
      <c r="I93" s="262" t="n"/>
      <c r="J93" s="262" t="n"/>
      <c r="K93" s="262" t="n"/>
      <c r="L93" s="262" t="n"/>
      <c r="M93" s="262" t="n"/>
      <c r="N93" s="262" t="n"/>
      <c r="O93" s="262" t="n"/>
      <c r="P93" s="263" t="n"/>
      <c r="Q93" s="146" t="n"/>
      <c r="R93" s="286" t="n"/>
      <c r="S93" s="287" t="n"/>
      <c r="T93" s="287" t="n"/>
      <c r="U93" s="287" t="n"/>
      <c r="V93" s="287" t="n"/>
      <c r="W93" s="148" t="n"/>
    </row>
    <row r="94" customFormat="1" s="65">
      <c r="B94" s="146" t="n"/>
      <c r="C94" s="146" t="n"/>
      <c r="D94" s="146" t="n"/>
      <c r="E94" s="146" t="n"/>
      <c r="F94" s="146" t="n"/>
      <c r="G94" s="146" t="n"/>
      <c r="H94" s="146" t="n"/>
      <c r="I94" s="146" t="n"/>
      <c r="J94" s="146" t="n"/>
      <c r="K94" s="146" t="n"/>
      <c r="L94" s="146" t="n"/>
      <c r="M94" s="146" t="n"/>
      <c r="N94" s="146" t="n"/>
      <c r="O94" s="146" t="n"/>
      <c r="P94" s="147" t="n"/>
      <c r="Q94" s="146" t="n"/>
      <c r="R94" s="286" t="n"/>
      <c r="S94" s="287" t="n"/>
      <c r="T94" s="287" t="n"/>
      <c r="U94" s="287" t="n"/>
      <c r="V94" s="287" t="n"/>
      <c r="W94" s="148" t="n"/>
    </row>
    <row r="95" ht="31.5" customFormat="1" customHeight="1" s="119">
      <c r="B95" s="119" t="inlineStr">
        <is>
          <t>STEP 2:   IDENTIFYING AND ASSESSING THE RISKS OF MATERIAL MISSTATEMENT</t>
        </is>
      </c>
      <c r="P95" s="159" t="n"/>
      <c r="R95" s="267" t="n"/>
      <c r="S95" s="268" t="n"/>
      <c r="T95" s="268" t="n"/>
      <c r="U95" s="268" t="n"/>
      <c r="V95" s="268" t="n"/>
      <c r="W95" s="122" t="n"/>
      <c r="Z95" s="119" t="inlineStr">
        <is>
          <t>Inherent risk matrix</t>
        </is>
      </c>
    </row>
    <row r="96" ht="15.75" customHeight="1" thickBot="1">
      <c r="A96" s="55" t="n"/>
      <c r="B96" s="170" t="n"/>
      <c r="C96" s="43" t="n"/>
      <c r="D96" s="43" t="n"/>
      <c r="E96" s="43" t="n"/>
      <c r="F96" s="43" t="n"/>
      <c r="G96" s="43" t="n"/>
      <c r="H96" s="43" t="n"/>
      <c r="I96" s="43" t="n"/>
      <c r="J96" s="43" t="n"/>
      <c r="K96" s="43" t="n"/>
      <c r="L96" s="43" t="n"/>
      <c r="M96" s="43" t="n"/>
      <c r="N96" s="43" t="n"/>
      <c r="O96" s="43" t="n"/>
      <c r="P96" s="127" t="n"/>
      <c r="Q96" s="4" t="n"/>
      <c r="Z96" s="79" t="inlineStr">
        <is>
          <t>Significant</t>
        </is>
      </c>
      <c r="AA96" s="79" t="inlineStr">
        <is>
          <t>&gt;6</t>
        </is>
      </c>
    </row>
    <row r="97" ht="27.6" customHeight="1">
      <c r="A97" s="65" t="n"/>
      <c r="B97" s="181" t="inlineStr">
        <is>
          <t>Inherent risk assessment</t>
        </is>
      </c>
      <c r="C97" s="182" t="n"/>
      <c r="D97" s="182" t="n"/>
      <c r="E97" s="182" t="n"/>
      <c r="F97" s="182" t="n"/>
      <c r="G97" s="182" t="n"/>
      <c r="H97" s="182" t="n"/>
      <c r="I97" s="182" t="n"/>
      <c r="J97" s="182" t="n"/>
      <c r="K97" s="182" t="n"/>
      <c r="L97" s="182" t="n"/>
      <c r="M97" s="182" t="n"/>
      <c r="N97" s="182" t="n"/>
      <c r="O97" s="182" t="n"/>
      <c r="P97" s="192" t="n"/>
      <c r="Q97" s="19" t="n"/>
      <c r="Z97" s="79" t="inlineStr">
        <is>
          <t>Enhanced</t>
        </is>
      </c>
      <c r="AA97" s="81" t="inlineStr">
        <is>
          <t>4 to 6</t>
        </is>
      </c>
    </row>
    <row r="98" ht="19.5" customFormat="1" customHeight="1" s="55">
      <c r="A98" s="65" t="n"/>
      <c r="B98" s="186" t="inlineStr">
        <is>
          <t>Identifying and assessing the risks of material misstatement relating to an accounting estimate and related disclosures at assertion level [ISA (revised) 540.16]</t>
        </is>
      </c>
      <c r="C98" s="71" t="n"/>
      <c r="D98" s="71" t="n"/>
      <c r="E98" s="71" t="n"/>
      <c r="F98" s="71" t="n"/>
      <c r="G98" s="71" t="n"/>
      <c r="H98" s="71" t="n"/>
      <c r="I98" s="71" t="n"/>
      <c r="J98" s="174" t="n"/>
      <c r="K98" s="174" t="n"/>
      <c r="L98" s="174" t="n"/>
      <c r="M98" s="174" t="n"/>
      <c r="N98" s="174" t="n"/>
      <c r="O98" s="174" t="n"/>
      <c r="P98" s="193" t="n"/>
      <c r="Q98" s="19" t="n"/>
      <c r="R98" s="288" t="n"/>
      <c r="S98" s="289" t="n"/>
      <c r="T98" s="289" t="n"/>
      <c r="U98" s="289" t="n"/>
      <c r="V98" s="289" t="n"/>
      <c r="W98" s="53" t="n"/>
      <c r="X98" s="54" t="n"/>
      <c r="Y98" s="54" t="n"/>
      <c r="Z98" s="54" t="inlineStr">
        <is>
          <t>Standard</t>
        </is>
      </c>
      <c r="AA98" s="54" t="inlineStr">
        <is>
          <t>&gt;4</t>
        </is>
      </c>
    </row>
    <row r="99" ht="15" customHeight="1">
      <c r="A99" s="65" t="n"/>
      <c r="B99" s="327" t="inlineStr">
        <is>
          <t xml:space="preserve">In identifying and assessing risks of material misstatement at the assertion level for an accounting estimate and related disclosures, we must consider inherent risk and control risk separately. We must consider the factors of estimation uncertainty, complexity, subjectivity and other inherent risk factors when considering the level of inherent risk. The below sections will help to guide you in determining to what degree your accounting estimate is subject to these factors. You will then form an overall assessment of the inherent and control risks associated with your accounting estimate. </t>
        </is>
      </c>
      <c r="P99" s="194" t="n"/>
      <c r="Q99" s="149" t="n"/>
      <c r="R99" s="290" t="n"/>
      <c r="S99" s="291" t="n"/>
      <c r="T99" s="291" t="n"/>
      <c r="U99" s="291" t="n"/>
      <c r="V99" s="291" t="n"/>
      <c r="W99" s="82" t="n"/>
    </row>
    <row r="100" ht="15" customHeight="1">
      <c r="A100" s="65" t="n"/>
      <c r="B100" s="386" t="n"/>
      <c r="P100" s="194" t="n"/>
      <c r="Q100" s="149" t="n"/>
      <c r="R100" s="290" t="n"/>
      <c r="S100" s="291" t="n"/>
      <c r="T100" s="291" t="n"/>
      <c r="U100" s="291" t="n"/>
      <c r="V100" s="291" t="n"/>
      <c r="W100" s="82" t="n"/>
    </row>
    <row r="101" ht="15" customHeight="1">
      <c r="A101" s="65" t="n"/>
      <c r="B101" s="386" t="n"/>
      <c r="P101" s="194" t="n"/>
      <c r="Q101" s="149" t="n"/>
      <c r="R101" s="290" t="n"/>
      <c r="S101" s="291" t="n"/>
      <c r="T101" s="291" t="n"/>
      <c r="U101" s="291" t="n"/>
      <c r="V101" s="291" t="n"/>
      <c r="W101" s="82" t="n"/>
    </row>
    <row r="102" ht="15" customHeight="1" thickBot="1">
      <c r="A102" s="65" t="n"/>
      <c r="B102" s="386" t="n"/>
      <c r="P102" s="194" t="n"/>
      <c r="Q102" s="149" t="n"/>
      <c r="R102" s="290" t="n"/>
      <c r="S102" s="291" t="n"/>
      <c r="T102" s="291" t="n"/>
      <c r="U102" s="291" t="n"/>
      <c r="V102" s="291" t="n"/>
      <c r="W102" s="82" t="n"/>
      <c r="X102" s="83" t="inlineStr">
        <is>
          <t>Risk indicator level for dropdown menu (to be hidden)</t>
        </is>
      </c>
      <c r="Z102" s="83" t="inlineStr">
        <is>
          <t>Calculation based on answers</t>
        </is>
      </c>
    </row>
    <row r="103" ht="15" customHeight="1" thickBot="1">
      <c r="A103" s="65" t="n"/>
      <c r="B103" s="195" t="inlineStr">
        <is>
          <t>The degree to which the accounting estimate is subject to estimation uncertainty</t>
        </is>
      </c>
      <c r="C103" s="175" t="n"/>
      <c r="D103" s="196" t="n"/>
      <c r="E103" s="196" t="n"/>
      <c r="F103" s="196" t="n"/>
      <c r="G103" s="196" t="n"/>
      <c r="H103" s="196" t="n"/>
      <c r="I103" s="196" t="n"/>
      <c r="J103" s="197" t="inlineStr">
        <is>
          <t>User to select from the dropdown menu</t>
        </is>
      </c>
      <c r="K103" s="197" t="n"/>
      <c r="L103" s="198" t="inlineStr">
        <is>
          <t>Risk indicator:</t>
        </is>
      </c>
      <c r="M103" s="199" t="n"/>
      <c r="N103" s="301" t="inlineStr">
        <is>
          <t>Low</t>
        </is>
      </c>
      <c r="O103" s="176" t="n"/>
      <c r="P103" s="200" t="n"/>
      <c r="Q103" s="140" t="n"/>
      <c r="R103" s="292" t="n"/>
      <c r="S103" s="293" t="n"/>
      <c r="T103" s="293" t="n"/>
      <c r="U103" s="293" t="n"/>
      <c r="V103" s="293" t="n"/>
      <c r="W103" s="84" t="n"/>
      <c r="X103" s="79" t="inlineStr">
        <is>
          <t>Low</t>
        </is>
      </c>
      <c r="Z103" s="79" t="inlineStr">
        <is>
          <t>Estm uncert.</t>
        </is>
      </c>
      <c r="AA103" s="79">
        <f>IF($N$103="High",3,IF($N$103="Moderate",2,IF($N$103="Low",1,"")))</f>
        <v/>
      </c>
    </row>
    <row r="104" ht="15" customHeight="1">
      <c r="A104" s="65" t="n"/>
      <c r="B104" s="382" t="inlineStr">
        <is>
          <t>설정률이 과거 수년간의 NRV 미실현 경험 등 관측 가능한 데이터에 근거하고 있어 측정의 추정불확실성은 낮은 편임.</t>
        </is>
      </c>
      <c r="C104" s="374" t="n"/>
      <c r="D104" s="374" t="n"/>
      <c r="E104" s="374" t="n"/>
      <c r="F104" s="374" t="n"/>
      <c r="G104" s="374" t="n"/>
      <c r="H104" s="374" t="n"/>
      <c r="I104" s="374" t="n"/>
      <c r="J104" s="374" t="n"/>
      <c r="K104" s="374" t="n"/>
      <c r="L104" s="374" t="n"/>
      <c r="M104" s="374" t="n"/>
      <c r="N104" s="374" t="n"/>
      <c r="O104" s="374" t="n"/>
      <c r="P104" s="333" t="inlineStr">
        <is>
          <t>Link to guidance</t>
        </is>
      </c>
      <c r="Q104" s="150" t="n"/>
      <c r="R104" s="269" t="n"/>
      <c r="S104" s="294" t="n"/>
      <c r="T104" s="294" t="n"/>
      <c r="U104" s="295" t="n"/>
      <c r="V104" s="295" t="n"/>
      <c r="W104" s="85" t="n"/>
      <c r="X104" s="79" t="inlineStr">
        <is>
          <t>Moderate</t>
        </is>
      </c>
      <c r="Z104" s="79" t="inlineStr">
        <is>
          <t>Com</t>
        </is>
      </c>
      <c r="AA104" s="79">
        <f>IF($N$110="High",3,IF($N$110="Moderate",2,IF($N$110="Low",1,"")))</f>
        <v/>
      </c>
    </row>
    <row r="105" ht="15" customHeight="1">
      <c r="A105" s="65" t="n"/>
      <c r="B105" s="380" t="n"/>
      <c r="C105" s="374" t="n"/>
      <c r="D105" s="374" t="n"/>
      <c r="E105" s="374" t="n"/>
      <c r="F105" s="374" t="n"/>
      <c r="G105" s="374" t="n"/>
      <c r="H105" s="374" t="n"/>
      <c r="I105" s="374" t="n"/>
      <c r="J105" s="374" t="n"/>
      <c r="K105" s="374" t="n"/>
      <c r="L105" s="374" t="n"/>
      <c r="M105" s="374" t="n"/>
      <c r="N105" s="374" t="n"/>
      <c r="O105" s="374" t="n"/>
      <c r="P105" s="381" t="n"/>
      <c r="Q105" s="150" t="n"/>
      <c r="R105" s="278" t="n"/>
      <c r="S105" s="296" t="n"/>
      <c r="T105" s="296" t="n"/>
      <c r="U105" s="296" t="n"/>
      <c r="V105" s="296" t="n"/>
      <c r="W105" s="82" t="n"/>
      <c r="X105" s="79" t="inlineStr">
        <is>
          <t>High</t>
        </is>
      </c>
      <c r="Z105" s="79" t="inlineStr">
        <is>
          <t>Sub</t>
        </is>
      </c>
      <c r="AA105" s="79">
        <f>IF($N$115="High",3,IF($N$115="Moderate",2,IF($N$115="Low",1,"")))</f>
        <v/>
      </c>
    </row>
    <row r="106" ht="15" customHeight="1">
      <c r="A106" s="65" t="n"/>
      <c r="B106" s="380" t="n"/>
      <c r="C106" s="374" t="n"/>
      <c r="D106" s="374" t="n"/>
      <c r="E106" s="374" t="n"/>
      <c r="F106" s="374" t="n"/>
      <c r="G106" s="374" t="n"/>
      <c r="H106" s="374" t="n"/>
      <c r="I106" s="374" t="n"/>
      <c r="J106" s="374" t="n"/>
      <c r="K106" s="374" t="n"/>
      <c r="L106" s="374" t="n"/>
      <c r="M106" s="374" t="n"/>
      <c r="N106" s="374" t="n"/>
      <c r="O106" s="374" t="n"/>
      <c r="P106" s="201" t="n"/>
      <c r="Q106" s="150" t="n"/>
      <c r="R106" s="278" t="n"/>
      <c r="S106" s="296" t="n"/>
      <c r="T106" s="296" t="n"/>
      <c r="U106" s="296" t="n"/>
      <c r="V106" s="296" t="n"/>
      <c r="W106" s="82" t="n"/>
      <c r="AA106" s="86">
        <f>SUM(AA103:AA105)</f>
        <v/>
      </c>
    </row>
    <row r="107" ht="15" customHeight="1">
      <c r="A107" s="65" t="n"/>
      <c r="B107" s="380" t="n"/>
      <c r="C107" s="374" t="n"/>
      <c r="D107" s="374" t="n"/>
      <c r="E107" s="374" t="n"/>
      <c r="F107" s="374" t="n"/>
      <c r="G107" s="374" t="n"/>
      <c r="H107" s="374" t="n"/>
      <c r="I107" s="374" t="n"/>
      <c r="J107" s="374" t="n"/>
      <c r="K107" s="374" t="n"/>
      <c r="L107" s="374" t="n"/>
      <c r="M107" s="374" t="n"/>
      <c r="N107" s="374" t="n"/>
      <c r="O107" s="374" t="n"/>
      <c r="P107" s="201" t="n"/>
      <c r="Q107" s="150" t="n"/>
      <c r="R107" s="278" t="n"/>
      <c r="S107" s="296" t="n"/>
      <c r="T107" s="296" t="n"/>
      <c r="U107" s="296" t="n"/>
      <c r="V107" s="296" t="n"/>
      <c r="W107" s="82" t="n"/>
    </row>
    <row r="108" ht="15" customHeight="1">
      <c r="A108" s="65" t="n"/>
      <c r="B108" s="329" t="inlineStr">
        <is>
          <t>The degree to which the selection and application of the method, assumptions and data in making the accounting estimate, or the selection of management's point estimate and related disclosures are affected by:</t>
        </is>
      </c>
      <c r="P108" s="200" t="n"/>
      <c r="Q108" s="140" t="n"/>
      <c r="R108" s="292" t="n"/>
      <c r="S108" s="293" t="n"/>
      <c r="T108" s="293" t="n"/>
      <c r="U108" s="293" t="n"/>
      <c r="V108" s="293" t="n"/>
      <c r="W108" s="84" t="n"/>
    </row>
    <row r="109" ht="15.75" customHeight="1" thickBot="1">
      <c r="A109" s="65" t="n"/>
      <c r="B109" s="386" t="n"/>
      <c r="P109" s="200" t="n"/>
      <c r="Q109" s="140" t="n"/>
      <c r="R109" s="292" t="n"/>
      <c r="S109" s="293" t="n"/>
      <c r="T109" s="293" t="n"/>
      <c r="U109" s="293" t="n"/>
      <c r="V109" s="293" t="n"/>
      <c r="W109" s="84" t="n"/>
    </row>
    <row r="110" ht="15" customHeight="1" thickBot="1">
      <c r="A110" s="65" t="n"/>
      <c r="B110" s="195" t="inlineStr">
        <is>
          <t>Complexity</t>
        </is>
      </c>
      <c r="C110" s="175" t="n"/>
      <c r="D110" s="196" t="n"/>
      <c r="E110" s="196" t="n"/>
      <c r="F110" s="196" t="n"/>
      <c r="G110" s="196" t="n"/>
      <c r="H110" s="196" t="n"/>
      <c r="I110" s="196" t="n"/>
      <c r="J110" s="197" t="inlineStr">
        <is>
          <t>User to select from the dropdown menu</t>
        </is>
      </c>
      <c r="K110" s="197" t="n"/>
      <c r="L110" s="198" t="inlineStr">
        <is>
          <t>Risk indicator:</t>
        </is>
      </c>
      <c r="M110" s="199" t="n"/>
      <c r="N110" s="301" t="inlineStr">
        <is>
          <t>Low</t>
        </is>
      </c>
      <c r="O110" s="176" t="n"/>
      <c r="P110" s="200" t="n"/>
      <c r="Q110" s="140" t="n"/>
      <c r="R110" s="292" t="n"/>
      <c r="S110" s="293" t="n"/>
      <c r="T110" s="293" t="n"/>
      <c r="U110" s="293" t="n"/>
      <c r="V110" s="293" t="n"/>
      <c r="W110" s="84" t="n"/>
    </row>
    <row r="111" ht="15" customHeight="1">
      <c r="A111" s="65" t="n"/>
      <c r="B111" s="382" t="inlineStr">
        <is>
          <t>시즌별 재고금액에 설정률을 곱하여 합산하는 방식으로, 복잡한 모델이 개입하지 않아 복잡성은 낮음.</t>
        </is>
      </c>
      <c r="C111" s="374" t="n"/>
      <c r="D111" s="374" t="n"/>
      <c r="E111" s="374" t="n"/>
      <c r="F111" s="374" t="n"/>
      <c r="G111" s="374" t="n"/>
      <c r="H111" s="374" t="n"/>
      <c r="I111" s="374" t="n"/>
      <c r="J111" s="374" t="n"/>
      <c r="K111" s="374" t="n"/>
      <c r="L111" s="374" t="n"/>
      <c r="M111" s="374" t="n"/>
      <c r="N111" s="374" t="n"/>
      <c r="O111" s="374" t="n"/>
      <c r="P111" s="333" t="inlineStr">
        <is>
          <t>Link to guidance</t>
        </is>
      </c>
      <c r="Q111" s="150" t="n"/>
      <c r="R111" s="269" t="n"/>
      <c r="S111" s="294" t="n"/>
      <c r="T111" s="294" t="n"/>
      <c r="U111" s="295" t="n"/>
      <c r="V111" s="295" t="n"/>
      <c r="W111" s="85" t="n"/>
    </row>
    <row r="112" ht="15" customHeight="1">
      <c r="A112" s="65" t="n"/>
      <c r="B112" s="380" t="n"/>
      <c r="C112" s="374" t="n"/>
      <c r="D112" s="374" t="n"/>
      <c r="E112" s="374" t="n"/>
      <c r="F112" s="374" t="n"/>
      <c r="G112" s="374" t="n"/>
      <c r="H112" s="374" t="n"/>
      <c r="I112" s="374" t="n"/>
      <c r="J112" s="374" t="n"/>
      <c r="K112" s="374" t="n"/>
      <c r="L112" s="374" t="n"/>
      <c r="M112" s="374" t="n"/>
      <c r="N112" s="374" t="n"/>
      <c r="O112" s="374" t="n"/>
      <c r="P112" s="381" t="n"/>
      <c r="Q112" s="150" t="n"/>
      <c r="R112" s="278" t="n"/>
      <c r="S112" s="296" t="n"/>
      <c r="T112" s="296" t="n"/>
      <c r="U112" s="296" t="n"/>
      <c r="V112" s="296" t="n"/>
      <c r="W112" s="82" t="n"/>
    </row>
    <row r="113" ht="15" customHeight="1">
      <c r="A113" s="65" t="n"/>
      <c r="B113" s="380" t="n"/>
      <c r="C113" s="374" t="n"/>
      <c r="D113" s="374" t="n"/>
      <c r="E113" s="374" t="n"/>
      <c r="F113" s="374" t="n"/>
      <c r="G113" s="374" t="n"/>
      <c r="H113" s="374" t="n"/>
      <c r="I113" s="374" t="n"/>
      <c r="J113" s="374" t="n"/>
      <c r="K113" s="374" t="n"/>
      <c r="L113" s="374" t="n"/>
      <c r="M113" s="374" t="n"/>
      <c r="N113" s="374" t="n"/>
      <c r="O113" s="374" t="n"/>
      <c r="P113" s="201" t="n"/>
      <c r="Q113" s="150" t="n"/>
      <c r="R113" s="278" t="n"/>
      <c r="S113" s="296" t="n"/>
      <c r="T113" s="296" t="n"/>
      <c r="U113" s="296" t="n"/>
      <c r="V113" s="296" t="n"/>
      <c r="W113" s="82" t="n"/>
    </row>
    <row r="114" ht="15" customHeight="1" thickBot="1">
      <c r="A114" s="65" t="n"/>
      <c r="B114" s="380" t="n"/>
      <c r="C114" s="374" t="n"/>
      <c r="D114" s="374" t="n"/>
      <c r="E114" s="374" t="n"/>
      <c r="F114" s="374" t="n"/>
      <c r="G114" s="374" t="n"/>
      <c r="H114" s="374" t="n"/>
      <c r="I114" s="374" t="n"/>
      <c r="J114" s="374" t="n"/>
      <c r="K114" s="374" t="n"/>
      <c r="L114" s="374" t="n"/>
      <c r="M114" s="374" t="n"/>
      <c r="N114" s="374" t="n"/>
      <c r="O114" s="374" t="n"/>
      <c r="P114" s="201" t="n"/>
      <c r="Q114" s="150" t="n"/>
      <c r="R114" s="278" t="n"/>
      <c r="S114" s="296" t="n"/>
      <c r="T114" s="296" t="n"/>
      <c r="U114" s="296" t="n"/>
      <c r="V114" s="296" t="n"/>
      <c r="W114" s="82" t="n"/>
    </row>
    <row r="115" ht="15" customHeight="1" thickBot="1">
      <c r="A115" s="65" t="n"/>
      <c r="B115" s="195" t="inlineStr">
        <is>
          <t>Subjectivity</t>
        </is>
      </c>
      <c r="C115" s="175" t="n"/>
      <c r="D115" s="196" t="n"/>
      <c r="E115" s="196" t="n"/>
      <c r="F115" s="196" t="n"/>
      <c r="G115" s="196" t="n"/>
      <c r="H115" s="196" t="n"/>
      <c r="I115" s="196" t="n"/>
      <c r="J115" s="197" t="inlineStr">
        <is>
          <t>User to select from the dropdown menu</t>
        </is>
      </c>
      <c r="K115" s="197" t="n"/>
      <c r="L115" s="198" t="inlineStr">
        <is>
          <t>Risk indicator:</t>
        </is>
      </c>
      <c r="M115" s="199" t="n"/>
      <c r="N115" s="301" t="inlineStr">
        <is>
          <t>Moderate</t>
        </is>
      </c>
      <c r="O115" s="176" t="n"/>
      <c r="P115" s="200" t="n"/>
      <c r="Q115" s="140" t="n"/>
      <c r="R115" s="292" t="n"/>
      <c r="S115" s="293" t="n"/>
      <c r="T115" s="293" t="n"/>
      <c r="U115" s="293" t="n"/>
      <c r="V115" s="293" t="n"/>
      <c r="W115" s="84" t="n"/>
    </row>
    <row r="116" ht="15" customFormat="1" customHeight="1" s="65">
      <c r="B116" s="382" t="inlineStr">
        <is>
          <t>시즌별 설정률의 선택에 경영진의 판단이 개입되며, FY2025 중 설정률을 하향 조정하여 충당금(및 손익)에 직접 영향을 미쳤으므로 주관성은 보통 수준임.</t>
        </is>
      </c>
      <c r="C116" s="374" t="n"/>
      <c r="D116" s="374" t="n"/>
      <c r="E116" s="374" t="n"/>
      <c r="F116" s="374" t="n"/>
      <c r="G116" s="374" t="n"/>
      <c r="H116" s="374" t="n"/>
      <c r="I116" s="374" t="n"/>
      <c r="J116" s="374" t="n"/>
      <c r="K116" s="374" t="n"/>
      <c r="L116" s="374" t="n"/>
      <c r="M116" s="374" t="n"/>
      <c r="N116" s="374" t="n"/>
      <c r="O116" s="374" t="n"/>
      <c r="P116" s="333" t="inlineStr">
        <is>
          <t>Link to guidance</t>
        </is>
      </c>
      <c r="Q116" s="150" t="n"/>
      <c r="R116" s="269" t="n"/>
      <c r="S116" s="270" t="n"/>
      <c r="T116" s="270" t="n"/>
      <c r="U116" s="271" t="n"/>
      <c r="V116" s="271" t="n"/>
      <c r="W116" s="132" t="n"/>
    </row>
    <row r="117" ht="15" customFormat="1" customHeight="1" s="65">
      <c r="B117" s="380" t="n"/>
      <c r="C117" s="374" t="n"/>
      <c r="D117" s="374" t="n"/>
      <c r="E117" s="374" t="n"/>
      <c r="F117" s="374" t="n"/>
      <c r="G117" s="374" t="n"/>
      <c r="H117" s="374" t="n"/>
      <c r="I117" s="374" t="n"/>
      <c r="J117" s="374" t="n"/>
      <c r="K117" s="374" t="n"/>
      <c r="L117" s="374" t="n"/>
      <c r="M117" s="374" t="n"/>
      <c r="N117" s="374" t="n"/>
      <c r="O117" s="374" t="n"/>
      <c r="P117" s="381" t="n"/>
      <c r="Q117" s="150" t="n"/>
      <c r="R117" s="269" t="n"/>
      <c r="S117" s="270" t="n"/>
      <c r="T117" s="270" t="n"/>
      <c r="U117" s="271" t="n"/>
      <c r="V117" s="271" t="n"/>
      <c r="W117" s="132" t="n"/>
      <c r="X117" s="151" t="inlineStr">
        <is>
          <t>Inherent risk level for dropdown menu (to be hidden)</t>
        </is>
      </c>
    </row>
    <row r="118" customFormat="1" s="65">
      <c r="B118" s="380" t="n"/>
      <c r="C118" s="374" t="n"/>
      <c r="D118" s="374" t="n"/>
      <c r="E118" s="374" t="n"/>
      <c r="F118" s="374" t="n"/>
      <c r="G118" s="374" t="n"/>
      <c r="H118" s="374" t="n"/>
      <c r="I118" s="374" t="n"/>
      <c r="J118" s="374" t="n"/>
      <c r="K118" s="374" t="n"/>
      <c r="L118" s="374" t="n"/>
      <c r="M118" s="374" t="n"/>
      <c r="N118" s="374" t="n"/>
      <c r="O118" s="374" t="n"/>
      <c r="P118" s="201" t="n"/>
      <c r="Q118" s="150" t="n"/>
      <c r="R118" s="278" t="n"/>
      <c r="S118" s="296" t="n"/>
      <c r="T118" s="296" t="n"/>
      <c r="U118" s="296" t="n"/>
      <c r="V118" s="296" t="n"/>
      <c r="W118" s="152" t="n"/>
      <c r="X118" s="65" t="inlineStr">
        <is>
          <t>Standard</t>
        </is>
      </c>
    </row>
    <row r="119" customFormat="1" s="65">
      <c r="B119" s="380" t="n"/>
      <c r="C119" s="374" t="n"/>
      <c r="D119" s="374" t="n"/>
      <c r="E119" s="374" t="n"/>
      <c r="F119" s="374" t="n"/>
      <c r="G119" s="374" t="n"/>
      <c r="H119" s="374" t="n"/>
      <c r="I119" s="374" t="n"/>
      <c r="J119" s="374" t="n"/>
      <c r="K119" s="374" t="n"/>
      <c r="L119" s="374" t="n"/>
      <c r="M119" s="374" t="n"/>
      <c r="N119" s="374" t="n"/>
      <c r="O119" s="374" t="n"/>
      <c r="P119" s="201" t="n"/>
      <c r="Q119" s="150" t="n"/>
      <c r="R119" s="278" t="n"/>
      <c r="S119" s="296" t="n"/>
      <c r="T119" s="296" t="n"/>
      <c r="U119" s="296" t="n"/>
      <c r="V119" s="296" t="n"/>
      <c r="W119" s="152" t="n"/>
      <c r="X119" s="65" t="inlineStr">
        <is>
          <t>Enhanced</t>
        </is>
      </c>
    </row>
    <row r="120" ht="21.95" customFormat="1" customHeight="1" s="65">
      <c r="B120" s="341" t="inlineStr">
        <is>
          <t>Overall conclusion on inherent risk on the accounting estimate:</t>
        </is>
      </c>
      <c r="L120" s="202" t="n"/>
      <c r="M120" s="202" t="n"/>
      <c r="N120" s="202" t="n"/>
      <c r="O120" s="202" t="n"/>
      <c r="P120" s="333" t="inlineStr">
        <is>
          <t>Link to guidance</t>
        </is>
      </c>
      <c r="Q120" s="140" t="n"/>
      <c r="R120" s="292" t="n"/>
      <c r="S120" s="293" t="n"/>
      <c r="T120" s="293" t="n"/>
      <c r="U120" s="293" t="n"/>
      <c r="V120" s="293" t="n"/>
      <c r="W120" s="153" t="n"/>
      <c r="X120" s="65" t="inlineStr">
        <is>
          <t>Significant</t>
        </is>
      </c>
    </row>
    <row r="121" ht="15" customFormat="1" customHeight="1" s="65">
      <c r="B121" s="203" t="inlineStr">
        <is>
          <t>The suggested calculated level of inherent risk associated with this accounting estimate is:</t>
        </is>
      </c>
      <c r="C121" s="204" t="n"/>
      <c r="D121" s="204" t="n"/>
      <c r="E121" s="204" t="n"/>
      <c r="F121" s="204" t="n"/>
      <c r="G121" s="204" t="n"/>
      <c r="H121" s="204" t="n"/>
      <c r="I121" s="204" t="n"/>
      <c r="J121" s="204" t="n"/>
      <c r="K121" s="68" t="n"/>
      <c r="L121" s="180">
        <f>IF(AA106&gt;6,"Significant",IF(AA106=6,"Enhanced",IF(AA106=5,"Enhanced",IF(AA106=3,"Standard",IF(AA106=4,"Enhanced","")))))</f>
        <v/>
      </c>
      <c r="M121" s="197" t="inlineStr">
        <is>
          <t>Calculation is based on the 3 answers above</t>
        </is>
      </c>
      <c r="N121" s="197" t="n"/>
      <c r="O121" s="197" t="n"/>
      <c r="P121" s="381" t="n"/>
      <c r="Q121" s="140" t="n"/>
      <c r="R121" s="269" t="n"/>
      <c r="S121" s="270" t="n"/>
      <c r="T121" s="270" t="n"/>
      <c r="U121" s="271" t="n"/>
      <c r="V121" s="271" t="n"/>
      <c r="W121" s="132" t="n"/>
    </row>
    <row r="122" ht="15" customFormat="1" customHeight="1" s="65">
      <c r="B122" s="339" t="inlineStr">
        <is>
          <t>Other inherent risk factors</t>
        </is>
      </c>
      <c r="P122" s="200" t="n"/>
      <c r="Q122" s="140" t="n"/>
      <c r="R122" s="292" t="n"/>
      <c r="S122" s="293" t="n"/>
      <c r="T122" s="293" t="n"/>
      <c r="U122" s="293" t="n"/>
      <c r="V122" s="293" t="n"/>
      <c r="W122" s="153" t="n"/>
    </row>
    <row r="123" ht="15" customFormat="1" customHeight="1" s="65">
      <c r="B123" s="382" t="inlineStr">
        <is>
          <t>FY2025 중 ageing 구간별 설정률을 하향 조정한 것은 충당금을 감소(손익을 증가)시키는 방향의 변경이므로 경영진 편의 가능성을 고려함. 다만 최근 수년간 NRV 미실현 경험이 극히 드물고 본사 승인을 득한 점에서 편의의 징후는 없는 것으로 판단함.</t>
        </is>
      </c>
      <c r="C123" s="374" t="n"/>
      <c r="D123" s="374" t="n"/>
      <c r="E123" s="374" t="n"/>
      <c r="F123" s="374" t="n"/>
      <c r="G123" s="374" t="n"/>
      <c r="H123" s="374" t="n"/>
      <c r="I123" s="374" t="n"/>
      <c r="J123" s="374" t="n"/>
      <c r="K123" s="374" t="n"/>
      <c r="L123" s="374" t="n"/>
      <c r="M123" s="374" t="n"/>
      <c r="N123" s="374" t="n"/>
      <c r="O123" s="374" t="n"/>
      <c r="P123" s="333" t="inlineStr">
        <is>
          <t>Link to guidance</t>
        </is>
      </c>
      <c r="Q123" s="140" t="n"/>
      <c r="R123" s="355" t="inlineStr">
        <is>
          <t xml:space="preserve">The auditor's selected level of inherent risk for the accounting estimate should be reflected in Atlas within the node 'Determine preliminary RMM for assertions'. Please note that this template only deals with the accounting estimate, and therefore there may be other factors which drive the inherent risk level for the overall assertion. The inherent risk level for the assertion may the same or a higher level of inherent risk as this template. </t>
        </is>
      </c>
      <c r="W123" s="132" t="n"/>
    </row>
    <row r="124" ht="15" customFormat="1" customHeight="1" s="65">
      <c r="B124" s="380" t="n"/>
      <c r="C124" s="374" t="n"/>
      <c r="D124" s="374" t="n"/>
      <c r="E124" s="374" t="n"/>
      <c r="F124" s="374" t="n"/>
      <c r="G124" s="374" t="n"/>
      <c r="H124" s="374" t="n"/>
      <c r="I124" s="374" t="n"/>
      <c r="J124" s="374" t="n"/>
      <c r="K124" s="374" t="n"/>
      <c r="L124" s="374" t="n"/>
      <c r="M124" s="374" t="n"/>
      <c r="N124" s="374" t="n"/>
      <c r="O124" s="374" t="n"/>
      <c r="P124" s="381" t="n"/>
      <c r="Q124" s="140" t="n"/>
      <c r="W124" s="132" t="n"/>
    </row>
    <row r="125" ht="15" customFormat="1" customHeight="1" s="65" thickBot="1">
      <c r="B125" s="380" t="n"/>
      <c r="C125" s="374" t="n"/>
      <c r="D125" s="374" t="n"/>
      <c r="E125" s="374" t="n"/>
      <c r="F125" s="374" t="n"/>
      <c r="G125" s="374" t="n"/>
      <c r="H125" s="374" t="n"/>
      <c r="I125" s="374" t="n"/>
      <c r="J125" s="374" t="n"/>
      <c r="K125" s="374" t="n"/>
      <c r="L125" s="374" t="n"/>
      <c r="M125" s="374" t="n"/>
      <c r="N125" s="374" t="n"/>
      <c r="O125" s="374" t="n"/>
      <c r="P125" s="200" t="n"/>
      <c r="Q125" s="140" t="n"/>
      <c r="W125" s="153" t="n"/>
    </row>
    <row r="126" ht="16.5" customFormat="1" customHeight="1" s="65" thickBot="1">
      <c r="B126" s="205" t="inlineStr">
        <is>
          <t>Auditor's selected level of inherent risk associated with this accounting estimate is:</t>
        </is>
      </c>
      <c r="C126" s="206" t="n"/>
      <c r="D126" s="206" t="n"/>
      <c r="E126" s="206" t="n"/>
      <c r="F126" s="206" t="n"/>
      <c r="G126" s="206" t="n"/>
      <c r="H126" s="206" t="n"/>
      <c r="I126" s="206" t="n"/>
      <c r="J126" s="206" t="n"/>
      <c r="K126" s="68" t="n"/>
      <c r="L126" s="301" t="inlineStr">
        <is>
          <t>Enhanced</t>
        </is>
      </c>
      <c r="M126" s="197" t="inlineStr">
        <is>
          <t>User should select from the dropdown menu.</t>
        </is>
      </c>
      <c r="N126" s="206" t="n"/>
      <c r="O126" s="206" t="n"/>
      <c r="P126" s="333" t="inlineStr">
        <is>
          <t>Link to guidance</t>
        </is>
      </c>
      <c r="Q126" s="149" t="n"/>
      <c r="W126" s="132" t="n"/>
    </row>
    <row r="127" ht="18.75" customFormat="1" customHeight="1" s="65">
      <c r="B127" s="339" t="inlineStr">
        <is>
          <t>The reason for the auditor's selected level of inherent risk is due to (Mandatory to explain if there is a departure from the suggested level of inherent risk):</t>
        </is>
      </c>
      <c r="P127" s="381" t="n"/>
      <c r="Q127" s="140" t="n"/>
      <c r="W127" s="132" t="n"/>
    </row>
    <row r="128" ht="15" customFormat="1" customHeight="1" s="65">
      <c r="B128" s="387" t="inlineStr">
        <is>
          <t>추정불확실성·복잡성은 낮으나 시즌별 설정률 선택의 주관성 및 FY2025 설정률 하향 조정 이력을 고려하여 고유위험을 강화(Enhanced)로 선택함(제안 수준과 동일).</t>
        </is>
      </c>
      <c r="C128" s="374" t="n"/>
      <c r="D128" s="374" t="n"/>
      <c r="E128" s="374" t="n"/>
      <c r="F128" s="374" t="n"/>
      <c r="G128" s="374" t="n"/>
      <c r="H128" s="374" t="n"/>
      <c r="I128" s="374" t="n"/>
      <c r="J128" s="374" t="n"/>
      <c r="K128" s="374" t="n"/>
      <c r="L128" s="374" t="n"/>
      <c r="M128" s="374" t="n"/>
      <c r="N128" s="374" t="n"/>
      <c r="O128" s="374" t="n"/>
      <c r="P128" s="333" t="inlineStr">
        <is>
          <t>Link to guidance</t>
        </is>
      </c>
      <c r="Q128" s="140" t="n"/>
      <c r="W128" s="132" t="n"/>
    </row>
    <row r="129" ht="15" customFormat="1" customHeight="1" s="65">
      <c r="B129" s="380" t="n"/>
      <c r="C129" s="374" t="n"/>
      <c r="D129" s="374" t="n"/>
      <c r="E129" s="374" t="n"/>
      <c r="F129" s="374" t="n"/>
      <c r="G129" s="374" t="n"/>
      <c r="H129" s="374" t="n"/>
      <c r="I129" s="374" t="n"/>
      <c r="J129" s="374" t="n"/>
      <c r="K129" s="374" t="n"/>
      <c r="L129" s="374" t="n"/>
      <c r="M129" s="374" t="n"/>
      <c r="N129" s="374" t="n"/>
      <c r="O129" s="374" t="n"/>
      <c r="P129" s="381" t="n"/>
      <c r="Q129" s="140" t="n"/>
      <c r="W129" s="153" t="n"/>
    </row>
    <row r="130" ht="15" customFormat="1" customHeight="1" s="65" thickBot="1">
      <c r="B130" s="388" t="n"/>
      <c r="C130" s="389" t="n"/>
      <c r="D130" s="389" t="n"/>
      <c r="E130" s="389" t="n"/>
      <c r="F130" s="389" t="n"/>
      <c r="G130" s="389" t="n"/>
      <c r="H130" s="389" t="n"/>
      <c r="I130" s="389" t="n"/>
      <c r="J130" s="389" t="n"/>
      <c r="K130" s="389" t="n"/>
      <c r="L130" s="389" t="n"/>
      <c r="M130" s="389" t="n"/>
      <c r="N130" s="389" t="n"/>
      <c r="O130" s="389" t="n"/>
      <c r="P130" s="207" t="n"/>
      <c r="Q130" s="140" t="n"/>
      <c r="W130" s="153" t="n"/>
    </row>
    <row r="131" ht="15" customFormat="1" customHeight="1" s="55">
      <c r="B131" s="166" t="n"/>
      <c r="C131" s="166" t="n"/>
      <c r="D131" s="166" t="n"/>
      <c r="E131" s="166" t="n"/>
      <c r="F131" s="166" t="n"/>
      <c r="G131" s="166" t="n"/>
      <c r="H131" s="166" t="n"/>
      <c r="I131" s="166" t="n"/>
      <c r="J131" s="166" t="n"/>
      <c r="K131" s="166" t="n"/>
      <c r="L131" s="166" t="n"/>
      <c r="M131" s="166" t="n"/>
      <c r="N131" s="166" t="n"/>
      <c r="O131" s="166" t="n"/>
      <c r="P131" s="167" t="n"/>
      <c r="Q131" s="16" t="n"/>
      <c r="W131" s="63" t="n"/>
    </row>
    <row r="132" ht="24.75" customFormat="1" customHeight="1" s="55" thickBot="1">
      <c r="B132" s="168" t="n"/>
      <c r="C132" s="11" t="n"/>
      <c r="D132" s="11" t="n"/>
      <c r="E132" s="11" t="n"/>
      <c r="F132" s="11" t="n"/>
      <c r="G132" s="11" t="n"/>
      <c r="H132" s="11" t="n"/>
      <c r="I132" s="11" t="n"/>
      <c r="J132" s="11" t="n"/>
      <c r="K132" s="11" t="n"/>
      <c r="L132" s="11" t="n"/>
      <c r="M132" s="11" t="n"/>
      <c r="N132" s="11" t="n"/>
      <c r="O132" s="11" t="n"/>
      <c r="P132" s="169" t="n"/>
      <c r="Q132" s="11" t="n"/>
      <c r="R132" s="280" t="n"/>
      <c r="S132" s="281" t="n"/>
      <c r="T132" s="281" t="n"/>
      <c r="U132" s="281" t="n"/>
      <c r="V132" s="281" t="n"/>
      <c r="W132" s="53" t="n"/>
    </row>
    <row r="133" ht="33" customFormat="1" customHeight="1" s="65">
      <c r="B133" s="181" t="inlineStr">
        <is>
          <t>Control risk assessment</t>
        </is>
      </c>
      <c r="C133" s="182" t="n"/>
      <c r="D133" s="182" t="n"/>
      <c r="E133" s="182" t="n"/>
      <c r="F133" s="182" t="n"/>
      <c r="G133" s="182" t="n"/>
      <c r="H133" s="182" t="n"/>
      <c r="I133" s="182" t="n"/>
      <c r="J133" s="182" t="n"/>
      <c r="K133" s="182" t="n"/>
      <c r="L133" s="182" t="n"/>
      <c r="M133" s="182" t="n"/>
      <c r="N133" s="182" t="n"/>
      <c r="O133" s="182" t="n"/>
      <c r="P133" s="183" t="n"/>
      <c r="Q133" s="143" t="n"/>
      <c r="R133" s="280" t="n"/>
      <c r="S133" s="281" t="n"/>
      <c r="T133" s="281" t="n"/>
      <c r="U133" s="281" t="n"/>
      <c r="V133" s="281" t="n"/>
      <c r="W133" s="64" t="n"/>
    </row>
    <row r="134" customFormat="1" s="65">
      <c r="B134" s="184" t="inlineStr">
        <is>
          <t>Control Risk [ISA (revised) 540.16 and 17]</t>
        </is>
      </c>
      <c r="C134" s="71" t="n"/>
      <c r="D134" s="71" t="n"/>
      <c r="E134" s="71" t="n"/>
      <c r="F134" s="71" t="n"/>
      <c r="G134" s="71" t="n"/>
      <c r="H134" s="71" t="n"/>
      <c r="I134" s="174" t="n"/>
      <c r="J134" s="174" t="n"/>
      <c r="K134" s="174" t="n"/>
      <c r="L134" s="174" t="n"/>
      <c r="M134" s="174" t="n"/>
      <c r="N134" s="174" t="n"/>
      <c r="O134" s="71" t="n"/>
      <c r="P134" s="185" t="n"/>
      <c r="Q134" s="143" t="n"/>
      <c r="R134" s="280" t="n"/>
      <c r="S134" s="281" t="n"/>
      <c r="T134" s="281" t="n"/>
      <c r="U134" s="281" t="n"/>
      <c r="V134" s="281" t="n"/>
      <c r="W134" s="64" t="n"/>
    </row>
    <row r="135" ht="15" customFormat="1" customHeight="1" s="65">
      <c r="B135" s="186" t="inlineStr">
        <is>
          <t>Controls associated with accounting estimates</t>
        </is>
      </c>
      <c r="C135" s="71" t="n"/>
      <c r="D135" s="71" t="n"/>
      <c r="E135" s="71" t="n"/>
      <c r="F135" s="71" t="n"/>
      <c r="G135" s="71" t="n"/>
      <c r="H135" s="174" t="n"/>
      <c r="I135" s="174" t="n"/>
      <c r="J135" s="174" t="n"/>
      <c r="K135" s="174" t="n"/>
      <c r="L135" s="174" t="n"/>
      <c r="M135" s="174" t="n"/>
      <c r="N135" s="174" t="n"/>
      <c r="O135" s="174" t="n"/>
      <c r="P135" s="187" t="n"/>
      <c r="Q135" s="143" t="n"/>
      <c r="R135" s="280" t="n"/>
      <c r="S135" s="281" t="n"/>
      <c r="T135" s="281" t="n"/>
      <c r="U135" s="281" t="n"/>
      <c r="V135" s="281" t="n"/>
      <c r="W135" s="64" t="n"/>
    </row>
    <row r="136" customFormat="1" s="65">
      <c r="B136" s="186" t="inlineStr">
        <is>
          <t>THIS INFORMATION IS COPIED FROM CELLS ABOVE</t>
        </is>
      </c>
      <c r="C136" s="71" t="n"/>
      <c r="D136" s="71" t="n"/>
      <c r="E136" s="71" t="n"/>
      <c r="F136" s="71" t="n"/>
      <c r="G136" s="71" t="n"/>
      <c r="H136" s="174" t="n"/>
      <c r="I136" s="174" t="n"/>
      <c r="J136" s="174" t="n"/>
      <c r="K136" s="174" t="n"/>
      <c r="L136" s="174" t="n"/>
      <c r="M136" s="174" t="n"/>
      <c r="N136" s="174" t="n"/>
      <c r="O136" s="174" t="n"/>
      <c r="P136" s="187" t="n"/>
      <c r="Q136" s="143" t="n"/>
      <c r="R136" s="280" t="n"/>
      <c r="S136" s="281" t="n"/>
      <c r="T136" s="281" t="n"/>
      <c r="U136" s="281" t="n"/>
      <c r="V136" s="281" t="n"/>
      <c r="W136" s="64" t="n"/>
    </row>
    <row r="137" ht="15" customFormat="1" customHeight="1" s="65">
      <c r="B137" s="335">
        <f>B45</f>
        <v/>
      </c>
      <c r="P137" s="188" t="n"/>
      <c r="Q137" s="143" t="n"/>
      <c r="R137" s="355" t="inlineStr">
        <is>
          <t xml:space="preserve">Please ensure that the controls identified here are copied into Atlas on the node 'Identify controls that address WCGW's and relate them to the WCGW's' </t>
        </is>
      </c>
      <c r="W137" s="64" t="n"/>
    </row>
    <row r="138" ht="15.75" customFormat="1" customHeight="1" s="65">
      <c r="B138" s="386" t="n"/>
      <c r="P138" s="188" t="n"/>
      <c r="Q138" s="143" t="n"/>
      <c r="W138" s="64" t="n"/>
      <c r="X138" s="151" t="inlineStr">
        <is>
          <t>TOE performed dropdown menu (to be hidden)</t>
        </is>
      </c>
    </row>
    <row r="139" ht="15.75" customFormat="1" customHeight="1" s="65" thickBot="1">
      <c r="B139" s="386" t="n"/>
      <c r="P139" s="333" t="inlineStr">
        <is>
          <t>Link to guidance</t>
        </is>
      </c>
      <c r="Q139" s="143" t="n"/>
      <c r="W139" s="64" t="n"/>
      <c r="X139" s="65" t="inlineStr">
        <is>
          <t>Yes</t>
        </is>
      </c>
    </row>
    <row r="140" ht="16.5" customFormat="1" customHeight="1" s="65" thickBot="1">
      <c r="B140" s="186" t="inlineStr">
        <is>
          <t>Will we rely on the control(s) operating effectively?</t>
        </is>
      </c>
      <c r="C140" s="175" t="n"/>
      <c r="D140" s="175" t="n"/>
      <c r="E140" s="175" t="n"/>
      <c r="F140" s="175" t="n"/>
      <c r="G140" s="176" t="n"/>
      <c r="H140" s="301" t="inlineStr">
        <is>
          <t>No</t>
        </is>
      </c>
      <c r="I140" s="177" t="inlineStr">
        <is>
          <t>User to select from dropdown menu</t>
        </is>
      </c>
      <c r="J140" s="176" t="n"/>
      <c r="K140" s="176" t="n"/>
      <c r="L140" s="178" t="n"/>
      <c r="M140" s="178" t="n"/>
      <c r="N140" s="178" t="n"/>
      <c r="O140" s="178" t="n"/>
      <c r="P140" s="381" t="n"/>
      <c r="Q140" s="140" t="n"/>
      <c r="R140" s="343" t="inlineStr">
        <is>
          <t>Our response should be copied into the node 'Document our understanding of and planned approach for the identified controls'</t>
        </is>
      </c>
      <c r="W140" s="153" t="n"/>
      <c r="X140" s="65" t="inlineStr">
        <is>
          <t>No</t>
        </is>
      </c>
    </row>
    <row r="141" customFormat="1" s="65">
      <c r="B141" s="189" t="inlineStr">
        <is>
          <t>Planned control reliance:</t>
        </is>
      </c>
      <c r="C141" s="179" t="n"/>
      <c r="D141" s="68" t="n"/>
      <c r="E141" s="180">
        <f>IF(H140="Yes","High reliance",IF(H140="No","No reliance",""))</f>
        <v/>
      </c>
      <c r="F141" s="173" t="inlineStr">
        <is>
          <t xml:space="preserve">Please note this is the inverse of the control risk. </t>
        </is>
      </c>
      <c r="G141" s="68" t="n"/>
      <c r="H141" s="68" t="n"/>
      <c r="I141" s="68" t="n"/>
      <c r="J141" s="68" t="n"/>
      <c r="K141" s="68" t="n"/>
      <c r="L141" s="66" t="n"/>
      <c r="M141" s="66" t="n"/>
      <c r="N141" s="66" t="n"/>
      <c r="O141" s="66" t="n"/>
      <c r="P141" s="347" t="inlineStr">
        <is>
          <t>Link to guidance</t>
        </is>
      </c>
      <c r="Q141" s="19" t="n"/>
      <c r="R141" s="297" t="n"/>
      <c r="S141" s="270" t="n"/>
      <c r="T141" s="270" t="n"/>
      <c r="U141" s="271" t="n"/>
      <c r="V141" s="271" t="n"/>
      <c r="W141" s="64" t="n"/>
    </row>
    <row r="142" customFormat="1" s="65">
      <c r="B142" s="189" t="inlineStr">
        <is>
          <t>Planned control risk:</t>
        </is>
      </c>
      <c r="C142" s="179" t="n"/>
      <c r="D142" s="68" t="n"/>
      <c r="E142" s="180">
        <f>IF(E141="High reliance","Low",IF(E141="No reliance","High",""))</f>
        <v/>
      </c>
      <c r="F142" s="173" t="n"/>
      <c r="G142" s="68" t="n"/>
      <c r="H142" s="68" t="n"/>
      <c r="I142" s="68" t="n"/>
      <c r="J142" s="68" t="n"/>
      <c r="K142" s="68" t="n"/>
      <c r="L142" s="66" t="n"/>
      <c r="M142" s="66" t="n"/>
      <c r="N142" s="66" t="n"/>
      <c r="O142" s="66" t="n"/>
      <c r="P142" s="381" t="n"/>
      <c r="Q142" s="19" t="n"/>
      <c r="R142" s="300" t="inlineStr">
        <is>
          <t>This will display in the node 'Audit strategy overview'</t>
        </is>
      </c>
      <c r="S142" s="344" t="n"/>
      <c r="T142" s="344" t="n"/>
      <c r="U142" s="344" t="n"/>
      <c r="V142" s="344" t="n"/>
      <c r="W142" s="64" t="n"/>
    </row>
    <row r="143" ht="15.75" customFormat="1" customHeight="1" s="65">
      <c r="B143" s="190" t="inlineStr">
        <is>
          <t>Reason for assessment of control reliance:</t>
        </is>
      </c>
      <c r="C143" s="171" t="n"/>
      <c r="D143" s="171" t="n"/>
      <c r="E143" s="171" t="n"/>
      <c r="F143" s="171" t="n"/>
      <c r="G143" s="171" t="n"/>
      <c r="H143" s="171" t="n"/>
      <c r="I143" s="171" t="n"/>
      <c r="J143" s="171" t="n"/>
      <c r="K143" s="171" t="n"/>
      <c r="L143" s="172" t="n"/>
      <c r="M143" s="172" t="n"/>
      <c r="N143" s="172" t="n"/>
      <c r="O143" s="172" t="n"/>
      <c r="P143" s="381" t="n"/>
      <c r="Q143" s="154" t="n"/>
      <c r="R143" s="298" t="n"/>
      <c r="S143" s="344" t="n"/>
      <c r="T143" s="344" t="n"/>
      <c r="U143" s="344" t="n"/>
      <c r="V143" s="344" t="n"/>
      <c r="W143" s="155" t="n"/>
      <c r="X143" s="151" t="inlineStr">
        <is>
          <t>Planned control reliance dropdown menu (to be hidden)</t>
        </is>
      </c>
    </row>
    <row r="144" ht="15" customFormat="1" customHeight="1" s="65">
      <c r="B144" s="387" t="inlineStr">
        <is>
          <t>재고금액의 완전성 검토 및 시즌별 설정률 재계산 등 실증절차만으로 충분하고 적합한 감사증거를 확보할 수 있어 통제 운영효과성에 의존하지 않음.</t>
        </is>
      </c>
      <c r="C144" s="374" t="n"/>
      <c r="D144" s="374" t="n"/>
      <c r="E144" s="374" t="n"/>
      <c r="F144" s="374" t="n"/>
      <c r="G144" s="374" t="n"/>
      <c r="H144" s="374" t="n"/>
      <c r="I144" s="374" t="n"/>
      <c r="J144" s="374" t="n"/>
      <c r="K144" s="374" t="n"/>
      <c r="L144" s="374" t="n"/>
      <c r="M144" s="374" t="n"/>
      <c r="N144" s="374" t="n"/>
      <c r="O144" s="374" t="n"/>
      <c r="P144" s="333" t="n"/>
      <c r="Q144" s="154" t="n"/>
      <c r="R144" s="298" t="n"/>
      <c r="S144" s="344" t="n"/>
      <c r="T144" s="344" t="n"/>
      <c r="U144" s="344" t="n"/>
      <c r="V144" s="344" t="n"/>
      <c r="W144" s="132" t="n"/>
      <c r="X144" s="65" t="inlineStr">
        <is>
          <t>No reliance</t>
        </is>
      </c>
    </row>
    <row r="145" customFormat="1" s="65">
      <c r="B145" s="380" t="n"/>
      <c r="C145" s="374" t="n"/>
      <c r="D145" s="374" t="n"/>
      <c r="E145" s="374" t="n"/>
      <c r="F145" s="374" t="n"/>
      <c r="G145" s="374" t="n"/>
      <c r="H145" s="374" t="n"/>
      <c r="I145" s="374" t="n"/>
      <c r="J145" s="374" t="n"/>
      <c r="K145" s="374" t="n"/>
      <c r="L145" s="374" t="n"/>
      <c r="M145" s="374" t="n"/>
      <c r="N145" s="374" t="n"/>
      <c r="O145" s="374" t="n"/>
      <c r="P145" s="381" t="n"/>
      <c r="Q145" s="154" t="n"/>
      <c r="R145" s="298" t="n"/>
      <c r="S145" s="344" t="n"/>
      <c r="T145" s="344" t="n"/>
      <c r="U145" s="344" t="n"/>
      <c r="V145" s="344" t="n"/>
      <c r="W145" s="132" t="n"/>
      <c r="X145" s="65" t="inlineStr">
        <is>
          <t>High reliance</t>
        </is>
      </c>
    </row>
    <row r="146" ht="15.75" customFormat="1" customHeight="1" s="65" thickBot="1">
      <c r="B146" s="388" t="n"/>
      <c r="C146" s="389" t="n"/>
      <c r="D146" s="389" t="n"/>
      <c r="E146" s="389" t="n"/>
      <c r="F146" s="389" t="n"/>
      <c r="G146" s="389" t="n"/>
      <c r="H146" s="389" t="n"/>
      <c r="I146" s="389" t="n"/>
      <c r="J146" s="389" t="n"/>
      <c r="K146" s="389" t="n"/>
      <c r="L146" s="389" t="n"/>
      <c r="M146" s="389" t="n"/>
      <c r="N146" s="389" t="n"/>
      <c r="O146" s="389" t="n"/>
      <c r="P146" s="191" t="n"/>
      <c r="Q146" s="19" t="n"/>
      <c r="R146" s="267" t="n"/>
      <c r="S146" s="268" t="n"/>
      <c r="T146" s="268" t="n"/>
      <c r="U146" s="268" t="n"/>
      <c r="V146" s="268" t="n"/>
      <c r="W146" s="64" t="n"/>
    </row>
    <row r="147" customFormat="1" s="55">
      <c r="B147" s="164">
        <f>IF(H140="yes","Please document any tests of control below in the planned response section","")</f>
        <v/>
      </c>
      <c r="C147" s="164" t="n"/>
      <c r="D147" s="164" t="n"/>
      <c r="E147" s="164" t="n"/>
      <c r="F147" s="164" t="n"/>
      <c r="G147" s="164" t="n"/>
      <c r="H147" s="164" t="n"/>
      <c r="I147" s="164" t="n"/>
      <c r="J147" s="164" t="n"/>
      <c r="K147" s="164" t="n"/>
      <c r="L147" s="164" t="n"/>
      <c r="M147" s="164" t="n"/>
      <c r="N147" s="164" t="n"/>
      <c r="O147" s="164" t="n"/>
      <c r="P147" s="165" t="n"/>
      <c r="Q147" s="4" t="n"/>
      <c r="R147" s="267" t="n"/>
      <c r="S147" s="268" t="n"/>
      <c r="T147" s="268" t="n"/>
      <c r="U147" s="268" t="n"/>
      <c r="V147" s="268" t="n"/>
      <c r="W147" s="53" t="n"/>
    </row>
    <row r="148" customFormat="1" s="65">
      <c r="B148" s="1" t="n"/>
      <c r="C148" s="5" t="n"/>
      <c r="D148" s="5" t="n"/>
      <c r="E148" s="5" t="n"/>
      <c r="F148" s="5" t="n"/>
      <c r="G148" s="5" t="n"/>
      <c r="H148" s="5" t="n"/>
      <c r="I148" s="5" t="n"/>
      <c r="J148" s="5" t="n"/>
      <c r="K148" s="5" t="n"/>
      <c r="L148" s="5" t="n"/>
      <c r="M148" s="5" t="n"/>
      <c r="N148" s="5" t="n"/>
      <c r="O148" s="4" t="n"/>
      <c r="P148" s="126" t="n"/>
      <c r="Q148" s="19" t="n"/>
      <c r="R148" s="267" t="n"/>
      <c r="S148" s="268" t="n"/>
      <c r="T148" s="268" t="n"/>
      <c r="U148" s="268" t="n"/>
      <c r="V148" s="268" t="n"/>
      <c r="W148" s="64" t="n"/>
    </row>
    <row r="149" ht="31.5" customFormat="1" customHeight="1" s="119">
      <c r="B149" s="119" t="inlineStr">
        <is>
          <t>STEP 3:   RESPONSES TO THE ASSESSED RISKS OF MATERIAL MISSTATEMENT</t>
        </is>
      </c>
      <c r="P149" s="159" t="n"/>
      <c r="R149" s="267" t="n"/>
      <c r="S149" s="268" t="n"/>
      <c r="T149" s="268" t="n"/>
      <c r="U149" s="268" t="n"/>
      <c r="V149" s="268" t="n"/>
      <c r="W149" s="122" t="n"/>
    </row>
    <row r="150" ht="35.1" customFormat="1" customHeight="1" s="55" thickBot="1">
      <c r="B150" s="162" t="n"/>
      <c r="C150" s="26" t="n"/>
      <c r="D150" s="26" t="n"/>
      <c r="E150" s="26" t="n"/>
      <c r="F150" s="26" t="n"/>
      <c r="G150" s="26" t="n"/>
      <c r="H150" s="26" t="n"/>
      <c r="I150" s="26" t="n"/>
      <c r="J150" s="26" t="n"/>
      <c r="K150" s="26" t="n"/>
      <c r="L150" s="26" t="n"/>
      <c r="M150" s="26" t="n"/>
      <c r="N150" s="26" t="n"/>
      <c r="O150" s="26" t="n"/>
      <c r="P150" s="163" t="n"/>
      <c r="Q150" s="26" t="n"/>
      <c r="R150" s="267" t="n"/>
      <c r="S150" s="268" t="n"/>
      <c r="T150" s="268" t="n"/>
      <c r="U150" s="268" t="n"/>
      <c r="V150" s="268" t="n"/>
      <c r="W150" s="53" t="n"/>
    </row>
    <row r="151" ht="35.1" customFormat="1" customHeight="1" s="65">
      <c r="B151" s="181" t="inlineStr">
        <is>
          <t>Risk of material misstatement</t>
        </is>
      </c>
      <c r="C151" s="182" t="n"/>
      <c r="D151" s="182" t="n"/>
      <c r="E151" s="182" t="n"/>
      <c r="F151" s="182" t="n"/>
      <c r="G151" s="182" t="n"/>
      <c r="H151" s="182" t="n"/>
      <c r="I151" s="182" t="n"/>
      <c r="J151" s="182" t="n"/>
      <c r="K151" s="182" t="n"/>
      <c r="L151" s="182" t="n"/>
      <c r="M151" s="182" t="n"/>
      <c r="N151" s="182" t="n"/>
      <c r="O151" s="182" t="n"/>
      <c r="P151" s="183" t="n"/>
      <c r="Q151" s="143" t="n"/>
      <c r="R151" s="267" t="n"/>
      <c r="S151" s="268" t="n"/>
      <c r="T151" s="268" t="n"/>
      <c r="U151" s="268" t="n"/>
      <c r="V151" s="268" t="n"/>
      <c r="W151" s="64" t="n"/>
    </row>
    <row r="152" hidden="1" ht="35.1" customFormat="1" customHeight="1" s="65">
      <c r="B152" s="229" t="n"/>
      <c r="C152" s="36" t="n"/>
      <c r="D152" s="36" t="n"/>
      <c r="E152" s="36" t="n"/>
      <c r="F152" s="36" t="n"/>
      <c r="G152" s="36" t="n"/>
      <c r="H152" s="36" t="n"/>
      <c r="I152" s="36" t="n"/>
      <c r="J152" s="36" t="n"/>
      <c r="K152" s="36" t="n"/>
      <c r="L152" s="36" t="n"/>
      <c r="M152" s="36" t="n"/>
      <c r="N152" s="36" t="n"/>
      <c r="O152" s="36" t="n"/>
      <c r="P152" s="230" t="n"/>
      <c r="Q152" s="75" t="n"/>
      <c r="R152" s="267" t="n"/>
      <c r="S152" s="268" t="n"/>
      <c r="T152" s="268" t="n"/>
      <c r="U152" s="268" t="n"/>
      <c r="V152" s="268" t="n"/>
      <c r="W152" s="64" t="n"/>
    </row>
    <row r="153" hidden="1" ht="35.1" customFormat="1" customHeight="1" s="65">
      <c r="B153" s="231" t="inlineStr">
        <is>
          <t>Combined field for formula</t>
        </is>
      </c>
      <c r="C153" s="36" t="n"/>
      <c r="D153" s="36" t="n"/>
      <c r="E153" s="36">
        <f>L126&amp;E141</f>
        <v/>
      </c>
      <c r="F153" s="36" t="n"/>
      <c r="G153" s="36" t="n"/>
      <c r="H153" s="36" t="inlineStr">
        <is>
          <t>THIS ROW IS TO BE HIDDEN</t>
        </is>
      </c>
      <c r="I153" s="36" t="n"/>
      <c r="J153" s="36" t="n"/>
      <c r="K153" s="36" t="n"/>
      <c r="L153" s="36" t="n"/>
      <c r="M153" s="36" t="n"/>
      <c r="N153" s="36" t="n"/>
      <c r="O153" s="36" t="n"/>
      <c r="P153" s="230" t="n"/>
      <c r="Q153" s="75" t="n"/>
      <c r="R153" s="267" t="n"/>
      <c r="S153" s="268" t="n"/>
      <c r="T153" s="268" t="n"/>
      <c r="U153" s="268" t="n"/>
      <c r="V153" s="268" t="n"/>
      <c r="W153" s="64" t="n"/>
    </row>
    <row r="154" customFormat="1" s="65">
      <c r="B154" s="195" t="inlineStr">
        <is>
          <t>The risk of material misstatement associated with the accounting estimate is:</t>
        </is>
      </c>
      <c r="C154" s="68" t="n"/>
      <c r="D154" s="68" t="n"/>
      <c r="E154" s="68" t="n"/>
      <c r="F154" s="68" t="n"/>
      <c r="G154" s="68" t="n"/>
      <c r="H154" s="68" t="n"/>
      <c r="I154" s="68" t="n"/>
      <c r="J154" s="180">
        <f>IFERROR(VLOOKUP(E153,X192:AA197,4,FALSE),"")</f>
        <v/>
      </c>
      <c r="K154" s="232" t="n"/>
      <c r="L154" s="232" t="n"/>
      <c r="M154" s="232" t="n"/>
      <c r="N154" s="232" t="n"/>
      <c r="O154" s="232" t="n"/>
      <c r="P154" s="230" t="n"/>
      <c r="Q154" s="75" t="n"/>
      <c r="R154" s="267" t="n"/>
      <c r="S154" s="268" t="n"/>
      <c r="T154" s="268" t="n"/>
      <c r="U154" s="268" t="n"/>
      <c r="V154" s="268" t="n"/>
      <c r="W154" s="64" t="n"/>
    </row>
    <row r="155" hidden="1" ht="35.1" customFormat="1" customHeight="1" s="65">
      <c r="B155" s="233" t="n"/>
      <c r="C155" s="68" t="n"/>
      <c r="D155" s="68" t="n"/>
      <c r="E155" s="68" t="n"/>
      <c r="F155" s="68" t="n"/>
      <c r="G155" s="68" t="n"/>
      <c r="H155" s="68" t="n"/>
      <c r="I155" s="68" t="n"/>
      <c r="J155" s="234" t="n"/>
      <c r="K155" s="234" t="n"/>
      <c r="L155" s="234" t="n"/>
      <c r="M155" s="234" t="n"/>
      <c r="N155" s="234" t="n"/>
      <c r="O155" s="234" t="n"/>
      <c r="P155" s="235" t="n"/>
      <c r="Q155" s="75" t="n"/>
      <c r="R155" s="267" t="n"/>
      <c r="S155" s="268" t="n"/>
      <c r="T155" s="268" t="n"/>
      <c r="U155" s="268" t="n"/>
      <c r="V155" s="268" t="n"/>
      <c r="W155" s="64" t="n"/>
    </row>
    <row r="156" customFormat="1" s="65">
      <c r="B156" s="236" t="inlineStr">
        <is>
          <t>Our further audit procedures should include one or more of the following approaches:</t>
        </is>
      </c>
      <c r="C156" s="237" t="n"/>
      <c r="D156" s="238" t="n"/>
      <c r="E156" s="238" t="n"/>
      <c r="F156" s="238" t="n"/>
      <c r="G156" s="238" t="n"/>
      <c r="H156" s="238" t="n"/>
      <c r="I156" s="238" t="n"/>
      <c r="J156" s="238" t="n"/>
      <c r="K156" s="238" t="n"/>
      <c r="L156" s="238" t="n"/>
      <c r="M156" s="238" t="n"/>
      <c r="N156" s="238" t="n"/>
      <c r="O156" s="68" t="n"/>
      <c r="P156" s="348" t="inlineStr">
        <is>
          <t>Link to guidance</t>
        </is>
      </c>
      <c r="Q156" s="156" t="n"/>
      <c r="R156" s="284" t="n"/>
      <c r="S156" s="299" t="n"/>
      <c r="T156" s="299" t="n"/>
      <c r="U156" s="299" t="n"/>
      <c r="V156" s="299" t="n"/>
      <c r="W156" s="155" t="n"/>
    </row>
    <row r="157" customFormat="1" s="65">
      <c r="B157" s="236" t="n"/>
      <c r="C157" s="237" t="inlineStr">
        <is>
          <t xml:space="preserve"> - Obtaining audit evidence from events occurring up to the date of the auditor's report; [ISA (revised) 540.21]</t>
        </is>
      </c>
      <c r="D157" s="68" t="n"/>
      <c r="E157" s="68" t="n"/>
      <c r="F157" s="68" t="n"/>
      <c r="G157" s="68" t="n"/>
      <c r="H157" s="68" t="n"/>
      <c r="I157" s="68" t="n"/>
      <c r="J157" s="68" t="n"/>
      <c r="K157" s="68" t="n"/>
      <c r="L157" s="68" t="n"/>
      <c r="M157" s="68" t="n"/>
      <c r="N157" s="68" t="n"/>
      <c r="O157" s="68" t="n"/>
      <c r="P157" s="381" t="n"/>
      <c r="Q157" s="75" t="n"/>
      <c r="R157" s="267" t="n"/>
      <c r="S157" s="268" t="n"/>
      <c r="T157" s="268" t="n"/>
      <c r="U157" s="268" t="n"/>
      <c r="V157" s="268" t="n"/>
      <c r="W157" s="64" t="n"/>
    </row>
    <row r="158" customFormat="1" s="65">
      <c r="B158" s="236" t="n"/>
      <c r="C158" s="237" t="inlineStr">
        <is>
          <t xml:space="preserve"> - Testing how management made the accounting estimate; or [ISA (revised) 540.22 - 27]</t>
        </is>
      </c>
      <c r="D158" s="68" t="n"/>
      <c r="E158" s="68" t="n"/>
      <c r="F158" s="68" t="n"/>
      <c r="G158" s="68" t="n"/>
      <c r="H158" s="68" t="n"/>
      <c r="I158" s="68" t="n"/>
      <c r="J158" s="68" t="n"/>
      <c r="K158" s="68" t="n"/>
      <c r="L158" s="68" t="n"/>
      <c r="M158" s="68" t="n"/>
      <c r="N158" s="68" t="n"/>
      <c r="O158" s="68" t="n"/>
      <c r="P158" s="239" t="n"/>
      <c r="Q158" s="75" t="n"/>
      <c r="R158" s="267" t="n"/>
      <c r="S158" s="268" t="n"/>
      <c r="T158" s="268" t="n"/>
      <c r="U158" s="268" t="n"/>
      <c r="V158" s="268" t="n"/>
      <c r="W158" s="64" t="n"/>
    </row>
    <row r="159" customFormat="1" s="65">
      <c r="B159" s="236" t="n"/>
      <c r="C159" s="237" t="inlineStr">
        <is>
          <t xml:space="preserve"> - Developing an auditor's point estimate or range [ ISA (revised) 540.28]</t>
        </is>
      </c>
      <c r="D159" s="68" t="n"/>
      <c r="E159" s="68" t="n"/>
      <c r="F159" s="68" t="n"/>
      <c r="G159" s="68" t="n"/>
      <c r="H159" s="68" t="n"/>
      <c r="I159" s="68" t="n"/>
      <c r="J159" s="68" t="n"/>
      <c r="K159" s="68" t="n"/>
      <c r="L159" s="68" t="n"/>
      <c r="M159" s="68" t="n"/>
      <c r="N159" s="68" t="n"/>
      <c r="O159" s="68" t="n"/>
      <c r="P159" s="239" t="n"/>
      <c r="Q159" s="75" t="n"/>
      <c r="R159" s="267" t="n"/>
      <c r="S159" s="268" t="n"/>
      <c r="T159" s="268" t="n"/>
      <c r="U159" s="268" t="n"/>
      <c r="V159" s="268" t="n"/>
      <c r="W159" s="64" t="n"/>
    </row>
    <row r="160" customFormat="1" s="65">
      <c r="B160" s="195" t="inlineStr">
        <is>
          <t>Planned responses [ISA (revised) 540.18]</t>
        </is>
      </c>
      <c r="C160" s="238" t="n"/>
      <c r="D160" s="238" t="n"/>
      <c r="E160" s="238" t="n"/>
      <c r="F160" s="238" t="n"/>
      <c r="G160" s="238" t="n"/>
      <c r="H160" s="238" t="n"/>
      <c r="I160" s="238" t="n"/>
      <c r="J160" s="238" t="n"/>
      <c r="K160" s="238" t="n"/>
      <c r="L160" s="238" t="n"/>
      <c r="M160" s="238" t="n"/>
      <c r="N160" s="238" t="n"/>
      <c r="O160" s="238" t="n"/>
      <c r="P160" s="239" t="n"/>
      <c r="Q160" s="75" t="n"/>
      <c r="R160" s="269" t="n"/>
      <c r="S160" s="270" t="n"/>
      <c r="T160" s="270" t="n"/>
      <c r="U160" s="271" t="n"/>
      <c r="V160" s="271" t="n"/>
      <c r="W160" s="132" t="n"/>
    </row>
    <row r="161" customFormat="1" s="65">
      <c r="B161" s="382" t="inlineStr">
        <is>
          <t>[접근법: 경영진이 추정치를 산출한 방법의 검토 - ISA 540.22~27]
① 회사 충당금 설정정책 및 FY2025 설정률 하향 조정의 정당성을 검토함. ② 평가대상 재고자산의 완전성 검토: 재고평가충당금 계산내역과 재고수불부를 대사하여 시즌별 재고금액이 완전하게 고려되었는지, BS상 재고금액과 일치하는지 확인함(차이 0). ③ 재계산 검증(시즌별): 회사 설정액 1,264,011,446원 대 감사인 재계산액 1,264,011,446원, 차이는 미미하여 waived. 결론: 재고자산평가충당금은 중요성 관점에서 적정함.</t>
        </is>
      </c>
      <c r="C161" s="374" t="n"/>
      <c r="D161" s="374" t="n"/>
      <c r="E161" s="374" t="n"/>
      <c r="F161" s="374" t="n"/>
      <c r="G161" s="374" t="n"/>
      <c r="H161" s="374" t="n"/>
      <c r="I161" s="374" t="n"/>
      <c r="J161" s="374" t="n"/>
      <c r="K161" s="374" t="n"/>
      <c r="L161" s="374" t="n"/>
      <c r="M161" s="374" t="n"/>
      <c r="N161" s="374" t="n"/>
      <c r="O161" s="374" t="n"/>
      <c r="P161" s="346" t="inlineStr">
        <is>
          <t>Link to guidance</t>
        </is>
      </c>
      <c r="Q161" s="75" t="n"/>
      <c r="R161" s="269" t="n"/>
      <c r="S161" s="270" t="n"/>
      <c r="T161" s="270" t="n"/>
      <c r="U161" s="271" t="n"/>
      <c r="V161" s="271" t="n"/>
      <c r="W161" s="132" t="n"/>
    </row>
    <row r="162" ht="15" customFormat="1" customHeight="1" s="65">
      <c r="B162" s="380" t="n"/>
      <c r="C162" s="374" t="n"/>
      <c r="D162" s="374" t="n"/>
      <c r="E162" s="374" t="n"/>
      <c r="F162" s="374" t="n"/>
      <c r="G162" s="374" t="n"/>
      <c r="H162" s="374" t="n"/>
      <c r="I162" s="374" t="n"/>
      <c r="J162" s="374" t="n"/>
      <c r="K162" s="374" t="n"/>
      <c r="L162" s="374" t="n"/>
      <c r="M162" s="374" t="n"/>
      <c r="N162" s="374" t="n"/>
      <c r="O162" s="374" t="n"/>
      <c r="P162" s="381" t="n"/>
      <c r="Q162" s="75" t="n"/>
      <c r="R162" s="344" t="inlineStr">
        <is>
          <t xml:space="preserve">Our planned response should be created in the work programme of the applicable SCOTABD. To access the work programme please see the screen 'Audit Strategy Overview'. </t>
        </is>
      </c>
      <c r="W162" s="132" t="n"/>
    </row>
    <row r="163" customFormat="1" s="65">
      <c r="B163" s="380" t="n"/>
      <c r="C163" s="374" t="n"/>
      <c r="D163" s="374" t="n"/>
      <c r="E163" s="374" t="n"/>
      <c r="F163" s="374" t="n"/>
      <c r="G163" s="374" t="n"/>
      <c r="H163" s="374" t="n"/>
      <c r="I163" s="374" t="n"/>
      <c r="J163" s="374" t="n"/>
      <c r="K163" s="374" t="n"/>
      <c r="L163" s="374" t="n"/>
      <c r="M163" s="374" t="n"/>
      <c r="N163" s="374" t="n"/>
      <c r="O163" s="374" t="n"/>
      <c r="P163" s="240" t="n"/>
      <c r="Q163" s="75" t="n"/>
      <c r="W163" s="64" t="n"/>
    </row>
    <row r="164" ht="15" customFormat="1" customHeight="1" s="65">
      <c r="B164" s="380" t="n"/>
      <c r="C164" s="374" t="n"/>
      <c r="D164" s="374" t="n"/>
      <c r="E164" s="374" t="n"/>
      <c r="F164" s="374" t="n"/>
      <c r="G164" s="374" t="n"/>
      <c r="H164" s="374" t="n"/>
      <c r="I164" s="374" t="n"/>
      <c r="J164" s="374" t="n"/>
      <c r="K164" s="374" t="n"/>
      <c r="L164" s="374" t="n"/>
      <c r="M164" s="374" t="n"/>
      <c r="N164" s="374" t="n"/>
      <c r="O164" s="374" t="n"/>
      <c r="P164" s="240" t="n"/>
      <c r="Q164" s="75" t="n"/>
      <c r="W164" s="64" t="n"/>
    </row>
    <row r="165" ht="15" customFormat="1" customHeight="1" s="65">
      <c r="B165" s="380" t="n"/>
      <c r="C165" s="374" t="n"/>
      <c r="D165" s="374" t="n"/>
      <c r="E165" s="374" t="n"/>
      <c r="F165" s="374" t="n"/>
      <c r="G165" s="374" t="n"/>
      <c r="H165" s="374" t="n"/>
      <c r="I165" s="374" t="n"/>
      <c r="J165" s="374" t="n"/>
      <c r="K165" s="374" t="n"/>
      <c r="L165" s="374" t="n"/>
      <c r="M165" s="374" t="n"/>
      <c r="N165" s="374" t="n"/>
      <c r="O165" s="374" t="n"/>
      <c r="P165" s="240" t="n"/>
      <c r="Q165" s="75" t="n"/>
      <c r="W165" s="64" t="n"/>
    </row>
    <row r="166" ht="15" customFormat="1" customHeight="1" s="65">
      <c r="B166" s="380" t="n"/>
      <c r="C166" s="374" t="n"/>
      <c r="D166" s="374" t="n"/>
      <c r="E166" s="374" t="n"/>
      <c r="F166" s="374" t="n"/>
      <c r="G166" s="374" t="n"/>
      <c r="H166" s="374" t="n"/>
      <c r="I166" s="374" t="n"/>
      <c r="J166" s="374" t="n"/>
      <c r="K166" s="374" t="n"/>
      <c r="L166" s="374" t="n"/>
      <c r="M166" s="374" t="n"/>
      <c r="N166" s="374" t="n"/>
      <c r="O166" s="374" t="n"/>
      <c r="P166" s="240" t="n"/>
      <c r="Q166" s="75" t="n"/>
      <c r="R166" s="267" t="n"/>
      <c r="S166" s="268" t="n"/>
      <c r="T166" s="268" t="n"/>
      <c r="U166" s="268" t="n"/>
      <c r="V166" s="268" t="n"/>
      <c r="W166" s="64" t="n"/>
    </row>
    <row r="167" customFormat="1" s="65">
      <c r="B167" s="380" t="n"/>
      <c r="C167" s="374" t="n"/>
      <c r="D167" s="374" t="n"/>
      <c r="E167" s="374" t="n"/>
      <c r="F167" s="374" t="n"/>
      <c r="G167" s="374" t="n"/>
      <c r="H167" s="374" t="n"/>
      <c r="I167" s="374" t="n"/>
      <c r="J167" s="374" t="n"/>
      <c r="K167" s="374" t="n"/>
      <c r="L167" s="374" t="n"/>
      <c r="M167" s="374" t="n"/>
      <c r="N167" s="374" t="n"/>
      <c r="O167" s="374" t="n"/>
      <c r="P167" s="240" t="n"/>
      <c r="Q167" s="75" t="n"/>
      <c r="R167" s="267" t="n"/>
      <c r="S167" s="268" t="n"/>
      <c r="T167" s="268" t="n"/>
      <c r="U167" s="268" t="n"/>
      <c r="V167" s="268" t="n"/>
      <c r="W167" s="64" t="n"/>
    </row>
    <row r="168" customFormat="1" s="65">
      <c r="B168" s="380" t="n"/>
      <c r="C168" s="374" t="n"/>
      <c r="D168" s="374" t="n"/>
      <c r="E168" s="374" t="n"/>
      <c r="F168" s="374" t="n"/>
      <c r="G168" s="374" t="n"/>
      <c r="H168" s="374" t="n"/>
      <c r="I168" s="374" t="n"/>
      <c r="J168" s="374" t="n"/>
      <c r="K168" s="374" t="n"/>
      <c r="L168" s="374" t="n"/>
      <c r="M168" s="374" t="n"/>
      <c r="N168" s="374" t="n"/>
      <c r="O168" s="374" t="n"/>
      <c r="P168" s="240" t="n"/>
      <c r="Q168" s="75" t="n"/>
      <c r="R168" s="267" t="n"/>
      <c r="S168" s="268" t="n"/>
      <c r="T168" s="268" t="n"/>
      <c r="U168" s="268" t="n"/>
      <c r="V168" s="268" t="n"/>
      <c r="W168" s="64" t="n"/>
    </row>
    <row r="169" ht="14.45" customFormat="1" customHeight="1" s="65">
      <c r="B169" s="233" t="inlineStr">
        <is>
          <t>We have added these procedures to the work programme at reference:</t>
        </is>
      </c>
      <c r="C169" s="68" t="n"/>
      <c r="D169" s="68" t="n"/>
      <c r="E169" s="68" t="n"/>
      <c r="F169" s="68" t="n"/>
      <c r="G169" s="68" t="n"/>
      <c r="H169" s="68" t="n"/>
      <c r="I169" s="334" t="n"/>
      <c r="J169" s="374" t="n"/>
      <c r="K169" s="374" t="n"/>
      <c r="L169" s="374" t="n"/>
      <c r="M169" s="374" t="n"/>
      <c r="N169" s="374" t="n"/>
      <c r="O169" s="374" t="n"/>
      <c r="P169" s="241" t="n"/>
      <c r="Q169" s="75" t="n"/>
      <c r="R169" s="267" t="n"/>
      <c r="S169" s="268" t="n"/>
      <c r="T169" s="268" t="n"/>
      <c r="U169" s="268" t="n"/>
      <c r="V169" s="268" t="n"/>
      <c r="W169" s="64" t="n"/>
    </row>
    <row r="170" customFormat="1" s="158">
      <c r="B170" s="390" t="inlineStr">
        <is>
          <t>C-4 (재고자산 Valuation testing)</t>
        </is>
      </c>
      <c r="C170" s="243" t="n"/>
      <c r="D170" s="243" t="n"/>
      <c r="E170" s="243" t="n"/>
      <c r="F170" s="243" t="n"/>
      <c r="G170" s="243" t="n"/>
      <c r="H170" s="243" t="n"/>
      <c r="I170" s="243" t="n"/>
      <c r="J170" s="243" t="n"/>
      <c r="K170" s="243" t="n"/>
      <c r="L170" s="243" t="n"/>
      <c r="M170" s="243" t="n"/>
      <c r="N170" s="243" t="n"/>
      <c r="O170" s="243" t="n"/>
      <c r="P170" s="241" t="n"/>
      <c r="Q170" s="75" t="n"/>
      <c r="R170" s="267" t="n"/>
      <c r="S170" s="268" t="n"/>
      <c r="T170" s="268" t="n"/>
      <c r="U170" s="268" t="n"/>
      <c r="V170" s="268" t="n"/>
      <c r="W170" s="157" t="n"/>
    </row>
    <row r="171" ht="15.75" customFormat="1" customHeight="1" s="65" thickBot="1">
      <c r="B171" s="391" t="inlineStr">
        <is>
          <t>상기 절차는 재고자산 감사조서 C-4에 문서화되어 있으며, 결과 중요성 관점에서 적정함.</t>
        </is>
      </c>
      <c r="C171" s="244" t="n"/>
      <c r="D171" s="244" t="n"/>
      <c r="E171" s="244" t="n"/>
      <c r="F171" s="244" t="n"/>
      <c r="G171" s="244" t="n"/>
      <c r="H171" s="244" t="n"/>
      <c r="I171" s="244" t="n"/>
      <c r="J171" s="244" t="n"/>
      <c r="K171" s="244" t="n"/>
      <c r="L171" s="244" t="n"/>
      <c r="M171" s="244" t="n"/>
      <c r="N171" s="244" t="n"/>
      <c r="O171" s="244" t="n"/>
      <c r="P171" s="245" t="n"/>
      <c r="Q171" s="75" t="n"/>
      <c r="R171" s="267" t="n"/>
      <c r="S171" s="268" t="n"/>
      <c r="T171" s="268" t="n"/>
      <c r="U171" s="268" t="n"/>
      <c r="V171" s="268" t="n"/>
      <c r="W171" s="64" t="n"/>
    </row>
    <row r="172" ht="27" customFormat="1" customHeight="1" s="55" thickBot="1">
      <c r="B172" s="160" t="n"/>
      <c r="C172" s="26" t="n"/>
      <c r="D172" s="26" t="n"/>
      <c r="E172" s="26" t="n"/>
      <c r="F172" s="26" t="n"/>
      <c r="G172" s="26" t="n"/>
      <c r="H172" s="26" t="n"/>
      <c r="I172" s="26" t="n"/>
      <c r="J172" s="26" t="n"/>
      <c r="K172" s="26" t="n"/>
      <c r="L172" s="26" t="n"/>
      <c r="M172" s="26" t="n"/>
      <c r="N172" s="26" t="n"/>
      <c r="O172" s="26" t="n"/>
      <c r="P172" s="161" t="n"/>
      <c r="Q172" s="26" t="n"/>
      <c r="R172" s="267" t="n"/>
      <c r="S172" s="268" t="n"/>
      <c r="T172" s="268" t="n"/>
      <c r="U172" s="268" t="n"/>
      <c r="V172" s="268" t="n"/>
      <c r="W172" s="53" t="n"/>
    </row>
    <row r="173" ht="24.6" customFormat="1" customHeight="1" s="65">
      <c r="B173" s="392" t="inlineStr">
        <is>
          <t>General implications</t>
        </is>
      </c>
      <c r="C173" s="393" t="n"/>
      <c r="D173" s="393" t="n"/>
      <c r="E173" s="393" t="n"/>
      <c r="F173" s="393" t="n"/>
      <c r="G173" s="393" t="n"/>
      <c r="H173" s="393" t="n"/>
      <c r="I173" s="393" t="n"/>
      <c r="J173" s="393" t="n"/>
      <c r="K173" s="393" t="n"/>
      <c r="L173" s="393" t="n"/>
      <c r="M173" s="393" t="n"/>
      <c r="N173" s="393" t="n"/>
      <c r="O173" s="393" t="n"/>
      <c r="P173" s="394" t="n"/>
      <c r="Q173" s="75" t="n"/>
      <c r="R173" s="267" t="n"/>
      <c r="S173" s="268" t="n"/>
      <c r="T173" s="268" t="n"/>
      <c r="U173" s="268" t="n"/>
      <c r="V173" s="268" t="n"/>
      <c r="W173" s="64" t="n"/>
    </row>
    <row r="174" customFormat="1" s="65">
      <c r="B174" s="209" t="inlineStr">
        <is>
          <t>Further considerations where the accounting estimate is at the higher end of the inherent risk spectrum</t>
        </is>
      </c>
      <c r="C174" s="68" t="n"/>
      <c r="D174" s="68" t="n"/>
      <c r="E174" s="68" t="n"/>
      <c r="F174" s="68" t="n"/>
      <c r="G174" s="68" t="n"/>
      <c r="H174" s="68" t="n"/>
      <c r="I174" s="68" t="n"/>
      <c r="J174" s="68" t="n"/>
      <c r="K174" s="68" t="n"/>
      <c r="L174" s="68" t="n"/>
      <c r="M174" s="68" t="n"/>
      <c r="N174" s="68" t="n"/>
      <c r="O174" s="68" t="n"/>
      <c r="P174" s="239" t="n"/>
      <c r="Q174" s="75" t="n"/>
      <c r="R174" s="267" t="n"/>
      <c r="S174" s="268" t="n"/>
      <c r="T174" s="268" t="n"/>
      <c r="U174" s="268" t="n"/>
      <c r="V174" s="268" t="n"/>
      <c r="W174" s="64" t="n"/>
    </row>
    <row r="175" ht="15.75" customFormat="1" customHeight="1" s="65">
      <c r="B175" s="209" t="inlineStr">
        <is>
          <t xml:space="preserve">The below should be considered for all accounting estimates, however there should be particular focus for those that have significant or enhanced inherent risk. </t>
        </is>
      </c>
      <c r="C175" s="68" t="n"/>
      <c r="D175" s="68" t="n"/>
      <c r="E175" s="68" t="n"/>
      <c r="F175" s="68" t="n"/>
      <c r="G175" s="68" t="n"/>
      <c r="H175" s="68" t="n"/>
      <c r="I175" s="68" t="n"/>
      <c r="J175" s="68" t="n"/>
      <c r="K175" s="68" t="n"/>
      <c r="L175" s="68" t="n"/>
      <c r="M175" s="68" t="n"/>
      <c r="N175" s="68" t="n"/>
      <c r="O175" s="68" t="n"/>
      <c r="P175" s="246" t="n"/>
      <c r="Q175" s="75" t="n"/>
      <c r="R175" s="267" t="n"/>
      <c r="S175" s="268" t="n"/>
      <c r="T175" s="268" t="n"/>
      <c r="U175" s="268" t="n"/>
      <c r="V175" s="268" t="n"/>
      <c r="W175" s="64" t="n"/>
    </row>
    <row r="176" customFormat="1" s="65">
      <c r="B176" s="209" t="inlineStr">
        <is>
          <t>Increased professional scepticism:</t>
        </is>
      </c>
      <c r="C176" s="68" t="n"/>
      <c r="D176" s="68" t="n"/>
      <c r="E176" s="68" t="n"/>
      <c r="F176" s="68" t="n"/>
      <c r="G176" s="68" t="n"/>
      <c r="H176" s="68" t="n"/>
      <c r="I176" s="68" t="n"/>
      <c r="J176" s="68" t="n"/>
      <c r="K176" s="68" t="n"/>
      <c r="L176" s="68" t="n"/>
      <c r="M176" s="68" t="n"/>
      <c r="N176" s="68" t="n"/>
      <c r="O176" s="68" t="n"/>
      <c r="P176" s="239" t="n"/>
      <c r="Q176" s="75" t="n"/>
      <c r="R176" s="267" t="n"/>
      <c r="S176" s="268" t="n"/>
      <c r="T176" s="268" t="n"/>
      <c r="U176" s="268" t="n"/>
      <c r="V176" s="268" t="n"/>
      <c r="W176" s="64" t="n"/>
    </row>
    <row r="177" ht="15" customFormat="1" customHeight="1" s="65">
      <c r="B177" s="379" t="inlineStr">
        <is>
          <t>강화위험 수준에 상응하여 FY2025 설정률 하향 조정의 근거와 경영진 편의 가능성을 비판적으로 검토함. 과거 NRV 미실현 실적 및 본사 승인 여부를 확인함.</t>
        </is>
      </c>
      <c r="C177" s="374" t="n"/>
      <c r="D177" s="374" t="n"/>
      <c r="E177" s="374" t="n"/>
      <c r="F177" s="374" t="n"/>
      <c r="G177" s="374" t="n"/>
      <c r="H177" s="374" t="n"/>
      <c r="I177" s="374" t="n"/>
      <c r="J177" s="374" t="n"/>
      <c r="K177" s="374" t="n"/>
      <c r="L177" s="374" t="n"/>
      <c r="M177" s="374" t="n"/>
      <c r="N177" s="374" t="n"/>
      <c r="O177" s="374" t="n"/>
      <c r="P177" s="346" t="inlineStr">
        <is>
          <t>Link to guidance</t>
        </is>
      </c>
      <c r="Q177" s="75" t="n"/>
      <c r="R177" s="269" t="n"/>
      <c r="S177" s="270" t="n"/>
      <c r="T177" s="270" t="n"/>
      <c r="U177" s="271" t="n"/>
      <c r="V177" s="271" t="n"/>
      <c r="W177" s="132" t="n"/>
    </row>
    <row r="178" ht="15" customFormat="1" customHeight="1" s="65">
      <c r="B178" s="380" t="n"/>
      <c r="C178" s="374" t="n"/>
      <c r="D178" s="374" t="n"/>
      <c r="E178" s="374" t="n"/>
      <c r="F178" s="374" t="n"/>
      <c r="G178" s="374" t="n"/>
      <c r="H178" s="374" t="n"/>
      <c r="I178" s="374" t="n"/>
      <c r="J178" s="374" t="n"/>
      <c r="K178" s="374" t="n"/>
      <c r="L178" s="374" t="n"/>
      <c r="M178" s="374" t="n"/>
      <c r="N178" s="374" t="n"/>
      <c r="O178" s="374" t="n"/>
      <c r="P178" s="381" t="n"/>
      <c r="Q178" s="75" t="n"/>
      <c r="R178" s="269" t="n"/>
      <c r="S178" s="270" t="n"/>
      <c r="T178" s="270" t="n"/>
      <c r="U178" s="271" t="n"/>
      <c r="V178" s="271" t="n"/>
      <c r="W178" s="132" t="n"/>
    </row>
    <row r="179" customFormat="1" s="65">
      <c r="B179" s="380" t="n"/>
      <c r="C179" s="374" t="n"/>
      <c r="D179" s="374" t="n"/>
      <c r="E179" s="374" t="n"/>
      <c r="F179" s="374" t="n"/>
      <c r="G179" s="374" t="n"/>
      <c r="H179" s="374" t="n"/>
      <c r="I179" s="374" t="n"/>
      <c r="J179" s="374" t="n"/>
      <c r="K179" s="374" t="n"/>
      <c r="L179" s="374" t="n"/>
      <c r="M179" s="374" t="n"/>
      <c r="N179" s="374" t="n"/>
      <c r="O179" s="374" t="n"/>
      <c r="P179" s="239" t="n"/>
      <c r="Q179" s="75" t="n"/>
      <c r="R179" s="267" t="n"/>
      <c r="S179" s="268" t="n"/>
      <c r="T179" s="268" t="n"/>
      <c r="U179" s="268" t="n"/>
      <c r="V179" s="268" t="n"/>
      <c r="W179" s="64" t="n"/>
    </row>
    <row r="180" customFormat="1" s="65">
      <c r="B180" s="209" t="inlineStr">
        <is>
          <t>Consideration of method of testing:</t>
        </is>
      </c>
      <c r="C180" s="68" t="n"/>
      <c r="D180" s="68" t="n"/>
      <c r="E180" s="68" t="n"/>
      <c r="F180" s="68" t="n"/>
      <c r="G180" s="68" t="n"/>
      <c r="H180" s="68" t="n"/>
      <c r="I180" s="68" t="n"/>
      <c r="J180" s="68" t="n"/>
      <c r="K180" s="68" t="n"/>
      <c r="L180" s="68" t="n"/>
      <c r="M180" s="68" t="n"/>
      <c r="N180" s="68" t="n"/>
      <c r="O180" s="68" t="n"/>
      <c r="P180" s="239" t="n"/>
      <c r="Q180" s="75" t="n"/>
      <c r="R180" s="267" t="n"/>
      <c r="S180" s="268" t="n"/>
      <c r="T180" s="268" t="n"/>
      <c r="U180" s="268" t="n"/>
      <c r="V180" s="268" t="n"/>
      <c r="W180" s="64" t="n"/>
    </row>
    <row r="181" ht="15" customFormat="1" customHeight="1" s="65">
      <c r="B181" s="379" t="inlineStr">
        <is>
          <t>평가대상 재고의 완전성(수불부 대사) 및 시즌별 설정률 재계산을 결합한 실증절차를 수행함. 시즌 mix 변경효과의 적정성도 검토함.</t>
        </is>
      </c>
      <c r="C181" s="374" t="n"/>
      <c r="D181" s="374" t="n"/>
      <c r="E181" s="374" t="n"/>
      <c r="F181" s="374" t="n"/>
      <c r="G181" s="374" t="n"/>
      <c r="H181" s="374" t="n"/>
      <c r="I181" s="374" t="n"/>
      <c r="J181" s="374" t="n"/>
      <c r="K181" s="374" t="n"/>
      <c r="L181" s="374" t="n"/>
      <c r="M181" s="374" t="n"/>
      <c r="N181" s="374" t="n"/>
      <c r="O181" s="374" t="n"/>
      <c r="P181" s="346" t="inlineStr">
        <is>
          <t>Link to guidance</t>
        </is>
      </c>
      <c r="Q181" s="75" t="n"/>
      <c r="R181" s="269" t="n"/>
      <c r="S181" s="270" t="n"/>
      <c r="T181" s="270" t="n"/>
      <c r="U181" s="271" t="n"/>
      <c r="V181" s="271" t="n"/>
      <c r="W181" s="132" t="n"/>
    </row>
    <row r="182" customFormat="1" s="65">
      <c r="B182" s="380" t="n"/>
      <c r="C182" s="374" t="n"/>
      <c r="D182" s="374" t="n"/>
      <c r="E182" s="374" t="n"/>
      <c r="F182" s="374" t="n"/>
      <c r="G182" s="374" t="n"/>
      <c r="H182" s="374" t="n"/>
      <c r="I182" s="374" t="n"/>
      <c r="J182" s="374" t="n"/>
      <c r="K182" s="374" t="n"/>
      <c r="L182" s="374" t="n"/>
      <c r="M182" s="374" t="n"/>
      <c r="N182" s="374" t="n"/>
      <c r="O182" s="374" t="n"/>
      <c r="P182" s="381" t="n"/>
      <c r="Q182" s="75" t="n"/>
      <c r="R182" s="269" t="n"/>
      <c r="S182" s="270" t="n"/>
      <c r="T182" s="270" t="n"/>
      <c r="U182" s="271" t="n"/>
      <c r="V182" s="271" t="n"/>
      <c r="W182" s="132" t="n"/>
    </row>
    <row r="183" ht="15" customFormat="1" customHeight="1" s="65">
      <c r="B183" s="380" t="n"/>
      <c r="C183" s="374" t="n"/>
      <c r="D183" s="374" t="n"/>
      <c r="E183" s="374" t="n"/>
      <c r="F183" s="374" t="n"/>
      <c r="G183" s="374" t="n"/>
      <c r="H183" s="374" t="n"/>
      <c r="I183" s="374" t="n"/>
      <c r="J183" s="374" t="n"/>
      <c r="K183" s="374" t="n"/>
      <c r="L183" s="374" t="n"/>
      <c r="M183" s="374" t="n"/>
      <c r="N183" s="374" t="n"/>
      <c r="O183" s="374" t="n"/>
      <c r="P183" s="239" t="n"/>
      <c r="Q183" s="75" t="n"/>
      <c r="R183" s="267" t="n"/>
      <c r="S183" s="268" t="n"/>
      <c r="T183" s="268" t="n"/>
      <c r="U183" s="268" t="n"/>
      <c r="V183" s="268" t="n"/>
      <c r="W183" s="64" t="n"/>
    </row>
    <row r="184" customFormat="1" s="65">
      <c r="B184" s="209" t="inlineStr">
        <is>
          <t>Engagement team appropriate resourcing:</t>
        </is>
      </c>
      <c r="C184" s="68" t="n"/>
      <c r="D184" s="68" t="n"/>
      <c r="E184" s="68" t="n"/>
      <c r="F184" s="68" t="n"/>
      <c r="G184" s="68" t="n"/>
      <c r="H184" s="68" t="n"/>
      <c r="I184" s="68" t="n"/>
      <c r="J184" s="68" t="n"/>
      <c r="K184" s="68" t="n"/>
      <c r="L184" s="68" t="n"/>
      <c r="M184" s="68" t="n"/>
      <c r="N184" s="68" t="n"/>
      <c r="O184" s="68" t="n"/>
      <c r="P184" s="239" t="n"/>
      <c r="Q184" s="75" t="n"/>
      <c r="R184" s="267" t="n"/>
      <c r="S184" s="268" t="n"/>
      <c r="T184" s="268" t="n"/>
      <c r="U184" s="268" t="n"/>
      <c r="V184" s="268" t="n"/>
      <c r="W184" s="64" t="n"/>
    </row>
    <row r="185" ht="15" customFormat="1" customHeight="1" s="65">
      <c r="B185" s="379" t="inlineStr">
        <is>
          <t>강화위험 영역으로 재고 및 회계추정 경험이 있는 팀원을 배치하여 절차를 수행함.</t>
        </is>
      </c>
      <c r="C185" s="374" t="n"/>
      <c r="D185" s="374" t="n"/>
      <c r="E185" s="374" t="n"/>
      <c r="F185" s="374" t="n"/>
      <c r="G185" s="374" t="n"/>
      <c r="H185" s="374" t="n"/>
      <c r="I185" s="374" t="n"/>
      <c r="J185" s="374" t="n"/>
      <c r="K185" s="374" t="n"/>
      <c r="L185" s="374" t="n"/>
      <c r="M185" s="374" t="n"/>
      <c r="N185" s="374" t="n"/>
      <c r="O185" s="374" t="n"/>
      <c r="P185" s="346" t="inlineStr">
        <is>
          <t>Link to guidance</t>
        </is>
      </c>
      <c r="Q185" s="75" t="n"/>
      <c r="R185" s="345" t="inlineStr">
        <is>
          <t>Please ensure that all audit team members are documented within the screen 'Engagement'</t>
        </is>
      </c>
      <c r="W185" s="132" t="n"/>
    </row>
    <row r="186" customFormat="1" s="65">
      <c r="B186" s="380" t="n"/>
      <c r="C186" s="374" t="n"/>
      <c r="D186" s="374" t="n"/>
      <c r="E186" s="374" t="n"/>
      <c r="F186" s="374" t="n"/>
      <c r="G186" s="374" t="n"/>
      <c r="H186" s="374" t="n"/>
      <c r="I186" s="374" t="n"/>
      <c r="J186" s="374" t="n"/>
      <c r="K186" s="374" t="n"/>
      <c r="L186" s="374" t="n"/>
      <c r="M186" s="374" t="n"/>
      <c r="N186" s="374" t="n"/>
      <c r="O186" s="374" t="n"/>
      <c r="P186" s="381" t="n"/>
      <c r="Q186" s="75" t="n"/>
      <c r="W186" s="132" t="n"/>
    </row>
    <row r="187" customFormat="1" s="65">
      <c r="B187" s="380" t="n"/>
      <c r="C187" s="374" t="n"/>
      <c r="D187" s="374" t="n"/>
      <c r="E187" s="374" t="n"/>
      <c r="F187" s="374" t="n"/>
      <c r="G187" s="374" t="n"/>
      <c r="H187" s="374" t="n"/>
      <c r="I187" s="374" t="n"/>
      <c r="J187" s="374" t="n"/>
      <c r="K187" s="374" t="n"/>
      <c r="L187" s="374" t="n"/>
      <c r="M187" s="374" t="n"/>
      <c r="N187" s="374" t="n"/>
      <c r="O187" s="374" t="n"/>
      <c r="P187" s="239" t="n"/>
      <c r="Q187" s="75" t="n"/>
      <c r="W187" s="64" t="n"/>
    </row>
    <row r="188" customFormat="1" s="65">
      <c r="B188" s="209" t="inlineStr">
        <is>
          <t>Additional supervision:</t>
        </is>
      </c>
      <c r="C188" s="68" t="n"/>
      <c r="D188" s="68" t="n"/>
      <c r="E188" s="68" t="n"/>
      <c r="F188" s="68" t="n"/>
      <c r="G188" s="68" t="n"/>
      <c r="H188" s="68" t="n"/>
      <c r="I188" s="68" t="n"/>
      <c r="J188" s="68" t="n"/>
      <c r="K188" s="68" t="n"/>
      <c r="L188" s="68" t="n"/>
      <c r="M188" s="68" t="n"/>
      <c r="N188" s="68" t="n"/>
      <c r="O188" s="68" t="n"/>
      <c r="P188" s="239" t="n"/>
      <c r="Q188" s="75" t="n"/>
      <c r="W188" s="64" t="n"/>
    </row>
    <row r="189" ht="15" customFormat="1" customHeight="1" s="65">
      <c r="B189" s="395" t="inlineStr">
        <is>
          <t>강화위험에 상응하여 설정률 변경 및 재계산 결과에 대한 상위자의 추가 검토·감독을 수행함.</t>
        </is>
      </c>
      <c r="C189" s="374" t="n"/>
      <c r="D189" s="374" t="n"/>
      <c r="E189" s="374" t="n"/>
      <c r="F189" s="374" t="n"/>
      <c r="G189" s="374" t="n"/>
      <c r="H189" s="374" t="n"/>
      <c r="I189" s="374" t="n"/>
      <c r="J189" s="374" t="n"/>
      <c r="K189" s="374" t="n"/>
      <c r="L189" s="374" t="n"/>
      <c r="M189" s="374" t="n"/>
      <c r="N189" s="374" t="n"/>
      <c r="O189" s="374" t="n"/>
      <c r="P189" s="346" t="inlineStr">
        <is>
          <t>Link to guidance</t>
        </is>
      </c>
      <c r="Q189" s="75" t="n"/>
      <c r="W189" s="132" t="n"/>
    </row>
    <row r="190" customFormat="1" s="65">
      <c r="B190" s="380" t="n"/>
      <c r="C190" s="374" t="n"/>
      <c r="D190" s="374" t="n"/>
      <c r="E190" s="374" t="n"/>
      <c r="F190" s="374" t="n"/>
      <c r="G190" s="374" t="n"/>
      <c r="H190" s="374" t="n"/>
      <c r="I190" s="374" t="n"/>
      <c r="J190" s="374" t="n"/>
      <c r="K190" s="374" t="n"/>
      <c r="L190" s="374" t="n"/>
      <c r="M190" s="374" t="n"/>
      <c r="N190" s="374" t="n"/>
      <c r="O190" s="374" t="n"/>
      <c r="P190" s="381" t="n"/>
      <c r="Q190" s="75" t="n"/>
      <c r="W190" s="132" t="n"/>
    </row>
    <row r="191" ht="15.75" customHeight="1" thickBot="1">
      <c r="A191" s="65" t="n"/>
      <c r="B191" s="388" t="n"/>
      <c r="C191" s="389" t="n"/>
      <c r="D191" s="389" t="n"/>
      <c r="E191" s="389" t="n"/>
      <c r="F191" s="389" t="n"/>
      <c r="G191" s="389" t="n"/>
      <c r="H191" s="389" t="n"/>
      <c r="I191" s="389" t="n"/>
      <c r="J191" s="389" t="n"/>
      <c r="K191" s="389" t="n"/>
      <c r="L191" s="389" t="n"/>
      <c r="M191" s="389" t="n"/>
      <c r="N191" s="389" t="n"/>
      <c r="O191" s="389" t="n"/>
      <c r="P191" s="247" t="n"/>
      <c r="Q191" s="75" t="n"/>
    </row>
    <row r="192" ht="15" customFormat="1" customHeight="1" s="80">
      <c r="B192" s="28" t="n"/>
      <c r="C192" s="28" t="n"/>
      <c r="D192" s="28" t="n"/>
      <c r="E192" s="28" t="n"/>
      <c r="F192" s="28" t="n"/>
      <c r="G192" s="28" t="n"/>
      <c r="H192" s="28" t="n"/>
      <c r="I192" s="28" t="n"/>
      <c r="J192" s="28" t="n"/>
      <c r="K192" s="28" t="n"/>
      <c r="L192" s="28" t="n"/>
      <c r="M192" s="28" t="n"/>
      <c r="N192" s="28" t="n"/>
      <c r="O192" s="28" t="n"/>
      <c r="P192" s="129" t="n"/>
      <c r="Q192" s="87" t="n"/>
      <c r="R192" s="292" t="n"/>
      <c r="S192" s="293" t="n"/>
      <c r="T192" s="293" t="n"/>
      <c r="U192" s="293" t="n"/>
      <c r="V192" s="293" t="n"/>
      <c r="W192" s="84" t="n"/>
      <c r="X192" s="80">
        <f>Y192&amp;Z192</f>
        <v/>
      </c>
      <c r="Y192" s="80" t="inlineStr">
        <is>
          <t>Standard</t>
        </is>
      </c>
      <c r="Z192" s="80" t="inlineStr">
        <is>
          <t>High reliance</t>
        </is>
      </c>
      <c r="AA192" s="80" t="inlineStr">
        <is>
          <t>Standard</t>
        </is>
      </c>
    </row>
    <row r="193" ht="15" customFormat="1" customHeight="1" s="80">
      <c r="B193" s="29" t="n"/>
      <c r="C193" s="3" t="n"/>
      <c r="D193" s="3" t="n"/>
      <c r="E193" s="3" t="n"/>
      <c r="F193" s="3" t="n"/>
      <c r="G193" s="3" t="n"/>
      <c r="H193" s="3" t="n"/>
      <c r="I193" s="3" t="n"/>
      <c r="J193" s="3" t="n"/>
      <c r="K193" s="3" t="n"/>
      <c r="L193" s="3" t="n"/>
      <c r="M193" s="3" t="n"/>
      <c r="N193" s="3" t="n"/>
      <c r="O193" s="3" t="n"/>
      <c r="P193" s="130" t="n"/>
      <c r="Q193" s="88" t="n"/>
      <c r="R193" s="267" t="n"/>
      <c r="S193" s="268" t="n"/>
      <c r="T193" s="268" t="n"/>
      <c r="U193" s="268" t="n"/>
      <c r="V193" s="268" t="n"/>
      <c r="X193" s="80">
        <f>Y193&amp;Z193</f>
        <v/>
      </c>
      <c r="Y193" s="80" t="inlineStr">
        <is>
          <t>Standard</t>
        </is>
      </c>
      <c r="Z193" s="80" t="inlineStr">
        <is>
          <t>No reliance</t>
        </is>
      </c>
      <c r="AA193" s="80" t="inlineStr">
        <is>
          <t>Standard</t>
        </is>
      </c>
    </row>
    <row r="194" ht="15" customFormat="1" customHeight="1" s="80">
      <c r="B194" s="30" t="n"/>
      <c r="C194" s="28" t="n"/>
      <c r="D194" s="28" t="n"/>
      <c r="E194" s="28" t="n"/>
      <c r="F194" s="28" t="n"/>
      <c r="G194" s="28" t="n"/>
      <c r="H194" s="28" t="n"/>
      <c r="I194" s="28" t="n"/>
      <c r="J194" s="28" t="n"/>
      <c r="K194" s="28" t="n"/>
      <c r="L194" s="28" t="n"/>
      <c r="M194" s="28" t="n"/>
      <c r="N194" s="28" t="n"/>
      <c r="O194" s="28" t="n"/>
      <c r="P194" s="129" t="n"/>
      <c r="Q194" s="87" t="n"/>
      <c r="R194" s="292" t="n"/>
      <c r="S194" s="293" t="n"/>
      <c r="T194" s="293" t="n"/>
      <c r="U194" s="293" t="n"/>
      <c r="V194" s="293" t="n"/>
      <c r="W194" s="84" t="n"/>
      <c r="X194" s="80">
        <f>Y194&amp;Z194</f>
        <v/>
      </c>
      <c r="Y194" s="80" t="inlineStr">
        <is>
          <t>Enhanced</t>
        </is>
      </c>
      <c r="Z194" s="80" t="inlineStr">
        <is>
          <t>High reliance</t>
        </is>
      </c>
      <c r="AA194" s="80" t="inlineStr">
        <is>
          <t>Enhanced</t>
        </is>
      </c>
    </row>
    <row r="195" ht="15" customFormat="1" customHeight="1" s="80">
      <c r="B195" s="30" t="n"/>
      <c r="C195" s="28" t="n"/>
      <c r="D195" s="28" t="n"/>
      <c r="E195" s="28" t="n"/>
      <c r="F195" s="28" t="n"/>
      <c r="G195" s="28" t="n"/>
      <c r="H195" s="28" t="n"/>
      <c r="I195" s="28" t="n"/>
      <c r="J195" s="28" t="n"/>
      <c r="K195" s="28" t="n"/>
      <c r="L195" s="28" t="n"/>
      <c r="M195" s="28" t="n"/>
      <c r="N195" s="28" t="n"/>
      <c r="O195" s="28" t="n"/>
      <c r="P195" s="129" t="n"/>
      <c r="Q195" s="87" t="n"/>
      <c r="R195" s="292" t="n"/>
      <c r="S195" s="293" t="n"/>
      <c r="T195" s="293" t="n"/>
      <c r="U195" s="293" t="n"/>
      <c r="V195" s="293" t="n"/>
      <c r="W195" s="84" t="n"/>
      <c r="X195">
        <f>Y195&amp;Z195</f>
        <v/>
      </c>
      <c r="Y195" t="inlineStr">
        <is>
          <t>Enhanced</t>
        </is>
      </c>
      <c r="Z195" t="inlineStr">
        <is>
          <t>No reliance</t>
        </is>
      </c>
      <c r="AA195" t="inlineStr">
        <is>
          <t>Enhanced</t>
        </is>
      </c>
    </row>
    <row r="196" ht="15" customFormat="1" customHeight="1" s="80">
      <c r="B196" s="30" t="n"/>
      <c r="C196" s="28" t="n"/>
      <c r="D196" s="28" t="n"/>
      <c r="E196" s="28" t="n"/>
      <c r="F196" s="28" t="n"/>
      <c r="G196" s="28" t="n"/>
      <c r="H196" s="28" t="n"/>
      <c r="I196" s="28" t="n"/>
      <c r="J196" s="28" t="n"/>
      <c r="K196" s="28" t="n"/>
      <c r="L196" s="28" t="n"/>
      <c r="M196" s="28" t="n"/>
      <c r="N196" s="28" t="n"/>
      <c r="O196" s="28" t="n"/>
      <c r="P196" s="129" t="n"/>
      <c r="Q196" s="87" t="n"/>
      <c r="R196" s="292" t="n"/>
      <c r="S196" s="293" t="n"/>
      <c r="T196" s="293" t="n"/>
      <c r="U196" s="293" t="n"/>
      <c r="V196" s="293" t="n"/>
      <c r="W196" s="84" t="n"/>
      <c r="X196">
        <f>Y196&amp;Z196</f>
        <v/>
      </c>
      <c r="Y196" t="inlineStr">
        <is>
          <t>Significant</t>
        </is>
      </c>
      <c r="Z196" t="inlineStr">
        <is>
          <t>High reliance</t>
        </is>
      </c>
      <c r="AA196" t="inlineStr">
        <is>
          <t>Significant</t>
        </is>
      </c>
    </row>
    <row r="197" ht="15" customFormat="1" customHeight="1" s="80">
      <c r="B197" s="28" t="n"/>
      <c r="C197" s="28" t="n"/>
      <c r="D197" s="28" t="n"/>
      <c r="E197" s="28" t="n"/>
      <c r="F197" s="28" t="n"/>
      <c r="G197" s="28" t="n"/>
      <c r="H197" s="28" t="n"/>
      <c r="I197" s="28" t="n"/>
      <c r="J197" s="28" t="n"/>
      <c r="K197" s="28" t="n"/>
      <c r="L197" s="28" t="n"/>
      <c r="M197" s="28" t="n"/>
      <c r="N197" s="28" t="n"/>
      <c r="O197" s="28" t="n"/>
      <c r="P197" s="129" t="n"/>
      <c r="Q197" s="87" t="n"/>
      <c r="R197" s="292" t="n"/>
      <c r="S197" s="293" t="n"/>
      <c r="T197" s="293" t="n"/>
      <c r="U197" s="293" t="n"/>
      <c r="V197" s="293" t="n"/>
      <c r="W197" s="84" t="n"/>
      <c r="X197">
        <f>Y197&amp;Z197</f>
        <v/>
      </c>
      <c r="Y197" t="inlineStr">
        <is>
          <t>Significant</t>
        </is>
      </c>
      <c r="Z197" t="inlineStr">
        <is>
          <t>No reliance</t>
        </is>
      </c>
      <c r="AA197" t="inlineStr">
        <is>
          <t>Significant</t>
        </is>
      </c>
    </row>
    <row r="198" ht="15" customFormat="1" customHeight="1" s="80">
      <c r="B198" s="29" t="n"/>
      <c r="C198" s="3" t="n"/>
      <c r="D198" s="3" t="n"/>
      <c r="E198" s="3" t="n"/>
      <c r="F198" s="3" t="n"/>
      <c r="G198" s="3" t="n"/>
      <c r="H198" s="3" t="n"/>
      <c r="I198" s="3" t="n"/>
      <c r="J198" s="3" t="n"/>
      <c r="K198" s="3" t="n"/>
      <c r="L198" s="3" t="n"/>
      <c r="M198" s="3" t="n"/>
      <c r="N198" s="3" t="n"/>
      <c r="O198" s="3" t="n"/>
      <c r="P198" s="130" t="n"/>
      <c r="Q198" s="88" t="n"/>
      <c r="R198" s="267" t="n"/>
      <c r="S198" s="268" t="n"/>
      <c r="T198" s="268" t="n"/>
      <c r="U198" s="268" t="n"/>
      <c r="V198" s="268" t="n"/>
    </row>
    <row r="199" ht="15" customFormat="1" customHeight="1" s="80">
      <c r="B199" s="30" t="n"/>
      <c r="C199" s="28" t="n"/>
      <c r="D199" s="28" t="n"/>
      <c r="E199" s="28" t="n"/>
      <c r="F199" s="28" t="n"/>
      <c r="G199" s="28" t="n"/>
      <c r="H199" s="28" t="n"/>
      <c r="I199" s="28" t="n"/>
      <c r="J199" s="28" t="n"/>
      <c r="K199" s="28" t="n"/>
      <c r="L199" s="28" t="n"/>
      <c r="M199" s="28" t="n"/>
      <c r="N199" s="28" t="n"/>
      <c r="O199" s="28" t="n"/>
      <c r="P199" s="129" t="n"/>
      <c r="Q199" s="87" t="n"/>
      <c r="R199" s="292" t="n"/>
      <c r="S199" s="293" t="n"/>
      <c r="T199" s="293" t="n"/>
      <c r="U199" s="293" t="n"/>
      <c r="V199" s="293" t="n"/>
      <c r="W199" s="84" t="n"/>
    </row>
    <row r="200" ht="15" customFormat="1" customHeight="1" s="80">
      <c r="B200" s="28" t="n"/>
      <c r="C200" s="30" t="n"/>
      <c r="D200" s="28" t="n"/>
      <c r="E200" s="28" t="n"/>
      <c r="F200" s="28" t="n"/>
      <c r="G200" s="28" t="n"/>
      <c r="H200" s="28" t="n"/>
      <c r="I200" s="28" t="n"/>
      <c r="J200" s="28" t="n"/>
      <c r="K200" s="28" t="n"/>
      <c r="L200" s="28" t="n"/>
      <c r="M200" s="28" t="n"/>
      <c r="N200" s="28" t="n"/>
      <c r="O200" s="28" t="n"/>
      <c r="P200" s="129" t="n"/>
      <c r="Q200" s="87" t="n"/>
      <c r="R200" s="292" t="n"/>
      <c r="S200" s="293" t="n"/>
      <c r="T200" s="293" t="n"/>
      <c r="U200" s="293" t="n"/>
      <c r="V200" s="293" t="n"/>
      <c r="W200" s="84" t="n"/>
    </row>
    <row r="201" ht="15" customFormat="1" customHeight="1" s="80">
      <c r="B201" s="28" t="n"/>
      <c r="C201" s="30" t="n"/>
      <c r="D201" s="28" t="n"/>
      <c r="E201" s="28" t="n"/>
      <c r="F201" s="28" t="n"/>
      <c r="G201" s="28" t="n"/>
      <c r="H201" s="28" t="n"/>
      <c r="I201" s="28" t="n"/>
      <c r="J201" s="28" t="n"/>
      <c r="K201" s="28" t="n"/>
      <c r="L201" s="28" t="n"/>
      <c r="M201" s="28" t="n"/>
      <c r="N201" s="28" t="n"/>
      <c r="O201" s="28" t="n"/>
      <c r="P201" s="129" t="n"/>
      <c r="Q201" s="87" t="n"/>
      <c r="R201" s="292" t="n"/>
      <c r="S201" s="293" t="n"/>
      <c r="T201" s="293" t="n"/>
      <c r="U201" s="293" t="n"/>
      <c r="V201" s="293" t="n"/>
      <c r="W201" s="84" t="n"/>
    </row>
    <row r="202" ht="15" customFormat="1" customHeight="1" s="80">
      <c r="B202" s="28" t="n"/>
      <c r="C202" s="31" t="n"/>
      <c r="D202" s="28" t="n"/>
      <c r="E202" s="28" t="n"/>
      <c r="F202" s="28" t="n"/>
      <c r="G202" s="28" t="n"/>
      <c r="H202" s="28" t="n"/>
      <c r="I202" s="28" t="n"/>
      <c r="J202" s="28" t="n"/>
      <c r="K202" s="28" t="n"/>
      <c r="L202" s="28" t="n"/>
      <c r="M202" s="28" t="n"/>
      <c r="N202" s="28" t="n"/>
      <c r="O202" s="28" t="n"/>
      <c r="P202" s="129" t="n"/>
      <c r="Q202" s="87" t="n"/>
      <c r="R202" s="292" t="n"/>
      <c r="S202" s="293" t="n"/>
      <c r="T202" s="293" t="n"/>
      <c r="U202" s="293" t="n"/>
      <c r="V202" s="293" t="n"/>
      <c r="W202" s="84" t="n"/>
    </row>
    <row r="203" ht="15" customFormat="1" customHeight="1" s="80">
      <c r="B203" s="28" t="n"/>
      <c r="C203" s="28" t="n"/>
      <c r="D203" s="28" t="n"/>
      <c r="E203" s="28" t="n"/>
      <c r="F203" s="28" t="n"/>
      <c r="G203" s="28" t="n"/>
      <c r="H203" s="28" t="n"/>
      <c r="I203" s="28" t="n"/>
      <c r="J203" s="28" t="n"/>
      <c r="K203" s="28" t="n"/>
      <c r="L203" s="28" t="n"/>
      <c r="M203" s="28" t="n"/>
      <c r="N203" s="28" t="n"/>
      <c r="O203" s="28" t="n"/>
      <c r="P203" s="129" t="n"/>
      <c r="Q203" s="87" t="n"/>
      <c r="R203" s="292" t="n"/>
      <c r="S203" s="293" t="n"/>
      <c r="T203" s="293" t="n"/>
      <c r="U203" s="293" t="n"/>
      <c r="V203" s="293" t="n"/>
      <c r="W203" s="84" t="n"/>
    </row>
    <row r="204" ht="15" customFormat="1" customHeight="1" s="80">
      <c r="B204" s="29" t="n"/>
      <c r="C204" s="3" t="n"/>
      <c r="D204" s="3" t="n"/>
      <c r="E204" s="3" t="n"/>
      <c r="F204" s="3" t="n"/>
      <c r="G204" s="3" t="n"/>
      <c r="H204" s="3" t="n"/>
      <c r="I204" s="3" t="n"/>
      <c r="J204" s="3" t="n"/>
      <c r="K204" s="3" t="n"/>
      <c r="L204" s="3" t="n"/>
      <c r="M204" s="3" t="n"/>
      <c r="N204" s="3" t="n"/>
      <c r="O204" s="3" t="n"/>
      <c r="P204" s="130" t="n"/>
      <c r="Q204" s="88" t="n"/>
      <c r="R204" s="267" t="n"/>
      <c r="S204" s="268" t="n"/>
      <c r="T204" s="268" t="n"/>
      <c r="U204" s="268" t="n"/>
      <c r="V204" s="268" t="n"/>
    </row>
    <row r="205" ht="15" customFormat="1" customHeight="1" s="80">
      <c r="B205" s="28" t="n"/>
      <c r="C205" s="28" t="n"/>
      <c r="D205" s="28" t="n"/>
      <c r="E205" s="28" t="n"/>
      <c r="F205" s="28" t="n"/>
      <c r="G205" s="28" t="n"/>
      <c r="H205" s="28" t="n"/>
      <c r="I205" s="28" t="n"/>
      <c r="J205" s="28" t="n"/>
      <c r="K205" s="28" t="n"/>
      <c r="L205" s="28" t="n"/>
      <c r="M205" s="28" t="n"/>
      <c r="N205" s="28" t="n"/>
      <c r="O205" s="28" t="n"/>
      <c r="P205" s="129" t="n"/>
      <c r="Q205" s="87" t="n"/>
      <c r="R205" s="292" t="n"/>
      <c r="S205" s="293" t="n"/>
      <c r="T205" s="293" t="n"/>
      <c r="U205" s="293" t="n"/>
      <c r="V205" s="293" t="n"/>
      <c r="W205" s="84" t="n"/>
    </row>
    <row r="206" ht="15" customFormat="1" customHeight="1" s="80">
      <c r="B206" s="28" t="n"/>
      <c r="C206" s="28" t="n"/>
      <c r="D206" s="28" t="n"/>
      <c r="E206" s="28" t="n"/>
      <c r="F206" s="28" t="n"/>
      <c r="G206" s="28" t="n"/>
      <c r="H206" s="28" t="n"/>
      <c r="I206" s="28" t="n"/>
      <c r="J206" s="28" t="n"/>
      <c r="K206" s="28" t="n"/>
      <c r="L206" s="28" t="n"/>
      <c r="M206" s="28" t="n"/>
      <c r="N206" s="28" t="n"/>
      <c r="O206" s="28" t="n"/>
      <c r="P206" s="129" t="n"/>
      <c r="Q206" s="87" t="n"/>
      <c r="R206" s="292" t="n"/>
      <c r="S206" s="293" t="n"/>
      <c r="T206" s="293" t="n"/>
      <c r="U206" s="293" t="n"/>
      <c r="V206" s="293" t="n"/>
      <c r="W206" s="84" t="n"/>
    </row>
    <row r="207" ht="15" customFormat="1" customHeight="1" s="80">
      <c r="B207" s="28" t="n"/>
      <c r="C207" s="28" t="n"/>
      <c r="D207" s="28" t="n"/>
      <c r="E207" s="28" t="n"/>
      <c r="F207" s="28" t="n"/>
      <c r="G207" s="28" t="n"/>
      <c r="H207" s="28" t="n"/>
      <c r="I207" s="28" t="n"/>
      <c r="J207" s="28" t="n"/>
      <c r="K207" s="28" t="n"/>
      <c r="L207" s="28" t="n"/>
      <c r="M207" s="28" t="n"/>
      <c r="N207" s="28" t="n"/>
      <c r="O207" s="28" t="n"/>
      <c r="P207" s="129" t="n"/>
      <c r="Q207" s="87" t="n"/>
      <c r="R207" s="292" t="n"/>
      <c r="S207" s="293" t="n"/>
      <c r="T207" s="293" t="n"/>
      <c r="U207" s="293" t="n"/>
      <c r="V207" s="293" t="n"/>
      <c r="W207" s="84" t="n"/>
    </row>
    <row r="208" ht="15" customFormat="1" customHeight="1" s="80">
      <c r="B208" s="3" t="n"/>
      <c r="C208" s="3" t="n"/>
      <c r="D208" s="3" t="n"/>
      <c r="E208" s="3" t="n"/>
      <c r="F208" s="3" t="n"/>
      <c r="G208" s="3" t="n"/>
      <c r="H208" s="3" t="n"/>
      <c r="I208" s="3" t="n"/>
      <c r="J208" s="3" t="n"/>
      <c r="K208" s="3" t="n"/>
      <c r="L208" s="3" t="n"/>
      <c r="M208" s="3" t="n"/>
      <c r="N208" s="3" t="n"/>
      <c r="O208" s="3" t="n"/>
      <c r="P208" s="130" t="n"/>
      <c r="Q208" s="88" t="n"/>
      <c r="R208" s="267" t="n"/>
      <c r="S208" s="268" t="n"/>
      <c r="T208" s="268" t="n"/>
      <c r="U208" s="268" t="n"/>
      <c r="V208" s="268" t="n"/>
    </row>
    <row r="209" ht="15" customFormat="1" customHeight="1" s="80">
      <c r="B209" s="3" t="n"/>
      <c r="C209" s="3" t="n"/>
      <c r="D209" s="3" t="n"/>
      <c r="E209" s="3" t="n"/>
      <c r="F209" s="3" t="n"/>
      <c r="G209" s="3" t="n"/>
      <c r="H209" s="3" t="n"/>
      <c r="I209" s="3" t="n"/>
      <c r="J209" s="3" t="n"/>
      <c r="K209" s="3" t="n"/>
      <c r="L209" s="3" t="n"/>
      <c r="M209" s="3" t="n"/>
      <c r="N209" s="3" t="n"/>
      <c r="O209" s="3" t="n"/>
      <c r="P209" s="130" t="n"/>
      <c r="Q209" s="88" t="n"/>
      <c r="R209" s="267" t="n"/>
      <c r="S209" s="268" t="n"/>
      <c r="T209" s="268" t="n"/>
      <c r="U209" s="268" t="n"/>
      <c r="V209" s="268" t="n"/>
    </row>
    <row r="210" ht="15" customFormat="1" customHeight="1" s="80">
      <c r="B210" s="3" t="n"/>
      <c r="C210" s="3" t="n"/>
      <c r="D210" s="3" t="n"/>
      <c r="E210" s="3" t="n"/>
      <c r="F210" s="3" t="n"/>
      <c r="G210" s="3" t="n"/>
      <c r="H210" s="3" t="n"/>
      <c r="I210" s="3" t="n"/>
      <c r="J210" s="3" t="n"/>
      <c r="K210" s="3" t="n"/>
      <c r="L210" s="3" t="n"/>
      <c r="M210" s="3" t="n"/>
      <c r="N210" s="3" t="n"/>
      <c r="O210" s="3" t="n"/>
      <c r="P210" s="130" t="n"/>
      <c r="Q210" s="88" t="n"/>
      <c r="R210" s="267" t="n"/>
      <c r="S210" s="268" t="n"/>
      <c r="T210" s="268" t="n"/>
      <c r="U210" s="268" t="n"/>
      <c r="V210" s="268" t="n"/>
    </row>
    <row r="211" ht="15" customFormat="1" customHeight="1" s="80">
      <c r="B211" s="3" t="n"/>
      <c r="C211" s="3" t="n"/>
      <c r="D211" s="3" t="n"/>
      <c r="E211" s="3" t="n"/>
      <c r="F211" s="3" t="n"/>
      <c r="G211" s="3" t="n"/>
      <c r="H211" s="3" t="n"/>
      <c r="I211" s="3" t="n"/>
      <c r="J211" s="3" t="n"/>
      <c r="K211" s="3" t="n"/>
      <c r="L211" s="3" t="n"/>
      <c r="M211" s="3" t="n"/>
      <c r="N211" s="3" t="n"/>
      <c r="O211" s="3" t="n"/>
      <c r="P211" s="130" t="n"/>
      <c r="Q211" s="88" t="n"/>
      <c r="R211" s="267" t="n"/>
      <c r="S211" s="268" t="n"/>
      <c r="T211" s="268" t="n"/>
      <c r="U211" s="268" t="n"/>
      <c r="V211" s="268" t="n"/>
    </row>
    <row r="212" ht="15" customFormat="1" customHeight="1" s="80">
      <c r="B212" s="3" t="n"/>
      <c r="C212" s="3" t="n"/>
      <c r="D212" s="3" t="n"/>
      <c r="E212" s="3" t="n"/>
      <c r="F212" s="3" t="n"/>
      <c r="G212" s="3" t="n"/>
      <c r="H212" s="3" t="n"/>
      <c r="I212" s="3" t="n"/>
      <c r="J212" s="3" t="n"/>
      <c r="K212" s="3" t="n"/>
      <c r="L212" s="3" t="n"/>
      <c r="M212" s="3" t="n"/>
      <c r="N212" s="3" t="n"/>
      <c r="O212" s="3" t="n"/>
      <c r="P212" s="130" t="n"/>
      <c r="Q212" s="88" t="n"/>
      <c r="R212" s="267" t="n"/>
      <c r="S212" s="268" t="n"/>
      <c r="T212" s="268" t="n"/>
      <c r="U212" s="268" t="n"/>
      <c r="V212" s="268" t="n"/>
    </row>
    <row r="213" ht="15" customFormat="1" customHeight="1" s="80">
      <c r="B213" s="3" t="n"/>
      <c r="C213" s="3" t="n"/>
      <c r="D213" s="3" t="n"/>
      <c r="E213" s="3" t="n"/>
      <c r="F213" s="3" t="n"/>
      <c r="G213" s="3" t="n"/>
      <c r="H213" s="3" t="n"/>
      <c r="I213" s="3" t="n"/>
      <c r="J213" s="3" t="n"/>
      <c r="K213" s="3" t="n"/>
      <c r="L213" s="3" t="n"/>
      <c r="M213" s="3" t="n"/>
      <c r="N213" s="3" t="n"/>
      <c r="O213" s="3" t="n"/>
      <c r="P213" s="130" t="n"/>
      <c r="Q213" s="88" t="n"/>
      <c r="R213" s="267" t="n"/>
      <c r="S213" s="268" t="n"/>
      <c r="T213" s="268" t="n"/>
      <c r="U213" s="268" t="n"/>
      <c r="V213" s="268" t="n"/>
    </row>
    <row r="214" ht="15" customFormat="1" customHeight="1" s="80">
      <c r="B214" s="3" t="n"/>
      <c r="C214" s="3" t="n"/>
      <c r="D214" s="3" t="n"/>
      <c r="E214" s="3" t="n"/>
      <c r="F214" s="3" t="n"/>
      <c r="G214" s="3" t="n"/>
      <c r="H214" s="3" t="n"/>
      <c r="I214" s="3" t="n"/>
      <c r="J214" s="3" t="n"/>
      <c r="K214" s="3" t="n"/>
      <c r="L214" s="3" t="n"/>
      <c r="M214" s="3" t="n"/>
      <c r="N214" s="3" t="n"/>
      <c r="O214" s="3" t="n"/>
      <c r="P214" s="130" t="n"/>
      <c r="Q214" s="88" t="n"/>
      <c r="R214" s="267" t="n"/>
      <c r="S214" s="268" t="n"/>
      <c r="T214" s="268" t="n"/>
      <c r="U214" s="268" t="n"/>
      <c r="V214" s="268" t="n"/>
    </row>
    <row r="215" ht="15" customFormat="1" customHeight="1" s="80">
      <c r="B215" s="3" t="n"/>
      <c r="C215" s="3" t="n"/>
      <c r="D215" s="3" t="n"/>
      <c r="E215" s="3" t="n"/>
      <c r="F215" s="3" t="n"/>
      <c r="G215" s="3" t="n"/>
      <c r="H215" s="3" t="n"/>
      <c r="I215" s="3" t="n"/>
      <c r="J215" s="3" t="n"/>
      <c r="K215" s="3" t="n"/>
      <c r="L215" s="3" t="n"/>
      <c r="M215" s="3" t="n"/>
      <c r="N215" s="3" t="n"/>
      <c r="O215" s="3" t="n"/>
      <c r="P215" s="130" t="n"/>
      <c r="Q215" s="88" t="n"/>
      <c r="R215" s="267" t="n"/>
      <c r="S215" s="268" t="n"/>
      <c r="T215" s="268" t="n"/>
      <c r="U215" s="268" t="n"/>
      <c r="V215" s="268" t="n"/>
    </row>
    <row r="216" ht="15" customFormat="1" customHeight="1" s="80">
      <c r="B216" s="3" t="n"/>
      <c r="C216" s="3" t="n"/>
      <c r="D216" s="3" t="n"/>
      <c r="E216" s="3" t="n"/>
      <c r="F216" s="3" t="n"/>
      <c r="G216" s="3" t="n"/>
      <c r="H216" s="3" t="n"/>
      <c r="I216" s="3" t="n"/>
      <c r="J216" s="3" t="n"/>
      <c r="K216" s="3" t="n"/>
      <c r="L216" s="3" t="n"/>
      <c r="M216" s="3" t="n"/>
      <c r="N216" s="3" t="n"/>
      <c r="O216" s="3" t="n"/>
      <c r="P216" s="130" t="n"/>
      <c r="Q216" s="88" t="n"/>
      <c r="R216" s="267" t="n"/>
      <c r="S216" s="268" t="n"/>
      <c r="T216" s="268" t="n"/>
      <c r="U216" s="268" t="n"/>
      <c r="V216" s="268" t="n"/>
    </row>
    <row r="217" ht="15" customFormat="1" customHeight="1" s="80">
      <c r="B217" s="3" t="n"/>
      <c r="C217" s="3" t="n"/>
      <c r="D217" s="3" t="n"/>
      <c r="E217" s="3" t="n"/>
      <c r="F217" s="3" t="n"/>
      <c r="G217" s="3" t="n"/>
      <c r="H217" s="3" t="n"/>
      <c r="I217" s="3" t="n"/>
      <c r="J217" s="3" t="n"/>
      <c r="K217" s="3" t="n"/>
      <c r="L217" s="3" t="n"/>
      <c r="M217" s="3" t="n"/>
      <c r="N217" s="3" t="n"/>
      <c r="O217" s="3" t="n"/>
      <c r="P217" s="130" t="n"/>
      <c r="Q217" s="88" t="n"/>
      <c r="R217" s="267" t="n"/>
      <c r="S217" s="268" t="n"/>
      <c r="T217" s="268" t="n"/>
      <c r="U217" s="268" t="n"/>
      <c r="V217" s="268" t="n"/>
    </row>
    <row r="218" ht="15" customFormat="1" customHeight="1" s="80">
      <c r="B218" s="3" t="n"/>
      <c r="C218" s="3" t="n"/>
      <c r="D218" s="3" t="n"/>
      <c r="E218" s="3" t="n"/>
      <c r="F218" s="3" t="n"/>
      <c r="G218" s="3" t="n"/>
      <c r="H218" s="3" t="n"/>
      <c r="I218" s="3" t="n"/>
      <c r="J218" s="3" t="n"/>
      <c r="K218" s="3" t="n"/>
      <c r="L218" s="3" t="n"/>
      <c r="M218" s="3" t="n"/>
      <c r="N218" s="3" t="n"/>
      <c r="O218" s="3" t="n"/>
      <c r="P218" s="130" t="n"/>
      <c r="Q218" s="88" t="n"/>
      <c r="R218" s="267" t="n"/>
      <c r="S218" s="268" t="n"/>
      <c r="T218" s="268" t="n"/>
      <c r="U218" s="268" t="n"/>
      <c r="V218" s="268" t="n"/>
    </row>
    <row r="219" ht="15" customFormat="1" customHeight="1" s="80">
      <c r="B219" s="3" t="n"/>
      <c r="C219" s="3" t="n"/>
      <c r="D219" s="3" t="n"/>
      <c r="E219" s="3" t="n"/>
      <c r="F219" s="3" t="n"/>
      <c r="G219" s="3" t="n"/>
      <c r="H219" s="3" t="n"/>
      <c r="I219" s="3" t="n"/>
      <c r="J219" s="3" t="n"/>
      <c r="K219" s="3" t="n"/>
      <c r="L219" s="3" t="n"/>
      <c r="M219" s="3" t="n"/>
      <c r="N219" s="3" t="n"/>
      <c r="O219" s="3" t="n"/>
      <c r="P219" s="130" t="n"/>
      <c r="Q219" s="88" t="n"/>
      <c r="R219" s="267" t="n"/>
      <c r="S219" s="268" t="n"/>
      <c r="T219" s="268" t="n"/>
      <c r="U219" s="268" t="n"/>
      <c r="V219" s="268" t="n"/>
    </row>
    <row r="220" ht="15" customFormat="1" customHeight="1" s="80">
      <c r="B220" s="3" t="n"/>
      <c r="C220" s="3" t="n"/>
      <c r="D220" s="3" t="n"/>
      <c r="E220" s="3" t="n"/>
      <c r="F220" s="3" t="n"/>
      <c r="G220" s="3" t="n"/>
      <c r="H220" s="3" t="n"/>
      <c r="I220" s="3" t="n"/>
      <c r="J220" s="3" t="n"/>
      <c r="K220" s="3" t="n"/>
      <c r="L220" s="3" t="n"/>
      <c r="M220" s="3" t="n"/>
      <c r="N220" s="3" t="n"/>
      <c r="O220" s="3" t="n"/>
      <c r="P220" s="130" t="n"/>
      <c r="Q220" s="88" t="n"/>
      <c r="R220" s="267" t="n"/>
      <c r="S220" s="268" t="n"/>
      <c r="T220" s="268" t="n"/>
      <c r="U220" s="268" t="n"/>
      <c r="V220" s="268" t="n"/>
    </row>
    <row r="221" ht="15" customFormat="1" customHeight="1" s="80">
      <c r="B221" s="3" t="n"/>
      <c r="C221" s="3" t="n"/>
      <c r="D221" s="3" t="n"/>
      <c r="E221" s="3" t="n"/>
      <c r="F221" s="3" t="n"/>
      <c r="G221" s="3" t="n"/>
      <c r="H221" s="3" t="n"/>
      <c r="I221" s="3" t="n"/>
      <c r="J221" s="3" t="n"/>
      <c r="K221" s="3" t="n"/>
      <c r="L221" s="3" t="n"/>
      <c r="M221" s="3" t="n"/>
      <c r="N221" s="3" t="n"/>
      <c r="O221" s="3" t="n"/>
      <c r="P221" s="130" t="n"/>
      <c r="Q221" s="88" t="n"/>
      <c r="R221" s="267" t="n"/>
      <c r="S221" s="268" t="n"/>
      <c r="T221" s="268" t="n"/>
      <c r="U221" s="268" t="n"/>
      <c r="V221" s="268" t="n"/>
    </row>
    <row r="222" ht="15" customFormat="1" customHeight="1" s="80">
      <c r="B222" s="3" t="n"/>
      <c r="C222" s="3" t="n"/>
      <c r="D222" s="3" t="n"/>
      <c r="E222" s="3" t="n"/>
      <c r="F222" s="3" t="n"/>
      <c r="G222" s="3" t="n"/>
      <c r="H222" s="3" t="n"/>
      <c r="I222" s="3" t="n"/>
      <c r="J222" s="3" t="n"/>
      <c r="K222" s="3" t="n"/>
      <c r="L222" s="3" t="n"/>
      <c r="M222" s="3" t="n"/>
      <c r="N222" s="3" t="n"/>
      <c r="O222" s="3" t="n"/>
      <c r="P222" s="130" t="n"/>
      <c r="Q222" s="88" t="n"/>
      <c r="R222" s="267" t="n"/>
      <c r="S222" s="268" t="n"/>
      <c r="T222" s="268" t="n"/>
      <c r="U222" s="268" t="n"/>
      <c r="V222" s="268" t="n"/>
    </row>
    <row r="223" ht="15" customFormat="1" customHeight="1" s="80">
      <c r="B223" s="3" t="n"/>
      <c r="C223" s="3" t="n"/>
      <c r="D223" s="3" t="n"/>
      <c r="E223" s="3" t="n"/>
      <c r="F223" s="3" t="n"/>
      <c r="G223" s="3" t="n"/>
      <c r="H223" s="3" t="n"/>
      <c r="I223" s="3" t="n"/>
      <c r="J223" s="3" t="n"/>
      <c r="K223" s="3" t="n"/>
      <c r="L223" s="3" t="n"/>
      <c r="M223" s="3" t="n"/>
      <c r="N223" s="3" t="n"/>
      <c r="O223" s="3" t="n"/>
      <c r="P223" s="130" t="n"/>
      <c r="Q223" s="88" t="n"/>
      <c r="R223" s="267" t="n"/>
      <c r="S223" s="268" t="n"/>
      <c r="T223" s="268" t="n"/>
      <c r="U223" s="268" t="n"/>
      <c r="V223" s="268" t="n"/>
    </row>
    <row r="224" ht="15" customFormat="1" customHeight="1" s="80">
      <c r="B224" s="3" t="n"/>
      <c r="C224" s="3" t="n"/>
      <c r="D224" s="3" t="n"/>
      <c r="E224" s="3" t="n"/>
      <c r="F224" s="3" t="n"/>
      <c r="G224" s="3" t="n"/>
      <c r="H224" s="3" t="n"/>
      <c r="I224" s="3" t="n"/>
      <c r="J224" s="3" t="n"/>
      <c r="K224" s="3" t="n"/>
      <c r="L224" s="3" t="n"/>
      <c r="M224" s="3" t="n"/>
      <c r="N224" s="3" t="n"/>
      <c r="O224" s="3" t="n"/>
      <c r="P224" s="130" t="n"/>
      <c r="Q224" s="88" t="n"/>
      <c r="R224" s="267" t="n"/>
      <c r="S224" s="268" t="n"/>
      <c r="T224" s="268" t="n"/>
      <c r="U224" s="268" t="n"/>
      <c r="V224" s="268" t="n"/>
    </row>
    <row r="225" ht="15" customFormat="1" customHeight="1" s="80">
      <c r="B225" s="3" t="n"/>
      <c r="C225" s="3" t="n"/>
      <c r="D225" s="3" t="n"/>
      <c r="E225" s="3" t="n"/>
      <c r="F225" s="3" t="n"/>
      <c r="G225" s="3" t="n"/>
      <c r="H225" s="3" t="n"/>
      <c r="I225" s="3" t="n"/>
      <c r="J225" s="3" t="n"/>
      <c r="K225" s="3" t="n"/>
      <c r="L225" s="3" t="n"/>
      <c r="M225" s="3" t="n"/>
      <c r="N225" s="3" t="n"/>
      <c r="O225" s="3" t="n"/>
      <c r="P225" s="130" t="n"/>
      <c r="Q225" s="88" t="n"/>
      <c r="R225" s="267" t="n"/>
      <c r="S225" s="268" t="n"/>
      <c r="T225" s="268" t="n"/>
      <c r="U225" s="268" t="n"/>
      <c r="V225" s="268" t="n"/>
    </row>
    <row r="226" ht="15" customFormat="1" customHeight="1" s="80">
      <c r="B226" s="3" t="n"/>
      <c r="C226" s="3" t="n"/>
      <c r="D226" s="3" t="n"/>
      <c r="E226" s="3" t="n"/>
      <c r="F226" s="3" t="n"/>
      <c r="G226" s="3" t="n"/>
      <c r="H226" s="3" t="n"/>
      <c r="I226" s="3" t="n"/>
      <c r="J226" s="3" t="n"/>
      <c r="K226" s="3" t="n"/>
      <c r="L226" s="3" t="n"/>
      <c r="M226" s="3" t="n"/>
      <c r="N226" s="3" t="n"/>
      <c r="O226" s="3" t="n"/>
      <c r="P226" s="130" t="n"/>
      <c r="Q226" s="88" t="n"/>
      <c r="R226" s="267" t="n"/>
      <c r="S226" s="268" t="n"/>
      <c r="T226" s="268" t="n"/>
      <c r="U226" s="268" t="n"/>
      <c r="V226" s="268" t="n"/>
    </row>
    <row r="227" ht="15" customFormat="1" customHeight="1" s="80">
      <c r="B227" s="3" t="n"/>
      <c r="C227" s="3" t="n"/>
      <c r="D227" s="3" t="n"/>
      <c r="E227" s="3" t="n"/>
      <c r="F227" s="3" t="n"/>
      <c r="G227" s="3" t="n"/>
      <c r="H227" s="3" t="n"/>
      <c r="I227" s="3" t="n"/>
      <c r="J227" s="3" t="n"/>
      <c r="K227" s="3" t="n"/>
      <c r="L227" s="3" t="n"/>
      <c r="M227" s="3" t="n"/>
      <c r="N227" s="3" t="n"/>
      <c r="O227" s="3" t="n"/>
      <c r="P227" s="130" t="n"/>
      <c r="Q227" s="88" t="n"/>
      <c r="R227" s="267" t="n"/>
      <c r="S227" s="268" t="n"/>
      <c r="T227" s="268" t="n"/>
      <c r="U227" s="268" t="n"/>
      <c r="V227" s="268" t="n"/>
    </row>
    <row r="228" ht="15" customFormat="1" customHeight="1" s="80">
      <c r="B228" s="3" t="n"/>
      <c r="C228" s="3" t="n"/>
      <c r="D228" s="3" t="n"/>
      <c r="E228" s="3" t="n"/>
      <c r="F228" s="3" t="n"/>
      <c r="G228" s="3" t="n"/>
      <c r="H228" s="3" t="n"/>
      <c r="I228" s="3" t="n"/>
      <c r="J228" s="3" t="n"/>
      <c r="K228" s="3" t="n"/>
      <c r="L228" s="3" t="n"/>
      <c r="M228" s="3" t="n"/>
      <c r="N228" s="3" t="n"/>
      <c r="O228" s="3" t="n"/>
      <c r="P228" s="130" t="n"/>
      <c r="Q228" s="88" t="n"/>
      <c r="R228" s="267" t="n"/>
      <c r="S228" s="268" t="n"/>
      <c r="T228" s="268" t="n"/>
      <c r="U228" s="268" t="n"/>
      <c r="V228" s="268" t="n"/>
    </row>
    <row r="229" ht="15" customFormat="1" customHeight="1" s="80">
      <c r="B229" s="3" t="n"/>
      <c r="C229" s="3" t="n"/>
      <c r="D229" s="3" t="n"/>
      <c r="E229" s="3" t="n"/>
      <c r="F229" s="3" t="n"/>
      <c r="G229" s="3" t="n"/>
      <c r="H229" s="3" t="n"/>
      <c r="I229" s="3" t="n"/>
      <c r="J229" s="3" t="n"/>
      <c r="K229" s="3" t="n"/>
      <c r="L229" s="3" t="n"/>
      <c r="M229" s="3" t="n"/>
      <c r="N229" s="3" t="n"/>
      <c r="O229" s="3" t="n"/>
      <c r="P229" s="130" t="n"/>
      <c r="Q229" s="88" t="n"/>
      <c r="R229" s="267" t="n"/>
      <c r="S229" s="268" t="n"/>
      <c r="T229" s="268" t="n"/>
      <c r="U229" s="268" t="n"/>
      <c r="V229" s="268" t="n"/>
    </row>
  </sheetData>
  <mergeCells count="88">
    <mergeCell ref="B144:O146"/>
    <mergeCell ref="B51:O53"/>
    <mergeCell ref="P59:P60"/>
    <mergeCell ref="B185:O187"/>
    <mergeCell ref="B63:O65"/>
    <mergeCell ref="P21:P22"/>
    <mergeCell ref="P67:P68"/>
    <mergeCell ref="B49:O50"/>
    <mergeCell ref="R3:V4"/>
    <mergeCell ref="R185:V190"/>
    <mergeCell ref="R137:V139"/>
    <mergeCell ref="B99:O102"/>
    <mergeCell ref="B27:O29"/>
    <mergeCell ref="P185:P186"/>
    <mergeCell ref="B67:O69"/>
    <mergeCell ref="B17:O19"/>
    <mergeCell ref="G90:I90"/>
    <mergeCell ref="B104:O107"/>
    <mergeCell ref="P71:P72"/>
    <mergeCell ref="B26:J26"/>
    <mergeCell ref="B173:P173"/>
    <mergeCell ref="P177:P178"/>
    <mergeCell ref="B120:K120"/>
    <mergeCell ref="P40:P42"/>
    <mergeCell ref="B55:O57"/>
    <mergeCell ref="B189:O191"/>
    <mergeCell ref="B45:O47"/>
    <mergeCell ref="P51:P52"/>
    <mergeCell ref="P189:P190"/>
    <mergeCell ref="B122:O122"/>
    <mergeCell ref="L1:N1"/>
    <mergeCell ref="R78:V80"/>
    <mergeCell ref="B40:O43"/>
    <mergeCell ref="G80:I80"/>
    <mergeCell ref="B21:O23"/>
    <mergeCell ref="P126:P127"/>
    <mergeCell ref="P36:P37"/>
    <mergeCell ref="B71:O73"/>
    <mergeCell ref="P116:P117"/>
    <mergeCell ref="P181:P182"/>
    <mergeCell ref="R87:V91"/>
    <mergeCell ref="B181:O183"/>
    <mergeCell ref="P13:P14"/>
    <mergeCell ref="B128:O130"/>
    <mergeCell ref="B137:O139"/>
    <mergeCell ref="R140:V140"/>
    <mergeCell ref="B31:M31"/>
    <mergeCell ref="P144:P145"/>
    <mergeCell ref="R162:V165"/>
    <mergeCell ref="P63:P64"/>
    <mergeCell ref="P128:P129"/>
    <mergeCell ref="B36:O38"/>
    <mergeCell ref="B123:O125"/>
    <mergeCell ref="B85:O87"/>
    <mergeCell ref="B116:O119"/>
    <mergeCell ref="L4:N4"/>
    <mergeCell ref="B75:O77"/>
    <mergeCell ref="P120:P121"/>
    <mergeCell ref="C2:E2"/>
    <mergeCell ref="P161:P162"/>
    <mergeCell ref="P17:P18"/>
    <mergeCell ref="R123:V131"/>
    <mergeCell ref="P75:P76"/>
    <mergeCell ref="P156:P157"/>
    <mergeCell ref="L2:N2"/>
    <mergeCell ref="R7:V8"/>
    <mergeCell ref="B8:Q8"/>
    <mergeCell ref="P55:P56"/>
    <mergeCell ref="B177:O179"/>
    <mergeCell ref="B111:O114"/>
    <mergeCell ref="L3:N3"/>
    <mergeCell ref="P45:P46"/>
    <mergeCell ref="C1:E1"/>
    <mergeCell ref="P141:P143"/>
    <mergeCell ref="B161:O168"/>
    <mergeCell ref="B59:O61"/>
    <mergeCell ref="I169:O169"/>
    <mergeCell ref="P111:P112"/>
    <mergeCell ref="B108:O109"/>
    <mergeCell ref="R45:V47"/>
    <mergeCell ref="B13:O15"/>
    <mergeCell ref="B32:M32"/>
    <mergeCell ref="R11:V14"/>
    <mergeCell ref="P139:P140"/>
    <mergeCell ref="B127:O127"/>
    <mergeCell ref="P123:P124"/>
    <mergeCell ref="P104:P105"/>
    <mergeCell ref="P85:P86"/>
  </mergeCells>
  <dataValidations count="5">
    <dataValidation sqref="K26" showDropDown="0" showInputMessage="0" showErrorMessage="0" allowBlank="1" type="list">
      <formula1>"Yes,No"</formula1>
    </dataValidation>
    <dataValidation sqref="E78 F88" showDropDown="0" showInputMessage="0" showErrorMessage="0" allowBlank="1" type="list">
      <formula1>$X$77:$X$78</formula1>
    </dataValidation>
    <dataValidation sqref="N103 N110 N115" showDropDown="0" showInputMessage="0" showErrorMessage="0" allowBlank="1" type="list">
      <formula1>$X$103:$X$105</formula1>
    </dataValidation>
    <dataValidation sqref="H140" showDropDown="0" showInputMessage="0" showErrorMessage="0" allowBlank="1" type="list">
      <formula1>$X$139:$X$140</formula1>
    </dataValidation>
    <dataValidation sqref="L126" showDropDown="0" showInputMessage="0" showErrorMessage="0" allowBlank="1" type="list">
      <formula1>$X$118:$X$120</formula1>
    </dataValidation>
  </dataValidations>
  <hyperlinks>
    <hyperlink ref="P13" location="'Guidance (Do not delete)'!B7" display="Link to guidance"/>
    <hyperlink ref="P17" location="'Guidance (Do not delete)'!B13" display="Link to guidance"/>
    <hyperlink ref="P21" location="'Guidance (Do not delete)'!B20" display="Link to guidance"/>
    <hyperlink ref="P36" location="'Guidance (Do not delete)'!B30" display="Link to guidance"/>
    <hyperlink ref="P40" location="'Guidance (Do not delete)'!B40" display="Link to guidance"/>
    <hyperlink ref="P45" location="'Guidance (Do not delete)'!B50" display="Link to guidance"/>
    <hyperlink ref="P51" location="'Guidance (Do not delete)'!B65" display="Link to guidance"/>
    <hyperlink ref="P55" location="'Guidance (Do not delete)'!B69" display="Link to guidance"/>
    <hyperlink ref="P59" location="'Guidance (Do not delete)'!B83" display="Link to guidance"/>
    <hyperlink ref="P63" location="'Guidance (Do not delete)'!B88" display="Link to guidance"/>
    <hyperlink ref="P67" location="'Guidance (Do not delete)'!B96" display="Link to guidance"/>
    <hyperlink ref="P71" location="'Guidance (Do not delete)'!B100" display="Link to guidance"/>
    <hyperlink ref="P75" location="'Guidance (Do not delete)'!B105" display="Link to guidance"/>
    <hyperlink ref="P85" location="'Guidance (Do not delete)'!B114" display="Link to guidance"/>
    <hyperlink ref="P104" location="'Guidance (Do not delete)'!B141" display="Link to guidance"/>
    <hyperlink ref="P111" location="'Guidance (Do not delete)'!B151" display="Link to guidance"/>
    <hyperlink ref="P116" location="'Guidance (Do not delete)'!B160" display="Link to guidance"/>
    <hyperlink ref="P120" location="'Guidance (Do not delete)'!B167" display="Link to guidance"/>
    <hyperlink ref="P123" location="'Guidance (Do not delete)'!B173" display="Link to guidance"/>
    <hyperlink ref="P126" location="'Guidance (Do not delete)'!B178" display="Link to guidance"/>
    <hyperlink ref="P128" location="'Guidance (Do not delete)'!B201" display="Link to guidance"/>
    <hyperlink ref="P139" location="'Guidance (Do not delete)'!B217" display="Link to guidance"/>
    <hyperlink ref="P141" location="'Guidance (Do not delete)'!B222" display="Link to guidance"/>
    <hyperlink ref="P156" location="'Guidance (Do not delete)'!B240" display="Link to guidance"/>
    <hyperlink ref="P161" location="'Guidance (Do not delete)'!B250" display="Link to guidance"/>
    <hyperlink ref="P177" location="'Guidance (Do not delete)'!B326" display="Link to guidance"/>
    <hyperlink ref="P181" location="'Guidance (Do not delete)'!B333" display="Link to guidance"/>
    <hyperlink ref="P185" location="'Guidance (Do not delete)'!B337" display="Link to guidance"/>
    <hyperlink ref="P189" location="'Guidance (Do not delete)'!B341" display="Link to guidance"/>
  </hyperlinks>
  <pageMargins left="0.7" right="0.7" top="0.75" bottom="0.75" header="0.3" footer="0.3"/>
  <pageSetup orientation="portrait" paperSize="9"/>
</worksheet>
</file>

<file path=xl/worksheets/sheet3.xml><?xml version="1.0" encoding="utf-8"?>
<worksheet xmlns="http://schemas.openxmlformats.org/spreadsheetml/2006/main">
  <sheetPr codeName="Sheet1">
    <tabColor rgb="FF0072CE"/>
    <outlinePr summaryBelow="1" summaryRight="1"/>
    <pageSetUpPr/>
  </sheetPr>
  <dimension ref="A1:AA229"/>
  <sheetViews>
    <sheetView showGridLines="0" workbookViewId="0">
      <selection activeCell="A1" sqref="A1"/>
    </sheetView>
  </sheetViews>
  <sheetFormatPr baseColWidth="8" defaultColWidth="0" defaultRowHeight="15" zeroHeight="1"/>
  <cols>
    <col width="3.625" customWidth="1" style="79" min="1" max="1"/>
    <col width="11.875" customWidth="1" style="4" min="2" max="2"/>
    <col width="10.375" customWidth="1" style="4" min="3" max="3"/>
    <col width="9.375" customWidth="1" style="4" min="4" max="4"/>
    <col width="14.625" customWidth="1" style="4" min="5" max="5"/>
    <col width="11.875" customWidth="1" style="4" min="6" max="6"/>
    <col width="7.75" customWidth="1" style="4" min="7" max="9"/>
    <col width="13.625" customWidth="1" style="4" min="10" max="10"/>
    <col width="20.125" customWidth="1" style="4" min="11" max="11"/>
    <col width="16.375" customWidth="1" style="4" min="12" max="12"/>
    <col width="4.125" customWidth="1" style="4" min="13" max="13"/>
    <col width="11.75" customWidth="1" style="4" min="14" max="14"/>
    <col width="20.375" customWidth="1" style="4" min="15" max="15"/>
    <col width="19.125" customWidth="1" style="126" min="16" max="16"/>
    <col width="8.75" customWidth="1" style="89" min="17" max="17"/>
    <col hidden="1" width="11.375" customWidth="1" style="267" min="18" max="18"/>
    <col hidden="1" width="11.375" customWidth="1" style="268" min="19" max="21"/>
    <col hidden="1" width="23.625" customWidth="1" style="268" min="22" max="22"/>
    <col hidden="1" width="54.375" customWidth="1" style="80" min="23" max="23"/>
    <col hidden="1" width="54.375" customWidth="1" style="79" min="24" max="16384"/>
  </cols>
  <sheetData>
    <row r="1" ht="42" customFormat="1" customHeight="1" s="55">
      <c r="B1" s="265" t="inlineStr">
        <is>
          <t>Client:</t>
        </is>
      </c>
      <c r="C1" s="373" t="inlineStr">
        <is>
          <t>파타고니아코리아 (주) (Patagonia Korea)</t>
        </is>
      </c>
      <c r="D1" s="374" t="n"/>
      <c r="E1" s="374" t="n"/>
      <c r="F1" s="266" t="n"/>
      <c r="G1" s="266" t="n"/>
      <c r="H1" s="266" t="n"/>
      <c r="I1" s="266" t="n"/>
      <c r="J1" s="266" t="n"/>
      <c r="K1" s="265" t="inlineStr">
        <is>
          <t>Reference:</t>
        </is>
      </c>
      <c r="L1" s="373" t="inlineStr">
        <is>
          <t>L / .2 DTA,L</t>
        </is>
      </c>
      <c r="M1" s="374" t="n"/>
      <c r="N1" s="374" t="n"/>
      <c r="O1" s="43" t="n"/>
      <c r="P1" s="127" t="n"/>
      <c r="Q1" s="43" t="n"/>
      <c r="R1" s="267" t="n"/>
      <c r="S1" s="268" t="n"/>
      <c r="T1" s="268" t="n"/>
      <c r="U1" s="268" t="n"/>
      <c r="V1" s="268" t="n"/>
      <c r="W1" s="53" t="n"/>
      <c r="X1" s="54" t="n"/>
      <c r="Y1" s="54" t="n"/>
      <c r="Z1" s="54" t="n"/>
      <c r="AA1" s="54" t="n"/>
    </row>
    <row r="2" ht="17.25" customFormat="1" customHeight="1" s="55">
      <c r="B2" s="248" t="inlineStr">
        <is>
          <t>Year end:</t>
        </is>
      </c>
      <c r="C2" s="375" t="inlineStr">
        <is>
          <t>2026-04-30</t>
        </is>
      </c>
      <c r="D2" s="374" t="n"/>
      <c r="E2" s="374" t="n"/>
      <c r="F2" s="41" t="n"/>
      <c r="G2" s="41" t="n"/>
      <c r="H2" s="41" t="n"/>
      <c r="I2" s="41" t="n"/>
      <c r="J2" s="41" t="n"/>
      <c r="K2" s="248" t="inlineStr">
        <is>
          <t>Prepared by:</t>
        </is>
      </c>
      <c r="L2" s="376" t="inlineStr">
        <is>
          <t>HSH</t>
        </is>
      </c>
      <c r="M2" s="374" t="n"/>
      <c r="N2" s="374" t="n"/>
      <c r="O2" s="43" t="n"/>
      <c r="P2" s="127" t="n"/>
      <c r="Q2" s="43" t="n"/>
      <c r="R2" s="267" t="n"/>
      <c r="S2" s="268" t="n"/>
      <c r="T2" s="268" t="n"/>
      <c r="U2" s="268" t="n"/>
      <c r="V2" s="268" t="n"/>
      <c r="W2" s="53" t="n"/>
      <c r="X2" s="54" t="n"/>
      <c r="Y2" s="54" t="n"/>
      <c r="Z2" s="54" t="n"/>
      <c r="AA2" s="54" t="n"/>
    </row>
    <row r="3" ht="18" customFormat="1" customHeight="1" s="55">
      <c r="B3" s="248" t="n"/>
      <c r="C3" s="377" t="n"/>
      <c r="D3" s="41" t="n"/>
      <c r="E3" s="41" t="n"/>
      <c r="F3" s="41" t="n"/>
      <c r="G3" s="41" t="n"/>
      <c r="H3" s="41" t="n"/>
      <c r="I3" s="41" t="n"/>
      <c r="J3" s="41" t="n"/>
      <c r="K3" s="248" t="inlineStr">
        <is>
          <t>Date:</t>
        </is>
      </c>
      <c r="L3" s="375" t="inlineStr">
        <is>
          <t>2026-06-04</t>
        </is>
      </c>
      <c r="M3" s="374" t="n"/>
      <c r="N3" s="374" t="n"/>
      <c r="O3" s="43" t="n"/>
      <c r="P3" s="127" t="n"/>
      <c r="Q3" s="43" t="n"/>
      <c r="R3" s="359" t="inlineStr">
        <is>
          <t>Guidance notes on how fields interact with Atlas Next Generation</t>
        </is>
      </c>
      <c r="S3" s="374" t="n"/>
      <c r="T3" s="374" t="n"/>
      <c r="U3" s="374" t="n"/>
      <c r="V3" s="374" t="n"/>
      <c r="W3" s="53" t="n"/>
      <c r="X3" s="54" t="n"/>
      <c r="Y3" s="54" t="n"/>
      <c r="Z3" s="54" t="n"/>
      <c r="AA3" s="54" t="n"/>
    </row>
    <row r="4" customFormat="1" s="55">
      <c r="B4" s="248" t="n"/>
      <c r="C4" s="250" t="n"/>
      <c r="D4" s="41" t="n"/>
      <c r="E4" s="41" t="n"/>
      <c r="F4" s="41" t="n"/>
      <c r="G4" s="41" t="n"/>
      <c r="H4" s="41" t="n"/>
      <c r="I4" s="41" t="n"/>
      <c r="J4" s="41" t="n"/>
      <c r="K4" s="248" t="inlineStr">
        <is>
          <t>Reviewed by:</t>
        </is>
      </c>
      <c r="L4" s="376" t="inlineStr">
        <is>
          <t>LJM</t>
        </is>
      </c>
      <c r="M4" s="374" t="n"/>
      <c r="N4" s="374" t="n"/>
      <c r="O4" s="43" t="n"/>
      <c r="P4" s="127" t="n"/>
      <c r="Q4" s="43" t="n"/>
      <c r="R4" s="374" t="n"/>
      <c r="S4" s="374" t="n"/>
      <c r="T4" s="374" t="n"/>
      <c r="U4" s="374" t="n"/>
      <c r="V4" s="374" t="n"/>
      <c r="W4" s="53" t="n"/>
      <c r="X4" s="54" t="n"/>
      <c r="Y4" s="54" t="n"/>
      <c r="Z4" s="54" t="n"/>
      <c r="AA4" s="54" t="n"/>
    </row>
    <row r="5" ht="23.25" customFormat="1" customHeight="1" s="55">
      <c r="B5" s="77" t="inlineStr">
        <is>
          <t>Accounting estimate - 이연법인세자산 (Deferred tax assets)</t>
        </is>
      </c>
      <c r="C5" s="43" t="n"/>
      <c r="D5" s="43" t="n"/>
      <c r="E5" s="43" t="n"/>
      <c r="F5" s="43" t="n"/>
      <c r="G5" s="43" t="n"/>
      <c r="H5" s="43" t="n"/>
      <c r="I5" s="43" t="n"/>
      <c r="J5" s="43" t="n"/>
      <c r="K5" s="43" t="n"/>
      <c r="L5" s="42" t="n"/>
      <c r="M5" s="42" t="n"/>
      <c r="N5" s="42" t="n"/>
      <c r="O5" s="43" t="n"/>
      <c r="P5" s="127" t="n"/>
      <c r="Q5" s="43" t="n"/>
      <c r="R5" s="267" t="n"/>
      <c r="S5" s="268" t="n"/>
      <c r="T5" s="268" t="n"/>
      <c r="U5" s="268" t="n"/>
      <c r="V5" s="268" t="n"/>
      <c r="W5" s="53" t="n"/>
      <c r="X5" s="54" t="n"/>
      <c r="Y5" s="54" t="n"/>
      <c r="Z5" s="54" t="n"/>
      <c r="AA5" s="54" t="n"/>
    </row>
    <row r="6" ht="17.45" customFormat="1" customHeight="1" s="55">
      <c r="B6" s="264" t="inlineStr">
        <is>
          <t>MAM Tool version March 2026</t>
        </is>
      </c>
      <c r="D6" s="43" t="n"/>
      <c r="E6" s="43" t="n"/>
      <c r="F6" s="43" t="n"/>
      <c r="G6" s="43" t="n"/>
      <c r="H6" s="43" t="n"/>
      <c r="I6" s="43" t="n"/>
      <c r="J6" s="43" t="n"/>
      <c r="K6" s="43" t="n"/>
      <c r="L6" s="43" t="n"/>
      <c r="M6" s="43" t="n"/>
      <c r="N6" s="43" t="n"/>
      <c r="O6" s="43" t="n"/>
      <c r="P6" s="127" t="n"/>
      <c r="Q6" s="43" t="n"/>
      <c r="R6" s="267" t="n"/>
      <c r="S6" s="268" t="n"/>
      <c r="T6" s="268" t="n"/>
      <c r="U6" s="268" t="n"/>
      <c r="V6" s="268" t="n"/>
      <c r="W6" s="53" t="n"/>
      <c r="X6" s="54" t="n"/>
      <c r="Y6" s="54" t="n"/>
      <c r="Z6" s="54" t="n"/>
      <c r="AA6" s="54" t="n"/>
    </row>
    <row r="7" ht="15.75" customFormat="1" customHeight="1" s="55">
      <c r="B7" s="378" t="inlineStr">
        <is>
          <t>SCOTABD: 이연법인세자산  /  관련 주장(Assertion): 평가(Valuation) - 실현가능성
WCGW: 향후 과세소득이 충분하지 않음에도 이연법인세자산을 인식하여 자산이 과대계상될 수 있음.</t>
        </is>
      </c>
      <c r="C7" s="43" t="n"/>
      <c r="D7" s="43" t="n"/>
      <c r="E7" s="43" t="n"/>
      <c r="F7" s="43" t="n"/>
      <c r="G7" s="43" t="n"/>
      <c r="H7" s="43" t="n"/>
      <c r="I7" s="43" t="n"/>
      <c r="J7" s="43" t="n"/>
      <c r="K7" s="43" t="n"/>
      <c r="L7" s="43" t="n"/>
      <c r="M7" s="43" t="n"/>
      <c r="N7" s="43" t="n"/>
      <c r="O7" s="43" t="n"/>
      <c r="P7" s="127" t="n"/>
      <c r="Q7" s="43" t="n"/>
      <c r="R7" s="343" t="inlineStr">
        <is>
          <t xml:space="preserve">Please ensure that the name of the SCOTABD matches the name that is used in Atlas on the node 'Identify COTABD's and map to TB accounts'. 
Please ensure that when creating WCGW's for your accounting estimate within Atlas on the node 'Identify WCGW's and relate to relevant assertions' that the assertion matches the assertion input on this template. </t>
        </is>
      </c>
      <c r="W7" s="53" t="n"/>
      <c r="X7" s="54" t="n"/>
      <c r="Y7" s="54" t="n"/>
      <c r="Z7" s="54" t="n"/>
      <c r="AA7" s="54" t="n"/>
    </row>
    <row r="8" ht="78.75" customFormat="1" customHeight="1" s="55">
      <c r="B8" s="360" t="inlineStr">
        <is>
          <t xml:space="preserve">This template does not need completed for immaterial accounting estimates that are assets or for provisions against gross immaterial assets (such as bad debt/stock provisions where the total gross receivables/stock balance is immaterial). The template must be completed for all other accounting estimates. 
Consideration should be given to disaggregating accounting estimates that may be within the same SCOTABD but have different risk profiles (for example assets carried at fair value vs assets carried at cost less depreciation).  </t>
        </is>
      </c>
      <c r="W8" s="53" t="n"/>
      <c r="X8" s="54" t="n"/>
      <c r="Y8" s="54" t="n"/>
      <c r="Z8" s="54" t="n"/>
      <c r="AA8" s="54" t="n"/>
    </row>
    <row r="9" ht="31.5" customFormat="1" customHeight="1" s="119">
      <c r="B9" s="119" t="inlineStr">
        <is>
          <t>STEP 1:   UNDERSTANDING THE ESTIMATE AND RISK ASSESSMENT PROCEDURES</t>
        </is>
      </c>
      <c r="P9" s="159" t="n"/>
      <c r="R9" s="267" t="n"/>
      <c r="S9" s="268" t="n"/>
      <c r="T9" s="268" t="n"/>
      <c r="U9" s="268" t="n"/>
      <c r="V9" s="268" t="n"/>
      <c r="W9" s="122" t="n"/>
    </row>
    <row r="10" ht="15.75" customFormat="1" customHeight="1" s="65" thickBot="1">
      <c r="B10" s="123" t="n"/>
      <c r="C10" s="124" t="n"/>
      <c r="D10" s="124" t="n"/>
      <c r="E10" s="124" t="n"/>
      <c r="F10" s="124" t="n"/>
      <c r="G10" s="124" t="n"/>
      <c r="H10" s="124" t="n"/>
      <c r="I10" s="124" t="n"/>
      <c r="J10" s="124" t="n"/>
      <c r="K10" s="124" t="n"/>
      <c r="L10" s="124" t="n"/>
      <c r="M10" s="124" t="n"/>
      <c r="N10" s="124" t="n"/>
      <c r="O10" s="19" t="n"/>
      <c r="P10" s="128" t="n"/>
      <c r="Q10" s="19" t="n"/>
      <c r="R10" s="267" t="n"/>
      <c r="S10" s="268" t="n"/>
      <c r="T10" s="268" t="n"/>
      <c r="U10" s="268" t="n"/>
      <c r="V10" s="268" t="n"/>
      <c r="W10" s="64" t="n"/>
    </row>
    <row r="11" ht="21" customFormat="1" customHeight="1" s="19">
      <c r="A11" s="4" t="n"/>
      <c r="B11" s="181" t="inlineStr">
        <is>
          <t>Obtaining an understanding of the entity and its environment and the applicable financial reporting framework</t>
        </is>
      </c>
      <c r="C11" s="182" t="n"/>
      <c r="D11" s="182" t="n"/>
      <c r="E11" s="182" t="n"/>
      <c r="F11" s="182" t="n"/>
      <c r="G11" s="182" t="n"/>
      <c r="H11" s="182" t="n"/>
      <c r="I11" s="182" t="n"/>
      <c r="J11" s="182" t="n"/>
      <c r="K11" s="182" t="n"/>
      <c r="L11" s="182" t="n"/>
      <c r="M11" s="182" t="n"/>
      <c r="N11" s="182" t="n"/>
      <c r="O11" s="182" t="n"/>
      <c r="P11" s="224" t="n"/>
      <c r="R11" s="355" t="inlineStr">
        <is>
          <t xml:space="preserve">Our understanding of the accounting estimate may already be documented within the Key Business Processes (KBP's) we have identified. Please review our documentation of our understanding of the KBP within Atlas on the node 'Document our understanding of the KBP's' and cross reference where appropriate. </t>
        </is>
      </c>
      <c r="W11" s="27" t="n"/>
    </row>
    <row r="12" ht="19.5" customFormat="1" customHeight="1" s="65">
      <c r="A12" s="55" t="n"/>
      <c r="B12" s="209" t="inlineStr">
        <is>
          <t>Entity's transactions and other events or conditions relevant to the specific accounting estimate [ISA (revised) 540.13a]</t>
        </is>
      </c>
      <c r="C12" s="68" t="n"/>
      <c r="D12" s="68" t="n"/>
      <c r="E12" s="68" t="n"/>
      <c r="F12" s="68" t="n"/>
      <c r="G12" s="68" t="n"/>
      <c r="H12" s="68" t="n"/>
      <c r="I12" s="68" t="n"/>
      <c r="J12" s="68" t="n"/>
      <c r="K12" s="68" t="n"/>
      <c r="L12" s="68" t="n"/>
      <c r="M12" s="68" t="n"/>
      <c r="N12" s="68" t="n"/>
      <c r="O12" s="68" t="n"/>
      <c r="P12" s="210" t="n"/>
      <c r="Q12" s="19" t="n"/>
      <c r="W12" s="64" t="n"/>
    </row>
    <row r="13" ht="15.75" customFormat="1" customHeight="1" s="65">
      <c r="A13" s="55" t="n"/>
      <c r="B13" s="379" t="inlineStr">
        <is>
          <t>회사는 본사(VF)와의 Franchise agreement에 따라 2016년 7월부터 본사 reporting 기준 영업이익이 매출액의 3%가 되도록 VFF 금액을 조정하고 있으며, 매출액은 증가추세에 있음. 차감할 일시적차이(감가상각누계액, 퇴직급여충당부채, 상품평가충당금, 복구충당부채 등) 및 이월결손금에 대하여 이연법인세자산을 인식함. 당기말 이연법인세자산(순액) 598,313,625원(감사인 재계산 659,286,964원, 조정사항 반영).</t>
        </is>
      </c>
      <c r="C13" s="374" t="n"/>
      <c r="D13" s="374" t="n"/>
      <c r="E13" s="374" t="n"/>
      <c r="F13" s="374" t="n"/>
      <c r="G13" s="374" t="n"/>
      <c r="H13" s="374" t="n"/>
      <c r="I13" s="374" t="n"/>
      <c r="J13" s="374" t="n"/>
      <c r="K13" s="374" t="n"/>
      <c r="L13" s="374" t="n"/>
      <c r="M13" s="374" t="n"/>
      <c r="N13" s="374" t="n"/>
      <c r="O13" s="374" t="n"/>
      <c r="P13" s="332" t="inlineStr">
        <is>
          <t>Link to guidance</t>
        </is>
      </c>
      <c r="Q13" s="131" t="n"/>
      <c r="W13" s="132" t="n"/>
    </row>
    <row r="14" customFormat="1" s="65">
      <c r="A14" s="55" t="n"/>
      <c r="B14" s="380" t="n"/>
      <c r="C14" s="374" t="n"/>
      <c r="D14" s="374" t="n"/>
      <c r="E14" s="374" t="n"/>
      <c r="F14" s="374" t="n"/>
      <c r="G14" s="374" t="n"/>
      <c r="H14" s="374" t="n"/>
      <c r="I14" s="374" t="n"/>
      <c r="J14" s="374" t="n"/>
      <c r="K14" s="374" t="n"/>
      <c r="L14" s="374" t="n"/>
      <c r="M14" s="374" t="n"/>
      <c r="N14" s="374" t="n"/>
      <c r="O14" s="374" t="n"/>
      <c r="P14" s="381" t="n"/>
      <c r="Q14" s="131" t="n"/>
      <c r="W14" s="132" t="n"/>
    </row>
    <row r="15" customFormat="1" s="65">
      <c r="A15" s="55" t="n"/>
      <c r="B15" s="380" t="n"/>
      <c r="C15" s="374" t="n"/>
      <c r="D15" s="374" t="n"/>
      <c r="E15" s="374" t="n"/>
      <c r="F15" s="374" t="n"/>
      <c r="G15" s="374" t="n"/>
      <c r="H15" s="374" t="n"/>
      <c r="I15" s="374" t="n"/>
      <c r="J15" s="374" t="n"/>
      <c r="K15" s="374" t="n"/>
      <c r="L15" s="374" t="n"/>
      <c r="M15" s="374" t="n"/>
      <c r="N15" s="374" t="n"/>
      <c r="O15" s="374" t="n"/>
      <c r="P15" s="225" t="n"/>
      <c r="Q15" s="19" t="n"/>
      <c r="R15" s="267" t="n"/>
      <c r="S15" s="268" t="n"/>
      <c r="T15" s="268" t="n"/>
      <c r="U15" s="268" t="n"/>
      <c r="V15" s="268" t="n"/>
      <c r="W15" s="64" t="n"/>
    </row>
    <row r="16" ht="19.5" customFormat="1" customHeight="1" s="65">
      <c r="A16" s="55" t="n"/>
      <c r="B16" s="209" t="inlineStr">
        <is>
          <t>Requirements of the applicable financial reporting framework [ISA (revised) 540.13b]</t>
        </is>
      </c>
      <c r="C16" s="68" t="n"/>
      <c r="D16" s="68" t="n"/>
      <c r="E16" s="68" t="n"/>
      <c r="F16" s="68" t="n"/>
      <c r="G16" s="68" t="n"/>
      <c r="H16" s="68" t="n"/>
      <c r="I16" s="68" t="n"/>
      <c r="J16" s="68" t="n"/>
      <c r="K16" s="68" t="n"/>
      <c r="L16" s="68" t="n"/>
      <c r="M16" s="68" t="n"/>
      <c r="N16" s="68" t="n"/>
      <c r="O16" s="68" t="n"/>
      <c r="P16" s="210" t="n"/>
      <c r="Q16" s="19" t="n"/>
      <c r="R16" s="267" t="n"/>
      <c r="S16" s="268" t="n"/>
      <c r="T16" s="268" t="n"/>
      <c r="U16" s="268" t="n"/>
      <c r="V16" s="268" t="n"/>
      <c r="W16" s="64" t="n"/>
    </row>
    <row r="17" ht="15" customFormat="1" customHeight="1" s="65">
      <c r="A17" s="55" t="n"/>
      <c r="B17" s="382" t="inlineStr">
        <is>
          <t>적용 재무보고체계는 일반기업회계기준(K-GAAP)임. 차감할 일시적차이 및 이월결손금 등에 대하여 향후 실현가능성이 높은 범위 내에서 이연법인세자산을 인식하며, 미래 과세소득의 발생가능성을 고려하여 실현가능성을 판단함.</t>
        </is>
      </c>
      <c r="C17" s="374" t="n"/>
      <c r="D17" s="374" t="n"/>
      <c r="E17" s="374" t="n"/>
      <c r="F17" s="374" t="n"/>
      <c r="G17" s="374" t="n"/>
      <c r="H17" s="374" t="n"/>
      <c r="I17" s="374" t="n"/>
      <c r="J17" s="374" t="n"/>
      <c r="K17" s="374" t="n"/>
      <c r="L17" s="374" t="n"/>
      <c r="M17" s="374" t="n"/>
      <c r="N17" s="374" t="n"/>
      <c r="O17" s="374" t="n"/>
      <c r="P17" s="332" t="inlineStr">
        <is>
          <t>Link to guidance</t>
        </is>
      </c>
      <c r="Q17" s="78" t="n"/>
      <c r="R17" s="269" t="n"/>
      <c r="S17" s="270" t="n"/>
      <c r="T17" s="270" t="n"/>
      <c r="U17" s="271" t="n"/>
      <c r="V17" s="271" t="n"/>
      <c r="W17" s="132" t="n"/>
    </row>
    <row r="18" customFormat="1" s="65">
      <c r="A18" s="55" t="n"/>
      <c r="B18" s="380" t="n"/>
      <c r="C18" s="374" t="n"/>
      <c r="D18" s="374" t="n"/>
      <c r="E18" s="374" t="n"/>
      <c r="F18" s="374" t="n"/>
      <c r="G18" s="374" t="n"/>
      <c r="H18" s="374" t="n"/>
      <c r="I18" s="374" t="n"/>
      <c r="J18" s="374" t="n"/>
      <c r="K18" s="374" t="n"/>
      <c r="L18" s="374" t="n"/>
      <c r="M18" s="374" t="n"/>
      <c r="N18" s="374" t="n"/>
      <c r="O18" s="374" t="n"/>
      <c r="P18" s="381" t="n"/>
      <c r="Q18" s="78" t="n"/>
      <c r="R18" s="269" t="n"/>
      <c r="S18" s="270" t="n"/>
      <c r="T18" s="270" t="n"/>
      <c r="U18" s="271" t="n"/>
      <c r="V18" s="271" t="n"/>
      <c r="W18" s="132" t="n"/>
    </row>
    <row r="19" ht="15" customFormat="1" customHeight="1" s="65">
      <c r="A19" s="55" t="n"/>
      <c r="B19" s="380" t="n"/>
      <c r="C19" s="374" t="n"/>
      <c r="D19" s="374" t="n"/>
      <c r="E19" s="374" t="n"/>
      <c r="F19" s="374" t="n"/>
      <c r="G19" s="374" t="n"/>
      <c r="H19" s="374" t="n"/>
      <c r="I19" s="374" t="n"/>
      <c r="J19" s="374" t="n"/>
      <c r="K19" s="374" t="n"/>
      <c r="L19" s="374" t="n"/>
      <c r="M19" s="374" t="n"/>
      <c r="N19" s="374" t="n"/>
      <c r="O19" s="374" t="n"/>
      <c r="P19" s="226" t="n"/>
      <c r="Q19" s="78" t="n"/>
      <c r="R19" s="272" t="n"/>
      <c r="S19" s="273" t="n"/>
      <c r="T19" s="273" t="n"/>
      <c r="U19" s="273" t="n"/>
      <c r="V19" s="273" t="n"/>
      <c r="W19" s="133" t="n"/>
    </row>
    <row r="20" ht="19.5" customFormat="1" customHeight="1" s="65">
      <c r="A20" s="55" t="n"/>
      <c r="B20" s="209" t="inlineStr">
        <is>
          <t>Regulatory factors [ISA 540 (revised) 540.13c]</t>
        </is>
      </c>
      <c r="C20" s="68" t="n"/>
      <c r="D20" s="68" t="n"/>
      <c r="E20" s="68" t="n"/>
      <c r="F20" s="68" t="n"/>
      <c r="G20" s="68" t="n"/>
      <c r="H20" s="68" t="n"/>
      <c r="I20" s="68" t="n"/>
      <c r="J20" s="68" t="n"/>
      <c r="K20" s="68" t="n"/>
      <c r="L20" s="68" t="n"/>
      <c r="M20" s="68" t="n"/>
      <c r="N20" s="68" t="n"/>
      <c r="O20" s="68" t="n"/>
      <c r="P20" s="210" t="n"/>
      <c r="Q20" s="19" t="n"/>
      <c r="R20" s="274" t="n"/>
      <c r="S20" s="275" t="n"/>
      <c r="T20" s="275" t="n"/>
      <c r="U20" s="275" t="n"/>
      <c r="V20" s="275" t="n"/>
      <c r="W20" s="64" t="n"/>
    </row>
    <row r="21" ht="15" customFormat="1" customHeight="1" s="65">
      <c r="A21" s="55" t="n"/>
      <c r="B21" s="382" t="inlineStr">
        <is>
          <t>법인세법상 이월결손금 공제규정 및 세율 등 세무규정을 고려함. 그 외 이연법인세자산 인식에 영향을 미치는 특별한 규제요인은 식별되지 않음.</t>
        </is>
      </c>
      <c r="C21" s="374" t="n"/>
      <c r="D21" s="374" t="n"/>
      <c r="E21" s="374" t="n"/>
      <c r="F21" s="374" t="n"/>
      <c r="G21" s="374" t="n"/>
      <c r="H21" s="374" t="n"/>
      <c r="I21" s="374" t="n"/>
      <c r="J21" s="374" t="n"/>
      <c r="K21" s="374" t="n"/>
      <c r="L21" s="374" t="n"/>
      <c r="M21" s="374" t="n"/>
      <c r="N21" s="374" t="n"/>
      <c r="O21" s="374" t="n"/>
      <c r="P21" s="332" t="inlineStr">
        <is>
          <t>Link to guidance</t>
        </is>
      </c>
      <c r="Q21" s="19" t="n"/>
      <c r="R21" s="269" t="n"/>
      <c r="S21" s="270" t="n"/>
      <c r="T21" s="270" t="n"/>
      <c r="U21" s="271" t="n"/>
      <c r="V21" s="271" t="n"/>
      <c r="W21" s="132" t="n"/>
    </row>
    <row r="22" customFormat="1" s="65">
      <c r="A22" s="55" t="n"/>
      <c r="B22" s="380" t="n"/>
      <c r="C22" s="374" t="n"/>
      <c r="D22" s="374" t="n"/>
      <c r="E22" s="374" t="n"/>
      <c r="F22" s="374" t="n"/>
      <c r="G22" s="374" t="n"/>
      <c r="H22" s="374" t="n"/>
      <c r="I22" s="374" t="n"/>
      <c r="J22" s="374" t="n"/>
      <c r="K22" s="374" t="n"/>
      <c r="L22" s="374" t="n"/>
      <c r="M22" s="374" t="n"/>
      <c r="N22" s="374" t="n"/>
      <c r="O22" s="374" t="n"/>
      <c r="P22" s="381" t="n"/>
      <c r="Q22" s="78" t="n"/>
      <c r="R22" s="269" t="n"/>
      <c r="S22" s="270" t="n"/>
      <c r="T22" s="270" t="n"/>
      <c r="U22" s="271" t="n"/>
      <c r="V22" s="271" t="n"/>
      <c r="W22" s="132" t="n"/>
    </row>
    <row r="23" customFormat="1" s="65">
      <c r="A23" s="55" t="n"/>
      <c r="B23" s="380" t="n"/>
      <c r="C23" s="374" t="n"/>
      <c r="D23" s="374" t="n"/>
      <c r="E23" s="374" t="n"/>
      <c r="F23" s="374" t="n"/>
      <c r="G23" s="374" t="n"/>
      <c r="H23" s="374" t="n"/>
      <c r="I23" s="374" t="n"/>
      <c r="J23" s="374" t="n"/>
      <c r="K23" s="374" t="n"/>
      <c r="L23" s="374" t="n"/>
      <c r="M23" s="374" t="n"/>
      <c r="N23" s="374" t="n"/>
      <c r="O23" s="374" t="n"/>
      <c r="P23" s="226" t="n"/>
      <c r="Q23" s="78" t="n"/>
      <c r="R23" s="272" t="n"/>
      <c r="S23" s="273" t="n"/>
      <c r="T23" s="273" t="n"/>
      <c r="U23" s="273" t="n"/>
      <c r="V23" s="273" t="n"/>
      <c r="W23" s="133" t="n"/>
    </row>
    <row r="24" ht="15.75" customFormat="1" customHeight="1" s="65" thickBot="1">
      <c r="B24" s="211" t="n"/>
      <c r="C24" s="40" t="n"/>
      <c r="D24" s="40" t="n"/>
      <c r="E24" s="40" t="n"/>
      <c r="F24" s="40" t="n"/>
      <c r="G24" s="40" t="n"/>
      <c r="H24" s="40" t="n"/>
      <c r="I24" s="40" t="n"/>
      <c r="J24" s="40" t="n"/>
      <c r="K24" s="40" t="n"/>
      <c r="L24" s="40" t="n"/>
      <c r="M24" s="40" t="n"/>
      <c r="N24" s="40" t="n"/>
      <c r="O24" s="40" t="n"/>
      <c r="P24" s="227" t="n"/>
      <c r="Q24" s="78" t="n"/>
      <c r="R24" s="272" t="n"/>
      <c r="S24" s="273" t="n"/>
      <c r="T24" s="273" t="n"/>
      <c r="U24" s="273" t="n"/>
      <c r="V24" s="273" t="n"/>
      <c r="W24" s="133" t="n"/>
    </row>
    <row r="25" ht="16.5" customFormat="1" customHeight="1" s="65" thickBot="1">
      <c r="B25" s="181" t="inlineStr">
        <is>
          <t>Scoping Question</t>
        </is>
      </c>
      <c r="C25" s="311" t="n"/>
      <c r="D25" s="311" t="n"/>
      <c r="E25" s="311" t="n"/>
      <c r="F25" s="311" t="n"/>
      <c r="G25" s="311" t="n"/>
      <c r="H25" s="311" t="n"/>
      <c r="I25" s="311" t="n"/>
      <c r="J25" s="311" t="n"/>
      <c r="K25" s="311" t="n"/>
      <c r="L25" s="311" t="n"/>
      <c r="M25" s="311" t="n"/>
      <c r="N25" s="311" t="n"/>
      <c r="O25" s="311" t="n"/>
      <c r="P25" s="227" t="n"/>
      <c r="Q25" s="78" t="n"/>
      <c r="R25" s="272" t="n"/>
      <c r="S25" s="273" t="n"/>
      <c r="T25" s="273" t="n"/>
      <c r="U25" s="273" t="n"/>
      <c r="V25" s="273" t="n"/>
      <c r="W25" s="133" t="n"/>
    </row>
    <row r="26" ht="34.5" customFormat="1" customHeight="1" s="65" thickBot="1">
      <c r="B26" s="361" t="inlineStr">
        <is>
          <t>Considering the inherent risk factors including estimation uncertainty, complexity and subjectivity, do you consider there to be a risk of material misstatement (standard, enhanced or significant) associated with the accounting estimate?</t>
        </is>
      </c>
      <c r="K26" s="313" t="inlineStr">
        <is>
          <t>Yes</t>
        </is>
      </c>
      <c r="L26" s="312" t="n"/>
      <c r="M26" s="312" t="n"/>
      <c r="N26" s="312" t="n"/>
      <c r="O26" s="312" t="n"/>
      <c r="P26" s="227" t="n"/>
      <c r="Q26" s="78" t="n"/>
      <c r="R26" s="272" t="n"/>
      <c r="S26" s="273" t="n"/>
      <c r="T26" s="273" t="n"/>
      <c r="U26" s="273" t="n"/>
      <c r="V26" s="273" t="n"/>
      <c r="W26" s="133" t="n"/>
    </row>
    <row r="27" customFormat="1" s="65">
      <c r="B27" s="382" t="inlineStr">
        <is>
          <t>이연법인세자산의 실현가능성은 미래 과세소득의 추정에 의존하여 추정불확실성과 주관성이 상대적으로 높으므로 중요왜곡표시위험이 존재함. 강화위험(Enhanced)으로 판단함.</t>
        </is>
      </c>
      <c r="C27" s="374" t="n"/>
      <c r="D27" s="374" t="n"/>
      <c r="E27" s="374" t="n"/>
      <c r="F27" s="374" t="n"/>
      <c r="G27" s="374" t="n"/>
      <c r="H27" s="374" t="n"/>
      <c r="I27" s="374" t="n"/>
      <c r="J27" s="374" t="n"/>
      <c r="K27" s="374" t="n"/>
      <c r="L27" s="374" t="n"/>
      <c r="M27" s="374" t="n"/>
      <c r="N27" s="374" t="n"/>
      <c r="O27" s="374" t="n"/>
      <c r="P27" s="227" t="n"/>
      <c r="Q27" s="78" t="n"/>
      <c r="R27" s="272" t="n"/>
      <c r="S27" s="273" t="n"/>
      <c r="T27" s="273" t="n"/>
      <c r="U27" s="273" t="n"/>
      <c r="V27" s="273" t="n"/>
      <c r="W27" s="133" t="n"/>
    </row>
    <row r="28" customFormat="1" s="65">
      <c r="B28" s="380" t="n"/>
      <c r="C28" s="374" t="n"/>
      <c r="D28" s="374" t="n"/>
      <c r="E28" s="374" t="n"/>
      <c r="F28" s="374" t="n"/>
      <c r="G28" s="374" t="n"/>
      <c r="H28" s="374" t="n"/>
      <c r="I28" s="374" t="n"/>
      <c r="J28" s="374" t="n"/>
      <c r="K28" s="374" t="n"/>
      <c r="L28" s="374" t="n"/>
      <c r="M28" s="374" t="n"/>
      <c r="N28" s="374" t="n"/>
      <c r="O28" s="374" t="n"/>
      <c r="P28" s="227" t="n"/>
      <c r="Q28" s="78" t="n"/>
      <c r="R28" s="272" t="n"/>
      <c r="S28" s="273" t="n"/>
      <c r="T28" s="273" t="n"/>
      <c r="U28" s="273" t="n"/>
      <c r="V28" s="273" t="n"/>
      <c r="W28" s="133" t="n"/>
    </row>
    <row r="29" customFormat="1" s="65">
      <c r="B29" s="380" t="n"/>
      <c r="C29" s="374" t="n"/>
      <c r="D29" s="374" t="n"/>
      <c r="E29" s="374" t="n"/>
      <c r="F29" s="374" t="n"/>
      <c r="G29" s="374" t="n"/>
      <c r="H29" s="374" t="n"/>
      <c r="I29" s="374" t="n"/>
      <c r="J29" s="374" t="n"/>
      <c r="K29" s="374" t="n"/>
      <c r="L29" s="374" t="n"/>
      <c r="M29" s="374" t="n"/>
      <c r="N29" s="374" t="n"/>
      <c r="O29" s="374" t="n"/>
      <c r="P29" s="227" t="n"/>
      <c r="Q29" s="78" t="n"/>
      <c r="R29" s="272" t="n"/>
      <c r="S29" s="273" t="n"/>
      <c r="T29" s="273" t="n"/>
      <c r="U29" s="273" t="n"/>
      <c r="V29" s="273" t="n"/>
      <c r="W29" s="133" t="n"/>
    </row>
    <row r="30" ht="15.75" customFormat="1" customHeight="1" s="65" thickBot="1">
      <c r="B30" s="211" t="n"/>
      <c r="C30" s="40" t="n"/>
      <c r="D30" s="40" t="n"/>
      <c r="E30" s="40" t="n"/>
      <c r="F30" s="40" t="n"/>
      <c r="G30" s="40" t="n"/>
      <c r="H30" s="40" t="n"/>
      <c r="I30" s="40" t="n"/>
      <c r="J30" s="40" t="n"/>
      <c r="K30" s="40" t="n"/>
      <c r="L30" s="40" t="n"/>
      <c r="M30" s="40" t="n"/>
      <c r="N30" s="40" t="n"/>
      <c r="O30" s="40" t="n"/>
      <c r="P30" s="227" t="n"/>
      <c r="Q30" s="78" t="n"/>
      <c r="R30" s="272" t="n"/>
      <c r="S30" s="273" t="n"/>
      <c r="T30" s="273" t="n"/>
      <c r="U30" s="273" t="n"/>
      <c r="V30" s="273" t="n"/>
      <c r="W30" s="133" t="n"/>
    </row>
    <row r="31" ht="34.5" customFormat="1" customHeight="1" s="65">
      <c r="B31" s="383">
        <f>IF(K26="Yes","Please continue with this tool",IF(K26="No","Since you have not identified any risk of material misstatement associated with the accounting estimate, the remainder of this tool is not required to be completed.",""))</f>
        <v/>
      </c>
      <c r="C31" s="384" t="n"/>
      <c r="D31" s="384" t="n"/>
      <c r="E31" s="384" t="n"/>
      <c r="F31" s="384" t="n"/>
      <c r="G31" s="384" t="n"/>
      <c r="H31" s="384" t="n"/>
      <c r="I31" s="384" t="n"/>
      <c r="J31" s="384" t="n"/>
      <c r="K31" s="384" t="n"/>
      <c r="L31" s="384" t="n"/>
      <c r="M31" s="385" t="n"/>
      <c r="N31" s="40" t="n"/>
      <c r="P31" s="227" t="n"/>
      <c r="Q31" s="78" t="n"/>
      <c r="R31" s="272" t="n"/>
      <c r="S31" s="273" t="n"/>
      <c r="T31" s="273" t="n"/>
      <c r="U31" s="273" t="n"/>
      <c r="V31" s="273" t="n"/>
      <c r="W31" s="133" t="n"/>
    </row>
    <row r="32" ht="34.5" customFormat="1" customHeight="1" s="65">
      <c r="B32" s="314">
        <f>IF(K26="Yes","",IF(K26="No","If you obtain any additional information throughout the audit that leads you to believe that there is a risk of material misstatement, you must update this question.",""))</f>
        <v/>
      </c>
      <c r="N32" s="40" t="n"/>
      <c r="P32" s="227" t="n"/>
      <c r="Q32" s="78" t="n"/>
      <c r="R32" s="272" t="n"/>
      <c r="S32" s="273" t="n"/>
      <c r="T32" s="273" t="n"/>
      <c r="U32" s="273" t="n"/>
      <c r="V32" s="273" t="n"/>
      <c r="W32" s="133" t="n"/>
    </row>
    <row r="33" ht="15.75" customFormat="1" customHeight="1" s="65" thickBot="1">
      <c r="B33" s="228" t="n"/>
      <c r="C33" s="78" t="n"/>
      <c r="D33" s="78" t="n"/>
      <c r="E33" s="78" t="n"/>
      <c r="F33" s="78" t="n"/>
      <c r="G33" s="78" t="n"/>
      <c r="H33" s="78" t="n"/>
      <c r="I33" s="78" t="n"/>
      <c r="J33" s="78" t="n"/>
      <c r="K33" s="78" t="n"/>
      <c r="L33" s="78" t="n"/>
      <c r="M33" s="78" t="n"/>
      <c r="N33" s="78" t="n"/>
      <c r="O33" s="78" t="n"/>
      <c r="P33" s="213" t="n"/>
      <c r="Q33" s="78" t="n"/>
      <c r="R33" s="272" t="n"/>
      <c r="S33" s="273" t="n"/>
      <c r="T33" s="273" t="n"/>
      <c r="U33" s="273" t="n"/>
      <c r="V33" s="273" t="n"/>
      <c r="W33" s="133" t="n"/>
    </row>
    <row r="34" ht="21" customFormat="1" customHeight="1" s="65">
      <c r="A34" s="55" t="n"/>
      <c r="B34" s="181" t="inlineStr">
        <is>
          <t>Obtaining an understanding of the entity's system of internal control</t>
        </is>
      </c>
      <c r="C34" s="182" t="n"/>
      <c r="D34" s="182" t="n"/>
      <c r="E34" s="182" t="n"/>
      <c r="F34" s="182" t="n"/>
      <c r="G34" s="182" t="n"/>
      <c r="H34" s="182" t="n"/>
      <c r="I34" s="182" t="n"/>
      <c r="J34" s="182" t="n"/>
      <c r="K34" s="182" t="n"/>
      <c r="L34" s="182" t="n"/>
      <c r="M34" s="182" t="n"/>
      <c r="N34" s="182" t="n"/>
      <c r="O34" s="182" t="n"/>
      <c r="P34" s="208" t="n"/>
      <c r="Q34" s="78" t="n"/>
      <c r="R34" s="272" t="n"/>
      <c r="S34" s="273" t="n"/>
      <c r="T34" s="273" t="n"/>
      <c r="U34" s="273" t="n"/>
      <c r="V34" s="273" t="n"/>
      <c r="W34" s="133" t="n"/>
    </row>
    <row r="35" ht="19.5" customFormat="1" customHeight="1" s="65">
      <c r="A35" s="55" t="n"/>
      <c r="B35" s="209" t="inlineStr">
        <is>
          <t>Nature and extent of oversight and governance [ISA(revised) 540.13e]</t>
        </is>
      </c>
      <c r="C35" s="68" t="n"/>
      <c r="D35" s="68" t="n"/>
      <c r="E35" s="68" t="n"/>
      <c r="F35" s="68" t="n"/>
      <c r="G35" s="68" t="n"/>
      <c r="H35" s="68" t="n"/>
      <c r="I35" s="68" t="n"/>
      <c r="J35" s="68" t="n"/>
      <c r="K35" s="68" t="n"/>
      <c r="L35" s="68" t="n"/>
      <c r="M35" s="68" t="n"/>
      <c r="N35" s="68" t="n"/>
      <c r="O35" s="68" t="n"/>
      <c r="P35" s="210" t="n"/>
      <c r="Q35" s="19" t="n"/>
      <c r="R35" s="274" t="n"/>
      <c r="S35" s="275" t="n"/>
      <c r="T35" s="275" t="n"/>
      <c r="U35" s="275" t="n"/>
      <c r="V35" s="275" t="n"/>
      <c r="W35" s="64" t="n"/>
    </row>
    <row r="36" customFormat="1" s="65">
      <c r="A36" s="55" t="n"/>
      <c r="B36" s="382" t="inlineStr">
        <is>
          <t>재무팀 및 본사(VF)의 검토·보고체계를 통해 이연법인세 관련 회계처리 및 실현가능성 판단이 감독됨. Business plan 및 Franchise agreement에 근거하여 미래 과세소득을 추정함.</t>
        </is>
      </c>
      <c r="C36" s="374" t="n"/>
      <c r="D36" s="374" t="n"/>
      <c r="E36" s="374" t="n"/>
      <c r="F36" s="374" t="n"/>
      <c r="G36" s="374" t="n"/>
      <c r="H36" s="374" t="n"/>
      <c r="I36" s="374" t="n"/>
      <c r="J36" s="374" t="n"/>
      <c r="K36" s="374" t="n"/>
      <c r="L36" s="374" t="n"/>
      <c r="M36" s="374" t="n"/>
      <c r="N36" s="374" t="n"/>
      <c r="O36" s="374" t="n"/>
      <c r="P36" s="332" t="inlineStr">
        <is>
          <t>Link to guidance</t>
        </is>
      </c>
      <c r="Q36" s="134" t="n"/>
      <c r="R36" s="269" t="n"/>
      <c r="S36" s="270" t="n"/>
      <c r="T36" s="270" t="n"/>
      <c r="U36" s="271" t="n"/>
      <c r="V36" s="271" t="n"/>
      <c r="W36" s="132" t="n"/>
    </row>
    <row r="37" ht="15" customFormat="1" customHeight="1" s="65">
      <c r="A37" s="55" t="n"/>
      <c r="B37" s="380" t="n"/>
      <c r="C37" s="374" t="n"/>
      <c r="D37" s="374" t="n"/>
      <c r="E37" s="374" t="n"/>
      <c r="F37" s="374" t="n"/>
      <c r="G37" s="374" t="n"/>
      <c r="H37" s="374" t="n"/>
      <c r="I37" s="374" t="n"/>
      <c r="J37" s="374" t="n"/>
      <c r="K37" s="374" t="n"/>
      <c r="L37" s="374" t="n"/>
      <c r="M37" s="374" t="n"/>
      <c r="N37" s="374" t="n"/>
      <c r="O37" s="374" t="n"/>
      <c r="P37" s="381" t="n"/>
      <c r="Q37" s="134" t="n"/>
      <c r="R37" s="269" t="n"/>
      <c r="S37" s="270" t="n"/>
      <c r="T37" s="270" t="n"/>
      <c r="U37" s="271" t="n"/>
      <c r="V37" s="271" t="n"/>
      <c r="W37" s="132" t="n"/>
    </row>
    <row r="38" customFormat="1" s="65">
      <c r="A38" s="55" t="n"/>
      <c r="B38" s="380" t="n"/>
      <c r="C38" s="374" t="n"/>
      <c r="D38" s="374" t="n"/>
      <c r="E38" s="374" t="n"/>
      <c r="F38" s="374" t="n"/>
      <c r="G38" s="374" t="n"/>
      <c r="H38" s="374" t="n"/>
      <c r="I38" s="374" t="n"/>
      <c r="J38" s="374" t="n"/>
      <c r="K38" s="374" t="n"/>
      <c r="L38" s="374" t="n"/>
      <c r="M38" s="374" t="n"/>
      <c r="N38" s="374" t="n"/>
      <c r="O38" s="374" t="n"/>
      <c r="P38" s="212" t="n"/>
      <c r="Q38" s="78" t="n"/>
      <c r="R38" s="272" t="n"/>
      <c r="S38" s="273" t="n"/>
      <c r="T38" s="273" t="n"/>
      <c r="U38" s="273" t="n"/>
      <c r="V38" s="273" t="n"/>
      <c r="W38" s="133" t="n"/>
    </row>
    <row r="39" ht="19.5" customFormat="1" customHeight="1" s="65">
      <c r="A39" s="55" t="n"/>
      <c r="B39" s="209" t="inlineStr">
        <is>
          <t>Risk assessment processes [ISA(revised) 540.13g]</t>
        </is>
      </c>
      <c r="C39" s="68" t="n"/>
      <c r="D39" s="68" t="n"/>
      <c r="E39" s="68" t="n"/>
      <c r="F39" s="68" t="n"/>
      <c r="G39" s="68" t="n"/>
      <c r="H39" s="68" t="n"/>
      <c r="I39" s="68" t="n"/>
      <c r="J39" s="68" t="n"/>
      <c r="K39" s="68" t="n"/>
      <c r="L39" s="68" t="n"/>
      <c r="M39" s="68" t="n"/>
      <c r="N39" s="68" t="n"/>
      <c r="O39" s="68" t="n"/>
      <c r="P39" s="210" t="n"/>
      <c r="Q39" s="19" t="n"/>
      <c r="R39" s="274" t="n"/>
      <c r="S39" s="275" t="n"/>
      <c r="T39" s="275" t="n"/>
      <c r="U39" s="275" t="n"/>
      <c r="V39" s="275" t="n"/>
      <c r="W39" s="64" t="n"/>
    </row>
    <row r="40" ht="15" customFormat="1" customHeight="1" s="65">
      <c r="A40" s="55" t="n"/>
      <c r="B40" s="382" t="inlineStr">
        <is>
          <t>회사는 예산 대비 실제 매출·영업이익을 모니터링함(FY2026 예산매출 115,500,000,000원 대 실제매출 119,475,596,526원, +3.44%). Franchise agreement에 따라 매출액의 3% 영업이익이 매년 발생할 것으로 예상하여 실현가능성을 평가함.</t>
        </is>
      </c>
      <c r="C40" s="374" t="n"/>
      <c r="D40" s="374" t="n"/>
      <c r="E40" s="374" t="n"/>
      <c r="F40" s="374" t="n"/>
      <c r="G40" s="374" t="n"/>
      <c r="H40" s="374" t="n"/>
      <c r="I40" s="374" t="n"/>
      <c r="J40" s="374" t="n"/>
      <c r="K40" s="374" t="n"/>
      <c r="L40" s="374" t="n"/>
      <c r="M40" s="374" t="n"/>
      <c r="N40" s="374" t="n"/>
      <c r="O40" s="374" t="n"/>
      <c r="P40" s="332" t="inlineStr">
        <is>
          <t>Link to guidance</t>
        </is>
      </c>
      <c r="Q40" s="78" t="n"/>
      <c r="R40" s="269" t="n"/>
      <c r="S40" s="270" t="n"/>
      <c r="T40" s="270" t="n"/>
      <c r="U40" s="271" t="n"/>
      <c r="V40" s="271" t="n"/>
      <c r="W40" s="132" t="n"/>
    </row>
    <row r="41" ht="15" customFormat="1" customHeight="1" s="65">
      <c r="A41" s="55" t="n"/>
      <c r="B41" s="380" t="n"/>
      <c r="C41" s="374" t="n"/>
      <c r="D41" s="374" t="n"/>
      <c r="E41" s="374" t="n"/>
      <c r="F41" s="374" t="n"/>
      <c r="G41" s="374" t="n"/>
      <c r="H41" s="374" t="n"/>
      <c r="I41" s="374" t="n"/>
      <c r="J41" s="374" t="n"/>
      <c r="K41" s="374" t="n"/>
      <c r="L41" s="374" t="n"/>
      <c r="M41" s="374" t="n"/>
      <c r="N41" s="374" t="n"/>
      <c r="O41" s="374" t="n"/>
      <c r="P41" s="381" t="n"/>
      <c r="Q41" s="78" t="n"/>
      <c r="R41" s="269" t="n"/>
      <c r="S41" s="270" t="n"/>
      <c r="T41" s="270" t="n"/>
      <c r="U41" s="271" t="n"/>
      <c r="V41" s="271" t="n"/>
      <c r="W41" s="132" t="n"/>
    </row>
    <row r="42" ht="14.45" customFormat="1" customHeight="1" s="65">
      <c r="A42" s="55" t="n"/>
      <c r="B42" s="380" t="n"/>
      <c r="C42" s="374" t="n"/>
      <c r="D42" s="374" t="n"/>
      <c r="E42" s="374" t="n"/>
      <c r="F42" s="374" t="n"/>
      <c r="G42" s="374" t="n"/>
      <c r="H42" s="374" t="n"/>
      <c r="I42" s="374" t="n"/>
      <c r="J42" s="374" t="n"/>
      <c r="K42" s="374" t="n"/>
      <c r="L42" s="374" t="n"/>
      <c r="M42" s="374" t="n"/>
      <c r="N42" s="374" t="n"/>
      <c r="O42" s="374" t="n"/>
      <c r="P42" s="381" t="n"/>
      <c r="Q42" s="78" t="n"/>
      <c r="R42" s="269" t="n"/>
      <c r="S42" s="270" t="n"/>
      <c r="T42" s="270" t="n"/>
      <c r="U42" s="271" t="n"/>
      <c r="V42" s="271" t="n"/>
      <c r="W42" s="132" t="n"/>
    </row>
    <row r="43" ht="20.25" customFormat="1" customHeight="1" s="65">
      <c r="A43" s="55" t="n"/>
      <c r="B43" s="380" t="n"/>
      <c r="C43" s="374" t="n"/>
      <c r="D43" s="374" t="n"/>
      <c r="E43" s="374" t="n"/>
      <c r="F43" s="374" t="n"/>
      <c r="G43" s="374" t="n"/>
      <c r="H43" s="374" t="n"/>
      <c r="I43" s="374" t="n"/>
      <c r="J43" s="374" t="n"/>
      <c r="K43" s="374" t="n"/>
      <c r="L43" s="374" t="n"/>
      <c r="M43" s="374" t="n"/>
      <c r="N43" s="374" t="n"/>
      <c r="O43" s="374" t="n"/>
      <c r="P43" s="212" t="n"/>
      <c r="Q43" s="78" t="n"/>
      <c r="R43" s="272" t="n"/>
      <c r="S43" s="273" t="n"/>
      <c r="T43" s="273" t="n"/>
      <c r="U43" s="273" t="n"/>
      <c r="V43" s="273" t="n"/>
      <c r="W43" s="133" t="n"/>
    </row>
    <row r="44" ht="19.5" customFormat="1" customHeight="1" s="65">
      <c r="A44" s="55" t="n"/>
      <c r="B44" s="209" t="inlineStr">
        <is>
          <t>Control activities [ISA(revised) 540.13i]</t>
        </is>
      </c>
      <c r="C44" s="68" t="n"/>
      <c r="D44" s="68" t="n"/>
      <c r="E44" s="68" t="n"/>
      <c r="F44" s="68" t="n"/>
      <c r="G44" s="68" t="n"/>
      <c r="H44" s="68" t="n"/>
      <c r="I44" s="68" t="n"/>
      <c r="J44" s="68" t="n"/>
      <c r="K44" s="68" t="n"/>
      <c r="L44" s="68" t="n"/>
      <c r="M44" s="68" t="n"/>
      <c r="N44" s="68" t="n"/>
      <c r="O44" s="68" t="n"/>
      <c r="P44" s="210" t="n"/>
      <c r="Q44" s="19" t="n"/>
      <c r="R44" s="274" t="n"/>
      <c r="S44" s="275" t="n"/>
      <c r="T44" s="275" t="n"/>
      <c r="U44" s="275" t="n"/>
      <c r="V44" s="275" t="n"/>
      <c r="W44" s="64" t="n"/>
    </row>
    <row r="45" customFormat="1" s="65">
      <c r="A45" s="55" t="n"/>
      <c r="B45" s="382" t="inlineStr">
        <is>
          <t>① 일시적차이 명세(세무조정)의 작성 및 검토, ② 미래 과세소득 추정(Business plan)의 검토·승인, ③ 이연법인세 회계처리(자산·부채 인식 및 적용세율)의 검토. (식별된 통제는 Atlas의 해당 노드에 반영 필요.)</t>
        </is>
      </c>
      <c r="C45" s="374" t="n"/>
      <c r="D45" s="374" t="n"/>
      <c r="E45" s="374" t="n"/>
      <c r="F45" s="374" t="n"/>
      <c r="G45" s="374" t="n"/>
      <c r="H45" s="374" t="n"/>
      <c r="I45" s="374" t="n"/>
      <c r="J45" s="374" t="n"/>
      <c r="K45" s="374" t="n"/>
      <c r="L45" s="374" t="n"/>
      <c r="M45" s="374" t="n"/>
      <c r="N45" s="374" t="n"/>
      <c r="O45" s="374" t="n"/>
      <c r="P45" s="332" t="inlineStr">
        <is>
          <t>Link to guidance</t>
        </is>
      </c>
      <c r="Q45" s="78" t="n"/>
      <c r="R45" s="354" t="inlineStr">
        <is>
          <t xml:space="preserve">Please ensure that the controls identified here are copied into Atlas on the node 'Identify controls that address WCGW's and relate them to the WCGW's' </t>
        </is>
      </c>
      <c r="W45" s="132" t="n"/>
    </row>
    <row r="46" customFormat="1" s="65">
      <c r="A46" s="55" t="n"/>
      <c r="B46" s="380" t="n"/>
      <c r="C46" s="374" t="n"/>
      <c r="D46" s="374" t="n"/>
      <c r="E46" s="374" t="n"/>
      <c r="F46" s="374" t="n"/>
      <c r="G46" s="374" t="n"/>
      <c r="H46" s="374" t="n"/>
      <c r="I46" s="374" t="n"/>
      <c r="J46" s="374" t="n"/>
      <c r="K46" s="374" t="n"/>
      <c r="L46" s="374" t="n"/>
      <c r="M46" s="374" t="n"/>
      <c r="N46" s="374" t="n"/>
      <c r="O46" s="374" t="n"/>
      <c r="P46" s="381" t="n"/>
      <c r="Q46" s="78" t="n"/>
      <c r="W46" s="132" t="n"/>
    </row>
    <row r="47" customFormat="1" s="65">
      <c r="B47" s="380" t="n"/>
      <c r="C47" s="374" t="n"/>
      <c r="D47" s="374" t="n"/>
      <c r="E47" s="374" t="n"/>
      <c r="F47" s="374" t="n"/>
      <c r="G47" s="374" t="n"/>
      <c r="H47" s="374" t="n"/>
      <c r="I47" s="374" t="n"/>
      <c r="J47" s="374" t="n"/>
      <c r="K47" s="374" t="n"/>
      <c r="L47" s="374" t="n"/>
      <c r="M47" s="374" t="n"/>
      <c r="N47" s="374" t="n"/>
      <c r="O47" s="374" t="n"/>
      <c r="P47" s="304" t="n"/>
      <c r="Q47" s="78" t="n"/>
      <c r="W47" s="133" t="n"/>
    </row>
    <row r="48" ht="15" customFormat="1" customHeight="1" s="65">
      <c r="A48" s="55" t="n"/>
      <c r="B48" s="209" t="inlineStr">
        <is>
          <t>Entity's information system [ISA(revised) 540.13h]</t>
        </is>
      </c>
      <c r="C48" s="214" t="n"/>
      <c r="D48" s="214" t="n"/>
      <c r="E48" s="214" t="n"/>
      <c r="F48" s="214" t="n"/>
      <c r="G48" s="214" t="n"/>
      <c r="H48" s="214" t="n"/>
      <c r="I48" s="214" t="n"/>
      <c r="J48" s="214" t="n"/>
      <c r="K48" s="214" t="n"/>
      <c r="L48" s="214" t="n"/>
      <c r="M48" s="214" t="n"/>
      <c r="N48" s="214" t="n"/>
      <c r="O48" s="214" t="n"/>
      <c r="P48" s="215" t="n"/>
      <c r="Q48" s="134" t="n"/>
      <c r="R48" s="274" t="n"/>
      <c r="S48" s="275" t="n"/>
      <c r="T48" s="275" t="n"/>
      <c r="U48" s="275" t="n"/>
      <c r="V48" s="275" t="n"/>
      <c r="W48" s="136" t="n"/>
    </row>
    <row r="49" customFormat="1" s="65">
      <c r="A49" s="55" t="n"/>
      <c r="B49" s="317" t="inlineStr">
        <is>
          <t>How information relating to accounting estimates and related disclosures for significant classes of transactions, account balances or disclosures flows through the entity's information system [ISA 540.13h (i)]</t>
        </is>
      </c>
      <c r="P49" s="216" t="n"/>
      <c r="Q49" s="137" t="n"/>
      <c r="R49" s="274" t="n"/>
      <c r="S49" s="275" t="n"/>
      <c r="T49" s="275" t="n"/>
      <c r="U49" s="275" t="n"/>
      <c r="V49" s="275" t="n"/>
      <c r="W49" s="135" t="n"/>
    </row>
    <row r="50" customFormat="1" s="65">
      <c r="A50" s="55" t="n"/>
      <c r="B50" s="386" t="n"/>
      <c r="P50" s="216" t="n"/>
      <c r="Q50" s="137" t="n"/>
      <c r="R50" s="274" t="n"/>
      <c r="S50" s="275" t="n"/>
      <c r="T50" s="275" t="n"/>
      <c r="U50" s="275" t="n"/>
      <c r="V50" s="275" t="n"/>
      <c r="W50" s="135" t="n"/>
    </row>
    <row r="51" customFormat="1" s="55">
      <c r="B51" s="382" t="inlineStr">
        <is>
          <t>세무조정 및 일시적차이 명세를 통해 항목별 기초·증감·기말 일시적차이를 집계하고, 추인예상기간(1년 이내/초과)에 따라 유동·비유동으로 구분하여 적용세율을 곱해 이연법인세자산·부채를 산출함.</t>
        </is>
      </c>
      <c r="C51" s="374" t="n"/>
      <c r="D51" s="374" t="n"/>
      <c r="E51" s="374" t="n"/>
      <c r="F51" s="374" t="n"/>
      <c r="G51" s="374" t="n"/>
      <c r="H51" s="374" t="n"/>
      <c r="I51" s="374" t="n"/>
      <c r="J51" s="374" t="n"/>
      <c r="K51" s="374" t="n"/>
      <c r="L51" s="374" t="n"/>
      <c r="M51" s="374" t="n"/>
      <c r="N51" s="374" t="n"/>
      <c r="O51" s="374" t="n"/>
      <c r="P51" s="332" t="inlineStr">
        <is>
          <t>Link to guidance</t>
        </is>
      </c>
      <c r="Q51" s="138" t="n"/>
      <c r="R51" s="269" t="n"/>
      <c r="S51" s="270" t="n"/>
      <c r="T51" s="270" t="n"/>
      <c r="U51" s="271" t="n"/>
      <c r="V51" s="271" t="n"/>
      <c r="W51" s="56" t="n"/>
      <c r="X51" s="54" t="n"/>
      <c r="Y51" s="54" t="n"/>
      <c r="Z51" s="54" t="n"/>
      <c r="AA51" s="54" t="n"/>
    </row>
    <row r="52" ht="15" customFormat="1" customHeight="1" s="55">
      <c r="B52" s="380" t="n"/>
      <c r="C52" s="374" t="n"/>
      <c r="D52" s="374" t="n"/>
      <c r="E52" s="374" t="n"/>
      <c r="F52" s="374" t="n"/>
      <c r="G52" s="374" t="n"/>
      <c r="H52" s="374" t="n"/>
      <c r="I52" s="374" t="n"/>
      <c r="J52" s="374" t="n"/>
      <c r="K52" s="374" t="n"/>
      <c r="L52" s="374" t="n"/>
      <c r="M52" s="374" t="n"/>
      <c r="N52" s="374" t="n"/>
      <c r="O52" s="374" t="n"/>
      <c r="P52" s="381" t="n"/>
      <c r="Q52" s="138" t="n"/>
      <c r="R52" s="269" t="n"/>
      <c r="S52" s="270" t="n"/>
      <c r="T52" s="270" t="n"/>
      <c r="U52" s="271" t="n"/>
      <c r="V52" s="271" t="n"/>
      <c r="W52" s="56" t="n"/>
      <c r="X52" s="54" t="n"/>
      <c r="Y52" s="54" t="n"/>
      <c r="Z52" s="54" t="n"/>
      <c r="AA52" s="54" t="n"/>
    </row>
    <row r="53" ht="15.75" customFormat="1" customHeight="1" s="55">
      <c r="B53" s="380" t="n"/>
      <c r="C53" s="374" t="n"/>
      <c r="D53" s="374" t="n"/>
      <c r="E53" s="374" t="n"/>
      <c r="F53" s="374" t="n"/>
      <c r="G53" s="374" t="n"/>
      <c r="H53" s="374" t="n"/>
      <c r="I53" s="374" t="n"/>
      <c r="J53" s="374" t="n"/>
      <c r="K53" s="374" t="n"/>
      <c r="L53" s="374" t="n"/>
      <c r="M53" s="374" t="n"/>
      <c r="N53" s="374" t="n"/>
      <c r="O53" s="374" t="n"/>
      <c r="P53" s="217" t="n"/>
      <c r="Q53" s="138" t="n"/>
      <c r="R53" s="276" t="n"/>
      <c r="S53" s="277" t="n"/>
      <c r="T53" s="277" t="n"/>
      <c r="U53" s="277" t="n"/>
      <c r="V53" s="277" t="n"/>
      <c r="W53" s="58" t="n"/>
      <c r="X53" s="54" t="n"/>
      <c r="Y53" s="54" t="n"/>
      <c r="Z53" s="54" t="n"/>
      <c r="AA53" s="54" t="n"/>
    </row>
    <row r="54" ht="19.5" customFormat="1" customHeight="1" s="55">
      <c r="B54" s="209" t="inlineStr">
        <is>
          <t>Method used in making the accounting estimate, including models used [ISA 540.13h(ii) a(i)]</t>
        </is>
      </c>
      <c r="C54" s="68" t="n"/>
      <c r="D54" s="68" t="n"/>
      <c r="E54" s="68" t="n"/>
      <c r="F54" s="68" t="n"/>
      <c r="G54" s="68" t="n"/>
      <c r="H54" s="68" t="n"/>
      <c r="I54" s="68" t="n"/>
      <c r="J54" s="68" t="n"/>
      <c r="K54" s="68" t="n"/>
      <c r="L54" s="68" t="n"/>
      <c r="M54" s="68" t="n"/>
      <c r="N54" s="68" t="n"/>
      <c r="O54" s="68" t="n"/>
      <c r="P54" s="193" t="n"/>
      <c r="Q54" s="19" t="n"/>
      <c r="R54" s="267" t="n"/>
      <c r="S54" s="268" t="n"/>
      <c r="T54" s="268" t="n"/>
      <c r="U54" s="268" t="n"/>
      <c r="V54" s="268" t="n"/>
      <c r="W54" s="53" t="n"/>
      <c r="X54" s="54" t="n"/>
      <c r="Y54" s="54" t="n"/>
      <c r="Z54" s="54" t="n"/>
      <c r="AA54" s="54" t="n"/>
    </row>
    <row r="55" customFormat="1" s="55">
      <c r="B55" s="382" t="inlineStr">
        <is>
          <t>[방법] 항목별 차감할(가산할) 일시적차이 및 이월결손금에 추인예상시점의 추정 적용세율을 곱하여 이연법인세자산·부채를 산정하고, 실현가능성이 높은 범위 내에서 자산을 인식함. 추정 적용세율: 당기 평균세율 약 20.25%, 차기 추정 적용세율 약 21.43%.</t>
        </is>
      </c>
      <c r="C55" s="374" t="n"/>
      <c r="D55" s="374" t="n"/>
      <c r="E55" s="374" t="n"/>
      <c r="F55" s="374" t="n"/>
      <c r="G55" s="374" t="n"/>
      <c r="H55" s="374" t="n"/>
      <c r="I55" s="374" t="n"/>
      <c r="J55" s="374" t="n"/>
      <c r="K55" s="374" t="n"/>
      <c r="L55" s="374" t="n"/>
      <c r="M55" s="374" t="n"/>
      <c r="N55" s="374" t="n"/>
      <c r="O55" s="374" t="n"/>
      <c r="P55" s="332" t="inlineStr">
        <is>
          <t>Link to guidance</t>
        </is>
      </c>
      <c r="Q55" s="139" t="n"/>
      <c r="R55" s="269" t="n"/>
      <c r="S55" s="270" t="n"/>
      <c r="T55" s="270" t="n"/>
      <c r="U55" s="271" t="n"/>
      <c r="V55" s="271" t="n"/>
      <c r="W55" s="56" t="n"/>
      <c r="X55" s="54" t="n"/>
      <c r="Y55" s="54" t="n"/>
      <c r="Z55" s="54" t="n"/>
      <c r="AA55" s="54" t="n"/>
    </row>
    <row r="56" customFormat="1" s="55">
      <c r="B56" s="380" t="n"/>
      <c r="C56" s="374" t="n"/>
      <c r="D56" s="374" t="n"/>
      <c r="E56" s="374" t="n"/>
      <c r="F56" s="374" t="n"/>
      <c r="G56" s="374" t="n"/>
      <c r="H56" s="374" t="n"/>
      <c r="I56" s="374" t="n"/>
      <c r="J56" s="374" t="n"/>
      <c r="K56" s="374" t="n"/>
      <c r="L56" s="374" t="n"/>
      <c r="M56" s="374" t="n"/>
      <c r="N56" s="374" t="n"/>
      <c r="O56" s="374" t="n"/>
      <c r="P56" s="381" t="n"/>
      <c r="Q56" s="139" t="n"/>
      <c r="R56" s="269" t="n"/>
      <c r="S56" s="270" t="n"/>
      <c r="T56" s="270" t="n"/>
      <c r="U56" s="271" t="n"/>
      <c r="V56" s="271" t="n"/>
      <c r="W56" s="56" t="n"/>
      <c r="X56" s="54" t="n"/>
      <c r="Y56" s="54" t="n"/>
      <c r="Z56" s="54" t="n"/>
      <c r="AA56" s="54" t="n"/>
    </row>
    <row r="57" customFormat="1" s="55">
      <c r="B57" s="380" t="n"/>
      <c r="C57" s="374" t="n"/>
      <c r="D57" s="374" t="n"/>
      <c r="E57" s="374" t="n"/>
      <c r="F57" s="374" t="n"/>
      <c r="G57" s="374" t="n"/>
      <c r="H57" s="374" t="n"/>
      <c r="I57" s="374" t="n"/>
      <c r="J57" s="374" t="n"/>
      <c r="K57" s="374" t="n"/>
      <c r="L57" s="374" t="n"/>
      <c r="M57" s="374" t="n"/>
      <c r="N57" s="374" t="n"/>
      <c r="O57" s="374" t="n"/>
      <c r="P57" s="218" t="n"/>
      <c r="Q57" s="139" t="n"/>
      <c r="R57" s="278" t="n"/>
      <c r="S57" s="279" t="n"/>
      <c r="T57" s="279" t="n"/>
      <c r="U57" s="279" t="n"/>
      <c r="V57" s="279" t="n"/>
      <c r="W57" s="59" t="n"/>
      <c r="X57" s="54" t="n"/>
      <c r="Y57" s="54" t="n"/>
      <c r="Z57" s="54" t="n"/>
      <c r="AA57" s="54" t="n"/>
    </row>
    <row r="58" ht="19.5" customFormat="1" customHeight="1" s="55">
      <c r="B58" s="209" t="inlineStr">
        <is>
          <t>Assumptions used in making the accounting estimate [ISA 540.13h (ii) a(ii)]</t>
        </is>
      </c>
      <c r="C58" s="68" t="n"/>
      <c r="D58" s="68" t="n"/>
      <c r="E58" s="68" t="n"/>
      <c r="F58" s="68" t="n"/>
      <c r="G58" s="68" t="n"/>
      <c r="H58" s="68" t="n"/>
      <c r="I58" s="68" t="n"/>
      <c r="J58" s="68" t="n"/>
      <c r="K58" s="68" t="n"/>
      <c r="L58" s="68" t="n"/>
      <c r="M58" s="68" t="n"/>
      <c r="N58" s="68" t="n"/>
      <c r="O58" s="68" t="n"/>
      <c r="P58" s="210" t="n"/>
      <c r="Q58" s="19" t="n"/>
      <c r="R58" s="267" t="n"/>
      <c r="S58" s="268" t="n"/>
      <c r="T58" s="268" t="n"/>
      <c r="U58" s="268" t="n"/>
      <c r="V58" s="268" t="n"/>
      <c r="W58" s="53" t="n"/>
      <c r="X58" s="54" t="n"/>
      <c r="Y58" s="54" t="n"/>
      <c r="Z58" s="54" t="n"/>
      <c r="AA58" s="54" t="n"/>
    </row>
    <row r="59" customFormat="1" s="55">
      <c r="B59" s="382" t="inlineStr">
        <is>
          <t>주요 가정은 ① 미래 과세소득의 발생(FY2027 예상매출 129,000,000,001원, 예상영업이익 3,870,000,000원), ② 추정 적용세율, ③ 일시적차이의 추인예상시점임. 본사와의 Franchise agreement(매출액의 3% 영업이익 보장구조) 및 매출 증가추세를 근거로 미래 과세소득 실현가능성이 높다고 가정함.</t>
        </is>
      </c>
      <c r="C59" s="374" t="n"/>
      <c r="D59" s="374" t="n"/>
      <c r="E59" s="374" t="n"/>
      <c r="F59" s="374" t="n"/>
      <c r="G59" s="374" t="n"/>
      <c r="H59" s="374" t="n"/>
      <c r="I59" s="374" t="n"/>
      <c r="J59" s="374" t="n"/>
      <c r="K59" s="374" t="n"/>
      <c r="L59" s="374" t="n"/>
      <c r="M59" s="374" t="n"/>
      <c r="N59" s="374" t="n"/>
      <c r="O59" s="374" t="n"/>
      <c r="P59" s="332" t="inlineStr">
        <is>
          <t>Link to guidance</t>
        </is>
      </c>
      <c r="Q59" s="78" t="n"/>
      <c r="R59" s="269" t="n"/>
      <c r="S59" s="270" t="n"/>
      <c r="T59" s="270" t="n"/>
      <c r="U59" s="271" t="n"/>
      <c r="V59" s="271" t="n"/>
      <c r="W59" s="56" t="n"/>
      <c r="X59" s="54" t="n"/>
      <c r="Y59" s="54" t="n"/>
      <c r="Z59" s="54" t="n"/>
      <c r="AA59" s="54" t="n"/>
    </row>
    <row r="60" customFormat="1" s="55">
      <c r="B60" s="380" t="n"/>
      <c r="C60" s="374" t="n"/>
      <c r="D60" s="374" t="n"/>
      <c r="E60" s="374" t="n"/>
      <c r="F60" s="374" t="n"/>
      <c r="G60" s="374" t="n"/>
      <c r="H60" s="374" t="n"/>
      <c r="I60" s="374" t="n"/>
      <c r="J60" s="374" t="n"/>
      <c r="K60" s="374" t="n"/>
      <c r="L60" s="374" t="n"/>
      <c r="M60" s="374" t="n"/>
      <c r="N60" s="374" t="n"/>
      <c r="O60" s="374" t="n"/>
      <c r="P60" s="381" t="n"/>
      <c r="Q60" s="78" t="n"/>
      <c r="R60" s="269" t="n"/>
      <c r="S60" s="270" t="n"/>
      <c r="T60" s="270" t="n"/>
      <c r="U60" s="271" t="n"/>
      <c r="V60" s="271" t="n"/>
      <c r="W60" s="56" t="n"/>
      <c r="X60" s="54" t="n"/>
      <c r="Y60" s="54" t="n"/>
      <c r="Z60" s="54" t="n"/>
      <c r="AA60" s="54" t="n"/>
    </row>
    <row r="61" customFormat="1" s="55">
      <c r="B61" s="380" t="n"/>
      <c r="C61" s="374" t="n"/>
      <c r="D61" s="374" t="n"/>
      <c r="E61" s="374" t="n"/>
      <c r="F61" s="374" t="n"/>
      <c r="G61" s="374" t="n"/>
      <c r="H61" s="374" t="n"/>
      <c r="I61" s="374" t="n"/>
      <c r="J61" s="374" t="n"/>
      <c r="K61" s="374" t="n"/>
      <c r="L61" s="374" t="n"/>
      <c r="M61" s="374" t="n"/>
      <c r="N61" s="374" t="n"/>
      <c r="O61" s="374" t="n"/>
      <c r="P61" s="212" t="n"/>
      <c r="Q61" s="78" t="n"/>
      <c r="R61" s="272" t="n"/>
      <c r="S61" s="273" t="n"/>
      <c r="T61" s="273" t="n"/>
      <c r="U61" s="273" t="n"/>
      <c r="V61" s="273" t="n"/>
      <c r="W61" s="57" t="n"/>
      <c r="X61" s="54" t="n"/>
      <c r="Y61" s="54" t="n"/>
      <c r="Z61" s="54" t="n"/>
      <c r="AA61" s="54" t="n"/>
    </row>
    <row r="62" ht="19.5" customFormat="1" customHeight="1" s="55">
      <c r="A62" s="65" t="n"/>
      <c r="B62" s="209" t="inlineStr">
        <is>
          <t>Data used in making the accounting estimate [ISA 540.13h (ii) a(iii)]</t>
        </is>
      </c>
      <c r="C62" s="68" t="n"/>
      <c r="D62" s="68" t="n"/>
      <c r="E62" s="68" t="n"/>
      <c r="F62" s="68" t="n"/>
      <c r="G62" s="68" t="n"/>
      <c r="H62" s="68" t="n"/>
      <c r="I62" s="68" t="n"/>
      <c r="J62" s="68" t="n"/>
      <c r="K62" s="68" t="n"/>
      <c r="L62" s="68" t="n"/>
      <c r="M62" s="68" t="n"/>
      <c r="N62" s="68" t="n"/>
      <c r="O62" s="68" t="n"/>
      <c r="P62" s="210" t="n"/>
      <c r="Q62" s="19" t="n"/>
      <c r="R62" s="267" t="n"/>
      <c r="S62" s="268" t="n"/>
      <c r="T62" s="268" t="n"/>
      <c r="U62" s="268" t="n"/>
      <c r="V62" s="268" t="n"/>
      <c r="W62" s="53" t="n"/>
      <c r="X62" s="54" t="n"/>
      <c r="Y62" s="54" t="n"/>
      <c r="Z62" s="54" t="n"/>
      <c r="AA62" s="54" t="n"/>
    </row>
    <row r="63" customFormat="1" s="55">
      <c r="A63" s="65" t="n"/>
      <c r="B63" s="382" t="inlineStr">
        <is>
          <t>사용 데이터는 세무조정 명세, 항목별 일시적차이 내역, Business plan(예상 매출·영업이익) 및 Franchise agreement임. 회사제시 BS/PL(당기법인세자산 145,500,380원, 이연법인세자산 598,313,625원, 법인세비용 763,796,274원)과 명세가 일치함을 확인함.</t>
        </is>
      </c>
      <c r="C63" s="374" t="n"/>
      <c r="D63" s="374" t="n"/>
      <c r="E63" s="374" t="n"/>
      <c r="F63" s="374" t="n"/>
      <c r="G63" s="374" t="n"/>
      <c r="H63" s="374" t="n"/>
      <c r="I63" s="374" t="n"/>
      <c r="J63" s="374" t="n"/>
      <c r="K63" s="374" t="n"/>
      <c r="L63" s="374" t="n"/>
      <c r="M63" s="374" t="n"/>
      <c r="N63" s="374" t="n"/>
      <c r="O63" s="374" t="n"/>
      <c r="P63" s="332" t="inlineStr">
        <is>
          <t>Link to guidance</t>
        </is>
      </c>
      <c r="Q63" s="78" t="n"/>
      <c r="R63" s="269" t="n"/>
      <c r="S63" s="270" t="n"/>
      <c r="T63" s="270" t="n"/>
      <c r="U63" s="271" t="n"/>
      <c r="V63" s="271" t="n"/>
      <c r="W63" s="56" t="n"/>
      <c r="X63" s="54" t="n"/>
      <c r="Y63" s="54" t="n"/>
      <c r="Z63" s="54" t="n"/>
      <c r="AA63" s="54" t="n"/>
    </row>
    <row r="64" ht="15" customFormat="1" customHeight="1" s="55">
      <c r="A64" s="65" t="n"/>
      <c r="B64" s="380" t="n"/>
      <c r="C64" s="374" t="n"/>
      <c r="D64" s="374" t="n"/>
      <c r="E64" s="374" t="n"/>
      <c r="F64" s="374" t="n"/>
      <c r="G64" s="374" t="n"/>
      <c r="H64" s="374" t="n"/>
      <c r="I64" s="374" t="n"/>
      <c r="J64" s="374" t="n"/>
      <c r="K64" s="374" t="n"/>
      <c r="L64" s="374" t="n"/>
      <c r="M64" s="374" t="n"/>
      <c r="N64" s="374" t="n"/>
      <c r="O64" s="374" t="n"/>
      <c r="P64" s="381" t="n"/>
      <c r="Q64" s="78" t="n"/>
      <c r="R64" s="269" t="n"/>
      <c r="S64" s="270" t="n"/>
      <c r="T64" s="270" t="n"/>
      <c r="U64" s="271" t="n"/>
      <c r="V64" s="271" t="n"/>
      <c r="W64" s="56" t="n"/>
      <c r="X64" s="54" t="n"/>
      <c r="Y64" s="54" t="n"/>
      <c r="Z64" s="54" t="n"/>
      <c r="AA64" s="54" t="n"/>
    </row>
    <row r="65" customFormat="1" s="55">
      <c r="A65" s="65" t="n"/>
      <c r="B65" s="380" t="n"/>
      <c r="C65" s="374" t="n"/>
      <c r="D65" s="374" t="n"/>
      <c r="E65" s="374" t="n"/>
      <c r="F65" s="374" t="n"/>
      <c r="G65" s="374" t="n"/>
      <c r="H65" s="374" t="n"/>
      <c r="I65" s="374" t="n"/>
      <c r="J65" s="374" t="n"/>
      <c r="K65" s="374" t="n"/>
      <c r="L65" s="374" t="n"/>
      <c r="M65" s="374" t="n"/>
      <c r="N65" s="374" t="n"/>
      <c r="O65" s="374" t="n"/>
      <c r="P65" s="212" t="n"/>
      <c r="Q65" s="78" t="n"/>
      <c r="R65" s="272" t="n"/>
      <c r="S65" s="273" t="n"/>
      <c r="T65" s="273" t="n"/>
      <c r="U65" s="273" t="n"/>
      <c r="V65" s="273" t="n"/>
      <c r="W65" s="57" t="n"/>
      <c r="X65" s="54" t="n"/>
      <c r="Y65" s="54" t="n"/>
      <c r="Z65" s="54" t="n"/>
      <c r="AA65" s="54" t="n"/>
    </row>
    <row r="66" ht="19.5" customFormat="1" customHeight="1" s="55">
      <c r="A66" s="65" t="n"/>
      <c r="B66" s="209" t="inlineStr">
        <is>
          <t>Management's assessment of estimation uncertainty [ISA (revised) 540.13h b and c]</t>
        </is>
      </c>
      <c r="C66" s="68" t="n"/>
      <c r="D66" s="68" t="n"/>
      <c r="E66" s="68" t="n"/>
      <c r="F66" s="68" t="n"/>
      <c r="G66" s="68" t="n"/>
      <c r="H66" s="68" t="n"/>
      <c r="I66" s="68" t="n"/>
      <c r="J66" s="68" t="n"/>
      <c r="K66" s="68" t="n"/>
      <c r="L66" s="68" t="n"/>
      <c r="M66" s="68" t="n"/>
      <c r="N66" s="68" t="n"/>
      <c r="O66" s="68" t="n"/>
      <c r="P66" s="210" t="n"/>
      <c r="Q66" s="19" t="n"/>
      <c r="R66" s="280" t="n"/>
      <c r="S66" s="281" t="n"/>
      <c r="T66" s="281" t="n"/>
      <c r="U66" s="281" t="n"/>
      <c r="V66" s="281" t="n"/>
      <c r="W66" s="53" t="n"/>
      <c r="X66" s="54" t="n"/>
      <c r="Y66" s="54" t="n"/>
      <c r="Z66" s="54" t="n"/>
      <c r="AA66" s="54" t="n"/>
    </row>
    <row r="67" customFormat="1" s="55">
      <c r="A67" s="65" t="n"/>
      <c r="B67" s="382" t="inlineStr">
        <is>
          <t>회사는 매출액의 3% 영업이익이 매년 발생하고 매출이 증가추세에 있어 이연법인세자산의 실현가능성이 높다고 평가하고 이연법인세자산 관련 수정사항을 제시함. FY2025의 경우 예산매출 대비 실제매출이 크게 나타나는 등 과세소득이 증가하고 있는 상황임.</t>
        </is>
      </c>
      <c r="C67" s="374" t="n"/>
      <c r="D67" s="374" t="n"/>
      <c r="E67" s="374" t="n"/>
      <c r="F67" s="374" t="n"/>
      <c r="G67" s="374" t="n"/>
      <c r="H67" s="374" t="n"/>
      <c r="I67" s="374" t="n"/>
      <c r="J67" s="374" t="n"/>
      <c r="K67" s="374" t="n"/>
      <c r="L67" s="374" t="n"/>
      <c r="M67" s="374" t="n"/>
      <c r="N67" s="374" t="n"/>
      <c r="O67" s="374" t="n"/>
      <c r="P67" s="332" t="inlineStr">
        <is>
          <t>Link to guidance</t>
        </is>
      </c>
      <c r="Q67" s="140" t="n"/>
      <c r="R67" s="269" t="n"/>
      <c r="S67" s="270" t="n"/>
      <c r="T67" s="270" t="n"/>
      <c r="U67" s="271" t="n"/>
      <c r="V67" s="271" t="n"/>
      <c r="W67" s="56" t="n"/>
      <c r="X67" s="54" t="n"/>
      <c r="Y67" s="54" t="n"/>
      <c r="Z67" s="54" t="n"/>
      <c r="AA67" s="54" t="n"/>
    </row>
    <row r="68" customFormat="1" s="55">
      <c r="A68" s="65" t="n"/>
      <c r="B68" s="380" t="n"/>
      <c r="C68" s="374" t="n"/>
      <c r="D68" s="374" t="n"/>
      <c r="E68" s="374" t="n"/>
      <c r="F68" s="374" t="n"/>
      <c r="G68" s="374" t="n"/>
      <c r="H68" s="374" t="n"/>
      <c r="I68" s="374" t="n"/>
      <c r="J68" s="374" t="n"/>
      <c r="K68" s="374" t="n"/>
      <c r="L68" s="374" t="n"/>
      <c r="M68" s="374" t="n"/>
      <c r="N68" s="374" t="n"/>
      <c r="O68" s="374" t="n"/>
      <c r="P68" s="381" t="n"/>
      <c r="Q68" s="140" t="n"/>
      <c r="R68" s="269" t="n"/>
      <c r="S68" s="270" t="n"/>
      <c r="T68" s="270" t="n"/>
      <c r="U68" s="271" t="n"/>
      <c r="V68" s="271" t="n"/>
      <c r="W68" s="56" t="n"/>
      <c r="X68" s="54" t="n"/>
      <c r="Y68" s="54" t="n"/>
      <c r="Z68" s="54" t="n"/>
      <c r="AA68" s="54" t="n"/>
    </row>
    <row r="69" customFormat="1" s="55">
      <c r="A69" s="65" t="n"/>
      <c r="B69" s="380" t="n"/>
      <c r="C69" s="374" t="n"/>
      <c r="D69" s="374" t="n"/>
      <c r="E69" s="374" t="n"/>
      <c r="F69" s="374" t="n"/>
      <c r="G69" s="374" t="n"/>
      <c r="H69" s="374" t="n"/>
      <c r="I69" s="374" t="n"/>
      <c r="J69" s="374" t="n"/>
      <c r="K69" s="374" t="n"/>
      <c r="L69" s="374" t="n"/>
      <c r="M69" s="374" t="n"/>
      <c r="N69" s="374" t="n"/>
      <c r="O69" s="374" t="n"/>
      <c r="P69" s="212" t="n"/>
      <c r="Q69" s="78" t="n"/>
      <c r="R69" s="272" t="n"/>
      <c r="S69" s="273" t="n"/>
      <c r="T69" s="273" t="n"/>
      <c r="U69" s="273" t="n"/>
      <c r="V69" s="273" t="n"/>
      <c r="W69" s="57" t="n"/>
      <c r="X69" s="54" t="n"/>
      <c r="Y69" s="54" t="n"/>
      <c r="Z69" s="54" t="n"/>
      <c r="AA69" s="54" t="n"/>
    </row>
    <row r="70" ht="19.5" customFormat="1" customHeight="1" s="55">
      <c r="A70" s="65" t="n"/>
      <c r="B70" s="209" t="inlineStr">
        <is>
          <t>Outcome or subsequent re-estimation in the current year of previous accounting estimates [ISA(revised) 540.13j and ISA (revised) 540.14]</t>
        </is>
      </c>
      <c r="C70" s="68" t="n"/>
      <c r="D70" s="68" t="n"/>
      <c r="E70" s="68" t="n"/>
      <c r="F70" s="68" t="n"/>
      <c r="G70" s="68" t="n"/>
      <c r="H70" s="68" t="n"/>
      <c r="I70" s="68" t="n"/>
      <c r="J70" s="68" t="n"/>
      <c r="K70" s="68" t="n"/>
      <c r="L70" s="68" t="n"/>
      <c r="M70" s="68" t="n"/>
      <c r="N70" s="68" t="n"/>
      <c r="O70" s="68" t="n"/>
      <c r="P70" s="210" t="n"/>
      <c r="Q70" s="19" t="n"/>
      <c r="R70" s="274" t="n"/>
      <c r="S70" s="275" t="n"/>
      <c r="T70" s="275" t="n"/>
      <c r="U70" s="275" t="n"/>
      <c r="V70" s="275" t="n"/>
      <c r="W70" s="53" t="n"/>
      <c r="X70" s="54" t="n"/>
      <c r="Y70" s="54" t="n"/>
      <c r="Z70" s="54" t="n"/>
      <c r="AA70" s="54" t="n"/>
    </row>
    <row r="71" customFormat="1" s="55">
      <c r="A71" s="65" t="n"/>
      <c r="B71" s="382" t="inlineStr">
        <is>
          <t>전기 인식한 이연법인세자산 관련 일시적차이의 당기 추인·변동을 검토함. 예산 대비 실제 매출·과세소득 달성 여부를 확인한 결과 미래 과세소득 예측이 합리적임을 확인함. 회사가 이연법인세자산을 추가 인식하는 수정사항을 제시(CAJE/RJE)하였으며, 명백한 경영진 편의의 징후는 없음.</t>
        </is>
      </c>
      <c r="C71" s="374" t="n"/>
      <c r="D71" s="374" t="n"/>
      <c r="E71" s="374" t="n"/>
      <c r="F71" s="374" t="n"/>
      <c r="G71" s="374" t="n"/>
      <c r="H71" s="374" t="n"/>
      <c r="I71" s="374" t="n"/>
      <c r="J71" s="374" t="n"/>
      <c r="K71" s="374" t="n"/>
      <c r="L71" s="374" t="n"/>
      <c r="M71" s="374" t="n"/>
      <c r="N71" s="374" t="n"/>
      <c r="O71" s="374" t="n"/>
      <c r="P71" s="332" t="inlineStr">
        <is>
          <t>Link to guidance</t>
        </is>
      </c>
      <c r="Q71" s="78" t="n"/>
      <c r="R71" s="269" t="n"/>
      <c r="S71" s="270" t="n"/>
      <c r="T71" s="270" t="n"/>
      <c r="U71" s="271" t="n"/>
      <c r="V71" s="271" t="n"/>
      <c r="W71" s="56" t="n"/>
      <c r="X71" s="54" t="n"/>
      <c r="Y71" s="54" t="n"/>
      <c r="Z71" s="54" t="n"/>
      <c r="AA71" s="54" t="n"/>
    </row>
    <row r="72" customFormat="1" s="55">
      <c r="A72" s="65" t="n"/>
      <c r="B72" s="380" t="n"/>
      <c r="C72" s="374" t="n"/>
      <c r="D72" s="374" t="n"/>
      <c r="E72" s="374" t="n"/>
      <c r="F72" s="374" t="n"/>
      <c r="G72" s="374" t="n"/>
      <c r="H72" s="374" t="n"/>
      <c r="I72" s="374" t="n"/>
      <c r="J72" s="374" t="n"/>
      <c r="K72" s="374" t="n"/>
      <c r="L72" s="374" t="n"/>
      <c r="M72" s="374" t="n"/>
      <c r="N72" s="374" t="n"/>
      <c r="O72" s="374" t="n"/>
      <c r="P72" s="381" t="n"/>
      <c r="Q72" s="141" t="n"/>
      <c r="R72" s="269" t="n"/>
      <c r="S72" s="270" t="n"/>
      <c r="T72" s="270" t="n"/>
      <c r="U72" s="271" t="n"/>
      <c r="V72" s="271" t="n"/>
      <c r="W72" s="56" t="n"/>
      <c r="X72" s="54" t="n"/>
      <c r="Y72" s="54" t="n"/>
      <c r="Z72" s="54" t="n"/>
      <c r="AA72" s="54" t="n"/>
    </row>
    <row r="73" customFormat="1" s="55">
      <c r="A73" s="65" t="n"/>
      <c r="B73" s="380" t="n"/>
      <c r="C73" s="374" t="n"/>
      <c r="D73" s="374" t="n"/>
      <c r="E73" s="374" t="n"/>
      <c r="F73" s="374" t="n"/>
      <c r="G73" s="374" t="n"/>
      <c r="H73" s="374" t="n"/>
      <c r="I73" s="374" t="n"/>
      <c r="J73" s="374" t="n"/>
      <c r="K73" s="374" t="n"/>
      <c r="L73" s="374" t="n"/>
      <c r="M73" s="374" t="n"/>
      <c r="N73" s="374" t="n"/>
      <c r="O73" s="374" t="n"/>
      <c r="P73" s="218" t="n"/>
      <c r="Q73" s="141" t="n"/>
      <c r="R73" s="278" t="n"/>
      <c r="S73" s="278" t="n"/>
      <c r="T73" s="278" t="n"/>
      <c r="U73" s="278" t="n"/>
      <c r="V73" s="278" t="n"/>
      <c r="W73" s="60" t="n"/>
      <c r="X73" s="54" t="n"/>
      <c r="Y73" s="54" t="n"/>
      <c r="Z73" s="54" t="n"/>
      <c r="AA73" s="54" t="n"/>
    </row>
    <row r="74" ht="19.5" customFormat="1" customHeight="1" s="55">
      <c r="A74" s="65" t="n"/>
      <c r="B74" s="209" t="inlineStr">
        <is>
          <t>Identifying a need for management's expert [ISA(revised) 540.13f]</t>
        </is>
      </c>
      <c r="C74" s="68" t="n"/>
      <c r="D74" s="68" t="n"/>
      <c r="E74" s="68" t="n"/>
      <c r="F74" s="68" t="n"/>
      <c r="G74" s="68" t="n"/>
      <c r="H74" s="68" t="n"/>
      <c r="I74" s="68" t="n"/>
      <c r="J74" s="68" t="n"/>
      <c r="K74" s="68" t="n"/>
      <c r="L74" s="68" t="n"/>
      <c r="M74" s="68" t="n"/>
      <c r="N74" s="68" t="n"/>
      <c r="O74" s="68" t="n"/>
      <c r="P74" s="210" t="n"/>
      <c r="Q74" s="19" t="n"/>
      <c r="R74" s="274" t="n"/>
      <c r="S74" s="275" t="n"/>
      <c r="T74" s="275" t="n"/>
      <c r="U74" s="275" t="n"/>
      <c r="V74" s="275" t="n"/>
      <c r="W74" s="53" t="n"/>
      <c r="X74" s="54" t="n"/>
      <c r="Y74" s="54" t="n"/>
      <c r="Z74" s="54" t="n"/>
      <c r="AA74" s="54" t="n"/>
    </row>
    <row r="75" customFormat="1" s="55">
      <c r="A75" s="65" t="n"/>
      <c r="B75" s="382" t="inlineStr">
        <is>
          <t>이연법인세 계산은 세무 전문성을 요하나 감사팀 내 세무 지식으로 대응 가능하며, 경영진의 외부 전문가는 이용되지 않음.</t>
        </is>
      </c>
      <c r="C75" s="374" t="n"/>
      <c r="D75" s="374" t="n"/>
      <c r="E75" s="374" t="n"/>
      <c r="F75" s="374" t="n"/>
      <c r="G75" s="374" t="n"/>
      <c r="H75" s="374" t="n"/>
      <c r="I75" s="374" t="n"/>
      <c r="J75" s="374" t="n"/>
      <c r="K75" s="374" t="n"/>
      <c r="L75" s="374" t="n"/>
      <c r="M75" s="374" t="n"/>
      <c r="N75" s="374" t="n"/>
      <c r="O75" s="374" t="n"/>
      <c r="P75" s="332" t="inlineStr">
        <is>
          <t>Link to guidance</t>
        </is>
      </c>
      <c r="Q75" s="78" t="n"/>
      <c r="R75" s="269" t="n"/>
      <c r="S75" s="270" t="n"/>
      <c r="T75" s="270" t="n"/>
      <c r="U75" s="271" t="n"/>
      <c r="V75" s="271" t="n"/>
      <c r="W75" s="56" t="n"/>
      <c r="X75" s="54" t="n"/>
      <c r="Y75" s="54" t="n"/>
      <c r="Z75" s="54" t="n"/>
      <c r="AA75" s="54" t="n"/>
    </row>
    <row r="76" ht="15.75" customFormat="1" customHeight="1" s="55">
      <c r="A76" s="65" t="n"/>
      <c r="B76" s="380" t="n"/>
      <c r="C76" s="374" t="n"/>
      <c r="D76" s="374" t="n"/>
      <c r="E76" s="374" t="n"/>
      <c r="F76" s="374" t="n"/>
      <c r="G76" s="374" t="n"/>
      <c r="H76" s="374" t="n"/>
      <c r="I76" s="374" t="n"/>
      <c r="J76" s="374" t="n"/>
      <c r="K76" s="374" t="n"/>
      <c r="L76" s="374" t="n"/>
      <c r="M76" s="374" t="n"/>
      <c r="N76" s="374" t="n"/>
      <c r="O76" s="374" t="n"/>
      <c r="P76" s="381" t="n"/>
      <c r="Q76" s="78" t="n"/>
      <c r="R76" s="269" t="n"/>
      <c r="S76" s="270" t="n"/>
      <c r="T76" s="270" t="n"/>
      <c r="U76" s="271" t="n"/>
      <c r="V76" s="271" t="n"/>
      <c r="W76" s="56" t="n"/>
      <c r="X76" s="61" t="inlineStr">
        <is>
          <t>Use of an expert dropdown (to be hidden)</t>
        </is>
      </c>
      <c r="Y76" s="54" t="n"/>
      <c r="Z76" s="54" t="n"/>
      <c r="AA76" s="54" t="n"/>
    </row>
    <row r="77" ht="15.75" customFormat="1" customHeight="1" s="55" thickBot="1">
      <c r="A77" s="65" t="n"/>
      <c r="B77" s="380" t="n"/>
      <c r="C77" s="374" t="n"/>
      <c r="D77" s="374" t="n"/>
      <c r="E77" s="374" t="n"/>
      <c r="F77" s="374" t="n"/>
      <c r="G77" s="374" t="n"/>
      <c r="H77" s="374" t="n"/>
      <c r="I77" s="374" t="n"/>
      <c r="J77" s="374" t="n"/>
      <c r="K77" s="374" t="n"/>
      <c r="L77" s="374" t="n"/>
      <c r="M77" s="374" t="n"/>
      <c r="N77" s="374" t="n"/>
      <c r="O77" s="374" t="n"/>
      <c r="P77" s="212" t="n"/>
      <c r="Q77" s="78" t="n"/>
      <c r="R77" s="272" t="n"/>
      <c r="S77" s="273" t="n"/>
      <c r="T77" s="273" t="n"/>
      <c r="U77" s="273" t="n"/>
      <c r="V77" s="273" t="n"/>
      <c r="W77" s="57" t="n"/>
      <c r="X77" s="54" t="inlineStr">
        <is>
          <t>Yes</t>
        </is>
      </c>
      <c r="Y77" s="54" t="n"/>
      <c r="Z77" s="54" t="n"/>
      <c r="AA77" s="54" t="n"/>
    </row>
    <row r="78" ht="15.75" customFormat="1" customHeight="1" s="55" thickBot="1">
      <c r="A78" s="65" t="n"/>
      <c r="B78" s="220" t="inlineStr">
        <is>
          <t xml:space="preserve">Have management used an expert? </t>
        </is>
      </c>
      <c r="C78" s="221" t="n"/>
      <c r="D78" s="221" t="n"/>
      <c r="E78" s="301" t="inlineStr">
        <is>
          <t>No</t>
        </is>
      </c>
      <c r="F78" s="221" t="inlineStr">
        <is>
          <t>User should select from dropdown menu</t>
        </is>
      </c>
      <c r="G78" s="221" t="n"/>
      <c r="H78" s="221" t="n"/>
      <c r="I78" s="221" t="n"/>
      <c r="J78" s="221" t="n"/>
      <c r="K78" s="221" t="n"/>
      <c r="L78" s="221" t="n"/>
      <c r="M78" s="221" t="n"/>
      <c r="N78" s="221" t="n"/>
      <c r="O78" s="221" t="n"/>
      <c r="P78" s="210" t="n"/>
      <c r="Q78" s="19" t="n"/>
      <c r="R78" s="344" t="inlineStr">
        <is>
          <t>If a management's expert is used then you must document this in Atlas on the node 'Details of reliance on experts'</t>
        </is>
      </c>
      <c r="W78" s="53" t="n"/>
      <c r="X78" s="54" t="inlineStr">
        <is>
          <t>No</t>
        </is>
      </c>
      <c r="Y78" s="54" t="n"/>
      <c r="Z78" s="54" t="n"/>
      <c r="AA78" s="54" t="n"/>
    </row>
    <row r="79" ht="15" customFormat="1" customHeight="1" s="55">
      <c r="A79" s="65" t="n"/>
      <c r="B79" s="302">
        <f>IF(E78="Yes","Please document the details in the experts template/screen within the audit file","")</f>
        <v/>
      </c>
      <c r="C79" s="303" t="n"/>
      <c r="D79" s="303" t="n"/>
      <c r="E79" s="303" t="n"/>
      <c r="F79" s="303" t="n"/>
      <c r="G79" s="303" t="n"/>
      <c r="H79" s="303" t="n"/>
      <c r="I79" s="303" t="n"/>
      <c r="J79" s="303" t="n"/>
      <c r="K79" s="303" t="n"/>
      <c r="L79" s="303" t="n"/>
      <c r="M79" s="303" t="n"/>
      <c r="N79" s="303" t="n"/>
      <c r="O79" s="303" t="n"/>
      <c r="P79" s="304" t="n"/>
      <c r="Q79" s="78" t="n"/>
      <c r="W79" s="57" t="n"/>
      <c r="X79" s="54" t="n"/>
      <c r="Y79" s="54" t="n"/>
      <c r="Z79" s="54" t="n"/>
      <c r="AA79" s="54" t="n"/>
    </row>
    <row r="80" ht="15" customFormat="1" customHeight="1" s="55">
      <c r="A80" s="65" t="n"/>
      <c r="B80" s="305">
        <f>IF(E78="YES","Please insert the file reference of the experts documentation:","")</f>
        <v/>
      </c>
      <c r="C80" s="306" t="n"/>
      <c r="D80" s="306" t="n"/>
      <c r="E80" s="306" t="n"/>
      <c r="F80" s="306" t="n"/>
      <c r="G80" s="331" t="n"/>
      <c r="H80" s="374" t="n"/>
      <c r="I80" s="374" t="n"/>
      <c r="J80" s="307" t="n"/>
      <c r="K80" s="307" t="n"/>
      <c r="L80" s="307" t="n"/>
      <c r="M80" s="307" t="n"/>
      <c r="N80" s="307" t="n"/>
      <c r="O80" s="307" t="n"/>
      <c r="P80" s="219" t="n"/>
      <c r="Q80" s="141" t="n"/>
      <c r="W80" s="60" t="n"/>
      <c r="X80" s="54" t="n"/>
      <c r="Y80" s="54" t="n"/>
      <c r="Z80" s="54" t="n"/>
      <c r="AA80" s="54" t="n"/>
    </row>
    <row r="81" ht="15.75" customFormat="1" customHeight="1" s="55" thickBot="1">
      <c r="A81" s="65" t="n"/>
      <c r="B81" s="261" t="n"/>
      <c r="C81" s="262" t="n"/>
      <c r="D81" s="262" t="n"/>
      <c r="E81" s="262" t="n"/>
      <c r="F81" s="262" t="n"/>
      <c r="G81" s="262" t="n"/>
      <c r="H81" s="262" t="n"/>
      <c r="I81" s="262" t="n"/>
      <c r="J81" s="262" t="n"/>
      <c r="K81" s="262" t="n"/>
      <c r="L81" s="262" t="n"/>
      <c r="M81" s="262" t="n"/>
      <c r="N81" s="262" t="n"/>
      <c r="O81" s="262" t="n"/>
      <c r="P81" s="263" t="n"/>
      <c r="Q81" s="141" t="n"/>
      <c r="R81" s="278" t="n"/>
      <c r="S81" s="278" t="n"/>
      <c r="T81" s="278" t="n"/>
      <c r="U81" s="278" t="n"/>
      <c r="V81" s="278" t="n"/>
      <c r="W81" s="60" t="n"/>
      <c r="X81" s="54" t="n"/>
      <c r="Y81" s="54" t="n"/>
      <c r="Z81" s="54" t="n"/>
      <c r="AA81" s="54" t="n"/>
    </row>
    <row r="82" ht="15.75" customFormat="1" customHeight="1" s="65" thickBot="1">
      <c r="Q82" s="141" t="n"/>
      <c r="R82" s="278" t="n"/>
      <c r="S82" s="278" t="n"/>
      <c r="T82" s="278" t="n"/>
      <c r="U82" s="278" t="n"/>
      <c r="V82" s="278" t="n"/>
      <c r="W82" s="222" t="n"/>
    </row>
    <row r="83" ht="20.25" customFormat="1" customHeight="1" s="55">
      <c r="A83" s="65" t="n"/>
      <c r="B83" s="181" t="inlineStr">
        <is>
          <t>The audit team</t>
        </is>
      </c>
      <c r="C83" s="182" t="n"/>
      <c r="D83" s="182" t="n"/>
      <c r="E83" s="182" t="n"/>
      <c r="F83" s="182" t="n"/>
      <c r="G83" s="182" t="n"/>
      <c r="H83" s="182" t="n"/>
      <c r="I83" s="182" t="n"/>
      <c r="J83" s="182" t="n"/>
      <c r="K83" s="182" t="n"/>
      <c r="L83" s="182" t="n"/>
      <c r="M83" s="182" t="n"/>
      <c r="N83" s="182" t="n"/>
      <c r="O83" s="182" t="n"/>
      <c r="P83" s="223" t="n"/>
      <c r="Q83" s="142" t="n"/>
      <c r="R83" s="283" t="n"/>
      <c r="S83" s="283" t="n"/>
      <c r="T83" s="283" t="n"/>
      <c r="U83" s="283" t="n"/>
      <c r="V83" s="283" t="n"/>
      <c r="W83" s="60" t="n"/>
      <c r="X83" s="54" t="n"/>
      <c r="Y83" s="54" t="n"/>
      <c r="Z83" s="54" t="n"/>
      <c r="AA83" s="54" t="n"/>
    </row>
    <row r="84" customFormat="1" s="55">
      <c r="A84" s="65" t="n"/>
      <c r="B84" s="186" t="inlineStr">
        <is>
          <t>Engagement team skills and knowledge [ISA (revised) 540.15]</t>
        </is>
      </c>
      <c r="C84" s="71" t="n"/>
      <c r="D84" s="71" t="n"/>
      <c r="E84" s="71" t="n"/>
      <c r="F84" s="71" t="n"/>
      <c r="G84" s="71" t="n"/>
      <c r="H84" s="71" t="n"/>
      <c r="I84" s="71" t="n"/>
      <c r="J84" s="174" t="n"/>
      <c r="K84" s="174" t="n"/>
      <c r="L84" s="174" t="n"/>
      <c r="M84" s="174" t="n"/>
      <c r="N84" s="174" t="n"/>
      <c r="O84" s="174" t="n"/>
      <c r="P84" s="187" t="n"/>
      <c r="Q84" s="143" t="n"/>
      <c r="R84" s="280" t="n"/>
      <c r="S84" s="281" t="n"/>
      <c r="T84" s="281" t="n"/>
      <c r="U84" s="281" t="n"/>
      <c r="V84" s="281" t="n"/>
      <c r="W84" s="53" t="n"/>
      <c r="X84" s="54" t="n"/>
      <c r="Y84" s="54" t="n"/>
      <c r="Z84" s="54" t="n"/>
      <c r="AA84" s="54" t="n"/>
    </row>
    <row r="85" ht="15" customFormat="1" customHeight="1" s="55">
      <c r="A85" s="65" t="n"/>
      <c r="B85" s="382" t="inlineStr">
        <is>
          <t>이연법인세 및 세무조정에 대한 지식이 요구되며, 감사팀 내 세무 관련 지식으로 대응함.</t>
        </is>
      </c>
      <c r="C85" s="374" t="n"/>
      <c r="D85" s="374" t="n"/>
      <c r="E85" s="374" t="n"/>
      <c r="F85" s="374" t="n"/>
      <c r="G85" s="374" t="n"/>
      <c r="H85" s="374" t="n"/>
      <c r="I85" s="374" t="n"/>
      <c r="J85" s="374" t="n"/>
      <c r="K85" s="374" t="n"/>
      <c r="L85" s="374" t="n"/>
      <c r="M85" s="374" t="n"/>
      <c r="N85" s="374" t="n"/>
      <c r="O85" s="374" t="n"/>
      <c r="P85" s="333" t="inlineStr">
        <is>
          <t>Link to guidance</t>
        </is>
      </c>
      <c r="Q85" s="140" t="n"/>
      <c r="R85" s="269" t="n"/>
      <c r="S85" s="270" t="n"/>
      <c r="T85" s="270" t="n"/>
      <c r="U85" s="271" t="n"/>
      <c r="V85" s="271" t="n"/>
      <c r="W85" s="56" t="n"/>
      <c r="X85" s="54" t="n"/>
      <c r="Y85" s="54" t="n"/>
      <c r="Z85" s="54" t="n"/>
      <c r="AA85" s="54" t="n"/>
    </row>
    <row r="86" customFormat="1" s="55">
      <c r="A86" s="65" t="n"/>
      <c r="B86" s="380" t="n"/>
      <c r="C86" s="374" t="n"/>
      <c r="D86" s="374" t="n"/>
      <c r="E86" s="374" t="n"/>
      <c r="F86" s="374" t="n"/>
      <c r="G86" s="374" t="n"/>
      <c r="H86" s="374" t="n"/>
      <c r="I86" s="374" t="n"/>
      <c r="J86" s="374" t="n"/>
      <c r="K86" s="374" t="n"/>
      <c r="L86" s="374" t="n"/>
      <c r="M86" s="374" t="n"/>
      <c r="N86" s="374" t="n"/>
      <c r="O86" s="374" t="n"/>
      <c r="P86" s="381" t="n"/>
      <c r="Q86" s="78" t="n"/>
      <c r="R86" s="269" t="n"/>
      <c r="S86" s="270" t="n"/>
      <c r="T86" s="270" t="n"/>
      <c r="U86" s="271" t="n"/>
      <c r="V86" s="271" t="n"/>
      <c r="W86" s="56" t="n"/>
      <c r="X86" s="54" t="n"/>
      <c r="Y86" s="54" t="n"/>
      <c r="Z86" s="54" t="n"/>
      <c r="AA86" s="54" t="n"/>
    </row>
    <row r="87" ht="16.5" customFormat="1" customHeight="1" s="55" thickBot="1">
      <c r="A87" s="65" t="n"/>
      <c r="B87" s="380" t="n"/>
      <c r="C87" s="374" t="n"/>
      <c r="D87" s="374" t="n"/>
      <c r="E87" s="374" t="n"/>
      <c r="F87" s="374" t="n"/>
      <c r="G87" s="374" t="n"/>
      <c r="H87" s="374" t="n"/>
      <c r="I87" s="374" t="n"/>
      <c r="J87" s="374" t="n"/>
      <c r="K87" s="374" t="n"/>
      <c r="L87" s="374" t="n"/>
      <c r="M87" s="374" t="n"/>
      <c r="N87" s="374" t="n"/>
      <c r="O87" s="374" t="n"/>
      <c r="P87" s="219" t="n"/>
      <c r="Q87" s="144" t="n"/>
      <c r="R87" s="344" t="inlineStr">
        <is>
          <t>If an auditor's expert is used then you must document this in Atlas on the node 'Details of reliance on experts'.
If a specialist is used then within Atlas they must be added to the engagement team within the node 'Engagement'.</t>
        </is>
      </c>
      <c r="W87" s="62" t="n"/>
      <c r="X87" s="54" t="n"/>
      <c r="Y87" s="54" t="n"/>
      <c r="Z87" s="54" t="n"/>
      <c r="AA87" s="54" t="n"/>
    </row>
    <row r="88" ht="15.75" customFormat="1" customHeight="1" s="55" thickBot="1">
      <c r="A88" s="65" t="n"/>
      <c r="B88" s="209" t="inlineStr">
        <is>
          <t>Will we use an auditor's expert or specialist?</t>
        </is>
      </c>
      <c r="C88" s="68" t="n"/>
      <c r="D88" s="68" t="n"/>
      <c r="E88" s="68" t="n"/>
      <c r="F88" s="308" t="inlineStr">
        <is>
          <t>No</t>
        </is>
      </c>
      <c r="G88" s="68" t="inlineStr">
        <is>
          <t>User should select from dropdown menu</t>
        </is>
      </c>
      <c r="H88" s="68" t="n"/>
      <c r="I88" s="68" t="n"/>
      <c r="J88" s="68" t="n"/>
      <c r="K88" s="68" t="n"/>
      <c r="L88" s="68" t="n"/>
      <c r="M88" s="68" t="n"/>
      <c r="N88" s="68" t="n"/>
      <c r="O88" s="68" t="n"/>
      <c r="P88" s="193" t="n"/>
      <c r="Q88" s="19" t="n"/>
      <c r="W88" s="53" t="n"/>
      <c r="X88" s="54" t="n"/>
      <c r="Y88" s="54" t="n"/>
      <c r="Z88" s="54" t="n"/>
      <c r="AA88" s="54" t="n"/>
    </row>
    <row r="89" ht="15" customFormat="1" customHeight="1" s="55">
      <c r="B89" s="255">
        <f>IF(F88="Yes","Please document the details in the experts template/screen within the audit file","")</f>
        <v/>
      </c>
      <c r="C89" s="251" t="n"/>
      <c r="D89" s="251" t="n"/>
      <c r="E89" s="251" t="n"/>
      <c r="F89" s="251" t="n"/>
      <c r="G89" s="251" t="n"/>
      <c r="H89" s="251" t="n"/>
      <c r="I89" s="251" t="n"/>
      <c r="J89" s="251" t="n"/>
      <c r="K89" s="251" t="n"/>
      <c r="L89" s="251" t="n"/>
      <c r="M89" s="251" t="n"/>
      <c r="N89" s="251" t="n"/>
      <c r="O89" s="251" t="n"/>
      <c r="P89" s="256" t="n"/>
      <c r="Q89" s="13" t="n"/>
      <c r="W89" s="62" t="n"/>
    </row>
    <row r="90" ht="15.75" customFormat="1" customHeight="1" s="55">
      <c r="B90" s="257">
        <f>IF(F88="YES","Please insert the file reference of the experts documentation:","")</f>
        <v/>
      </c>
      <c r="C90" s="252" t="n"/>
      <c r="D90" s="252" t="n"/>
      <c r="E90" s="252" t="n"/>
      <c r="F90" s="252" t="n"/>
      <c r="G90" s="326" t="n"/>
      <c r="H90" s="374" t="n"/>
      <c r="I90" s="374" t="n"/>
      <c r="J90" s="253" t="n"/>
      <c r="K90" s="253" t="n"/>
      <c r="L90" s="253" t="n"/>
      <c r="M90" s="253" t="n"/>
      <c r="N90" s="253" t="n"/>
      <c r="O90" s="253" t="n"/>
      <c r="P90" s="258" t="n"/>
      <c r="Q90" s="13" t="n"/>
      <c r="W90" s="62" t="n"/>
    </row>
    <row r="91" ht="15.75" customFormat="1" customHeight="1" s="55">
      <c r="B91" s="257" t="n"/>
      <c r="C91" s="252" t="n"/>
      <c r="D91" s="252" t="n"/>
      <c r="E91" s="252" t="n"/>
      <c r="F91" s="253" t="n"/>
      <c r="G91" s="253" t="n"/>
      <c r="H91" s="253" t="n"/>
      <c r="I91" s="253" t="n"/>
      <c r="J91" s="253" t="n"/>
      <c r="K91" s="253" t="n"/>
      <c r="L91" s="253" t="n"/>
      <c r="M91" s="253" t="n"/>
      <c r="N91" s="253" t="n"/>
      <c r="O91" s="253" t="n"/>
      <c r="P91" s="258" t="n"/>
      <c r="Q91" s="13" t="n"/>
      <c r="W91" s="62" t="n"/>
    </row>
    <row r="92" customFormat="1" s="65">
      <c r="B92" s="259" t="n"/>
      <c r="C92" s="254" t="n"/>
      <c r="D92" s="254" t="n"/>
      <c r="E92" s="254" t="n"/>
      <c r="F92" s="254" t="n"/>
      <c r="G92" s="254" t="n"/>
      <c r="H92" s="254" t="n"/>
      <c r="I92" s="254" t="n"/>
      <c r="J92" s="254" t="n"/>
      <c r="K92" s="254" t="n"/>
      <c r="L92" s="254" t="n"/>
      <c r="M92" s="254" t="n"/>
      <c r="N92" s="254" t="n"/>
      <c r="O92" s="254" t="n"/>
      <c r="P92" s="260" t="n"/>
      <c r="Q92" s="144" t="n"/>
      <c r="R92" s="284" t="n"/>
      <c r="S92" s="285" t="n"/>
      <c r="T92" s="285" t="n"/>
      <c r="U92" s="285" t="n"/>
      <c r="V92" s="285" t="n"/>
      <c r="W92" s="145" t="n"/>
    </row>
    <row r="93" ht="15.75" customFormat="1" customHeight="1" s="65" thickBot="1">
      <c r="B93" s="261" t="n"/>
      <c r="C93" s="262" t="n"/>
      <c r="D93" s="262" t="n"/>
      <c r="E93" s="262" t="n"/>
      <c r="F93" s="262" t="n"/>
      <c r="G93" s="262" t="n"/>
      <c r="H93" s="262" t="n"/>
      <c r="I93" s="262" t="n"/>
      <c r="J93" s="262" t="n"/>
      <c r="K93" s="262" t="n"/>
      <c r="L93" s="262" t="n"/>
      <c r="M93" s="262" t="n"/>
      <c r="N93" s="262" t="n"/>
      <c r="O93" s="262" t="n"/>
      <c r="P93" s="263" t="n"/>
      <c r="Q93" s="146" t="n"/>
      <c r="R93" s="286" t="n"/>
      <c r="S93" s="287" t="n"/>
      <c r="T93" s="287" t="n"/>
      <c r="U93" s="287" t="n"/>
      <c r="V93" s="287" t="n"/>
      <c r="W93" s="148" t="n"/>
    </row>
    <row r="94" customFormat="1" s="65">
      <c r="B94" s="146" t="n"/>
      <c r="C94" s="146" t="n"/>
      <c r="D94" s="146" t="n"/>
      <c r="E94" s="146" t="n"/>
      <c r="F94" s="146" t="n"/>
      <c r="G94" s="146" t="n"/>
      <c r="H94" s="146" t="n"/>
      <c r="I94" s="146" t="n"/>
      <c r="J94" s="146" t="n"/>
      <c r="K94" s="146" t="n"/>
      <c r="L94" s="146" t="n"/>
      <c r="M94" s="146" t="n"/>
      <c r="N94" s="146" t="n"/>
      <c r="O94" s="146" t="n"/>
      <c r="P94" s="147" t="n"/>
      <c r="Q94" s="146" t="n"/>
      <c r="R94" s="286" t="n"/>
      <c r="S94" s="287" t="n"/>
      <c r="T94" s="287" t="n"/>
      <c r="U94" s="287" t="n"/>
      <c r="V94" s="287" t="n"/>
      <c r="W94" s="148" t="n"/>
    </row>
    <row r="95" ht="31.5" customFormat="1" customHeight="1" s="119">
      <c r="B95" s="119" t="inlineStr">
        <is>
          <t>STEP 2:   IDENTIFYING AND ASSESSING THE RISKS OF MATERIAL MISSTATEMENT</t>
        </is>
      </c>
      <c r="P95" s="159" t="n"/>
      <c r="R95" s="267" t="n"/>
      <c r="S95" s="268" t="n"/>
      <c r="T95" s="268" t="n"/>
      <c r="U95" s="268" t="n"/>
      <c r="V95" s="268" t="n"/>
      <c r="W95" s="122" t="n"/>
      <c r="Z95" s="119" t="inlineStr">
        <is>
          <t>Inherent risk matrix</t>
        </is>
      </c>
    </row>
    <row r="96" ht="15.75" customHeight="1" thickBot="1">
      <c r="A96" s="55" t="n"/>
      <c r="B96" s="170" t="n"/>
      <c r="C96" s="43" t="n"/>
      <c r="D96" s="43" t="n"/>
      <c r="E96" s="43" t="n"/>
      <c r="F96" s="43" t="n"/>
      <c r="G96" s="43" t="n"/>
      <c r="H96" s="43" t="n"/>
      <c r="I96" s="43" t="n"/>
      <c r="J96" s="43" t="n"/>
      <c r="K96" s="43" t="n"/>
      <c r="L96" s="43" t="n"/>
      <c r="M96" s="43" t="n"/>
      <c r="N96" s="43" t="n"/>
      <c r="O96" s="43" t="n"/>
      <c r="P96" s="127" t="n"/>
      <c r="Q96" s="4" t="n"/>
      <c r="Z96" s="79" t="inlineStr">
        <is>
          <t>Significant</t>
        </is>
      </c>
      <c r="AA96" s="79" t="inlineStr">
        <is>
          <t>&gt;6</t>
        </is>
      </c>
    </row>
    <row r="97" ht="27.6" customHeight="1">
      <c r="A97" s="65" t="n"/>
      <c r="B97" s="181" t="inlineStr">
        <is>
          <t>Inherent risk assessment</t>
        </is>
      </c>
      <c r="C97" s="182" t="n"/>
      <c r="D97" s="182" t="n"/>
      <c r="E97" s="182" t="n"/>
      <c r="F97" s="182" t="n"/>
      <c r="G97" s="182" t="n"/>
      <c r="H97" s="182" t="n"/>
      <c r="I97" s="182" t="n"/>
      <c r="J97" s="182" t="n"/>
      <c r="K97" s="182" t="n"/>
      <c r="L97" s="182" t="n"/>
      <c r="M97" s="182" t="n"/>
      <c r="N97" s="182" t="n"/>
      <c r="O97" s="182" t="n"/>
      <c r="P97" s="192" t="n"/>
      <c r="Q97" s="19" t="n"/>
      <c r="Z97" s="79" t="inlineStr">
        <is>
          <t>Enhanced</t>
        </is>
      </c>
      <c r="AA97" s="81" t="inlineStr">
        <is>
          <t>4 to 6</t>
        </is>
      </c>
    </row>
    <row r="98" ht="19.5" customFormat="1" customHeight="1" s="55">
      <c r="A98" s="65" t="n"/>
      <c r="B98" s="186" t="inlineStr">
        <is>
          <t>Identifying and assessing the risks of material misstatement relating to an accounting estimate and related disclosures at assertion level [ISA (revised) 540.16]</t>
        </is>
      </c>
      <c r="C98" s="71" t="n"/>
      <c r="D98" s="71" t="n"/>
      <c r="E98" s="71" t="n"/>
      <c r="F98" s="71" t="n"/>
      <c r="G98" s="71" t="n"/>
      <c r="H98" s="71" t="n"/>
      <c r="I98" s="71" t="n"/>
      <c r="J98" s="174" t="n"/>
      <c r="K98" s="174" t="n"/>
      <c r="L98" s="174" t="n"/>
      <c r="M98" s="174" t="n"/>
      <c r="N98" s="174" t="n"/>
      <c r="O98" s="174" t="n"/>
      <c r="P98" s="193" t="n"/>
      <c r="Q98" s="19" t="n"/>
      <c r="R98" s="288" t="n"/>
      <c r="S98" s="289" t="n"/>
      <c r="T98" s="289" t="n"/>
      <c r="U98" s="289" t="n"/>
      <c r="V98" s="289" t="n"/>
      <c r="W98" s="53" t="n"/>
      <c r="X98" s="54" t="n"/>
      <c r="Y98" s="54" t="n"/>
      <c r="Z98" s="54" t="inlineStr">
        <is>
          <t>Standard</t>
        </is>
      </c>
      <c r="AA98" s="54" t="inlineStr">
        <is>
          <t>&gt;4</t>
        </is>
      </c>
    </row>
    <row r="99" ht="15" customHeight="1">
      <c r="A99" s="65" t="n"/>
      <c r="B99" s="327" t="inlineStr">
        <is>
          <t xml:space="preserve">In identifying and assessing risks of material misstatement at the assertion level for an accounting estimate and related disclosures, we must consider inherent risk and control risk separately. We must consider the factors of estimation uncertainty, complexity, subjectivity and other inherent risk factors when considering the level of inherent risk. The below sections will help to guide you in determining to what degree your accounting estimate is subject to these factors. You will then form an overall assessment of the inherent and control risks associated with your accounting estimate. </t>
        </is>
      </c>
      <c r="P99" s="194" t="n"/>
      <c r="Q99" s="149" t="n"/>
      <c r="R99" s="290" t="n"/>
      <c r="S99" s="291" t="n"/>
      <c r="T99" s="291" t="n"/>
      <c r="U99" s="291" t="n"/>
      <c r="V99" s="291" t="n"/>
      <c r="W99" s="82" t="n"/>
    </row>
    <row r="100" ht="15" customHeight="1">
      <c r="A100" s="65" t="n"/>
      <c r="B100" s="386" t="n"/>
      <c r="P100" s="194" t="n"/>
      <c r="Q100" s="149" t="n"/>
      <c r="R100" s="290" t="n"/>
      <c r="S100" s="291" t="n"/>
      <c r="T100" s="291" t="n"/>
      <c r="U100" s="291" t="n"/>
      <c r="V100" s="291" t="n"/>
      <c r="W100" s="82" t="n"/>
    </row>
    <row r="101" ht="15" customHeight="1">
      <c r="A101" s="65" t="n"/>
      <c r="B101" s="386" t="n"/>
      <c r="P101" s="194" t="n"/>
      <c r="Q101" s="149" t="n"/>
      <c r="R101" s="290" t="n"/>
      <c r="S101" s="291" t="n"/>
      <c r="T101" s="291" t="n"/>
      <c r="U101" s="291" t="n"/>
      <c r="V101" s="291" t="n"/>
      <c r="W101" s="82" t="n"/>
    </row>
    <row r="102" ht="15" customHeight="1" thickBot="1">
      <c r="A102" s="65" t="n"/>
      <c r="B102" s="386" t="n"/>
      <c r="P102" s="194" t="n"/>
      <c r="Q102" s="149" t="n"/>
      <c r="R102" s="290" t="n"/>
      <c r="S102" s="291" t="n"/>
      <c r="T102" s="291" t="n"/>
      <c r="U102" s="291" t="n"/>
      <c r="V102" s="291" t="n"/>
      <c r="W102" s="82" t="n"/>
      <c r="X102" s="83" t="inlineStr">
        <is>
          <t>Risk indicator level for dropdown menu (to be hidden)</t>
        </is>
      </c>
      <c r="Z102" s="83" t="inlineStr">
        <is>
          <t>Calculation based on answers</t>
        </is>
      </c>
    </row>
    <row r="103" ht="15" customHeight="1" thickBot="1">
      <c r="A103" s="65" t="n"/>
      <c r="B103" s="195" t="inlineStr">
        <is>
          <t>The degree to which the accounting estimate is subject to estimation uncertainty</t>
        </is>
      </c>
      <c r="C103" s="175" t="n"/>
      <c r="D103" s="196" t="n"/>
      <c r="E103" s="196" t="n"/>
      <c r="F103" s="196" t="n"/>
      <c r="G103" s="196" t="n"/>
      <c r="H103" s="196" t="n"/>
      <c r="I103" s="196" t="n"/>
      <c r="J103" s="197" t="inlineStr">
        <is>
          <t>User to select from the dropdown menu</t>
        </is>
      </c>
      <c r="K103" s="197" t="n"/>
      <c r="L103" s="198" t="inlineStr">
        <is>
          <t>Risk indicator:</t>
        </is>
      </c>
      <c r="M103" s="199" t="n"/>
      <c r="N103" s="301" t="inlineStr">
        <is>
          <t>Moderate</t>
        </is>
      </c>
      <c r="O103" s="176" t="n"/>
      <c r="P103" s="200" t="n"/>
      <c r="Q103" s="140" t="n"/>
      <c r="R103" s="292" t="n"/>
      <c r="S103" s="293" t="n"/>
      <c r="T103" s="293" t="n"/>
      <c r="U103" s="293" t="n"/>
      <c r="V103" s="293" t="n"/>
      <c r="W103" s="84" t="n"/>
      <c r="X103" s="79" t="inlineStr">
        <is>
          <t>Low</t>
        </is>
      </c>
      <c r="Z103" s="79" t="inlineStr">
        <is>
          <t>Estm uncert.</t>
        </is>
      </c>
      <c r="AA103" s="79">
        <f>IF($N$103="High",3,IF($N$103="Moderate",2,IF($N$103="Low",1,"")))</f>
        <v/>
      </c>
    </row>
    <row r="104" ht="15" customHeight="1">
      <c r="A104" s="65" t="n"/>
      <c r="B104" s="382" t="inlineStr">
        <is>
          <t>이연법인세자산의 실현가능성이 미래 과세소득의 추정에 의존하여 측정의 추정불확실성이 보통 수준임. 다만 Franchise agreement의 3% 영업이익 구조가 불확실성을 일부 완화함.</t>
        </is>
      </c>
      <c r="C104" s="374" t="n"/>
      <c r="D104" s="374" t="n"/>
      <c r="E104" s="374" t="n"/>
      <c r="F104" s="374" t="n"/>
      <c r="G104" s="374" t="n"/>
      <c r="H104" s="374" t="n"/>
      <c r="I104" s="374" t="n"/>
      <c r="J104" s="374" t="n"/>
      <c r="K104" s="374" t="n"/>
      <c r="L104" s="374" t="n"/>
      <c r="M104" s="374" t="n"/>
      <c r="N104" s="374" t="n"/>
      <c r="O104" s="374" t="n"/>
      <c r="P104" s="333" t="inlineStr">
        <is>
          <t>Link to guidance</t>
        </is>
      </c>
      <c r="Q104" s="150" t="n"/>
      <c r="R104" s="269" t="n"/>
      <c r="S104" s="294" t="n"/>
      <c r="T104" s="294" t="n"/>
      <c r="U104" s="295" t="n"/>
      <c r="V104" s="295" t="n"/>
      <c r="W104" s="85" t="n"/>
      <c r="X104" s="79" t="inlineStr">
        <is>
          <t>Moderate</t>
        </is>
      </c>
      <c r="Z104" s="79" t="inlineStr">
        <is>
          <t>Com</t>
        </is>
      </c>
      <c r="AA104" s="79">
        <f>IF($N$110="High",3,IF($N$110="Moderate",2,IF($N$110="Low",1,"")))</f>
        <v/>
      </c>
    </row>
    <row r="105" ht="15" customHeight="1">
      <c r="A105" s="65" t="n"/>
      <c r="B105" s="380" t="n"/>
      <c r="C105" s="374" t="n"/>
      <c r="D105" s="374" t="n"/>
      <c r="E105" s="374" t="n"/>
      <c r="F105" s="374" t="n"/>
      <c r="G105" s="374" t="n"/>
      <c r="H105" s="374" t="n"/>
      <c r="I105" s="374" t="n"/>
      <c r="J105" s="374" t="n"/>
      <c r="K105" s="374" t="n"/>
      <c r="L105" s="374" t="n"/>
      <c r="M105" s="374" t="n"/>
      <c r="N105" s="374" t="n"/>
      <c r="O105" s="374" t="n"/>
      <c r="P105" s="381" t="n"/>
      <c r="Q105" s="150" t="n"/>
      <c r="R105" s="278" t="n"/>
      <c r="S105" s="296" t="n"/>
      <c r="T105" s="296" t="n"/>
      <c r="U105" s="296" t="n"/>
      <c r="V105" s="296" t="n"/>
      <c r="W105" s="82" t="n"/>
      <c r="X105" s="79" t="inlineStr">
        <is>
          <t>High</t>
        </is>
      </c>
      <c r="Z105" s="79" t="inlineStr">
        <is>
          <t>Sub</t>
        </is>
      </c>
      <c r="AA105" s="79">
        <f>IF($N$115="High",3,IF($N$115="Moderate",2,IF($N$115="Low",1,"")))</f>
        <v/>
      </c>
    </row>
    <row r="106" ht="15" customHeight="1">
      <c r="A106" s="65" t="n"/>
      <c r="B106" s="380" t="n"/>
      <c r="C106" s="374" t="n"/>
      <c r="D106" s="374" t="n"/>
      <c r="E106" s="374" t="n"/>
      <c r="F106" s="374" t="n"/>
      <c r="G106" s="374" t="n"/>
      <c r="H106" s="374" t="n"/>
      <c r="I106" s="374" t="n"/>
      <c r="J106" s="374" t="n"/>
      <c r="K106" s="374" t="n"/>
      <c r="L106" s="374" t="n"/>
      <c r="M106" s="374" t="n"/>
      <c r="N106" s="374" t="n"/>
      <c r="O106" s="374" t="n"/>
      <c r="P106" s="201" t="n"/>
      <c r="Q106" s="150" t="n"/>
      <c r="R106" s="278" t="n"/>
      <c r="S106" s="296" t="n"/>
      <c r="T106" s="296" t="n"/>
      <c r="U106" s="296" t="n"/>
      <c r="V106" s="296" t="n"/>
      <c r="W106" s="82" t="n"/>
      <c r="AA106" s="86">
        <f>SUM(AA103:AA105)</f>
        <v/>
      </c>
    </row>
    <row r="107" ht="15" customHeight="1">
      <c r="A107" s="65" t="n"/>
      <c r="B107" s="380" t="n"/>
      <c r="C107" s="374" t="n"/>
      <c r="D107" s="374" t="n"/>
      <c r="E107" s="374" t="n"/>
      <c r="F107" s="374" t="n"/>
      <c r="G107" s="374" t="n"/>
      <c r="H107" s="374" t="n"/>
      <c r="I107" s="374" t="n"/>
      <c r="J107" s="374" t="n"/>
      <c r="K107" s="374" t="n"/>
      <c r="L107" s="374" t="n"/>
      <c r="M107" s="374" t="n"/>
      <c r="N107" s="374" t="n"/>
      <c r="O107" s="374" t="n"/>
      <c r="P107" s="201" t="n"/>
      <c r="Q107" s="150" t="n"/>
      <c r="R107" s="278" t="n"/>
      <c r="S107" s="296" t="n"/>
      <c r="T107" s="296" t="n"/>
      <c r="U107" s="296" t="n"/>
      <c r="V107" s="296" t="n"/>
      <c r="W107" s="82" t="n"/>
    </row>
    <row r="108" ht="15" customHeight="1">
      <c r="A108" s="65" t="n"/>
      <c r="B108" s="329" t="inlineStr">
        <is>
          <t>The degree to which the selection and application of the method, assumptions and data in making the accounting estimate, or the selection of management's point estimate and related disclosures are affected by:</t>
        </is>
      </c>
      <c r="P108" s="200" t="n"/>
      <c r="Q108" s="140" t="n"/>
      <c r="R108" s="292" t="n"/>
      <c r="S108" s="293" t="n"/>
      <c r="T108" s="293" t="n"/>
      <c r="U108" s="293" t="n"/>
      <c r="V108" s="293" t="n"/>
      <c r="W108" s="84" t="n"/>
    </row>
    <row r="109" ht="15.75" customHeight="1" thickBot="1">
      <c r="A109" s="65" t="n"/>
      <c r="B109" s="386" t="n"/>
      <c r="P109" s="200" t="n"/>
      <c r="Q109" s="140" t="n"/>
      <c r="R109" s="292" t="n"/>
      <c r="S109" s="293" t="n"/>
      <c r="T109" s="293" t="n"/>
      <c r="U109" s="293" t="n"/>
      <c r="V109" s="293" t="n"/>
      <c r="W109" s="84" t="n"/>
    </row>
    <row r="110" ht="15" customHeight="1" thickBot="1">
      <c r="A110" s="65" t="n"/>
      <c r="B110" s="195" t="inlineStr">
        <is>
          <t>Complexity</t>
        </is>
      </c>
      <c r="C110" s="175" t="n"/>
      <c r="D110" s="196" t="n"/>
      <c r="E110" s="196" t="n"/>
      <c r="F110" s="196" t="n"/>
      <c r="G110" s="196" t="n"/>
      <c r="H110" s="196" t="n"/>
      <c r="I110" s="196" t="n"/>
      <c r="J110" s="197" t="inlineStr">
        <is>
          <t>User to select from the dropdown menu</t>
        </is>
      </c>
      <c r="K110" s="197" t="n"/>
      <c r="L110" s="198" t="inlineStr">
        <is>
          <t>Risk indicator:</t>
        </is>
      </c>
      <c r="M110" s="199" t="n"/>
      <c r="N110" s="301" t="inlineStr">
        <is>
          <t>Low</t>
        </is>
      </c>
      <c r="O110" s="176" t="n"/>
      <c r="P110" s="200" t="n"/>
      <c r="Q110" s="140" t="n"/>
      <c r="R110" s="292" t="n"/>
      <c r="S110" s="293" t="n"/>
      <c r="T110" s="293" t="n"/>
      <c r="U110" s="293" t="n"/>
      <c r="V110" s="293" t="n"/>
      <c r="W110" s="84" t="n"/>
    </row>
    <row r="111" ht="15" customHeight="1">
      <c r="A111" s="65" t="n"/>
      <c r="B111" s="382" t="inlineStr">
        <is>
          <t>항목별 일시적차이에 적용세율을 곱하는 방식으로 계산 자체의 복잡성은 낮음.</t>
        </is>
      </c>
      <c r="C111" s="374" t="n"/>
      <c r="D111" s="374" t="n"/>
      <c r="E111" s="374" t="n"/>
      <c r="F111" s="374" t="n"/>
      <c r="G111" s="374" t="n"/>
      <c r="H111" s="374" t="n"/>
      <c r="I111" s="374" t="n"/>
      <c r="J111" s="374" t="n"/>
      <c r="K111" s="374" t="n"/>
      <c r="L111" s="374" t="n"/>
      <c r="M111" s="374" t="n"/>
      <c r="N111" s="374" t="n"/>
      <c r="O111" s="374" t="n"/>
      <c r="P111" s="333" t="inlineStr">
        <is>
          <t>Link to guidance</t>
        </is>
      </c>
      <c r="Q111" s="150" t="n"/>
      <c r="R111" s="269" t="n"/>
      <c r="S111" s="294" t="n"/>
      <c r="T111" s="294" t="n"/>
      <c r="U111" s="295" t="n"/>
      <c r="V111" s="295" t="n"/>
      <c r="W111" s="85" t="n"/>
    </row>
    <row r="112" ht="15" customHeight="1">
      <c r="A112" s="65" t="n"/>
      <c r="B112" s="380" t="n"/>
      <c r="C112" s="374" t="n"/>
      <c r="D112" s="374" t="n"/>
      <c r="E112" s="374" t="n"/>
      <c r="F112" s="374" t="n"/>
      <c r="G112" s="374" t="n"/>
      <c r="H112" s="374" t="n"/>
      <c r="I112" s="374" t="n"/>
      <c r="J112" s="374" t="n"/>
      <c r="K112" s="374" t="n"/>
      <c r="L112" s="374" t="n"/>
      <c r="M112" s="374" t="n"/>
      <c r="N112" s="374" t="n"/>
      <c r="O112" s="374" t="n"/>
      <c r="P112" s="381" t="n"/>
      <c r="Q112" s="150" t="n"/>
      <c r="R112" s="278" t="n"/>
      <c r="S112" s="296" t="n"/>
      <c r="T112" s="296" t="n"/>
      <c r="U112" s="296" t="n"/>
      <c r="V112" s="296" t="n"/>
      <c r="W112" s="82" t="n"/>
    </row>
    <row r="113" ht="15" customHeight="1">
      <c r="A113" s="65" t="n"/>
      <c r="B113" s="380" t="n"/>
      <c r="C113" s="374" t="n"/>
      <c r="D113" s="374" t="n"/>
      <c r="E113" s="374" t="n"/>
      <c r="F113" s="374" t="n"/>
      <c r="G113" s="374" t="n"/>
      <c r="H113" s="374" t="n"/>
      <c r="I113" s="374" t="n"/>
      <c r="J113" s="374" t="n"/>
      <c r="K113" s="374" t="n"/>
      <c r="L113" s="374" t="n"/>
      <c r="M113" s="374" t="n"/>
      <c r="N113" s="374" t="n"/>
      <c r="O113" s="374" t="n"/>
      <c r="P113" s="201" t="n"/>
      <c r="Q113" s="150" t="n"/>
      <c r="R113" s="278" t="n"/>
      <c r="S113" s="296" t="n"/>
      <c r="T113" s="296" t="n"/>
      <c r="U113" s="296" t="n"/>
      <c r="V113" s="296" t="n"/>
      <c r="W113" s="82" t="n"/>
    </row>
    <row r="114" ht="15" customHeight="1" thickBot="1">
      <c r="A114" s="65" t="n"/>
      <c r="B114" s="380" t="n"/>
      <c r="C114" s="374" t="n"/>
      <c r="D114" s="374" t="n"/>
      <c r="E114" s="374" t="n"/>
      <c r="F114" s="374" t="n"/>
      <c r="G114" s="374" t="n"/>
      <c r="H114" s="374" t="n"/>
      <c r="I114" s="374" t="n"/>
      <c r="J114" s="374" t="n"/>
      <c r="K114" s="374" t="n"/>
      <c r="L114" s="374" t="n"/>
      <c r="M114" s="374" t="n"/>
      <c r="N114" s="374" t="n"/>
      <c r="O114" s="374" t="n"/>
      <c r="P114" s="201" t="n"/>
      <c r="Q114" s="150" t="n"/>
      <c r="R114" s="278" t="n"/>
      <c r="S114" s="296" t="n"/>
      <c r="T114" s="296" t="n"/>
      <c r="U114" s="296" t="n"/>
      <c r="V114" s="296" t="n"/>
      <c r="W114" s="82" t="n"/>
    </row>
    <row r="115" ht="15" customHeight="1" thickBot="1">
      <c r="A115" s="65" t="n"/>
      <c r="B115" s="195" t="inlineStr">
        <is>
          <t>Subjectivity</t>
        </is>
      </c>
      <c r="C115" s="175" t="n"/>
      <c r="D115" s="196" t="n"/>
      <c r="E115" s="196" t="n"/>
      <c r="F115" s="196" t="n"/>
      <c r="G115" s="196" t="n"/>
      <c r="H115" s="196" t="n"/>
      <c r="I115" s="196" t="n"/>
      <c r="J115" s="197" t="inlineStr">
        <is>
          <t>User to select from the dropdown menu</t>
        </is>
      </c>
      <c r="K115" s="197" t="n"/>
      <c r="L115" s="198" t="inlineStr">
        <is>
          <t>Risk indicator:</t>
        </is>
      </c>
      <c r="M115" s="199" t="n"/>
      <c r="N115" s="301" t="inlineStr">
        <is>
          <t>Moderate</t>
        </is>
      </c>
      <c r="O115" s="176" t="n"/>
      <c r="P115" s="200" t="n"/>
      <c r="Q115" s="140" t="n"/>
      <c r="R115" s="292" t="n"/>
      <c r="S115" s="293" t="n"/>
      <c r="T115" s="293" t="n"/>
      <c r="U115" s="293" t="n"/>
      <c r="V115" s="293" t="n"/>
      <c r="W115" s="84" t="n"/>
    </row>
    <row r="116" ht="15" customFormat="1" customHeight="1" s="65">
      <c r="B116" s="382" t="inlineStr">
        <is>
          <t>미래 과세소득의 실현가능성 및 이연법인세자산 인식 여부 판단에 경영진의 판단이 개입되므로 주관성은 보통 수준임.</t>
        </is>
      </c>
      <c r="C116" s="374" t="n"/>
      <c r="D116" s="374" t="n"/>
      <c r="E116" s="374" t="n"/>
      <c r="F116" s="374" t="n"/>
      <c r="G116" s="374" t="n"/>
      <c r="H116" s="374" t="n"/>
      <c r="I116" s="374" t="n"/>
      <c r="J116" s="374" t="n"/>
      <c r="K116" s="374" t="n"/>
      <c r="L116" s="374" t="n"/>
      <c r="M116" s="374" t="n"/>
      <c r="N116" s="374" t="n"/>
      <c r="O116" s="374" t="n"/>
      <c r="P116" s="333" t="inlineStr">
        <is>
          <t>Link to guidance</t>
        </is>
      </c>
      <c r="Q116" s="150" t="n"/>
      <c r="R116" s="269" t="n"/>
      <c r="S116" s="270" t="n"/>
      <c r="T116" s="270" t="n"/>
      <c r="U116" s="271" t="n"/>
      <c r="V116" s="271" t="n"/>
      <c r="W116" s="132" t="n"/>
    </row>
    <row r="117" ht="15" customFormat="1" customHeight="1" s="65">
      <c r="B117" s="380" t="n"/>
      <c r="C117" s="374" t="n"/>
      <c r="D117" s="374" t="n"/>
      <c r="E117" s="374" t="n"/>
      <c r="F117" s="374" t="n"/>
      <c r="G117" s="374" t="n"/>
      <c r="H117" s="374" t="n"/>
      <c r="I117" s="374" t="n"/>
      <c r="J117" s="374" t="n"/>
      <c r="K117" s="374" t="n"/>
      <c r="L117" s="374" t="n"/>
      <c r="M117" s="374" t="n"/>
      <c r="N117" s="374" t="n"/>
      <c r="O117" s="374" t="n"/>
      <c r="P117" s="381" t="n"/>
      <c r="Q117" s="150" t="n"/>
      <c r="R117" s="269" t="n"/>
      <c r="S117" s="270" t="n"/>
      <c r="T117" s="270" t="n"/>
      <c r="U117" s="271" t="n"/>
      <c r="V117" s="271" t="n"/>
      <c r="W117" s="132" t="n"/>
      <c r="X117" s="151" t="inlineStr">
        <is>
          <t>Inherent risk level for dropdown menu (to be hidden)</t>
        </is>
      </c>
    </row>
    <row r="118" customFormat="1" s="65">
      <c r="B118" s="380" t="n"/>
      <c r="C118" s="374" t="n"/>
      <c r="D118" s="374" t="n"/>
      <c r="E118" s="374" t="n"/>
      <c r="F118" s="374" t="n"/>
      <c r="G118" s="374" t="n"/>
      <c r="H118" s="374" t="n"/>
      <c r="I118" s="374" t="n"/>
      <c r="J118" s="374" t="n"/>
      <c r="K118" s="374" t="n"/>
      <c r="L118" s="374" t="n"/>
      <c r="M118" s="374" t="n"/>
      <c r="N118" s="374" t="n"/>
      <c r="O118" s="374" t="n"/>
      <c r="P118" s="201" t="n"/>
      <c r="Q118" s="150" t="n"/>
      <c r="R118" s="278" t="n"/>
      <c r="S118" s="296" t="n"/>
      <c r="T118" s="296" t="n"/>
      <c r="U118" s="296" t="n"/>
      <c r="V118" s="296" t="n"/>
      <c r="W118" s="152" t="n"/>
      <c r="X118" s="65" t="inlineStr">
        <is>
          <t>Standard</t>
        </is>
      </c>
    </row>
    <row r="119" customFormat="1" s="65">
      <c r="B119" s="380" t="n"/>
      <c r="C119" s="374" t="n"/>
      <c r="D119" s="374" t="n"/>
      <c r="E119" s="374" t="n"/>
      <c r="F119" s="374" t="n"/>
      <c r="G119" s="374" t="n"/>
      <c r="H119" s="374" t="n"/>
      <c r="I119" s="374" t="n"/>
      <c r="J119" s="374" t="n"/>
      <c r="K119" s="374" t="n"/>
      <c r="L119" s="374" t="n"/>
      <c r="M119" s="374" t="n"/>
      <c r="N119" s="374" t="n"/>
      <c r="O119" s="374" t="n"/>
      <c r="P119" s="201" t="n"/>
      <c r="Q119" s="150" t="n"/>
      <c r="R119" s="278" t="n"/>
      <c r="S119" s="296" t="n"/>
      <c r="T119" s="296" t="n"/>
      <c r="U119" s="296" t="n"/>
      <c r="V119" s="296" t="n"/>
      <c r="W119" s="152" t="n"/>
      <c r="X119" s="65" t="inlineStr">
        <is>
          <t>Enhanced</t>
        </is>
      </c>
    </row>
    <row r="120" ht="21.95" customFormat="1" customHeight="1" s="65">
      <c r="B120" s="341" t="inlineStr">
        <is>
          <t>Overall conclusion on inherent risk on the accounting estimate:</t>
        </is>
      </c>
      <c r="L120" s="202" t="n"/>
      <c r="M120" s="202" t="n"/>
      <c r="N120" s="202" t="n"/>
      <c r="O120" s="202" t="n"/>
      <c r="P120" s="333" t="inlineStr">
        <is>
          <t>Link to guidance</t>
        </is>
      </c>
      <c r="Q120" s="140" t="n"/>
      <c r="R120" s="292" t="n"/>
      <c r="S120" s="293" t="n"/>
      <c r="T120" s="293" t="n"/>
      <c r="U120" s="293" t="n"/>
      <c r="V120" s="293" t="n"/>
      <c r="W120" s="153" t="n"/>
      <c r="X120" s="65" t="inlineStr">
        <is>
          <t>Significant</t>
        </is>
      </c>
    </row>
    <row r="121" ht="15" customFormat="1" customHeight="1" s="65">
      <c r="B121" s="203" t="inlineStr">
        <is>
          <t>The suggested calculated level of inherent risk associated with this accounting estimate is:</t>
        </is>
      </c>
      <c r="C121" s="204" t="n"/>
      <c r="D121" s="204" t="n"/>
      <c r="E121" s="204" t="n"/>
      <c r="F121" s="204" t="n"/>
      <c r="G121" s="204" t="n"/>
      <c r="H121" s="204" t="n"/>
      <c r="I121" s="204" t="n"/>
      <c r="J121" s="204" t="n"/>
      <c r="K121" s="68" t="n"/>
      <c r="L121" s="180">
        <f>IF(AA106&gt;6,"Significant",IF(AA106=6,"Enhanced",IF(AA106=5,"Enhanced",IF(AA106=3,"Standard",IF(AA106=4,"Enhanced","")))))</f>
        <v/>
      </c>
      <c r="M121" s="197" t="inlineStr">
        <is>
          <t>Calculation is based on the 3 answers above</t>
        </is>
      </c>
      <c r="N121" s="197" t="n"/>
      <c r="O121" s="197" t="n"/>
      <c r="P121" s="381" t="n"/>
      <c r="Q121" s="140" t="n"/>
      <c r="R121" s="269" t="n"/>
      <c r="S121" s="270" t="n"/>
      <c r="T121" s="270" t="n"/>
      <c r="U121" s="271" t="n"/>
      <c r="V121" s="271" t="n"/>
      <c r="W121" s="132" t="n"/>
    </row>
    <row r="122" ht="15" customFormat="1" customHeight="1" s="65">
      <c r="B122" s="339" t="inlineStr">
        <is>
          <t>Other inherent risk factors</t>
        </is>
      </c>
      <c r="P122" s="200" t="n"/>
      <c r="Q122" s="140" t="n"/>
      <c r="R122" s="292" t="n"/>
      <c r="S122" s="293" t="n"/>
      <c r="T122" s="293" t="n"/>
      <c r="U122" s="293" t="n"/>
      <c r="V122" s="293" t="n"/>
      <c r="W122" s="153" t="n"/>
    </row>
    <row r="123" ht="15" customFormat="1" customHeight="1" s="65">
      <c r="B123" s="382" t="inlineStr">
        <is>
          <t>회사가 이연법인세자산을 추가 인식하는 방향의 수정사항을 제시하여 자산·이익을 증가시키는 편의 가능성을 고려함. 다만 Franchise agreement 및 예산 대비 실제 매출 초과 달성 등 객관적 근거가 존재하여 편의의 징후는 없는 것으로 판단함.</t>
        </is>
      </c>
      <c r="C123" s="374" t="n"/>
      <c r="D123" s="374" t="n"/>
      <c r="E123" s="374" t="n"/>
      <c r="F123" s="374" t="n"/>
      <c r="G123" s="374" t="n"/>
      <c r="H123" s="374" t="n"/>
      <c r="I123" s="374" t="n"/>
      <c r="J123" s="374" t="n"/>
      <c r="K123" s="374" t="n"/>
      <c r="L123" s="374" t="n"/>
      <c r="M123" s="374" t="n"/>
      <c r="N123" s="374" t="n"/>
      <c r="O123" s="374" t="n"/>
      <c r="P123" s="333" t="inlineStr">
        <is>
          <t>Link to guidance</t>
        </is>
      </c>
      <c r="Q123" s="140" t="n"/>
      <c r="R123" s="355" t="inlineStr">
        <is>
          <t xml:space="preserve">The auditor's selected level of inherent risk for the accounting estimate should be reflected in Atlas within the node 'Determine preliminary RMM for assertions'. Please note that this template only deals with the accounting estimate, and therefore there may be other factors which drive the inherent risk level for the overall assertion. The inherent risk level for the assertion may the same or a higher level of inherent risk as this template. </t>
        </is>
      </c>
      <c r="W123" s="132" t="n"/>
    </row>
    <row r="124" ht="15" customFormat="1" customHeight="1" s="65">
      <c r="B124" s="380" t="n"/>
      <c r="C124" s="374" t="n"/>
      <c r="D124" s="374" t="n"/>
      <c r="E124" s="374" t="n"/>
      <c r="F124" s="374" t="n"/>
      <c r="G124" s="374" t="n"/>
      <c r="H124" s="374" t="n"/>
      <c r="I124" s="374" t="n"/>
      <c r="J124" s="374" t="n"/>
      <c r="K124" s="374" t="n"/>
      <c r="L124" s="374" t="n"/>
      <c r="M124" s="374" t="n"/>
      <c r="N124" s="374" t="n"/>
      <c r="O124" s="374" t="n"/>
      <c r="P124" s="381" t="n"/>
      <c r="Q124" s="140" t="n"/>
      <c r="W124" s="132" t="n"/>
    </row>
    <row r="125" ht="15" customFormat="1" customHeight="1" s="65" thickBot="1">
      <c r="B125" s="380" t="n"/>
      <c r="C125" s="374" t="n"/>
      <c r="D125" s="374" t="n"/>
      <c r="E125" s="374" t="n"/>
      <c r="F125" s="374" t="n"/>
      <c r="G125" s="374" t="n"/>
      <c r="H125" s="374" t="n"/>
      <c r="I125" s="374" t="n"/>
      <c r="J125" s="374" t="n"/>
      <c r="K125" s="374" t="n"/>
      <c r="L125" s="374" t="n"/>
      <c r="M125" s="374" t="n"/>
      <c r="N125" s="374" t="n"/>
      <c r="O125" s="374" t="n"/>
      <c r="P125" s="200" t="n"/>
      <c r="Q125" s="140" t="n"/>
      <c r="W125" s="153" t="n"/>
    </row>
    <row r="126" ht="16.5" customFormat="1" customHeight="1" s="65" thickBot="1">
      <c r="B126" s="205" t="inlineStr">
        <is>
          <t>Auditor's selected level of inherent risk associated with this accounting estimate is:</t>
        </is>
      </c>
      <c r="C126" s="206" t="n"/>
      <c r="D126" s="206" t="n"/>
      <c r="E126" s="206" t="n"/>
      <c r="F126" s="206" t="n"/>
      <c r="G126" s="206" t="n"/>
      <c r="H126" s="206" t="n"/>
      <c r="I126" s="206" t="n"/>
      <c r="J126" s="206" t="n"/>
      <c r="K126" s="68" t="n"/>
      <c r="L126" s="301" t="inlineStr">
        <is>
          <t>Enhanced</t>
        </is>
      </c>
      <c r="M126" s="197" t="inlineStr">
        <is>
          <t>User should select from the dropdown menu.</t>
        </is>
      </c>
      <c r="N126" s="206" t="n"/>
      <c r="O126" s="206" t="n"/>
      <c r="P126" s="333" t="inlineStr">
        <is>
          <t>Link to guidance</t>
        </is>
      </c>
      <c r="Q126" s="149" t="n"/>
      <c r="W126" s="132" t="n"/>
    </row>
    <row r="127" ht="18.75" customFormat="1" customHeight="1" s="65">
      <c r="B127" s="339" t="inlineStr">
        <is>
          <t>The reason for the auditor's selected level of inherent risk is due to (Mandatory to explain if there is a departure from the suggested level of inherent risk):</t>
        </is>
      </c>
      <c r="P127" s="381" t="n"/>
      <c r="Q127" s="140" t="n"/>
      <c r="W127" s="132" t="n"/>
    </row>
    <row r="128" ht="15" customFormat="1" customHeight="1" s="65">
      <c r="B128" s="387" t="inlineStr">
        <is>
          <t>복잡성은 낮으나 미래 과세소득 추정에 따른 추정불확실성 및 실현가능성 판단의 주관성을 고려하여 고유위험을 강화(Enhanced)로 선택함(제안 수준과 동일).</t>
        </is>
      </c>
      <c r="C128" s="374" t="n"/>
      <c r="D128" s="374" t="n"/>
      <c r="E128" s="374" t="n"/>
      <c r="F128" s="374" t="n"/>
      <c r="G128" s="374" t="n"/>
      <c r="H128" s="374" t="n"/>
      <c r="I128" s="374" t="n"/>
      <c r="J128" s="374" t="n"/>
      <c r="K128" s="374" t="n"/>
      <c r="L128" s="374" t="n"/>
      <c r="M128" s="374" t="n"/>
      <c r="N128" s="374" t="n"/>
      <c r="O128" s="374" t="n"/>
      <c r="P128" s="333" t="inlineStr">
        <is>
          <t>Link to guidance</t>
        </is>
      </c>
      <c r="Q128" s="140" t="n"/>
      <c r="W128" s="132" t="n"/>
    </row>
    <row r="129" ht="15" customFormat="1" customHeight="1" s="65">
      <c r="B129" s="380" t="n"/>
      <c r="C129" s="374" t="n"/>
      <c r="D129" s="374" t="n"/>
      <c r="E129" s="374" t="n"/>
      <c r="F129" s="374" t="n"/>
      <c r="G129" s="374" t="n"/>
      <c r="H129" s="374" t="n"/>
      <c r="I129" s="374" t="n"/>
      <c r="J129" s="374" t="n"/>
      <c r="K129" s="374" t="n"/>
      <c r="L129" s="374" t="n"/>
      <c r="M129" s="374" t="n"/>
      <c r="N129" s="374" t="n"/>
      <c r="O129" s="374" t="n"/>
      <c r="P129" s="381" t="n"/>
      <c r="Q129" s="140" t="n"/>
      <c r="W129" s="153" t="n"/>
    </row>
    <row r="130" ht="15" customFormat="1" customHeight="1" s="65" thickBot="1">
      <c r="B130" s="388" t="n"/>
      <c r="C130" s="389" t="n"/>
      <c r="D130" s="389" t="n"/>
      <c r="E130" s="389" t="n"/>
      <c r="F130" s="389" t="n"/>
      <c r="G130" s="389" t="n"/>
      <c r="H130" s="389" t="n"/>
      <c r="I130" s="389" t="n"/>
      <c r="J130" s="389" t="n"/>
      <c r="K130" s="389" t="n"/>
      <c r="L130" s="389" t="n"/>
      <c r="M130" s="389" t="n"/>
      <c r="N130" s="389" t="n"/>
      <c r="O130" s="389" t="n"/>
      <c r="P130" s="207" t="n"/>
      <c r="Q130" s="140" t="n"/>
      <c r="W130" s="153" t="n"/>
    </row>
    <row r="131" ht="15" customFormat="1" customHeight="1" s="55">
      <c r="B131" s="166" t="n"/>
      <c r="C131" s="166" t="n"/>
      <c r="D131" s="166" t="n"/>
      <c r="E131" s="166" t="n"/>
      <c r="F131" s="166" t="n"/>
      <c r="G131" s="166" t="n"/>
      <c r="H131" s="166" t="n"/>
      <c r="I131" s="166" t="n"/>
      <c r="J131" s="166" t="n"/>
      <c r="K131" s="166" t="n"/>
      <c r="L131" s="166" t="n"/>
      <c r="M131" s="166" t="n"/>
      <c r="N131" s="166" t="n"/>
      <c r="O131" s="166" t="n"/>
      <c r="P131" s="167" t="n"/>
      <c r="Q131" s="16" t="n"/>
      <c r="W131" s="63" t="n"/>
    </row>
    <row r="132" ht="24.75" customFormat="1" customHeight="1" s="55" thickBot="1">
      <c r="B132" s="168" t="n"/>
      <c r="C132" s="11" t="n"/>
      <c r="D132" s="11" t="n"/>
      <c r="E132" s="11" t="n"/>
      <c r="F132" s="11" t="n"/>
      <c r="G132" s="11" t="n"/>
      <c r="H132" s="11" t="n"/>
      <c r="I132" s="11" t="n"/>
      <c r="J132" s="11" t="n"/>
      <c r="K132" s="11" t="n"/>
      <c r="L132" s="11" t="n"/>
      <c r="M132" s="11" t="n"/>
      <c r="N132" s="11" t="n"/>
      <c r="O132" s="11" t="n"/>
      <c r="P132" s="169" t="n"/>
      <c r="Q132" s="11" t="n"/>
      <c r="R132" s="280" t="n"/>
      <c r="S132" s="281" t="n"/>
      <c r="T132" s="281" t="n"/>
      <c r="U132" s="281" t="n"/>
      <c r="V132" s="281" t="n"/>
      <c r="W132" s="53" t="n"/>
    </row>
    <row r="133" ht="33" customFormat="1" customHeight="1" s="65">
      <c r="B133" s="181" t="inlineStr">
        <is>
          <t>Control risk assessment</t>
        </is>
      </c>
      <c r="C133" s="182" t="n"/>
      <c r="D133" s="182" t="n"/>
      <c r="E133" s="182" t="n"/>
      <c r="F133" s="182" t="n"/>
      <c r="G133" s="182" t="n"/>
      <c r="H133" s="182" t="n"/>
      <c r="I133" s="182" t="n"/>
      <c r="J133" s="182" t="n"/>
      <c r="K133" s="182" t="n"/>
      <c r="L133" s="182" t="n"/>
      <c r="M133" s="182" t="n"/>
      <c r="N133" s="182" t="n"/>
      <c r="O133" s="182" t="n"/>
      <c r="P133" s="183" t="n"/>
      <c r="Q133" s="143" t="n"/>
      <c r="R133" s="280" t="n"/>
      <c r="S133" s="281" t="n"/>
      <c r="T133" s="281" t="n"/>
      <c r="U133" s="281" t="n"/>
      <c r="V133" s="281" t="n"/>
      <c r="W133" s="64" t="n"/>
    </row>
    <row r="134" customFormat="1" s="65">
      <c r="B134" s="184" t="inlineStr">
        <is>
          <t>Control Risk [ISA (revised) 540.16 and 17]</t>
        </is>
      </c>
      <c r="C134" s="71" t="n"/>
      <c r="D134" s="71" t="n"/>
      <c r="E134" s="71" t="n"/>
      <c r="F134" s="71" t="n"/>
      <c r="G134" s="71" t="n"/>
      <c r="H134" s="71" t="n"/>
      <c r="I134" s="174" t="n"/>
      <c r="J134" s="174" t="n"/>
      <c r="K134" s="174" t="n"/>
      <c r="L134" s="174" t="n"/>
      <c r="M134" s="174" t="n"/>
      <c r="N134" s="174" t="n"/>
      <c r="O134" s="71" t="n"/>
      <c r="P134" s="185" t="n"/>
      <c r="Q134" s="143" t="n"/>
      <c r="R134" s="280" t="n"/>
      <c r="S134" s="281" t="n"/>
      <c r="T134" s="281" t="n"/>
      <c r="U134" s="281" t="n"/>
      <c r="V134" s="281" t="n"/>
      <c r="W134" s="64" t="n"/>
    </row>
    <row r="135" ht="15" customFormat="1" customHeight="1" s="65">
      <c r="B135" s="186" t="inlineStr">
        <is>
          <t>Controls associated with accounting estimates</t>
        </is>
      </c>
      <c r="C135" s="71" t="n"/>
      <c r="D135" s="71" t="n"/>
      <c r="E135" s="71" t="n"/>
      <c r="F135" s="71" t="n"/>
      <c r="G135" s="71" t="n"/>
      <c r="H135" s="174" t="n"/>
      <c r="I135" s="174" t="n"/>
      <c r="J135" s="174" t="n"/>
      <c r="K135" s="174" t="n"/>
      <c r="L135" s="174" t="n"/>
      <c r="M135" s="174" t="n"/>
      <c r="N135" s="174" t="n"/>
      <c r="O135" s="174" t="n"/>
      <c r="P135" s="187" t="n"/>
      <c r="Q135" s="143" t="n"/>
      <c r="R135" s="280" t="n"/>
      <c r="S135" s="281" t="n"/>
      <c r="T135" s="281" t="n"/>
      <c r="U135" s="281" t="n"/>
      <c r="V135" s="281" t="n"/>
      <c r="W135" s="64" t="n"/>
    </row>
    <row r="136" customFormat="1" s="65">
      <c r="B136" s="186" t="inlineStr">
        <is>
          <t>THIS INFORMATION IS COPIED FROM CELLS ABOVE</t>
        </is>
      </c>
      <c r="C136" s="71" t="n"/>
      <c r="D136" s="71" t="n"/>
      <c r="E136" s="71" t="n"/>
      <c r="F136" s="71" t="n"/>
      <c r="G136" s="71" t="n"/>
      <c r="H136" s="174" t="n"/>
      <c r="I136" s="174" t="n"/>
      <c r="J136" s="174" t="n"/>
      <c r="K136" s="174" t="n"/>
      <c r="L136" s="174" t="n"/>
      <c r="M136" s="174" t="n"/>
      <c r="N136" s="174" t="n"/>
      <c r="O136" s="174" t="n"/>
      <c r="P136" s="187" t="n"/>
      <c r="Q136" s="143" t="n"/>
      <c r="R136" s="280" t="n"/>
      <c r="S136" s="281" t="n"/>
      <c r="T136" s="281" t="n"/>
      <c r="U136" s="281" t="n"/>
      <c r="V136" s="281" t="n"/>
      <c r="W136" s="64" t="n"/>
    </row>
    <row r="137" ht="15" customFormat="1" customHeight="1" s="65">
      <c r="B137" s="335">
        <f>B45</f>
        <v/>
      </c>
      <c r="P137" s="188" t="n"/>
      <c r="Q137" s="143" t="n"/>
      <c r="R137" s="355" t="inlineStr">
        <is>
          <t xml:space="preserve">Please ensure that the controls identified here are copied into Atlas on the node 'Identify controls that address WCGW's and relate them to the WCGW's' </t>
        </is>
      </c>
      <c r="W137" s="64" t="n"/>
    </row>
    <row r="138" ht="15.75" customFormat="1" customHeight="1" s="65">
      <c r="B138" s="386" t="n"/>
      <c r="P138" s="188" t="n"/>
      <c r="Q138" s="143" t="n"/>
      <c r="W138" s="64" t="n"/>
      <c r="X138" s="151" t="inlineStr">
        <is>
          <t>TOE performed dropdown menu (to be hidden)</t>
        </is>
      </c>
    </row>
    <row r="139" ht="15.75" customFormat="1" customHeight="1" s="65" thickBot="1">
      <c r="B139" s="386" t="n"/>
      <c r="P139" s="333" t="inlineStr">
        <is>
          <t>Link to guidance</t>
        </is>
      </c>
      <c r="Q139" s="143" t="n"/>
      <c r="W139" s="64" t="n"/>
      <c r="X139" s="65" t="inlineStr">
        <is>
          <t>Yes</t>
        </is>
      </c>
    </row>
    <row r="140" ht="16.5" customFormat="1" customHeight="1" s="65" thickBot="1">
      <c r="B140" s="186" t="inlineStr">
        <is>
          <t>Will we rely on the control(s) operating effectively?</t>
        </is>
      </c>
      <c r="C140" s="175" t="n"/>
      <c r="D140" s="175" t="n"/>
      <c r="E140" s="175" t="n"/>
      <c r="F140" s="175" t="n"/>
      <c r="G140" s="176" t="n"/>
      <c r="H140" s="301" t="inlineStr">
        <is>
          <t>No</t>
        </is>
      </c>
      <c r="I140" s="177" t="inlineStr">
        <is>
          <t>User to select from dropdown menu</t>
        </is>
      </c>
      <c r="J140" s="176" t="n"/>
      <c r="K140" s="176" t="n"/>
      <c r="L140" s="178" t="n"/>
      <c r="M140" s="178" t="n"/>
      <c r="N140" s="178" t="n"/>
      <c r="O140" s="178" t="n"/>
      <c r="P140" s="381" t="n"/>
      <c r="Q140" s="140" t="n"/>
      <c r="R140" s="343" t="inlineStr">
        <is>
          <t>Our response should be copied into the node 'Document our understanding of and planned approach for the identified controls'</t>
        </is>
      </c>
      <c r="W140" s="153" t="n"/>
      <c r="X140" s="65" t="inlineStr">
        <is>
          <t>No</t>
        </is>
      </c>
    </row>
    <row r="141" customFormat="1" s="65">
      <c r="B141" s="189" t="inlineStr">
        <is>
          <t>Planned control reliance:</t>
        </is>
      </c>
      <c r="C141" s="179" t="n"/>
      <c r="D141" s="68" t="n"/>
      <c r="E141" s="180">
        <f>IF(H140="Yes","High reliance",IF(H140="No","No reliance",""))</f>
        <v/>
      </c>
      <c r="F141" s="173" t="inlineStr">
        <is>
          <t xml:space="preserve">Please note this is the inverse of the control risk. </t>
        </is>
      </c>
      <c r="G141" s="68" t="n"/>
      <c r="H141" s="68" t="n"/>
      <c r="I141" s="68" t="n"/>
      <c r="J141" s="68" t="n"/>
      <c r="K141" s="68" t="n"/>
      <c r="L141" s="66" t="n"/>
      <c r="M141" s="66" t="n"/>
      <c r="N141" s="66" t="n"/>
      <c r="O141" s="66" t="n"/>
      <c r="P141" s="347" t="inlineStr">
        <is>
          <t>Link to guidance</t>
        </is>
      </c>
      <c r="Q141" s="19" t="n"/>
      <c r="R141" s="297" t="n"/>
      <c r="S141" s="270" t="n"/>
      <c r="T141" s="270" t="n"/>
      <c r="U141" s="271" t="n"/>
      <c r="V141" s="271" t="n"/>
      <c r="W141" s="64" t="n"/>
    </row>
    <row r="142" customFormat="1" s="65">
      <c r="B142" s="189" t="inlineStr">
        <is>
          <t>Planned control risk:</t>
        </is>
      </c>
      <c r="C142" s="179" t="n"/>
      <c r="D142" s="68" t="n"/>
      <c r="E142" s="180">
        <f>IF(E141="High reliance","Low",IF(E141="No reliance","High",""))</f>
        <v/>
      </c>
      <c r="F142" s="173" t="n"/>
      <c r="G142" s="68" t="n"/>
      <c r="H142" s="68" t="n"/>
      <c r="I142" s="68" t="n"/>
      <c r="J142" s="68" t="n"/>
      <c r="K142" s="68" t="n"/>
      <c r="L142" s="66" t="n"/>
      <c r="M142" s="66" t="n"/>
      <c r="N142" s="66" t="n"/>
      <c r="O142" s="66" t="n"/>
      <c r="P142" s="381" t="n"/>
      <c r="Q142" s="19" t="n"/>
      <c r="R142" s="300" t="inlineStr">
        <is>
          <t>This will display in the node 'Audit strategy overview'</t>
        </is>
      </c>
      <c r="S142" s="344" t="n"/>
      <c r="T142" s="344" t="n"/>
      <c r="U142" s="344" t="n"/>
      <c r="V142" s="344" t="n"/>
      <c r="W142" s="64" t="n"/>
    </row>
    <row r="143" ht="15.75" customFormat="1" customHeight="1" s="65">
      <c r="B143" s="190" t="inlineStr">
        <is>
          <t>Reason for assessment of control reliance:</t>
        </is>
      </c>
      <c r="C143" s="171" t="n"/>
      <c r="D143" s="171" t="n"/>
      <c r="E143" s="171" t="n"/>
      <c r="F143" s="171" t="n"/>
      <c r="G143" s="171" t="n"/>
      <c r="H143" s="171" t="n"/>
      <c r="I143" s="171" t="n"/>
      <c r="J143" s="171" t="n"/>
      <c r="K143" s="171" t="n"/>
      <c r="L143" s="172" t="n"/>
      <c r="M143" s="172" t="n"/>
      <c r="N143" s="172" t="n"/>
      <c r="O143" s="172" t="n"/>
      <c r="P143" s="381" t="n"/>
      <c r="Q143" s="154" t="n"/>
      <c r="R143" s="298" t="n"/>
      <c r="S143" s="344" t="n"/>
      <c r="T143" s="344" t="n"/>
      <c r="U143" s="344" t="n"/>
      <c r="V143" s="344" t="n"/>
      <c r="W143" s="155" t="n"/>
      <c r="X143" s="151" t="inlineStr">
        <is>
          <t>Planned control reliance dropdown menu (to be hidden)</t>
        </is>
      </c>
    </row>
    <row r="144" ht="15" customFormat="1" customHeight="1" s="65">
      <c r="B144" s="387" t="inlineStr">
        <is>
          <t>일시적차이 재계산, 미래 과세소득 근거(Business plan·Franchise agreement) 검토 등 실증절차만으로 충분하고 적합한 감사증거를 확보할 수 있어 통제 운영효과성에 의존하지 않음.</t>
        </is>
      </c>
      <c r="C144" s="374" t="n"/>
      <c r="D144" s="374" t="n"/>
      <c r="E144" s="374" t="n"/>
      <c r="F144" s="374" t="n"/>
      <c r="G144" s="374" t="n"/>
      <c r="H144" s="374" t="n"/>
      <c r="I144" s="374" t="n"/>
      <c r="J144" s="374" t="n"/>
      <c r="K144" s="374" t="n"/>
      <c r="L144" s="374" t="n"/>
      <c r="M144" s="374" t="n"/>
      <c r="N144" s="374" t="n"/>
      <c r="O144" s="374" t="n"/>
      <c r="P144" s="333" t="n"/>
      <c r="Q144" s="154" t="n"/>
      <c r="R144" s="298" t="n"/>
      <c r="S144" s="344" t="n"/>
      <c r="T144" s="344" t="n"/>
      <c r="U144" s="344" t="n"/>
      <c r="V144" s="344" t="n"/>
      <c r="W144" s="132" t="n"/>
      <c r="X144" s="65" t="inlineStr">
        <is>
          <t>No reliance</t>
        </is>
      </c>
    </row>
    <row r="145" customFormat="1" s="65">
      <c r="B145" s="380" t="n"/>
      <c r="C145" s="374" t="n"/>
      <c r="D145" s="374" t="n"/>
      <c r="E145" s="374" t="n"/>
      <c r="F145" s="374" t="n"/>
      <c r="G145" s="374" t="n"/>
      <c r="H145" s="374" t="n"/>
      <c r="I145" s="374" t="n"/>
      <c r="J145" s="374" t="n"/>
      <c r="K145" s="374" t="n"/>
      <c r="L145" s="374" t="n"/>
      <c r="M145" s="374" t="n"/>
      <c r="N145" s="374" t="n"/>
      <c r="O145" s="374" t="n"/>
      <c r="P145" s="381" t="n"/>
      <c r="Q145" s="154" t="n"/>
      <c r="R145" s="298" t="n"/>
      <c r="S145" s="344" t="n"/>
      <c r="T145" s="344" t="n"/>
      <c r="U145" s="344" t="n"/>
      <c r="V145" s="344" t="n"/>
      <c r="W145" s="132" t="n"/>
      <c r="X145" s="65" t="inlineStr">
        <is>
          <t>High reliance</t>
        </is>
      </c>
    </row>
    <row r="146" ht="15.75" customFormat="1" customHeight="1" s="65" thickBot="1">
      <c r="B146" s="388" t="n"/>
      <c r="C146" s="389" t="n"/>
      <c r="D146" s="389" t="n"/>
      <c r="E146" s="389" t="n"/>
      <c r="F146" s="389" t="n"/>
      <c r="G146" s="389" t="n"/>
      <c r="H146" s="389" t="n"/>
      <c r="I146" s="389" t="n"/>
      <c r="J146" s="389" t="n"/>
      <c r="K146" s="389" t="n"/>
      <c r="L146" s="389" t="n"/>
      <c r="M146" s="389" t="n"/>
      <c r="N146" s="389" t="n"/>
      <c r="O146" s="389" t="n"/>
      <c r="P146" s="191" t="n"/>
      <c r="Q146" s="19" t="n"/>
      <c r="R146" s="267" t="n"/>
      <c r="S146" s="268" t="n"/>
      <c r="T146" s="268" t="n"/>
      <c r="U146" s="268" t="n"/>
      <c r="V146" s="268" t="n"/>
      <c r="W146" s="64" t="n"/>
    </row>
    <row r="147" customFormat="1" s="55">
      <c r="B147" s="164">
        <f>IF(H140="yes","Please document any tests of control below in the planned response section","")</f>
        <v/>
      </c>
      <c r="C147" s="164" t="n"/>
      <c r="D147" s="164" t="n"/>
      <c r="E147" s="164" t="n"/>
      <c r="F147" s="164" t="n"/>
      <c r="G147" s="164" t="n"/>
      <c r="H147" s="164" t="n"/>
      <c r="I147" s="164" t="n"/>
      <c r="J147" s="164" t="n"/>
      <c r="K147" s="164" t="n"/>
      <c r="L147" s="164" t="n"/>
      <c r="M147" s="164" t="n"/>
      <c r="N147" s="164" t="n"/>
      <c r="O147" s="164" t="n"/>
      <c r="P147" s="165" t="n"/>
      <c r="Q147" s="4" t="n"/>
      <c r="R147" s="267" t="n"/>
      <c r="S147" s="268" t="n"/>
      <c r="T147" s="268" t="n"/>
      <c r="U147" s="268" t="n"/>
      <c r="V147" s="268" t="n"/>
      <c r="W147" s="53" t="n"/>
    </row>
    <row r="148" customFormat="1" s="65">
      <c r="B148" s="1" t="n"/>
      <c r="C148" s="5" t="n"/>
      <c r="D148" s="5" t="n"/>
      <c r="E148" s="5" t="n"/>
      <c r="F148" s="5" t="n"/>
      <c r="G148" s="5" t="n"/>
      <c r="H148" s="5" t="n"/>
      <c r="I148" s="5" t="n"/>
      <c r="J148" s="5" t="n"/>
      <c r="K148" s="5" t="n"/>
      <c r="L148" s="5" t="n"/>
      <c r="M148" s="5" t="n"/>
      <c r="N148" s="5" t="n"/>
      <c r="O148" s="4" t="n"/>
      <c r="P148" s="126" t="n"/>
      <c r="Q148" s="19" t="n"/>
      <c r="R148" s="267" t="n"/>
      <c r="S148" s="268" t="n"/>
      <c r="T148" s="268" t="n"/>
      <c r="U148" s="268" t="n"/>
      <c r="V148" s="268" t="n"/>
      <c r="W148" s="64" t="n"/>
    </row>
    <row r="149" ht="31.5" customFormat="1" customHeight="1" s="119">
      <c r="B149" s="119" t="inlineStr">
        <is>
          <t>STEP 3:   RESPONSES TO THE ASSESSED RISKS OF MATERIAL MISSTATEMENT</t>
        </is>
      </c>
      <c r="P149" s="159" t="n"/>
      <c r="R149" s="267" t="n"/>
      <c r="S149" s="268" t="n"/>
      <c r="T149" s="268" t="n"/>
      <c r="U149" s="268" t="n"/>
      <c r="V149" s="268" t="n"/>
      <c r="W149" s="122" t="n"/>
    </row>
    <row r="150" ht="35.1" customFormat="1" customHeight="1" s="55" thickBot="1">
      <c r="B150" s="162" t="n"/>
      <c r="C150" s="26" t="n"/>
      <c r="D150" s="26" t="n"/>
      <c r="E150" s="26" t="n"/>
      <c r="F150" s="26" t="n"/>
      <c r="G150" s="26" t="n"/>
      <c r="H150" s="26" t="n"/>
      <c r="I150" s="26" t="n"/>
      <c r="J150" s="26" t="n"/>
      <c r="K150" s="26" t="n"/>
      <c r="L150" s="26" t="n"/>
      <c r="M150" s="26" t="n"/>
      <c r="N150" s="26" t="n"/>
      <c r="O150" s="26" t="n"/>
      <c r="P150" s="163" t="n"/>
      <c r="Q150" s="26" t="n"/>
      <c r="R150" s="267" t="n"/>
      <c r="S150" s="268" t="n"/>
      <c r="T150" s="268" t="n"/>
      <c r="U150" s="268" t="n"/>
      <c r="V150" s="268" t="n"/>
      <c r="W150" s="53" t="n"/>
    </row>
    <row r="151" ht="35.1" customFormat="1" customHeight="1" s="65">
      <c r="B151" s="181" t="inlineStr">
        <is>
          <t>Risk of material misstatement</t>
        </is>
      </c>
      <c r="C151" s="182" t="n"/>
      <c r="D151" s="182" t="n"/>
      <c r="E151" s="182" t="n"/>
      <c r="F151" s="182" t="n"/>
      <c r="G151" s="182" t="n"/>
      <c r="H151" s="182" t="n"/>
      <c r="I151" s="182" t="n"/>
      <c r="J151" s="182" t="n"/>
      <c r="K151" s="182" t="n"/>
      <c r="L151" s="182" t="n"/>
      <c r="M151" s="182" t="n"/>
      <c r="N151" s="182" t="n"/>
      <c r="O151" s="182" t="n"/>
      <c r="P151" s="183" t="n"/>
      <c r="Q151" s="143" t="n"/>
      <c r="R151" s="267" t="n"/>
      <c r="S151" s="268" t="n"/>
      <c r="T151" s="268" t="n"/>
      <c r="U151" s="268" t="n"/>
      <c r="V151" s="268" t="n"/>
      <c r="W151" s="64" t="n"/>
    </row>
    <row r="152" hidden="1" ht="35.1" customFormat="1" customHeight="1" s="65">
      <c r="B152" s="229" t="n"/>
      <c r="C152" s="36" t="n"/>
      <c r="D152" s="36" t="n"/>
      <c r="E152" s="36" t="n"/>
      <c r="F152" s="36" t="n"/>
      <c r="G152" s="36" t="n"/>
      <c r="H152" s="36" t="n"/>
      <c r="I152" s="36" t="n"/>
      <c r="J152" s="36" t="n"/>
      <c r="K152" s="36" t="n"/>
      <c r="L152" s="36" t="n"/>
      <c r="M152" s="36" t="n"/>
      <c r="N152" s="36" t="n"/>
      <c r="O152" s="36" t="n"/>
      <c r="P152" s="230" t="n"/>
      <c r="Q152" s="75" t="n"/>
      <c r="R152" s="267" t="n"/>
      <c r="S152" s="268" t="n"/>
      <c r="T152" s="268" t="n"/>
      <c r="U152" s="268" t="n"/>
      <c r="V152" s="268" t="n"/>
      <c r="W152" s="64" t="n"/>
    </row>
    <row r="153" hidden="1" ht="35.1" customFormat="1" customHeight="1" s="65">
      <c r="B153" s="231" t="inlineStr">
        <is>
          <t>Combined field for formula</t>
        </is>
      </c>
      <c r="C153" s="36" t="n"/>
      <c r="D153" s="36" t="n"/>
      <c r="E153" s="36">
        <f>L126&amp;E141</f>
        <v/>
      </c>
      <c r="F153" s="36" t="n"/>
      <c r="G153" s="36" t="n"/>
      <c r="H153" s="36" t="inlineStr">
        <is>
          <t>THIS ROW IS TO BE HIDDEN</t>
        </is>
      </c>
      <c r="I153" s="36" t="n"/>
      <c r="J153" s="36" t="n"/>
      <c r="K153" s="36" t="n"/>
      <c r="L153" s="36" t="n"/>
      <c r="M153" s="36" t="n"/>
      <c r="N153" s="36" t="n"/>
      <c r="O153" s="36" t="n"/>
      <c r="P153" s="230" t="n"/>
      <c r="Q153" s="75" t="n"/>
      <c r="R153" s="267" t="n"/>
      <c r="S153" s="268" t="n"/>
      <c r="T153" s="268" t="n"/>
      <c r="U153" s="268" t="n"/>
      <c r="V153" s="268" t="n"/>
      <c r="W153" s="64" t="n"/>
    </row>
    <row r="154" customFormat="1" s="65">
      <c r="B154" s="195" t="inlineStr">
        <is>
          <t>The risk of material misstatement associated with the accounting estimate is:</t>
        </is>
      </c>
      <c r="C154" s="68" t="n"/>
      <c r="D154" s="68" t="n"/>
      <c r="E154" s="68" t="n"/>
      <c r="F154" s="68" t="n"/>
      <c r="G154" s="68" t="n"/>
      <c r="H154" s="68" t="n"/>
      <c r="I154" s="68" t="n"/>
      <c r="J154" s="180">
        <f>IFERROR(VLOOKUP(E153,X192:AA197,4,FALSE),"")</f>
        <v/>
      </c>
      <c r="K154" s="232" t="n"/>
      <c r="L154" s="232" t="n"/>
      <c r="M154" s="232" t="n"/>
      <c r="N154" s="232" t="n"/>
      <c r="O154" s="232" t="n"/>
      <c r="P154" s="230" t="n"/>
      <c r="Q154" s="75" t="n"/>
      <c r="R154" s="267" t="n"/>
      <c r="S154" s="268" t="n"/>
      <c r="T154" s="268" t="n"/>
      <c r="U154" s="268" t="n"/>
      <c r="V154" s="268" t="n"/>
      <c r="W154" s="64" t="n"/>
    </row>
    <row r="155" hidden="1" ht="35.1" customFormat="1" customHeight="1" s="65">
      <c r="B155" s="233" t="n"/>
      <c r="C155" s="68" t="n"/>
      <c r="D155" s="68" t="n"/>
      <c r="E155" s="68" t="n"/>
      <c r="F155" s="68" t="n"/>
      <c r="G155" s="68" t="n"/>
      <c r="H155" s="68" t="n"/>
      <c r="I155" s="68" t="n"/>
      <c r="J155" s="234" t="n"/>
      <c r="K155" s="234" t="n"/>
      <c r="L155" s="234" t="n"/>
      <c r="M155" s="234" t="n"/>
      <c r="N155" s="234" t="n"/>
      <c r="O155" s="234" t="n"/>
      <c r="P155" s="235" t="n"/>
      <c r="Q155" s="75" t="n"/>
      <c r="R155" s="267" t="n"/>
      <c r="S155" s="268" t="n"/>
      <c r="T155" s="268" t="n"/>
      <c r="U155" s="268" t="n"/>
      <c r="V155" s="268" t="n"/>
      <c r="W155" s="64" t="n"/>
    </row>
    <row r="156" customFormat="1" s="65">
      <c r="B156" s="236" t="inlineStr">
        <is>
          <t>Our further audit procedures should include one or more of the following approaches:</t>
        </is>
      </c>
      <c r="C156" s="237" t="n"/>
      <c r="D156" s="238" t="n"/>
      <c r="E156" s="238" t="n"/>
      <c r="F156" s="238" t="n"/>
      <c r="G156" s="238" t="n"/>
      <c r="H156" s="238" t="n"/>
      <c r="I156" s="238" t="n"/>
      <c r="J156" s="238" t="n"/>
      <c r="K156" s="238" t="n"/>
      <c r="L156" s="238" t="n"/>
      <c r="M156" s="238" t="n"/>
      <c r="N156" s="238" t="n"/>
      <c r="O156" s="68" t="n"/>
      <c r="P156" s="348" t="inlineStr">
        <is>
          <t>Link to guidance</t>
        </is>
      </c>
      <c r="Q156" s="156" t="n"/>
      <c r="R156" s="284" t="n"/>
      <c r="S156" s="299" t="n"/>
      <c r="T156" s="299" t="n"/>
      <c r="U156" s="299" t="n"/>
      <c r="V156" s="299" t="n"/>
      <c r="W156" s="155" t="n"/>
    </row>
    <row r="157" customFormat="1" s="65">
      <c r="B157" s="236" t="n"/>
      <c r="C157" s="237" t="inlineStr">
        <is>
          <t xml:space="preserve"> - Obtaining audit evidence from events occurring up to the date of the auditor's report; [ISA (revised) 540.21]</t>
        </is>
      </c>
      <c r="D157" s="68" t="n"/>
      <c r="E157" s="68" t="n"/>
      <c r="F157" s="68" t="n"/>
      <c r="G157" s="68" t="n"/>
      <c r="H157" s="68" t="n"/>
      <c r="I157" s="68" t="n"/>
      <c r="J157" s="68" t="n"/>
      <c r="K157" s="68" t="n"/>
      <c r="L157" s="68" t="n"/>
      <c r="M157" s="68" t="n"/>
      <c r="N157" s="68" t="n"/>
      <c r="O157" s="68" t="n"/>
      <c r="P157" s="381" t="n"/>
      <c r="Q157" s="75" t="n"/>
      <c r="R157" s="267" t="n"/>
      <c r="S157" s="268" t="n"/>
      <c r="T157" s="268" t="n"/>
      <c r="U157" s="268" t="n"/>
      <c r="V157" s="268" t="n"/>
      <c r="W157" s="64" t="n"/>
    </row>
    <row r="158" customFormat="1" s="65">
      <c r="B158" s="236" t="n"/>
      <c r="C158" s="237" t="inlineStr">
        <is>
          <t xml:space="preserve"> - Testing how management made the accounting estimate; or [ISA (revised) 540.22 - 27]</t>
        </is>
      </c>
      <c r="D158" s="68" t="n"/>
      <c r="E158" s="68" t="n"/>
      <c r="F158" s="68" t="n"/>
      <c r="G158" s="68" t="n"/>
      <c r="H158" s="68" t="n"/>
      <c r="I158" s="68" t="n"/>
      <c r="J158" s="68" t="n"/>
      <c r="K158" s="68" t="n"/>
      <c r="L158" s="68" t="n"/>
      <c r="M158" s="68" t="n"/>
      <c r="N158" s="68" t="n"/>
      <c r="O158" s="68" t="n"/>
      <c r="P158" s="239" t="n"/>
      <c r="Q158" s="75" t="n"/>
      <c r="R158" s="267" t="n"/>
      <c r="S158" s="268" t="n"/>
      <c r="T158" s="268" t="n"/>
      <c r="U158" s="268" t="n"/>
      <c r="V158" s="268" t="n"/>
      <c r="W158" s="64" t="n"/>
    </row>
    <row r="159" customFormat="1" s="65">
      <c r="B159" s="236" t="n"/>
      <c r="C159" s="237" t="inlineStr">
        <is>
          <t xml:space="preserve"> - Developing an auditor's point estimate or range [ ISA (revised) 540.28]</t>
        </is>
      </c>
      <c r="D159" s="68" t="n"/>
      <c r="E159" s="68" t="n"/>
      <c r="F159" s="68" t="n"/>
      <c r="G159" s="68" t="n"/>
      <c r="H159" s="68" t="n"/>
      <c r="I159" s="68" t="n"/>
      <c r="J159" s="68" t="n"/>
      <c r="K159" s="68" t="n"/>
      <c r="L159" s="68" t="n"/>
      <c r="M159" s="68" t="n"/>
      <c r="N159" s="68" t="n"/>
      <c r="O159" s="68" t="n"/>
      <c r="P159" s="239" t="n"/>
      <c r="Q159" s="75" t="n"/>
      <c r="R159" s="267" t="n"/>
      <c r="S159" s="268" t="n"/>
      <c r="T159" s="268" t="n"/>
      <c r="U159" s="268" t="n"/>
      <c r="V159" s="268" t="n"/>
      <c r="W159" s="64" t="n"/>
    </row>
    <row r="160" customFormat="1" s="65">
      <c r="B160" s="195" t="inlineStr">
        <is>
          <t>Planned responses [ISA (revised) 540.18]</t>
        </is>
      </c>
      <c r="C160" s="238" t="n"/>
      <c r="D160" s="238" t="n"/>
      <c r="E160" s="238" t="n"/>
      <c r="F160" s="238" t="n"/>
      <c r="G160" s="238" t="n"/>
      <c r="H160" s="238" t="n"/>
      <c r="I160" s="238" t="n"/>
      <c r="J160" s="238" t="n"/>
      <c r="K160" s="238" t="n"/>
      <c r="L160" s="238" t="n"/>
      <c r="M160" s="238" t="n"/>
      <c r="N160" s="238" t="n"/>
      <c r="O160" s="238" t="n"/>
      <c r="P160" s="239" t="n"/>
      <c r="Q160" s="75" t="n"/>
      <c r="R160" s="269" t="n"/>
      <c r="S160" s="270" t="n"/>
      <c r="T160" s="270" t="n"/>
      <c r="U160" s="271" t="n"/>
      <c r="V160" s="271" t="n"/>
      <c r="W160" s="132" t="n"/>
    </row>
    <row r="161" customFormat="1" s="65">
      <c r="B161" s="382" t="inlineStr">
        <is>
          <t>[접근법: 경영진이 추정치를 산출한 방법의 검토 - ISA 540.22~27]
① Tax 관련계정의 전반적 합리성 및 BS/PL 대사(차이 0). ② 이연법인세 회계처리 검토: 항목별 일시적차이의 기초·증감·기말 및 유동/비유동 구분을 재계산하고 추정 적용세율의 적정성을 검토함. ③ 실현가능성 검토: Business plan 및 Franchise agreement를 입수하여 향후 과세소득 발생이 예상되는 객관적 증거를 확인하고, FY2026 예산 대비 실제매출 초과 달성(+3.44%)을 확인함. ④ 감사인 재계산(자산 순액 659,286,964원) 대 회사금액(598,313,625원)의 차이는 조정사항(CAJE/RJE)으로 제시함. 결론: 제시한 수정사항을 제외하고는 중요성 관점에서 적정함.</t>
        </is>
      </c>
      <c r="C161" s="374" t="n"/>
      <c r="D161" s="374" t="n"/>
      <c r="E161" s="374" t="n"/>
      <c r="F161" s="374" t="n"/>
      <c r="G161" s="374" t="n"/>
      <c r="H161" s="374" t="n"/>
      <c r="I161" s="374" t="n"/>
      <c r="J161" s="374" t="n"/>
      <c r="K161" s="374" t="n"/>
      <c r="L161" s="374" t="n"/>
      <c r="M161" s="374" t="n"/>
      <c r="N161" s="374" t="n"/>
      <c r="O161" s="374" t="n"/>
      <c r="P161" s="346" t="inlineStr">
        <is>
          <t>Link to guidance</t>
        </is>
      </c>
      <c r="Q161" s="75" t="n"/>
      <c r="R161" s="269" t="n"/>
      <c r="S161" s="270" t="n"/>
      <c r="T161" s="270" t="n"/>
      <c r="U161" s="271" t="n"/>
      <c r="V161" s="271" t="n"/>
      <c r="W161" s="132" t="n"/>
    </row>
    <row r="162" ht="15" customFormat="1" customHeight="1" s="65">
      <c r="B162" s="380" t="n"/>
      <c r="C162" s="374" t="n"/>
      <c r="D162" s="374" t="n"/>
      <c r="E162" s="374" t="n"/>
      <c r="F162" s="374" t="n"/>
      <c r="G162" s="374" t="n"/>
      <c r="H162" s="374" t="n"/>
      <c r="I162" s="374" t="n"/>
      <c r="J162" s="374" t="n"/>
      <c r="K162" s="374" t="n"/>
      <c r="L162" s="374" t="n"/>
      <c r="M162" s="374" t="n"/>
      <c r="N162" s="374" t="n"/>
      <c r="O162" s="374" t="n"/>
      <c r="P162" s="381" t="n"/>
      <c r="Q162" s="75" t="n"/>
      <c r="R162" s="344" t="inlineStr">
        <is>
          <t xml:space="preserve">Our planned response should be created in the work programme of the applicable SCOTABD. To access the work programme please see the screen 'Audit Strategy Overview'. </t>
        </is>
      </c>
      <c r="W162" s="132" t="n"/>
    </row>
    <row r="163" customFormat="1" s="65">
      <c r="B163" s="380" t="n"/>
      <c r="C163" s="374" t="n"/>
      <c r="D163" s="374" t="n"/>
      <c r="E163" s="374" t="n"/>
      <c r="F163" s="374" t="n"/>
      <c r="G163" s="374" t="n"/>
      <c r="H163" s="374" t="n"/>
      <c r="I163" s="374" t="n"/>
      <c r="J163" s="374" t="n"/>
      <c r="K163" s="374" t="n"/>
      <c r="L163" s="374" t="n"/>
      <c r="M163" s="374" t="n"/>
      <c r="N163" s="374" t="n"/>
      <c r="O163" s="374" t="n"/>
      <c r="P163" s="240" t="n"/>
      <c r="Q163" s="75" t="n"/>
      <c r="W163" s="64" t="n"/>
    </row>
    <row r="164" ht="15" customFormat="1" customHeight="1" s="65">
      <c r="B164" s="380" t="n"/>
      <c r="C164" s="374" t="n"/>
      <c r="D164" s="374" t="n"/>
      <c r="E164" s="374" t="n"/>
      <c r="F164" s="374" t="n"/>
      <c r="G164" s="374" t="n"/>
      <c r="H164" s="374" t="n"/>
      <c r="I164" s="374" t="n"/>
      <c r="J164" s="374" t="n"/>
      <c r="K164" s="374" t="n"/>
      <c r="L164" s="374" t="n"/>
      <c r="M164" s="374" t="n"/>
      <c r="N164" s="374" t="n"/>
      <c r="O164" s="374" t="n"/>
      <c r="P164" s="240" t="n"/>
      <c r="Q164" s="75" t="n"/>
      <c r="W164" s="64" t="n"/>
    </row>
    <row r="165" ht="15" customFormat="1" customHeight="1" s="65">
      <c r="B165" s="380" t="n"/>
      <c r="C165" s="374" t="n"/>
      <c r="D165" s="374" t="n"/>
      <c r="E165" s="374" t="n"/>
      <c r="F165" s="374" t="n"/>
      <c r="G165" s="374" t="n"/>
      <c r="H165" s="374" t="n"/>
      <c r="I165" s="374" t="n"/>
      <c r="J165" s="374" t="n"/>
      <c r="K165" s="374" t="n"/>
      <c r="L165" s="374" t="n"/>
      <c r="M165" s="374" t="n"/>
      <c r="N165" s="374" t="n"/>
      <c r="O165" s="374" t="n"/>
      <c r="P165" s="240" t="n"/>
      <c r="Q165" s="75" t="n"/>
      <c r="W165" s="64" t="n"/>
    </row>
    <row r="166" ht="15" customFormat="1" customHeight="1" s="65">
      <c r="B166" s="380" t="n"/>
      <c r="C166" s="374" t="n"/>
      <c r="D166" s="374" t="n"/>
      <c r="E166" s="374" t="n"/>
      <c r="F166" s="374" t="n"/>
      <c r="G166" s="374" t="n"/>
      <c r="H166" s="374" t="n"/>
      <c r="I166" s="374" t="n"/>
      <c r="J166" s="374" t="n"/>
      <c r="K166" s="374" t="n"/>
      <c r="L166" s="374" t="n"/>
      <c r="M166" s="374" t="n"/>
      <c r="N166" s="374" t="n"/>
      <c r="O166" s="374" t="n"/>
      <c r="P166" s="240" t="n"/>
      <c r="Q166" s="75" t="n"/>
      <c r="R166" s="267" t="n"/>
      <c r="S166" s="268" t="n"/>
      <c r="T166" s="268" t="n"/>
      <c r="U166" s="268" t="n"/>
      <c r="V166" s="268" t="n"/>
      <c r="W166" s="64" t="n"/>
    </row>
    <row r="167" customFormat="1" s="65">
      <c r="B167" s="380" t="n"/>
      <c r="C167" s="374" t="n"/>
      <c r="D167" s="374" t="n"/>
      <c r="E167" s="374" t="n"/>
      <c r="F167" s="374" t="n"/>
      <c r="G167" s="374" t="n"/>
      <c r="H167" s="374" t="n"/>
      <c r="I167" s="374" t="n"/>
      <c r="J167" s="374" t="n"/>
      <c r="K167" s="374" t="n"/>
      <c r="L167" s="374" t="n"/>
      <c r="M167" s="374" t="n"/>
      <c r="N167" s="374" t="n"/>
      <c r="O167" s="374" t="n"/>
      <c r="P167" s="240" t="n"/>
      <c r="Q167" s="75" t="n"/>
      <c r="R167" s="267" t="n"/>
      <c r="S167" s="268" t="n"/>
      <c r="T167" s="268" t="n"/>
      <c r="U167" s="268" t="n"/>
      <c r="V167" s="268" t="n"/>
      <c r="W167" s="64" t="n"/>
    </row>
    <row r="168" customFormat="1" s="65">
      <c r="B168" s="380" t="n"/>
      <c r="C168" s="374" t="n"/>
      <c r="D168" s="374" t="n"/>
      <c r="E168" s="374" t="n"/>
      <c r="F168" s="374" t="n"/>
      <c r="G168" s="374" t="n"/>
      <c r="H168" s="374" t="n"/>
      <c r="I168" s="374" t="n"/>
      <c r="J168" s="374" t="n"/>
      <c r="K168" s="374" t="n"/>
      <c r="L168" s="374" t="n"/>
      <c r="M168" s="374" t="n"/>
      <c r="N168" s="374" t="n"/>
      <c r="O168" s="374" t="n"/>
      <c r="P168" s="240" t="n"/>
      <c r="Q168" s="75" t="n"/>
      <c r="R168" s="267" t="n"/>
      <c r="S168" s="268" t="n"/>
      <c r="T168" s="268" t="n"/>
      <c r="U168" s="268" t="n"/>
      <c r="V168" s="268" t="n"/>
      <c r="W168" s="64" t="n"/>
    </row>
    <row r="169" ht="14.45" customFormat="1" customHeight="1" s="65">
      <c r="B169" s="233" t="inlineStr">
        <is>
          <t>We have added these procedures to the work programme at reference:</t>
        </is>
      </c>
      <c r="C169" s="68" t="n"/>
      <c r="D169" s="68" t="n"/>
      <c r="E169" s="68" t="n"/>
      <c r="F169" s="68" t="n"/>
      <c r="G169" s="68" t="n"/>
      <c r="H169" s="68" t="n"/>
      <c r="I169" s="334" t="n"/>
      <c r="J169" s="374" t="n"/>
      <c r="K169" s="374" t="n"/>
      <c r="L169" s="374" t="n"/>
      <c r="M169" s="374" t="n"/>
      <c r="N169" s="374" t="n"/>
      <c r="O169" s="374" t="n"/>
      <c r="P169" s="241" t="n"/>
      <c r="Q169" s="75" t="n"/>
      <c r="R169" s="267" t="n"/>
      <c r="S169" s="268" t="n"/>
      <c r="T169" s="268" t="n"/>
      <c r="U169" s="268" t="n"/>
      <c r="V169" s="268" t="n"/>
      <c r="W169" s="64" t="n"/>
    </row>
    <row r="170" customFormat="1" s="158">
      <c r="B170" s="390" t="inlineStr">
        <is>
          <t>L(Lead) 및 .2 DTA,L (Tax Work Programme)</t>
        </is>
      </c>
      <c r="C170" s="243" t="n"/>
      <c r="D170" s="243" t="n"/>
      <c r="E170" s="243" t="n"/>
      <c r="F170" s="243" t="n"/>
      <c r="G170" s="243" t="n"/>
      <c r="H170" s="243" t="n"/>
      <c r="I170" s="243" t="n"/>
      <c r="J170" s="243" t="n"/>
      <c r="K170" s="243" t="n"/>
      <c r="L170" s="243" t="n"/>
      <c r="M170" s="243" t="n"/>
      <c r="N170" s="243" t="n"/>
      <c r="O170" s="243" t="n"/>
      <c r="P170" s="241" t="n"/>
      <c r="Q170" s="75" t="n"/>
      <c r="R170" s="267" t="n"/>
      <c r="S170" s="268" t="n"/>
      <c r="T170" s="268" t="n"/>
      <c r="U170" s="268" t="n"/>
      <c r="V170" s="268" t="n"/>
      <c r="W170" s="157" t="n"/>
    </row>
    <row r="171" ht="15.75" customFormat="1" customHeight="1" s="65" thickBot="1">
      <c r="B171" s="391" t="inlineStr">
        <is>
          <t>상기 절차는 Tax 감사조서(Lead, .2 DTA,L)에 문서화되어 있으며, 제시한 수정사항 반영 후 적정함.</t>
        </is>
      </c>
      <c r="C171" s="244" t="n"/>
      <c r="D171" s="244" t="n"/>
      <c r="E171" s="244" t="n"/>
      <c r="F171" s="244" t="n"/>
      <c r="G171" s="244" t="n"/>
      <c r="H171" s="244" t="n"/>
      <c r="I171" s="244" t="n"/>
      <c r="J171" s="244" t="n"/>
      <c r="K171" s="244" t="n"/>
      <c r="L171" s="244" t="n"/>
      <c r="M171" s="244" t="n"/>
      <c r="N171" s="244" t="n"/>
      <c r="O171" s="244" t="n"/>
      <c r="P171" s="245" t="n"/>
      <c r="Q171" s="75" t="n"/>
      <c r="R171" s="267" t="n"/>
      <c r="S171" s="268" t="n"/>
      <c r="T171" s="268" t="n"/>
      <c r="U171" s="268" t="n"/>
      <c r="V171" s="268" t="n"/>
      <c r="W171" s="64" t="n"/>
    </row>
    <row r="172" ht="27" customFormat="1" customHeight="1" s="55" thickBot="1">
      <c r="B172" s="160" t="n"/>
      <c r="C172" s="26" t="n"/>
      <c r="D172" s="26" t="n"/>
      <c r="E172" s="26" t="n"/>
      <c r="F172" s="26" t="n"/>
      <c r="G172" s="26" t="n"/>
      <c r="H172" s="26" t="n"/>
      <c r="I172" s="26" t="n"/>
      <c r="J172" s="26" t="n"/>
      <c r="K172" s="26" t="n"/>
      <c r="L172" s="26" t="n"/>
      <c r="M172" s="26" t="n"/>
      <c r="N172" s="26" t="n"/>
      <c r="O172" s="26" t="n"/>
      <c r="P172" s="161" t="n"/>
      <c r="Q172" s="26" t="n"/>
      <c r="R172" s="267" t="n"/>
      <c r="S172" s="268" t="n"/>
      <c r="T172" s="268" t="n"/>
      <c r="U172" s="268" t="n"/>
      <c r="V172" s="268" t="n"/>
      <c r="W172" s="53" t="n"/>
    </row>
    <row r="173" ht="24.6" customFormat="1" customHeight="1" s="65">
      <c r="B173" s="392" t="inlineStr">
        <is>
          <t>General implications</t>
        </is>
      </c>
      <c r="C173" s="393" t="n"/>
      <c r="D173" s="393" t="n"/>
      <c r="E173" s="393" t="n"/>
      <c r="F173" s="393" t="n"/>
      <c r="G173" s="393" t="n"/>
      <c r="H173" s="393" t="n"/>
      <c r="I173" s="393" t="n"/>
      <c r="J173" s="393" t="n"/>
      <c r="K173" s="393" t="n"/>
      <c r="L173" s="393" t="n"/>
      <c r="M173" s="393" t="n"/>
      <c r="N173" s="393" t="n"/>
      <c r="O173" s="393" t="n"/>
      <c r="P173" s="394" t="n"/>
      <c r="Q173" s="75" t="n"/>
      <c r="R173" s="267" t="n"/>
      <c r="S173" s="268" t="n"/>
      <c r="T173" s="268" t="n"/>
      <c r="U173" s="268" t="n"/>
      <c r="V173" s="268" t="n"/>
      <c r="W173" s="64" t="n"/>
    </row>
    <row r="174" customFormat="1" s="65">
      <c r="B174" s="209" t="inlineStr">
        <is>
          <t>Further considerations where the accounting estimate is at the higher end of the inherent risk spectrum</t>
        </is>
      </c>
      <c r="C174" s="68" t="n"/>
      <c r="D174" s="68" t="n"/>
      <c r="E174" s="68" t="n"/>
      <c r="F174" s="68" t="n"/>
      <c r="G174" s="68" t="n"/>
      <c r="H174" s="68" t="n"/>
      <c r="I174" s="68" t="n"/>
      <c r="J174" s="68" t="n"/>
      <c r="K174" s="68" t="n"/>
      <c r="L174" s="68" t="n"/>
      <c r="M174" s="68" t="n"/>
      <c r="N174" s="68" t="n"/>
      <c r="O174" s="68" t="n"/>
      <c r="P174" s="239" t="n"/>
      <c r="Q174" s="75" t="n"/>
      <c r="R174" s="267" t="n"/>
      <c r="S174" s="268" t="n"/>
      <c r="T174" s="268" t="n"/>
      <c r="U174" s="268" t="n"/>
      <c r="V174" s="268" t="n"/>
      <c r="W174" s="64" t="n"/>
    </row>
    <row r="175" ht="15.75" customFormat="1" customHeight="1" s="65">
      <c r="B175" s="209" t="inlineStr">
        <is>
          <t xml:space="preserve">The below should be considered for all accounting estimates, however there should be particular focus for those that have significant or enhanced inherent risk. </t>
        </is>
      </c>
      <c r="C175" s="68" t="n"/>
      <c r="D175" s="68" t="n"/>
      <c r="E175" s="68" t="n"/>
      <c r="F175" s="68" t="n"/>
      <c r="G175" s="68" t="n"/>
      <c r="H175" s="68" t="n"/>
      <c r="I175" s="68" t="n"/>
      <c r="J175" s="68" t="n"/>
      <c r="K175" s="68" t="n"/>
      <c r="L175" s="68" t="n"/>
      <c r="M175" s="68" t="n"/>
      <c r="N175" s="68" t="n"/>
      <c r="O175" s="68" t="n"/>
      <c r="P175" s="246" t="n"/>
      <c r="Q175" s="75" t="n"/>
      <c r="R175" s="267" t="n"/>
      <c r="S175" s="268" t="n"/>
      <c r="T175" s="268" t="n"/>
      <c r="U175" s="268" t="n"/>
      <c r="V175" s="268" t="n"/>
      <c r="W175" s="64" t="n"/>
    </row>
    <row r="176" customFormat="1" s="65">
      <c r="B176" s="209" t="inlineStr">
        <is>
          <t>Increased professional scepticism:</t>
        </is>
      </c>
      <c r="C176" s="68" t="n"/>
      <c r="D176" s="68" t="n"/>
      <c r="E176" s="68" t="n"/>
      <c r="F176" s="68" t="n"/>
      <c r="G176" s="68" t="n"/>
      <c r="H176" s="68" t="n"/>
      <c r="I176" s="68" t="n"/>
      <c r="J176" s="68" t="n"/>
      <c r="K176" s="68" t="n"/>
      <c r="L176" s="68" t="n"/>
      <c r="M176" s="68" t="n"/>
      <c r="N176" s="68" t="n"/>
      <c r="O176" s="68" t="n"/>
      <c r="P176" s="239" t="n"/>
      <c r="Q176" s="75" t="n"/>
      <c r="R176" s="267" t="n"/>
      <c r="S176" s="268" t="n"/>
      <c r="T176" s="268" t="n"/>
      <c r="U176" s="268" t="n"/>
      <c r="V176" s="268" t="n"/>
      <c r="W176" s="64" t="n"/>
    </row>
    <row r="177" ht="15" customFormat="1" customHeight="1" s="65">
      <c r="B177" s="379" t="inlineStr">
        <is>
          <t>강화위험 수준에 상응하여 미래 과세소득 추정의 근거와 이연법인세자산 실현가능성을 비판적으로 검토함. Business plan의 낙관적 편의 가능성을 예산 대비 실적으로 검증함.</t>
        </is>
      </c>
      <c r="C177" s="374" t="n"/>
      <c r="D177" s="374" t="n"/>
      <c r="E177" s="374" t="n"/>
      <c r="F177" s="374" t="n"/>
      <c r="G177" s="374" t="n"/>
      <c r="H177" s="374" t="n"/>
      <c r="I177" s="374" t="n"/>
      <c r="J177" s="374" t="n"/>
      <c r="K177" s="374" t="n"/>
      <c r="L177" s="374" t="n"/>
      <c r="M177" s="374" t="n"/>
      <c r="N177" s="374" t="n"/>
      <c r="O177" s="374" t="n"/>
      <c r="P177" s="346" t="inlineStr">
        <is>
          <t>Link to guidance</t>
        </is>
      </c>
      <c r="Q177" s="75" t="n"/>
      <c r="R177" s="269" t="n"/>
      <c r="S177" s="270" t="n"/>
      <c r="T177" s="270" t="n"/>
      <c r="U177" s="271" t="n"/>
      <c r="V177" s="271" t="n"/>
      <c r="W177" s="132" t="n"/>
    </row>
    <row r="178" ht="15" customFormat="1" customHeight="1" s="65">
      <c r="B178" s="380" t="n"/>
      <c r="C178" s="374" t="n"/>
      <c r="D178" s="374" t="n"/>
      <c r="E178" s="374" t="n"/>
      <c r="F178" s="374" t="n"/>
      <c r="G178" s="374" t="n"/>
      <c r="H178" s="374" t="n"/>
      <c r="I178" s="374" t="n"/>
      <c r="J178" s="374" t="n"/>
      <c r="K178" s="374" t="n"/>
      <c r="L178" s="374" t="n"/>
      <c r="M178" s="374" t="n"/>
      <c r="N178" s="374" t="n"/>
      <c r="O178" s="374" t="n"/>
      <c r="P178" s="381" t="n"/>
      <c r="Q178" s="75" t="n"/>
      <c r="R178" s="269" t="n"/>
      <c r="S178" s="270" t="n"/>
      <c r="T178" s="270" t="n"/>
      <c r="U178" s="271" t="n"/>
      <c r="V178" s="271" t="n"/>
      <c r="W178" s="132" t="n"/>
    </row>
    <row r="179" customFormat="1" s="65">
      <c r="B179" s="380" t="n"/>
      <c r="C179" s="374" t="n"/>
      <c r="D179" s="374" t="n"/>
      <c r="E179" s="374" t="n"/>
      <c r="F179" s="374" t="n"/>
      <c r="G179" s="374" t="n"/>
      <c r="H179" s="374" t="n"/>
      <c r="I179" s="374" t="n"/>
      <c r="J179" s="374" t="n"/>
      <c r="K179" s="374" t="n"/>
      <c r="L179" s="374" t="n"/>
      <c r="M179" s="374" t="n"/>
      <c r="N179" s="374" t="n"/>
      <c r="O179" s="374" t="n"/>
      <c r="P179" s="239" t="n"/>
      <c r="Q179" s="75" t="n"/>
      <c r="R179" s="267" t="n"/>
      <c r="S179" s="268" t="n"/>
      <c r="T179" s="268" t="n"/>
      <c r="U179" s="268" t="n"/>
      <c r="V179" s="268" t="n"/>
      <c r="W179" s="64" t="n"/>
    </row>
    <row r="180" customFormat="1" s="65">
      <c r="B180" s="209" t="inlineStr">
        <is>
          <t>Consideration of method of testing:</t>
        </is>
      </c>
      <c r="C180" s="68" t="n"/>
      <c r="D180" s="68" t="n"/>
      <c r="E180" s="68" t="n"/>
      <c r="F180" s="68" t="n"/>
      <c r="G180" s="68" t="n"/>
      <c r="H180" s="68" t="n"/>
      <c r="I180" s="68" t="n"/>
      <c r="J180" s="68" t="n"/>
      <c r="K180" s="68" t="n"/>
      <c r="L180" s="68" t="n"/>
      <c r="M180" s="68" t="n"/>
      <c r="N180" s="68" t="n"/>
      <c r="O180" s="68" t="n"/>
      <c r="P180" s="239" t="n"/>
      <c r="Q180" s="75" t="n"/>
      <c r="R180" s="267" t="n"/>
      <c r="S180" s="268" t="n"/>
      <c r="T180" s="268" t="n"/>
      <c r="U180" s="268" t="n"/>
      <c r="V180" s="268" t="n"/>
      <c r="W180" s="64" t="n"/>
    </row>
    <row r="181" ht="15" customFormat="1" customHeight="1" s="65">
      <c r="B181" s="379" t="inlineStr">
        <is>
          <t>일시적차이 재계산 및 실현가능성(미래 과세소득) 근거 검토를 결합한 실증절차를 수행함. 적용세율 및 추인예상시점의 적정성도 검토함.</t>
        </is>
      </c>
      <c r="C181" s="374" t="n"/>
      <c r="D181" s="374" t="n"/>
      <c r="E181" s="374" t="n"/>
      <c r="F181" s="374" t="n"/>
      <c r="G181" s="374" t="n"/>
      <c r="H181" s="374" t="n"/>
      <c r="I181" s="374" t="n"/>
      <c r="J181" s="374" t="n"/>
      <c r="K181" s="374" t="n"/>
      <c r="L181" s="374" t="n"/>
      <c r="M181" s="374" t="n"/>
      <c r="N181" s="374" t="n"/>
      <c r="O181" s="374" t="n"/>
      <c r="P181" s="346" t="inlineStr">
        <is>
          <t>Link to guidance</t>
        </is>
      </c>
      <c r="Q181" s="75" t="n"/>
      <c r="R181" s="269" t="n"/>
      <c r="S181" s="270" t="n"/>
      <c r="T181" s="270" t="n"/>
      <c r="U181" s="271" t="n"/>
      <c r="V181" s="271" t="n"/>
      <c r="W181" s="132" t="n"/>
    </row>
    <row r="182" customFormat="1" s="65">
      <c r="B182" s="380" t="n"/>
      <c r="C182" s="374" t="n"/>
      <c r="D182" s="374" t="n"/>
      <c r="E182" s="374" t="n"/>
      <c r="F182" s="374" t="n"/>
      <c r="G182" s="374" t="n"/>
      <c r="H182" s="374" t="n"/>
      <c r="I182" s="374" t="n"/>
      <c r="J182" s="374" t="n"/>
      <c r="K182" s="374" t="n"/>
      <c r="L182" s="374" t="n"/>
      <c r="M182" s="374" t="n"/>
      <c r="N182" s="374" t="n"/>
      <c r="O182" s="374" t="n"/>
      <c r="P182" s="381" t="n"/>
      <c r="Q182" s="75" t="n"/>
      <c r="R182" s="269" t="n"/>
      <c r="S182" s="270" t="n"/>
      <c r="T182" s="270" t="n"/>
      <c r="U182" s="271" t="n"/>
      <c r="V182" s="271" t="n"/>
      <c r="W182" s="132" t="n"/>
    </row>
    <row r="183" ht="15" customFormat="1" customHeight="1" s="65">
      <c r="B183" s="380" t="n"/>
      <c r="C183" s="374" t="n"/>
      <c r="D183" s="374" t="n"/>
      <c r="E183" s="374" t="n"/>
      <c r="F183" s="374" t="n"/>
      <c r="G183" s="374" t="n"/>
      <c r="H183" s="374" t="n"/>
      <c r="I183" s="374" t="n"/>
      <c r="J183" s="374" t="n"/>
      <c r="K183" s="374" t="n"/>
      <c r="L183" s="374" t="n"/>
      <c r="M183" s="374" t="n"/>
      <c r="N183" s="374" t="n"/>
      <c r="O183" s="374" t="n"/>
      <c r="P183" s="239" t="n"/>
      <c r="Q183" s="75" t="n"/>
      <c r="R183" s="267" t="n"/>
      <c r="S183" s="268" t="n"/>
      <c r="T183" s="268" t="n"/>
      <c r="U183" s="268" t="n"/>
      <c r="V183" s="268" t="n"/>
      <c r="W183" s="64" t="n"/>
    </row>
    <row r="184" customFormat="1" s="65">
      <c r="B184" s="209" t="inlineStr">
        <is>
          <t>Engagement team appropriate resourcing:</t>
        </is>
      </c>
      <c r="C184" s="68" t="n"/>
      <c r="D184" s="68" t="n"/>
      <c r="E184" s="68" t="n"/>
      <c r="F184" s="68" t="n"/>
      <c r="G184" s="68" t="n"/>
      <c r="H184" s="68" t="n"/>
      <c r="I184" s="68" t="n"/>
      <c r="J184" s="68" t="n"/>
      <c r="K184" s="68" t="n"/>
      <c r="L184" s="68" t="n"/>
      <c r="M184" s="68" t="n"/>
      <c r="N184" s="68" t="n"/>
      <c r="O184" s="68" t="n"/>
      <c r="P184" s="239" t="n"/>
      <c r="Q184" s="75" t="n"/>
      <c r="R184" s="267" t="n"/>
      <c r="S184" s="268" t="n"/>
      <c r="T184" s="268" t="n"/>
      <c r="U184" s="268" t="n"/>
      <c r="V184" s="268" t="n"/>
      <c r="W184" s="64" t="n"/>
    </row>
    <row r="185" ht="15" customFormat="1" customHeight="1" s="65">
      <c r="B185" s="379" t="inlineStr">
        <is>
          <t>이연법인세·세무조정 경험이 있는 팀원을 배치하여 절차를 수행함.</t>
        </is>
      </c>
      <c r="C185" s="374" t="n"/>
      <c r="D185" s="374" t="n"/>
      <c r="E185" s="374" t="n"/>
      <c r="F185" s="374" t="n"/>
      <c r="G185" s="374" t="n"/>
      <c r="H185" s="374" t="n"/>
      <c r="I185" s="374" t="n"/>
      <c r="J185" s="374" t="n"/>
      <c r="K185" s="374" t="n"/>
      <c r="L185" s="374" t="n"/>
      <c r="M185" s="374" t="n"/>
      <c r="N185" s="374" t="n"/>
      <c r="O185" s="374" t="n"/>
      <c r="P185" s="346" t="inlineStr">
        <is>
          <t>Link to guidance</t>
        </is>
      </c>
      <c r="Q185" s="75" t="n"/>
      <c r="R185" s="345" t="inlineStr">
        <is>
          <t>Please ensure that all audit team members are documented within the screen 'Engagement'</t>
        </is>
      </c>
      <c r="W185" s="132" t="n"/>
    </row>
    <row r="186" customFormat="1" s="65">
      <c r="B186" s="380" t="n"/>
      <c r="C186" s="374" t="n"/>
      <c r="D186" s="374" t="n"/>
      <c r="E186" s="374" t="n"/>
      <c r="F186" s="374" t="n"/>
      <c r="G186" s="374" t="n"/>
      <c r="H186" s="374" t="n"/>
      <c r="I186" s="374" t="n"/>
      <c r="J186" s="374" t="n"/>
      <c r="K186" s="374" t="n"/>
      <c r="L186" s="374" t="n"/>
      <c r="M186" s="374" t="n"/>
      <c r="N186" s="374" t="n"/>
      <c r="O186" s="374" t="n"/>
      <c r="P186" s="381" t="n"/>
      <c r="Q186" s="75" t="n"/>
      <c r="W186" s="132" t="n"/>
    </row>
    <row r="187" customFormat="1" s="65">
      <c r="B187" s="380" t="n"/>
      <c r="C187" s="374" t="n"/>
      <c r="D187" s="374" t="n"/>
      <c r="E187" s="374" t="n"/>
      <c r="F187" s="374" t="n"/>
      <c r="G187" s="374" t="n"/>
      <c r="H187" s="374" t="n"/>
      <c r="I187" s="374" t="n"/>
      <c r="J187" s="374" t="n"/>
      <c r="K187" s="374" t="n"/>
      <c r="L187" s="374" t="n"/>
      <c r="M187" s="374" t="n"/>
      <c r="N187" s="374" t="n"/>
      <c r="O187" s="374" t="n"/>
      <c r="P187" s="239" t="n"/>
      <c r="Q187" s="75" t="n"/>
      <c r="W187" s="64" t="n"/>
    </row>
    <row r="188" customFormat="1" s="65">
      <c r="B188" s="209" t="inlineStr">
        <is>
          <t>Additional supervision:</t>
        </is>
      </c>
      <c r="C188" s="68" t="n"/>
      <c r="D188" s="68" t="n"/>
      <c r="E188" s="68" t="n"/>
      <c r="F188" s="68" t="n"/>
      <c r="G188" s="68" t="n"/>
      <c r="H188" s="68" t="n"/>
      <c r="I188" s="68" t="n"/>
      <c r="J188" s="68" t="n"/>
      <c r="K188" s="68" t="n"/>
      <c r="L188" s="68" t="n"/>
      <c r="M188" s="68" t="n"/>
      <c r="N188" s="68" t="n"/>
      <c r="O188" s="68" t="n"/>
      <c r="P188" s="239" t="n"/>
      <c r="Q188" s="75" t="n"/>
      <c r="W188" s="64" t="n"/>
    </row>
    <row r="189" ht="15" customFormat="1" customHeight="1" s="65">
      <c r="B189" s="395" t="inlineStr">
        <is>
          <t>강화위험에 상응하여 실현가능성 판단 및 재계산 결과에 대한 상위자의 추가 검토·감독을 수행함.</t>
        </is>
      </c>
      <c r="C189" s="374" t="n"/>
      <c r="D189" s="374" t="n"/>
      <c r="E189" s="374" t="n"/>
      <c r="F189" s="374" t="n"/>
      <c r="G189" s="374" t="n"/>
      <c r="H189" s="374" t="n"/>
      <c r="I189" s="374" t="n"/>
      <c r="J189" s="374" t="n"/>
      <c r="K189" s="374" t="n"/>
      <c r="L189" s="374" t="n"/>
      <c r="M189" s="374" t="n"/>
      <c r="N189" s="374" t="n"/>
      <c r="O189" s="374" t="n"/>
      <c r="P189" s="346" t="inlineStr">
        <is>
          <t>Link to guidance</t>
        </is>
      </c>
      <c r="Q189" s="75" t="n"/>
      <c r="W189" s="132" t="n"/>
    </row>
    <row r="190" customFormat="1" s="65">
      <c r="B190" s="380" t="n"/>
      <c r="C190" s="374" t="n"/>
      <c r="D190" s="374" t="n"/>
      <c r="E190" s="374" t="n"/>
      <c r="F190" s="374" t="n"/>
      <c r="G190" s="374" t="n"/>
      <c r="H190" s="374" t="n"/>
      <c r="I190" s="374" t="n"/>
      <c r="J190" s="374" t="n"/>
      <c r="K190" s="374" t="n"/>
      <c r="L190" s="374" t="n"/>
      <c r="M190" s="374" t="n"/>
      <c r="N190" s="374" t="n"/>
      <c r="O190" s="374" t="n"/>
      <c r="P190" s="381" t="n"/>
      <c r="Q190" s="75" t="n"/>
      <c r="W190" s="132" t="n"/>
    </row>
    <row r="191" ht="15.75" customHeight="1" thickBot="1">
      <c r="A191" s="65" t="n"/>
      <c r="B191" s="388" t="n"/>
      <c r="C191" s="389" t="n"/>
      <c r="D191" s="389" t="n"/>
      <c r="E191" s="389" t="n"/>
      <c r="F191" s="389" t="n"/>
      <c r="G191" s="389" t="n"/>
      <c r="H191" s="389" t="n"/>
      <c r="I191" s="389" t="n"/>
      <c r="J191" s="389" t="n"/>
      <c r="K191" s="389" t="n"/>
      <c r="L191" s="389" t="n"/>
      <c r="M191" s="389" t="n"/>
      <c r="N191" s="389" t="n"/>
      <c r="O191" s="389" t="n"/>
      <c r="P191" s="247" t="n"/>
      <c r="Q191" s="75" t="n"/>
    </row>
    <row r="192" ht="15" customFormat="1" customHeight="1" s="80">
      <c r="B192" s="28" t="n"/>
      <c r="C192" s="28" t="n"/>
      <c r="D192" s="28" t="n"/>
      <c r="E192" s="28" t="n"/>
      <c r="F192" s="28" t="n"/>
      <c r="G192" s="28" t="n"/>
      <c r="H192" s="28" t="n"/>
      <c r="I192" s="28" t="n"/>
      <c r="J192" s="28" t="n"/>
      <c r="K192" s="28" t="n"/>
      <c r="L192" s="28" t="n"/>
      <c r="M192" s="28" t="n"/>
      <c r="N192" s="28" t="n"/>
      <c r="O192" s="28" t="n"/>
      <c r="P192" s="129" t="n"/>
      <c r="Q192" s="87" t="n"/>
      <c r="R192" s="292" t="n"/>
      <c r="S192" s="293" t="n"/>
      <c r="T192" s="293" t="n"/>
      <c r="U192" s="293" t="n"/>
      <c r="V192" s="293" t="n"/>
      <c r="W192" s="84" t="n"/>
      <c r="X192" s="80">
        <f>Y192&amp;Z192</f>
        <v/>
      </c>
      <c r="Y192" s="80" t="inlineStr">
        <is>
          <t>Standard</t>
        </is>
      </c>
      <c r="Z192" s="80" t="inlineStr">
        <is>
          <t>High reliance</t>
        </is>
      </c>
      <c r="AA192" s="80" t="inlineStr">
        <is>
          <t>Standard</t>
        </is>
      </c>
    </row>
    <row r="193" ht="15" customFormat="1" customHeight="1" s="80">
      <c r="B193" s="29" t="n"/>
      <c r="C193" s="3" t="n"/>
      <c r="D193" s="3" t="n"/>
      <c r="E193" s="3" t="n"/>
      <c r="F193" s="3" t="n"/>
      <c r="G193" s="3" t="n"/>
      <c r="H193" s="3" t="n"/>
      <c r="I193" s="3" t="n"/>
      <c r="J193" s="3" t="n"/>
      <c r="K193" s="3" t="n"/>
      <c r="L193" s="3" t="n"/>
      <c r="M193" s="3" t="n"/>
      <c r="N193" s="3" t="n"/>
      <c r="O193" s="3" t="n"/>
      <c r="P193" s="130" t="n"/>
      <c r="Q193" s="88" t="n"/>
      <c r="R193" s="267" t="n"/>
      <c r="S193" s="268" t="n"/>
      <c r="T193" s="268" t="n"/>
      <c r="U193" s="268" t="n"/>
      <c r="V193" s="268" t="n"/>
      <c r="X193" s="80">
        <f>Y193&amp;Z193</f>
        <v/>
      </c>
      <c r="Y193" s="80" t="inlineStr">
        <is>
          <t>Standard</t>
        </is>
      </c>
      <c r="Z193" s="80" t="inlineStr">
        <is>
          <t>No reliance</t>
        </is>
      </c>
      <c r="AA193" s="80" t="inlineStr">
        <is>
          <t>Standard</t>
        </is>
      </c>
    </row>
    <row r="194" ht="15" customFormat="1" customHeight="1" s="80">
      <c r="B194" s="30" t="n"/>
      <c r="C194" s="28" t="n"/>
      <c r="D194" s="28" t="n"/>
      <c r="E194" s="28" t="n"/>
      <c r="F194" s="28" t="n"/>
      <c r="G194" s="28" t="n"/>
      <c r="H194" s="28" t="n"/>
      <c r="I194" s="28" t="n"/>
      <c r="J194" s="28" t="n"/>
      <c r="K194" s="28" t="n"/>
      <c r="L194" s="28" t="n"/>
      <c r="M194" s="28" t="n"/>
      <c r="N194" s="28" t="n"/>
      <c r="O194" s="28" t="n"/>
      <c r="P194" s="129" t="n"/>
      <c r="Q194" s="87" t="n"/>
      <c r="R194" s="292" t="n"/>
      <c r="S194" s="293" t="n"/>
      <c r="T194" s="293" t="n"/>
      <c r="U194" s="293" t="n"/>
      <c r="V194" s="293" t="n"/>
      <c r="W194" s="84" t="n"/>
      <c r="X194" s="80">
        <f>Y194&amp;Z194</f>
        <v/>
      </c>
      <c r="Y194" s="80" t="inlineStr">
        <is>
          <t>Enhanced</t>
        </is>
      </c>
      <c r="Z194" s="80" t="inlineStr">
        <is>
          <t>High reliance</t>
        </is>
      </c>
      <c r="AA194" s="80" t="inlineStr">
        <is>
          <t>Enhanced</t>
        </is>
      </c>
    </row>
    <row r="195" ht="15" customFormat="1" customHeight="1" s="80">
      <c r="B195" s="30" t="n"/>
      <c r="C195" s="28" t="n"/>
      <c r="D195" s="28" t="n"/>
      <c r="E195" s="28" t="n"/>
      <c r="F195" s="28" t="n"/>
      <c r="G195" s="28" t="n"/>
      <c r="H195" s="28" t="n"/>
      <c r="I195" s="28" t="n"/>
      <c r="J195" s="28" t="n"/>
      <c r="K195" s="28" t="n"/>
      <c r="L195" s="28" t="n"/>
      <c r="M195" s="28" t="n"/>
      <c r="N195" s="28" t="n"/>
      <c r="O195" s="28" t="n"/>
      <c r="P195" s="129" t="n"/>
      <c r="Q195" s="87" t="n"/>
      <c r="R195" s="292" t="n"/>
      <c r="S195" s="293" t="n"/>
      <c r="T195" s="293" t="n"/>
      <c r="U195" s="293" t="n"/>
      <c r="V195" s="293" t="n"/>
      <c r="W195" s="84" t="n"/>
      <c r="X195">
        <f>Y195&amp;Z195</f>
        <v/>
      </c>
      <c r="Y195" t="inlineStr">
        <is>
          <t>Enhanced</t>
        </is>
      </c>
      <c r="Z195" t="inlineStr">
        <is>
          <t>No reliance</t>
        </is>
      </c>
      <c r="AA195" t="inlineStr">
        <is>
          <t>Enhanced</t>
        </is>
      </c>
    </row>
    <row r="196" ht="15" customFormat="1" customHeight="1" s="80">
      <c r="B196" s="30" t="n"/>
      <c r="C196" s="28" t="n"/>
      <c r="D196" s="28" t="n"/>
      <c r="E196" s="28" t="n"/>
      <c r="F196" s="28" t="n"/>
      <c r="G196" s="28" t="n"/>
      <c r="H196" s="28" t="n"/>
      <c r="I196" s="28" t="n"/>
      <c r="J196" s="28" t="n"/>
      <c r="K196" s="28" t="n"/>
      <c r="L196" s="28" t="n"/>
      <c r="M196" s="28" t="n"/>
      <c r="N196" s="28" t="n"/>
      <c r="O196" s="28" t="n"/>
      <c r="P196" s="129" t="n"/>
      <c r="Q196" s="87" t="n"/>
      <c r="R196" s="292" t="n"/>
      <c r="S196" s="293" t="n"/>
      <c r="T196" s="293" t="n"/>
      <c r="U196" s="293" t="n"/>
      <c r="V196" s="293" t="n"/>
      <c r="W196" s="84" t="n"/>
      <c r="X196">
        <f>Y196&amp;Z196</f>
        <v/>
      </c>
      <c r="Y196" t="inlineStr">
        <is>
          <t>Significant</t>
        </is>
      </c>
      <c r="Z196" t="inlineStr">
        <is>
          <t>High reliance</t>
        </is>
      </c>
      <c r="AA196" t="inlineStr">
        <is>
          <t>Significant</t>
        </is>
      </c>
    </row>
    <row r="197" ht="15" customFormat="1" customHeight="1" s="80">
      <c r="B197" s="28" t="n"/>
      <c r="C197" s="28" t="n"/>
      <c r="D197" s="28" t="n"/>
      <c r="E197" s="28" t="n"/>
      <c r="F197" s="28" t="n"/>
      <c r="G197" s="28" t="n"/>
      <c r="H197" s="28" t="n"/>
      <c r="I197" s="28" t="n"/>
      <c r="J197" s="28" t="n"/>
      <c r="K197" s="28" t="n"/>
      <c r="L197" s="28" t="n"/>
      <c r="M197" s="28" t="n"/>
      <c r="N197" s="28" t="n"/>
      <c r="O197" s="28" t="n"/>
      <c r="P197" s="129" t="n"/>
      <c r="Q197" s="87" t="n"/>
      <c r="R197" s="292" t="n"/>
      <c r="S197" s="293" t="n"/>
      <c r="T197" s="293" t="n"/>
      <c r="U197" s="293" t="n"/>
      <c r="V197" s="293" t="n"/>
      <c r="W197" s="84" t="n"/>
      <c r="X197">
        <f>Y197&amp;Z197</f>
        <v/>
      </c>
      <c r="Y197" t="inlineStr">
        <is>
          <t>Significant</t>
        </is>
      </c>
      <c r="Z197" t="inlineStr">
        <is>
          <t>No reliance</t>
        </is>
      </c>
      <c r="AA197" t="inlineStr">
        <is>
          <t>Significant</t>
        </is>
      </c>
    </row>
    <row r="198" ht="15" customFormat="1" customHeight="1" s="80">
      <c r="B198" s="29" t="n"/>
      <c r="C198" s="3" t="n"/>
      <c r="D198" s="3" t="n"/>
      <c r="E198" s="3" t="n"/>
      <c r="F198" s="3" t="n"/>
      <c r="G198" s="3" t="n"/>
      <c r="H198" s="3" t="n"/>
      <c r="I198" s="3" t="n"/>
      <c r="J198" s="3" t="n"/>
      <c r="K198" s="3" t="n"/>
      <c r="L198" s="3" t="n"/>
      <c r="M198" s="3" t="n"/>
      <c r="N198" s="3" t="n"/>
      <c r="O198" s="3" t="n"/>
      <c r="P198" s="130" t="n"/>
      <c r="Q198" s="88" t="n"/>
      <c r="R198" s="267" t="n"/>
      <c r="S198" s="268" t="n"/>
      <c r="T198" s="268" t="n"/>
      <c r="U198" s="268" t="n"/>
      <c r="V198" s="268" t="n"/>
    </row>
    <row r="199" ht="15" customFormat="1" customHeight="1" s="80">
      <c r="B199" s="30" t="n"/>
      <c r="C199" s="28" t="n"/>
      <c r="D199" s="28" t="n"/>
      <c r="E199" s="28" t="n"/>
      <c r="F199" s="28" t="n"/>
      <c r="G199" s="28" t="n"/>
      <c r="H199" s="28" t="n"/>
      <c r="I199" s="28" t="n"/>
      <c r="J199" s="28" t="n"/>
      <c r="K199" s="28" t="n"/>
      <c r="L199" s="28" t="n"/>
      <c r="M199" s="28" t="n"/>
      <c r="N199" s="28" t="n"/>
      <c r="O199" s="28" t="n"/>
      <c r="P199" s="129" t="n"/>
      <c r="Q199" s="87" t="n"/>
      <c r="R199" s="292" t="n"/>
      <c r="S199" s="293" t="n"/>
      <c r="T199" s="293" t="n"/>
      <c r="U199" s="293" t="n"/>
      <c r="V199" s="293" t="n"/>
      <c r="W199" s="84" t="n"/>
    </row>
    <row r="200" ht="15" customFormat="1" customHeight="1" s="80">
      <c r="B200" s="28" t="n"/>
      <c r="C200" s="30" t="n"/>
      <c r="D200" s="28" t="n"/>
      <c r="E200" s="28" t="n"/>
      <c r="F200" s="28" t="n"/>
      <c r="G200" s="28" t="n"/>
      <c r="H200" s="28" t="n"/>
      <c r="I200" s="28" t="n"/>
      <c r="J200" s="28" t="n"/>
      <c r="K200" s="28" t="n"/>
      <c r="L200" s="28" t="n"/>
      <c r="M200" s="28" t="n"/>
      <c r="N200" s="28" t="n"/>
      <c r="O200" s="28" t="n"/>
      <c r="P200" s="129" t="n"/>
      <c r="Q200" s="87" t="n"/>
      <c r="R200" s="292" t="n"/>
      <c r="S200" s="293" t="n"/>
      <c r="T200" s="293" t="n"/>
      <c r="U200" s="293" t="n"/>
      <c r="V200" s="293" t="n"/>
      <c r="W200" s="84" t="n"/>
    </row>
    <row r="201" ht="15" customFormat="1" customHeight="1" s="80">
      <c r="B201" s="28" t="n"/>
      <c r="C201" s="30" t="n"/>
      <c r="D201" s="28" t="n"/>
      <c r="E201" s="28" t="n"/>
      <c r="F201" s="28" t="n"/>
      <c r="G201" s="28" t="n"/>
      <c r="H201" s="28" t="n"/>
      <c r="I201" s="28" t="n"/>
      <c r="J201" s="28" t="n"/>
      <c r="K201" s="28" t="n"/>
      <c r="L201" s="28" t="n"/>
      <c r="M201" s="28" t="n"/>
      <c r="N201" s="28" t="n"/>
      <c r="O201" s="28" t="n"/>
      <c r="P201" s="129" t="n"/>
      <c r="Q201" s="87" t="n"/>
      <c r="R201" s="292" t="n"/>
      <c r="S201" s="293" t="n"/>
      <c r="T201" s="293" t="n"/>
      <c r="U201" s="293" t="n"/>
      <c r="V201" s="293" t="n"/>
      <c r="W201" s="84" t="n"/>
    </row>
    <row r="202" ht="15" customFormat="1" customHeight="1" s="80">
      <c r="B202" s="28" t="n"/>
      <c r="C202" s="31" t="n"/>
      <c r="D202" s="28" t="n"/>
      <c r="E202" s="28" t="n"/>
      <c r="F202" s="28" t="n"/>
      <c r="G202" s="28" t="n"/>
      <c r="H202" s="28" t="n"/>
      <c r="I202" s="28" t="n"/>
      <c r="J202" s="28" t="n"/>
      <c r="K202" s="28" t="n"/>
      <c r="L202" s="28" t="n"/>
      <c r="M202" s="28" t="n"/>
      <c r="N202" s="28" t="n"/>
      <c r="O202" s="28" t="n"/>
      <c r="P202" s="129" t="n"/>
      <c r="Q202" s="87" t="n"/>
      <c r="R202" s="292" t="n"/>
      <c r="S202" s="293" t="n"/>
      <c r="T202" s="293" t="n"/>
      <c r="U202" s="293" t="n"/>
      <c r="V202" s="293" t="n"/>
      <c r="W202" s="84" t="n"/>
    </row>
    <row r="203" ht="15" customFormat="1" customHeight="1" s="80">
      <c r="B203" s="28" t="n"/>
      <c r="C203" s="28" t="n"/>
      <c r="D203" s="28" t="n"/>
      <c r="E203" s="28" t="n"/>
      <c r="F203" s="28" t="n"/>
      <c r="G203" s="28" t="n"/>
      <c r="H203" s="28" t="n"/>
      <c r="I203" s="28" t="n"/>
      <c r="J203" s="28" t="n"/>
      <c r="K203" s="28" t="n"/>
      <c r="L203" s="28" t="n"/>
      <c r="M203" s="28" t="n"/>
      <c r="N203" s="28" t="n"/>
      <c r="O203" s="28" t="n"/>
      <c r="P203" s="129" t="n"/>
      <c r="Q203" s="87" t="n"/>
      <c r="R203" s="292" t="n"/>
      <c r="S203" s="293" t="n"/>
      <c r="T203" s="293" t="n"/>
      <c r="U203" s="293" t="n"/>
      <c r="V203" s="293" t="n"/>
      <c r="W203" s="84" t="n"/>
    </row>
    <row r="204" ht="15" customFormat="1" customHeight="1" s="80">
      <c r="B204" s="29" t="n"/>
      <c r="C204" s="3" t="n"/>
      <c r="D204" s="3" t="n"/>
      <c r="E204" s="3" t="n"/>
      <c r="F204" s="3" t="n"/>
      <c r="G204" s="3" t="n"/>
      <c r="H204" s="3" t="n"/>
      <c r="I204" s="3" t="n"/>
      <c r="J204" s="3" t="n"/>
      <c r="K204" s="3" t="n"/>
      <c r="L204" s="3" t="n"/>
      <c r="M204" s="3" t="n"/>
      <c r="N204" s="3" t="n"/>
      <c r="O204" s="3" t="n"/>
      <c r="P204" s="130" t="n"/>
      <c r="Q204" s="88" t="n"/>
      <c r="R204" s="267" t="n"/>
      <c r="S204" s="268" t="n"/>
      <c r="T204" s="268" t="n"/>
      <c r="U204" s="268" t="n"/>
      <c r="V204" s="268" t="n"/>
    </row>
    <row r="205" ht="15" customFormat="1" customHeight="1" s="80">
      <c r="B205" s="28" t="n"/>
      <c r="C205" s="28" t="n"/>
      <c r="D205" s="28" t="n"/>
      <c r="E205" s="28" t="n"/>
      <c r="F205" s="28" t="n"/>
      <c r="G205" s="28" t="n"/>
      <c r="H205" s="28" t="n"/>
      <c r="I205" s="28" t="n"/>
      <c r="J205" s="28" t="n"/>
      <c r="K205" s="28" t="n"/>
      <c r="L205" s="28" t="n"/>
      <c r="M205" s="28" t="n"/>
      <c r="N205" s="28" t="n"/>
      <c r="O205" s="28" t="n"/>
      <c r="P205" s="129" t="n"/>
      <c r="Q205" s="87" t="n"/>
      <c r="R205" s="292" t="n"/>
      <c r="S205" s="293" t="n"/>
      <c r="T205" s="293" t="n"/>
      <c r="U205" s="293" t="n"/>
      <c r="V205" s="293" t="n"/>
      <c r="W205" s="84" t="n"/>
    </row>
    <row r="206" ht="15" customFormat="1" customHeight="1" s="80">
      <c r="B206" s="28" t="n"/>
      <c r="C206" s="28" t="n"/>
      <c r="D206" s="28" t="n"/>
      <c r="E206" s="28" t="n"/>
      <c r="F206" s="28" t="n"/>
      <c r="G206" s="28" t="n"/>
      <c r="H206" s="28" t="n"/>
      <c r="I206" s="28" t="n"/>
      <c r="J206" s="28" t="n"/>
      <c r="K206" s="28" t="n"/>
      <c r="L206" s="28" t="n"/>
      <c r="M206" s="28" t="n"/>
      <c r="N206" s="28" t="n"/>
      <c r="O206" s="28" t="n"/>
      <c r="P206" s="129" t="n"/>
      <c r="Q206" s="87" t="n"/>
      <c r="R206" s="292" t="n"/>
      <c r="S206" s="293" t="n"/>
      <c r="T206" s="293" t="n"/>
      <c r="U206" s="293" t="n"/>
      <c r="V206" s="293" t="n"/>
      <c r="W206" s="84" t="n"/>
    </row>
    <row r="207" ht="15" customFormat="1" customHeight="1" s="80">
      <c r="B207" s="28" t="n"/>
      <c r="C207" s="28" t="n"/>
      <c r="D207" s="28" t="n"/>
      <c r="E207" s="28" t="n"/>
      <c r="F207" s="28" t="n"/>
      <c r="G207" s="28" t="n"/>
      <c r="H207" s="28" t="n"/>
      <c r="I207" s="28" t="n"/>
      <c r="J207" s="28" t="n"/>
      <c r="K207" s="28" t="n"/>
      <c r="L207" s="28" t="n"/>
      <c r="M207" s="28" t="n"/>
      <c r="N207" s="28" t="n"/>
      <c r="O207" s="28" t="n"/>
      <c r="P207" s="129" t="n"/>
      <c r="Q207" s="87" t="n"/>
      <c r="R207" s="292" t="n"/>
      <c r="S207" s="293" t="n"/>
      <c r="T207" s="293" t="n"/>
      <c r="U207" s="293" t="n"/>
      <c r="V207" s="293" t="n"/>
      <c r="W207" s="84" t="n"/>
    </row>
    <row r="208" ht="15" customFormat="1" customHeight="1" s="80">
      <c r="B208" s="3" t="n"/>
      <c r="C208" s="3" t="n"/>
      <c r="D208" s="3" t="n"/>
      <c r="E208" s="3" t="n"/>
      <c r="F208" s="3" t="n"/>
      <c r="G208" s="3" t="n"/>
      <c r="H208" s="3" t="n"/>
      <c r="I208" s="3" t="n"/>
      <c r="J208" s="3" t="n"/>
      <c r="K208" s="3" t="n"/>
      <c r="L208" s="3" t="n"/>
      <c r="M208" s="3" t="n"/>
      <c r="N208" s="3" t="n"/>
      <c r="O208" s="3" t="n"/>
      <c r="P208" s="130" t="n"/>
      <c r="Q208" s="88" t="n"/>
      <c r="R208" s="267" t="n"/>
      <c r="S208" s="268" t="n"/>
      <c r="T208" s="268" t="n"/>
      <c r="U208" s="268" t="n"/>
      <c r="V208" s="268" t="n"/>
    </row>
    <row r="209" ht="15" customFormat="1" customHeight="1" s="80">
      <c r="B209" s="3" t="n"/>
      <c r="C209" s="3" t="n"/>
      <c r="D209" s="3" t="n"/>
      <c r="E209" s="3" t="n"/>
      <c r="F209" s="3" t="n"/>
      <c r="G209" s="3" t="n"/>
      <c r="H209" s="3" t="n"/>
      <c r="I209" s="3" t="n"/>
      <c r="J209" s="3" t="n"/>
      <c r="K209" s="3" t="n"/>
      <c r="L209" s="3" t="n"/>
      <c r="M209" s="3" t="n"/>
      <c r="N209" s="3" t="n"/>
      <c r="O209" s="3" t="n"/>
      <c r="P209" s="130" t="n"/>
      <c r="Q209" s="88" t="n"/>
      <c r="R209" s="267" t="n"/>
      <c r="S209" s="268" t="n"/>
      <c r="T209" s="268" t="n"/>
      <c r="U209" s="268" t="n"/>
      <c r="V209" s="268" t="n"/>
    </row>
    <row r="210" ht="15" customFormat="1" customHeight="1" s="80">
      <c r="B210" s="3" t="n"/>
      <c r="C210" s="3" t="n"/>
      <c r="D210" s="3" t="n"/>
      <c r="E210" s="3" t="n"/>
      <c r="F210" s="3" t="n"/>
      <c r="G210" s="3" t="n"/>
      <c r="H210" s="3" t="n"/>
      <c r="I210" s="3" t="n"/>
      <c r="J210" s="3" t="n"/>
      <c r="K210" s="3" t="n"/>
      <c r="L210" s="3" t="n"/>
      <c r="M210" s="3" t="n"/>
      <c r="N210" s="3" t="n"/>
      <c r="O210" s="3" t="n"/>
      <c r="P210" s="130" t="n"/>
      <c r="Q210" s="88" t="n"/>
      <c r="R210" s="267" t="n"/>
      <c r="S210" s="268" t="n"/>
      <c r="T210" s="268" t="n"/>
      <c r="U210" s="268" t="n"/>
      <c r="V210" s="268" t="n"/>
    </row>
    <row r="211" ht="15" customFormat="1" customHeight="1" s="80">
      <c r="B211" s="3" t="n"/>
      <c r="C211" s="3" t="n"/>
      <c r="D211" s="3" t="n"/>
      <c r="E211" s="3" t="n"/>
      <c r="F211" s="3" t="n"/>
      <c r="G211" s="3" t="n"/>
      <c r="H211" s="3" t="n"/>
      <c r="I211" s="3" t="n"/>
      <c r="J211" s="3" t="n"/>
      <c r="K211" s="3" t="n"/>
      <c r="L211" s="3" t="n"/>
      <c r="M211" s="3" t="n"/>
      <c r="N211" s="3" t="n"/>
      <c r="O211" s="3" t="n"/>
      <c r="P211" s="130" t="n"/>
      <c r="Q211" s="88" t="n"/>
      <c r="R211" s="267" t="n"/>
      <c r="S211" s="268" t="n"/>
      <c r="T211" s="268" t="n"/>
      <c r="U211" s="268" t="n"/>
      <c r="V211" s="268" t="n"/>
    </row>
    <row r="212" ht="15" customFormat="1" customHeight="1" s="80">
      <c r="B212" s="3" t="n"/>
      <c r="C212" s="3" t="n"/>
      <c r="D212" s="3" t="n"/>
      <c r="E212" s="3" t="n"/>
      <c r="F212" s="3" t="n"/>
      <c r="G212" s="3" t="n"/>
      <c r="H212" s="3" t="n"/>
      <c r="I212" s="3" t="n"/>
      <c r="J212" s="3" t="n"/>
      <c r="K212" s="3" t="n"/>
      <c r="L212" s="3" t="n"/>
      <c r="M212" s="3" t="n"/>
      <c r="N212" s="3" t="n"/>
      <c r="O212" s="3" t="n"/>
      <c r="P212" s="130" t="n"/>
      <c r="Q212" s="88" t="n"/>
      <c r="R212" s="267" t="n"/>
      <c r="S212" s="268" t="n"/>
      <c r="T212" s="268" t="n"/>
      <c r="U212" s="268" t="n"/>
      <c r="V212" s="268" t="n"/>
    </row>
    <row r="213" ht="15" customFormat="1" customHeight="1" s="80">
      <c r="B213" s="3" t="n"/>
      <c r="C213" s="3" t="n"/>
      <c r="D213" s="3" t="n"/>
      <c r="E213" s="3" t="n"/>
      <c r="F213" s="3" t="n"/>
      <c r="G213" s="3" t="n"/>
      <c r="H213" s="3" t="n"/>
      <c r="I213" s="3" t="n"/>
      <c r="J213" s="3" t="n"/>
      <c r="K213" s="3" t="n"/>
      <c r="L213" s="3" t="n"/>
      <c r="M213" s="3" t="n"/>
      <c r="N213" s="3" t="n"/>
      <c r="O213" s="3" t="n"/>
      <c r="P213" s="130" t="n"/>
      <c r="Q213" s="88" t="n"/>
      <c r="R213" s="267" t="n"/>
      <c r="S213" s="268" t="n"/>
      <c r="T213" s="268" t="n"/>
      <c r="U213" s="268" t="n"/>
      <c r="V213" s="268" t="n"/>
    </row>
    <row r="214" ht="15" customFormat="1" customHeight="1" s="80">
      <c r="B214" s="3" t="n"/>
      <c r="C214" s="3" t="n"/>
      <c r="D214" s="3" t="n"/>
      <c r="E214" s="3" t="n"/>
      <c r="F214" s="3" t="n"/>
      <c r="G214" s="3" t="n"/>
      <c r="H214" s="3" t="n"/>
      <c r="I214" s="3" t="n"/>
      <c r="J214" s="3" t="n"/>
      <c r="K214" s="3" t="n"/>
      <c r="L214" s="3" t="n"/>
      <c r="M214" s="3" t="n"/>
      <c r="N214" s="3" t="n"/>
      <c r="O214" s="3" t="n"/>
      <c r="P214" s="130" t="n"/>
      <c r="Q214" s="88" t="n"/>
      <c r="R214" s="267" t="n"/>
      <c r="S214" s="268" t="n"/>
      <c r="T214" s="268" t="n"/>
      <c r="U214" s="268" t="n"/>
      <c r="V214" s="268" t="n"/>
    </row>
    <row r="215" ht="15" customFormat="1" customHeight="1" s="80">
      <c r="B215" s="3" t="n"/>
      <c r="C215" s="3" t="n"/>
      <c r="D215" s="3" t="n"/>
      <c r="E215" s="3" t="n"/>
      <c r="F215" s="3" t="n"/>
      <c r="G215" s="3" t="n"/>
      <c r="H215" s="3" t="n"/>
      <c r="I215" s="3" t="n"/>
      <c r="J215" s="3" t="n"/>
      <c r="K215" s="3" t="n"/>
      <c r="L215" s="3" t="n"/>
      <c r="M215" s="3" t="n"/>
      <c r="N215" s="3" t="n"/>
      <c r="O215" s="3" t="n"/>
      <c r="P215" s="130" t="n"/>
      <c r="Q215" s="88" t="n"/>
      <c r="R215" s="267" t="n"/>
      <c r="S215" s="268" t="n"/>
      <c r="T215" s="268" t="n"/>
      <c r="U215" s="268" t="n"/>
      <c r="V215" s="268" t="n"/>
    </row>
    <row r="216" ht="15" customFormat="1" customHeight="1" s="80">
      <c r="B216" s="3" t="n"/>
      <c r="C216" s="3" t="n"/>
      <c r="D216" s="3" t="n"/>
      <c r="E216" s="3" t="n"/>
      <c r="F216" s="3" t="n"/>
      <c r="G216" s="3" t="n"/>
      <c r="H216" s="3" t="n"/>
      <c r="I216" s="3" t="n"/>
      <c r="J216" s="3" t="n"/>
      <c r="K216" s="3" t="n"/>
      <c r="L216" s="3" t="n"/>
      <c r="M216" s="3" t="n"/>
      <c r="N216" s="3" t="n"/>
      <c r="O216" s="3" t="n"/>
      <c r="P216" s="130" t="n"/>
      <c r="Q216" s="88" t="n"/>
      <c r="R216" s="267" t="n"/>
      <c r="S216" s="268" t="n"/>
      <c r="T216" s="268" t="n"/>
      <c r="U216" s="268" t="n"/>
      <c r="V216" s="268" t="n"/>
    </row>
    <row r="217" ht="15" customFormat="1" customHeight="1" s="80">
      <c r="B217" s="3" t="n"/>
      <c r="C217" s="3" t="n"/>
      <c r="D217" s="3" t="n"/>
      <c r="E217" s="3" t="n"/>
      <c r="F217" s="3" t="n"/>
      <c r="G217" s="3" t="n"/>
      <c r="H217" s="3" t="n"/>
      <c r="I217" s="3" t="n"/>
      <c r="J217" s="3" t="n"/>
      <c r="K217" s="3" t="n"/>
      <c r="L217" s="3" t="n"/>
      <c r="M217" s="3" t="n"/>
      <c r="N217" s="3" t="n"/>
      <c r="O217" s="3" t="n"/>
      <c r="P217" s="130" t="n"/>
      <c r="Q217" s="88" t="n"/>
      <c r="R217" s="267" t="n"/>
      <c r="S217" s="268" t="n"/>
      <c r="T217" s="268" t="n"/>
      <c r="U217" s="268" t="n"/>
      <c r="V217" s="268" t="n"/>
    </row>
    <row r="218" ht="15" customFormat="1" customHeight="1" s="80">
      <c r="B218" s="3" t="n"/>
      <c r="C218" s="3" t="n"/>
      <c r="D218" s="3" t="n"/>
      <c r="E218" s="3" t="n"/>
      <c r="F218" s="3" t="n"/>
      <c r="G218" s="3" t="n"/>
      <c r="H218" s="3" t="n"/>
      <c r="I218" s="3" t="n"/>
      <c r="J218" s="3" t="n"/>
      <c r="K218" s="3" t="n"/>
      <c r="L218" s="3" t="n"/>
      <c r="M218" s="3" t="n"/>
      <c r="N218" s="3" t="n"/>
      <c r="O218" s="3" t="n"/>
      <c r="P218" s="130" t="n"/>
      <c r="Q218" s="88" t="n"/>
      <c r="R218" s="267" t="n"/>
      <c r="S218" s="268" t="n"/>
      <c r="T218" s="268" t="n"/>
      <c r="U218" s="268" t="n"/>
      <c r="V218" s="268" t="n"/>
    </row>
    <row r="219" ht="15" customFormat="1" customHeight="1" s="80">
      <c r="B219" s="3" t="n"/>
      <c r="C219" s="3" t="n"/>
      <c r="D219" s="3" t="n"/>
      <c r="E219" s="3" t="n"/>
      <c r="F219" s="3" t="n"/>
      <c r="G219" s="3" t="n"/>
      <c r="H219" s="3" t="n"/>
      <c r="I219" s="3" t="n"/>
      <c r="J219" s="3" t="n"/>
      <c r="K219" s="3" t="n"/>
      <c r="L219" s="3" t="n"/>
      <c r="M219" s="3" t="n"/>
      <c r="N219" s="3" t="n"/>
      <c r="O219" s="3" t="n"/>
      <c r="P219" s="130" t="n"/>
      <c r="Q219" s="88" t="n"/>
      <c r="R219" s="267" t="n"/>
      <c r="S219" s="268" t="n"/>
      <c r="T219" s="268" t="n"/>
      <c r="U219" s="268" t="n"/>
      <c r="V219" s="268" t="n"/>
    </row>
    <row r="220" ht="15" customFormat="1" customHeight="1" s="80">
      <c r="B220" s="3" t="n"/>
      <c r="C220" s="3" t="n"/>
      <c r="D220" s="3" t="n"/>
      <c r="E220" s="3" t="n"/>
      <c r="F220" s="3" t="n"/>
      <c r="G220" s="3" t="n"/>
      <c r="H220" s="3" t="n"/>
      <c r="I220" s="3" t="n"/>
      <c r="J220" s="3" t="n"/>
      <c r="K220" s="3" t="n"/>
      <c r="L220" s="3" t="n"/>
      <c r="M220" s="3" t="n"/>
      <c r="N220" s="3" t="n"/>
      <c r="O220" s="3" t="n"/>
      <c r="P220" s="130" t="n"/>
      <c r="Q220" s="88" t="n"/>
      <c r="R220" s="267" t="n"/>
      <c r="S220" s="268" t="n"/>
      <c r="T220" s="268" t="n"/>
      <c r="U220" s="268" t="n"/>
      <c r="V220" s="268" t="n"/>
    </row>
    <row r="221" ht="15" customFormat="1" customHeight="1" s="80">
      <c r="B221" s="3" t="n"/>
      <c r="C221" s="3" t="n"/>
      <c r="D221" s="3" t="n"/>
      <c r="E221" s="3" t="n"/>
      <c r="F221" s="3" t="n"/>
      <c r="G221" s="3" t="n"/>
      <c r="H221" s="3" t="n"/>
      <c r="I221" s="3" t="n"/>
      <c r="J221" s="3" t="n"/>
      <c r="K221" s="3" t="n"/>
      <c r="L221" s="3" t="n"/>
      <c r="M221" s="3" t="n"/>
      <c r="N221" s="3" t="n"/>
      <c r="O221" s="3" t="n"/>
      <c r="P221" s="130" t="n"/>
      <c r="Q221" s="88" t="n"/>
      <c r="R221" s="267" t="n"/>
      <c r="S221" s="268" t="n"/>
      <c r="T221" s="268" t="n"/>
      <c r="U221" s="268" t="n"/>
      <c r="V221" s="268" t="n"/>
    </row>
    <row r="222" ht="15" customFormat="1" customHeight="1" s="80">
      <c r="B222" s="3" t="n"/>
      <c r="C222" s="3" t="n"/>
      <c r="D222" s="3" t="n"/>
      <c r="E222" s="3" t="n"/>
      <c r="F222" s="3" t="n"/>
      <c r="G222" s="3" t="n"/>
      <c r="H222" s="3" t="n"/>
      <c r="I222" s="3" t="n"/>
      <c r="J222" s="3" t="n"/>
      <c r="K222" s="3" t="n"/>
      <c r="L222" s="3" t="n"/>
      <c r="M222" s="3" t="n"/>
      <c r="N222" s="3" t="n"/>
      <c r="O222" s="3" t="n"/>
      <c r="P222" s="130" t="n"/>
      <c r="Q222" s="88" t="n"/>
      <c r="R222" s="267" t="n"/>
      <c r="S222" s="268" t="n"/>
      <c r="T222" s="268" t="n"/>
      <c r="U222" s="268" t="n"/>
      <c r="V222" s="268" t="n"/>
    </row>
    <row r="223" ht="15" customFormat="1" customHeight="1" s="80">
      <c r="B223" s="3" t="n"/>
      <c r="C223" s="3" t="n"/>
      <c r="D223" s="3" t="n"/>
      <c r="E223" s="3" t="n"/>
      <c r="F223" s="3" t="n"/>
      <c r="G223" s="3" t="n"/>
      <c r="H223" s="3" t="n"/>
      <c r="I223" s="3" t="n"/>
      <c r="J223" s="3" t="n"/>
      <c r="K223" s="3" t="n"/>
      <c r="L223" s="3" t="n"/>
      <c r="M223" s="3" t="n"/>
      <c r="N223" s="3" t="n"/>
      <c r="O223" s="3" t="n"/>
      <c r="P223" s="130" t="n"/>
      <c r="Q223" s="88" t="n"/>
      <c r="R223" s="267" t="n"/>
      <c r="S223" s="268" t="n"/>
      <c r="T223" s="268" t="n"/>
      <c r="U223" s="268" t="n"/>
      <c r="V223" s="268" t="n"/>
    </row>
    <row r="224" ht="15" customFormat="1" customHeight="1" s="80">
      <c r="B224" s="3" t="n"/>
      <c r="C224" s="3" t="n"/>
      <c r="D224" s="3" t="n"/>
      <c r="E224" s="3" t="n"/>
      <c r="F224" s="3" t="n"/>
      <c r="G224" s="3" t="n"/>
      <c r="H224" s="3" t="n"/>
      <c r="I224" s="3" t="n"/>
      <c r="J224" s="3" t="n"/>
      <c r="K224" s="3" t="n"/>
      <c r="L224" s="3" t="n"/>
      <c r="M224" s="3" t="n"/>
      <c r="N224" s="3" t="n"/>
      <c r="O224" s="3" t="n"/>
      <c r="P224" s="130" t="n"/>
      <c r="Q224" s="88" t="n"/>
      <c r="R224" s="267" t="n"/>
      <c r="S224" s="268" t="n"/>
      <c r="T224" s="268" t="n"/>
      <c r="U224" s="268" t="n"/>
      <c r="V224" s="268" t="n"/>
    </row>
    <row r="225" ht="15" customFormat="1" customHeight="1" s="80">
      <c r="B225" s="3" t="n"/>
      <c r="C225" s="3" t="n"/>
      <c r="D225" s="3" t="n"/>
      <c r="E225" s="3" t="n"/>
      <c r="F225" s="3" t="n"/>
      <c r="G225" s="3" t="n"/>
      <c r="H225" s="3" t="n"/>
      <c r="I225" s="3" t="n"/>
      <c r="J225" s="3" t="n"/>
      <c r="K225" s="3" t="n"/>
      <c r="L225" s="3" t="n"/>
      <c r="M225" s="3" t="n"/>
      <c r="N225" s="3" t="n"/>
      <c r="O225" s="3" t="n"/>
      <c r="P225" s="130" t="n"/>
      <c r="Q225" s="88" t="n"/>
      <c r="R225" s="267" t="n"/>
      <c r="S225" s="268" t="n"/>
      <c r="T225" s="268" t="n"/>
      <c r="U225" s="268" t="n"/>
      <c r="V225" s="268" t="n"/>
    </row>
    <row r="226" ht="15" customFormat="1" customHeight="1" s="80">
      <c r="B226" s="3" t="n"/>
      <c r="C226" s="3" t="n"/>
      <c r="D226" s="3" t="n"/>
      <c r="E226" s="3" t="n"/>
      <c r="F226" s="3" t="n"/>
      <c r="G226" s="3" t="n"/>
      <c r="H226" s="3" t="n"/>
      <c r="I226" s="3" t="n"/>
      <c r="J226" s="3" t="n"/>
      <c r="K226" s="3" t="n"/>
      <c r="L226" s="3" t="n"/>
      <c r="M226" s="3" t="n"/>
      <c r="N226" s="3" t="n"/>
      <c r="O226" s="3" t="n"/>
      <c r="P226" s="130" t="n"/>
      <c r="Q226" s="88" t="n"/>
      <c r="R226" s="267" t="n"/>
      <c r="S226" s="268" t="n"/>
      <c r="T226" s="268" t="n"/>
      <c r="U226" s="268" t="n"/>
      <c r="V226" s="268" t="n"/>
    </row>
    <row r="227" ht="15" customFormat="1" customHeight="1" s="80">
      <c r="B227" s="3" t="n"/>
      <c r="C227" s="3" t="n"/>
      <c r="D227" s="3" t="n"/>
      <c r="E227" s="3" t="n"/>
      <c r="F227" s="3" t="n"/>
      <c r="G227" s="3" t="n"/>
      <c r="H227" s="3" t="n"/>
      <c r="I227" s="3" t="n"/>
      <c r="J227" s="3" t="n"/>
      <c r="K227" s="3" t="n"/>
      <c r="L227" s="3" t="n"/>
      <c r="M227" s="3" t="n"/>
      <c r="N227" s="3" t="n"/>
      <c r="O227" s="3" t="n"/>
      <c r="P227" s="130" t="n"/>
      <c r="Q227" s="88" t="n"/>
      <c r="R227" s="267" t="n"/>
      <c r="S227" s="268" t="n"/>
      <c r="T227" s="268" t="n"/>
      <c r="U227" s="268" t="n"/>
      <c r="V227" s="268" t="n"/>
    </row>
    <row r="228" ht="15" customFormat="1" customHeight="1" s="80">
      <c r="B228" s="3" t="n"/>
      <c r="C228" s="3" t="n"/>
      <c r="D228" s="3" t="n"/>
      <c r="E228" s="3" t="n"/>
      <c r="F228" s="3" t="n"/>
      <c r="G228" s="3" t="n"/>
      <c r="H228" s="3" t="n"/>
      <c r="I228" s="3" t="n"/>
      <c r="J228" s="3" t="n"/>
      <c r="K228" s="3" t="n"/>
      <c r="L228" s="3" t="n"/>
      <c r="M228" s="3" t="n"/>
      <c r="N228" s="3" t="n"/>
      <c r="O228" s="3" t="n"/>
      <c r="P228" s="130" t="n"/>
      <c r="Q228" s="88" t="n"/>
      <c r="R228" s="267" t="n"/>
      <c r="S228" s="268" t="n"/>
      <c r="T228" s="268" t="n"/>
      <c r="U228" s="268" t="n"/>
      <c r="V228" s="268" t="n"/>
    </row>
    <row r="229" ht="15" customFormat="1" customHeight="1" s="80">
      <c r="B229" s="3" t="n"/>
      <c r="C229" s="3" t="n"/>
      <c r="D229" s="3" t="n"/>
      <c r="E229" s="3" t="n"/>
      <c r="F229" s="3" t="n"/>
      <c r="G229" s="3" t="n"/>
      <c r="H229" s="3" t="n"/>
      <c r="I229" s="3" t="n"/>
      <c r="J229" s="3" t="n"/>
      <c r="K229" s="3" t="n"/>
      <c r="L229" s="3" t="n"/>
      <c r="M229" s="3" t="n"/>
      <c r="N229" s="3" t="n"/>
      <c r="O229" s="3" t="n"/>
      <c r="P229" s="130" t="n"/>
      <c r="Q229" s="88" t="n"/>
      <c r="R229" s="267" t="n"/>
      <c r="S229" s="268" t="n"/>
      <c r="T229" s="268" t="n"/>
      <c r="U229" s="268" t="n"/>
      <c r="V229" s="268" t="n"/>
    </row>
  </sheetData>
  <mergeCells count="88">
    <mergeCell ref="B144:O146"/>
    <mergeCell ref="B51:O53"/>
    <mergeCell ref="P59:P60"/>
    <mergeCell ref="B185:O187"/>
    <mergeCell ref="B63:O65"/>
    <mergeCell ref="P21:P22"/>
    <mergeCell ref="P67:P68"/>
    <mergeCell ref="B49:O50"/>
    <mergeCell ref="R3:V4"/>
    <mergeCell ref="R185:V190"/>
    <mergeCell ref="R137:V139"/>
    <mergeCell ref="B99:O102"/>
    <mergeCell ref="B27:O29"/>
    <mergeCell ref="P185:P186"/>
    <mergeCell ref="B67:O69"/>
    <mergeCell ref="B17:O19"/>
    <mergeCell ref="G90:I90"/>
    <mergeCell ref="B104:O107"/>
    <mergeCell ref="P71:P72"/>
    <mergeCell ref="B26:J26"/>
    <mergeCell ref="B173:P173"/>
    <mergeCell ref="P177:P178"/>
    <mergeCell ref="B120:K120"/>
    <mergeCell ref="P40:P42"/>
    <mergeCell ref="B55:O57"/>
    <mergeCell ref="B189:O191"/>
    <mergeCell ref="B45:O47"/>
    <mergeCell ref="P51:P52"/>
    <mergeCell ref="P189:P190"/>
    <mergeCell ref="B122:O122"/>
    <mergeCell ref="L1:N1"/>
    <mergeCell ref="R78:V80"/>
    <mergeCell ref="B40:O43"/>
    <mergeCell ref="G80:I80"/>
    <mergeCell ref="B21:O23"/>
    <mergeCell ref="P126:P127"/>
    <mergeCell ref="P36:P37"/>
    <mergeCell ref="B71:O73"/>
    <mergeCell ref="P116:P117"/>
    <mergeCell ref="P181:P182"/>
    <mergeCell ref="R87:V91"/>
    <mergeCell ref="B181:O183"/>
    <mergeCell ref="P13:P14"/>
    <mergeCell ref="B128:O130"/>
    <mergeCell ref="B137:O139"/>
    <mergeCell ref="R140:V140"/>
    <mergeCell ref="B31:M31"/>
    <mergeCell ref="P144:P145"/>
    <mergeCell ref="R162:V165"/>
    <mergeCell ref="P63:P64"/>
    <mergeCell ref="P128:P129"/>
    <mergeCell ref="B36:O38"/>
    <mergeCell ref="B123:O125"/>
    <mergeCell ref="B85:O87"/>
    <mergeCell ref="B116:O119"/>
    <mergeCell ref="L4:N4"/>
    <mergeCell ref="B75:O77"/>
    <mergeCell ref="P120:P121"/>
    <mergeCell ref="C2:E2"/>
    <mergeCell ref="P161:P162"/>
    <mergeCell ref="P17:P18"/>
    <mergeCell ref="R123:V131"/>
    <mergeCell ref="P75:P76"/>
    <mergeCell ref="P156:P157"/>
    <mergeCell ref="L2:N2"/>
    <mergeCell ref="R7:V8"/>
    <mergeCell ref="B8:Q8"/>
    <mergeCell ref="P55:P56"/>
    <mergeCell ref="B177:O179"/>
    <mergeCell ref="B111:O114"/>
    <mergeCell ref="L3:N3"/>
    <mergeCell ref="P45:P46"/>
    <mergeCell ref="C1:E1"/>
    <mergeCell ref="P141:P143"/>
    <mergeCell ref="B161:O168"/>
    <mergeCell ref="B59:O61"/>
    <mergeCell ref="I169:O169"/>
    <mergeCell ref="P111:P112"/>
    <mergeCell ref="B108:O109"/>
    <mergeCell ref="R45:V47"/>
    <mergeCell ref="B13:O15"/>
    <mergeCell ref="B32:M32"/>
    <mergeCell ref="R11:V14"/>
    <mergeCell ref="P139:P140"/>
    <mergeCell ref="B127:O127"/>
    <mergeCell ref="P123:P124"/>
    <mergeCell ref="P104:P105"/>
    <mergeCell ref="P85:P86"/>
  </mergeCells>
  <dataValidations count="5">
    <dataValidation sqref="K26" showDropDown="0" showInputMessage="0" showErrorMessage="0" allowBlank="1" type="list">
      <formula1>"Yes,No"</formula1>
    </dataValidation>
    <dataValidation sqref="E78 F88" showDropDown="0" showInputMessage="0" showErrorMessage="0" allowBlank="1" type="list">
      <formula1>$X$77:$X$78</formula1>
    </dataValidation>
    <dataValidation sqref="N103 N110 N115" showDropDown="0" showInputMessage="0" showErrorMessage="0" allowBlank="1" type="list">
      <formula1>$X$103:$X$105</formula1>
    </dataValidation>
    <dataValidation sqref="H140" showDropDown="0" showInputMessage="0" showErrorMessage="0" allowBlank="1" type="list">
      <formula1>$X$139:$X$140</formula1>
    </dataValidation>
    <dataValidation sqref="L126" showDropDown="0" showInputMessage="0" showErrorMessage="0" allowBlank="1" type="list">
      <formula1>$X$118:$X$120</formula1>
    </dataValidation>
  </dataValidations>
  <hyperlinks>
    <hyperlink ref="P13" location="'Guidance (Do not delete)'!B7" display="Link to guidance"/>
    <hyperlink ref="P17" location="'Guidance (Do not delete)'!B13" display="Link to guidance"/>
    <hyperlink ref="P21" location="'Guidance (Do not delete)'!B20" display="Link to guidance"/>
    <hyperlink ref="P36" location="'Guidance (Do not delete)'!B30" display="Link to guidance"/>
    <hyperlink ref="P40" location="'Guidance (Do not delete)'!B40" display="Link to guidance"/>
    <hyperlink ref="P45" location="'Guidance (Do not delete)'!B50" display="Link to guidance"/>
    <hyperlink ref="P51" location="'Guidance (Do not delete)'!B65" display="Link to guidance"/>
    <hyperlink ref="P55" location="'Guidance (Do not delete)'!B69" display="Link to guidance"/>
    <hyperlink ref="P59" location="'Guidance (Do not delete)'!B83" display="Link to guidance"/>
    <hyperlink ref="P63" location="'Guidance (Do not delete)'!B88" display="Link to guidance"/>
    <hyperlink ref="P67" location="'Guidance (Do not delete)'!B96" display="Link to guidance"/>
    <hyperlink ref="P71" location="'Guidance (Do not delete)'!B100" display="Link to guidance"/>
    <hyperlink ref="P75" location="'Guidance (Do not delete)'!B105" display="Link to guidance"/>
    <hyperlink ref="P85" location="'Guidance (Do not delete)'!B114" display="Link to guidance"/>
    <hyperlink ref="P104" location="'Guidance (Do not delete)'!B141" display="Link to guidance"/>
    <hyperlink ref="P111" location="'Guidance (Do not delete)'!B151" display="Link to guidance"/>
    <hyperlink ref="P116" location="'Guidance (Do not delete)'!B160" display="Link to guidance"/>
    <hyperlink ref="P120" location="'Guidance (Do not delete)'!B167" display="Link to guidance"/>
    <hyperlink ref="P123" location="'Guidance (Do not delete)'!B173" display="Link to guidance"/>
    <hyperlink ref="P126" location="'Guidance (Do not delete)'!B178" display="Link to guidance"/>
    <hyperlink ref="P128" location="'Guidance (Do not delete)'!B201" display="Link to guidance"/>
    <hyperlink ref="P139" location="'Guidance (Do not delete)'!B217" display="Link to guidance"/>
    <hyperlink ref="P141" location="'Guidance (Do not delete)'!B222" display="Link to guidance"/>
    <hyperlink ref="P156" location="'Guidance (Do not delete)'!B240" display="Link to guidance"/>
    <hyperlink ref="P161" location="'Guidance (Do not delete)'!B250" display="Link to guidance"/>
    <hyperlink ref="P177" location="'Guidance (Do not delete)'!B326" display="Link to guidance"/>
    <hyperlink ref="P181" location="'Guidance (Do not delete)'!B333" display="Link to guidance"/>
    <hyperlink ref="P185" location="'Guidance (Do not delete)'!B337" display="Link to guidance"/>
    <hyperlink ref="P189" location="'Guidance (Do not delete)'!B341" display="Link to guidance"/>
  </hyperlinks>
  <pageMargins left="0.7" right="0.7" top="0.75" bottom="0.75" header="0.3" footer="0.3"/>
  <pageSetup orientation="portrait" paperSize="9"/>
</worksheet>
</file>

<file path=xl/worksheets/sheet4.xml><?xml version="1.0" encoding="utf-8"?>
<worksheet xmlns="http://schemas.openxmlformats.org/spreadsheetml/2006/main">
  <sheetPr codeName="Sheet1">
    <tabColor rgb="FF0072CE"/>
    <outlinePr summaryBelow="1" summaryRight="1"/>
    <pageSetUpPr/>
  </sheetPr>
  <dimension ref="A1:AA229"/>
  <sheetViews>
    <sheetView showGridLines="0" workbookViewId="0">
      <selection activeCell="A1" sqref="A1"/>
    </sheetView>
  </sheetViews>
  <sheetFormatPr baseColWidth="8" defaultColWidth="0" defaultRowHeight="15" zeroHeight="1"/>
  <cols>
    <col width="3.625" customWidth="1" style="79" min="1" max="1"/>
    <col width="11.875" customWidth="1" style="4" min="2" max="2"/>
    <col width="10.375" customWidth="1" style="4" min="3" max="3"/>
    <col width="9.375" customWidth="1" style="4" min="4" max="4"/>
    <col width="14.625" customWidth="1" style="4" min="5" max="5"/>
    <col width="11.875" customWidth="1" style="4" min="6" max="6"/>
    <col width="7.75" customWidth="1" style="4" min="7" max="9"/>
    <col width="13.625" customWidth="1" style="4" min="10" max="10"/>
    <col width="20.125" customWidth="1" style="4" min="11" max="11"/>
    <col width="16.375" customWidth="1" style="4" min="12" max="12"/>
    <col width="4.125" customWidth="1" style="4" min="13" max="13"/>
    <col width="11.75" customWidth="1" style="4" min="14" max="14"/>
    <col width="20.375" customWidth="1" style="4" min="15" max="15"/>
    <col width="19.125" customWidth="1" style="126" min="16" max="16"/>
    <col width="8.75" customWidth="1" style="89" min="17" max="17"/>
    <col hidden="1" width="11.375" customWidth="1" style="267" min="18" max="18"/>
    <col hidden="1" width="11.375" customWidth="1" style="268" min="19" max="21"/>
    <col hidden="1" width="23.625" customWidth="1" style="268" min="22" max="22"/>
    <col hidden="1" width="54.375" customWidth="1" style="80" min="23" max="23"/>
    <col hidden="1" width="54.375" customWidth="1" style="79" min="24" max="16384"/>
  </cols>
  <sheetData>
    <row r="1" ht="42" customFormat="1" customHeight="1" s="55">
      <c r="B1" s="265" t="inlineStr">
        <is>
          <t>Client:</t>
        </is>
      </c>
      <c r="C1" s="373" t="inlineStr">
        <is>
          <t>파타고니아코리아 (주) (Patagonia Korea)</t>
        </is>
      </c>
      <c r="D1" s="374" t="n"/>
      <c r="E1" s="374" t="n"/>
      <c r="F1" s="266" t="n"/>
      <c r="G1" s="266" t="n"/>
      <c r="H1" s="266" t="n"/>
      <c r="I1" s="266" t="n"/>
      <c r="J1" s="266" t="n"/>
      <c r="K1" s="265" t="inlineStr">
        <is>
          <t>Reference:</t>
        </is>
      </c>
      <c r="L1" s="373" t="inlineStr">
        <is>
          <t>N2</t>
        </is>
      </c>
      <c r="M1" s="374" t="n"/>
      <c r="N1" s="374" t="n"/>
      <c r="O1" s="43" t="n"/>
      <c r="P1" s="127" t="n"/>
      <c r="Q1" s="43" t="n"/>
      <c r="R1" s="267" t="n"/>
      <c r="S1" s="268" t="n"/>
      <c r="T1" s="268" t="n"/>
      <c r="U1" s="268" t="n"/>
      <c r="V1" s="268" t="n"/>
      <c r="W1" s="53" t="n"/>
      <c r="X1" s="54" t="n"/>
      <c r="Y1" s="54" t="n"/>
      <c r="Z1" s="54" t="n"/>
      <c r="AA1" s="54" t="n"/>
    </row>
    <row r="2" ht="17.25" customFormat="1" customHeight="1" s="55">
      <c r="B2" s="248" t="inlineStr">
        <is>
          <t>Year end:</t>
        </is>
      </c>
      <c r="C2" s="375" t="inlineStr">
        <is>
          <t>2026-04-30</t>
        </is>
      </c>
      <c r="D2" s="374" t="n"/>
      <c r="E2" s="374" t="n"/>
      <c r="F2" s="41" t="n"/>
      <c r="G2" s="41" t="n"/>
      <c r="H2" s="41" t="n"/>
      <c r="I2" s="41" t="n"/>
      <c r="J2" s="41" t="n"/>
      <c r="K2" s="248" t="inlineStr">
        <is>
          <t>Prepared by:</t>
        </is>
      </c>
      <c r="L2" s="376" t="inlineStr">
        <is>
          <t>HSH</t>
        </is>
      </c>
      <c r="M2" s="374" t="n"/>
      <c r="N2" s="374" t="n"/>
      <c r="O2" s="43" t="n"/>
      <c r="P2" s="127" t="n"/>
      <c r="Q2" s="43" t="n"/>
      <c r="R2" s="267" t="n"/>
      <c r="S2" s="268" t="n"/>
      <c r="T2" s="268" t="n"/>
      <c r="U2" s="268" t="n"/>
      <c r="V2" s="268" t="n"/>
      <c r="W2" s="53" t="n"/>
      <c r="X2" s="54" t="n"/>
      <c r="Y2" s="54" t="n"/>
      <c r="Z2" s="54" t="n"/>
      <c r="AA2" s="54" t="n"/>
    </row>
    <row r="3" ht="18" customFormat="1" customHeight="1" s="55">
      <c r="B3" s="248" t="n"/>
      <c r="C3" s="377" t="n"/>
      <c r="D3" s="41" t="n"/>
      <c r="E3" s="41" t="n"/>
      <c r="F3" s="41" t="n"/>
      <c r="G3" s="41" t="n"/>
      <c r="H3" s="41" t="n"/>
      <c r="I3" s="41" t="n"/>
      <c r="J3" s="41" t="n"/>
      <c r="K3" s="248" t="inlineStr">
        <is>
          <t>Date:</t>
        </is>
      </c>
      <c r="L3" s="375" t="inlineStr">
        <is>
          <t>2026-05-20</t>
        </is>
      </c>
      <c r="M3" s="374" t="n"/>
      <c r="N3" s="374" t="n"/>
      <c r="O3" s="43" t="n"/>
      <c r="P3" s="127" t="n"/>
      <c r="Q3" s="43" t="n"/>
      <c r="R3" s="359" t="inlineStr">
        <is>
          <t>Guidance notes on how fields interact with Atlas Next Generation</t>
        </is>
      </c>
      <c r="S3" s="374" t="n"/>
      <c r="T3" s="374" t="n"/>
      <c r="U3" s="374" t="n"/>
      <c r="V3" s="374" t="n"/>
      <c r="W3" s="53" t="n"/>
      <c r="X3" s="54" t="n"/>
      <c r="Y3" s="54" t="n"/>
      <c r="Z3" s="54" t="n"/>
      <c r="AA3" s="54" t="n"/>
    </row>
    <row r="4" customFormat="1" s="55">
      <c r="B4" s="248" t="n"/>
      <c r="C4" s="250" t="n"/>
      <c r="D4" s="41" t="n"/>
      <c r="E4" s="41" t="n"/>
      <c r="F4" s="41" t="n"/>
      <c r="G4" s="41" t="n"/>
      <c r="H4" s="41" t="n"/>
      <c r="I4" s="41" t="n"/>
      <c r="J4" s="41" t="n"/>
      <c r="K4" s="248" t="inlineStr">
        <is>
          <t>Reviewed by:</t>
        </is>
      </c>
      <c r="L4" s="376" t="inlineStr">
        <is>
          <t>LJM</t>
        </is>
      </c>
      <c r="M4" s="374" t="n"/>
      <c r="N4" s="374" t="n"/>
      <c r="O4" s="43" t="n"/>
      <c r="P4" s="127" t="n"/>
      <c r="Q4" s="43" t="n"/>
      <c r="R4" s="374" t="n"/>
      <c r="S4" s="374" t="n"/>
      <c r="T4" s="374" t="n"/>
      <c r="U4" s="374" t="n"/>
      <c r="V4" s="374" t="n"/>
      <c r="W4" s="53" t="n"/>
      <c r="X4" s="54" t="n"/>
      <c r="Y4" s="54" t="n"/>
      <c r="Z4" s="54" t="n"/>
      <c r="AA4" s="54" t="n"/>
    </row>
    <row r="5" ht="23.25" customFormat="1" customHeight="1" s="55">
      <c r="B5" s="77" t="inlineStr">
        <is>
          <t>Accounting estimate - 복구충당부채 (Provision for asset retirement obligation)</t>
        </is>
      </c>
      <c r="C5" s="43" t="n"/>
      <c r="D5" s="43" t="n"/>
      <c r="E5" s="43" t="n"/>
      <c r="F5" s="43" t="n"/>
      <c r="G5" s="43" t="n"/>
      <c r="H5" s="43" t="n"/>
      <c r="I5" s="43" t="n"/>
      <c r="J5" s="43" t="n"/>
      <c r="K5" s="43" t="n"/>
      <c r="L5" s="42" t="n"/>
      <c r="M5" s="42" t="n"/>
      <c r="N5" s="42" t="n"/>
      <c r="O5" s="43" t="n"/>
      <c r="P5" s="127" t="n"/>
      <c r="Q5" s="43" t="n"/>
      <c r="R5" s="267" t="n"/>
      <c r="S5" s="268" t="n"/>
      <c r="T5" s="268" t="n"/>
      <c r="U5" s="268" t="n"/>
      <c r="V5" s="268" t="n"/>
      <c r="W5" s="53" t="n"/>
      <c r="X5" s="54" t="n"/>
      <c r="Y5" s="54" t="n"/>
      <c r="Z5" s="54" t="n"/>
      <c r="AA5" s="54" t="n"/>
    </row>
    <row r="6" ht="17.45" customFormat="1" customHeight="1" s="55">
      <c r="B6" s="264" t="inlineStr">
        <is>
          <t>MAM Tool version March 2026</t>
        </is>
      </c>
      <c r="D6" s="43" t="n"/>
      <c r="E6" s="43" t="n"/>
      <c r="F6" s="43" t="n"/>
      <c r="G6" s="43" t="n"/>
      <c r="H6" s="43" t="n"/>
      <c r="I6" s="43" t="n"/>
      <c r="J6" s="43" t="n"/>
      <c r="K6" s="43" t="n"/>
      <c r="L6" s="43" t="n"/>
      <c r="M6" s="43" t="n"/>
      <c r="N6" s="43" t="n"/>
      <c r="O6" s="43" t="n"/>
      <c r="P6" s="127" t="n"/>
      <c r="Q6" s="43" t="n"/>
      <c r="R6" s="267" t="n"/>
      <c r="S6" s="268" t="n"/>
      <c r="T6" s="268" t="n"/>
      <c r="U6" s="268" t="n"/>
      <c r="V6" s="268" t="n"/>
      <c r="W6" s="53" t="n"/>
      <c r="X6" s="54" t="n"/>
      <c r="Y6" s="54" t="n"/>
      <c r="Z6" s="54" t="n"/>
      <c r="AA6" s="54" t="n"/>
    </row>
    <row r="7" ht="15.75" customFormat="1" customHeight="1" s="55">
      <c r="B7" s="378" t="inlineStr">
        <is>
          <t>SCOTABD: 복구충당부채  /  관련 주장(Assertion): 완전성(Completeness) 및 평가(Valuation)
WCGW: 복구의무가 존재하는 매장에 대해 충당부채를 누락하거나(완전성), 복구원가 추정이 적정하지 않을 수 있음.</t>
        </is>
      </c>
      <c r="C7" s="43" t="n"/>
      <c r="D7" s="43" t="n"/>
      <c r="E7" s="43" t="n"/>
      <c r="F7" s="43" t="n"/>
      <c r="G7" s="43" t="n"/>
      <c r="H7" s="43" t="n"/>
      <c r="I7" s="43" t="n"/>
      <c r="J7" s="43" t="n"/>
      <c r="K7" s="43" t="n"/>
      <c r="L7" s="43" t="n"/>
      <c r="M7" s="43" t="n"/>
      <c r="N7" s="43" t="n"/>
      <c r="O7" s="43" t="n"/>
      <c r="P7" s="127" t="n"/>
      <c r="Q7" s="43" t="n"/>
      <c r="R7" s="343" t="inlineStr">
        <is>
          <t xml:space="preserve">Please ensure that the name of the SCOTABD matches the name that is used in Atlas on the node 'Identify COTABD's and map to TB accounts'. 
Please ensure that when creating WCGW's for your accounting estimate within Atlas on the node 'Identify WCGW's and relate to relevant assertions' that the assertion matches the assertion input on this template. </t>
        </is>
      </c>
      <c r="W7" s="53" t="n"/>
      <c r="X7" s="54" t="n"/>
      <c r="Y7" s="54" t="n"/>
      <c r="Z7" s="54" t="n"/>
      <c r="AA7" s="54" t="n"/>
    </row>
    <row r="8" ht="78.75" customFormat="1" customHeight="1" s="55">
      <c r="B8" s="360" t="inlineStr">
        <is>
          <t xml:space="preserve">This template does not need completed for immaterial accounting estimates that are assets or for provisions against gross immaterial assets (such as bad debt/stock provisions where the total gross receivables/stock balance is immaterial). The template must be completed for all other accounting estimates. 
Consideration should be given to disaggregating accounting estimates that may be within the same SCOTABD but have different risk profiles (for example assets carried at fair value vs assets carried at cost less depreciation).  </t>
        </is>
      </c>
      <c r="W8" s="53" t="n"/>
      <c r="X8" s="54" t="n"/>
      <c r="Y8" s="54" t="n"/>
      <c r="Z8" s="54" t="n"/>
      <c r="AA8" s="54" t="n"/>
    </row>
    <row r="9" ht="31.5" customFormat="1" customHeight="1" s="119">
      <c r="B9" s="119" t="inlineStr">
        <is>
          <t>STEP 1:   UNDERSTANDING THE ESTIMATE AND RISK ASSESSMENT PROCEDURES</t>
        </is>
      </c>
      <c r="P9" s="159" t="n"/>
      <c r="R9" s="267" t="n"/>
      <c r="S9" s="268" t="n"/>
      <c r="T9" s="268" t="n"/>
      <c r="U9" s="268" t="n"/>
      <c r="V9" s="268" t="n"/>
      <c r="W9" s="122" t="n"/>
    </row>
    <row r="10" ht="15.75" customFormat="1" customHeight="1" s="65" thickBot="1">
      <c r="B10" s="123" t="n"/>
      <c r="C10" s="124" t="n"/>
      <c r="D10" s="124" t="n"/>
      <c r="E10" s="124" t="n"/>
      <c r="F10" s="124" t="n"/>
      <c r="G10" s="124" t="n"/>
      <c r="H10" s="124" t="n"/>
      <c r="I10" s="124" t="n"/>
      <c r="J10" s="124" t="n"/>
      <c r="K10" s="124" t="n"/>
      <c r="L10" s="124" t="n"/>
      <c r="M10" s="124" t="n"/>
      <c r="N10" s="124" t="n"/>
      <c r="O10" s="19" t="n"/>
      <c r="P10" s="128" t="n"/>
      <c r="Q10" s="19" t="n"/>
      <c r="R10" s="267" t="n"/>
      <c r="S10" s="268" t="n"/>
      <c r="T10" s="268" t="n"/>
      <c r="U10" s="268" t="n"/>
      <c r="V10" s="268" t="n"/>
      <c r="W10" s="64" t="n"/>
    </row>
    <row r="11" ht="21" customFormat="1" customHeight="1" s="19">
      <c r="A11" s="4" t="n"/>
      <c r="B11" s="181" t="inlineStr">
        <is>
          <t>Obtaining an understanding of the entity and its environment and the applicable financial reporting framework</t>
        </is>
      </c>
      <c r="C11" s="182" t="n"/>
      <c r="D11" s="182" t="n"/>
      <c r="E11" s="182" t="n"/>
      <c r="F11" s="182" t="n"/>
      <c r="G11" s="182" t="n"/>
      <c r="H11" s="182" t="n"/>
      <c r="I11" s="182" t="n"/>
      <c r="J11" s="182" t="n"/>
      <c r="K11" s="182" t="n"/>
      <c r="L11" s="182" t="n"/>
      <c r="M11" s="182" t="n"/>
      <c r="N11" s="182" t="n"/>
      <c r="O11" s="182" t="n"/>
      <c r="P11" s="224" t="n"/>
      <c r="R11" s="355" t="inlineStr">
        <is>
          <t xml:space="preserve">Our understanding of the accounting estimate may already be documented within the Key Business Processes (KBP's) we have identified. Please review our documentation of our understanding of the KBP within Atlas on the node 'Document our understanding of the KBP's' and cross reference where appropriate. </t>
        </is>
      </c>
      <c r="W11" s="27" t="n"/>
    </row>
    <row r="12" ht="19.5" customFormat="1" customHeight="1" s="65">
      <c r="A12" s="55" t="n"/>
      <c r="B12" s="209" t="inlineStr">
        <is>
          <t>Entity's transactions and other events or conditions relevant to the specific accounting estimate [ISA (revised) 540.13a]</t>
        </is>
      </c>
      <c r="C12" s="68" t="n"/>
      <c r="D12" s="68" t="n"/>
      <c r="E12" s="68" t="n"/>
      <c r="F12" s="68" t="n"/>
      <c r="G12" s="68" t="n"/>
      <c r="H12" s="68" t="n"/>
      <c r="I12" s="68" t="n"/>
      <c r="J12" s="68" t="n"/>
      <c r="K12" s="68" t="n"/>
      <c r="L12" s="68" t="n"/>
      <c r="M12" s="68" t="n"/>
      <c r="N12" s="68" t="n"/>
      <c r="O12" s="68" t="n"/>
      <c r="P12" s="210" t="n"/>
      <c r="Q12" s="19" t="n"/>
      <c r="W12" s="64" t="n"/>
    </row>
    <row r="13" ht="15.75" customFormat="1" customHeight="1" s="65">
      <c r="A13" s="55" t="n"/>
      <c r="B13" s="379" t="inlineStr">
        <is>
          <t>회사는 직영점(Street shop)에 대해 임대차계약상 원상복구 의무가 존재하여 복구충당부채를 인식함. 백화점·아울렛·면세점 등은 업계 관행상 후발업체가 시설을 그대로 사용하거나 직접 철거하므로 충당부채를 인식하지 않음. 당기말 복구충당부채는 292,100,000원(대구칠곡 7,400,000 / 서울도봉산 38,200,000 / 서울가로수길 24,800,000 / 성수낙낙 28,100,000 / Quality Lab·제주 193,600,000)이며, 당기 중 직영점 제주직영점에 대한 복구충당부채(48,900,000원)를 신규 설정함.</t>
        </is>
      </c>
      <c r="C13" s="374" t="n"/>
      <c r="D13" s="374" t="n"/>
      <c r="E13" s="374" t="n"/>
      <c r="F13" s="374" t="n"/>
      <c r="G13" s="374" t="n"/>
      <c r="H13" s="374" t="n"/>
      <c r="I13" s="374" t="n"/>
      <c r="J13" s="374" t="n"/>
      <c r="K13" s="374" t="n"/>
      <c r="L13" s="374" t="n"/>
      <c r="M13" s="374" t="n"/>
      <c r="N13" s="374" t="n"/>
      <c r="O13" s="374" t="n"/>
      <c r="P13" s="332" t="inlineStr">
        <is>
          <t>Link to guidance</t>
        </is>
      </c>
      <c r="Q13" s="131" t="n"/>
      <c r="W13" s="132" t="n"/>
    </row>
    <row r="14" customFormat="1" s="65">
      <c r="A14" s="55" t="n"/>
      <c r="B14" s="380" t="n"/>
      <c r="C14" s="374" t="n"/>
      <c r="D14" s="374" t="n"/>
      <c r="E14" s="374" t="n"/>
      <c r="F14" s="374" t="n"/>
      <c r="G14" s="374" t="n"/>
      <c r="H14" s="374" t="n"/>
      <c r="I14" s="374" t="n"/>
      <c r="J14" s="374" t="n"/>
      <c r="K14" s="374" t="n"/>
      <c r="L14" s="374" t="n"/>
      <c r="M14" s="374" t="n"/>
      <c r="N14" s="374" t="n"/>
      <c r="O14" s="374" t="n"/>
      <c r="P14" s="381" t="n"/>
      <c r="Q14" s="131" t="n"/>
      <c r="W14" s="132" t="n"/>
    </row>
    <row r="15" customFormat="1" s="65">
      <c r="A15" s="55" t="n"/>
      <c r="B15" s="380" t="n"/>
      <c r="C15" s="374" t="n"/>
      <c r="D15" s="374" t="n"/>
      <c r="E15" s="374" t="n"/>
      <c r="F15" s="374" t="n"/>
      <c r="G15" s="374" t="n"/>
      <c r="H15" s="374" t="n"/>
      <c r="I15" s="374" t="n"/>
      <c r="J15" s="374" t="n"/>
      <c r="K15" s="374" t="n"/>
      <c r="L15" s="374" t="n"/>
      <c r="M15" s="374" t="n"/>
      <c r="N15" s="374" t="n"/>
      <c r="O15" s="374" t="n"/>
      <c r="P15" s="225" t="n"/>
      <c r="Q15" s="19" t="n"/>
      <c r="R15" s="267" t="n"/>
      <c r="S15" s="268" t="n"/>
      <c r="T15" s="268" t="n"/>
      <c r="U15" s="268" t="n"/>
      <c r="V15" s="268" t="n"/>
      <c r="W15" s="64" t="n"/>
    </row>
    <row r="16" ht="19.5" customFormat="1" customHeight="1" s="65">
      <c r="A16" s="55" t="n"/>
      <c r="B16" s="209" t="inlineStr">
        <is>
          <t>Requirements of the applicable financial reporting framework [ISA (revised) 540.13b]</t>
        </is>
      </c>
      <c r="C16" s="68" t="n"/>
      <c r="D16" s="68" t="n"/>
      <c r="E16" s="68" t="n"/>
      <c r="F16" s="68" t="n"/>
      <c r="G16" s="68" t="n"/>
      <c r="H16" s="68" t="n"/>
      <c r="I16" s="68" t="n"/>
      <c r="J16" s="68" t="n"/>
      <c r="K16" s="68" t="n"/>
      <c r="L16" s="68" t="n"/>
      <c r="M16" s="68" t="n"/>
      <c r="N16" s="68" t="n"/>
      <c r="O16" s="68" t="n"/>
      <c r="P16" s="210" t="n"/>
      <c r="Q16" s="19" t="n"/>
      <c r="R16" s="267" t="n"/>
      <c r="S16" s="268" t="n"/>
      <c r="T16" s="268" t="n"/>
      <c r="U16" s="268" t="n"/>
      <c r="V16" s="268" t="n"/>
      <c r="W16" s="64" t="n"/>
    </row>
    <row r="17" ht="15" customFormat="1" customHeight="1" s="65">
      <c r="A17" s="55" t="n"/>
      <c r="B17" s="382" t="inlineStr">
        <is>
          <t>적용 재무보고체계는 일반기업회계기준(K-GAAP)임. 충당부채는 과거사건의 결과로 현재의무가 존재하고, 그 의무 이행에 자원 유출가능성이 매우 높으며, 금액을 신뢰성 있게 추정할 수 있는 경우에 인식함(충당부채 기준서 14.3~14.4). 복구원가는 취득원가에 가산하고 현재가치로 할인하여 복구충당부채로 계상함(유형자산 기준서 실10.4~10.9).</t>
        </is>
      </c>
      <c r="C17" s="374" t="n"/>
      <c r="D17" s="374" t="n"/>
      <c r="E17" s="374" t="n"/>
      <c r="F17" s="374" t="n"/>
      <c r="G17" s="374" t="n"/>
      <c r="H17" s="374" t="n"/>
      <c r="I17" s="374" t="n"/>
      <c r="J17" s="374" t="n"/>
      <c r="K17" s="374" t="n"/>
      <c r="L17" s="374" t="n"/>
      <c r="M17" s="374" t="n"/>
      <c r="N17" s="374" t="n"/>
      <c r="O17" s="374" t="n"/>
      <c r="P17" s="332" t="inlineStr">
        <is>
          <t>Link to guidance</t>
        </is>
      </c>
      <c r="Q17" s="78" t="n"/>
      <c r="R17" s="269" t="n"/>
      <c r="S17" s="270" t="n"/>
      <c r="T17" s="270" t="n"/>
      <c r="U17" s="271" t="n"/>
      <c r="V17" s="271" t="n"/>
      <c r="W17" s="132" t="n"/>
    </row>
    <row r="18" customFormat="1" s="65">
      <c r="A18" s="55" t="n"/>
      <c r="B18" s="380" t="n"/>
      <c r="C18" s="374" t="n"/>
      <c r="D18" s="374" t="n"/>
      <c r="E18" s="374" t="n"/>
      <c r="F18" s="374" t="n"/>
      <c r="G18" s="374" t="n"/>
      <c r="H18" s="374" t="n"/>
      <c r="I18" s="374" t="n"/>
      <c r="J18" s="374" t="n"/>
      <c r="K18" s="374" t="n"/>
      <c r="L18" s="374" t="n"/>
      <c r="M18" s="374" t="n"/>
      <c r="N18" s="374" t="n"/>
      <c r="O18" s="374" t="n"/>
      <c r="P18" s="381" t="n"/>
      <c r="Q18" s="78" t="n"/>
      <c r="R18" s="269" t="n"/>
      <c r="S18" s="270" t="n"/>
      <c r="T18" s="270" t="n"/>
      <c r="U18" s="271" t="n"/>
      <c r="V18" s="271" t="n"/>
      <c r="W18" s="132" t="n"/>
    </row>
    <row r="19" ht="15" customFormat="1" customHeight="1" s="65">
      <c r="A19" s="55" t="n"/>
      <c r="B19" s="380" t="n"/>
      <c r="C19" s="374" t="n"/>
      <c r="D19" s="374" t="n"/>
      <c r="E19" s="374" t="n"/>
      <c r="F19" s="374" t="n"/>
      <c r="G19" s="374" t="n"/>
      <c r="H19" s="374" t="n"/>
      <c r="I19" s="374" t="n"/>
      <c r="J19" s="374" t="n"/>
      <c r="K19" s="374" t="n"/>
      <c r="L19" s="374" t="n"/>
      <c r="M19" s="374" t="n"/>
      <c r="N19" s="374" t="n"/>
      <c r="O19" s="374" t="n"/>
      <c r="P19" s="226" t="n"/>
      <c r="Q19" s="78" t="n"/>
      <c r="R19" s="272" t="n"/>
      <c r="S19" s="273" t="n"/>
      <c r="T19" s="273" t="n"/>
      <c r="U19" s="273" t="n"/>
      <c r="V19" s="273" t="n"/>
      <c r="W19" s="133" t="n"/>
    </row>
    <row r="20" ht="19.5" customFormat="1" customHeight="1" s="65">
      <c r="A20" s="55" t="n"/>
      <c r="B20" s="209" t="inlineStr">
        <is>
          <t>Regulatory factors [ISA 540 (revised) 540.13c]</t>
        </is>
      </c>
      <c r="C20" s="68" t="n"/>
      <c r="D20" s="68" t="n"/>
      <c r="E20" s="68" t="n"/>
      <c r="F20" s="68" t="n"/>
      <c r="G20" s="68" t="n"/>
      <c r="H20" s="68" t="n"/>
      <c r="I20" s="68" t="n"/>
      <c r="J20" s="68" t="n"/>
      <c r="K20" s="68" t="n"/>
      <c r="L20" s="68" t="n"/>
      <c r="M20" s="68" t="n"/>
      <c r="N20" s="68" t="n"/>
      <c r="O20" s="68" t="n"/>
      <c r="P20" s="210" t="n"/>
      <c r="Q20" s="19" t="n"/>
      <c r="R20" s="274" t="n"/>
      <c r="S20" s="275" t="n"/>
      <c r="T20" s="275" t="n"/>
      <c r="U20" s="275" t="n"/>
      <c r="V20" s="275" t="n"/>
      <c r="W20" s="64" t="n"/>
    </row>
    <row r="21" ht="15" customFormat="1" customHeight="1" s="65">
      <c r="A21" s="55" t="n"/>
      <c r="B21" s="382" t="inlineStr">
        <is>
          <t>복구충당부채 추정에 영향을 미치는 특별한 규제요인은 식별되지 않음.</t>
        </is>
      </c>
      <c r="C21" s="374" t="n"/>
      <c r="D21" s="374" t="n"/>
      <c r="E21" s="374" t="n"/>
      <c r="F21" s="374" t="n"/>
      <c r="G21" s="374" t="n"/>
      <c r="H21" s="374" t="n"/>
      <c r="I21" s="374" t="n"/>
      <c r="J21" s="374" t="n"/>
      <c r="K21" s="374" t="n"/>
      <c r="L21" s="374" t="n"/>
      <c r="M21" s="374" t="n"/>
      <c r="N21" s="374" t="n"/>
      <c r="O21" s="374" t="n"/>
      <c r="P21" s="332" t="inlineStr">
        <is>
          <t>Link to guidance</t>
        </is>
      </c>
      <c r="Q21" s="19" t="n"/>
      <c r="R21" s="269" t="n"/>
      <c r="S21" s="270" t="n"/>
      <c r="T21" s="270" t="n"/>
      <c r="U21" s="271" t="n"/>
      <c r="V21" s="271" t="n"/>
      <c r="W21" s="132" t="n"/>
    </row>
    <row r="22" customFormat="1" s="65">
      <c r="A22" s="55" t="n"/>
      <c r="B22" s="380" t="n"/>
      <c r="C22" s="374" t="n"/>
      <c r="D22" s="374" t="n"/>
      <c r="E22" s="374" t="n"/>
      <c r="F22" s="374" t="n"/>
      <c r="G22" s="374" t="n"/>
      <c r="H22" s="374" t="n"/>
      <c r="I22" s="374" t="n"/>
      <c r="J22" s="374" t="n"/>
      <c r="K22" s="374" t="n"/>
      <c r="L22" s="374" t="n"/>
      <c r="M22" s="374" t="n"/>
      <c r="N22" s="374" t="n"/>
      <c r="O22" s="374" t="n"/>
      <c r="P22" s="381" t="n"/>
      <c r="Q22" s="78" t="n"/>
      <c r="R22" s="269" t="n"/>
      <c r="S22" s="270" t="n"/>
      <c r="T22" s="270" t="n"/>
      <c r="U22" s="271" t="n"/>
      <c r="V22" s="271" t="n"/>
      <c r="W22" s="132" t="n"/>
    </row>
    <row r="23" customFormat="1" s="65">
      <c r="A23" s="55" t="n"/>
      <c r="B23" s="380" t="n"/>
      <c r="C23" s="374" t="n"/>
      <c r="D23" s="374" t="n"/>
      <c r="E23" s="374" t="n"/>
      <c r="F23" s="374" t="n"/>
      <c r="G23" s="374" t="n"/>
      <c r="H23" s="374" t="n"/>
      <c r="I23" s="374" t="n"/>
      <c r="J23" s="374" t="n"/>
      <c r="K23" s="374" t="n"/>
      <c r="L23" s="374" t="n"/>
      <c r="M23" s="374" t="n"/>
      <c r="N23" s="374" t="n"/>
      <c r="O23" s="374" t="n"/>
      <c r="P23" s="226" t="n"/>
      <c r="Q23" s="78" t="n"/>
      <c r="R23" s="272" t="n"/>
      <c r="S23" s="273" t="n"/>
      <c r="T23" s="273" t="n"/>
      <c r="U23" s="273" t="n"/>
      <c r="V23" s="273" t="n"/>
      <c r="W23" s="133" t="n"/>
    </row>
    <row r="24" ht="15.75" customFormat="1" customHeight="1" s="65" thickBot="1">
      <c r="B24" s="211" t="n"/>
      <c r="C24" s="40" t="n"/>
      <c r="D24" s="40" t="n"/>
      <c r="E24" s="40" t="n"/>
      <c r="F24" s="40" t="n"/>
      <c r="G24" s="40" t="n"/>
      <c r="H24" s="40" t="n"/>
      <c r="I24" s="40" t="n"/>
      <c r="J24" s="40" t="n"/>
      <c r="K24" s="40" t="n"/>
      <c r="L24" s="40" t="n"/>
      <c r="M24" s="40" t="n"/>
      <c r="N24" s="40" t="n"/>
      <c r="O24" s="40" t="n"/>
      <c r="P24" s="227" t="n"/>
      <c r="Q24" s="78" t="n"/>
      <c r="R24" s="272" t="n"/>
      <c r="S24" s="273" t="n"/>
      <c r="T24" s="273" t="n"/>
      <c r="U24" s="273" t="n"/>
      <c r="V24" s="273" t="n"/>
      <c r="W24" s="133" t="n"/>
    </row>
    <row r="25" ht="16.5" customFormat="1" customHeight="1" s="65" thickBot="1">
      <c r="B25" s="181" t="inlineStr">
        <is>
          <t>Scoping Question</t>
        </is>
      </c>
      <c r="C25" s="311" t="n"/>
      <c r="D25" s="311" t="n"/>
      <c r="E25" s="311" t="n"/>
      <c r="F25" s="311" t="n"/>
      <c r="G25" s="311" t="n"/>
      <c r="H25" s="311" t="n"/>
      <c r="I25" s="311" t="n"/>
      <c r="J25" s="311" t="n"/>
      <c r="K25" s="311" t="n"/>
      <c r="L25" s="311" t="n"/>
      <c r="M25" s="311" t="n"/>
      <c r="N25" s="311" t="n"/>
      <c r="O25" s="311" t="n"/>
      <c r="P25" s="227" t="n"/>
      <c r="Q25" s="78" t="n"/>
      <c r="R25" s="272" t="n"/>
      <c r="S25" s="273" t="n"/>
      <c r="T25" s="273" t="n"/>
      <c r="U25" s="273" t="n"/>
      <c r="V25" s="273" t="n"/>
      <c r="W25" s="133" t="n"/>
    </row>
    <row r="26" ht="34.5" customFormat="1" customHeight="1" s="65" thickBot="1">
      <c r="B26" s="361" t="inlineStr">
        <is>
          <t>Considering the inherent risk factors including estimation uncertainty, complexity and subjectivity, do you consider there to be a risk of material misstatement (standard, enhanced or significant) associated with the accounting estimate?</t>
        </is>
      </c>
      <c r="K26" s="313" t="inlineStr">
        <is>
          <t>Yes</t>
        </is>
      </c>
      <c r="L26" s="312" t="n"/>
      <c r="M26" s="312" t="n"/>
      <c r="N26" s="312" t="n"/>
      <c r="O26" s="312" t="n"/>
      <c r="P26" s="227" t="n"/>
      <c r="Q26" s="78" t="n"/>
      <c r="R26" s="272" t="n"/>
      <c r="S26" s="273" t="n"/>
      <c r="T26" s="273" t="n"/>
      <c r="U26" s="273" t="n"/>
      <c r="V26" s="273" t="n"/>
      <c r="W26" s="133" t="n"/>
    </row>
    <row r="27" customFormat="1" s="65">
      <c r="B27" s="382" t="inlineStr">
        <is>
          <t>복구충당부채는 복구의무 대상 매장의 식별(완전성) 및 복구원가 추정에 경영진의 판단이 개입되어 중요왜곡표시위험이 존재함. 다만 금액이 상대적으로 소액이고 견적서에 근거하며 할인효과가 미미하여 표준위험(Standard)으로 판단함.</t>
        </is>
      </c>
      <c r="C27" s="374" t="n"/>
      <c r="D27" s="374" t="n"/>
      <c r="E27" s="374" t="n"/>
      <c r="F27" s="374" t="n"/>
      <c r="G27" s="374" t="n"/>
      <c r="H27" s="374" t="n"/>
      <c r="I27" s="374" t="n"/>
      <c r="J27" s="374" t="n"/>
      <c r="K27" s="374" t="n"/>
      <c r="L27" s="374" t="n"/>
      <c r="M27" s="374" t="n"/>
      <c r="N27" s="374" t="n"/>
      <c r="O27" s="374" t="n"/>
      <c r="P27" s="227" t="n"/>
      <c r="Q27" s="78" t="n"/>
      <c r="R27" s="272" t="n"/>
      <c r="S27" s="273" t="n"/>
      <c r="T27" s="273" t="n"/>
      <c r="U27" s="273" t="n"/>
      <c r="V27" s="273" t="n"/>
      <c r="W27" s="133" t="n"/>
    </row>
    <row r="28" customFormat="1" s="65">
      <c r="B28" s="380" t="n"/>
      <c r="C28" s="374" t="n"/>
      <c r="D28" s="374" t="n"/>
      <c r="E28" s="374" t="n"/>
      <c r="F28" s="374" t="n"/>
      <c r="G28" s="374" t="n"/>
      <c r="H28" s="374" t="n"/>
      <c r="I28" s="374" t="n"/>
      <c r="J28" s="374" t="n"/>
      <c r="K28" s="374" t="n"/>
      <c r="L28" s="374" t="n"/>
      <c r="M28" s="374" t="n"/>
      <c r="N28" s="374" t="n"/>
      <c r="O28" s="374" t="n"/>
      <c r="P28" s="227" t="n"/>
      <c r="Q28" s="78" t="n"/>
      <c r="R28" s="272" t="n"/>
      <c r="S28" s="273" t="n"/>
      <c r="T28" s="273" t="n"/>
      <c r="U28" s="273" t="n"/>
      <c r="V28" s="273" t="n"/>
      <c r="W28" s="133" t="n"/>
    </row>
    <row r="29" customFormat="1" s="65">
      <c r="B29" s="380" t="n"/>
      <c r="C29" s="374" t="n"/>
      <c r="D29" s="374" t="n"/>
      <c r="E29" s="374" t="n"/>
      <c r="F29" s="374" t="n"/>
      <c r="G29" s="374" t="n"/>
      <c r="H29" s="374" t="n"/>
      <c r="I29" s="374" t="n"/>
      <c r="J29" s="374" t="n"/>
      <c r="K29" s="374" t="n"/>
      <c r="L29" s="374" t="n"/>
      <c r="M29" s="374" t="n"/>
      <c r="N29" s="374" t="n"/>
      <c r="O29" s="374" t="n"/>
      <c r="P29" s="227" t="n"/>
      <c r="Q29" s="78" t="n"/>
      <c r="R29" s="272" t="n"/>
      <c r="S29" s="273" t="n"/>
      <c r="T29" s="273" t="n"/>
      <c r="U29" s="273" t="n"/>
      <c r="V29" s="273" t="n"/>
      <c r="W29" s="133" t="n"/>
    </row>
    <row r="30" ht="15.75" customFormat="1" customHeight="1" s="65" thickBot="1">
      <c r="B30" s="211" t="n"/>
      <c r="C30" s="40" t="n"/>
      <c r="D30" s="40" t="n"/>
      <c r="E30" s="40" t="n"/>
      <c r="F30" s="40" t="n"/>
      <c r="G30" s="40" t="n"/>
      <c r="H30" s="40" t="n"/>
      <c r="I30" s="40" t="n"/>
      <c r="J30" s="40" t="n"/>
      <c r="K30" s="40" t="n"/>
      <c r="L30" s="40" t="n"/>
      <c r="M30" s="40" t="n"/>
      <c r="N30" s="40" t="n"/>
      <c r="O30" s="40" t="n"/>
      <c r="P30" s="227" t="n"/>
      <c r="Q30" s="78" t="n"/>
      <c r="R30" s="272" t="n"/>
      <c r="S30" s="273" t="n"/>
      <c r="T30" s="273" t="n"/>
      <c r="U30" s="273" t="n"/>
      <c r="V30" s="273" t="n"/>
      <c r="W30" s="133" t="n"/>
    </row>
    <row r="31" ht="34.5" customFormat="1" customHeight="1" s="65">
      <c r="B31" s="383">
        <f>IF(K26="Yes","Please continue with this tool",IF(K26="No","Since you have not identified any risk of material misstatement associated with the accounting estimate, the remainder of this tool is not required to be completed.",""))</f>
        <v/>
      </c>
      <c r="C31" s="384" t="n"/>
      <c r="D31" s="384" t="n"/>
      <c r="E31" s="384" t="n"/>
      <c r="F31" s="384" t="n"/>
      <c r="G31" s="384" t="n"/>
      <c r="H31" s="384" t="n"/>
      <c r="I31" s="384" t="n"/>
      <c r="J31" s="384" t="n"/>
      <c r="K31" s="384" t="n"/>
      <c r="L31" s="384" t="n"/>
      <c r="M31" s="385" t="n"/>
      <c r="N31" s="40" t="n"/>
      <c r="P31" s="227" t="n"/>
      <c r="Q31" s="78" t="n"/>
      <c r="R31" s="272" t="n"/>
      <c r="S31" s="273" t="n"/>
      <c r="T31" s="273" t="n"/>
      <c r="U31" s="273" t="n"/>
      <c r="V31" s="273" t="n"/>
      <c r="W31" s="133" t="n"/>
    </row>
    <row r="32" ht="34.5" customFormat="1" customHeight="1" s="65">
      <c r="B32" s="314">
        <f>IF(K26="Yes","",IF(K26="No","If you obtain any additional information throughout the audit that leads you to believe that there is a risk of material misstatement, you must update this question.",""))</f>
        <v/>
      </c>
      <c r="N32" s="40" t="n"/>
      <c r="P32" s="227" t="n"/>
      <c r="Q32" s="78" t="n"/>
      <c r="R32" s="272" t="n"/>
      <c r="S32" s="273" t="n"/>
      <c r="T32" s="273" t="n"/>
      <c r="U32" s="273" t="n"/>
      <c r="V32" s="273" t="n"/>
      <c r="W32" s="133" t="n"/>
    </row>
    <row r="33" ht="15.75" customFormat="1" customHeight="1" s="65" thickBot="1">
      <c r="B33" s="228" t="n"/>
      <c r="C33" s="78" t="n"/>
      <c r="D33" s="78" t="n"/>
      <c r="E33" s="78" t="n"/>
      <c r="F33" s="78" t="n"/>
      <c r="G33" s="78" t="n"/>
      <c r="H33" s="78" t="n"/>
      <c r="I33" s="78" t="n"/>
      <c r="J33" s="78" t="n"/>
      <c r="K33" s="78" t="n"/>
      <c r="L33" s="78" t="n"/>
      <c r="M33" s="78" t="n"/>
      <c r="N33" s="78" t="n"/>
      <c r="O33" s="78" t="n"/>
      <c r="P33" s="213" t="n"/>
      <c r="Q33" s="78" t="n"/>
      <c r="R33" s="272" t="n"/>
      <c r="S33" s="273" t="n"/>
      <c r="T33" s="273" t="n"/>
      <c r="U33" s="273" t="n"/>
      <c r="V33" s="273" t="n"/>
      <c r="W33" s="133" t="n"/>
    </row>
    <row r="34" ht="21" customFormat="1" customHeight="1" s="65">
      <c r="A34" s="55" t="n"/>
      <c r="B34" s="181" t="inlineStr">
        <is>
          <t>Obtaining an understanding of the entity's system of internal control</t>
        </is>
      </c>
      <c r="C34" s="182" t="n"/>
      <c r="D34" s="182" t="n"/>
      <c r="E34" s="182" t="n"/>
      <c r="F34" s="182" t="n"/>
      <c r="G34" s="182" t="n"/>
      <c r="H34" s="182" t="n"/>
      <c r="I34" s="182" t="n"/>
      <c r="J34" s="182" t="n"/>
      <c r="K34" s="182" t="n"/>
      <c r="L34" s="182" t="n"/>
      <c r="M34" s="182" t="n"/>
      <c r="N34" s="182" t="n"/>
      <c r="O34" s="182" t="n"/>
      <c r="P34" s="208" t="n"/>
      <c r="Q34" s="78" t="n"/>
      <c r="R34" s="272" t="n"/>
      <c r="S34" s="273" t="n"/>
      <c r="T34" s="273" t="n"/>
      <c r="U34" s="273" t="n"/>
      <c r="V34" s="273" t="n"/>
      <c r="W34" s="133" t="n"/>
    </row>
    <row r="35" ht="19.5" customFormat="1" customHeight="1" s="65">
      <c r="A35" s="55" t="n"/>
      <c r="B35" s="209" t="inlineStr">
        <is>
          <t>Nature and extent of oversight and governance [ISA(revised) 540.13e]</t>
        </is>
      </c>
      <c r="C35" s="68" t="n"/>
      <c r="D35" s="68" t="n"/>
      <c r="E35" s="68" t="n"/>
      <c r="F35" s="68" t="n"/>
      <c r="G35" s="68" t="n"/>
      <c r="H35" s="68" t="n"/>
      <c r="I35" s="68" t="n"/>
      <c r="J35" s="68" t="n"/>
      <c r="K35" s="68" t="n"/>
      <c r="L35" s="68" t="n"/>
      <c r="M35" s="68" t="n"/>
      <c r="N35" s="68" t="n"/>
      <c r="O35" s="68" t="n"/>
      <c r="P35" s="210" t="n"/>
      <c r="Q35" s="19" t="n"/>
      <c r="R35" s="274" t="n"/>
      <c r="S35" s="275" t="n"/>
      <c r="T35" s="275" t="n"/>
      <c r="U35" s="275" t="n"/>
      <c r="V35" s="275" t="n"/>
      <c r="W35" s="64" t="n"/>
    </row>
    <row r="36" customFormat="1" s="65">
      <c r="A36" s="55" t="n"/>
      <c r="B36" s="382" t="inlineStr">
        <is>
          <t>재무팀이 신규 개점·폐점 매장 현황 및 임대차계약상 복구의무를 검토하고, 견적서에 근거하여 복구충당부채 설정 여부 및 금액을 결정·감독함.</t>
        </is>
      </c>
      <c r="C36" s="374" t="n"/>
      <c r="D36" s="374" t="n"/>
      <c r="E36" s="374" t="n"/>
      <c r="F36" s="374" t="n"/>
      <c r="G36" s="374" t="n"/>
      <c r="H36" s="374" t="n"/>
      <c r="I36" s="374" t="n"/>
      <c r="J36" s="374" t="n"/>
      <c r="K36" s="374" t="n"/>
      <c r="L36" s="374" t="n"/>
      <c r="M36" s="374" t="n"/>
      <c r="N36" s="374" t="n"/>
      <c r="O36" s="374" t="n"/>
      <c r="P36" s="332" t="inlineStr">
        <is>
          <t>Link to guidance</t>
        </is>
      </c>
      <c r="Q36" s="134" t="n"/>
      <c r="R36" s="269" t="n"/>
      <c r="S36" s="270" t="n"/>
      <c r="T36" s="270" t="n"/>
      <c r="U36" s="271" t="n"/>
      <c r="V36" s="271" t="n"/>
      <c r="W36" s="132" t="n"/>
    </row>
    <row r="37" ht="15" customFormat="1" customHeight="1" s="65">
      <c r="A37" s="55" t="n"/>
      <c r="B37" s="380" t="n"/>
      <c r="C37" s="374" t="n"/>
      <c r="D37" s="374" t="n"/>
      <c r="E37" s="374" t="n"/>
      <c r="F37" s="374" t="n"/>
      <c r="G37" s="374" t="n"/>
      <c r="H37" s="374" t="n"/>
      <c r="I37" s="374" t="n"/>
      <c r="J37" s="374" t="n"/>
      <c r="K37" s="374" t="n"/>
      <c r="L37" s="374" t="n"/>
      <c r="M37" s="374" t="n"/>
      <c r="N37" s="374" t="n"/>
      <c r="O37" s="374" t="n"/>
      <c r="P37" s="381" t="n"/>
      <c r="Q37" s="134" t="n"/>
      <c r="R37" s="269" t="n"/>
      <c r="S37" s="270" t="n"/>
      <c r="T37" s="270" t="n"/>
      <c r="U37" s="271" t="n"/>
      <c r="V37" s="271" t="n"/>
      <c r="W37" s="132" t="n"/>
    </row>
    <row r="38" customFormat="1" s="65">
      <c r="A38" s="55" t="n"/>
      <c r="B38" s="380" t="n"/>
      <c r="C38" s="374" t="n"/>
      <c r="D38" s="374" t="n"/>
      <c r="E38" s="374" t="n"/>
      <c r="F38" s="374" t="n"/>
      <c r="G38" s="374" t="n"/>
      <c r="H38" s="374" t="n"/>
      <c r="I38" s="374" t="n"/>
      <c r="J38" s="374" t="n"/>
      <c r="K38" s="374" t="n"/>
      <c r="L38" s="374" t="n"/>
      <c r="M38" s="374" t="n"/>
      <c r="N38" s="374" t="n"/>
      <c r="O38" s="374" t="n"/>
      <c r="P38" s="212" t="n"/>
      <c r="Q38" s="78" t="n"/>
      <c r="R38" s="272" t="n"/>
      <c r="S38" s="273" t="n"/>
      <c r="T38" s="273" t="n"/>
      <c r="U38" s="273" t="n"/>
      <c r="V38" s="273" t="n"/>
      <c r="W38" s="133" t="n"/>
    </row>
    <row r="39" ht="19.5" customFormat="1" customHeight="1" s="65">
      <c r="A39" s="55" t="n"/>
      <c r="B39" s="209" t="inlineStr">
        <is>
          <t>Risk assessment processes [ISA(revised) 540.13g]</t>
        </is>
      </c>
      <c r="C39" s="68" t="n"/>
      <c r="D39" s="68" t="n"/>
      <c r="E39" s="68" t="n"/>
      <c r="F39" s="68" t="n"/>
      <c r="G39" s="68" t="n"/>
      <c r="H39" s="68" t="n"/>
      <c r="I39" s="68" t="n"/>
      <c r="J39" s="68" t="n"/>
      <c r="K39" s="68" t="n"/>
      <c r="L39" s="68" t="n"/>
      <c r="M39" s="68" t="n"/>
      <c r="N39" s="68" t="n"/>
      <c r="O39" s="68" t="n"/>
      <c r="P39" s="210" t="n"/>
      <c r="Q39" s="19" t="n"/>
      <c r="R39" s="274" t="n"/>
      <c r="S39" s="275" t="n"/>
      <c r="T39" s="275" t="n"/>
      <c r="U39" s="275" t="n"/>
      <c r="V39" s="275" t="n"/>
      <c r="W39" s="64" t="n"/>
    </row>
    <row r="40" ht="15" customFormat="1" customHeight="1" s="65">
      <c r="A40" s="55" t="n"/>
      <c r="B40" s="382" t="inlineStr">
        <is>
          <t>회사는 매장의 개점·폐점 현황과 임대차계약 조건(원상복구 의무)을 모니터링하여 복구의무 발생 여부를 식별하고, 직영점을 대상으로 복구충당부채를 설정함.</t>
        </is>
      </c>
      <c r="C40" s="374" t="n"/>
      <c r="D40" s="374" t="n"/>
      <c r="E40" s="374" t="n"/>
      <c r="F40" s="374" t="n"/>
      <c r="G40" s="374" t="n"/>
      <c r="H40" s="374" t="n"/>
      <c r="I40" s="374" t="n"/>
      <c r="J40" s="374" t="n"/>
      <c r="K40" s="374" t="n"/>
      <c r="L40" s="374" t="n"/>
      <c r="M40" s="374" t="n"/>
      <c r="N40" s="374" t="n"/>
      <c r="O40" s="374" t="n"/>
      <c r="P40" s="332" t="inlineStr">
        <is>
          <t>Link to guidance</t>
        </is>
      </c>
      <c r="Q40" s="78" t="n"/>
      <c r="R40" s="269" t="n"/>
      <c r="S40" s="270" t="n"/>
      <c r="T40" s="270" t="n"/>
      <c r="U40" s="271" t="n"/>
      <c r="V40" s="271" t="n"/>
      <c r="W40" s="132" t="n"/>
    </row>
    <row r="41" ht="15" customFormat="1" customHeight="1" s="65">
      <c r="A41" s="55" t="n"/>
      <c r="B41" s="380" t="n"/>
      <c r="C41" s="374" t="n"/>
      <c r="D41" s="374" t="n"/>
      <c r="E41" s="374" t="n"/>
      <c r="F41" s="374" t="n"/>
      <c r="G41" s="374" t="n"/>
      <c r="H41" s="374" t="n"/>
      <c r="I41" s="374" t="n"/>
      <c r="J41" s="374" t="n"/>
      <c r="K41" s="374" t="n"/>
      <c r="L41" s="374" t="n"/>
      <c r="M41" s="374" t="n"/>
      <c r="N41" s="374" t="n"/>
      <c r="O41" s="374" t="n"/>
      <c r="P41" s="381" t="n"/>
      <c r="Q41" s="78" t="n"/>
      <c r="R41" s="269" t="n"/>
      <c r="S41" s="270" t="n"/>
      <c r="T41" s="270" t="n"/>
      <c r="U41" s="271" t="n"/>
      <c r="V41" s="271" t="n"/>
      <c r="W41" s="132" t="n"/>
    </row>
    <row r="42" ht="14.45" customFormat="1" customHeight="1" s="65">
      <c r="A42" s="55" t="n"/>
      <c r="B42" s="380" t="n"/>
      <c r="C42" s="374" t="n"/>
      <c r="D42" s="374" t="n"/>
      <c r="E42" s="374" t="n"/>
      <c r="F42" s="374" t="n"/>
      <c r="G42" s="374" t="n"/>
      <c r="H42" s="374" t="n"/>
      <c r="I42" s="374" t="n"/>
      <c r="J42" s="374" t="n"/>
      <c r="K42" s="374" t="n"/>
      <c r="L42" s="374" t="n"/>
      <c r="M42" s="374" t="n"/>
      <c r="N42" s="374" t="n"/>
      <c r="O42" s="374" t="n"/>
      <c r="P42" s="381" t="n"/>
      <c r="Q42" s="78" t="n"/>
      <c r="R42" s="269" t="n"/>
      <c r="S42" s="270" t="n"/>
      <c r="T42" s="270" t="n"/>
      <c r="U42" s="271" t="n"/>
      <c r="V42" s="271" t="n"/>
      <c r="W42" s="132" t="n"/>
    </row>
    <row r="43" ht="20.25" customFormat="1" customHeight="1" s="65">
      <c r="A43" s="55" t="n"/>
      <c r="B43" s="380" t="n"/>
      <c r="C43" s="374" t="n"/>
      <c r="D43" s="374" t="n"/>
      <c r="E43" s="374" t="n"/>
      <c r="F43" s="374" t="n"/>
      <c r="G43" s="374" t="n"/>
      <c r="H43" s="374" t="n"/>
      <c r="I43" s="374" t="n"/>
      <c r="J43" s="374" t="n"/>
      <c r="K43" s="374" t="n"/>
      <c r="L43" s="374" t="n"/>
      <c r="M43" s="374" t="n"/>
      <c r="N43" s="374" t="n"/>
      <c r="O43" s="374" t="n"/>
      <c r="P43" s="212" t="n"/>
      <c r="Q43" s="78" t="n"/>
      <c r="R43" s="272" t="n"/>
      <c r="S43" s="273" t="n"/>
      <c r="T43" s="273" t="n"/>
      <c r="U43" s="273" t="n"/>
      <c r="V43" s="273" t="n"/>
      <c r="W43" s="133" t="n"/>
    </row>
    <row r="44" ht="19.5" customFormat="1" customHeight="1" s="65">
      <c r="A44" s="55" t="n"/>
      <c r="B44" s="209" t="inlineStr">
        <is>
          <t>Control activities [ISA(revised) 540.13i]</t>
        </is>
      </c>
      <c r="C44" s="68" t="n"/>
      <c r="D44" s="68" t="n"/>
      <c r="E44" s="68" t="n"/>
      <c r="F44" s="68" t="n"/>
      <c r="G44" s="68" t="n"/>
      <c r="H44" s="68" t="n"/>
      <c r="I44" s="68" t="n"/>
      <c r="J44" s="68" t="n"/>
      <c r="K44" s="68" t="n"/>
      <c r="L44" s="68" t="n"/>
      <c r="M44" s="68" t="n"/>
      <c r="N44" s="68" t="n"/>
      <c r="O44" s="68" t="n"/>
      <c r="P44" s="210" t="n"/>
      <c r="Q44" s="19" t="n"/>
      <c r="R44" s="274" t="n"/>
      <c r="S44" s="275" t="n"/>
      <c r="T44" s="275" t="n"/>
      <c r="U44" s="275" t="n"/>
      <c r="V44" s="275" t="n"/>
      <c r="W44" s="64" t="n"/>
    </row>
    <row r="45" customFormat="1" s="65">
      <c r="A45" s="55" t="n"/>
      <c r="B45" s="382" t="inlineStr">
        <is>
          <t>① 신규 개점/폐점 매장 현황 파악 및 임대차계약상 복구의무 검토, ② 복구원가 견적서 입수 및 검토, ③ 복구충당부채 설정·환입 내역의 검토·승인. (식별된 통제는 Atlas의 해당 노드에 반영 필요.)</t>
        </is>
      </c>
      <c r="C45" s="374" t="n"/>
      <c r="D45" s="374" t="n"/>
      <c r="E45" s="374" t="n"/>
      <c r="F45" s="374" t="n"/>
      <c r="G45" s="374" t="n"/>
      <c r="H45" s="374" t="n"/>
      <c r="I45" s="374" t="n"/>
      <c r="J45" s="374" t="n"/>
      <c r="K45" s="374" t="n"/>
      <c r="L45" s="374" t="n"/>
      <c r="M45" s="374" t="n"/>
      <c r="N45" s="374" t="n"/>
      <c r="O45" s="374" t="n"/>
      <c r="P45" s="332" t="inlineStr">
        <is>
          <t>Link to guidance</t>
        </is>
      </c>
      <c r="Q45" s="78" t="n"/>
      <c r="R45" s="354" t="inlineStr">
        <is>
          <t xml:space="preserve">Please ensure that the controls identified here are copied into Atlas on the node 'Identify controls that address WCGW's and relate them to the WCGW's' </t>
        </is>
      </c>
      <c r="W45" s="132" t="n"/>
    </row>
    <row r="46" customFormat="1" s="65">
      <c r="A46" s="55" t="n"/>
      <c r="B46" s="380" t="n"/>
      <c r="C46" s="374" t="n"/>
      <c r="D46" s="374" t="n"/>
      <c r="E46" s="374" t="n"/>
      <c r="F46" s="374" t="n"/>
      <c r="G46" s="374" t="n"/>
      <c r="H46" s="374" t="n"/>
      <c r="I46" s="374" t="n"/>
      <c r="J46" s="374" t="n"/>
      <c r="K46" s="374" t="n"/>
      <c r="L46" s="374" t="n"/>
      <c r="M46" s="374" t="n"/>
      <c r="N46" s="374" t="n"/>
      <c r="O46" s="374" t="n"/>
      <c r="P46" s="381" t="n"/>
      <c r="Q46" s="78" t="n"/>
      <c r="W46" s="132" t="n"/>
    </row>
    <row r="47" customFormat="1" s="65">
      <c r="B47" s="380" t="n"/>
      <c r="C47" s="374" t="n"/>
      <c r="D47" s="374" t="n"/>
      <c r="E47" s="374" t="n"/>
      <c r="F47" s="374" t="n"/>
      <c r="G47" s="374" t="n"/>
      <c r="H47" s="374" t="n"/>
      <c r="I47" s="374" t="n"/>
      <c r="J47" s="374" t="n"/>
      <c r="K47" s="374" t="n"/>
      <c r="L47" s="374" t="n"/>
      <c r="M47" s="374" t="n"/>
      <c r="N47" s="374" t="n"/>
      <c r="O47" s="374" t="n"/>
      <c r="P47" s="304" t="n"/>
      <c r="Q47" s="78" t="n"/>
      <c r="W47" s="133" t="n"/>
    </row>
    <row r="48" ht="15" customFormat="1" customHeight="1" s="65">
      <c r="A48" s="55" t="n"/>
      <c r="B48" s="209" t="inlineStr">
        <is>
          <t>Entity's information system [ISA(revised) 540.13h]</t>
        </is>
      </c>
      <c r="C48" s="214" t="n"/>
      <c r="D48" s="214" t="n"/>
      <c r="E48" s="214" t="n"/>
      <c r="F48" s="214" t="n"/>
      <c r="G48" s="214" t="n"/>
      <c r="H48" s="214" t="n"/>
      <c r="I48" s="214" t="n"/>
      <c r="J48" s="214" t="n"/>
      <c r="K48" s="214" t="n"/>
      <c r="L48" s="214" t="n"/>
      <c r="M48" s="214" t="n"/>
      <c r="N48" s="214" t="n"/>
      <c r="O48" s="214" t="n"/>
      <c r="P48" s="215" t="n"/>
      <c r="Q48" s="134" t="n"/>
      <c r="R48" s="274" t="n"/>
      <c r="S48" s="275" t="n"/>
      <c r="T48" s="275" t="n"/>
      <c r="U48" s="275" t="n"/>
      <c r="V48" s="275" t="n"/>
      <c r="W48" s="136" t="n"/>
    </row>
    <row r="49" customFormat="1" s="65">
      <c r="A49" s="55" t="n"/>
      <c r="B49" s="317" t="inlineStr">
        <is>
          <t>How information relating to accounting estimates and related disclosures for significant classes of transactions, account balances or disclosures flows through the entity's information system [ISA 540.13h (i)]</t>
        </is>
      </c>
      <c r="P49" s="216" t="n"/>
      <c r="Q49" s="137" t="n"/>
      <c r="R49" s="274" t="n"/>
      <c r="S49" s="275" t="n"/>
      <c r="T49" s="275" t="n"/>
      <c r="U49" s="275" t="n"/>
      <c r="V49" s="275" t="n"/>
      <c r="W49" s="135" t="n"/>
    </row>
    <row r="50" customFormat="1" s="65">
      <c r="A50" s="55" t="n"/>
      <c r="B50" s="386" t="n"/>
      <c r="P50" s="216" t="n"/>
      <c r="Q50" s="137" t="n"/>
      <c r="R50" s="274" t="n"/>
      <c r="S50" s="275" t="n"/>
      <c r="T50" s="275" t="n"/>
      <c r="U50" s="275" t="n"/>
      <c r="V50" s="275" t="n"/>
      <c r="W50" s="135" t="n"/>
    </row>
    <row r="51" customFormat="1" s="55">
      <c r="B51" s="382" t="inlineStr">
        <is>
          <t>매장별 임대차계약 및 복구원가 견적서를 근거로 복구충당부채를 산정하고, 신규 개점 직영점 발생 시 설정, 폐점 시 환입하여 총계정원장·재무제표에 반영함.</t>
        </is>
      </c>
      <c r="C51" s="374" t="n"/>
      <c r="D51" s="374" t="n"/>
      <c r="E51" s="374" t="n"/>
      <c r="F51" s="374" t="n"/>
      <c r="G51" s="374" t="n"/>
      <c r="H51" s="374" t="n"/>
      <c r="I51" s="374" t="n"/>
      <c r="J51" s="374" t="n"/>
      <c r="K51" s="374" t="n"/>
      <c r="L51" s="374" t="n"/>
      <c r="M51" s="374" t="n"/>
      <c r="N51" s="374" t="n"/>
      <c r="O51" s="374" t="n"/>
      <c r="P51" s="332" t="inlineStr">
        <is>
          <t>Link to guidance</t>
        </is>
      </c>
      <c r="Q51" s="138" t="n"/>
      <c r="R51" s="269" t="n"/>
      <c r="S51" s="270" t="n"/>
      <c r="T51" s="270" t="n"/>
      <c r="U51" s="271" t="n"/>
      <c r="V51" s="271" t="n"/>
      <c r="W51" s="56" t="n"/>
      <c r="X51" s="54" t="n"/>
      <c r="Y51" s="54" t="n"/>
      <c r="Z51" s="54" t="n"/>
      <c r="AA51" s="54" t="n"/>
    </row>
    <row r="52" ht="15" customFormat="1" customHeight="1" s="55">
      <c r="B52" s="380" t="n"/>
      <c r="C52" s="374" t="n"/>
      <c r="D52" s="374" t="n"/>
      <c r="E52" s="374" t="n"/>
      <c r="F52" s="374" t="n"/>
      <c r="G52" s="374" t="n"/>
      <c r="H52" s="374" t="n"/>
      <c r="I52" s="374" t="n"/>
      <c r="J52" s="374" t="n"/>
      <c r="K52" s="374" t="n"/>
      <c r="L52" s="374" t="n"/>
      <c r="M52" s="374" t="n"/>
      <c r="N52" s="374" t="n"/>
      <c r="O52" s="374" t="n"/>
      <c r="P52" s="381" t="n"/>
      <c r="Q52" s="138" t="n"/>
      <c r="R52" s="269" t="n"/>
      <c r="S52" s="270" t="n"/>
      <c r="T52" s="270" t="n"/>
      <c r="U52" s="271" t="n"/>
      <c r="V52" s="271" t="n"/>
      <c r="W52" s="56" t="n"/>
      <c r="X52" s="54" t="n"/>
      <c r="Y52" s="54" t="n"/>
      <c r="Z52" s="54" t="n"/>
      <c r="AA52" s="54" t="n"/>
    </row>
    <row r="53" ht="15.75" customFormat="1" customHeight="1" s="55">
      <c r="B53" s="380" t="n"/>
      <c r="C53" s="374" t="n"/>
      <c r="D53" s="374" t="n"/>
      <c r="E53" s="374" t="n"/>
      <c r="F53" s="374" t="n"/>
      <c r="G53" s="374" t="n"/>
      <c r="H53" s="374" t="n"/>
      <c r="I53" s="374" t="n"/>
      <c r="J53" s="374" t="n"/>
      <c r="K53" s="374" t="n"/>
      <c r="L53" s="374" t="n"/>
      <c r="M53" s="374" t="n"/>
      <c r="N53" s="374" t="n"/>
      <c r="O53" s="374" t="n"/>
      <c r="P53" s="217" t="n"/>
      <c r="Q53" s="138" t="n"/>
      <c r="R53" s="276" t="n"/>
      <c r="S53" s="277" t="n"/>
      <c r="T53" s="277" t="n"/>
      <c r="U53" s="277" t="n"/>
      <c r="V53" s="277" t="n"/>
      <c r="W53" s="58" t="n"/>
      <c r="X53" s="54" t="n"/>
      <c r="Y53" s="54" t="n"/>
      <c r="Z53" s="54" t="n"/>
      <c r="AA53" s="54" t="n"/>
    </row>
    <row r="54" ht="19.5" customFormat="1" customHeight="1" s="55">
      <c r="B54" s="209" t="inlineStr">
        <is>
          <t>Method used in making the accounting estimate, including models used [ISA 540.13h(ii) a(i)]</t>
        </is>
      </c>
      <c r="C54" s="68" t="n"/>
      <c r="D54" s="68" t="n"/>
      <c r="E54" s="68" t="n"/>
      <c r="F54" s="68" t="n"/>
      <c r="G54" s="68" t="n"/>
      <c r="H54" s="68" t="n"/>
      <c r="I54" s="68" t="n"/>
      <c r="J54" s="68" t="n"/>
      <c r="K54" s="68" t="n"/>
      <c r="L54" s="68" t="n"/>
      <c r="M54" s="68" t="n"/>
      <c r="N54" s="68" t="n"/>
      <c r="O54" s="68" t="n"/>
      <c r="P54" s="193" t="n"/>
      <c r="Q54" s="19" t="n"/>
      <c r="R54" s="267" t="n"/>
      <c r="S54" s="268" t="n"/>
      <c r="T54" s="268" t="n"/>
      <c r="U54" s="268" t="n"/>
      <c r="V54" s="268" t="n"/>
      <c r="W54" s="53" t="n"/>
      <c r="X54" s="54" t="n"/>
      <c r="Y54" s="54" t="n"/>
      <c r="Z54" s="54" t="n"/>
      <c r="AA54" s="54" t="n"/>
    </row>
    <row r="55" customFormat="1" s="55">
      <c r="B55" s="382" t="inlineStr">
        <is>
          <t>[방법] 매장별 복구원가 견적금액을 복구충당부채로 계상하고, 관련 복구원가를 유형자산(시설장치-Restoration) 취득원가에 가산하여 내용연수에 걸쳐 상각함. 복구원가 할인 전 금액이 292백만원으로 소액이어서 할인 효과가 극히 미미하므로 현재가치 할인은 생략(추가 절차 생략)함.</t>
        </is>
      </c>
      <c r="C55" s="374" t="n"/>
      <c r="D55" s="374" t="n"/>
      <c r="E55" s="374" t="n"/>
      <c r="F55" s="374" t="n"/>
      <c r="G55" s="374" t="n"/>
      <c r="H55" s="374" t="n"/>
      <c r="I55" s="374" t="n"/>
      <c r="J55" s="374" t="n"/>
      <c r="K55" s="374" t="n"/>
      <c r="L55" s="374" t="n"/>
      <c r="M55" s="374" t="n"/>
      <c r="N55" s="374" t="n"/>
      <c r="O55" s="374" t="n"/>
      <c r="P55" s="332" t="inlineStr">
        <is>
          <t>Link to guidance</t>
        </is>
      </c>
      <c r="Q55" s="139" t="n"/>
      <c r="R55" s="269" t="n"/>
      <c r="S55" s="270" t="n"/>
      <c r="T55" s="270" t="n"/>
      <c r="U55" s="271" t="n"/>
      <c r="V55" s="271" t="n"/>
      <c r="W55" s="56" t="n"/>
      <c r="X55" s="54" t="n"/>
      <c r="Y55" s="54" t="n"/>
      <c r="Z55" s="54" t="n"/>
      <c r="AA55" s="54" t="n"/>
    </row>
    <row r="56" customFormat="1" s="55">
      <c r="B56" s="380" t="n"/>
      <c r="C56" s="374" t="n"/>
      <c r="D56" s="374" t="n"/>
      <c r="E56" s="374" t="n"/>
      <c r="F56" s="374" t="n"/>
      <c r="G56" s="374" t="n"/>
      <c r="H56" s="374" t="n"/>
      <c r="I56" s="374" t="n"/>
      <c r="J56" s="374" t="n"/>
      <c r="K56" s="374" t="n"/>
      <c r="L56" s="374" t="n"/>
      <c r="M56" s="374" t="n"/>
      <c r="N56" s="374" t="n"/>
      <c r="O56" s="374" t="n"/>
      <c r="P56" s="381" t="n"/>
      <c r="Q56" s="139" t="n"/>
      <c r="R56" s="269" t="n"/>
      <c r="S56" s="270" t="n"/>
      <c r="T56" s="270" t="n"/>
      <c r="U56" s="271" t="n"/>
      <c r="V56" s="271" t="n"/>
      <c r="W56" s="56" t="n"/>
      <c r="X56" s="54" t="n"/>
      <c r="Y56" s="54" t="n"/>
      <c r="Z56" s="54" t="n"/>
      <c r="AA56" s="54" t="n"/>
    </row>
    <row r="57" customFormat="1" s="55">
      <c r="B57" s="380" t="n"/>
      <c r="C57" s="374" t="n"/>
      <c r="D57" s="374" t="n"/>
      <c r="E57" s="374" t="n"/>
      <c r="F57" s="374" t="n"/>
      <c r="G57" s="374" t="n"/>
      <c r="H57" s="374" t="n"/>
      <c r="I57" s="374" t="n"/>
      <c r="J57" s="374" t="n"/>
      <c r="K57" s="374" t="n"/>
      <c r="L57" s="374" t="n"/>
      <c r="M57" s="374" t="n"/>
      <c r="N57" s="374" t="n"/>
      <c r="O57" s="374" t="n"/>
      <c r="P57" s="218" t="n"/>
      <c r="Q57" s="139" t="n"/>
      <c r="R57" s="278" t="n"/>
      <c r="S57" s="279" t="n"/>
      <c r="T57" s="279" t="n"/>
      <c r="U57" s="279" t="n"/>
      <c r="V57" s="279" t="n"/>
      <c r="W57" s="59" t="n"/>
      <c r="X57" s="54" t="n"/>
      <c r="Y57" s="54" t="n"/>
      <c r="Z57" s="54" t="n"/>
      <c r="AA57" s="54" t="n"/>
    </row>
    <row r="58" ht="19.5" customFormat="1" customHeight="1" s="55">
      <c r="B58" s="209" t="inlineStr">
        <is>
          <t>Assumptions used in making the accounting estimate [ISA 540.13h (ii) a(ii)]</t>
        </is>
      </c>
      <c r="C58" s="68" t="n"/>
      <c r="D58" s="68" t="n"/>
      <c r="E58" s="68" t="n"/>
      <c r="F58" s="68" t="n"/>
      <c r="G58" s="68" t="n"/>
      <c r="H58" s="68" t="n"/>
      <c r="I58" s="68" t="n"/>
      <c r="J58" s="68" t="n"/>
      <c r="K58" s="68" t="n"/>
      <c r="L58" s="68" t="n"/>
      <c r="M58" s="68" t="n"/>
      <c r="N58" s="68" t="n"/>
      <c r="O58" s="68" t="n"/>
      <c r="P58" s="210" t="n"/>
      <c r="Q58" s="19" t="n"/>
      <c r="R58" s="267" t="n"/>
      <c r="S58" s="268" t="n"/>
      <c r="T58" s="268" t="n"/>
      <c r="U58" s="268" t="n"/>
      <c r="V58" s="268" t="n"/>
      <c r="W58" s="53" t="n"/>
      <c r="X58" s="54" t="n"/>
      <c r="Y58" s="54" t="n"/>
      <c r="Z58" s="54" t="n"/>
      <c r="AA58" s="54" t="n"/>
    </row>
    <row r="59" customFormat="1" s="55">
      <c r="B59" s="382" t="inlineStr">
        <is>
          <t>주요 가정은 ① 복구의무 대상 매장의 범위(직영점만 설정, 백화점·아울렛·면세점 등은 업계 관행상 제외), ② 매장별 복구원가(견적서 기준)임. 직영점은 회사가 직접 운영하는 Street shop으로 원상복구 의무 이행에 자원 유출가능성이 매우 높다고 가정함.</t>
        </is>
      </c>
      <c r="C59" s="374" t="n"/>
      <c r="D59" s="374" t="n"/>
      <c r="E59" s="374" t="n"/>
      <c r="F59" s="374" t="n"/>
      <c r="G59" s="374" t="n"/>
      <c r="H59" s="374" t="n"/>
      <c r="I59" s="374" t="n"/>
      <c r="J59" s="374" t="n"/>
      <c r="K59" s="374" t="n"/>
      <c r="L59" s="374" t="n"/>
      <c r="M59" s="374" t="n"/>
      <c r="N59" s="374" t="n"/>
      <c r="O59" s="374" t="n"/>
      <c r="P59" s="332" t="inlineStr">
        <is>
          <t>Link to guidance</t>
        </is>
      </c>
      <c r="Q59" s="78" t="n"/>
      <c r="R59" s="269" t="n"/>
      <c r="S59" s="270" t="n"/>
      <c r="T59" s="270" t="n"/>
      <c r="U59" s="271" t="n"/>
      <c r="V59" s="271" t="n"/>
      <c r="W59" s="56" t="n"/>
      <c r="X59" s="54" t="n"/>
      <c r="Y59" s="54" t="n"/>
      <c r="Z59" s="54" t="n"/>
      <c r="AA59" s="54" t="n"/>
    </row>
    <row r="60" customFormat="1" s="55">
      <c r="B60" s="380" t="n"/>
      <c r="C60" s="374" t="n"/>
      <c r="D60" s="374" t="n"/>
      <c r="E60" s="374" t="n"/>
      <c r="F60" s="374" t="n"/>
      <c r="G60" s="374" t="n"/>
      <c r="H60" s="374" t="n"/>
      <c r="I60" s="374" t="n"/>
      <c r="J60" s="374" t="n"/>
      <c r="K60" s="374" t="n"/>
      <c r="L60" s="374" t="n"/>
      <c r="M60" s="374" t="n"/>
      <c r="N60" s="374" t="n"/>
      <c r="O60" s="374" t="n"/>
      <c r="P60" s="381" t="n"/>
      <c r="Q60" s="78" t="n"/>
      <c r="R60" s="269" t="n"/>
      <c r="S60" s="270" t="n"/>
      <c r="T60" s="270" t="n"/>
      <c r="U60" s="271" t="n"/>
      <c r="V60" s="271" t="n"/>
      <c r="W60" s="56" t="n"/>
      <c r="X60" s="54" t="n"/>
      <c r="Y60" s="54" t="n"/>
      <c r="Z60" s="54" t="n"/>
      <c r="AA60" s="54" t="n"/>
    </row>
    <row r="61" customFormat="1" s="55">
      <c r="B61" s="380" t="n"/>
      <c r="C61" s="374" t="n"/>
      <c r="D61" s="374" t="n"/>
      <c r="E61" s="374" t="n"/>
      <c r="F61" s="374" t="n"/>
      <c r="G61" s="374" t="n"/>
      <c r="H61" s="374" t="n"/>
      <c r="I61" s="374" t="n"/>
      <c r="J61" s="374" t="n"/>
      <c r="K61" s="374" t="n"/>
      <c r="L61" s="374" t="n"/>
      <c r="M61" s="374" t="n"/>
      <c r="N61" s="374" t="n"/>
      <c r="O61" s="374" t="n"/>
      <c r="P61" s="212" t="n"/>
      <c r="Q61" s="78" t="n"/>
      <c r="R61" s="272" t="n"/>
      <c r="S61" s="273" t="n"/>
      <c r="T61" s="273" t="n"/>
      <c r="U61" s="273" t="n"/>
      <c r="V61" s="273" t="n"/>
      <c r="W61" s="57" t="n"/>
      <c r="X61" s="54" t="n"/>
      <c r="Y61" s="54" t="n"/>
      <c r="Z61" s="54" t="n"/>
      <c r="AA61" s="54" t="n"/>
    </row>
    <row r="62" ht="19.5" customFormat="1" customHeight="1" s="55">
      <c r="A62" s="65" t="n"/>
      <c r="B62" s="209" t="inlineStr">
        <is>
          <t>Data used in making the accounting estimate [ISA 540.13h (ii) a(iii)]</t>
        </is>
      </c>
      <c r="C62" s="68" t="n"/>
      <c r="D62" s="68" t="n"/>
      <c r="E62" s="68" t="n"/>
      <c r="F62" s="68" t="n"/>
      <c r="G62" s="68" t="n"/>
      <c r="H62" s="68" t="n"/>
      <c r="I62" s="68" t="n"/>
      <c r="J62" s="68" t="n"/>
      <c r="K62" s="68" t="n"/>
      <c r="L62" s="68" t="n"/>
      <c r="M62" s="68" t="n"/>
      <c r="N62" s="68" t="n"/>
      <c r="O62" s="68" t="n"/>
      <c r="P62" s="210" t="n"/>
      <c r="Q62" s="19" t="n"/>
      <c r="R62" s="267" t="n"/>
      <c r="S62" s="268" t="n"/>
      <c r="T62" s="268" t="n"/>
      <c r="U62" s="268" t="n"/>
      <c r="V62" s="268" t="n"/>
      <c r="W62" s="53" t="n"/>
      <c r="X62" s="54" t="n"/>
      <c r="Y62" s="54" t="n"/>
      <c r="Z62" s="54" t="n"/>
      <c r="AA62" s="54" t="n"/>
    </row>
    <row r="63" customFormat="1" s="55">
      <c r="A63" s="65" t="n"/>
      <c r="B63" s="382" t="inlineStr">
        <is>
          <t>사용 데이터는 매장별 임대차계약서, 복구원가 견적서 및 개점·폐점 현황임. 견적금액과 BS상 매장별 복구충당부채가 일치함을 확인함(대구칠곡·도봉산·가로수길·성수낙낙·Quality Lab/제주, 차이 0).</t>
        </is>
      </c>
      <c r="C63" s="374" t="n"/>
      <c r="D63" s="374" t="n"/>
      <c r="E63" s="374" t="n"/>
      <c r="F63" s="374" t="n"/>
      <c r="G63" s="374" t="n"/>
      <c r="H63" s="374" t="n"/>
      <c r="I63" s="374" t="n"/>
      <c r="J63" s="374" t="n"/>
      <c r="K63" s="374" t="n"/>
      <c r="L63" s="374" t="n"/>
      <c r="M63" s="374" t="n"/>
      <c r="N63" s="374" t="n"/>
      <c r="O63" s="374" t="n"/>
      <c r="P63" s="332" t="inlineStr">
        <is>
          <t>Link to guidance</t>
        </is>
      </c>
      <c r="Q63" s="78" t="n"/>
      <c r="R63" s="269" t="n"/>
      <c r="S63" s="270" t="n"/>
      <c r="T63" s="270" t="n"/>
      <c r="U63" s="271" t="n"/>
      <c r="V63" s="271" t="n"/>
      <c r="W63" s="56" t="n"/>
      <c r="X63" s="54" t="n"/>
      <c r="Y63" s="54" t="n"/>
      <c r="Z63" s="54" t="n"/>
      <c r="AA63" s="54" t="n"/>
    </row>
    <row r="64" ht="15" customFormat="1" customHeight="1" s="55">
      <c r="A64" s="65" t="n"/>
      <c r="B64" s="380" t="n"/>
      <c r="C64" s="374" t="n"/>
      <c r="D64" s="374" t="n"/>
      <c r="E64" s="374" t="n"/>
      <c r="F64" s="374" t="n"/>
      <c r="G64" s="374" t="n"/>
      <c r="H64" s="374" t="n"/>
      <c r="I64" s="374" t="n"/>
      <c r="J64" s="374" t="n"/>
      <c r="K64" s="374" t="n"/>
      <c r="L64" s="374" t="n"/>
      <c r="M64" s="374" t="n"/>
      <c r="N64" s="374" t="n"/>
      <c r="O64" s="374" t="n"/>
      <c r="P64" s="381" t="n"/>
      <c r="Q64" s="78" t="n"/>
      <c r="R64" s="269" t="n"/>
      <c r="S64" s="270" t="n"/>
      <c r="T64" s="270" t="n"/>
      <c r="U64" s="271" t="n"/>
      <c r="V64" s="271" t="n"/>
      <c r="W64" s="56" t="n"/>
      <c r="X64" s="54" t="n"/>
      <c r="Y64" s="54" t="n"/>
      <c r="Z64" s="54" t="n"/>
      <c r="AA64" s="54" t="n"/>
    </row>
    <row r="65" customFormat="1" s="55">
      <c r="A65" s="65" t="n"/>
      <c r="B65" s="380" t="n"/>
      <c r="C65" s="374" t="n"/>
      <c r="D65" s="374" t="n"/>
      <c r="E65" s="374" t="n"/>
      <c r="F65" s="374" t="n"/>
      <c r="G65" s="374" t="n"/>
      <c r="H65" s="374" t="n"/>
      <c r="I65" s="374" t="n"/>
      <c r="J65" s="374" t="n"/>
      <c r="K65" s="374" t="n"/>
      <c r="L65" s="374" t="n"/>
      <c r="M65" s="374" t="n"/>
      <c r="N65" s="374" t="n"/>
      <c r="O65" s="374" t="n"/>
      <c r="P65" s="212" t="n"/>
      <c r="Q65" s="78" t="n"/>
      <c r="R65" s="272" t="n"/>
      <c r="S65" s="273" t="n"/>
      <c r="T65" s="273" t="n"/>
      <c r="U65" s="273" t="n"/>
      <c r="V65" s="273" t="n"/>
      <c r="W65" s="57" t="n"/>
      <c r="X65" s="54" t="n"/>
      <c r="Y65" s="54" t="n"/>
      <c r="Z65" s="54" t="n"/>
      <c r="AA65" s="54" t="n"/>
    </row>
    <row r="66" ht="19.5" customFormat="1" customHeight="1" s="55">
      <c r="A66" s="65" t="n"/>
      <c r="B66" s="209" t="inlineStr">
        <is>
          <t>Management's assessment of estimation uncertainty [ISA (revised) 540.13h b and c]</t>
        </is>
      </c>
      <c r="C66" s="68" t="n"/>
      <c r="D66" s="68" t="n"/>
      <c r="E66" s="68" t="n"/>
      <c r="F66" s="68" t="n"/>
      <c r="G66" s="68" t="n"/>
      <c r="H66" s="68" t="n"/>
      <c r="I66" s="68" t="n"/>
      <c r="J66" s="68" t="n"/>
      <c r="K66" s="68" t="n"/>
      <c r="L66" s="68" t="n"/>
      <c r="M66" s="68" t="n"/>
      <c r="N66" s="68" t="n"/>
      <c r="O66" s="68" t="n"/>
      <c r="P66" s="210" t="n"/>
      <c r="Q66" s="19" t="n"/>
      <c r="R66" s="280" t="n"/>
      <c r="S66" s="281" t="n"/>
      <c r="T66" s="281" t="n"/>
      <c r="U66" s="281" t="n"/>
      <c r="V66" s="281" t="n"/>
      <c r="W66" s="53" t="n"/>
      <c r="X66" s="54" t="n"/>
      <c r="Y66" s="54" t="n"/>
      <c r="Z66" s="54" t="n"/>
      <c r="AA66" s="54" t="n"/>
    </row>
    <row r="67" customFormat="1" s="55">
      <c r="A67" s="65" t="n"/>
      <c r="B67" s="382" t="inlineStr">
        <is>
          <t>회사는 복구원가 할인 전 금액이 소액(292백만원)이어서 할인효과가 미미하다고 평가하고 현재가치 할인을 생략함. 복구의무 대상은 직영점으로 한정하고 있으며, 대안적 추정에 대한 별도 민감도분석은 수행하지 않음.</t>
        </is>
      </c>
      <c r="C67" s="374" t="n"/>
      <c r="D67" s="374" t="n"/>
      <c r="E67" s="374" t="n"/>
      <c r="F67" s="374" t="n"/>
      <c r="G67" s="374" t="n"/>
      <c r="H67" s="374" t="n"/>
      <c r="I67" s="374" t="n"/>
      <c r="J67" s="374" t="n"/>
      <c r="K67" s="374" t="n"/>
      <c r="L67" s="374" t="n"/>
      <c r="M67" s="374" t="n"/>
      <c r="N67" s="374" t="n"/>
      <c r="O67" s="374" t="n"/>
      <c r="P67" s="332" t="inlineStr">
        <is>
          <t>Link to guidance</t>
        </is>
      </c>
      <c r="Q67" s="140" t="n"/>
      <c r="R67" s="269" t="n"/>
      <c r="S67" s="270" t="n"/>
      <c r="T67" s="270" t="n"/>
      <c r="U67" s="271" t="n"/>
      <c r="V67" s="271" t="n"/>
      <c r="W67" s="56" t="n"/>
      <c r="X67" s="54" t="n"/>
      <c r="Y67" s="54" t="n"/>
      <c r="Z67" s="54" t="n"/>
      <c r="AA67" s="54" t="n"/>
    </row>
    <row r="68" customFormat="1" s="55">
      <c r="A68" s="65" t="n"/>
      <c r="B68" s="380" t="n"/>
      <c r="C68" s="374" t="n"/>
      <c r="D68" s="374" t="n"/>
      <c r="E68" s="374" t="n"/>
      <c r="F68" s="374" t="n"/>
      <c r="G68" s="374" t="n"/>
      <c r="H68" s="374" t="n"/>
      <c r="I68" s="374" t="n"/>
      <c r="J68" s="374" t="n"/>
      <c r="K68" s="374" t="n"/>
      <c r="L68" s="374" t="n"/>
      <c r="M68" s="374" t="n"/>
      <c r="N68" s="374" t="n"/>
      <c r="O68" s="374" t="n"/>
      <c r="P68" s="381" t="n"/>
      <c r="Q68" s="140" t="n"/>
      <c r="R68" s="269" t="n"/>
      <c r="S68" s="270" t="n"/>
      <c r="T68" s="270" t="n"/>
      <c r="U68" s="271" t="n"/>
      <c r="V68" s="271" t="n"/>
      <c r="W68" s="56" t="n"/>
      <c r="X68" s="54" t="n"/>
      <c r="Y68" s="54" t="n"/>
      <c r="Z68" s="54" t="n"/>
      <c r="AA68" s="54" t="n"/>
    </row>
    <row r="69" customFormat="1" s="55">
      <c r="A69" s="65" t="n"/>
      <c r="B69" s="380" t="n"/>
      <c r="C69" s="374" t="n"/>
      <c r="D69" s="374" t="n"/>
      <c r="E69" s="374" t="n"/>
      <c r="F69" s="374" t="n"/>
      <c r="G69" s="374" t="n"/>
      <c r="H69" s="374" t="n"/>
      <c r="I69" s="374" t="n"/>
      <c r="J69" s="374" t="n"/>
      <c r="K69" s="374" t="n"/>
      <c r="L69" s="374" t="n"/>
      <c r="M69" s="374" t="n"/>
      <c r="N69" s="374" t="n"/>
      <c r="O69" s="374" t="n"/>
      <c r="P69" s="212" t="n"/>
      <c r="Q69" s="78" t="n"/>
      <c r="R69" s="272" t="n"/>
      <c r="S69" s="273" t="n"/>
      <c r="T69" s="273" t="n"/>
      <c r="U69" s="273" t="n"/>
      <c r="V69" s="273" t="n"/>
      <c r="W69" s="57" t="n"/>
      <c r="X69" s="54" t="n"/>
      <c r="Y69" s="54" t="n"/>
      <c r="Z69" s="54" t="n"/>
      <c r="AA69" s="54" t="n"/>
    </row>
    <row r="70" ht="19.5" customFormat="1" customHeight="1" s="55">
      <c r="A70" s="65" t="n"/>
      <c r="B70" s="209" t="inlineStr">
        <is>
          <t>Outcome or subsequent re-estimation in the current year of previous accounting estimates [ISA(revised) 540.13j and ISA (revised) 540.14]</t>
        </is>
      </c>
      <c r="C70" s="68" t="n"/>
      <c r="D70" s="68" t="n"/>
      <c r="E70" s="68" t="n"/>
      <c r="F70" s="68" t="n"/>
      <c r="G70" s="68" t="n"/>
      <c r="H70" s="68" t="n"/>
      <c r="I70" s="68" t="n"/>
      <c r="J70" s="68" t="n"/>
      <c r="K70" s="68" t="n"/>
      <c r="L70" s="68" t="n"/>
      <c r="M70" s="68" t="n"/>
      <c r="N70" s="68" t="n"/>
      <c r="O70" s="68" t="n"/>
      <c r="P70" s="210" t="n"/>
      <c r="Q70" s="19" t="n"/>
      <c r="R70" s="274" t="n"/>
      <c r="S70" s="275" t="n"/>
      <c r="T70" s="275" t="n"/>
      <c r="U70" s="275" t="n"/>
      <c r="V70" s="275" t="n"/>
      <c r="W70" s="53" t="n"/>
      <c r="X70" s="54" t="n"/>
      <c r="Y70" s="54" t="n"/>
      <c r="Z70" s="54" t="n"/>
      <c r="AA70" s="54" t="n"/>
    </row>
    <row r="71" customFormat="1" s="55">
      <c r="A71" s="65" t="n"/>
      <c r="B71" s="382" t="inlineStr">
        <is>
          <t>전기 인식한 복구충당부채(243,200,000원)의 당기 변동을 검토함. 당기 폐점에 따른 환입은 없으며 신규 직영점(제주직영점) 설정 48,900,000원이 증가하여 기말 292,100,000원이 됨. 과거 폐점 매장(대구대봉·강남 등)의 복구충당부채 제거 이력을 통해 추정의 적정성을 확인하였으며, 경영진 편의의 징후는 없음.</t>
        </is>
      </c>
      <c r="C71" s="374" t="n"/>
      <c r="D71" s="374" t="n"/>
      <c r="E71" s="374" t="n"/>
      <c r="F71" s="374" t="n"/>
      <c r="G71" s="374" t="n"/>
      <c r="H71" s="374" t="n"/>
      <c r="I71" s="374" t="n"/>
      <c r="J71" s="374" t="n"/>
      <c r="K71" s="374" t="n"/>
      <c r="L71" s="374" t="n"/>
      <c r="M71" s="374" t="n"/>
      <c r="N71" s="374" t="n"/>
      <c r="O71" s="374" t="n"/>
      <c r="P71" s="332" t="inlineStr">
        <is>
          <t>Link to guidance</t>
        </is>
      </c>
      <c r="Q71" s="78" t="n"/>
      <c r="R71" s="269" t="n"/>
      <c r="S71" s="270" t="n"/>
      <c r="T71" s="270" t="n"/>
      <c r="U71" s="271" t="n"/>
      <c r="V71" s="271" t="n"/>
      <c r="W71" s="56" t="n"/>
      <c r="X71" s="54" t="n"/>
      <c r="Y71" s="54" t="n"/>
      <c r="Z71" s="54" t="n"/>
      <c r="AA71" s="54" t="n"/>
    </row>
    <row r="72" customFormat="1" s="55">
      <c r="A72" s="65" t="n"/>
      <c r="B72" s="380" t="n"/>
      <c r="C72" s="374" t="n"/>
      <c r="D72" s="374" t="n"/>
      <c r="E72" s="374" t="n"/>
      <c r="F72" s="374" t="n"/>
      <c r="G72" s="374" t="n"/>
      <c r="H72" s="374" t="n"/>
      <c r="I72" s="374" t="n"/>
      <c r="J72" s="374" t="n"/>
      <c r="K72" s="374" t="n"/>
      <c r="L72" s="374" t="n"/>
      <c r="M72" s="374" t="n"/>
      <c r="N72" s="374" t="n"/>
      <c r="O72" s="374" t="n"/>
      <c r="P72" s="381" t="n"/>
      <c r="Q72" s="141" t="n"/>
      <c r="R72" s="269" t="n"/>
      <c r="S72" s="270" t="n"/>
      <c r="T72" s="270" t="n"/>
      <c r="U72" s="271" t="n"/>
      <c r="V72" s="271" t="n"/>
      <c r="W72" s="56" t="n"/>
      <c r="X72" s="54" t="n"/>
      <c r="Y72" s="54" t="n"/>
      <c r="Z72" s="54" t="n"/>
      <c r="AA72" s="54" t="n"/>
    </row>
    <row r="73" customFormat="1" s="55">
      <c r="A73" s="65" t="n"/>
      <c r="B73" s="380" t="n"/>
      <c r="C73" s="374" t="n"/>
      <c r="D73" s="374" t="n"/>
      <c r="E73" s="374" t="n"/>
      <c r="F73" s="374" t="n"/>
      <c r="G73" s="374" t="n"/>
      <c r="H73" s="374" t="n"/>
      <c r="I73" s="374" t="n"/>
      <c r="J73" s="374" t="n"/>
      <c r="K73" s="374" t="n"/>
      <c r="L73" s="374" t="n"/>
      <c r="M73" s="374" t="n"/>
      <c r="N73" s="374" t="n"/>
      <c r="O73" s="374" t="n"/>
      <c r="P73" s="218" t="n"/>
      <c r="Q73" s="141" t="n"/>
      <c r="R73" s="278" t="n"/>
      <c r="S73" s="278" t="n"/>
      <c r="T73" s="278" t="n"/>
      <c r="U73" s="278" t="n"/>
      <c r="V73" s="278" t="n"/>
      <c r="W73" s="60" t="n"/>
      <c r="X73" s="54" t="n"/>
      <c r="Y73" s="54" t="n"/>
      <c r="Z73" s="54" t="n"/>
      <c r="AA73" s="54" t="n"/>
    </row>
    <row r="74" ht="19.5" customFormat="1" customHeight="1" s="55">
      <c r="A74" s="65" t="n"/>
      <c r="B74" s="209" t="inlineStr">
        <is>
          <t>Identifying a need for management's expert [ISA(revised) 540.13f]</t>
        </is>
      </c>
      <c r="C74" s="68" t="n"/>
      <c r="D74" s="68" t="n"/>
      <c r="E74" s="68" t="n"/>
      <c r="F74" s="68" t="n"/>
      <c r="G74" s="68" t="n"/>
      <c r="H74" s="68" t="n"/>
      <c r="I74" s="68" t="n"/>
      <c r="J74" s="68" t="n"/>
      <c r="K74" s="68" t="n"/>
      <c r="L74" s="68" t="n"/>
      <c r="M74" s="68" t="n"/>
      <c r="N74" s="68" t="n"/>
      <c r="O74" s="68" t="n"/>
      <c r="P74" s="210" t="n"/>
      <c r="Q74" s="19" t="n"/>
      <c r="R74" s="274" t="n"/>
      <c r="S74" s="275" t="n"/>
      <c r="T74" s="275" t="n"/>
      <c r="U74" s="275" t="n"/>
      <c r="V74" s="275" t="n"/>
      <c r="W74" s="53" t="n"/>
      <c r="X74" s="54" t="n"/>
      <c r="Y74" s="54" t="n"/>
      <c r="Z74" s="54" t="n"/>
      <c r="AA74" s="54" t="n"/>
    </row>
    <row r="75" customFormat="1" s="55">
      <c r="A75" s="65" t="n"/>
      <c r="B75" s="382" t="inlineStr">
        <is>
          <t>복구원가는 외부 견적서에 근거하여 산정되며, 회사가 별도의 외부 전문가(감정 등)를 이용하지는 않음.</t>
        </is>
      </c>
      <c r="C75" s="374" t="n"/>
      <c r="D75" s="374" t="n"/>
      <c r="E75" s="374" t="n"/>
      <c r="F75" s="374" t="n"/>
      <c r="G75" s="374" t="n"/>
      <c r="H75" s="374" t="n"/>
      <c r="I75" s="374" t="n"/>
      <c r="J75" s="374" t="n"/>
      <c r="K75" s="374" t="n"/>
      <c r="L75" s="374" t="n"/>
      <c r="M75" s="374" t="n"/>
      <c r="N75" s="374" t="n"/>
      <c r="O75" s="374" t="n"/>
      <c r="P75" s="332" t="inlineStr">
        <is>
          <t>Link to guidance</t>
        </is>
      </c>
      <c r="Q75" s="78" t="n"/>
      <c r="R75" s="269" t="n"/>
      <c r="S75" s="270" t="n"/>
      <c r="T75" s="270" t="n"/>
      <c r="U75" s="271" t="n"/>
      <c r="V75" s="271" t="n"/>
      <c r="W75" s="56" t="n"/>
      <c r="X75" s="54" t="n"/>
      <c r="Y75" s="54" t="n"/>
      <c r="Z75" s="54" t="n"/>
      <c r="AA75" s="54" t="n"/>
    </row>
    <row r="76" ht="15.75" customFormat="1" customHeight="1" s="55">
      <c r="A76" s="65" t="n"/>
      <c r="B76" s="380" t="n"/>
      <c r="C76" s="374" t="n"/>
      <c r="D76" s="374" t="n"/>
      <c r="E76" s="374" t="n"/>
      <c r="F76" s="374" t="n"/>
      <c r="G76" s="374" t="n"/>
      <c r="H76" s="374" t="n"/>
      <c r="I76" s="374" t="n"/>
      <c r="J76" s="374" t="n"/>
      <c r="K76" s="374" t="n"/>
      <c r="L76" s="374" t="n"/>
      <c r="M76" s="374" t="n"/>
      <c r="N76" s="374" t="n"/>
      <c r="O76" s="374" t="n"/>
      <c r="P76" s="381" t="n"/>
      <c r="Q76" s="78" t="n"/>
      <c r="R76" s="269" t="n"/>
      <c r="S76" s="270" t="n"/>
      <c r="T76" s="270" t="n"/>
      <c r="U76" s="271" t="n"/>
      <c r="V76" s="271" t="n"/>
      <c r="W76" s="56" t="n"/>
      <c r="X76" s="61" t="inlineStr">
        <is>
          <t>Use of an expert dropdown (to be hidden)</t>
        </is>
      </c>
      <c r="Y76" s="54" t="n"/>
      <c r="Z76" s="54" t="n"/>
      <c r="AA76" s="54" t="n"/>
    </row>
    <row r="77" ht="15.75" customFormat="1" customHeight="1" s="55" thickBot="1">
      <c r="A77" s="65" t="n"/>
      <c r="B77" s="380" t="n"/>
      <c r="C77" s="374" t="n"/>
      <c r="D77" s="374" t="n"/>
      <c r="E77" s="374" t="n"/>
      <c r="F77" s="374" t="n"/>
      <c r="G77" s="374" t="n"/>
      <c r="H77" s="374" t="n"/>
      <c r="I77" s="374" t="n"/>
      <c r="J77" s="374" t="n"/>
      <c r="K77" s="374" t="n"/>
      <c r="L77" s="374" t="n"/>
      <c r="M77" s="374" t="n"/>
      <c r="N77" s="374" t="n"/>
      <c r="O77" s="374" t="n"/>
      <c r="P77" s="212" t="n"/>
      <c r="Q77" s="78" t="n"/>
      <c r="R77" s="272" t="n"/>
      <c r="S77" s="273" t="n"/>
      <c r="T77" s="273" t="n"/>
      <c r="U77" s="273" t="n"/>
      <c r="V77" s="273" t="n"/>
      <c r="W77" s="57" t="n"/>
      <c r="X77" s="54" t="inlineStr">
        <is>
          <t>Yes</t>
        </is>
      </c>
      <c r="Y77" s="54" t="n"/>
      <c r="Z77" s="54" t="n"/>
      <c r="AA77" s="54" t="n"/>
    </row>
    <row r="78" ht="15.75" customFormat="1" customHeight="1" s="55" thickBot="1">
      <c r="A78" s="65" t="n"/>
      <c r="B78" s="220" t="inlineStr">
        <is>
          <t xml:space="preserve">Have management used an expert? </t>
        </is>
      </c>
      <c r="C78" s="221" t="n"/>
      <c r="D78" s="221" t="n"/>
      <c r="E78" s="301" t="inlineStr">
        <is>
          <t>No</t>
        </is>
      </c>
      <c r="F78" s="221" t="inlineStr">
        <is>
          <t>User should select from dropdown menu</t>
        </is>
      </c>
      <c r="G78" s="221" t="n"/>
      <c r="H78" s="221" t="n"/>
      <c r="I78" s="221" t="n"/>
      <c r="J78" s="221" t="n"/>
      <c r="K78" s="221" t="n"/>
      <c r="L78" s="221" t="n"/>
      <c r="M78" s="221" t="n"/>
      <c r="N78" s="221" t="n"/>
      <c r="O78" s="221" t="n"/>
      <c r="P78" s="210" t="n"/>
      <c r="Q78" s="19" t="n"/>
      <c r="R78" s="344" t="inlineStr">
        <is>
          <t>If a management's expert is used then you must document this in Atlas on the node 'Details of reliance on experts'</t>
        </is>
      </c>
      <c r="W78" s="53" t="n"/>
      <c r="X78" s="54" t="inlineStr">
        <is>
          <t>No</t>
        </is>
      </c>
      <c r="Y78" s="54" t="n"/>
      <c r="Z78" s="54" t="n"/>
      <c r="AA78" s="54" t="n"/>
    </row>
    <row r="79" ht="15" customFormat="1" customHeight="1" s="55">
      <c r="A79" s="65" t="n"/>
      <c r="B79" s="302">
        <f>IF(E78="Yes","Please document the details in the experts template/screen within the audit file","")</f>
        <v/>
      </c>
      <c r="C79" s="303" t="n"/>
      <c r="D79" s="303" t="n"/>
      <c r="E79" s="303" t="n"/>
      <c r="F79" s="303" t="n"/>
      <c r="G79" s="303" t="n"/>
      <c r="H79" s="303" t="n"/>
      <c r="I79" s="303" t="n"/>
      <c r="J79" s="303" t="n"/>
      <c r="K79" s="303" t="n"/>
      <c r="L79" s="303" t="n"/>
      <c r="M79" s="303" t="n"/>
      <c r="N79" s="303" t="n"/>
      <c r="O79" s="303" t="n"/>
      <c r="P79" s="304" t="n"/>
      <c r="Q79" s="78" t="n"/>
      <c r="W79" s="57" t="n"/>
      <c r="X79" s="54" t="n"/>
      <c r="Y79" s="54" t="n"/>
      <c r="Z79" s="54" t="n"/>
      <c r="AA79" s="54" t="n"/>
    </row>
    <row r="80" ht="15" customFormat="1" customHeight="1" s="55">
      <c r="A80" s="65" t="n"/>
      <c r="B80" s="305">
        <f>IF(E78="YES","Please insert the file reference of the experts documentation:","")</f>
        <v/>
      </c>
      <c r="C80" s="306" t="n"/>
      <c r="D80" s="306" t="n"/>
      <c r="E80" s="306" t="n"/>
      <c r="F80" s="306" t="n"/>
      <c r="G80" s="331" t="n"/>
      <c r="H80" s="374" t="n"/>
      <c r="I80" s="374" t="n"/>
      <c r="J80" s="307" t="n"/>
      <c r="K80" s="307" t="n"/>
      <c r="L80" s="307" t="n"/>
      <c r="M80" s="307" t="n"/>
      <c r="N80" s="307" t="n"/>
      <c r="O80" s="307" t="n"/>
      <c r="P80" s="219" t="n"/>
      <c r="Q80" s="141" t="n"/>
      <c r="W80" s="60" t="n"/>
      <c r="X80" s="54" t="n"/>
      <c r="Y80" s="54" t="n"/>
      <c r="Z80" s="54" t="n"/>
      <c r="AA80" s="54" t="n"/>
    </row>
    <row r="81" ht="15.75" customFormat="1" customHeight="1" s="55" thickBot="1">
      <c r="A81" s="65" t="n"/>
      <c r="B81" s="261" t="n"/>
      <c r="C81" s="262" t="n"/>
      <c r="D81" s="262" t="n"/>
      <c r="E81" s="262" t="n"/>
      <c r="F81" s="262" t="n"/>
      <c r="G81" s="262" t="n"/>
      <c r="H81" s="262" t="n"/>
      <c r="I81" s="262" t="n"/>
      <c r="J81" s="262" t="n"/>
      <c r="K81" s="262" t="n"/>
      <c r="L81" s="262" t="n"/>
      <c r="M81" s="262" t="n"/>
      <c r="N81" s="262" t="n"/>
      <c r="O81" s="262" t="n"/>
      <c r="P81" s="263" t="n"/>
      <c r="Q81" s="141" t="n"/>
      <c r="R81" s="278" t="n"/>
      <c r="S81" s="278" t="n"/>
      <c r="T81" s="278" t="n"/>
      <c r="U81" s="278" t="n"/>
      <c r="V81" s="278" t="n"/>
      <c r="W81" s="60" t="n"/>
      <c r="X81" s="54" t="n"/>
      <c r="Y81" s="54" t="n"/>
      <c r="Z81" s="54" t="n"/>
      <c r="AA81" s="54" t="n"/>
    </row>
    <row r="82" ht="15.75" customFormat="1" customHeight="1" s="65" thickBot="1">
      <c r="Q82" s="141" t="n"/>
      <c r="R82" s="278" t="n"/>
      <c r="S82" s="278" t="n"/>
      <c r="T82" s="278" t="n"/>
      <c r="U82" s="278" t="n"/>
      <c r="V82" s="278" t="n"/>
      <c r="W82" s="222" t="n"/>
    </row>
    <row r="83" ht="20.25" customFormat="1" customHeight="1" s="55">
      <c r="A83" s="65" t="n"/>
      <c r="B83" s="181" t="inlineStr">
        <is>
          <t>The audit team</t>
        </is>
      </c>
      <c r="C83" s="182" t="n"/>
      <c r="D83" s="182" t="n"/>
      <c r="E83" s="182" t="n"/>
      <c r="F83" s="182" t="n"/>
      <c r="G83" s="182" t="n"/>
      <c r="H83" s="182" t="n"/>
      <c r="I83" s="182" t="n"/>
      <c r="J83" s="182" t="n"/>
      <c r="K83" s="182" t="n"/>
      <c r="L83" s="182" t="n"/>
      <c r="M83" s="182" t="n"/>
      <c r="N83" s="182" t="n"/>
      <c r="O83" s="182" t="n"/>
      <c r="P83" s="223" t="n"/>
      <c r="Q83" s="142" t="n"/>
      <c r="R83" s="283" t="n"/>
      <c r="S83" s="283" t="n"/>
      <c r="T83" s="283" t="n"/>
      <c r="U83" s="283" t="n"/>
      <c r="V83" s="283" t="n"/>
      <c r="W83" s="60" t="n"/>
      <c r="X83" s="54" t="n"/>
      <c r="Y83" s="54" t="n"/>
      <c r="Z83" s="54" t="n"/>
      <c r="AA83" s="54" t="n"/>
    </row>
    <row r="84" customFormat="1" s="55">
      <c r="A84" s="65" t="n"/>
      <c r="B84" s="186" t="inlineStr">
        <is>
          <t>Engagement team skills and knowledge [ISA (revised) 540.15]</t>
        </is>
      </c>
      <c r="C84" s="71" t="n"/>
      <c r="D84" s="71" t="n"/>
      <c r="E84" s="71" t="n"/>
      <c r="F84" s="71" t="n"/>
      <c r="G84" s="71" t="n"/>
      <c r="H84" s="71" t="n"/>
      <c r="I84" s="71" t="n"/>
      <c r="J84" s="174" t="n"/>
      <c r="K84" s="174" t="n"/>
      <c r="L84" s="174" t="n"/>
      <c r="M84" s="174" t="n"/>
      <c r="N84" s="174" t="n"/>
      <c r="O84" s="174" t="n"/>
      <c r="P84" s="187" t="n"/>
      <c r="Q84" s="143" t="n"/>
      <c r="R84" s="280" t="n"/>
      <c r="S84" s="281" t="n"/>
      <c r="T84" s="281" t="n"/>
      <c r="U84" s="281" t="n"/>
      <c r="V84" s="281" t="n"/>
      <c r="W84" s="53" t="n"/>
      <c r="X84" s="54" t="n"/>
      <c r="Y84" s="54" t="n"/>
      <c r="Z84" s="54" t="n"/>
      <c r="AA84" s="54" t="n"/>
    </row>
    <row r="85" ht="15" customFormat="1" customHeight="1" s="55">
      <c r="A85" s="65" t="n"/>
      <c r="B85" s="382" t="inlineStr">
        <is>
          <t>복구충당부채의 완전성 및 견적금액 검토는 감사팀의 통상적 감사기술로 충분하며 별도의 전문 스킬은 요구되지 않음.</t>
        </is>
      </c>
      <c r="C85" s="374" t="n"/>
      <c r="D85" s="374" t="n"/>
      <c r="E85" s="374" t="n"/>
      <c r="F85" s="374" t="n"/>
      <c r="G85" s="374" t="n"/>
      <c r="H85" s="374" t="n"/>
      <c r="I85" s="374" t="n"/>
      <c r="J85" s="374" t="n"/>
      <c r="K85" s="374" t="n"/>
      <c r="L85" s="374" t="n"/>
      <c r="M85" s="374" t="n"/>
      <c r="N85" s="374" t="n"/>
      <c r="O85" s="374" t="n"/>
      <c r="P85" s="333" t="inlineStr">
        <is>
          <t>Link to guidance</t>
        </is>
      </c>
      <c r="Q85" s="140" t="n"/>
      <c r="R85" s="269" t="n"/>
      <c r="S85" s="270" t="n"/>
      <c r="T85" s="270" t="n"/>
      <c r="U85" s="271" t="n"/>
      <c r="V85" s="271" t="n"/>
      <c r="W85" s="56" t="n"/>
      <c r="X85" s="54" t="n"/>
      <c r="Y85" s="54" t="n"/>
      <c r="Z85" s="54" t="n"/>
      <c r="AA85" s="54" t="n"/>
    </row>
    <row r="86" customFormat="1" s="55">
      <c r="A86" s="65" t="n"/>
      <c r="B86" s="380" t="n"/>
      <c r="C86" s="374" t="n"/>
      <c r="D86" s="374" t="n"/>
      <c r="E86" s="374" t="n"/>
      <c r="F86" s="374" t="n"/>
      <c r="G86" s="374" t="n"/>
      <c r="H86" s="374" t="n"/>
      <c r="I86" s="374" t="n"/>
      <c r="J86" s="374" t="n"/>
      <c r="K86" s="374" t="n"/>
      <c r="L86" s="374" t="n"/>
      <c r="M86" s="374" t="n"/>
      <c r="N86" s="374" t="n"/>
      <c r="O86" s="374" t="n"/>
      <c r="P86" s="381" t="n"/>
      <c r="Q86" s="78" t="n"/>
      <c r="R86" s="269" t="n"/>
      <c r="S86" s="270" t="n"/>
      <c r="T86" s="270" t="n"/>
      <c r="U86" s="271" t="n"/>
      <c r="V86" s="271" t="n"/>
      <c r="W86" s="56" t="n"/>
      <c r="X86" s="54" t="n"/>
      <c r="Y86" s="54" t="n"/>
      <c r="Z86" s="54" t="n"/>
      <c r="AA86" s="54" t="n"/>
    </row>
    <row r="87" ht="16.5" customFormat="1" customHeight="1" s="55" thickBot="1">
      <c r="A87" s="65" t="n"/>
      <c r="B87" s="380" t="n"/>
      <c r="C87" s="374" t="n"/>
      <c r="D87" s="374" t="n"/>
      <c r="E87" s="374" t="n"/>
      <c r="F87" s="374" t="n"/>
      <c r="G87" s="374" t="n"/>
      <c r="H87" s="374" t="n"/>
      <c r="I87" s="374" t="n"/>
      <c r="J87" s="374" t="n"/>
      <c r="K87" s="374" t="n"/>
      <c r="L87" s="374" t="n"/>
      <c r="M87" s="374" t="n"/>
      <c r="N87" s="374" t="n"/>
      <c r="O87" s="374" t="n"/>
      <c r="P87" s="219" t="n"/>
      <c r="Q87" s="144" t="n"/>
      <c r="R87" s="344" t="inlineStr">
        <is>
          <t>If an auditor's expert is used then you must document this in Atlas on the node 'Details of reliance on experts'.
If a specialist is used then within Atlas they must be added to the engagement team within the node 'Engagement'.</t>
        </is>
      </c>
      <c r="W87" s="62" t="n"/>
      <c r="X87" s="54" t="n"/>
      <c r="Y87" s="54" t="n"/>
      <c r="Z87" s="54" t="n"/>
      <c r="AA87" s="54" t="n"/>
    </row>
    <row r="88" ht="15.75" customFormat="1" customHeight="1" s="55" thickBot="1">
      <c r="A88" s="65" t="n"/>
      <c r="B88" s="209" t="inlineStr">
        <is>
          <t>Will we use an auditor's expert or specialist?</t>
        </is>
      </c>
      <c r="C88" s="68" t="n"/>
      <c r="D88" s="68" t="n"/>
      <c r="E88" s="68" t="n"/>
      <c r="F88" s="308" t="inlineStr">
        <is>
          <t>No</t>
        </is>
      </c>
      <c r="G88" s="68" t="inlineStr">
        <is>
          <t>User should select from dropdown menu</t>
        </is>
      </c>
      <c r="H88" s="68" t="n"/>
      <c r="I88" s="68" t="n"/>
      <c r="J88" s="68" t="n"/>
      <c r="K88" s="68" t="n"/>
      <c r="L88" s="68" t="n"/>
      <c r="M88" s="68" t="n"/>
      <c r="N88" s="68" t="n"/>
      <c r="O88" s="68" t="n"/>
      <c r="P88" s="193" t="n"/>
      <c r="Q88" s="19" t="n"/>
      <c r="W88" s="53" t="n"/>
      <c r="X88" s="54" t="n"/>
      <c r="Y88" s="54" t="n"/>
      <c r="Z88" s="54" t="n"/>
      <c r="AA88" s="54" t="n"/>
    </row>
    <row r="89" ht="15" customFormat="1" customHeight="1" s="55">
      <c r="B89" s="255">
        <f>IF(F88="Yes","Please document the details in the experts template/screen within the audit file","")</f>
        <v/>
      </c>
      <c r="C89" s="251" t="n"/>
      <c r="D89" s="251" t="n"/>
      <c r="E89" s="251" t="n"/>
      <c r="F89" s="251" t="n"/>
      <c r="G89" s="251" t="n"/>
      <c r="H89" s="251" t="n"/>
      <c r="I89" s="251" t="n"/>
      <c r="J89" s="251" t="n"/>
      <c r="K89" s="251" t="n"/>
      <c r="L89" s="251" t="n"/>
      <c r="M89" s="251" t="n"/>
      <c r="N89" s="251" t="n"/>
      <c r="O89" s="251" t="n"/>
      <c r="P89" s="256" t="n"/>
      <c r="Q89" s="13" t="n"/>
      <c r="W89" s="62" t="n"/>
    </row>
    <row r="90" ht="15.75" customFormat="1" customHeight="1" s="55">
      <c r="B90" s="257">
        <f>IF(F88="YES","Please insert the file reference of the experts documentation:","")</f>
        <v/>
      </c>
      <c r="C90" s="252" t="n"/>
      <c r="D90" s="252" t="n"/>
      <c r="E90" s="252" t="n"/>
      <c r="F90" s="252" t="n"/>
      <c r="G90" s="326" t="n"/>
      <c r="H90" s="374" t="n"/>
      <c r="I90" s="374" t="n"/>
      <c r="J90" s="253" t="n"/>
      <c r="K90" s="253" t="n"/>
      <c r="L90" s="253" t="n"/>
      <c r="M90" s="253" t="n"/>
      <c r="N90" s="253" t="n"/>
      <c r="O90" s="253" t="n"/>
      <c r="P90" s="258" t="n"/>
      <c r="Q90" s="13" t="n"/>
      <c r="W90" s="62" t="n"/>
    </row>
    <row r="91" ht="15.75" customFormat="1" customHeight="1" s="55">
      <c r="B91" s="257" t="n"/>
      <c r="C91" s="252" t="n"/>
      <c r="D91" s="252" t="n"/>
      <c r="E91" s="252" t="n"/>
      <c r="F91" s="253" t="n"/>
      <c r="G91" s="253" t="n"/>
      <c r="H91" s="253" t="n"/>
      <c r="I91" s="253" t="n"/>
      <c r="J91" s="253" t="n"/>
      <c r="K91" s="253" t="n"/>
      <c r="L91" s="253" t="n"/>
      <c r="M91" s="253" t="n"/>
      <c r="N91" s="253" t="n"/>
      <c r="O91" s="253" t="n"/>
      <c r="P91" s="258" t="n"/>
      <c r="Q91" s="13" t="n"/>
      <c r="W91" s="62" t="n"/>
    </row>
    <row r="92" customFormat="1" s="65">
      <c r="B92" s="259" t="n"/>
      <c r="C92" s="254" t="n"/>
      <c r="D92" s="254" t="n"/>
      <c r="E92" s="254" t="n"/>
      <c r="F92" s="254" t="n"/>
      <c r="G92" s="254" t="n"/>
      <c r="H92" s="254" t="n"/>
      <c r="I92" s="254" t="n"/>
      <c r="J92" s="254" t="n"/>
      <c r="K92" s="254" t="n"/>
      <c r="L92" s="254" t="n"/>
      <c r="M92" s="254" t="n"/>
      <c r="N92" s="254" t="n"/>
      <c r="O92" s="254" t="n"/>
      <c r="P92" s="260" t="n"/>
      <c r="Q92" s="144" t="n"/>
      <c r="R92" s="284" t="n"/>
      <c r="S92" s="285" t="n"/>
      <c r="T92" s="285" t="n"/>
      <c r="U92" s="285" t="n"/>
      <c r="V92" s="285" t="n"/>
      <c r="W92" s="145" t="n"/>
    </row>
    <row r="93" ht="15.75" customFormat="1" customHeight="1" s="65" thickBot="1">
      <c r="B93" s="261" t="n"/>
      <c r="C93" s="262" t="n"/>
      <c r="D93" s="262" t="n"/>
      <c r="E93" s="262" t="n"/>
      <c r="F93" s="262" t="n"/>
      <c r="G93" s="262" t="n"/>
      <c r="H93" s="262" t="n"/>
      <c r="I93" s="262" t="n"/>
      <c r="J93" s="262" t="n"/>
      <c r="K93" s="262" t="n"/>
      <c r="L93" s="262" t="n"/>
      <c r="M93" s="262" t="n"/>
      <c r="N93" s="262" t="n"/>
      <c r="O93" s="262" t="n"/>
      <c r="P93" s="263" t="n"/>
      <c r="Q93" s="146" t="n"/>
      <c r="R93" s="286" t="n"/>
      <c r="S93" s="287" t="n"/>
      <c r="T93" s="287" t="n"/>
      <c r="U93" s="287" t="n"/>
      <c r="V93" s="287" t="n"/>
      <c r="W93" s="148" t="n"/>
    </row>
    <row r="94" customFormat="1" s="65">
      <c r="B94" s="146" t="n"/>
      <c r="C94" s="146" t="n"/>
      <c r="D94" s="146" t="n"/>
      <c r="E94" s="146" t="n"/>
      <c r="F94" s="146" t="n"/>
      <c r="G94" s="146" t="n"/>
      <c r="H94" s="146" t="n"/>
      <c r="I94" s="146" t="n"/>
      <c r="J94" s="146" t="n"/>
      <c r="K94" s="146" t="n"/>
      <c r="L94" s="146" t="n"/>
      <c r="M94" s="146" t="n"/>
      <c r="N94" s="146" t="n"/>
      <c r="O94" s="146" t="n"/>
      <c r="P94" s="147" t="n"/>
      <c r="Q94" s="146" t="n"/>
      <c r="R94" s="286" t="n"/>
      <c r="S94" s="287" t="n"/>
      <c r="T94" s="287" t="n"/>
      <c r="U94" s="287" t="n"/>
      <c r="V94" s="287" t="n"/>
      <c r="W94" s="148" t="n"/>
    </row>
    <row r="95" ht="31.5" customFormat="1" customHeight="1" s="119">
      <c r="B95" s="119" t="inlineStr">
        <is>
          <t>STEP 2:   IDENTIFYING AND ASSESSING THE RISKS OF MATERIAL MISSTATEMENT</t>
        </is>
      </c>
      <c r="P95" s="159" t="n"/>
      <c r="R95" s="267" t="n"/>
      <c r="S95" s="268" t="n"/>
      <c r="T95" s="268" t="n"/>
      <c r="U95" s="268" t="n"/>
      <c r="V95" s="268" t="n"/>
      <c r="W95" s="122" t="n"/>
      <c r="Z95" s="119" t="inlineStr">
        <is>
          <t>Inherent risk matrix</t>
        </is>
      </c>
    </row>
    <row r="96" ht="15.75" customHeight="1" thickBot="1">
      <c r="A96" s="55" t="n"/>
      <c r="B96" s="170" t="n"/>
      <c r="C96" s="43" t="n"/>
      <c r="D96" s="43" t="n"/>
      <c r="E96" s="43" t="n"/>
      <c r="F96" s="43" t="n"/>
      <c r="G96" s="43" t="n"/>
      <c r="H96" s="43" t="n"/>
      <c r="I96" s="43" t="n"/>
      <c r="J96" s="43" t="n"/>
      <c r="K96" s="43" t="n"/>
      <c r="L96" s="43" t="n"/>
      <c r="M96" s="43" t="n"/>
      <c r="N96" s="43" t="n"/>
      <c r="O96" s="43" t="n"/>
      <c r="P96" s="127" t="n"/>
      <c r="Q96" s="4" t="n"/>
      <c r="Z96" s="79" t="inlineStr">
        <is>
          <t>Significant</t>
        </is>
      </c>
      <c r="AA96" s="79" t="inlineStr">
        <is>
          <t>&gt;6</t>
        </is>
      </c>
    </row>
    <row r="97" ht="27.6" customHeight="1">
      <c r="A97" s="65" t="n"/>
      <c r="B97" s="181" t="inlineStr">
        <is>
          <t>Inherent risk assessment</t>
        </is>
      </c>
      <c r="C97" s="182" t="n"/>
      <c r="D97" s="182" t="n"/>
      <c r="E97" s="182" t="n"/>
      <c r="F97" s="182" t="n"/>
      <c r="G97" s="182" t="n"/>
      <c r="H97" s="182" t="n"/>
      <c r="I97" s="182" t="n"/>
      <c r="J97" s="182" t="n"/>
      <c r="K97" s="182" t="n"/>
      <c r="L97" s="182" t="n"/>
      <c r="M97" s="182" t="n"/>
      <c r="N97" s="182" t="n"/>
      <c r="O97" s="182" t="n"/>
      <c r="P97" s="192" t="n"/>
      <c r="Q97" s="19" t="n"/>
      <c r="Z97" s="79" t="inlineStr">
        <is>
          <t>Enhanced</t>
        </is>
      </c>
      <c r="AA97" s="81" t="inlineStr">
        <is>
          <t>4 to 6</t>
        </is>
      </c>
    </row>
    <row r="98" ht="19.5" customFormat="1" customHeight="1" s="55">
      <c r="A98" s="65" t="n"/>
      <c r="B98" s="186" t="inlineStr">
        <is>
          <t>Identifying and assessing the risks of material misstatement relating to an accounting estimate and related disclosures at assertion level [ISA (revised) 540.16]</t>
        </is>
      </c>
      <c r="C98" s="71" t="n"/>
      <c r="D98" s="71" t="n"/>
      <c r="E98" s="71" t="n"/>
      <c r="F98" s="71" t="n"/>
      <c r="G98" s="71" t="n"/>
      <c r="H98" s="71" t="n"/>
      <c r="I98" s="71" t="n"/>
      <c r="J98" s="174" t="n"/>
      <c r="K98" s="174" t="n"/>
      <c r="L98" s="174" t="n"/>
      <c r="M98" s="174" t="n"/>
      <c r="N98" s="174" t="n"/>
      <c r="O98" s="174" t="n"/>
      <c r="P98" s="193" t="n"/>
      <c r="Q98" s="19" t="n"/>
      <c r="R98" s="288" t="n"/>
      <c r="S98" s="289" t="n"/>
      <c r="T98" s="289" t="n"/>
      <c r="U98" s="289" t="n"/>
      <c r="V98" s="289" t="n"/>
      <c r="W98" s="53" t="n"/>
      <c r="X98" s="54" t="n"/>
      <c r="Y98" s="54" t="n"/>
      <c r="Z98" s="54" t="inlineStr">
        <is>
          <t>Standard</t>
        </is>
      </c>
      <c r="AA98" s="54" t="inlineStr">
        <is>
          <t>&gt;4</t>
        </is>
      </c>
    </row>
    <row r="99" ht="15" customHeight="1">
      <c r="A99" s="65" t="n"/>
      <c r="B99" s="327" t="inlineStr">
        <is>
          <t xml:space="preserve">In identifying and assessing risks of material misstatement at the assertion level for an accounting estimate and related disclosures, we must consider inherent risk and control risk separately. We must consider the factors of estimation uncertainty, complexity, subjectivity and other inherent risk factors when considering the level of inherent risk. The below sections will help to guide you in determining to what degree your accounting estimate is subject to these factors. You will then form an overall assessment of the inherent and control risks associated with your accounting estimate. </t>
        </is>
      </c>
      <c r="P99" s="194" t="n"/>
      <c r="Q99" s="149" t="n"/>
      <c r="R99" s="290" t="n"/>
      <c r="S99" s="291" t="n"/>
      <c r="T99" s="291" t="n"/>
      <c r="U99" s="291" t="n"/>
      <c r="V99" s="291" t="n"/>
      <c r="W99" s="82" t="n"/>
    </row>
    <row r="100" ht="15" customHeight="1">
      <c r="A100" s="65" t="n"/>
      <c r="B100" s="386" t="n"/>
      <c r="P100" s="194" t="n"/>
      <c r="Q100" s="149" t="n"/>
      <c r="R100" s="290" t="n"/>
      <c r="S100" s="291" t="n"/>
      <c r="T100" s="291" t="n"/>
      <c r="U100" s="291" t="n"/>
      <c r="V100" s="291" t="n"/>
      <c r="W100" s="82" t="n"/>
    </row>
    <row r="101" ht="15" customHeight="1">
      <c r="A101" s="65" t="n"/>
      <c r="B101" s="386" t="n"/>
      <c r="P101" s="194" t="n"/>
      <c r="Q101" s="149" t="n"/>
      <c r="R101" s="290" t="n"/>
      <c r="S101" s="291" t="n"/>
      <c r="T101" s="291" t="n"/>
      <c r="U101" s="291" t="n"/>
      <c r="V101" s="291" t="n"/>
      <c r="W101" s="82" t="n"/>
    </row>
    <row r="102" ht="15" customHeight="1" thickBot="1">
      <c r="A102" s="65" t="n"/>
      <c r="B102" s="386" t="n"/>
      <c r="P102" s="194" t="n"/>
      <c r="Q102" s="149" t="n"/>
      <c r="R102" s="290" t="n"/>
      <c r="S102" s="291" t="n"/>
      <c r="T102" s="291" t="n"/>
      <c r="U102" s="291" t="n"/>
      <c r="V102" s="291" t="n"/>
      <c r="W102" s="82" t="n"/>
      <c r="X102" s="83" t="inlineStr">
        <is>
          <t>Risk indicator level for dropdown menu (to be hidden)</t>
        </is>
      </c>
      <c r="Z102" s="83" t="inlineStr">
        <is>
          <t>Calculation based on answers</t>
        </is>
      </c>
    </row>
    <row r="103" ht="15" customHeight="1" thickBot="1">
      <c r="A103" s="65" t="n"/>
      <c r="B103" s="195" t="inlineStr">
        <is>
          <t>The degree to which the accounting estimate is subject to estimation uncertainty</t>
        </is>
      </c>
      <c r="C103" s="175" t="n"/>
      <c r="D103" s="196" t="n"/>
      <c r="E103" s="196" t="n"/>
      <c r="F103" s="196" t="n"/>
      <c r="G103" s="196" t="n"/>
      <c r="H103" s="196" t="n"/>
      <c r="I103" s="196" t="n"/>
      <c r="J103" s="197" t="inlineStr">
        <is>
          <t>User to select from the dropdown menu</t>
        </is>
      </c>
      <c r="K103" s="197" t="n"/>
      <c r="L103" s="198" t="inlineStr">
        <is>
          <t>Risk indicator:</t>
        </is>
      </c>
      <c r="M103" s="199" t="n"/>
      <c r="N103" s="301" t="inlineStr">
        <is>
          <t>Low</t>
        </is>
      </c>
      <c r="O103" s="176" t="n"/>
      <c r="P103" s="200" t="n"/>
      <c r="Q103" s="140" t="n"/>
      <c r="R103" s="292" t="n"/>
      <c r="S103" s="293" t="n"/>
      <c r="T103" s="293" t="n"/>
      <c r="U103" s="293" t="n"/>
      <c r="V103" s="293" t="n"/>
      <c r="W103" s="84" t="n"/>
      <c r="X103" s="79" t="inlineStr">
        <is>
          <t>Low</t>
        </is>
      </c>
      <c r="Z103" s="79" t="inlineStr">
        <is>
          <t>Estm uncert.</t>
        </is>
      </c>
      <c r="AA103" s="79">
        <f>IF($N$103="High",3,IF($N$103="Moderate",2,IF($N$103="Low",1,"")))</f>
        <v/>
      </c>
    </row>
    <row r="104" ht="15" customHeight="1">
      <c r="A104" s="65" t="n"/>
      <c r="B104" s="382" t="inlineStr">
        <is>
          <t>복구원가가 외부 견적서에 근거하고 금액이 소액이며 할인효과가 미미하여 측정의 추정불확실성이 낮음.</t>
        </is>
      </c>
      <c r="C104" s="374" t="n"/>
      <c r="D104" s="374" t="n"/>
      <c r="E104" s="374" t="n"/>
      <c r="F104" s="374" t="n"/>
      <c r="G104" s="374" t="n"/>
      <c r="H104" s="374" t="n"/>
      <c r="I104" s="374" t="n"/>
      <c r="J104" s="374" t="n"/>
      <c r="K104" s="374" t="n"/>
      <c r="L104" s="374" t="n"/>
      <c r="M104" s="374" t="n"/>
      <c r="N104" s="374" t="n"/>
      <c r="O104" s="374" t="n"/>
      <c r="P104" s="333" t="inlineStr">
        <is>
          <t>Link to guidance</t>
        </is>
      </c>
      <c r="Q104" s="150" t="n"/>
      <c r="R104" s="269" t="n"/>
      <c r="S104" s="294" t="n"/>
      <c r="T104" s="294" t="n"/>
      <c r="U104" s="295" t="n"/>
      <c r="V104" s="295" t="n"/>
      <c r="W104" s="85" t="n"/>
      <c r="X104" s="79" t="inlineStr">
        <is>
          <t>Moderate</t>
        </is>
      </c>
      <c r="Z104" s="79" t="inlineStr">
        <is>
          <t>Com</t>
        </is>
      </c>
      <c r="AA104" s="79">
        <f>IF($N$110="High",3,IF($N$110="Moderate",2,IF($N$110="Low",1,"")))</f>
        <v/>
      </c>
    </row>
    <row r="105" ht="15" customHeight="1">
      <c r="A105" s="65" t="n"/>
      <c r="B105" s="380" t="n"/>
      <c r="C105" s="374" t="n"/>
      <c r="D105" s="374" t="n"/>
      <c r="E105" s="374" t="n"/>
      <c r="F105" s="374" t="n"/>
      <c r="G105" s="374" t="n"/>
      <c r="H105" s="374" t="n"/>
      <c r="I105" s="374" t="n"/>
      <c r="J105" s="374" t="n"/>
      <c r="K105" s="374" t="n"/>
      <c r="L105" s="374" t="n"/>
      <c r="M105" s="374" t="n"/>
      <c r="N105" s="374" t="n"/>
      <c r="O105" s="374" t="n"/>
      <c r="P105" s="381" t="n"/>
      <c r="Q105" s="150" t="n"/>
      <c r="R105" s="278" t="n"/>
      <c r="S105" s="296" t="n"/>
      <c r="T105" s="296" t="n"/>
      <c r="U105" s="296" t="n"/>
      <c r="V105" s="296" t="n"/>
      <c r="W105" s="82" t="n"/>
      <c r="X105" s="79" t="inlineStr">
        <is>
          <t>High</t>
        </is>
      </c>
      <c r="Z105" s="79" t="inlineStr">
        <is>
          <t>Sub</t>
        </is>
      </c>
      <c r="AA105" s="79">
        <f>IF($N$115="High",3,IF($N$115="Moderate",2,IF($N$115="Low",1,"")))</f>
        <v/>
      </c>
    </row>
    <row r="106" ht="15" customHeight="1">
      <c r="A106" s="65" t="n"/>
      <c r="B106" s="380" t="n"/>
      <c r="C106" s="374" t="n"/>
      <c r="D106" s="374" t="n"/>
      <c r="E106" s="374" t="n"/>
      <c r="F106" s="374" t="n"/>
      <c r="G106" s="374" t="n"/>
      <c r="H106" s="374" t="n"/>
      <c r="I106" s="374" t="n"/>
      <c r="J106" s="374" t="n"/>
      <c r="K106" s="374" t="n"/>
      <c r="L106" s="374" t="n"/>
      <c r="M106" s="374" t="n"/>
      <c r="N106" s="374" t="n"/>
      <c r="O106" s="374" t="n"/>
      <c r="P106" s="201" t="n"/>
      <c r="Q106" s="150" t="n"/>
      <c r="R106" s="278" t="n"/>
      <c r="S106" s="296" t="n"/>
      <c r="T106" s="296" t="n"/>
      <c r="U106" s="296" t="n"/>
      <c r="V106" s="296" t="n"/>
      <c r="W106" s="82" t="n"/>
      <c r="AA106" s="86">
        <f>SUM(AA103:AA105)</f>
        <v/>
      </c>
    </row>
    <row r="107" ht="15" customHeight="1">
      <c r="A107" s="65" t="n"/>
      <c r="B107" s="380" t="n"/>
      <c r="C107" s="374" t="n"/>
      <c r="D107" s="374" t="n"/>
      <c r="E107" s="374" t="n"/>
      <c r="F107" s="374" t="n"/>
      <c r="G107" s="374" t="n"/>
      <c r="H107" s="374" t="n"/>
      <c r="I107" s="374" t="n"/>
      <c r="J107" s="374" t="n"/>
      <c r="K107" s="374" t="n"/>
      <c r="L107" s="374" t="n"/>
      <c r="M107" s="374" t="n"/>
      <c r="N107" s="374" t="n"/>
      <c r="O107" s="374" t="n"/>
      <c r="P107" s="201" t="n"/>
      <c r="Q107" s="150" t="n"/>
      <c r="R107" s="278" t="n"/>
      <c r="S107" s="296" t="n"/>
      <c r="T107" s="296" t="n"/>
      <c r="U107" s="296" t="n"/>
      <c r="V107" s="296" t="n"/>
      <c r="W107" s="82" t="n"/>
    </row>
    <row r="108" ht="15" customHeight="1">
      <c r="A108" s="65" t="n"/>
      <c r="B108" s="329" t="inlineStr">
        <is>
          <t>The degree to which the selection and application of the method, assumptions and data in making the accounting estimate, or the selection of management's point estimate and related disclosures are affected by:</t>
        </is>
      </c>
      <c r="P108" s="200" t="n"/>
      <c r="Q108" s="140" t="n"/>
      <c r="R108" s="292" t="n"/>
      <c r="S108" s="293" t="n"/>
      <c r="T108" s="293" t="n"/>
      <c r="U108" s="293" t="n"/>
      <c r="V108" s="293" t="n"/>
      <c r="W108" s="84" t="n"/>
    </row>
    <row r="109" ht="15.75" customHeight="1" thickBot="1">
      <c r="A109" s="65" t="n"/>
      <c r="B109" s="386" t="n"/>
      <c r="P109" s="200" t="n"/>
      <c r="Q109" s="140" t="n"/>
      <c r="R109" s="292" t="n"/>
      <c r="S109" s="293" t="n"/>
      <c r="T109" s="293" t="n"/>
      <c r="U109" s="293" t="n"/>
      <c r="V109" s="293" t="n"/>
      <c r="W109" s="84" t="n"/>
    </row>
    <row r="110" ht="15" customHeight="1" thickBot="1">
      <c r="A110" s="65" t="n"/>
      <c r="B110" s="195" t="inlineStr">
        <is>
          <t>Complexity</t>
        </is>
      </c>
      <c r="C110" s="175" t="n"/>
      <c r="D110" s="196" t="n"/>
      <c r="E110" s="196" t="n"/>
      <c r="F110" s="196" t="n"/>
      <c r="G110" s="196" t="n"/>
      <c r="H110" s="196" t="n"/>
      <c r="I110" s="196" t="n"/>
      <c r="J110" s="197" t="inlineStr">
        <is>
          <t>User to select from the dropdown menu</t>
        </is>
      </c>
      <c r="K110" s="197" t="n"/>
      <c r="L110" s="198" t="inlineStr">
        <is>
          <t>Risk indicator:</t>
        </is>
      </c>
      <c r="M110" s="199" t="n"/>
      <c r="N110" s="301" t="inlineStr">
        <is>
          <t>Low</t>
        </is>
      </c>
      <c r="O110" s="176" t="n"/>
      <c r="P110" s="200" t="n"/>
      <c r="Q110" s="140" t="n"/>
      <c r="R110" s="292" t="n"/>
      <c r="S110" s="293" t="n"/>
      <c r="T110" s="293" t="n"/>
      <c r="U110" s="293" t="n"/>
      <c r="V110" s="293" t="n"/>
      <c r="W110" s="84" t="n"/>
    </row>
    <row r="111" ht="15" customHeight="1">
      <c r="A111" s="65" t="n"/>
      <c r="B111" s="382" t="inlineStr">
        <is>
          <t>매장별 견적금액을 합산하는 단순한 방식으로 복잡한 모델이 개입하지 않아 복잡성이 낮음.</t>
        </is>
      </c>
      <c r="C111" s="374" t="n"/>
      <c r="D111" s="374" t="n"/>
      <c r="E111" s="374" t="n"/>
      <c r="F111" s="374" t="n"/>
      <c r="G111" s="374" t="n"/>
      <c r="H111" s="374" t="n"/>
      <c r="I111" s="374" t="n"/>
      <c r="J111" s="374" t="n"/>
      <c r="K111" s="374" t="n"/>
      <c r="L111" s="374" t="n"/>
      <c r="M111" s="374" t="n"/>
      <c r="N111" s="374" t="n"/>
      <c r="O111" s="374" t="n"/>
      <c r="P111" s="333" t="inlineStr">
        <is>
          <t>Link to guidance</t>
        </is>
      </c>
      <c r="Q111" s="150" t="n"/>
      <c r="R111" s="269" t="n"/>
      <c r="S111" s="294" t="n"/>
      <c r="T111" s="294" t="n"/>
      <c r="U111" s="295" t="n"/>
      <c r="V111" s="295" t="n"/>
      <c r="W111" s="85" t="n"/>
    </row>
    <row r="112" ht="15" customHeight="1">
      <c r="A112" s="65" t="n"/>
      <c r="B112" s="380" t="n"/>
      <c r="C112" s="374" t="n"/>
      <c r="D112" s="374" t="n"/>
      <c r="E112" s="374" t="n"/>
      <c r="F112" s="374" t="n"/>
      <c r="G112" s="374" t="n"/>
      <c r="H112" s="374" t="n"/>
      <c r="I112" s="374" t="n"/>
      <c r="J112" s="374" t="n"/>
      <c r="K112" s="374" t="n"/>
      <c r="L112" s="374" t="n"/>
      <c r="M112" s="374" t="n"/>
      <c r="N112" s="374" t="n"/>
      <c r="O112" s="374" t="n"/>
      <c r="P112" s="381" t="n"/>
      <c r="Q112" s="150" t="n"/>
      <c r="R112" s="278" t="n"/>
      <c r="S112" s="296" t="n"/>
      <c r="T112" s="296" t="n"/>
      <c r="U112" s="296" t="n"/>
      <c r="V112" s="296" t="n"/>
      <c r="W112" s="82" t="n"/>
    </row>
    <row r="113" ht="15" customHeight="1">
      <c r="A113" s="65" t="n"/>
      <c r="B113" s="380" t="n"/>
      <c r="C113" s="374" t="n"/>
      <c r="D113" s="374" t="n"/>
      <c r="E113" s="374" t="n"/>
      <c r="F113" s="374" t="n"/>
      <c r="G113" s="374" t="n"/>
      <c r="H113" s="374" t="n"/>
      <c r="I113" s="374" t="n"/>
      <c r="J113" s="374" t="n"/>
      <c r="K113" s="374" t="n"/>
      <c r="L113" s="374" t="n"/>
      <c r="M113" s="374" t="n"/>
      <c r="N113" s="374" t="n"/>
      <c r="O113" s="374" t="n"/>
      <c r="P113" s="201" t="n"/>
      <c r="Q113" s="150" t="n"/>
      <c r="R113" s="278" t="n"/>
      <c r="S113" s="296" t="n"/>
      <c r="T113" s="296" t="n"/>
      <c r="U113" s="296" t="n"/>
      <c r="V113" s="296" t="n"/>
      <c r="W113" s="82" t="n"/>
    </row>
    <row r="114" ht="15" customHeight="1" thickBot="1">
      <c r="A114" s="65" t="n"/>
      <c r="B114" s="380" t="n"/>
      <c r="C114" s="374" t="n"/>
      <c r="D114" s="374" t="n"/>
      <c r="E114" s="374" t="n"/>
      <c r="F114" s="374" t="n"/>
      <c r="G114" s="374" t="n"/>
      <c r="H114" s="374" t="n"/>
      <c r="I114" s="374" t="n"/>
      <c r="J114" s="374" t="n"/>
      <c r="K114" s="374" t="n"/>
      <c r="L114" s="374" t="n"/>
      <c r="M114" s="374" t="n"/>
      <c r="N114" s="374" t="n"/>
      <c r="O114" s="374" t="n"/>
      <c r="P114" s="201" t="n"/>
      <c r="Q114" s="150" t="n"/>
      <c r="R114" s="278" t="n"/>
      <c r="S114" s="296" t="n"/>
      <c r="T114" s="296" t="n"/>
      <c r="U114" s="296" t="n"/>
      <c r="V114" s="296" t="n"/>
      <c r="W114" s="82" t="n"/>
    </row>
    <row r="115" ht="15" customHeight="1" thickBot="1">
      <c r="A115" s="65" t="n"/>
      <c r="B115" s="195" t="inlineStr">
        <is>
          <t>Subjectivity</t>
        </is>
      </c>
      <c r="C115" s="175" t="n"/>
      <c r="D115" s="196" t="n"/>
      <c r="E115" s="196" t="n"/>
      <c r="F115" s="196" t="n"/>
      <c r="G115" s="196" t="n"/>
      <c r="H115" s="196" t="n"/>
      <c r="I115" s="196" t="n"/>
      <c r="J115" s="197" t="inlineStr">
        <is>
          <t>User to select from the dropdown menu</t>
        </is>
      </c>
      <c r="K115" s="197" t="n"/>
      <c r="L115" s="198" t="inlineStr">
        <is>
          <t>Risk indicator:</t>
        </is>
      </c>
      <c r="M115" s="199" t="n"/>
      <c r="N115" s="301" t="inlineStr">
        <is>
          <t>Low</t>
        </is>
      </c>
      <c r="O115" s="176" t="n"/>
      <c r="P115" s="200" t="n"/>
      <c r="Q115" s="140" t="n"/>
      <c r="R115" s="292" t="n"/>
      <c r="S115" s="293" t="n"/>
      <c r="T115" s="293" t="n"/>
      <c r="U115" s="293" t="n"/>
      <c r="V115" s="293" t="n"/>
      <c r="W115" s="84" t="n"/>
    </row>
    <row r="116" ht="15" customFormat="1" customHeight="1" s="65">
      <c r="B116" s="382" t="inlineStr">
        <is>
          <t>복구의무 대상 매장의 범위 판단에 일부 판단이 개입되나, 직영점 대상이라는 일관된 정책과 견적서 근거로 주관성은 낮음.</t>
        </is>
      </c>
      <c r="C116" s="374" t="n"/>
      <c r="D116" s="374" t="n"/>
      <c r="E116" s="374" t="n"/>
      <c r="F116" s="374" t="n"/>
      <c r="G116" s="374" t="n"/>
      <c r="H116" s="374" t="n"/>
      <c r="I116" s="374" t="n"/>
      <c r="J116" s="374" t="n"/>
      <c r="K116" s="374" t="n"/>
      <c r="L116" s="374" t="n"/>
      <c r="M116" s="374" t="n"/>
      <c r="N116" s="374" t="n"/>
      <c r="O116" s="374" t="n"/>
      <c r="P116" s="333" t="inlineStr">
        <is>
          <t>Link to guidance</t>
        </is>
      </c>
      <c r="Q116" s="150" t="n"/>
      <c r="R116" s="269" t="n"/>
      <c r="S116" s="270" t="n"/>
      <c r="T116" s="270" t="n"/>
      <c r="U116" s="271" t="n"/>
      <c r="V116" s="271" t="n"/>
      <c r="W116" s="132" t="n"/>
    </row>
    <row r="117" ht="15" customFormat="1" customHeight="1" s="65">
      <c r="B117" s="380" t="n"/>
      <c r="C117" s="374" t="n"/>
      <c r="D117" s="374" t="n"/>
      <c r="E117" s="374" t="n"/>
      <c r="F117" s="374" t="n"/>
      <c r="G117" s="374" t="n"/>
      <c r="H117" s="374" t="n"/>
      <c r="I117" s="374" t="n"/>
      <c r="J117" s="374" t="n"/>
      <c r="K117" s="374" t="n"/>
      <c r="L117" s="374" t="n"/>
      <c r="M117" s="374" t="n"/>
      <c r="N117" s="374" t="n"/>
      <c r="O117" s="374" t="n"/>
      <c r="P117" s="381" t="n"/>
      <c r="Q117" s="150" t="n"/>
      <c r="R117" s="269" t="n"/>
      <c r="S117" s="270" t="n"/>
      <c r="T117" s="270" t="n"/>
      <c r="U117" s="271" t="n"/>
      <c r="V117" s="271" t="n"/>
      <c r="W117" s="132" t="n"/>
      <c r="X117" s="151" t="inlineStr">
        <is>
          <t>Inherent risk level for dropdown menu (to be hidden)</t>
        </is>
      </c>
    </row>
    <row r="118" customFormat="1" s="65">
      <c r="B118" s="380" t="n"/>
      <c r="C118" s="374" t="n"/>
      <c r="D118" s="374" t="n"/>
      <c r="E118" s="374" t="n"/>
      <c r="F118" s="374" t="n"/>
      <c r="G118" s="374" t="n"/>
      <c r="H118" s="374" t="n"/>
      <c r="I118" s="374" t="n"/>
      <c r="J118" s="374" t="n"/>
      <c r="K118" s="374" t="n"/>
      <c r="L118" s="374" t="n"/>
      <c r="M118" s="374" t="n"/>
      <c r="N118" s="374" t="n"/>
      <c r="O118" s="374" t="n"/>
      <c r="P118" s="201" t="n"/>
      <c r="Q118" s="150" t="n"/>
      <c r="R118" s="278" t="n"/>
      <c r="S118" s="296" t="n"/>
      <c r="T118" s="296" t="n"/>
      <c r="U118" s="296" t="n"/>
      <c r="V118" s="296" t="n"/>
      <c r="W118" s="152" t="n"/>
      <c r="X118" s="65" t="inlineStr">
        <is>
          <t>Standard</t>
        </is>
      </c>
    </row>
    <row r="119" customFormat="1" s="65">
      <c r="B119" s="380" t="n"/>
      <c r="C119" s="374" t="n"/>
      <c r="D119" s="374" t="n"/>
      <c r="E119" s="374" t="n"/>
      <c r="F119" s="374" t="n"/>
      <c r="G119" s="374" t="n"/>
      <c r="H119" s="374" t="n"/>
      <c r="I119" s="374" t="n"/>
      <c r="J119" s="374" t="n"/>
      <c r="K119" s="374" t="n"/>
      <c r="L119" s="374" t="n"/>
      <c r="M119" s="374" t="n"/>
      <c r="N119" s="374" t="n"/>
      <c r="O119" s="374" t="n"/>
      <c r="P119" s="201" t="n"/>
      <c r="Q119" s="150" t="n"/>
      <c r="R119" s="278" t="n"/>
      <c r="S119" s="296" t="n"/>
      <c r="T119" s="296" t="n"/>
      <c r="U119" s="296" t="n"/>
      <c r="V119" s="296" t="n"/>
      <c r="W119" s="152" t="n"/>
      <c r="X119" s="65" t="inlineStr">
        <is>
          <t>Enhanced</t>
        </is>
      </c>
    </row>
    <row r="120" ht="21.95" customFormat="1" customHeight="1" s="65">
      <c r="B120" s="341" t="inlineStr">
        <is>
          <t>Overall conclusion on inherent risk on the accounting estimate:</t>
        </is>
      </c>
      <c r="L120" s="202" t="n"/>
      <c r="M120" s="202" t="n"/>
      <c r="N120" s="202" t="n"/>
      <c r="O120" s="202" t="n"/>
      <c r="P120" s="333" t="inlineStr">
        <is>
          <t>Link to guidance</t>
        </is>
      </c>
      <c r="Q120" s="140" t="n"/>
      <c r="R120" s="292" t="n"/>
      <c r="S120" s="293" t="n"/>
      <c r="T120" s="293" t="n"/>
      <c r="U120" s="293" t="n"/>
      <c r="V120" s="293" t="n"/>
      <c r="W120" s="153" t="n"/>
      <c r="X120" s="65" t="inlineStr">
        <is>
          <t>Significant</t>
        </is>
      </c>
    </row>
    <row r="121" ht="15" customFormat="1" customHeight="1" s="65">
      <c r="B121" s="203" t="inlineStr">
        <is>
          <t>The suggested calculated level of inherent risk associated with this accounting estimate is:</t>
        </is>
      </c>
      <c r="C121" s="204" t="n"/>
      <c r="D121" s="204" t="n"/>
      <c r="E121" s="204" t="n"/>
      <c r="F121" s="204" t="n"/>
      <c r="G121" s="204" t="n"/>
      <c r="H121" s="204" t="n"/>
      <c r="I121" s="204" t="n"/>
      <c r="J121" s="204" t="n"/>
      <c r="K121" s="68" t="n"/>
      <c r="L121" s="180">
        <f>IF(AA106&gt;6,"Significant",IF(AA106=6,"Enhanced",IF(AA106=5,"Enhanced",IF(AA106=3,"Standard",IF(AA106=4,"Enhanced","")))))</f>
        <v/>
      </c>
      <c r="M121" s="197" t="inlineStr">
        <is>
          <t>Calculation is based on the 3 answers above</t>
        </is>
      </c>
      <c r="N121" s="197" t="n"/>
      <c r="O121" s="197" t="n"/>
      <c r="P121" s="381" t="n"/>
      <c r="Q121" s="140" t="n"/>
      <c r="R121" s="269" t="n"/>
      <c r="S121" s="270" t="n"/>
      <c r="T121" s="270" t="n"/>
      <c r="U121" s="271" t="n"/>
      <c r="V121" s="271" t="n"/>
      <c r="W121" s="132" t="n"/>
    </row>
    <row r="122" ht="15" customFormat="1" customHeight="1" s="65">
      <c r="B122" s="339" t="inlineStr">
        <is>
          <t>Other inherent risk factors</t>
        </is>
      </c>
      <c r="P122" s="200" t="n"/>
      <c r="Q122" s="140" t="n"/>
      <c r="R122" s="292" t="n"/>
      <c r="S122" s="293" t="n"/>
      <c r="T122" s="293" t="n"/>
      <c r="U122" s="293" t="n"/>
      <c r="V122" s="293" t="n"/>
      <c r="W122" s="153" t="n"/>
    </row>
    <row r="123" ht="15" customFormat="1" customHeight="1" s="65">
      <c r="B123" s="382" t="inlineStr">
        <is>
          <t>백화점·아울렛·면세점 등을 복구충당부채 대상에서 제외하는 정책이 업계 관행 및 임대차계약 조건에 근거하는지 검토함. 일관된 정책 적용과 견적서 근거를 고려할 때 경영진 편의의 징후는 없는 것으로 판단함.</t>
        </is>
      </c>
      <c r="C123" s="374" t="n"/>
      <c r="D123" s="374" t="n"/>
      <c r="E123" s="374" t="n"/>
      <c r="F123" s="374" t="n"/>
      <c r="G123" s="374" t="n"/>
      <c r="H123" s="374" t="n"/>
      <c r="I123" s="374" t="n"/>
      <c r="J123" s="374" t="n"/>
      <c r="K123" s="374" t="n"/>
      <c r="L123" s="374" t="n"/>
      <c r="M123" s="374" t="n"/>
      <c r="N123" s="374" t="n"/>
      <c r="O123" s="374" t="n"/>
      <c r="P123" s="333" t="inlineStr">
        <is>
          <t>Link to guidance</t>
        </is>
      </c>
      <c r="Q123" s="140" t="n"/>
      <c r="R123" s="355" t="inlineStr">
        <is>
          <t xml:space="preserve">The auditor's selected level of inherent risk for the accounting estimate should be reflected in Atlas within the node 'Determine preliminary RMM for assertions'. Please note that this template only deals with the accounting estimate, and therefore there may be other factors which drive the inherent risk level for the overall assertion. The inherent risk level for the assertion may the same or a higher level of inherent risk as this template. </t>
        </is>
      </c>
      <c r="W123" s="132" t="n"/>
    </row>
    <row r="124" ht="15" customFormat="1" customHeight="1" s="65">
      <c r="B124" s="380" t="n"/>
      <c r="C124" s="374" t="n"/>
      <c r="D124" s="374" t="n"/>
      <c r="E124" s="374" t="n"/>
      <c r="F124" s="374" t="n"/>
      <c r="G124" s="374" t="n"/>
      <c r="H124" s="374" t="n"/>
      <c r="I124" s="374" t="n"/>
      <c r="J124" s="374" t="n"/>
      <c r="K124" s="374" t="n"/>
      <c r="L124" s="374" t="n"/>
      <c r="M124" s="374" t="n"/>
      <c r="N124" s="374" t="n"/>
      <c r="O124" s="374" t="n"/>
      <c r="P124" s="381" t="n"/>
      <c r="Q124" s="140" t="n"/>
      <c r="W124" s="132" t="n"/>
    </row>
    <row r="125" ht="15" customFormat="1" customHeight="1" s="65" thickBot="1">
      <c r="B125" s="380" t="n"/>
      <c r="C125" s="374" t="n"/>
      <c r="D125" s="374" t="n"/>
      <c r="E125" s="374" t="n"/>
      <c r="F125" s="374" t="n"/>
      <c r="G125" s="374" t="n"/>
      <c r="H125" s="374" t="n"/>
      <c r="I125" s="374" t="n"/>
      <c r="J125" s="374" t="n"/>
      <c r="K125" s="374" t="n"/>
      <c r="L125" s="374" t="n"/>
      <c r="M125" s="374" t="n"/>
      <c r="N125" s="374" t="n"/>
      <c r="O125" s="374" t="n"/>
      <c r="P125" s="200" t="n"/>
      <c r="Q125" s="140" t="n"/>
      <c r="W125" s="153" t="n"/>
    </row>
    <row r="126" ht="16.5" customFormat="1" customHeight="1" s="65" thickBot="1">
      <c r="B126" s="205" t="inlineStr">
        <is>
          <t>Auditor's selected level of inherent risk associated with this accounting estimate is:</t>
        </is>
      </c>
      <c r="C126" s="206" t="n"/>
      <c r="D126" s="206" t="n"/>
      <c r="E126" s="206" t="n"/>
      <c r="F126" s="206" t="n"/>
      <c r="G126" s="206" t="n"/>
      <c r="H126" s="206" t="n"/>
      <c r="I126" s="206" t="n"/>
      <c r="J126" s="206" t="n"/>
      <c r="K126" s="68" t="n"/>
      <c r="L126" s="301" t="inlineStr">
        <is>
          <t>Standard</t>
        </is>
      </c>
      <c r="M126" s="197" t="inlineStr">
        <is>
          <t>User should select from the dropdown menu.</t>
        </is>
      </c>
      <c r="N126" s="206" t="n"/>
      <c r="O126" s="206" t="n"/>
      <c r="P126" s="333" t="inlineStr">
        <is>
          <t>Link to guidance</t>
        </is>
      </c>
      <c r="Q126" s="149" t="n"/>
      <c r="W126" s="132" t="n"/>
    </row>
    <row r="127" ht="18.75" customFormat="1" customHeight="1" s="65">
      <c r="B127" s="339" t="inlineStr">
        <is>
          <t>The reason for the auditor's selected level of inherent risk is due to (Mandatory to explain if there is a departure from the suggested level of inherent risk):</t>
        </is>
      </c>
      <c r="P127" s="381" t="n"/>
      <c r="Q127" s="140" t="n"/>
      <c r="W127" s="132" t="n"/>
    </row>
    <row r="128" ht="15" customFormat="1" customHeight="1" s="65">
      <c r="B128" s="387" t="inlineStr">
        <is>
          <t>복구원가가 견적서에 근거하고 금액이 소액이며 할인효과가 미미하여 추정불확실성·복잡성·주관성이 모두 낮으므로 고유위험을 표준(Standard)으로 선택함(제안 수준과 동일).</t>
        </is>
      </c>
      <c r="C128" s="374" t="n"/>
      <c r="D128" s="374" t="n"/>
      <c r="E128" s="374" t="n"/>
      <c r="F128" s="374" t="n"/>
      <c r="G128" s="374" t="n"/>
      <c r="H128" s="374" t="n"/>
      <c r="I128" s="374" t="n"/>
      <c r="J128" s="374" t="n"/>
      <c r="K128" s="374" t="n"/>
      <c r="L128" s="374" t="n"/>
      <c r="M128" s="374" t="n"/>
      <c r="N128" s="374" t="n"/>
      <c r="O128" s="374" t="n"/>
      <c r="P128" s="333" t="inlineStr">
        <is>
          <t>Link to guidance</t>
        </is>
      </c>
      <c r="Q128" s="140" t="n"/>
      <c r="W128" s="132" t="n"/>
    </row>
    <row r="129" ht="15" customFormat="1" customHeight="1" s="65">
      <c r="B129" s="380" t="n"/>
      <c r="C129" s="374" t="n"/>
      <c r="D129" s="374" t="n"/>
      <c r="E129" s="374" t="n"/>
      <c r="F129" s="374" t="n"/>
      <c r="G129" s="374" t="n"/>
      <c r="H129" s="374" t="n"/>
      <c r="I129" s="374" t="n"/>
      <c r="J129" s="374" t="n"/>
      <c r="K129" s="374" t="n"/>
      <c r="L129" s="374" t="n"/>
      <c r="M129" s="374" t="n"/>
      <c r="N129" s="374" t="n"/>
      <c r="O129" s="374" t="n"/>
      <c r="P129" s="381" t="n"/>
      <c r="Q129" s="140" t="n"/>
      <c r="W129" s="153" t="n"/>
    </row>
    <row r="130" ht="15" customFormat="1" customHeight="1" s="65" thickBot="1">
      <c r="B130" s="388" t="n"/>
      <c r="C130" s="389" t="n"/>
      <c r="D130" s="389" t="n"/>
      <c r="E130" s="389" t="n"/>
      <c r="F130" s="389" t="n"/>
      <c r="G130" s="389" t="n"/>
      <c r="H130" s="389" t="n"/>
      <c r="I130" s="389" t="n"/>
      <c r="J130" s="389" t="n"/>
      <c r="K130" s="389" t="n"/>
      <c r="L130" s="389" t="n"/>
      <c r="M130" s="389" t="n"/>
      <c r="N130" s="389" t="n"/>
      <c r="O130" s="389" t="n"/>
      <c r="P130" s="207" t="n"/>
      <c r="Q130" s="140" t="n"/>
      <c r="W130" s="153" t="n"/>
    </row>
    <row r="131" ht="15" customFormat="1" customHeight="1" s="55">
      <c r="B131" s="166" t="n"/>
      <c r="C131" s="166" t="n"/>
      <c r="D131" s="166" t="n"/>
      <c r="E131" s="166" t="n"/>
      <c r="F131" s="166" t="n"/>
      <c r="G131" s="166" t="n"/>
      <c r="H131" s="166" t="n"/>
      <c r="I131" s="166" t="n"/>
      <c r="J131" s="166" t="n"/>
      <c r="K131" s="166" t="n"/>
      <c r="L131" s="166" t="n"/>
      <c r="M131" s="166" t="n"/>
      <c r="N131" s="166" t="n"/>
      <c r="O131" s="166" t="n"/>
      <c r="P131" s="167" t="n"/>
      <c r="Q131" s="16" t="n"/>
      <c r="W131" s="63" t="n"/>
    </row>
    <row r="132" ht="24.75" customFormat="1" customHeight="1" s="55" thickBot="1">
      <c r="B132" s="168" t="n"/>
      <c r="C132" s="11" t="n"/>
      <c r="D132" s="11" t="n"/>
      <c r="E132" s="11" t="n"/>
      <c r="F132" s="11" t="n"/>
      <c r="G132" s="11" t="n"/>
      <c r="H132" s="11" t="n"/>
      <c r="I132" s="11" t="n"/>
      <c r="J132" s="11" t="n"/>
      <c r="K132" s="11" t="n"/>
      <c r="L132" s="11" t="n"/>
      <c r="M132" s="11" t="n"/>
      <c r="N132" s="11" t="n"/>
      <c r="O132" s="11" t="n"/>
      <c r="P132" s="169" t="n"/>
      <c r="Q132" s="11" t="n"/>
      <c r="R132" s="280" t="n"/>
      <c r="S132" s="281" t="n"/>
      <c r="T132" s="281" t="n"/>
      <c r="U132" s="281" t="n"/>
      <c r="V132" s="281" t="n"/>
      <c r="W132" s="53" t="n"/>
    </row>
    <row r="133" ht="33" customFormat="1" customHeight="1" s="65">
      <c r="B133" s="181" t="inlineStr">
        <is>
          <t>Control risk assessment</t>
        </is>
      </c>
      <c r="C133" s="182" t="n"/>
      <c r="D133" s="182" t="n"/>
      <c r="E133" s="182" t="n"/>
      <c r="F133" s="182" t="n"/>
      <c r="G133" s="182" t="n"/>
      <c r="H133" s="182" t="n"/>
      <c r="I133" s="182" t="n"/>
      <c r="J133" s="182" t="n"/>
      <c r="K133" s="182" t="n"/>
      <c r="L133" s="182" t="n"/>
      <c r="M133" s="182" t="n"/>
      <c r="N133" s="182" t="n"/>
      <c r="O133" s="182" t="n"/>
      <c r="P133" s="183" t="n"/>
      <c r="Q133" s="143" t="n"/>
      <c r="R133" s="280" t="n"/>
      <c r="S133" s="281" t="n"/>
      <c r="T133" s="281" t="n"/>
      <c r="U133" s="281" t="n"/>
      <c r="V133" s="281" t="n"/>
      <c r="W133" s="64" t="n"/>
    </row>
    <row r="134" customFormat="1" s="65">
      <c r="B134" s="184" t="inlineStr">
        <is>
          <t>Control Risk [ISA (revised) 540.16 and 17]</t>
        </is>
      </c>
      <c r="C134" s="71" t="n"/>
      <c r="D134" s="71" t="n"/>
      <c r="E134" s="71" t="n"/>
      <c r="F134" s="71" t="n"/>
      <c r="G134" s="71" t="n"/>
      <c r="H134" s="71" t="n"/>
      <c r="I134" s="174" t="n"/>
      <c r="J134" s="174" t="n"/>
      <c r="K134" s="174" t="n"/>
      <c r="L134" s="174" t="n"/>
      <c r="M134" s="174" t="n"/>
      <c r="N134" s="174" t="n"/>
      <c r="O134" s="71" t="n"/>
      <c r="P134" s="185" t="n"/>
      <c r="Q134" s="143" t="n"/>
      <c r="R134" s="280" t="n"/>
      <c r="S134" s="281" t="n"/>
      <c r="T134" s="281" t="n"/>
      <c r="U134" s="281" t="n"/>
      <c r="V134" s="281" t="n"/>
      <c r="W134" s="64" t="n"/>
    </row>
    <row r="135" ht="15" customFormat="1" customHeight="1" s="65">
      <c r="B135" s="186" t="inlineStr">
        <is>
          <t>Controls associated with accounting estimates</t>
        </is>
      </c>
      <c r="C135" s="71" t="n"/>
      <c r="D135" s="71" t="n"/>
      <c r="E135" s="71" t="n"/>
      <c r="F135" s="71" t="n"/>
      <c r="G135" s="71" t="n"/>
      <c r="H135" s="174" t="n"/>
      <c r="I135" s="174" t="n"/>
      <c r="J135" s="174" t="n"/>
      <c r="K135" s="174" t="n"/>
      <c r="L135" s="174" t="n"/>
      <c r="M135" s="174" t="n"/>
      <c r="N135" s="174" t="n"/>
      <c r="O135" s="174" t="n"/>
      <c r="P135" s="187" t="n"/>
      <c r="Q135" s="143" t="n"/>
      <c r="R135" s="280" t="n"/>
      <c r="S135" s="281" t="n"/>
      <c r="T135" s="281" t="n"/>
      <c r="U135" s="281" t="n"/>
      <c r="V135" s="281" t="n"/>
      <c r="W135" s="64" t="n"/>
    </row>
    <row r="136" customFormat="1" s="65">
      <c r="B136" s="186" t="inlineStr">
        <is>
          <t>THIS INFORMATION IS COPIED FROM CELLS ABOVE</t>
        </is>
      </c>
      <c r="C136" s="71" t="n"/>
      <c r="D136" s="71" t="n"/>
      <c r="E136" s="71" t="n"/>
      <c r="F136" s="71" t="n"/>
      <c r="G136" s="71" t="n"/>
      <c r="H136" s="174" t="n"/>
      <c r="I136" s="174" t="n"/>
      <c r="J136" s="174" t="n"/>
      <c r="K136" s="174" t="n"/>
      <c r="L136" s="174" t="n"/>
      <c r="M136" s="174" t="n"/>
      <c r="N136" s="174" t="n"/>
      <c r="O136" s="174" t="n"/>
      <c r="P136" s="187" t="n"/>
      <c r="Q136" s="143" t="n"/>
      <c r="R136" s="280" t="n"/>
      <c r="S136" s="281" t="n"/>
      <c r="T136" s="281" t="n"/>
      <c r="U136" s="281" t="n"/>
      <c r="V136" s="281" t="n"/>
      <c r="W136" s="64" t="n"/>
    </row>
    <row r="137" ht="15" customFormat="1" customHeight="1" s="65">
      <c r="B137" s="335">
        <f>B45</f>
        <v/>
      </c>
      <c r="P137" s="188" t="n"/>
      <c r="Q137" s="143" t="n"/>
      <c r="R137" s="355" t="inlineStr">
        <is>
          <t xml:space="preserve">Please ensure that the controls identified here are copied into Atlas on the node 'Identify controls that address WCGW's and relate them to the WCGW's' </t>
        </is>
      </c>
      <c r="W137" s="64" t="n"/>
    </row>
    <row r="138" ht="15.75" customFormat="1" customHeight="1" s="65">
      <c r="B138" s="386" t="n"/>
      <c r="P138" s="188" t="n"/>
      <c r="Q138" s="143" t="n"/>
      <c r="W138" s="64" t="n"/>
      <c r="X138" s="151" t="inlineStr">
        <is>
          <t>TOE performed dropdown menu (to be hidden)</t>
        </is>
      </c>
    </row>
    <row r="139" ht="15.75" customFormat="1" customHeight="1" s="65" thickBot="1">
      <c r="B139" s="386" t="n"/>
      <c r="P139" s="333" t="inlineStr">
        <is>
          <t>Link to guidance</t>
        </is>
      </c>
      <c r="Q139" s="143" t="n"/>
      <c r="W139" s="64" t="n"/>
      <c r="X139" s="65" t="inlineStr">
        <is>
          <t>Yes</t>
        </is>
      </c>
    </row>
    <row r="140" ht="16.5" customFormat="1" customHeight="1" s="65" thickBot="1">
      <c r="B140" s="186" t="inlineStr">
        <is>
          <t>Will we rely on the control(s) operating effectively?</t>
        </is>
      </c>
      <c r="C140" s="175" t="n"/>
      <c r="D140" s="175" t="n"/>
      <c r="E140" s="175" t="n"/>
      <c r="F140" s="175" t="n"/>
      <c r="G140" s="176" t="n"/>
      <c r="H140" s="301" t="inlineStr">
        <is>
          <t>No</t>
        </is>
      </c>
      <c r="I140" s="177" t="inlineStr">
        <is>
          <t>User to select from dropdown menu</t>
        </is>
      </c>
      <c r="J140" s="176" t="n"/>
      <c r="K140" s="176" t="n"/>
      <c r="L140" s="178" t="n"/>
      <c r="M140" s="178" t="n"/>
      <c r="N140" s="178" t="n"/>
      <c r="O140" s="178" t="n"/>
      <c r="P140" s="381" t="n"/>
      <c r="Q140" s="140" t="n"/>
      <c r="R140" s="343" t="inlineStr">
        <is>
          <t>Our response should be copied into the node 'Document our understanding of and planned approach for the identified controls'</t>
        </is>
      </c>
      <c r="W140" s="153" t="n"/>
      <c r="X140" s="65" t="inlineStr">
        <is>
          <t>No</t>
        </is>
      </c>
    </row>
    <row r="141" customFormat="1" s="65">
      <c r="B141" s="189" t="inlineStr">
        <is>
          <t>Planned control reliance:</t>
        </is>
      </c>
      <c r="C141" s="179" t="n"/>
      <c r="D141" s="68" t="n"/>
      <c r="E141" s="180">
        <f>IF(H140="Yes","High reliance",IF(H140="No","No reliance",""))</f>
        <v/>
      </c>
      <c r="F141" s="173" t="inlineStr">
        <is>
          <t xml:space="preserve">Please note this is the inverse of the control risk. </t>
        </is>
      </c>
      <c r="G141" s="68" t="n"/>
      <c r="H141" s="68" t="n"/>
      <c r="I141" s="68" t="n"/>
      <c r="J141" s="68" t="n"/>
      <c r="K141" s="68" t="n"/>
      <c r="L141" s="66" t="n"/>
      <c r="M141" s="66" t="n"/>
      <c r="N141" s="66" t="n"/>
      <c r="O141" s="66" t="n"/>
      <c r="P141" s="347" t="inlineStr">
        <is>
          <t>Link to guidance</t>
        </is>
      </c>
      <c r="Q141" s="19" t="n"/>
      <c r="R141" s="297" t="n"/>
      <c r="S141" s="270" t="n"/>
      <c r="T141" s="270" t="n"/>
      <c r="U141" s="271" t="n"/>
      <c r="V141" s="271" t="n"/>
      <c r="W141" s="64" t="n"/>
    </row>
    <row r="142" customFormat="1" s="65">
      <c r="B142" s="189" t="inlineStr">
        <is>
          <t>Planned control risk:</t>
        </is>
      </c>
      <c r="C142" s="179" t="n"/>
      <c r="D142" s="68" t="n"/>
      <c r="E142" s="180">
        <f>IF(E141="High reliance","Low",IF(E141="No reliance","High",""))</f>
        <v/>
      </c>
      <c r="F142" s="173" t="n"/>
      <c r="G142" s="68" t="n"/>
      <c r="H142" s="68" t="n"/>
      <c r="I142" s="68" t="n"/>
      <c r="J142" s="68" t="n"/>
      <c r="K142" s="68" t="n"/>
      <c r="L142" s="66" t="n"/>
      <c r="M142" s="66" t="n"/>
      <c r="N142" s="66" t="n"/>
      <c r="O142" s="66" t="n"/>
      <c r="P142" s="381" t="n"/>
      <c r="Q142" s="19" t="n"/>
      <c r="R142" s="300" t="inlineStr">
        <is>
          <t>This will display in the node 'Audit strategy overview'</t>
        </is>
      </c>
      <c r="S142" s="344" t="n"/>
      <c r="T142" s="344" t="n"/>
      <c r="U142" s="344" t="n"/>
      <c r="V142" s="344" t="n"/>
      <c r="W142" s="64" t="n"/>
    </row>
    <row r="143" ht="15.75" customFormat="1" customHeight="1" s="65">
      <c r="B143" s="190" t="inlineStr">
        <is>
          <t>Reason for assessment of control reliance:</t>
        </is>
      </c>
      <c r="C143" s="171" t="n"/>
      <c r="D143" s="171" t="n"/>
      <c r="E143" s="171" t="n"/>
      <c r="F143" s="171" t="n"/>
      <c r="G143" s="171" t="n"/>
      <c r="H143" s="171" t="n"/>
      <c r="I143" s="171" t="n"/>
      <c r="J143" s="171" t="n"/>
      <c r="K143" s="171" t="n"/>
      <c r="L143" s="172" t="n"/>
      <c r="M143" s="172" t="n"/>
      <c r="N143" s="172" t="n"/>
      <c r="O143" s="172" t="n"/>
      <c r="P143" s="381" t="n"/>
      <c r="Q143" s="154" t="n"/>
      <c r="R143" s="298" t="n"/>
      <c r="S143" s="344" t="n"/>
      <c r="T143" s="344" t="n"/>
      <c r="U143" s="344" t="n"/>
      <c r="V143" s="344" t="n"/>
      <c r="W143" s="155" t="n"/>
      <c r="X143" s="151" t="inlineStr">
        <is>
          <t>Planned control reliance dropdown menu (to be hidden)</t>
        </is>
      </c>
    </row>
    <row r="144" ht="15" customFormat="1" customHeight="1" s="65">
      <c r="B144" s="387" t="inlineStr">
        <is>
          <t>명세 대사(견적서 대 BS), 복구의무 완전성 검토 등 실증절차만으로 충분하고 적합한 감사증거를 확보할 수 있어 통제 운영효과성에 의존하지 않음.</t>
        </is>
      </c>
      <c r="C144" s="374" t="n"/>
      <c r="D144" s="374" t="n"/>
      <c r="E144" s="374" t="n"/>
      <c r="F144" s="374" t="n"/>
      <c r="G144" s="374" t="n"/>
      <c r="H144" s="374" t="n"/>
      <c r="I144" s="374" t="n"/>
      <c r="J144" s="374" t="n"/>
      <c r="K144" s="374" t="n"/>
      <c r="L144" s="374" t="n"/>
      <c r="M144" s="374" t="n"/>
      <c r="N144" s="374" t="n"/>
      <c r="O144" s="374" t="n"/>
      <c r="P144" s="333" t="n"/>
      <c r="Q144" s="154" t="n"/>
      <c r="R144" s="298" t="n"/>
      <c r="S144" s="344" t="n"/>
      <c r="T144" s="344" t="n"/>
      <c r="U144" s="344" t="n"/>
      <c r="V144" s="344" t="n"/>
      <c r="W144" s="132" t="n"/>
      <c r="X144" s="65" t="inlineStr">
        <is>
          <t>No reliance</t>
        </is>
      </c>
    </row>
    <row r="145" customFormat="1" s="65">
      <c r="B145" s="380" t="n"/>
      <c r="C145" s="374" t="n"/>
      <c r="D145" s="374" t="n"/>
      <c r="E145" s="374" t="n"/>
      <c r="F145" s="374" t="n"/>
      <c r="G145" s="374" t="n"/>
      <c r="H145" s="374" t="n"/>
      <c r="I145" s="374" t="n"/>
      <c r="J145" s="374" t="n"/>
      <c r="K145" s="374" t="n"/>
      <c r="L145" s="374" t="n"/>
      <c r="M145" s="374" t="n"/>
      <c r="N145" s="374" t="n"/>
      <c r="O145" s="374" t="n"/>
      <c r="P145" s="381" t="n"/>
      <c r="Q145" s="154" t="n"/>
      <c r="R145" s="298" t="n"/>
      <c r="S145" s="344" t="n"/>
      <c r="T145" s="344" t="n"/>
      <c r="U145" s="344" t="n"/>
      <c r="V145" s="344" t="n"/>
      <c r="W145" s="132" t="n"/>
      <c r="X145" s="65" t="inlineStr">
        <is>
          <t>High reliance</t>
        </is>
      </c>
    </row>
    <row r="146" ht="15.75" customFormat="1" customHeight="1" s="65" thickBot="1">
      <c r="B146" s="388" t="n"/>
      <c r="C146" s="389" t="n"/>
      <c r="D146" s="389" t="n"/>
      <c r="E146" s="389" t="n"/>
      <c r="F146" s="389" t="n"/>
      <c r="G146" s="389" t="n"/>
      <c r="H146" s="389" t="n"/>
      <c r="I146" s="389" t="n"/>
      <c r="J146" s="389" t="n"/>
      <c r="K146" s="389" t="n"/>
      <c r="L146" s="389" t="n"/>
      <c r="M146" s="389" t="n"/>
      <c r="N146" s="389" t="n"/>
      <c r="O146" s="389" t="n"/>
      <c r="P146" s="191" t="n"/>
      <c r="Q146" s="19" t="n"/>
      <c r="R146" s="267" t="n"/>
      <c r="S146" s="268" t="n"/>
      <c r="T146" s="268" t="n"/>
      <c r="U146" s="268" t="n"/>
      <c r="V146" s="268" t="n"/>
      <c r="W146" s="64" t="n"/>
    </row>
    <row r="147" customFormat="1" s="55">
      <c r="B147" s="164">
        <f>IF(H140="yes","Please document any tests of control below in the planned response section","")</f>
        <v/>
      </c>
      <c r="C147" s="164" t="n"/>
      <c r="D147" s="164" t="n"/>
      <c r="E147" s="164" t="n"/>
      <c r="F147" s="164" t="n"/>
      <c r="G147" s="164" t="n"/>
      <c r="H147" s="164" t="n"/>
      <c r="I147" s="164" t="n"/>
      <c r="J147" s="164" t="n"/>
      <c r="K147" s="164" t="n"/>
      <c r="L147" s="164" t="n"/>
      <c r="M147" s="164" t="n"/>
      <c r="N147" s="164" t="n"/>
      <c r="O147" s="164" t="n"/>
      <c r="P147" s="165" t="n"/>
      <c r="Q147" s="4" t="n"/>
      <c r="R147" s="267" t="n"/>
      <c r="S147" s="268" t="n"/>
      <c r="T147" s="268" t="n"/>
      <c r="U147" s="268" t="n"/>
      <c r="V147" s="268" t="n"/>
      <c r="W147" s="53" t="n"/>
    </row>
    <row r="148" customFormat="1" s="65">
      <c r="B148" s="1" t="n"/>
      <c r="C148" s="5" t="n"/>
      <c r="D148" s="5" t="n"/>
      <c r="E148" s="5" t="n"/>
      <c r="F148" s="5" t="n"/>
      <c r="G148" s="5" t="n"/>
      <c r="H148" s="5" t="n"/>
      <c r="I148" s="5" t="n"/>
      <c r="J148" s="5" t="n"/>
      <c r="K148" s="5" t="n"/>
      <c r="L148" s="5" t="n"/>
      <c r="M148" s="5" t="n"/>
      <c r="N148" s="5" t="n"/>
      <c r="O148" s="4" t="n"/>
      <c r="P148" s="126" t="n"/>
      <c r="Q148" s="19" t="n"/>
      <c r="R148" s="267" t="n"/>
      <c r="S148" s="268" t="n"/>
      <c r="T148" s="268" t="n"/>
      <c r="U148" s="268" t="n"/>
      <c r="V148" s="268" t="n"/>
      <c r="W148" s="64" t="n"/>
    </row>
    <row r="149" ht="31.5" customFormat="1" customHeight="1" s="119">
      <c r="B149" s="119" t="inlineStr">
        <is>
          <t>STEP 3:   RESPONSES TO THE ASSESSED RISKS OF MATERIAL MISSTATEMENT</t>
        </is>
      </c>
      <c r="P149" s="159" t="n"/>
      <c r="R149" s="267" t="n"/>
      <c r="S149" s="268" t="n"/>
      <c r="T149" s="268" t="n"/>
      <c r="U149" s="268" t="n"/>
      <c r="V149" s="268" t="n"/>
      <c r="W149" s="122" t="n"/>
    </row>
    <row r="150" ht="35.1" customFormat="1" customHeight="1" s="55" thickBot="1">
      <c r="B150" s="162" t="n"/>
      <c r="C150" s="26" t="n"/>
      <c r="D150" s="26" t="n"/>
      <c r="E150" s="26" t="n"/>
      <c r="F150" s="26" t="n"/>
      <c r="G150" s="26" t="n"/>
      <c r="H150" s="26" t="n"/>
      <c r="I150" s="26" t="n"/>
      <c r="J150" s="26" t="n"/>
      <c r="K150" s="26" t="n"/>
      <c r="L150" s="26" t="n"/>
      <c r="M150" s="26" t="n"/>
      <c r="N150" s="26" t="n"/>
      <c r="O150" s="26" t="n"/>
      <c r="P150" s="163" t="n"/>
      <c r="Q150" s="26" t="n"/>
      <c r="R150" s="267" t="n"/>
      <c r="S150" s="268" t="n"/>
      <c r="T150" s="268" t="n"/>
      <c r="U150" s="268" t="n"/>
      <c r="V150" s="268" t="n"/>
      <c r="W150" s="53" t="n"/>
    </row>
    <row r="151" ht="35.1" customFormat="1" customHeight="1" s="65">
      <c r="B151" s="181" t="inlineStr">
        <is>
          <t>Risk of material misstatement</t>
        </is>
      </c>
      <c r="C151" s="182" t="n"/>
      <c r="D151" s="182" t="n"/>
      <c r="E151" s="182" t="n"/>
      <c r="F151" s="182" t="n"/>
      <c r="G151" s="182" t="n"/>
      <c r="H151" s="182" t="n"/>
      <c r="I151" s="182" t="n"/>
      <c r="J151" s="182" t="n"/>
      <c r="K151" s="182" t="n"/>
      <c r="L151" s="182" t="n"/>
      <c r="M151" s="182" t="n"/>
      <c r="N151" s="182" t="n"/>
      <c r="O151" s="182" t="n"/>
      <c r="P151" s="183" t="n"/>
      <c r="Q151" s="143" t="n"/>
      <c r="R151" s="267" t="n"/>
      <c r="S151" s="268" t="n"/>
      <c r="T151" s="268" t="n"/>
      <c r="U151" s="268" t="n"/>
      <c r="V151" s="268" t="n"/>
      <c r="W151" s="64" t="n"/>
    </row>
    <row r="152" hidden="1" ht="35.1" customFormat="1" customHeight="1" s="65">
      <c r="B152" s="229" t="n"/>
      <c r="C152" s="36" t="n"/>
      <c r="D152" s="36" t="n"/>
      <c r="E152" s="36" t="n"/>
      <c r="F152" s="36" t="n"/>
      <c r="G152" s="36" t="n"/>
      <c r="H152" s="36" t="n"/>
      <c r="I152" s="36" t="n"/>
      <c r="J152" s="36" t="n"/>
      <c r="K152" s="36" t="n"/>
      <c r="L152" s="36" t="n"/>
      <c r="M152" s="36" t="n"/>
      <c r="N152" s="36" t="n"/>
      <c r="O152" s="36" t="n"/>
      <c r="P152" s="230" t="n"/>
      <c r="Q152" s="75" t="n"/>
      <c r="R152" s="267" t="n"/>
      <c r="S152" s="268" t="n"/>
      <c r="T152" s="268" t="n"/>
      <c r="U152" s="268" t="n"/>
      <c r="V152" s="268" t="n"/>
      <c r="W152" s="64" t="n"/>
    </row>
    <row r="153" hidden="1" ht="35.1" customFormat="1" customHeight="1" s="65">
      <c r="B153" s="231" t="inlineStr">
        <is>
          <t>Combined field for formula</t>
        </is>
      </c>
      <c r="C153" s="36" t="n"/>
      <c r="D153" s="36" t="n"/>
      <c r="E153" s="36">
        <f>L126&amp;E141</f>
        <v/>
      </c>
      <c r="F153" s="36" t="n"/>
      <c r="G153" s="36" t="n"/>
      <c r="H153" s="36" t="inlineStr">
        <is>
          <t>THIS ROW IS TO BE HIDDEN</t>
        </is>
      </c>
      <c r="I153" s="36" t="n"/>
      <c r="J153" s="36" t="n"/>
      <c r="K153" s="36" t="n"/>
      <c r="L153" s="36" t="n"/>
      <c r="M153" s="36" t="n"/>
      <c r="N153" s="36" t="n"/>
      <c r="O153" s="36" t="n"/>
      <c r="P153" s="230" t="n"/>
      <c r="Q153" s="75" t="n"/>
      <c r="R153" s="267" t="n"/>
      <c r="S153" s="268" t="n"/>
      <c r="T153" s="268" t="n"/>
      <c r="U153" s="268" t="n"/>
      <c r="V153" s="268" t="n"/>
      <c r="W153" s="64" t="n"/>
    </row>
    <row r="154" customFormat="1" s="65">
      <c r="B154" s="195" t="inlineStr">
        <is>
          <t>The risk of material misstatement associated with the accounting estimate is:</t>
        </is>
      </c>
      <c r="C154" s="68" t="n"/>
      <c r="D154" s="68" t="n"/>
      <c r="E154" s="68" t="n"/>
      <c r="F154" s="68" t="n"/>
      <c r="G154" s="68" t="n"/>
      <c r="H154" s="68" t="n"/>
      <c r="I154" s="68" t="n"/>
      <c r="J154" s="180">
        <f>IFERROR(VLOOKUP(E153,X192:AA197,4,FALSE),"")</f>
        <v/>
      </c>
      <c r="K154" s="232" t="n"/>
      <c r="L154" s="232" t="n"/>
      <c r="M154" s="232" t="n"/>
      <c r="N154" s="232" t="n"/>
      <c r="O154" s="232" t="n"/>
      <c r="P154" s="230" t="n"/>
      <c r="Q154" s="75" t="n"/>
      <c r="R154" s="267" t="n"/>
      <c r="S154" s="268" t="n"/>
      <c r="T154" s="268" t="n"/>
      <c r="U154" s="268" t="n"/>
      <c r="V154" s="268" t="n"/>
      <c r="W154" s="64" t="n"/>
    </row>
    <row r="155" hidden="1" ht="35.1" customFormat="1" customHeight="1" s="65">
      <c r="B155" s="233" t="n"/>
      <c r="C155" s="68" t="n"/>
      <c r="D155" s="68" t="n"/>
      <c r="E155" s="68" t="n"/>
      <c r="F155" s="68" t="n"/>
      <c r="G155" s="68" t="n"/>
      <c r="H155" s="68" t="n"/>
      <c r="I155" s="68" t="n"/>
      <c r="J155" s="234" t="n"/>
      <c r="K155" s="234" t="n"/>
      <c r="L155" s="234" t="n"/>
      <c r="M155" s="234" t="n"/>
      <c r="N155" s="234" t="n"/>
      <c r="O155" s="234" t="n"/>
      <c r="P155" s="235" t="n"/>
      <c r="Q155" s="75" t="n"/>
      <c r="R155" s="267" t="n"/>
      <c r="S155" s="268" t="n"/>
      <c r="T155" s="268" t="n"/>
      <c r="U155" s="268" t="n"/>
      <c r="V155" s="268" t="n"/>
      <c r="W155" s="64" t="n"/>
    </row>
    <row r="156" customFormat="1" s="65">
      <c r="B156" s="236" t="inlineStr">
        <is>
          <t>Our further audit procedures should include one or more of the following approaches:</t>
        </is>
      </c>
      <c r="C156" s="237" t="n"/>
      <c r="D156" s="238" t="n"/>
      <c r="E156" s="238" t="n"/>
      <c r="F156" s="238" t="n"/>
      <c r="G156" s="238" t="n"/>
      <c r="H156" s="238" t="n"/>
      <c r="I156" s="238" t="n"/>
      <c r="J156" s="238" t="n"/>
      <c r="K156" s="238" t="n"/>
      <c r="L156" s="238" t="n"/>
      <c r="M156" s="238" t="n"/>
      <c r="N156" s="238" t="n"/>
      <c r="O156" s="68" t="n"/>
      <c r="P156" s="348" t="inlineStr">
        <is>
          <t>Link to guidance</t>
        </is>
      </c>
      <c r="Q156" s="156" t="n"/>
      <c r="R156" s="284" t="n"/>
      <c r="S156" s="299" t="n"/>
      <c r="T156" s="299" t="n"/>
      <c r="U156" s="299" t="n"/>
      <c r="V156" s="299" t="n"/>
      <c r="W156" s="155" t="n"/>
    </row>
    <row r="157" customFormat="1" s="65">
      <c r="B157" s="236" t="n"/>
      <c r="C157" s="237" t="inlineStr">
        <is>
          <t xml:space="preserve"> - Obtaining audit evidence from events occurring up to the date of the auditor's report; [ISA (revised) 540.21]</t>
        </is>
      </c>
      <c r="D157" s="68" t="n"/>
      <c r="E157" s="68" t="n"/>
      <c r="F157" s="68" t="n"/>
      <c r="G157" s="68" t="n"/>
      <c r="H157" s="68" t="n"/>
      <c r="I157" s="68" t="n"/>
      <c r="J157" s="68" t="n"/>
      <c r="K157" s="68" t="n"/>
      <c r="L157" s="68" t="n"/>
      <c r="M157" s="68" t="n"/>
      <c r="N157" s="68" t="n"/>
      <c r="O157" s="68" t="n"/>
      <c r="P157" s="381" t="n"/>
      <c r="Q157" s="75" t="n"/>
      <c r="R157" s="267" t="n"/>
      <c r="S157" s="268" t="n"/>
      <c r="T157" s="268" t="n"/>
      <c r="U157" s="268" t="n"/>
      <c r="V157" s="268" t="n"/>
      <c r="W157" s="64" t="n"/>
    </row>
    <row r="158" customFormat="1" s="65">
      <c r="B158" s="236" t="n"/>
      <c r="C158" s="237" t="inlineStr">
        <is>
          <t xml:space="preserve"> - Testing how management made the accounting estimate; or [ISA (revised) 540.22 - 27]</t>
        </is>
      </c>
      <c r="D158" s="68" t="n"/>
      <c r="E158" s="68" t="n"/>
      <c r="F158" s="68" t="n"/>
      <c r="G158" s="68" t="n"/>
      <c r="H158" s="68" t="n"/>
      <c r="I158" s="68" t="n"/>
      <c r="J158" s="68" t="n"/>
      <c r="K158" s="68" t="n"/>
      <c r="L158" s="68" t="n"/>
      <c r="M158" s="68" t="n"/>
      <c r="N158" s="68" t="n"/>
      <c r="O158" s="68" t="n"/>
      <c r="P158" s="239" t="n"/>
      <c r="Q158" s="75" t="n"/>
      <c r="R158" s="267" t="n"/>
      <c r="S158" s="268" t="n"/>
      <c r="T158" s="268" t="n"/>
      <c r="U158" s="268" t="n"/>
      <c r="V158" s="268" t="n"/>
      <c r="W158" s="64" t="n"/>
    </row>
    <row r="159" customFormat="1" s="65">
      <c r="B159" s="236" t="n"/>
      <c r="C159" s="237" t="inlineStr">
        <is>
          <t xml:space="preserve"> - Developing an auditor's point estimate or range [ ISA (revised) 540.28]</t>
        </is>
      </c>
      <c r="D159" s="68" t="n"/>
      <c r="E159" s="68" t="n"/>
      <c r="F159" s="68" t="n"/>
      <c r="G159" s="68" t="n"/>
      <c r="H159" s="68" t="n"/>
      <c r="I159" s="68" t="n"/>
      <c r="J159" s="68" t="n"/>
      <c r="K159" s="68" t="n"/>
      <c r="L159" s="68" t="n"/>
      <c r="M159" s="68" t="n"/>
      <c r="N159" s="68" t="n"/>
      <c r="O159" s="68" t="n"/>
      <c r="P159" s="239" t="n"/>
      <c r="Q159" s="75" t="n"/>
      <c r="R159" s="267" t="n"/>
      <c r="S159" s="268" t="n"/>
      <c r="T159" s="268" t="n"/>
      <c r="U159" s="268" t="n"/>
      <c r="V159" s="268" t="n"/>
      <c r="W159" s="64" t="n"/>
    </row>
    <row r="160" customFormat="1" s="65">
      <c r="B160" s="195" t="inlineStr">
        <is>
          <t>Planned responses [ISA (revised) 540.18]</t>
        </is>
      </c>
      <c r="C160" s="238" t="n"/>
      <c r="D160" s="238" t="n"/>
      <c r="E160" s="238" t="n"/>
      <c r="F160" s="238" t="n"/>
      <c r="G160" s="238" t="n"/>
      <c r="H160" s="238" t="n"/>
      <c r="I160" s="238" t="n"/>
      <c r="J160" s="238" t="n"/>
      <c r="K160" s="238" t="n"/>
      <c r="L160" s="238" t="n"/>
      <c r="M160" s="238" t="n"/>
      <c r="N160" s="238" t="n"/>
      <c r="O160" s="238" t="n"/>
      <c r="P160" s="239" t="n"/>
      <c r="Q160" s="75" t="n"/>
      <c r="R160" s="269" t="n"/>
      <c r="S160" s="270" t="n"/>
      <c r="T160" s="270" t="n"/>
      <c r="U160" s="271" t="n"/>
      <c r="V160" s="271" t="n"/>
      <c r="W160" s="132" t="n"/>
    </row>
    <row r="161" customFormat="1" s="65">
      <c r="B161" s="382" t="inlineStr">
        <is>
          <t>[접근법: 경영진이 추정치를 산출한 방법의 검토 - ISA 540.22~27]
① 명세서 대사: 매장별 복구원가 견적금액과 BS상 복구충당부채가 일치함을 확인함(차이 0). ② 복구의무 완전성 검토: 개점·폐점 현황 및 임대차계약을 검토하여 충당부채 인식대상(직영점) 및 제외대상(백화점·아울렛·면세점 등)의 판단이 충당부채 기준서 14.3~14.4의 인식요건에 부합함을 확인함. ③ 복구원가 적정성: 할인 전 금액이 292백만원으로 할인 효과가 극히 미미하여 추가 절차 생략. ④ 회계처리 검토: 신규 직영점(퀄리티랩·제주) 복구충당부채 및 관련 시설장치-Restoration 상각 처리의 적정성 확인. 결론: 중요성 관점에서 적정함.</t>
        </is>
      </c>
      <c r="C161" s="374" t="n"/>
      <c r="D161" s="374" t="n"/>
      <c r="E161" s="374" t="n"/>
      <c r="F161" s="374" t="n"/>
      <c r="G161" s="374" t="n"/>
      <c r="H161" s="374" t="n"/>
      <c r="I161" s="374" t="n"/>
      <c r="J161" s="374" t="n"/>
      <c r="K161" s="374" t="n"/>
      <c r="L161" s="374" t="n"/>
      <c r="M161" s="374" t="n"/>
      <c r="N161" s="374" t="n"/>
      <c r="O161" s="374" t="n"/>
      <c r="P161" s="346" t="inlineStr">
        <is>
          <t>Link to guidance</t>
        </is>
      </c>
      <c r="Q161" s="75" t="n"/>
      <c r="R161" s="269" t="n"/>
      <c r="S161" s="270" t="n"/>
      <c r="T161" s="270" t="n"/>
      <c r="U161" s="271" t="n"/>
      <c r="V161" s="271" t="n"/>
      <c r="W161" s="132" t="n"/>
    </row>
    <row r="162" ht="15" customFormat="1" customHeight="1" s="65">
      <c r="B162" s="380" t="n"/>
      <c r="C162" s="374" t="n"/>
      <c r="D162" s="374" t="n"/>
      <c r="E162" s="374" t="n"/>
      <c r="F162" s="374" t="n"/>
      <c r="G162" s="374" t="n"/>
      <c r="H162" s="374" t="n"/>
      <c r="I162" s="374" t="n"/>
      <c r="J162" s="374" t="n"/>
      <c r="K162" s="374" t="n"/>
      <c r="L162" s="374" t="n"/>
      <c r="M162" s="374" t="n"/>
      <c r="N162" s="374" t="n"/>
      <c r="O162" s="374" t="n"/>
      <c r="P162" s="381" t="n"/>
      <c r="Q162" s="75" t="n"/>
      <c r="R162" s="344" t="inlineStr">
        <is>
          <t xml:space="preserve">Our planned response should be created in the work programme of the applicable SCOTABD. To access the work programme please see the screen 'Audit Strategy Overview'. </t>
        </is>
      </c>
      <c r="W162" s="132" t="n"/>
    </row>
    <row r="163" customFormat="1" s="65">
      <c r="B163" s="380" t="n"/>
      <c r="C163" s="374" t="n"/>
      <c r="D163" s="374" t="n"/>
      <c r="E163" s="374" t="n"/>
      <c r="F163" s="374" t="n"/>
      <c r="G163" s="374" t="n"/>
      <c r="H163" s="374" t="n"/>
      <c r="I163" s="374" t="n"/>
      <c r="J163" s="374" t="n"/>
      <c r="K163" s="374" t="n"/>
      <c r="L163" s="374" t="n"/>
      <c r="M163" s="374" t="n"/>
      <c r="N163" s="374" t="n"/>
      <c r="O163" s="374" t="n"/>
      <c r="P163" s="240" t="n"/>
      <c r="Q163" s="75" t="n"/>
      <c r="W163" s="64" t="n"/>
    </row>
    <row r="164" ht="15" customFormat="1" customHeight="1" s="65">
      <c r="B164" s="380" t="n"/>
      <c r="C164" s="374" t="n"/>
      <c r="D164" s="374" t="n"/>
      <c r="E164" s="374" t="n"/>
      <c r="F164" s="374" t="n"/>
      <c r="G164" s="374" t="n"/>
      <c r="H164" s="374" t="n"/>
      <c r="I164" s="374" t="n"/>
      <c r="J164" s="374" t="n"/>
      <c r="K164" s="374" t="n"/>
      <c r="L164" s="374" t="n"/>
      <c r="M164" s="374" t="n"/>
      <c r="N164" s="374" t="n"/>
      <c r="O164" s="374" t="n"/>
      <c r="P164" s="240" t="n"/>
      <c r="Q164" s="75" t="n"/>
      <c r="W164" s="64" t="n"/>
    </row>
    <row r="165" ht="15" customFormat="1" customHeight="1" s="65">
      <c r="B165" s="380" t="n"/>
      <c r="C165" s="374" t="n"/>
      <c r="D165" s="374" t="n"/>
      <c r="E165" s="374" t="n"/>
      <c r="F165" s="374" t="n"/>
      <c r="G165" s="374" t="n"/>
      <c r="H165" s="374" t="n"/>
      <c r="I165" s="374" t="n"/>
      <c r="J165" s="374" t="n"/>
      <c r="K165" s="374" t="n"/>
      <c r="L165" s="374" t="n"/>
      <c r="M165" s="374" t="n"/>
      <c r="N165" s="374" t="n"/>
      <c r="O165" s="374" t="n"/>
      <c r="P165" s="240" t="n"/>
      <c r="Q165" s="75" t="n"/>
      <c r="W165" s="64" t="n"/>
    </row>
    <row r="166" ht="15" customFormat="1" customHeight="1" s="65">
      <c r="B166" s="380" t="n"/>
      <c r="C166" s="374" t="n"/>
      <c r="D166" s="374" t="n"/>
      <c r="E166" s="374" t="n"/>
      <c r="F166" s="374" t="n"/>
      <c r="G166" s="374" t="n"/>
      <c r="H166" s="374" t="n"/>
      <c r="I166" s="374" t="n"/>
      <c r="J166" s="374" t="n"/>
      <c r="K166" s="374" t="n"/>
      <c r="L166" s="374" t="n"/>
      <c r="M166" s="374" t="n"/>
      <c r="N166" s="374" t="n"/>
      <c r="O166" s="374" t="n"/>
      <c r="P166" s="240" t="n"/>
      <c r="Q166" s="75" t="n"/>
      <c r="R166" s="267" t="n"/>
      <c r="S166" s="268" t="n"/>
      <c r="T166" s="268" t="n"/>
      <c r="U166" s="268" t="n"/>
      <c r="V166" s="268" t="n"/>
      <c r="W166" s="64" t="n"/>
    </row>
    <row r="167" customFormat="1" s="65">
      <c r="B167" s="380" t="n"/>
      <c r="C167" s="374" t="n"/>
      <c r="D167" s="374" t="n"/>
      <c r="E167" s="374" t="n"/>
      <c r="F167" s="374" t="n"/>
      <c r="G167" s="374" t="n"/>
      <c r="H167" s="374" t="n"/>
      <c r="I167" s="374" t="n"/>
      <c r="J167" s="374" t="n"/>
      <c r="K167" s="374" t="n"/>
      <c r="L167" s="374" t="n"/>
      <c r="M167" s="374" t="n"/>
      <c r="N167" s="374" t="n"/>
      <c r="O167" s="374" t="n"/>
      <c r="P167" s="240" t="n"/>
      <c r="Q167" s="75" t="n"/>
      <c r="R167" s="267" t="n"/>
      <c r="S167" s="268" t="n"/>
      <c r="T167" s="268" t="n"/>
      <c r="U167" s="268" t="n"/>
      <c r="V167" s="268" t="n"/>
      <c r="W167" s="64" t="n"/>
    </row>
    <row r="168" customFormat="1" s="65">
      <c r="B168" s="380" t="n"/>
      <c r="C168" s="374" t="n"/>
      <c r="D168" s="374" t="n"/>
      <c r="E168" s="374" t="n"/>
      <c r="F168" s="374" t="n"/>
      <c r="G168" s="374" t="n"/>
      <c r="H168" s="374" t="n"/>
      <c r="I168" s="374" t="n"/>
      <c r="J168" s="374" t="n"/>
      <c r="K168" s="374" t="n"/>
      <c r="L168" s="374" t="n"/>
      <c r="M168" s="374" t="n"/>
      <c r="N168" s="374" t="n"/>
      <c r="O168" s="374" t="n"/>
      <c r="P168" s="240" t="n"/>
      <c r="Q168" s="75" t="n"/>
      <c r="R168" s="267" t="n"/>
      <c r="S168" s="268" t="n"/>
      <c r="T168" s="268" t="n"/>
      <c r="U168" s="268" t="n"/>
      <c r="V168" s="268" t="n"/>
      <c r="W168" s="64" t="n"/>
    </row>
    <row r="169" ht="14.45" customFormat="1" customHeight="1" s="65">
      <c r="B169" s="233" t="inlineStr">
        <is>
          <t>We have added these procedures to the work programme at reference:</t>
        </is>
      </c>
      <c r="C169" s="68" t="n"/>
      <c r="D169" s="68" t="n"/>
      <c r="E169" s="68" t="n"/>
      <c r="F169" s="68" t="n"/>
      <c r="G169" s="68" t="n"/>
      <c r="H169" s="68" t="n"/>
      <c r="I169" s="334" t="n"/>
      <c r="J169" s="374" t="n"/>
      <c r="K169" s="374" t="n"/>
      <c r="L169" s="374" t="n"/>
      <c r="M169" s="374" t="n"/>
      <c r="N169" s="374" t="n"/>
      <c r="O169" s="374" t="n"/>
      <c r="P169" s="241" t="n"/>
      <c r="Q169" s="75" t="n"/>
      <c r="R169" s="267" t="n"/>
      <c r="S169" s="268" t="n"/>
      <c r="T169" s="268" t="n"/>
      <c r="U169" s="268" t="n"/>
      <c r="V169" s="268" t="n"/>
      <c r="W169" s="64" t="n"/>
    </row>
    <row r="170" customFormat="1" s="158">
      <c r="B170" s="390" t="inlineStr">
        <is>
          <t>N2 (복구충당부채 Lead) 및 재계산 Sheet</t>
        </is>
      </c>
      <c r="C170" s="243" t="n"/>
      <c r="D170" s="243" t="n"/>
      <c r="E170" s="243" t="n"/>
      <c r="F170" s="243" t="n"/>
      <c r="G170" s="243" t="n"/>
      <c r="H170" s="243" t="n"/>
      <c r="I170" s="243" t="n"/>
      <c r="J170" s="243" t="n"/>
      <c r="K170" s="243" t="n"/>
      <c r="L170" s="243" t="n"/>
      <c r="M170" s="243" t="n"/>
      <c r="N170" s="243" t="n"/>
      <c r="O170" s="243" t="n"/>
      <c r="P170" s="241" t="n"/>
      <c r="Q170" s="75" t="n"/>
      <c r="R170" s="267" t="n"/>
      <c r="S170" s="268" t="n"/>
      <c r="T170" s="268" t="n"/>
      <c r="U170" s="268" t="n"/>
      <c r="V170" s="268" t="n"/>
      <c r="W170" s="157" t="n"/>
    </row>
    <row r="171" ht="15.75" customFormat="1" customHeight="1" s="65" thickBot="1">
      <c r="B171" s="391" t="inlineStr">
        <is>
          <t>상기 절차는 복구충당부채 감사조서(Lead N2, 재계산)에 문서화되어 있으며, 결과 중요성 관점에서 적정함.</t>
        </is>
      </c>
      <c r="C171" s="244" t="n"/>
      <c r="D171" s="244" t="n"/>
      <c r="E171" s="244" t="n"/>
      <c r="F171" s="244" t="n"/>
      <c r="G171" s="244" t="n"/>
      <c r="H171" s="244" t="n"/>
      <c r="I171" s="244" t="n"/>
      <c r="J171" s="244" t="n"/>
      <c r="K171" s="244" t="n"/>
      <c r="L171" s="244" t="n"/>
      <c r="M171" s="244" t="n"/>
      <c r="N171" s="244" t="n"/>
      <c r="O171" s="244" t="n"/>
      <c r="P171" s="245" t="n"/>
      <c r="Q171" s="75" t="n"/>
      <c r="R171" s="267" t="n"/>
      <c r="S171" s="268" t="n"/>
      <c r="T171" s="268" t="n"/>
      <c r="U171" s="268" t="n"/>
      <c r="V171" s="268" t="n"/>
      <c r="W171" s="64" t="n"/>
    </row>
    <row r="172" ht="27" customFormat="1" customHeight="1" s="55" thickBot="1">
      <c r="B172" s="160" t="n"/>
      <c r="C172" s="26" t="n"/>
      <c r="D172" s="26" t="n"/>
      <c r="E172" s="26" t="n"/>
      <c r="F172" s="26" t="n"/>
      <c r="G172" s="26" t="n"/>
      <c r="H172" s="26" t="n"/>
      <c r="I172" s="26" t="n"/>
      <c r="J172" s="26" t="n"/>
      <c r="K172" s="26" t="n"/>
      <c r="L172" s="26" t="n"/>
      <c r="M172" s="26" t="n"/>
      <c r="N172" s="26" t="n"/>
      <c r="O172" s="26" t="n"/>
      <c r="P172" s="161" t="n"/>
      <c r="Q172" s="26" t="n"/>
      <c r="R172" s="267" t="n"/>
      <c r="S172" s="268" t="n"/>
      <c r="T172" s="268" t="n"/>
      <c r="U172" s="268" t="n"/>
      <c r="V172" s="268" t="n"/>
      <c r="W172" s="53" t="n"/>
    </row>
    <row r="173" ht="24.6" customFormat="1" customHeight="1" s="65">
      <c r="B173" s="392" t="inlineStr">
        <is>
          <t>General implications</t>
        </is>
      </c>
      <c r="C173" s="393" t="n"/>
      <c r="D173" s="393" t="n"/>
      <c r="E173" s="393" t="n"/>
      <c r="F173" s="393" t="n"/>
      <c r="G173" s="393" t="n"/>
      <c r="H173" s="393" t="n"/>
      <c r="I173" s="393" t="n"/>
      <c r="J173" s="393" t="n"/>
      <c r="K173" s="393" t="n"/>
      <c r="L173" s="393" t="n"/>
      <c r="M173" s="393" t="n"/>
      <c r="N173" s="393" t="n"/>
      <c r="O173" s="393" t="n"/>
      <c r="P173" s="394" t="n"/>
      <c r="Q173" s="75" t="n"/>
      <c r="R173" s="267" t="n"/>
      <c r="S173" s="268" t="n"/>
      <c r="T173" s="268" t="n"/>
      <c r="U173" s="268" t="n"/>
      <c r="V173" s="268" t="n"/>
      <c r="W173" s="64" t="n"/>
    </row>
    <row r="174" customFormat="1" s="65">
      <c r="B174" s="209" t="inlineStr">
        <is>
          <t>Further considerations where the accounting estimate is at the higher end of the inherent risk spectrum</t>
        </is>
      </c>
      <c r="C174" s="68" t="n"/>
      <c r="D174" s="68" t="n"/>
      <c r="E174" s="68" t="n"/>
      <c r="F174" s="68" t="n"/>
      <c r="G174" s="68" t="n"/>
      <c r="H174" s="68" t="n"/>
      <c r="I174" s="68" t="n"/>
      <c r="J174" s="68" t="n"/>
      <c r="K174" s="68" t="n"/>
      <c r="L174" s="68" t="n"/>
      <c r="M174" s="68" t="n"/>
      <c r="N174" s="68" t="n"/>
      <c r="O174" s="68" t="n"/>
      <c r="P174" s="239" t="n"/>
      <c r="Q174" s="75" t="n"/>
      <c r="R174" s="267" t="n"/>
      <c r="S174" s="268" t="n"/>
      <c r="T174" s="268" t="n"/>
      <c r="U174" s="268" t="n"/>
      <c r="V174" s="268" t="n"/>
      <c r="W174" s="64" t="n"/>
    </row>
    <row r="175" ht="15.75" customFormat="1" customHeight="1" s="65">
      <c r="B175" s="209" t="inlineStr">
        <is>
          <t xml:space="preserve">The below should be considered for all accounting estimates, however there should be particular focus for those that have significant or enhanced inherent risk. </t>
        </is>
      </c>
      <c r="C175" s="68" t="n"/>
      <c r="D175" s="68" t="n"/>
      <c r="E175" s="68" t="n"/>
      <c r="F175" s="68" t="n"/>
      <c r="G175" s="68" t="n"/>
      <c r="H175" s="68" t="n"/>
      <c r="I175" s="68" t="n"/>
      <c r="J175" s="68" t="n"/>
      <c r="K175" s="68" t="n"/>
      <c r="L175" s="68" t="n"/>
      <c r="M175" s="68" t="n"/>
      <c r="N175" s="68" t="n"/>
      <c r="O175" s="68" t="n"/>
      <c r="P175" s="246" t="n"/>
      <c r="Q175" s="75" t="n"/>
      <c r="R175" s="267" t="n"/>
      <c r="S175" s="268" t="n"/>
      <c r="T175" s="268" t="n"/>
      <c r="U175" s="268" t="n"/>
      <c r="V175" s="268" t="n"/>
      <c r="W175" s="64" t="n"/>
    </row>
    <row r="176" customFormat="1" s="65">
      <c r="B176" s="209" t="inlineStr">
        <is>
          <t>Increased professional scepticism:</t>
        </is>
      </c>
      <c r="C176" s="68" t="n"/>
      <c r="D176" s="68" t="n"/>
      <c r="E176" s="68" t="n"/>
      <c r="F176" s="68" t="n"/>
      <c r="G176" s="68" t="n"/>
      <c r="H176" s="68" t="n"/>
      <c r="I176" s="68" t="n"/>
      <c r="J176" s="68" t="n"/>
      <c r="K176" s="68" t="n"/>
      <c r="L176" s="68" t="n"/>
      <c r="M176" s="68" t="n"/>
      <c r="N176" s="68" t="n"/>
      <c r="O176" s="68" t="n"/>
      <c r="P176" s="239" t="n"/>
      <c r="Q176" s="75" t="n"/>
      <c r="R176" s="267" t="n"/>
      <c r="S176" s="268" t="n"/>
      <c r="T176" s="268" t="n"/>
      <c r="U176" s="268" t="n"/>
      <c r="V176" s="268" t="n"/>
      <c r="W176" s="64" t="n"/>
    </row>
    <row r="177" ht="15" customFormat="1" customHeight="1" s="65">
      <c r="B177" s="379" t="inlineStr">
        <is>
          <t>표준위험 수준에 상응하는 전문가적 회의주의를 적용함. 복구의무 대상 매장 판단 및 제외 정책의 근거를 비판적으로 검토함.</t>
        </is>
      </c>
      <c r="C177" s="374" t="n"/>
      <c r="D177" s="374" t="n"/>
      <c r="E177" s="374" t="n"/>
      <c r="F177" s="374" t="n"/>
      <c r="G177" s="374" t="n"/>
      <c r="H177" s="374" t="n"/>
      <c r="I177" s="374" t="n"/>
      <c r="J177" s="374" t="n"/>
      <c r="K177" s="374" t="n"/>
      <c r="L177" s="374" t="n"/>
      <c r="M177" s="374" t="n"/>
      <c r="N177" s="374" t="n"/>
      <c r="O177" s="374" t="n"/>
      <c r="P177" s="346" t="inlineStr">
        <is>
          <t>Link to guidance</t>
        </is>
      </c>
      <c r="Q177" s="75" t="n"/>
      <c r="R177" s="269" t="n"/>
      <c r="S177" s="270" t="n"/>
      <c r="T177" s="270" t="n"/>
      <c r="U177" s="271" t="n"/>
      <c r="V177" s="271" t="n"/>
      <c r="W177" s="132" t="n"/>
    </row>
    <row r="178" ht="15" customFormat="1" customHeight="1" s="65">
      <c r="B178" s="380" t="n"/>
      <c r="C178" s="374" t="n"/>
      <c r="D178" s="374" t="n"/>
      <c r="E178" s="374" t="n"/>
      <c r="F178" s="374" t="n"/>
      <c r="G178" s="374" t="n"/>
      <c r="H178" s="374" t="n"/>
      <c r="I178" s="374" t="n"/>
      <c r="J178" s="374" t="n"/>
      <c r="K178" s="374" t="n"/>
      <c r="L178" s="374" t="n"/>
      <c r="M178" s="374" t="n"/>
      <c r="N178" s="374" t="n"/>
      <c r="O178" s="374" t="n"/>
      <c r="P178" s="381" t="n"/>
      <c r="Q178" s="75" t="n"/>
      <c r="R178" s="269" t="n"/>
      <c r="S178" s="270" t="n"/>
      <c r="T178" s="270" t="n"/>
      <c r="U178" s="271" t="n"/>
      <c r="V178" s="271" t="n"/>
      <c r="W178" s="132" t="n"/>
    </row>
    <row r="179" customFormat="1" s="65">
      <c r="B179" s="380" t="n"/>
      <c r="C179" s="374" t="n"/>
      <c r="D179" s="374" t="n"/>
      <c r="E179" s="374" t="n"/>
      <c r="F179" s="374" t="n"/>
      <c r="G179" s="374" t="n"/>
      <c r="H179" s="374" t="n"/>
      <c r="I179" s="374" t="n"/>
      <c r="J179" s="374" t="n"/>
      <c r="K179" s="374" t="n"/>
      <c r="L179" s="374" t="n"/>
      <c r="M179" s="374" t="n"/>
      <c r="N179" s="374" t="n"/>
      <c r="O179" s="374" t="n"/>
      <c r="P179" s="239" t="n"/>
      <c r="Q179" s="75" t="n"/>
      <c r="R179" s="267" t="n"/>
      <c r="S179" s="268" t="n"/>
      <c r="T179" s="268" t="n"/>
      <c r="U179" s="268" t="n"/>
      <c r="V179" s="268" t="n"/>
      <c r="W179" s="64" t="n"/>
    </row>
    <row r="180" customFormat="1" s="65">
      <c r="B180" s="209" t="inlineStr">
        <is>
          <t>Consideration of method of testing:</t>
        </is>
      </c>
      <c r="C180" s="68" t="n"/>
      <c r="D180" s="68" t="n"/>
      <c r="E180" s="68" t="n"/>
      <c r="F180" s="68" t="n"/>
      <c r="G180" s="68" t="n"/>
      <c r="H180" s="68" t="n"/>
      <c r="I180" s="68" t="n"/>
      <c r="J180" s="68" t="n"/>
      <c r="K180" s="68" t="n"/>
      <c r="L180" s="68" t="n"/>
      <c r="M180" s="68" t="n"/>
      <c r="N180" s="68" t="n"/>
      <c r="O180" s="68" t="n"/>
      <c r="P180" s="239" t="n"/>
      <c r="Q180" s="75" t="n"/>
      <c r="R180" s="267" t="n"/>
      <c r="S180" s="268" t="n"/>
      <c r="T180" s="268" t="n"/>
      <c r="U180" s="268" t="n"/>
      <c r="V180" s="268" t="n"/>
      <c r="W180" s="64" t="n"/>
    </row>
    <row r="181" ht="15" customFormat="1" customHeight="1" s="65">
      <c r="B181" s="379" t="inlineStr">
        <is>
          <t>명세 대사 및 완전성 검토를 중심으로 실증절차를 수행함. 신규 설정·환입 내역의 회계처리 적정성을 검토함.</t>
        </is>
      </c>
      <c r="C181" s="374" t="n"/>
      <c r="D181" s="374" t="n"/>
      <c r="E181" s="374" t="n"/>
      <c r="F181" s="374" t="n"/>
      <c r="G181" s="374" t="n"/>
      <c r="H181" s="374" t="n"/>
      <c r="I181" s="374" t="n"/>
      <c r="J181" s="374" t="n"/>
      <c r="K181" s="374" t="n"/>
      <c r="L181" s="374" t="n"/>
      <c r="M181" s="374" t="n"/>
      <c r="N181" s="374" t="n"/>
      <c r="O181" s="374" t="n"/>
      <c r="P181" s="346" t="inlineStr">
        <is>
          <t>Link to guidance</t>
        </is>
      </c>
      <c r="Q181" s="75" t="n"/>
      <c r="R181" s="269" t="n"/>
      <c r="S181" s="270" t="n"/>
      <c r="T181" s="270" t="n"/>
      <c r="U181" s="271" t="n"/>
      <c r="V181" s="271" t="n"/>
      <c r="W181" s="132" t="n"/>
    </row>
    <row r="182" customFormat="1" s="65">
      <c r="B182" s="380" t="n"/>
      <c r="C182" s="374" t="n"/>
      <c r="D182" s="374" t="n"/>
      <c r="E182" s="374" t="n"/>
      <c r="F182" s="374" t="n"/>
      <c r="G182" s="374" t="n"/>
      <c r="H182" s="374" t="n"/>
      <c r="I182" s="374" t="n"/>
      <c r="J182" s="374" t="n"/>
      <c r="K182" s="374" t="n"/>
      <c r="L182" s="374" t="n"/>
      <c r="M182" s="374" t="n"/>
      <c r="N182" s="374" t="n"/>
      <c r="O182" s="374" t="n"/>
      <c r="P182" s="381" t="n"/>
      <c r="Q182" s="75" t="n"/>
      <c r="R182" s="269" t="n"/>
      <c r="S182" s="270" t="n"/>
      <c r="T182" s="270" t="n"/>
      <c r="U182" s="271" t="n"/>
      <c r="V182" s="271" t="n"/>
      <c r="W182" s="132" t="n"/>
    </row>
    <row r="183" ht="15" customFormat="1" customHeight="1" s="65">
      <c r="B183" s="380" t="n"/>
      <c r="C183" s="374" t="n"/>
      <c r="D183" s="374" t="n"/>
      <c r="E183" s="374" t="n"/>
      <c r="F183" s="374" t="n"/>
      <c r="G183" s="374" t="n"/>
      <c r="H183" s="374" t="n"/>
      <c r="I183" s="374" t="n"/>
      <c r="J183" s="374" t="n"/>
      <c r="K183" s="374" t="n"/>
      <c r="L183" s="374" t="n"/>
      <c r="M183" s="374" t="n"/>
      <c r="N183" s="374" t="n"/>
      <c r="O183" s="374" t="n"/>
      <c r="P183" s="239" t="n"/>
      <c r="Q183" s="75" t="n"/>
      <c r="R183" s="267" t="n"/>
      <c r="S183" s="268" t="n"/>
      <c r="T183" s="268" t="n"/>
      <c r="U183" s="268" t="n"/>
      <c r="V183" s="268" t="n"/>
      <c r="W183" s="64" t="n"/>
    </row>
    <row r="184" customFormat="1" s="65">
      <c r="B184" s="209" t="inlineStr">
        <is>
          <t>Engagement team appropriate resourcing:</t>
        </is>
      </c>
      <c r="C184" s="68" t="n"/>
      <c r="D184" s="68" t="n"/>
      <c r="E184" s="68" t="n"/>
      <c r="F184" s="68" t="n"/>
      <c r="G184" s="68" t="n"/>
      <c r="H184" s="68" t="n"/>
      <c r="I184" s="68" t="n"/>
      <c r="J184" s="68" t="n"/>
      <c r="K184" s="68" t="n"/>
      <c r="L184" s="68" t="n"/>
      <c r="M184" s="68" t="n"/>
      <c r="N184" s="68" t="n"/>
      <c r="O184" s="68" t="n"/>
      <c r="P184" s="239" t="n"/>
      <c r="Q184" s="75" t="n"/>
      <c r="R184" s="267" t="n"/>
      <c r="S184" s="268" t="n"/>
      <c r="T184" s="268" t="n"/>
      <c r="U184" s="268" t="n"/>
      <c r="V184" s="268" t="n"/>
      <c r="W184" s="64" t="n"/>
    </row>
    <row r="185" ht="15" customFormat="1" customHeight="1" s="65">
      <c r="B185" s="379" t="inlineStr">
        <is>
          <t>표준위험 수준으로 통상적 감사팀 구성으로 충분함.</t>
        </is>
      </c>
      <c r="C185" s="374" t="n"/>
      <c r="D185" s="374" t="n"/>
      <c r="E185" s="374" t="n"/>
      <c r="F185" s="374" t="n"/>
      <c r="G185" s="374" t="n"/>
      <c r="H185" s="374" t="n"/>
      <c r="I185" s="374" t="n"/>
      <c r="J185" s="374" t="n"/>
      <c r="K185" s="374" t="n"/>
      <c r="L185" s="374" t="n"/>
      <c r="M185" s="374" t="n"/>
      <c r="N185" s="374" t="n"/>
      <c r="O185" s="374" t="n"/>
      <c r="P185" s="346" t="inlineStr">
        <is>
          <t>Link to guidance</t>
        </is>
      </c>
      <c r="Q185" s="75" t="n"/>
      <c r="R185" s="345" t="inlineStr">
        <is>
          <t>Please ensure that all audit team members are documented within the screen 'Engagement'</t>
        </is>
      </c>
      <c r="W185" s="132" t="n"/>
    </row>
    <row r="186" customFormat="1" s="65">
      <c r="B186" s="380" t="n"/>
      <c r="C186" s="374" t="n"/>
      <c r="D186" s="374" t="n"/>
      <c r="E186" s="374" t="n"/>
      <c r="F186" s="374" t="n"/>
      <c r="G186" s="374" t="n"/>
      <c r="H186" s="374" t="n"/>
      <c r="I186" s="374" t="n"/>
      <c r="J186" s="374" t="n"/>
      <c r="K186" s="374" t="n"/>
      <c r="L186" s="374" t="n"/>
      <c r="M186" s="374" t="n"/>
      <c r="N186" s="374" t="n"/>
      <c r="O186" s="374" t="n"/>
      <c r="P186" s="381" t="n"/>
      <c r="Q186" s="75" t="n"/>
      <c r="W186" s="132" t="n"/>
    </row>
    <row r="187" customFormat="1" s="65">
      <c r="B187" s="380" t="n"/>
      <c r="C187" s="374" t="n"/>
      <c r="D187" s="374" t="n"/>
      <c r="E187" s="374" t="n"/>
      <c r="F187" s="374" t="n"/>
      <c r="G187" s="374" t="n"/>
      <c r="H187" s="374" t="n"/>
      <c r="I187" s="374" t="n"/>
      <c r="J187" s="374" t="n"/>
      <c r="K187" s="374" t="n"/>
      <c r="L187" s="374" t="n"/>
      <c r="M187" s="374" t="n"/>
      <c r="N187" s="374" t="n"/>
      <c r="O187" s="374" t="n"/>
      <c r="P187" s="239" t="n"/>
      <c r="Q187" s="75" t="n"/>
      <c r="W187" s="64" t="n"/>
    </row>
    <row r="188" customFormat="1" s="65">
      <c r="B188" s="209" t="inlineStr">
        <is>
          <t>Additional supervision:</t>
        </is>
      </c>
      <c r="C188" s="68" t="n"/>
      <c r="D188" s="68" t="n"/>
      <c r="E188" s="68" t="n"/>
      <c r="F188" s="68" t="n"/>
      <c r="G188" s="68" t="n"/>
      <c r="H188" s="68" t="n"/>
      <c r="I188" s="68" t="n"/>
      <c r="J188" s="68" t="n"/>
      <c r="K188" s="68" t="n"/>
      <c r="L188" s="68" t="n"/>
      <c r="M188" s="68" t="n"/>
      <c r="N188" s="68" t="n"/>
      <c r="O188" s="68" t="n"/>
      <c r="P188" s="239" t="n"/>
      <c r="Q188" s="75" t="n"/>
      <c r="W188" s="64" t="n"/>
    </row>
    <row r="189" ht="15" customFormat="1" customHeight="1" s="65">
      <c r="B189" s="395" t="inlineStr">
        <is>
          <t>표준위험 수준에 상응하는 통상적 검토·감독을 수행함.</t>
        </is>
      </c>
      <c r="C189" s="374" t="n"/>
      <c r="D189" s="374" t="n"/>
      <c r="E189" s="374" t="n"/>
      <c r="F189" s="374" t="n"/>
      <c r="G189" s="374" t="n"/>
      <c r="H189" s="374" t="n"/>
      <c r="I189" s="374" t="n"/>
      <c r="J189" s="374" t="n"/>
      <c r="K189" s="374" t="n"/>
      <c r="L189" s="374" t="n"/>
      <c r="M189" s="374" t="n"/>
      <c r="N189" s="374" t="n"/>
      <c r="O189" s="374" t="n"/>
      <c r="P189" s="346" t="inlineStr">
        <is>
          <t>Link to guidance</t>
        </is>
      </c>
      <c r="Q189" s="75" t="n"/>
      <c r="W189" s="132" t="n"/>
    </row>
    <row r="190" customFormat="1" s="65">
      <c r="B190" s="380" t="n"/>
      <c r="C190" s="374" t="n"/>
      <c r="D190" s="374" t="n"/>
      <c r="E190" s="374" t="n"/>
      <c r="F190" s="374" t="n"/>
      <c r="G190" s="374" t="n"/>
      <c r="H190" s="374" t="n"/>
      <c r="I190" s="374" t="n"/>
      <c r="J190" s="374" t="n"/>
      <c r="K190" s="374" t="n"/>
      <c r="L190" s="374" t="n"/>
      <c r="M190" s="374" t="n"/>
      <c r="N190" s="374" t="n"/>
      <c r="O190" s="374" t="n"/>
      <c r="P190" s="381" t="n"/>
      <c r="Q190" s="75" t="n"/>
      <c r="W190" s="132" t="n"/>
    </row>
    <row r="191" ht="15.75" customHeight="1" thickBot="1">
      <c r="A191" s="65" t="n"/>
      <c r="B191" s="388" t="n"/>
      <c r="C191" s="389" t="n"/>
      <c r="D191" s="389" t="n"/>
      <c r="E191" s="389" t="n"/>
      <c r="F191" s="389" t="n"/>
      <c r="G191" s="389" t="n"/>
      <c r="H191" s="389" t="n"/>
      <c r="I191" s="389" t="n"/>
      <c r="J191" s="389" t="n"/>
      <c r="K191" s="389" t="n"/>
      <c r="L191" s="389" t="n"/>
      <c r="M191" s="389" t="n"/>
      <c r="N191" s="389" t="n"/>
      <c r="O191" s="389" t="n"/>
      <c r="P191" s="247" t="n"/>
      <c r="Q191" s="75" t="n"/>
    </row>
    <row r="192" ht="15" customFormat="1" customHeight="1" s="80">
      <c r="B192" s="28" t="n"/>
      <c r="C192" s="28" t="n"/>
      <c r="D192" s="28" t="n"/>
      <c r="E192" s="28" t="n"/>
      <c r="F192" s="28" t="n"/>
      <c r="G192" s="28" t="n"/>
      <c r="H192" s="28" t="n"/>
      <c r="I192" s="28" t="n"/>
      <c r="J192" s="28" t="n"/>
      <c r="K192" s="28" t="n"/>
      <c r="L192" s="28" t="n"/>
      <c r="M192" s="28" t="n"/>
      <c r="N192" s="28" t="n"/>
      <c r="O192" s="28" t="n"/>
      <c r="P192" s="129" t="n"/>
      <c r="Q192" s="87" t="n"/>
      <c r="R192" s="292" t="n"/>
      <c r="S192" s="293" t="n"/>
      <c r="T192" s="293" t="n"/>
      <c r="U192" s="293" t="n"/>
      <c r="V192" s="293" t="n"/>
      <c r="W192" s="84" t="n"/>
      <c r="X192" s="80">
        <f>Y192&amp;Z192</f>
        <v/>
      </c>
      <c r="Y192" s="80" t="inlineStr">
        <is>
          <t>Standard</t>
        </is>
      </c>
      <c r="Z192" s="80" t="inlineStr">
        <is>
          <t>High reliance</t>
        </is>
      </c>
      <c r="AA192" s="80" t="inlineStr">
        <is>
          <t>Standard</t>
        </is>
      </c>
    </row>
    <row r="193" ht="15" customFormat="1" customHeight="1" s="80">
      <c r="B193" s="29" t="n"/>
      <c r="C193" s="3" t="n"/>
      <c r="D193" s="3" t="n"/>
      <c r="E193" s="3" t="n"/>
      <c r="F193" s="3" t="n"/>
      <c r="G193" s="3" t="n"/>
      <c r="H193" s="3" t="n"/>
      <c r="I193" s="3" t="n"/>
      <c r="J193" s="3" t="n"/>
      <c r="K193" s="3" t="n"/>
      <c r="L193" s="3" t="n"/>
      <c r="M193" s="3" t="n"/>
      <c r="N193" s="3" t="n"/>
      <c r="O193" s="3" t="n"/>
      <c r="P193" s="130" t="n"/>
      <c r="Q193" s="88" t="n"/>
      <c r="R193" s="267" t="n"/>
      <c r="S193" s="268" t="n"/>
      <c r="T193" s="268" t="n"/>
      <c r="U193" s="268" t="n"/>
      <c r="V193" s="268" t="n"/>
      <c r="X193" s="80">
        <f>Y193&amp;Z193</f>
        <v/>
      </c>
      <c r="Y193" s="80" t="inlineStr">
        <is>
          <t>Standard</t>
        </is>
      </c>
      <c r="Z193" s="80" t="inlineStr">
        <is>
          <t>No reliance</t>
        </is>
      </c>
      <c r="AA193" s="80" t="inlineStr">
        <is>
          <t>Standard</t>
        </is>
      </c>
    </row>
    <row r="194" ht="15" customFormat="1" customHeight="1" s="80">
      <c r="B194" s="30" t="n"/>
      <c r="C194" s="28" t="n"/>
      <c r="D194" s="28" t="n"/>
      <c r="E194" s="28" t="n"/>
      <c r="F194" s="28" t="n"/>
      <c r="G194" s="28" t="n"/>
      <c r="H194" s="28" t="n"/>
      <c r="I194" s="28" t="n"/>
      <c r="J194" s="28" t="n"/>
      <c r="K194" s="28" t="n"/>
      <c r="L194" s="28" t="n"/>
      <c r="M194" s="28" t="n"/>
      <c r="N194" s="28" t="n"/>
      <c r="O194" s="28" t="n"/>
      <c r="P194" s="129" t="n"/>
      <c r="Q194" s="87" t="n"/>
      <c r="R194" s="292" t="n"/>
      <c r="S194" s="293" t="n"/>
      <c r="T194" s="293" t="n"/>
      <c r="U194" s="293" t="n"/>
      <c r="V194" s="293" t="n"/>
      <c r="W194" s="84" t="n"/>
      <c r="X194" s="80">
        <f>Y194&amp;Z194</f>
        <v/>
      </c>
      <c r="Y194" s="80" t="inlineStr">
        <is>
          <t>Enhanced</t>
        </is>
      </c>
      <c r="Z194" s="80" t="inlineStr">
        <is>
          <t>High reliance</t>
        </is>
      </c>
      <c r="AA194" s="80" t="inlineStr">
        <is>
          <t>Enhanced</t>
        </is>
      </c>
    </row>
    <row r="195" ht="15" customFormat="1" customHeight="1" s="80">
      <c r="B195" s="30" t="n"/>
      <c r="C195" s="28" t="n"/>
      <c r="D195" s="28" t="n"/>
      <c r="E195" s="28" t="n"/>
      <c r="F195" s="28" t="n"/>
      <c r="G195" s="28" t="n"/>
      <c r="H195" s="28" t="n"/>
      <c r="I195" s="28" t="n"/>
      <c r="J195" s="28" t="n"/>
      <c r="K195" s="28" t="n"/>
      <c r="L195" s="28" t="n"/>
      <c r="M195" s="28" t="n"/>
      <c r="N195" s="28" t="n"/>
      <c r="O195" s="28" t="n"/>
      <c r="P195" s="129" t="n"/>
      <c r="Q195" s="87" t="n"/>
      <c r="R195" s="292" t="n"/>
      <c r="S195" s="293" t="n"/>
      <c r="T195" s="293" t="n"/>
      <c r="U195" s="293" t="n"/>
      <c r="V195" s="293" t="n"/>
      <c r="W195" s="84" t="n"/>
      <c r="X195">
        <f>Y195&amp;Z195</f>
        <v/>
      </c>
      <c r="Y195" t="inlineStr">
        <is>
          <t>Enhanced</t>
        </is>
      </c>
      <c r="Z195" t="inlineStr">
        <is>
          <t>No reliance</t>
        </is>
      </c>
      <c r="AA195" t="inlineStr">
        <is>
          <t>Enhanced</t>
        </is>
      </c>
    </row>
    <row r="196" ht="15" customFormat="1" customHeight="1" s="80">
      <c r="B196" s="30" t="n"/>
      <c r="C196" s="28" t="n"/>
      <c r="D196" s="28" t="n"/>
      <c r="E196" s="28" t="n"/>
      <c r="F196" s="28" t="n"/>
      <c r="G196" s="28" t="n"/>
      <c r="H196" s="28" t="n"/>
      <c r="I196" s="28" t="n"/>
      <c r="J196" s="28" t="n"/>
      <c r="K196" s="28" t="n"/>
      <c r="L196" s="28" t="n"/>
      <c r="M196" s="28" t="n"/>
      <c r="N196" s="28" t="n"/>
      <c r="O196" s="28" t="n"/>
      <c r="P196" s="129" t="n"/>
      <c r="Q196" s="87" t="n"/>
      <c r="R196" s="292" t="n"/>
      <c r="S196" s="293" t="n"/>
      <c r="T196" s="293" t="n"/>
      <c r="U196" s="293" t="n"/>
      <c r="V196" s="293" t="n"/>
      <c r="W196" s="84" t="n"/>
      <c r="X196">
        <f>Y196&amp;Z196</f>
        <v/>
      </c>
      <c r="Y196" t="inlineStr">
        <is>
          <t>Significant</t>
        </is>
      </c>
      <c r="Z196" t="inlineStr">
        <is>
          <t>High reliance</t>
        </is>
      </c>
      <c r="AA196" t="inlineStr">
        <is>
          <t>Significant</t>
        </is>
      </c>
    </row>
    <row r="197" ht="15" customFormat="1" customHeight="1" s="80">
      <c r="B197" s="28" t="n"/>
      <c r="C197" s="28" t="n"/>
      <c r="D197" s="28" t="n"/>
      <c r="E197" s="28" t="n"/>
      <c r="F197" s="28" t="n"/>
      <c r="G197" s="28" t="n"/>
      <c r="H197" s="28" t="n"/>
      <c r="I197" s="28" t="n"/>
      <c r="J197" s="28" t="n"/>
      <c r="K197" s="28" t="n"/>
      <c r="L197" s="28" t="n"/>
      <c r="M197" s="28" t="n"/>
      <c r="N197" s="28" t="n"/>
      <c r="O197" s="28" t="n"/>
      <c r="P197" s="129" t="n"/>
      <c r="Q197" s="87" t="n"/>
      <c r="R197" s="292" t="n"/>
      <c r="S197" s="293" t="n"/>
      <c r="T197" s="293" t="n"/>
      <c r="U197" s="293" t="n"/>
      <c r="V197" s="293" t="n"/>
      <c r="W197" s="84" t="n"/>
      <c r="X197">
        <f>Y197&amp;Z197</f>
        <v/>
      </c>
      <c r="Y197" t="inlineStr">
        <is>
          <t>Significant</t>
        </is>
      </c>
      <c r="Z197" t="inlineStr">
        <is>
          <t>No reliance</t>
        </is>
      </c>
      <c r="AA197" t="inlineStr">
        <is>
          <t>Significant</t>
        </is>
      </c>
    </row>
    <row r="198" ht="15" customFormat="1" customHeight="1" s="80">
      <c r="B198" s="29" t="n"/>
      <c r="C198" s="3" t="n"/>
      <c r="D198" s="3" t="n"/>
      <c r="E198" s="3" t="n"/>
      <c r="F198" s="3" t="n"/>
      <c r="G198" s="3" t="n"/>
      <c r="H198" s="3" t="n"/>
      <c r="I198" s="3" t="n"/>
      <c r="J198" s="3" t="n"/>
      <c r="K198" s="3" t="n"/>
      <c r="L198" s="3" t="n"/>
      <c r="M198" s="3" t="n"/>
      <c r="N198" s="3" t="n"/>
      <c r="O198" s="3" t="n"/>
      <c r="P198" s="130" t="n"/>
      <c r="Q198" s="88" t="n"/>
      <c r="R198" s="267" t="n"/>
      <c r="S198" s="268" t="n"/>
      <c r="T198" s="268" t="n"/>
      <c r="U198" s="268" t="n"/>
      <c r="V198" s="268" t="n"/>
    </row>
    <row r="199" ht="15" customFormat="1" customHeight="1" s="80">
      <c r="B199" s="30" t="n"/>
      <c r="C199" s="28" t="n"/>
      <c r="D199" s="28" t="n"/>
      <c r="E199" s="28" t="n"/>
      <c r="F199" s="28" t="n"/>
      <c r="G199" s="28" t="n"/>
      <c r="H199" s="28" t="n"/>
      <c r="I199" s="28" t="n"/>
      <c r="J199" s="28" t="n"/>
      <c r="K199" s="28" t="n"/>
      <c r="L199" s="28" t="n"/>
      <c r="M199" s="28" t="n"/>
      <c r="N199" s="28" t="n"/>
      <c r="O199" s="28" t="n"/>
      <c r="P199" s="129" t="n"/>
      <c r="Q199" s="87" t="n"/>
      <c r="R199" s="292" t="n"/>
      <c r="S199" s="293" t="n"/>
      <c r="T199" s="293" t="n"/>
      <c r="U199" s="293" t="n"/>
      <c r="V199" s="293" t="n"/>
      <c r="W199" s="84" t="n"/>
    </row>
    <row r="200" ht="15" customFormat="1" customHeight="1" s="80">
      <c r="B200" s="28" t="n"/>
      <c r="C200" s="30" t="n"/>
      <c r="D200" s="28" t="n"/>
      <c r="E200" s="28" t="n"/>
      <c r="F200" s="28" t="n"/>
      <c r="G200" s="28" t="n"/>
      <c r="H200" s="28" t="n"/>
      <c r="I200" s="28" t="n"/>
      <c r="J200" s="28" t="n"/>
      <c r="K200" s="28" t="n"/>
      <c r="L200" s="28" t="n"/>
      <c r="M200" s="28" t="n"/>
      <c r="N200" s="28" t="n"/>
      <c r="O200" s="28" t="n"/>
      <c r="P200" s="129" t="n"/>
      <c r="Q200" s="87" t="n"/>
      <c r="R200" s="292" t="n"/>
      <c r="S200" s="293" t="n"/>
      <c r="T200" s="293" t="n"/>
      <c r="U200" s="293" t="n"/>
      <c r="V200" s="293" t="n"/>
      <c r="W200" s="84" t="n"/>
    </row>
    <row r="201" ht="15" customFormat="1" customHeight="1" s="80">
      <c r="B201" s="28" t="n"/>
      <c r="C201" s="30" t="n"/>
      <c r="D201" s="28" t="n"/>
      <c r="E201" s="28" t="n"/>
      <c r="F201" s="28" t="n"/>
      <c r="G201" s="28" t="n"/>
      <c r="H201" s="28" t="n"/>
      <c r="I201" s="28" t="n"/>
      <c r="J201" s="28" t="n"/>
      <c r="K201" s="28" t="n"/>
      <c r="L201" s="28" t="n"/>
      <c r="M201" s="28" t="n"/>
      <c r="N201" s="28" t="n"/>
      <c r="O201" s="28" t="n"/>
      <c r="P201" s="129" t="n"/>
      <c r="Q201" s="87" t="n"/>
      <c r="R201" s="292" t="n"/>
      <c r="S201" s="293" t="n"/>
      <c r="T201" s="293" t="n"/>
      <c r="U201" s="293" t="n"/>
      <c r="V201" s="293" t="n"/>
      <c r="W201" s="84" t="n"/>
    </row>
    <row r="202" ht="15" customFormat="1" customHeight="1" s="80">
      <c r="B202" s="28" t="n"/>
      <c r="C202" s="31" t="n"/>
      <c r="D202" s="28" t="n"/>
      <c r="E202" s="28" t="n"/>
      <c r="F202" s="28" t="n"/>
      <c r="G202" s="28" t="n"/>
      <c r="H202" s="28" t="n"/>
      <c r="I202" s="28" t="n"/>
      <c r="J202" s="28" t="n"/>
      <c r="K202" s="28" t="n"/>
      <c r="L202" s="28" t="n"/>
      <c r="M202" s="28" t="n"/>
      <c r="N202" s="28" t="n"/>
      <c r="O202" s="28" t="n"/>
      <c r="P202" s="129" t="n"/>
      <c r="Q202" s="87" t="n"/>
      <c r="R202" s="292" t="n"/>
      <c r="S202" s="293" t="n"/>
      <c r="T202" s="293" t="n"/>
      <c r="U202" s="293" t="n"/>
      <c r="V202" s="293" t="n"/>
      <c r="W202" s="84" t="n"/>
    </row>
    <row r="203" ht="15" customFormat="1" customHeight="1" s="80">
      <c r="B203" s="28" t="n"/>
      <c r="C203" s="28" t="n"/>
      <c r="D203" s="28" t="n"/>
      <c r="E203" s="28" t="n"/>
      <c r="F203" s="28" t="n"/>
      <c r="G203" s="28" t="n"/>
      <c r="H203" s="28" t="n"/>
      <c r="I203" s="28" t="n"/>
      <c r="J203" s="28" t="n"/>
      <c r="K203" s="28" t="n"/>
      <c r="L203" s="28" t="n"/>
      <c r="M203" s="28" t="n"/>
      <c r="N203" s="28" t="n"/>
      <c r="O203" s="28" t="n"/>
      <c r="P203" s="129" t="n"/>
      <c r="Q203" s="87" t="n"/>
      <c r="R203" s="292" t="n"/>
      <c r="S203" s="293" t="n"/>
      <c r="T203" s="293" t="n"/>
      <c r="U203" s="293" t="n"/>
      <c r="V203" s="293" t="n"/>
      <c r="W203" s="84" t="n"/>
    </row>
    <row r="204" ht="15" customFormat="1" customHeight="1" s="80">
      <c r="B204" s="29" t="n"/>
      <c r="C204" s="3" t="n"/>
      <c r="D204" s="3" t="n"/>
      <c r="E204" s="3" t="n"/>
      <c r="F204" s="3" t="n"/>
      <c r="G204" s="3" t="n"/>
      <c r="H204" s="3" t="n"/>
      <c r="I204" s="3" t="n"/>
      <c r="J204" s="3" t="n"/>
      <c r="K204" s="3" t="n"/>
      <c r="L204" s="3" t="n"/>
      <c r="M204" s="3" t="n"/>
      <c r="N204" s="3" t="n"/>
      <c r="O204" s="3" t="n"/>
      <c r="P204" s="130" t="n"/>
      <c r="Q204" s="88" t="n"/>
      <c r="R204" s="267" t="n"/>
      <c r="S204" s="268" t="n"/>
      <c r="T204" s="268" t="n"/>
      <c r="U204" s="268" t="n"/>
      <c r="V204" s="268" t="n"/>
    </row>
    <row r="205" ht="15" customFormat="1" customHeight="1" s="80">
      <c r="B205" s="28" t="n"/>
      <c r="C205" s="28" t="n"/>
      <c r="D205" s="28" t="n"/>
      <c r="E205" s="28" t="n"/>
      <c r="F205" s="28" t="n"/>
      <c r="G205" s="28" t="n"/>
      <c r="H205" s="28" t="n"/>
      <c r="I205" s="28" t="n"/>
      <c r="J205" s="28" t="n"/>
      <c r="K205" s="28" t="n"/>
      <c r="L205" s="28" t="n"/>
      <c r="M205" s="28" t="n"/>
      <c r="N205" s="28" t="n"/>
      <c r="O205" s="28" t="n"/>
      <c r="P205" s="129" t="n"/>
      <c r="Q205" s="87" t="n"/>
      <c r="R205" s="292" t="n"/>
      <c r="S205" s="293" t="n"/>
      <c r="T205" s="293" t="n"/>
      <c r="U205" s="293" t="n"/>
      <c r="V205" s="293" t="n"/>
      <c r="W205" s="84" t="n"/>
    </row>
    <row r="206" ht="15" customFormat="1" customHeight="1" s="80">
      <c r="B206" s="28" t="n"/>
      <c r="C206" s="28" t="n"/>
      <c r="D206" s="28" t="n"/>
      <c r="E206" s="28" t="n"/>
      <c r="F206" s="28" t="n"/>
      <c r="G206" s="28" t="n"/>
      <c r="H206" s="28" t="n"/>
      <c r="I206" s="28" t="n"/>
      <c r="J206" s="28" t="n"/>
      <c r="K206" s="28" t="n"/>
      <c r="L206" s="28" t="n"/>
      <c r="M206" s="28" t="n"/>
      <c r="N206" s="28" t="n"/>
      <c r="O206" s="28" t="n"/>
      <c r="P206" s="129" t="n"/>
      <c r="Q206" s="87" t="n"/>
      <c r="R206" s="292" t="n"/>
      <c r="S206" s="293" t="n"/>
      <c r="T206" s="293" t="n"/>
      <c r="U206" s="293" t="n"/>
      <c r="V206" s="293" t="n"/>
      <c r="W206" s="84" t="n"/>
    </row>
    <row r="207" ht="15" customFormat="1" customHeight="1" s="80">
      <c r="B207" s="28" t="n"/>
      <c r="C207" s="28" t="n"/>
      <c r="D207" s="28" t="n"/>
      <c r="E207" s="28" t="n"/>
      <c r="F207" s="28" t="n"/>
      <c r="G207" s="28" t="n"/>
      <c r="H207" s="28" t="n"/>
      <c r="I207" s="28" t="n"/>
      <c r="J207" s="28" t="n"/>
      <c r="K207" s="28" t="n"/>
      <c r="L207" s="28" t="n"/>
      <c r="M207" s="28" t="n"/>
      <c r="N207" s="28" t="n"/>
      <c r="O207" s="28" t="n"/>
      <c r="P207" s="129" t="n"/>
      <c r="Q207" s="87" t="n"/>
      <c r="R207" s="292" t="n"/>
      <c r="S207" s="293" t="n"/>
      <c r="T207" s="293" t="n"/>
      <c r="U207" s="293" t="n"/>
      <c r="V207" s="293" t="n"/>
      <c r="W207" s="84" t="n"/>
    </row>
    <row r="208" ht="15" customFormat="1" customHeight="1" s="80">
      <c r="B208" s="3" t="n"/>
      <c r="C208" s="3" t="n"/>
      <c r="D208" s="3" t="n"/>
      <c r="E208" s="3" t="n"/>
      <c r="F208" s="3" t="n"/>
      <c r="G208" s="3" t="n"/>
      <c r="H208" s="3" t="n"/>
      <c r="I208" s="3" t="n"/>
      <c r="J208" s="3" t="n"/>
      <c r="K208" s="3" t="n"/>
      <c r="L208" s="3" t="n"/>
      <c r="M208" s="3" t="n"/>
      <c r="N208" s="3" t="n"/>
      <c r="O208" s="3" t="n"/>
      <c r="P208" s="130" t="n"/>
      <c r="Q208" s="88" t="n"/>
      <c r="R208" s="267" t="n"/>
      <c r="S208" s="268" t="n"/>
      <c r="T208" s="268" t="n"/>
      <c r="U208" s="268" t="n"/>
      <c r="V208" s="268" t="n"/>
    </row>
    <row r="209" ht="15" customFormat="1" customHeight="1" s="80">
      <c r="B209" s="3" t="n"/>
      <c r="C209" s="3" t="n"/>
      <c r="D209" s="3" t="n"/>
      <c r="E209" s="3" t="n"/>
      <c r="F209" s="3" t="n"/>
      <c r="G209" s="3" t="n"/>
      <c r="H209" s="3" t="n"/>
      <c r="I209" s="3" t="n"/>
      <c r="J209" s="3" t="n"/>
      <c r="K209" s="3" t="n"/>
      <c r="L209" s="3" t="n"/>
      <c r="M209" s="3" t="n"/>
      <c r="N209" s="3" t="n"/>
      <c r="O209" s="3" t="n"/>
      <c r="P209" s="130" t="n"/>
      <c r="Q209" s="88" t="n"/>
      <c r="R209" s="267" t="n"/>
      <c r="S209" s="268" t="n"/>
      <c r="T209" s="268" t="n"/>
      <c r="U209" s="268" t="n"/>
      <c r="V209" s="268" t="n"/>
    </row>
    <row r="210" ht="15" customFormat="1" customHeight="1" s="80">
      <c r="B210" s="3" t="n"/>
      <c r="C210" s="3" t="n"/>
      <c r="D210" s="3" t="n"/>
      <c r="E210" s="3" t="n"/>
      <c r="F210" s="3" t="n"/>
      <c r="G210" s="3" t="n"/>
      <c r="H210" s="3" t="n"/>
      <c r="I210" s="3" t="n"/>
      <c r="J210" s="3" t="n"/>
      <c r="K210" s="3" t="n"/>
      <c r="L210" s="3" t="n"/>
      <c r="M210" s="3" t="n"/>
      <c r="N210" s="3" t="n"/>
      <c r="O210" s="3" t="n"/>
      <c r="P210" s="130" t="n"/>
      <c r="Q210" s="88" t="n"/>
      <c r="R210" s="267" t="n"/>
      <c r="S210" s="268" t="n"/>
      <c r="T210" s="268" t="n"/>
      <c r="U210" s="268" t="n"/>
      <c r="V210" s="268" t="n"/>
    </row>
    <row r="211" ht="15" customFormat="1" customHeight="1" s="80">
      <c r="B211" s="3" t="n"/>
      <c r="C211" s="3" t="n"/>
      <c r="D211" s="3" t="n"/>
      <c r="E211" s="3" t="n"/>
      <c r="F211" s="3" t="n"/>
      <c r="G211" s="3" t="n"/>
      <c r="H211" s="3" t="n"/>
      <c r="I211" s="3" t="n"/>
      <c r="J211" s="3" t="n"/>
      <c r="K211" s="3" t="n"/>
      <c r="L211" s="3" t="n"/>
      <c r="M211" s="3" t="n"/>
      <c r="N211" s="3" t="n"/>
      <c r="O211" s="3" t="n"/>
      <c r="P211" s="130" t="n"/>
      <c r="Q211" s="88" t="n"/>
      <c r="R211" s="267" t="n"/>
      <c r="S211" s="268" t="n"/>
      <c r="T211" s="268" t="n"/>
      <c r="U211" s="268" t="n"/>
      <c r="V211" s="268" t="n"/>
    </row>
    <row r="212" ht="15" customFormat="1" customHeight="1" s="80">
      <c r="B212" s="3" t="n"/>
      <c r="C212" s="3" t="n"/>
      <c r="D212" s="3" t="n"/>
      <c r="E212" s="3" t="n"/>
      <c r="F212" s="3" t="n"/>
      <c r="G212" s="3" t="n"/>
      <c r="H212" s="3" t="n"/>
      <c r="I212" s="3" t="n"/>
      <c r="J212" s="3" t="n"/>
      <c r="K212" s="3" t="n"/>
      <c r="L212" s="3" t="n"/>
      <c r="M212" s="3" t="n"/>
      <c r="N212" s="3" t="n"/>
      <c r="O212" s="3" t="n"/>
      <c r="P212" s="130" t="n"/>
      <c r="Q212" s="88" t="n"/>
      <c r="R212" s="267" t="n"/>
      <c r="S212" s="268" t="n"/>
      <c r="T212" s="268" t="n"/>
      <c r="U212" s="268" t="n"/>
      <c r="V212" s="268" t="n"/>
    </row>
    <row r="213" ht="15" customFormat="1" customHeight="1" s="80">
      <c r="B213" s="3" t="n"/>
      <c r="C213" s="3" t="n"/>
      <c r="D213" s="3" t="n"/>
      <c r="E213" s="3" t="n"/>
      <c r="F213" s="3" t="n"/>
      <c r="G213" s="3" t="n"/>
      <c r="H213" s="3" t="n"/>
      <c r="I213" s="3" t="n"/>
      <c r="J213" s="3" t="n"/>
      <c r="K213" s="3" t="n"/>
      <c r="L213" s="3" t="n"/>
      <c r="M213" s="3" t="n"/>
      <c r="N213" s="3" t="n"/>
      <c r="O213" s="3" t="n"/>
      <c r="P213" s="130" t="n"/>
      <c r="Q213" s="88" t="n"/>
      <c r="R213" s="267" t="n"/>
      <c r="S213" s="268" t="n"/>
      <c r="T213" s="268" t="n"/>
      <c r="U213" s="268" t="n"/>
      <c r="V213" s="268" t="n"/>
    </row>
    <row r="214" ht="15" customFormat="1" customHeight="1" s="80">
      <c r="B214" s="3" t="n"/>
      <c r="C214" s="3" t="n"/>
      <c r="D214" s="3" t="n"/>
      <c r="E214" s="3" t="n"/>
      <c r="F214" s="3" t="n"/>
      <c r="G214" s="3" t="n"/>
      <c r="H214" s="3" t="n"/>
      <c r="I214" s="3" t="n"/>
      <c r="J214" s="3" t="n"/>
      <c r="K214" s="3" t="n"/>
      <c r="L214" s="3" t="n"/>
      <c r="M214" s="3" t="n"/>
      <c r="N214" s="3" t="n"/>
      <c r="O214" s="3" t="n"/>
      <c r="P214" s="130" t="n"/>
      <c r="Q214" s="88" t="n"/>
      <c r="R214" s="267" t="n"/>
      <c r="S214" s="268" t="n"/>
      <c r="T214" s="268" t="n"/>
      <c r="U214" s="268" t="n"/>
      <c r="V214" s="268" t="n"/>
    </row>
    <row r="215" ht="15" customFormat="1" customHeight="1" s="80">
      <c r="B215" s="3" t="n"/>
      <c r="C215" s="3" t="n"/>
      <c r="D215" s="3" t="n"/>
      <c r="E215" s="3" t="n"/>
      <c r="F215" s="3" t="n"/>
      <c r="G215" s="3" t="n"/>
      <c r="H215" s="3" t="n"/>
      <c r="I215" s="3" t="n"/>
      <c r="J215" s="3" t="n"/>
      <c r="K215" s="3" t="n"/>
      <c r="L215" s="3" t="n"/>
      <c r="M215" s="3" t="n"/>
      <c r="N215" s="3" t="n"/>
      <c r="O215" s="3" t="n"/>
      <c r="P215" s="130" t="n"/>
      <c r="Q215" s="88" t="n"/>
      <c r="R215" s="267" t="n"/>
      <c r="S215" s="268" t="n"/>
      <c r="T215" s="268" t="n"/>
      <c r="U215" s="268" t="n"/>
      <c r="V215" s="268" t="n"/>
    </row>
    <row r="216" ht="15" customFormat="1" customHeight="1" s="80">
      <c r="B216" s="3" t="n"/>
      <c r="C216" s="3" t="n"/>
      <c r="D216" s="3" t="n"/>
      <c r="E216" s="3" t="n"/>
      <c r="F216" s="3" t="n"/>
      <c r="G216" s="3" t="n"/>
      <c r="H216" s="3" t="n"/>
      <c r="I216" s="3" t="n"/>
      <c r="J216" s="3" t="n"/>
      <c r="K216" s="3" t="n"/>
      <c r="L216" s="3" t="n"/>
      <c r="M216" s="3" t="n"/>
      <c r="N216" s="3" t="n"/>
      <c r="O216" s="3" t="n"/>
      <c r="P216" s="130" t="n"/>
      <c r="Q216" s="88" t="n"/>
      <c r="R216" s="267" t="n"/>
      <c r="S216" s="268" t="n"/>
      <c r="T216" s="268" t="n"/>
      <c r="U216" s="268" t="n"/>
      <c r="V216" s="268" t="n"/>
    </row>
    <row r="217" ht="15" customFormat="1" customHeight="1" s="80">
      <c r="B217" s="3" t="n"/>
      <c r="C217" s="3" t="n"/>
      <c r="D217" s="3" t="n"/>
      <c r="E217" s="3" t="n"/>
      <c r="F217" s="3" t="n"/>
      <c r="G217" s="3" t="n"/>
      <c r="H217" s="3" t="n"/>
      <c r="I217" s="3" t="n"/>
      <c r="J217" s="3" t="n"/>
      <c r="K217" s="3" t="n"/>
      <c r="L217" s="3" t="n"/>
      <c r="M217" s="3" t="n"/>
      <c r="N217" s="3" t="n"/>
      <c r="O217" s="3" t="n"/>
      <c r="P217" s="130" t="n"/>
      <c r="Q217" s="88" t="n"/>
      <c r="R217" s="267" t="n"/>
      <c r="S217" s="268" t="n"/>
      <c r="T217" s="268" t="n"/>
      <c r="U217" s="268" t="n"/>
      <c r="V217" s="268" t="n"/>
    </row>
    <row r="218" ht="15" customFormat="1" customHeight="1" s="80">
      <c r="B218" s="3" t="n"/>
      <c r="C218" s="3" t="n"/>
      <c r="D218" s="3" t="n"/>
      <c r="E218" s="3" t="n"/>
      <c r="F218" s="3" t="n"/>
      <c r="G218" s="3" t="n"/>
      <c r="H218" s="3" t="n"/>
      <c r="I218" s="3" t="n"/>
      <c r="J218" s="3" t="n"/>
      <c r="K218" s="3" t="n"/>
      <c r="L218" s="3" t="n"/>
      <c r="M218" s="3" t="n"/>
      <c r="N218" s="3" t="n"/>
      <c r="O218" s="3" t="n"/>
      <c r="P218" s="130" t="n"/>
      <c r="Q218" s="88" t="n"/>
      <c r="R218" s="267" t="n"/>
      <c r="S218" s="268" t="n"/>
      <c r="T218" s="268" t="n"/>
      <c r="U218" s="268" t="n"/>
      <c r="V218" s="268" t="n"/>
    </row>
    <row r="219" ht="15" customFormat="1" customHeight="1" s="80">
      <c r="B219" s="3" t="n"/>
      <c r="C219" s="3" t="n"/>
      <c r="D219" s="3" t="n"/>
      <c r="E219" s="3" t="n"/>
      <c r="F219" s="3" t="n"/>
      <c r="G219" s="3" t="n"/>
      <c r="H219" s="3" t="n"/>
      <c r="I219" s="3" t="n"/>
      <c r="J219" s="3" t="n"/>
      <c r="K219" s="3" t="n"/>
      <c r="L219" s="3" t="n"/>
      <c r="M219" s="3" t="n"/>
      <c r="N219" s="3" t="n"/>
      <c r="O219" s="3" t="n"/>
      <c r="P219" s="130" t="n"/>
      <c r="Q219" s="88" t="n"/>
      <c r="R219" s="267" t="n"/>
      <c r="S219" s="268" t="n"/>
      <c r="T219" s="268" t="n"/>
      <c r="U219" s="268" t="n"/>
      <c r="V219" s="268" t="n"/>
    </row>
    <row r="220" ht="15" customFormat="1" customHeight="1" s="80">
      <c r="B220" s="3" t="n"/>
      <c r="C220" s="3" t="n"/>
      <c r="D220" s="3" t="n"/>
      <c r="E220" s="3" t="n"/>
      <c r="F220" s="3" t="n"/>
      <c r="G220" s="3" t="n"/>
      <c r="H220" s="3" t="n"/>
      <c r="I220" s="3" t="n"/>
      <c r="J220" s="3" t="n"/>
      <c r="K220" s="3" t="n"/>
      <c r="L220" s="3" t="n"/>
      <c r="M220" s="3" t="n"/>
      <c r="N220" s="3" t="n"/>
      <c r="O220" s="3" t="n"/>
      <c r="P220" s="130" t="n"/>
      <c r="Q220" s="88" t="n"/>
      <c r="R220" s="267" t="n"/>
      <c r="S220" s="268" t="n"/>
      <c r="T220" s="268" t="n"/>
      <c r="U220" s="268" t="n"/>
      <c r="V220" s="268" t="n"/>
    </row>
    <row r="221" ht="15" customFormat="1" customHeight="1" s="80">
      <c r="B221" s="3" t="n"/>
      <c r="C221" s="3" t="n"/>
      <c r="D221" s="3" t="n"/>
      <c r="E221" s="3" t="n"/>
      <c r="F221" s="3" t="n"/>
      <c r="G221" s="3" t="n"/>
      <c r="H221" s="3" t="n"/>
      <c r="I221" s="3" t="n"/>
      <c r="J221" s="3" t="n"/>
      <c r="K221" s="3" t="n"/>
      <c r="L221" s="3" t="n"/>
      <c r="M221" s="3" t="n"/>
      <c r="N221" s="3" t="n"/>
      <c r="O221" s="3" t="n"/>
      <c r="P221" s="130" t="n"/>
      <c r="Q221" s="88" t="n"/>
      <c r="R221" s="267" t="n"/>
      <c r="S221" s="268" t="n"/>
      <c r="T221" s="268" t="n"/>
      <c r="U221" s="268" t="n"/>
      <c r="V221" s="268" t="n"/>
    </row>
    <row r="222" ht="15" customFormat="1" customHeight="1" s="80">
      <c r="B222" s="3" t="n"/>
      <c r="C222" s="3" t="n"/>
      <c r="D222" s="3" t="n"/>
      <c r="E222" s="3" t="n"/>
      <c r="F222" s="3" t="n"/>
      <c r="G222" s="3" t="n"/>
      <c r="H222" s="3" t="n"/>
      <c r="I222" s="3" t="n"/>
      <c r="J222" s="3" t="n"/>
      <c r="K222" s="3" t="n"/>
      <c r="L222" s="3" t="n"/>
      <c r="M222" s="3" t="n"/>
      <c r="N222" s="3" t="n"/>
      <c r="O222" s="3" t="n"/>
      <c r="P222" s="130" t="n"/>
      <c r="Q222" s="88" t="n"/>
      <c r="R222" s="267" t="n"/>
      <c r="S222" s="268" t="n"/>
      <c r="T222" s="268" t="n"/>
      <c r="U222" s="268" t="n"/>
      <c r="V222" s="268" t="n"/>
    </row>
    <row r="223" ht="15" customFormat="1" customHeight="1" s="80">
      <c r="B223" s="3" t="n"/>
      <c r="C223" s="3" t="n"/>
      <c r="D223" s="3" t="n"/>
      <c r="E223" s="3" t="n"/>
      <c r="F223" s="3" t="n"/>
      <c r="G223" s="3" t="n"/>
      <c r="H223" s="3" t="n"/>
      <c r="I223" s="3" t="n"/>
      <c r="J223" s="3" t="n"/>
      <c r="K223" s="3" t="n"/>
      <c r="L223" s="3" t="n"/>
      <c r="M223" s="3" t="n"/>
      <c r="N223" s="3" t="n"/>
      <c r="O223" s="3" t="n"/>
      <c r="P223" s="130" t="n"/>
      <c r="Q223" s="88" t="n"/>
      <c r="R223" s="267" t="n"/>
      <c r="S223" s="268" t="n"/>
      <c r="T223" s="268" t="n"/>
      <c r="U223" s="268" t="n"/>
      <c r="V223" s="268" t="n"/>
    </row>
    <row r="224" ht="15" customFormat="1" customHeight="1" s="80">
      <c r="B224" s="3" t="n"/>
      <c r="C224" s="3" t="n"/>
      <c r="D224" s="3" t="n"/>
      <c r="E224" s="3" t="n"/>
      <c r="F224" s="3" t="n"/>
      <c r="G224" s="3" t="n"/>
      <c r="H224" s="3" t="n"/>
      <c r="I224" s="3" t="n"/>
      <c r="J224" s="3" t="n"/>
      <c r="K224" s="3" t="n"/>
      <c r="L224" s="3" t="n"/>
      <c r="M224" s="3" t="n"/>
      <c r="N224" s="3" t="n"/>
      <c r="O224" s="3" t="n"/>
      <c r="P224" s="130" t="n"/>
      <c r="Q224" s="88" t="n"/>
      <c r="R224" s="267" t="n"/>
      <c r="S224" s="268" t="n"/>
      <c r="T224" s="268" t="n"/>
      <c r="U224" s="268" t="n"/>
      <c r="V224" s="268" t="n"/>
    </row>
    <row r="225" ht="15" customFormat="1" customHeight="1" s="80">
      <c r="B225" s="3" t="n"/>
      <c r="C225" s="3" t="n"/>
      <c r="D225" s="3" t="n"/>
      <c r="E225" s="3" t="n"/>
      <c r="F225" s="3" t="n"/>
      <c r="G225" s="3" t="n"/>
      <c r="H225" s="3" t="n"/>
      <c r="I225" s="3" t="n"/>
      <c r="J225" s="3" t="n"/>
      <c r="K225" s="3" t="n"/>
      <c r="L225" s="3" t="n"/>
      <c r="M225" s="3" t="n"/>
      <c r="N225" s="3" t="n"/>
      <c r="O225" s="3" t="n"/>
      <c r="P225" s="130" t="n"/>
      <c r="Q225" s="88" t="n"/>
      <c r="R225" s="267" t="n"/>
      <c r="S225" s="268" t="n"/>
      <c r="T225" s="268" t="n"/>
      <c r="U225" s="268" t="n"/>
      <c r="V225" s="268" t="n"/>
    </row>
    <row r="226" ht="15" customFormat="1" customHeight="1" s="80">
      <c r="B226" s="3" t="n"/>
      <c r="C226" s="3" t="n"/>
      <c r="D226" s="3" t="n"/>
      <c r="E226" s="3" t="n"/>
      <c r="F226" s="3" t="n"/>
      <c r="G226" s="3" t="n"/>
      <c r="H226" s="3" t="n"/>
      <c r="I226" s="3" t="n"/>
      <c r="J226" s="3" t="n"/>
      <c r="K226" s="3" t="n"/>
      <c r="L226" s="3" t="n"/>
      <c r="M226" s="3" t="n"/>
      <c r="N226" s="3" t="n"/>
      <c r="O226" s="3" t="n"/>
      <c r="P226" s="130" t="n"/>
      <c r="Q226" s="88" t="n"/>
      <c r="R226" s="267" t="n"/>
      <c r="S226" s="268" t="n"/>
      <c r="T226" s="268" t="n"/>
      <c r="U226" s="268" t="n"/>
      <c r="V226" s="268" t="n"/>
    </row>
    <row r="227" ht="15" customFormat="1" customHeight="1" s="80">
      <c r="B227" s="3" t="n"/>
      <c r="C227" s="3" t="n"/>
      <c r="D227" s="3" t="n"/>
      <c r="E227" s="3" t="n"/>
      <c r="F227" s="3" t="n"/>
      <c r="G227" s="3" t="n"/>
      <c r="H227" s="3" t="n"/>
      <c r="I227" s="3" t="n"/>
      <c r="J227" s="3" t="n"/>
      <c r="K227" s="3" t="n"/>
      <c r="L227" s="3" t="n"/>
      <c r="M227" s="3" t="n"/>
      <c r="N227" s="3" t="n"/>
      <c r="O227" s="3" t="n"/>
      <c r="P227" s="130" t="n"/>
      <c r="Q227" s="88" t="n"/>
      <c r="R227" s="267" t="n"/>
      <c r="S227" s="268" t="n"/>
      <c r="T227" s="268" t="n"/>
      <c r="U227" s="268" t="n"/>
      <c r="V227" s="268" t="n"/>
    </row>
    <row r="228" ht="15" customFormat="1" customHeight="1" s="80">
      <c r="B228" s="3" t="n"/>
      <c r="C228" s="3" t="n"/>
      <c r="D228" s="3" t="n"/>
      <c r="E228" s="3" t="n"/>
      <c r="F228" s="3" t="n"/>
      <c r="G228" s="3" t="n"/>
      <c r="H228" s="3" t="n"/>
      <c r="I228" s="3" t="n"/>
      <c r="J228" s="3" t="n"/>
      <c r="K228" s="3" t="n"/>
      <c r="L228" s="3" t="n"/>
      <c r="M228" s="3" t="n"/>
      <c r="N228" s="3" t="n"/>
      <c r="O228" s="3" t="n"/>
      <c r="P228" s="130" t="n"/>
      <c r="Q228" s="88" t="n"/>
      <c r="R228" s="267" t="n"/>
      <c r="S228" s="268" t="n"/>
      <c r="T228" s="268" t="n"/>
      <c r="U228" s="268" t="n"/>
      <c r="V228" s="268" t="n"/>
    </row>
    <row r="229" ht="15" customFormat="1" customHeight="1" s="80">
      <c r="B229" s="3" t="n"/>
      <c r="C229" s="3" t="n"/>
      <c r="D229" s="3" t="n"/>
      <c r="E229" s="3" t="n"/>
      <c r="F229" s="3" t="n"/>
      <c r="G229" s="3" t="n"/>
      <c r="H229" s="3" t="n"/>
      <c r="I229" s="3" t="n"/>
      <c r="J229" s="3" t="n"/>
      <c r="K229" s="3" t="n"/>
      <c r="L229" s="3" t="n"/>
      <c r="M229" s="3" t="n"/>
      <c r="N229" s="3" t="n"/>
      <c r="O229" s="3" t="n"/>
      <c r="P229" s="130" t="n"/>
      <c r="Q229" s="88" t="n"/>
      <c r="R229" s="267" t="n"/>
      <c r="S229" s="268" t="n"/>
      <c r="T229" s="268" t="n"/>
      <c r="U229" s="268" t="n"/>
      <c r="V229" s="268" t="n"/>
    </row>
  </sheetData>
  <mergeCells count="88">
    <mergeCell ref="B144:O146"/>
    <mergeCell ref="B51:O53"/>
    <mergeCell ref="P59:P60"/>
    <mergeCell ref="B185:O187"/>
    <mergeCell ref="B63:O65"/>
    <mergeCell ref="P21:P22"/>
    <mergeCell ref="P67:P68"/>
    <mergeCell ref="B49:O50"/>
    <mergeCell ref="R3:V4"/>
    <mergeCell ref="R185:V190"/>
    <mergeCell ref="R137:V139"/>
    <mergeCell ref="B99:O102"/>
    <mergeCell ref="B27:O29"/>
    <mergeCell ref="P185:P186"/>
    <mergeCell ref="B67:O69"/>
    <mergeCell ref="B17:O19"/>
    <mergeCell ref="G90:I90"/>
    <mergeCell ref="B104:O107"/>
    <mergeCell ref="P71:P72"/>
    <mergeCell ref="B26:J26"/>
    <mergeCell ref="B173:P173"/>
    <mergeCell ref="P177:P178"/>
    <mergeCell ref="B120:K120"/>
    <mergeCell ref="P40:P42"/>
    <mergeCell ref="B55:O57"/>
    <mergeCell ref="B189:O191"/>
    <mergeCell ref="B45:O47"/>
    <mergeCell ref="P51:P52"/>
    <mergeCell ref="P189:P190"/>
    <mergeCell ref="B122:O122"/>
    <mergeCell ref="L1:N1"/>
    <mergeCell ref="R78:V80"/>
    <mergeCell ref="B40:O43"/>
    <mergeCell ref="G80:I80"/>
    <mergeCell ref="B21:O23"/>
    <mergeCell ref="P126:P127"/>
    <mergeCell ref="P36:P37"/>
    <mergeCell ref="B71:O73"/>
    <mergeCell ref="P116:P117"/>
    <mergeCell ref="P181:P182"/>
    <mergeCell ref="R87:V91"/>
    <mergeCell ref="B181:O183"/>
    <mergeCell ref="P13:P14"/>
    <mergeCell ref="B128:O130"/>
    <mergeCell ref="B137:O139"/>
    <mergeCell ref="R140:V140"/>
    <mergeCell ref="B31:M31"/>
    <mergeCell ref="P144:P145"/>
    <mergeCell ref="R162:V165"/>
    <mergeCell ref="P63:P64"/>
    <mergeCell ref="P128:P129"/>
    <mergeCell ref="B36:O38"/>
    <mergeCell ref="B123:O125"/>
    <mergeCell ref="B85:O87"/>
    <mergeCell ref="B116:O119"/>
    <mergeCell ref="L4:N4"/>
    <mergeCell ref="B75:O77"/>
    <mergeCell ref="P120:P121"/>
    <mergeCell ref="C2:E2"/>
    <mergeCell ref="P161:P162"/>
    <mergeCell ref="P17:P18"/>
    <mergeCell ref="R123:V131"/>
    <mergeCell ref="P75:P76"/>
    <mergeCell ref="P156:P157"/>
    <mergeCell ref="L2:N2"/>
    <mergeCell ref="R7:V8"/>
    <mergeCell ref="B8:Q8"/>
    <mergeCell ref="P55:P56"/>
    <mergeCell ref="B177:O179"/>
    <mergeCell ref="B111:O114"/>
    <mergeCell ref="L3:N3"/>
    <mergeCell ref="P45:P46"/>
    <mergeCell ref="C1:E1"/>
    <mergeCell ref="P141:P143"/>
    <mergeCell ref="B161:O168"/>
    <mergeCell ref="B59:O61"/>
    <mergeCell ref="I169:O169"/>
    <mergeCell ref="P111:P112"/>
    <mergeCell ref="B108:O109"/>
    <mergeCell ref="R45:V47"/>
    <mergeCell ref="B13:O15"/>
    <mergeCell ref="B32:M32"/>
    <mergeCell ref="R11:V14"/>
    <mergeCell ref="P139:P140"/>
    <mergeCell ref="B127:O127"/>
    <mergeCell ref="P123:P124"/>
    <mergeCell ref="P104:P105"/>
    <mergeCell ref="P85:P86"/>
  </mergeCells>
  <dataValidations count="5">
    <dataValidation sqref="K26" showDropDown="0" showInputMessage="0" showErrorMessage="0" allowBlank="1" type="list">
      <formula1>"Yes,No"</formula1>
    </dataValidation>
    <dataValidation sqref="E78 F88" showDropDown="0" showInputMessage="0" showErrorMessage="0" allowBlank="1" type="list">
      <formula1>$X$77:$X$78</formula1>
    </dataValidation>
    <dataValidation sqref="N103 N110 N115" showDropDown="0" showInputMessage="0" showErrorMessage="0" allowBlank="1" type="list">
      <formula1>$X$103:$X$105</formula1>
    </dataValidation>
    <dataValidation sqref="H140" showDropDown="0" showInputMessage="0" showErrorMessage="0" allowBlank="1" type="list">
      <formula1>$X$139:$X$140</formula1>
    </dataValidation>
    <dataValidation sqref="L126" showDropDown="0" showInputMessage="0" showErrorMessage="0" allowBlank="1" type="list">
      <formula1>$X$118:$X$120</formula1>
    </dataValidation>
  </dataValidations>
  <hyperlinks>
    <hyperlink ref="P13" location="'Guidance (Do not delete)'!B7" display="Link to guidance"/>
    <hyperlink ref="P17" location="'Guidance (Do not delete)'!B13" display="Link to guidance"/>
    <hyperlink ref="P21" location="'Guidance (Do not delete)'!B20" display="Link to guidance"/>
    <hyperlink ref="P36" location="'Guidance (Do not delete)'!B30" display="Link to guidance"/>
    <hyperlink ref="P40" location="'Guidance (Do not delete)'!B40" display="Link to guidance"/>
    <hyperlink ref="P45" location="'Guidance (Do not delete)'!B50" display="Link to guidance"/>
    <hyperlink ref="P51" location="'Guidance (Do not delete)'!B65" display="Link to guidance"/>
    <hyperlink ref="P55" location="'Guidance (Do not delete)'!B69" display="Link to guidance"/>
    <hyperlink ref="P59" location="'Guidance (Do not delete)'!B83" display="Link to guidance"/>
    <hyperlink ref="P63" location="'Guidance (Do not delete)'!B88" display="Link to guidance"/>
    <hyperlink ref="P67" location="'Guidance (Do not delete)'!B96" display="Link to guidance"/>
    <hyperlink ref="P71" location="'Guidance (Do not delete)'!B100" display="Link to guidance"/>
    <hyperlink ref="P75" location="'Guidance (Do not delete)'!B105" display="Link to guidance"/>
    <hyperlink ref="P85" location="'Guidance (Do not delete)'!B114" display="Link to guidance"/>
    <hyperlink ref="P104" location="'Guidance (Do not delete)'!B141" display="Link to guidance"/>
    <hyperlink ref="P111" location="'Guidance (Do not delete)'!B151" display="Link to guidance"/>
    <hyperlink ref="P116" location="'Guidance (Do not delete)'!B160" display="Link to guidance"/>
    <hyperlink ref="P120" location="'Guidance (Do not delete)'!B167" display="Link to guidance"/>
    <hyperlink ref="P123" location="'Guidance (Do not delete)'!B173" display="Link to guidance"/>
    <hyperlink ref="P126" location="'Guidance (Do not delete)'!B178" display="Link to guidance"/>
    <hyperlink ref="P128" location="'Guidance (Do not delete)'!B201" display="Link to guidance"/>
    <hyperlink ref="P139" location="'Guidance (Do not delete)'!B217" display="Link to guidance"/>
    <hyperlink ref="P141" location="'Guidance (Do not delete)'!B222" display="Link to guidance"/>
    <hyperlink ref="P156" location="'Guidance (Do not delete)'!B240" display="Link to guidance"/>
    <hyperlink ref="P161" location="'Guidance (Do not delete)'!B250" display="Link to guidance"/>
    <hyperlink ref="P177" location="'Guidance (Do not delete)'!B326" display="Link to guidance"/>
    <hyperlink ref="P181" location="'Guidance (Do not delete)'!B333" display="Link to guidance"/>
    <hyperlink ref="P185" location="'Guidance (Do not delete)'!B337" display="Link to guidance"/>
    <hyperlink ref="P189" location="'Guidance (Do not delete)'!B341" display="Link to guidance"/>
  </hyperlinks>
  <pageMargins left="0.7" right="0.7" top="0.75" bottom="0.75" header="0.3" footer="0.3"/>
  <pageSetup orientation="portrait" paperSize="9"/>
</worksheet>
</file>

<file path=xl/worksheets/sheet5.xml><?xml version="1.0" encoding="utf-8"?>
<worksheet xmlns="http://schemas.openxmlformats.org/spreadsheetml/2006/main">
  <sheetPr codeName="Sheet1">
    <tabColor rgb="FF0072CE"/>
    <outlinePr summaryBelow="1" summaryRight="1"/>
    <pageSetUpPr/>
  </sheetPr>
  <dimension ref="A1:AA229"/>
  <sheetViews>
    <sheetView showGridLines="0" workbookViewId="0">
      <selection activeCell="A1" sqref="A1"/>
    </sheetView>
  </sheetViews>
  <sheetFormatPr baseColWidth="8" defaultColWidth="0" defaultRowHeight="15" zeroHeight="1"/>
  <cols>
    <col width="3.625" customWidth="1" style="79" min="1" max="1"/>
    <col width="11.875" customWidth="1" style="4" min="2" max="2"/>
    <col width="10.375" customWidth="1" style="4" min="3" max="3"/>
    <col width="9.375" customWidth="1" style="4" min="4" max="4"/>
    <col width="14.625" customWidth="1" style="4" min="5" max="5"/>
    <col width="11.875" customWidth="1" style="4" min="6" max="6"/>
    <col width="7.75" customWidth="1" style="4" min="7" max="9"/>
    <col width="13.625" customWidth="1" style="4" min="10" max="10"/>
    <col width="20.125" customWidth="1" style="4" min="11" max="11"/>
    <col width="16.375" customWidth="1" style="4" min="12" max="12"/>
    <col width="4.125" customWidth="1" style="4" min="13" max="13"/>
    <col width="11.75" customWidth="1" style="4" min="14" max="14"/>
    <col width="20.375" customWidth="1" style="4" min="15" max="15"/>
    <col width="19.125" customWidth="1" style="126" min="16" max="16"/>
    <col width="8.75" customWidth="1" style="89" min="17" max="17"/>
    <col hidden="1" width="11.375" customWidth="1" style="267" min="18" max="18"/>
    <col hidden="1" width="11.375" customWidth="1" style="268" min="19" max="21"/>
    <col hidden="1" width="23.625" customWidth="1" style="268" min="22" max="22"/>
    <col hidden="1" width="54.375" customWidth="1" style="80" min="23" max="23"/>
    <col hidden="1" width="54.375" customWidth="1" style="79" min="24" max="16384"/>
  </cols>
  <sheetData>
    <row r="1" ht="42" customFormat="1" customHeight="1" s="55">
      <c r="B1" s="265" t="inlineStr">
        <is>
          <t>Client:</t>
        </is>
      </c>
      <c r="C1" s="373" t="inlineStr">
        <is>
          <t>파타고니아코리아 (주) (Patagonia Korea)</t>
        </is>
      </c>
      <c r="D1" s="374" t="n"/>
      <c r="E1" s="374" t="n"/>
      <c r="F1" s="266" t="n"/>
      <c r="G1" s="266" t="n"/>
      <c r="H1" s="266" t="n"/>
      <c r="I1" s="266" t="n"/>
      <c r="J1" s="266" t="n"/>
      <c r="K1" s="265" t="inlineStr">
        <is>
          <t>Reference:</t>
        </is>
      </c>
      <c r="L1" s="373" t="inlineStr">
        <is>
          <t>(첨부6 예정)</t>
        </is>
      </c>
      <c r="M1" s="374" t="n"/>
      <c r="N1" s="374" t="n"/>
      <c r="O1" s="43" t="n"/>
      <c r="P1" s="127" t="n"/>
      <c r="Q1" s="43" t="n"/>
      <c r="R1" s="267" t="n"/>
      <c r="S1" s="268" t="n"/>
      <c r="T1" s="268" t="n"/>
      <c r="U1" s="268" t="n"/>
      <c r="V1" s="268" t="n"/>
      <c r="W1" s="53" t="n"/>
      <c r="X1" s="54" t="n"/>
      <c r="Y1" s="54" t="n"/>
      <c r="Z1" s="54" t="n"/>
      <c r="AA1" s="54" t="n"/>
    </row>
    <row r="2" ht="17.25" customFormat="1" customHeight="1" s="55">
      <c r="B2" s="248" t="inlineStr">
        <is>
          <t>Year end:</t>
        </is>
      </c>
      <c r="C2" s="375" t="inlineStr">
        <is>
          <t>2026-04-30</t>
        </is>
      </c>
      <c r="D2" s="374" t="n"/>
      <c r="E2" s="374" t="n"/>
      <c r="F2" s="41" t="n"/>
      <c r="G2" s="41" t="n"/>
      <c r="H2" s="41" t="n"/>
      <c r="I2" s="41" t="n"/>
      <c r="J2" s="41" t="n"/>
      <c r="K2" s="248" t="inlineStr">
        <is>
          <t>Prepared by:</t>
        </is>
      </c>
      <c r="L2" s="376" t="inlineStr"/>
      <c r="M2" s="374" t="n"/>
      <c r="N2" s="374" t="n"/>
      <c r="O2" s="43" t="n"/>
      <c r="P2" s="127" t="n"/>
      <c r="Q2" s="43" t="n"/>
      <c r="R2" s="267" t="n"/>
      <c r="S2" s="268" t="n"/>
      <c r="T2" s="268" t="n"/>
      <c r="U2" s="268" t="n"/>
      <c r="V2" s="268" t="n"/>
      <c r="W2" s="53" t="n"/>
      <c r="X2" s="54" t="n"/>
      <c r="Y2" s="54" t="n"/>
      <c r="Z2" s="54" t="n"/>
      <c r="AA2" s="54" t="n"/>
    </row>
    <row r="3" ht="18" customFormat="1" customHeight="1" s="55">
      <c r="B3" s="248" t="n"/>
      <c r="C3" s="377" t="n"/>
      <c r="D3" s="41" t="n"/>
      <c r="E3" s="41" t="n"/>
      <c r="F3" s="41" t="n"/>
      <c r="G3" s="41" t="n"/>
      <c r="H3" s="41" t="n"/>
      <c r="I3" s="41" t="n"/>
      <c r="J3" s="41" t="n"/>
      <c r="K3" s="248" t="inlineStr">
        <is>
          <t>Date:</t>
        </is>
      </c>
      <c r="L3" s="375" t="inlineStr"/>
      <c r="M3" s="374" t="n"/>
      <c r="N3" s="374" t="n"/>
      <c r="O3" s="43" t="n"/>
      <c r="P3" s="127" t="n"/>
      <c r="Q3" s="43" t="n"/>
      <c r="R3" s="359" t="inlineStr">
        <is>
          <t>Guidance notes on how fields interact with Atlas Next Generation</t>
        </is>
      </c>
      <c r="S3" s="374" t="n"/>
      <c r="T3" s="374" t="n"/>
      <c r="U3" s="374" t="n"/>
      <c r="V3" s="374" t="n"/>
      <c r="W3" s="53" t="n"/>
      <c r="X3" s="54" t="n"/>
      <c r="Y3" s="54" t="n"/>
      <c r="Z3" s="54" t="n"/>
      <c r="AA3" s="54" t="n"/>
    </row>
    <row r="4" customFormat="1" s="55">
      <c r="B4" s="248" t="n"/>
      <c r="C4" s="250" t="n"/>
      <c r="D4" s="41" t="n"/>
      <c r="E4" s="41" t="n"/>
      <c r="F4" s="41" t="n"/>
      <c r="G4" s="41" t="n"/>
      <c r="H4" s="41" t="n"/>
      <c r="I4" s="41" t="n"/>
      <c r="J4" s="41" t="n"/>
      <c r="K4" s="248" t="inlineStr">
        <is>
          <t>Reviewed by:</t>
        </is>
      </c>
      <c r="L4" s="376" t="inlineStr"/>
      <c r="M4" s="374" t="n"/>
      <c r="N4" s="374" t="n"/>
      <c r="O4" s="43" t="n"/>
      <c r="P4" s="127" t="n"/>
      <c r="Q4" s="43" t="n"/>
      <c r="R4" s="374" t="n"/>
      <c r="S4" s="374" t="n"/>
      <c r="T4" s="374" t="n"/>
      <c r="U4" s="374" t="n"/>
      <c r="V4" s="374" t="n"/>
      <c r="W4" s="53" t="n"/>
      <c r="X4" s="54" t="n"/>
      <c r="Y4" s="54" t="n"/>
      <c r="Z4" s="54" t="n"/>
      <c r="AA4" s="54" t="n"/>
    </row>
    <row r="5" ht="23.25" customFormat="1" customHeight="1" s="55">
      <c r="B5" s="77" t="inlineStr">
        <is>
          <t>Accounting estimate - 퇴직급여충당부채 (Retirement benefit obligation)</t>
        </is>
      </c>
      <c r="C5" s="43" t="n"/>
      <c r="D5" s="43" t="n"/>
      <c r="E5" s="43" t="n"/>
      <c r="F5" s="43" t="n"/>
      <c r="G5" s="43" t="n"/>
      <c r="H5" s="43" t="n"/>
      <c r="I5" s="43" t="n"/>
      <c r="J5" s="43" t="n"/>
      <c r="K5" s="43" t="n"/>
      <c r="L5" s="42" t="n"/>
      <c r="M5" s="42" t="n"/>
      <c r="N5" s="42" t="n"/>
      <c r="O5" s="43" t="n"/>
      <c r="P5" s="127" t="n"/>
      <c r="Q5" s="43" t="n"/>
      <c r="R5" s="267" t="n"/>
      <c r="S5" s="268" t="n"/>
      <c r="T5" s="268" t="n"/>
      <c r="U5" s="268" t="n"/>
      <c r="V5" s="268" t="n"/>
      <c r="W5" s="53" t="n"/>
      <c r="X5" s="54" t="n"/>
      <c r="Y5" s="54" t="n"/>
      <c r="Z5" s="54" t="n"/>
      <c r="AA5" s="54" t="n"/>
    </row>
    <row r="6" ht="17.45" customFormat="1" customHeight="1" s="55">
      <c r="B6" s="264" t="inlineStr">
        <is>
          <t>MAM Tool version March 2026</t>
        </is>
      </c>
      <c r="D6" s="43" t="n"/>
      <c r="E6" s="43" t="n"/>
      <c r="F6" s="43" t="n"/>
      <c r="G6" s="43" t="n"/>
      <c r="H6" s="43" t="n"/>
      <c r="I6" s="43" t="n"/>
      <c r="J6" s="43" t="n"/>
      <c r="K6" s="43" t="n"/>
      <c r="L6" s="43" t="n"/>
      <c r="M6" s="43" t="n"/>
      <c r="N6" s="43" t="n"/>
      <c r="O6" s="43" t="n"/>
      <c r="P6" s="127" t="n"/>
      <c r="Q6" s="43" t="n"/>
      <c r="R6" s="267" t="n"/>
      <c r="S6" s="268" t="n"/>
      <c r="T6" s="268" t="n"/>
      <c r="U6" s="268" t="n"/>
      <c r="V6" s="268" t="n"/>
      <c r="W6" s="53" t="n"/>
      <c r="X6" s="54" t="n"/>
      <c r="Y6" s="54" t="n"/>
      <c r="Z6" s="54" t="n"/>
      <c r="AA6" s="54" t="n"/>
    </row>
    <row r="7" ht="15.75" customFormat="1" customHeight="1" s="55">
      <c r="B7" s="378" t="inlineStr">
        <is>
          <t>SCOTABD: 퇴직급여충당부채  /  관련 주장(Assertion): 평가(Valuation) 및 완전성(Completeness)
WCGW: 퇴직급여충당부채가 회계기준에 따라 완전하고 정확하게 계상되지 않을 수 있음.
※ 세부 내용은 조서(첨부6) 입수 후 확정 예정.</t>
        </is>
      </c>
      <c r="C7" s="43" t="n"/>
      <c r="D7" s="43" t="n"/>
      <c r="E7" s="43" t="n"/>
      <c r="F7" s="43" t="n"/>
      <c r="G7" s="43" t="n"/>
      <c r="H7" s="43" t="n"/>
      <c r="I7" s="43" t="n"/>
      <c r="J7" s="43" t="n"/>
      <c r="K7" s="43" t="n"/>
      <c r="L7" s="43" t="n"/>
      <c r="M7" s="43" t="n"/>
      <c r="N7" s="43" t="n"/>
      <c r="O7" s="43" t="n"/>
      <c r="P7" s="127" t="n"/>
      <c r="Q7" s="43" t="n"/>
      <c r="R7" s="343" t="inlineStr">
        <is>
          <t xml:space="preserve">Please ensure that the name of the SCOTABD matches the name that is used in Atlas on the node 'Identify COTABD's and map to TB accounts'. 
Please ensure that when creating WCGW's for your accounting estimate within Atlas on the node 'Identify WCGW's and relate to relevant assertions' that the assertion matches the assertion input on this template. </t>
        </is>
      </c>
      <c r="W7" s="53" t="n"/>
      <c r="X7" s="54" t="n"/>
      <c r="Y7" s="54" t="n"/>
      <c r="Z7" s="54" t="n"/>
      <c r="AA7" s="54" t="n"/>
    </row>
    <row r="8" ht="78.75" customFormat="1" customHeight="1" s="55">
      <c r="B8" s="360" t="inlineStr">
        <is>
          <t xml:space="preserve">This template does not need completed for immaterial accounting estimates that are assets or for provisions against gross immaterial assets (such as bad debt/stock provisions where the total gross receivables/stock balance is immaterial). The template must be completed for all other accounting estimates. 
Consideration should be given to disaggregating accounting estimates that may be within the same SCOTABD but have different risk profiles (for example assets carried at fair value vs assets carried at cost less depreciation).  </t>
        </is>
      </c>
      <c r="W8" s="53" t="n"/>
      <c r="X8" s="54" t="n"/>
      <c r="Y8" s="54" t="n"/>
      <c r="Z8" s="54" t="n"/>
      <c r="AA8" s="54" t="n"/>
    </row>
    <row r="9" ht="31.5" customFormat="1" customHeight="1" s="119">
      <c r="B9" s="119" t="inlineStr">
        <is>
          <t>STEP 1:   UNDERSTANDING THE ESTIMATE AND RISK ASSESSMENT PROCEDURES</t>
        </is>
      </c>
      <c r="P9" s="159" t="n"/>
      <c r="R9" s="267" t="n"/>
      <c r="S9" s="268" t="n"/>
      <c r="T9" s="268" t="n"/>
      <c r="U9" s="268" t="n"/>
      <c r="V9" s="268" t="n"/>
      <c r="W9" s="122" t="n"/>
    </row>
    <row r="10" ht="15.75" customFormat="1" customHeight="1" s="65" thickBot="1">
      <c r="B10" s="123" t="n"/>
      <c r="C10" s="124" t="n"/>
      <c r="D10" s="124" t="n"/>
      <c r="E10" s="124" t="n"/>
      <c r="F10" s="124" t="n"/>
      <c r="G10" s="124" t="n"/>
      <c r="H10" s="124" t="n"/>
      <c r="I10" s="124" t="n"/>
      <c r="J10" s="124" t="n"/>
      <c r="K10" s="124" t="n"/>
      <c r="L10" s="124" t="n"/>
      <c r="M10" s="124" t="n"/>
      <c r="N10" s="124" t="n"/>
      <c r="O10" s="19" t="n"/>
      <c r="P10" s="128" t="n"/>
      <c r="Q10" s="19" t="n"/>
      <c r="R10" s="267" t="n"/>
      <c r="S10" s="268" t="n"/>
      <c r="T10" s="268" t="n"/>
      <c r="U10" s="268" t="n"/>
      <c r="V10" s="268" t="n"/>
      <c r="W10" s="64" t="n"/>
    </row>
    <row r="11" ht="21" customFormat="1" customHeight="1" s="19">
      <c r="A11" s="4" t="n"/>
      <c r="B11" s="181" t="inlineStr">
        <is>
          <t>Obtaining an understanding of the entity and its environment and the applicable financial reporting framework</t>
        </is>
      </c>
      <c r="C11" s="182" t="n"/>
      <c r="D11" s="182" t="n"/>
      <c r="E11" s="182" t="n"/>
      <c r="F11" s="182" t="n"/>
      <c r="G11" s="182" t="n"/>
      <c r="H11" s="182" t="n"/>
      <c r="I11" s="182" t="n"/>
      <c r="J11" s="182" t="n"/>
      <c r="K11" s="182" t="n"/>
      <c r="L11" s="182" t="n"/>
      <c r="M11" s="182" t="n"/>
      <c r="N11" s="182" t="n"/>
      <c r="O11" s="182" t="n"/>
      <c r="P11" s="224" t="n"/>
      <c r="R11" s="355" t="inlineStr">
        <is>
          <t xml:space="preserve">Our understanding of the accounting estimate may already be documented within the Key Business Processes (KBP's) we have identified. Please review our documentation of our understanding of the KBP within Atlas on the node 'Document our understanding of the KBP's' and cross reference where appropriate. </t>
        </is>
      </c>
      <c r="W11" s="27" t="n"/>
    </row>
    <row r="12" ht="19.5" customFormat="1" customHeight="1" s="65">
      <c r="A12" s="55" t="n"/>
      <c r="B12" s="209" t="inlineStr">
        <is>
          <t>Entity's transactions and other events or conditions relevant to the specific accounting estimate [ISA (revised) 540.13a]</t>
        </is>
      </c>
      <c r="C12" s="68" t="n"/>
      <c r="D12" s="68" t="n"/>
      <c r="E12" s="68" t="n"/>
      <c r="F12" s="68" t="n"/>
      <c r="G12" s="68" t="n"/>
      <c r="H12" s="68" t="n"/>
      <c r="I12" s="68" t="n"/>
      <c r="J12" s="68" t="n"/>
      <c r="K12" s="68" t="n"/>
      <c r="L12" s="68" t="n"/>
      <c r="M12" s="68" t="n"/>
      <c r="N12" s="68" t="n"/>
      <c r="O12" s="68" t="n"/>
      <c r="P12" s="210" t="n"/>
      <c r="Q12" s="19" t="n"/>
      <c r="W12" s="64" t="n"/>
    </row>
    <row r="13" ht="15.75" customFormat="1" customHeight="1" s="65">
      <c r="A13" s="55" t="n"/>
      <c r="B13" s="379" t="inlineStr">
        <is>
          <t>회사는 종업원에 대한 퇴직급여제도를 운영하며 이에 따라 퇴직급여충당부채를 인식함. 이연법인세 조서(첨부4) 상 당기말 퇴직급여충당부채 관련 일시적차이는 2,341,038,944원이며 동액의 퇴직연금(사외적립자산)이 대응됨.
※ 조서(첨부6) 입수 후 작성 예정 (Pending receipt of working paper).</t>
        </is>
      </c>
      <c r="C13" s="374" t="n"/>
      <c r="D13" s="374" t="n"/>
      <c r="E13" s="374" t="n"/>
      <c r="F13" s="374" t="n"/>
      <c r="G13" s="374" t="n"/>
      <c r="H13" s="374" t="n"/>
      <c r="I13" s="374" t="n"/>
      <c r="J13" s="374" t="n"/>
      <c r="K13" s="374" t="n"/>
      <c r="L13" s="374" t="n"/>
      <c r="M13" s="374" t="n"/>
      <c r="N13" s="374" t="n"/>
      <c r="O13" s="374" t="n"/>
      <c r="P13" s="332" t="inlineStr">
        <is>
          <t>Link to guidance</t>
        </is>
      </c>
      <c r="Q13" s="131" t="n"/>
      <c r="W13" s="132" t="n"/>
    </row>
    <row r="14" customFormat="1" s="65">
      <c r="A14" s="55" t="n"/>
      <c r="B14" s="380" t="n"/>
      <c r="C14" s="374" t="n"/>
      <c r="D14" s="374" t="n"/>
      <c r="E14" s="374" t="n"/>
      <c r="F14" s="374" t="n"/>
      <c r="G14" s="374" t="n"/>
      <c r="H14" s="374" t="n"/>
      <c r="I14" s="374" t="n"/>
      <c r="J14" s="374" t="n"/>
      <c r="K14" s="374" t="n"/>
      <c r="L14" s="374" t="n"/>
      <c r="M14" s="374" t="n"/>
      <c r="N14" s="374" t="n"/>
      <c r="O14" s="374" t="n"/>
      <c r="P14" s="381" t="n"/>
      <c r="Q14" s="131" t="n"/>
      <c r="W14" s="132" t="n"/>
    </row>
    <row r="15" customFormat="1" s="65">
      <c r="A15" s="55" t="n"/>
      <c r="B15" s="380" t="n"/>
      <c r="C15" s="374" t="n"/>
      <c r="D15" s="374" t="n"/>
      <c r="E15" s="374" t="n"/>
      <c r="F15" s="374" t="n"/>
      <c r="G15" s="374" t="n"/>
      <c r="H15" s="374" t="n"/>
      <c r="I15" s="374" t="n"/>
      <c r="J15" s="374" t="n"/>
      <c r="K15" s="374" t="n"/>
      <c r="L15" s="374" t="n"/>
      <c r="M15" s="374" t="n"/>
      <c r="N15" s="374" t="n"/>
      <c r="O15" s="374" t="n"/>
      <c r="P15" s="225" t="n"/>
      <c r="Q15" s="19" t="n"/>
      <c r="R15" s="267" t="n"/>
      <c r="S15" s="268" t="n"/>
      <c r="T15" s="268" t="n"/>
      <c r="U15" s="268" t="n"/>
      <c r="V15" s="268" t="n"/>
      <c r="W15" s="64" t="n"/>
    </row>
    <row r="16" ht="19.5" customFormat="1" customHeight="1" s="65">
      <c r="A16" s="55" t="n"/>
      <c r="B16" s="209" t="inlineStr">
        <is>
          <t>Requirements of the applicable financial reporting framework [ISA (revised) 540.13b]</t>
        </is>
      </c>
      <c r="C16" s="68" t="n"/>
      <c r="D16" s="68" t="n"/>
      <c r="E16" s="68" t="n"/>
      <c r="F16" s="68" t="n"/>
      <c r="G16" s="68" t="n"/>
      <c r="H16" s="68" t="n"/>
      <c r="I16" s="68" t="n"/>
      <c r="J16" s="68" t="n"/>
      <c r="K16" s="68" t="n"/>
      <c r="L16" s="68" t="n"/>
      <c r="M16" s="68" t="n"/>
      <c r="N16" s="68" t="n"/>
      <c r="O16" s="68" t="n"/>
      <c r="P16" s="210" t="n"/>
      <c r="Q16" s="19" t="n"/>
      <c r="R16" s="267" t="n"/>
      <c r="S16" s="268" t="n"/>
      <c r="T16" s="268" t="n"/>
      <c r="U16" s="268" t="n"/>
      <c r="V16" s="268" t="n"/>
      <c r="W16" s="64" t="n"/>
    </row>
    <row r="17" ht="15" customFormat="1" customHeight="1" s="65">
      <c r="A17" s="55" t="n"/>
      <c r="B17" s="382" t="inlineStr">
        <is>
          <t>적용 재무보고체계는 일반기업회계기준(K-GAAP)임. 퇴직급여충당부채는 보고기간말 현재 전 임직원이 일시에 퇴직할 경우 지급하여야 할 퇴직금 추계액을 기준으로 인식함(회사 부담분).
※ 조서(첨부6) 입수 후 작성 예정 (Pending receipt of working paper).</t>
        </is>
      </c>
      <c r="C17" s="374" t="n"/>
      <c r="D17" s="374" t="n"/>
      <c r="E17" s="374" t="n"/>
      <c r="F17" s="374" t="n"/>
      <c r="G17" s="374" t="n"/>
      <c r="H17" s="374" t="n"/>
      <c r="I17" s="374" t="n"/>
      <c r="J17" s="374" t="n"/>
      <c r="K17" s="374" t="n"/>
      <c r="L17" s="374" t="n"/>
      <c r="M17" s="374" t="n"/>
      <c r="N17" s="374" t="n"/>
      <c r="O17" s="374" t="n"/>
      <c r="P17" s="332" t="inlineStr">
        <is>
          <t>Link to guidance</t>
        </is>
      </c>
      <c r="Q17" s="78" t="n"/>
      <c r="R17" s="269" t="n"/>
      <c r="S17" s="270" t="n"/>
      <c r="T17" s="270" t="n"/>
      <c r="U17" s="271" t="n"/>
      <c r="V17" s="271" t="n"/>
      <c r="W17" s="132" t="n"/>
    </row>
    <row r="18" customFormat="1" s="65">
      <c r="A18" s="55" t="n"/>
      <c r="B18" s="380" t="n"/>
      <c r="C18" s="374" t="n"/>
      <c r="D18" s="374" t="n"/>
      <c r="E18" s="374" t="n"/>
      <c r="F18" s="374" t="n"/>
      <c r="G18" s="374" t="n"/>
      <c r="H18" s="374" t="n"/>
      <c r="I18" s="374" t="n"/>
      <c r="J18" s="374" t="n"/>
      <c r="K18" s="374" t="n"/>
      <c r="L18" s="374" t="n"/>
      <c r="M18" s="374" t="n"/>
      <c r="N18" s="374" t="n"/>
      <c r="O18" s="374" t="n"/>
      <c r="P18" s="381" t="n"/>
      <c r="Q18" s="78" t="n"/>
      <c r="R18" s="269" t="n"/>
      <c r="S18" s="270" t="n"/>
      <c r="T18" s="270" t="n"/>
      <c r="U18" s="271" t="n"/>
      <c r="V18" s="271" t="n"/>
      <c r="W18" s="132" t="n"/>
    </row>
    <row r="19" ht="15" customFormat="1" customHeight="1" s="65">
      <c r="A19" s="55" t="n"/>
      <c r="B19" s="380" t="n"/>
      <c r="C19" s="374" t="n"/>
      <c r="D19" s="374" t="n"/>
      <c r="E19" s="374" t="n"/>
      <c r="F19" s="374" t="n"/>
      <c r="G19" s="374" t="n"/>
      <c r="H19" s="374" t="n"/>
      <c r="I19" s="374" t="n"/>
      <c r="J19" s="374" t="n"/>
      <c r="K19" s="374" t="n"/>
      <c r="L19" s="374" t="n"/>
      <c r="M19" s="374" t="n"/>
      <c r="N19" s="374" t="n"/>
      <c r="O19" s="374" t="n"/>
      <c r="P19" s="226" t="n"/>
      <c r="Q19" s="78" t="n"/>
      <c r="R19" s="272" t="n"/>
      <c r="S19" s="273" t="n"/>
      <c r="T19" s="273" t="n"/>
      <c r="U19" s="273" t="n"/>
      <c r="V19" s="273" t="n"/>
      <c r="W19" s="133" t="n"/>
    </row>
    <row r="20" ht="19.5" customFormat="1" customHeight="1" s="65">
      <c r="A20" s="55" t="n"/>
      <c r="B20" s="209" t="inlineStr">
        <is>
          <t>Regulatory factors [ISA 540 (revised) 540.13c]</t>
        </is>
      </c>
      <c r="C20" s="68" t="n"/>
      <c r="D20" s="68" t="n"/>
      <c r="E20" s="68" t="n"/>
      <c r="F20" s="68" t="n"/>
      <c r="G20" s="68" t="n"/>
      <c r="H20" s="68" t="n"/>
      <c r="I20" s="68" t="n"/>
      <c r="J20" s="68" t="n"/>
      <c r="K20" s="68" t="n"/>
      <c r="L20" s="68" t="n"/>
      <c r="M20" s="68" t="n"/>
      <c r="N20" s="68" t="n"/>
      <c r="O20" s="68" t="n"/>
      <c r="P20" s="210" t="n"/>
      <c r="Q20" s="19" t="n"/>
      <c r="R20" s="274" t="n"/>
      <c r="S20" s="275" t="n"/>
      <c r="T20" s="275" t="n"/>
      <c r="U20" s="275" t="n"/>
      <c r="V20" s="275" t="n"/>
      <c r="W20" s="64" t="n"/>
    </row>
    <row r="21" ht="15" customFormat="1" customHeight="1" s="65">
      <c r="A21" s="55" t="n"/>
      <c r="B21" s="382" t="inlineStr">
        <is>
          <t>근로자퇴직급여보장법 등 관련 법규를 고려함. 세부 규제요인은 조서(첨부6) 입수 후 확정 예정.</t>
        </is>
      </c>
      <c r="C21" s="374" t="n"/>
      <c r="D21" s="374" t="n"/>
      <c r="E21" s="374" t="n"/>
      <c r="F21" s="374" t="n"/>
      <c r="G21" s="374" t="n"/>
      <c r="H21" s="374" t="n"/>
      <c r="I21" s="374" t="n"/>
      <c r="J21" s="374" t="n"/>
      <c r="K21" s="374" t="n"/>
      <c r="L21" s="374" t="n"/>
      <c r="M21" s="374" t="n"/>
      <c r="N21" s="374" t="n"/>
      <c r="O21" s="374" t="n"/>
      <c r="P21" s="332" t="inlineStr">
        <is>
          <t>Link to guidance</t>
        </is>
      </c>
      <c r="Q21" s="19" t="n"/>
      <c r="R21" s="269" t="n"/>
      <c r="S21" s="270" t="n"/>
      <c r="T21" s="270" t="n"/>
      <c r="U21" s="271" t="n"/>
      <c r="V21" s="271" t="n"/>
      <c r="W21" s="132" t="n"/>
    </row>
    <row r="22" customFormat="1" s="65">
      <c r="A22" s="55" t="n"/>
      <c r="B22" s="380" t="n"/>
      <c r="C22" s="374" t="n"/>
      <c r="D22" s="374" t="n"/>
      <c r="E22" s="374" t="n"/>
      <c r="F22" s="374" t="n"/>
      <c r="G22" s="374" t="n"/>
      <c r="H22" s="374" t="n"/>
      <c r="I22" s="374" t="n"/>
      <c r="J22" s="374" t="n"/>
      <c r="K22" s="374" t="n"/>
      <c r="L22" s="374" t="n"/>
      <c r="M22" s="374" t="n"/>
      <c r="N22" s="374" t="n"/>
      <c r="O22" s="374" t="n"/>
      <c r="P22" s="381" t="n"/>
      <c r="Q22" s="78" t="n"/>
      <c r="R22" s="269" t="n"/>
      <c r="S22" s="270" t="n"/>
      <c r="T22" s="270" t="n"/>
      <c r="U22" s="271" t="n"/>
      <c r="V22" s="271" t="n"/>
      <c r="W22" s="132" t="n"/>
    </row>
    <row r="23" customFormat="1" s="65">
      <c r="A23" s="55" t="n"/>
      <c r="B23" s="380" t="n"/>
      <c r="C23" s="374" t="n"/>
      <c r="D23" s="374" t="n"/>
      <c r="E23" s="374" t="n"/>
      <c r="F23" s="374" t="n"/>
      <c r="G23" s="374" t="n"/>
      <c r="H23" s="374" t="n"/>
      <c r="I23" s="374" t="n"/>
      <c r="J23" s="374" t="n"/>
      <c r="K23" s="374" t="n"/>
      <c r="L23" s="374" t="n"/>
      <c r="M23" s="374" t="n"/>
      <c r="N23" s="374" t="n"/>
      <c r="O23" s="374" t="n"/>
      <c r="P23" s="226" t="n"/>
      <c r="Q23" s="78" t="n"/>
      <c r="R23" s="272" t="n"/>
      <c r="S23" s="273" t="n"/>
      <c r="T23" s="273" t="n"/>
      <c r="U23" s="273" t="n"/>
      <c r="V23" s="273" t="n"/>
      <c r="W23" s="133" t="n"/>
    </row>
    <row r="24" ht="15.75" customFormat="1" customHeight="1" s="65" thickBot="1">
      <c r="B24" s="211" t="n"/>
      <c r="C24" s="40" t="n"/>
      <c r="D24" s="40" t="n"/>
      <c r="E24" s="40" t="n"/>
      <c r="F24" s="40" t="n"/>
      <c r="G24" s="40" t="n"/>
      <c r="H24" s="40" t="n"/>
      <c r="I24" s="40" t="n"/>
      <c r="J24" s="40" t="n"/>
      <c r="K24" s="40" t="n"/>
      <c r="L24" s="40" t="n"/>
      <c r="M24" s="40" t="n"/>
      <c r="N24" s="40" t="n"/>
      <c r="O24" s="40" t="n"/>
      <c r="P24" s="227" t="n"/>
      <c r="Q24" s="78" t="n"/>
      <c r="R24" s="272" t="n"/>
      <c r="S24" s="273" t="n"/>
      <c r="T24" s="273" t="n"/>
      <c r="U24" s="273" t="n"/>
      <c r="V24" s="273" t="n"/>
      <c r="W24" s="133" t="n"/>
    </row>
    <row r="25" ht="16.5" customFormat="1" customHeight="1" s="65" thickBot="1">
      <c r="B25" s="181" t="inlineStr">
        <is>
          <t>Scoping Question</t>
        </is>
      </c>
      <c r="C25" s="311" t="n"/>
      <c r="D25" s="311" t="n"/>
      <c r="E25" s="311" t="n"/>
      <c r="F25" s="311" t="n"/>
      <c r="G25" s="311" t="n"/>
      <c r="H25" s="311" t="n"/>
      <c r="I25" s="311" t="n"/>
      <c r="J25" s="311" t="n"/>
      <c r="K25" s="311" t="n"/>
      <c r="L25" s="311" t="n"/>
      <c r="M25" s="311" t="n"/>
      <c r="N25" s="311" t="n"/>
      <c r="O25" s="311" t="n"/>
      <c r="P25" s="227" t="n"/>
      <c r="Q25" s="78" t="n"/>
      <c r="R25" s="272" t="n"/>
      <c r="S25" s="273" t="n"/>
      <c r="T25" s="273" t="n"/>
      <c r="U25" s="273" t="n"/>
      <c r="V25" s="273" t="n"/>
      <c r="W25" s="133" t="n"/>
    </row>
    <row r="26" ht="34.5" customFormat="1" customHeight="1" s="65" thickBot="1">
      <c r="B26" s="361" t="inlineStr">
        <is>
          <t>Considering the inherent risk factors including estimation uncertainty, complexity and subjectivity, do you consider there to be a risk of material misstatement (standard, enhanced or significant) associated with the accounting estimate?</t>
        </is>
      </c>
      <c r="K26" s="313" t="inlineStr">
        <is>
          <t>Yes</t>
        </is>
      </c>
      <c r="L26" s="312" t="n"/>
      <c r="M26" s="312" t="n"/>
      <c r="N26" s="312" t="n"/>
      <c r="O26" s="312" t="n"/>
      <c r="P26" s="227" t="n"/>
      <c r="Q26" s="78" t="n"/>
      <c r="R26" s="272" t="n"/>
      <c r="S26" s="273" t="n"/>
      <c r="T26" s="273" t="n"/>
      <c r="U26" s="273" t="n"/>
      <c r="V26" s="273" t="n"/>
      <c r="W26" s="133" t="n"/>
    </row>
    <row r="27" customFormat="1" s="65">
      <c r="B27" s="382" t="inlineStr">
        <is>
          <t>퇴직급여충당부채는 재무제표에 중요하고 급여·근속연수 등 데이터에 기초한 추정을 수반하므로 중요왜곡표시위험이 존재함(잠정 판단).
※ 조서(첨부6) 입수 후 작성 예정 (Pending receipt of working paper).</t>
        </is>
      </c>
      <c r="C27" s="374" t="n"/>
      <c r="D27" s="374" t="n"/>
      <c r="E27" s="374" t="n"/>
      <c r="F27" s="374" t="n"/>
      <c r="G27" s="374" t="n"/>
      <c r="H27" s="374" t="n"/>
      <c r="I27" s="374" t="n"/>
      <c r="J27" s="374" t="n"/>
      <c r="K27" s="374" t="n"/>
      <c r="L27" s="374" t="n"/>
      <c r="M27" s="374" t="n"/>
      <c r="N27" s="374" t="n"/>
      <c r="O27" s="374" t="n"/>
      <c r="P27" s="227" t="n"/>
      <c r="Q27" s="78" t="n"/>
      <c r="R27" s="272" t="n"/>
      <c r="S27" s="273" t="n"/>
      <c r="T27" s="273" t="n"/>
      <c r="U27" s="273" t="n"/>
      <c r="V27" s="273" t="n"/>
      <c r="W27" s="133" t="n"/>
    </row>
    <row r="28" customFormat="1" s="65">
      <c r="B28" s="380" t="n"/>
      <c r="C28" s="374" t="n"/>
      <c r="D28" s="374" t="n"/>
      <c r="E28" s="374" t="n"/>
      <c r="F28" s="374" t="n"/>
      <c r="G28" s="374" t="n"/>
      <c r="H28" s="374" t="n"/>
      <c r="I28" s="374" t="n"/>
      <c r="J28" s="374" t="n"/>
      <c r="K28" s="374" t="n"/>
      <c r="L28" s="374" t="n"/>
      <c r="M28" s="374" t="n"/>
      <c r="N28" s="374" t="n"/>
      <c r="O28" s="374" t="n"/>
      <c r="P28" s="227" t="n"/>
      <c r="Q28" s="78" t="n"/>
      <c r="R28" s="272" t="n"/>
      <c r="S28" s="273" t="n"/>
      <c r="T28" s="273" t="n"/>
      <c r="U28" s="273" t="n"/>
      <c r="V28" s="273" t="n"/>
      <c r="W28" s="133" t="n"/>
    </row>
    <row r="29" customFormat="1" s="65">
      <c r="B29" s="380" t="n"/>
      <c r="C29" s="374" t="n"/>
      <c r="D29" s="374" t="n"/>
      <c r="E29" s="374" t="n"/>
      <c r="F29" s="374" t="n"/>
      <c r="G29" s="374" t="n"/>
      <c r="H29" s="374" t="n"/>
      <c r="I29" s="374" t="n"/>
      <c r="J29" s="374" t="n"/>
      <c r="K29" s="374" t="n"/>
      <c r="L29" s="374" t="n"/>
      <c r="M29" s="374" t="n"/>
      <c r="N29" s="374" t="n"/>
      <c r="O29" s="374" t="n"/>
      <c r="P29" s="227" t="n"/>
      <c r="Q29" s="78" t="n"/>
      <c r="R29" s="272" t="n"/>
      <c r="S29" s="273" t="n"/>
      <c r="T29" s="273" t="n"/>
      <c r="U29" s="273" t="n"/>
      <c r="V29" s="273" t="n"/>
      <c r="W29" s="133" t="n"/>
    </row>
    <row r="30" ht="15.75" customFormat="1" customHeight="1" s="65" thickBot="1">
      <c r="B30" s="211" t="n"/>
      <c r="C30" s="40" t="n"/>
      <c r="D30" s="40" t="n"/>
      <c r="E30" s="40" t="n"/>
      <c r="F30" s="40" t="n"/>
      <c r="G30" s="40" t="n"/>
      <c r="H30" s="40" t="n"/>
      <c r="I30" s="40" t="n"/>
      <c r="J30" s="40" t="n"/>
      <c r="K30" s="40" t="n"/>
      <c r="L30" s="40" t="n"/>
      <c r="M30" s="40" t="n"/>
      <c r="N30" s="40" t="n"/>
      <c r="O30" s="40" t="n"/>
      <c r="P30" s="227" t="n"/>
      <c r="Q30" s="78" t="n"/>
      <c r="R30" s="272" t="n"/>
      <c r="S30" s="273" t="n"/>
      <c r="T30" s="273" t="n"/>
      <c r="U30" s="273" t="n"/>
      <c r="V30" s="273" t="n"/>
      <c r="W30" s="133" t="n"/>
    </row>
    <row r="31" ht="34.5" customFormat="1" customHeight="1" s="65">
      <c r="B31" s="383">
        <f>IF(K26="Yes","Please continue with this tool",IF(K26="No","Since you have not identified any risk of material misstatement associated with the accounting estimate, the remainder of this tool is not required to be completed.",""))</f>
        <v/>
      </c>
      <c r="C31" s="384" t="n"/>
      <c r="D31" s="384" t="n"/>
      <c r="E31" s="384" t="n"/>
      <c r="F31" s="384" t="n"/>
      <c r="G31" s="384" t="n"/>
      <c r="H31" s="384" t="n"/>
      <c r="I31" s="384" t="n"/>
      <c r="J31" s="384" t="n"/>
      <c r="K31" s="384" t="n"/>
      <c r="L31" s="384" t="n"/>
      <c r="M31" s="385" t="n"/>
      <c r="N31" s="40" t="n"/>
      <c r="P31" s="227" t="n"/>
      <c r="Q31" s="78" t="n"/>
      <c r="R31" s="272" t="n"/>
      <c r="S31" s="273" t="n"/>
      <c r="T31" s="273" t="n"/>
      <c r="U31" s="273" t="n"/>
      <c r="V31" s="273" t="n"/>
      <c r="W31" s="133" t="n"/>
    </row>
    <row r="32" ht="34.5" customFormat="1" customHeight="1" s="65">
      <c r="B32" s="314">
        <f>IF(K26="Yes","",IF(K26="No","If you obtain any additional information throughout the audit that leads you to believe that there is a risk of material misstatement, you must update this question.",""))</f>
        <v/>
      </c>
      <c r="N32" s="40" t="n"/>
      <c r="P32" s="227" t="n"/>
      <c r="Q32" s="78" t="n"/>
      <c r="R32" s="272" t="n"/>
      <c r="S32" s="273" t="n"/>
      <c r="T32" s="273" t="n"/>
      <c r="U32" s="273" t="n"/>
      <c r="V32" s="273" t="n"/>
      <c r="W32" s="133" t="n"/>
    </row>
    <row r="33" ht="15.75" customFormat="1" customHeight="1" s="65" thickBot="1">
      <c r="B33" s="228" t="n"/>
      <c r="C33" s="78" t="n"/>
      <c r="D33" s="78" t="n"/>
      <c r="E33" s="78" t="n"/>
      <c r="F33" s="78" t="n"/>
      <c r="G33" s="78" t="n"/>
      <c r="H33" s="78" t="n"/>
      <c r="I33" s="78" t="n"/>
      <c r="J33" s="78" t="n"/>
      <c r="K33" s="78" t="n"/>
      <c r="L33" s="78" t="n"/>
      <c r="M33" s="78" t="n"/>
      <c r="N33" s="78" t="n"/>
      <c r="O33" s="78" t="n"/>
      <c r="P33" s="213" t="n"/>
      <c r="Q33" s="78" t="n"/>
      <c r="R33" s="272" t="n"/>
      <c r="S33" s="273" t="n"/>
      <c r="T33" s="273" t="n"/>
      <c r="U33" s="273" t="n"/>
      <c r="V33" s="273" t="n"/>
      <c r="W33" s="133" t="n"/>
    </row>
    <row r="34" ht="21" customFormat="1" customHeight="1" s="65">
      <c r="A34" s="55" t="n"/>
      <c r="B34" s="181" t="inlineStr">
        <is>
          <t>Obtaining an understanding of the entity's system of internal control</t>
        </is>
      </c>
      <c r="C34" s="182" t="n"/>
      <c r="D34" s="182" t="n"/>
      <c r="E34" s="182" t="n"/>
      <c r="F34" s="182" t="n"/>
      <c r="G34" s="182" t="n"/>
      <c r="H34" s="182" t="n"/>
      <c r="I34" s="182" t="n"/>
      <c r="J34" s="182" t="n"/>
      <c r="K34" s="182" t="n"/>
      <c r="L34" s="182" t="n"/>
      <c r="M34" s="182" t="n"/>
      <c r="N34" s="182" t="n"/>
      <c r="O34" s="182" t="n"/>
      <c r="P34" s="208" t="n"/>
      <c r="Q34" s="78" t="n"/>
      <c r="R34" s="272" t="n"/>
      <c r="S34" s="273" t="n"/>
      <c r="T34" s="273" t="n"/>
      <c r="U34" s="273" t="n"/>
      <c r="V34" s="273" t="n"/>
      <c r="W34" s="133" t="n"/>
    </row>
    <row r="35" ht="19.5" customFormat="1" customHeight="1" s="65">
      <c r="A35" s="55" t="n"/>
      <c r="B35" s="209" t="inlineStr">
        <is>
          <t>Nature and extent of oversight and governance [ISA(revised) 540.13e]</t>
        </is>
      </c>
      <c r="C35" s="68" t="n"/>
      <c r="D35" s="68" t="n"/>
      <c r="E35" s="68" t="n"/>
      <c r="F35" s="68" t="n"/>
      <c r="G35" s="68" t="n"/>
      <c r="H35" s="68" t="n"/>
      <c r="I35" s="68" t="n"/>
      <c r="J35" s="68" t="n"/>
      <c r="K35" s="68" t="n"/>
      <c r="L35" s="68" t="n"/>
      <c r="M35" s="68" t="n"/>
      <c r="N35" s="68" t="n"/>
      <c r="O35" s="68" t="n"/>
      <c r="P35" s="210" t="n"/>
      <c r="Q35" s="19" t="n"/>
      <c r="R35" s="274" t="n"/>
      <c r="S35" s="275" t="n"/>
      <c r="T35" s="275" t="n"/>
      <c r="U35" s="275" t="n"/>
      <c r="V35" s="275" t="n"/>
      <c r="W35" s="64" t="n"/>
    </row>
    <row r="36" customFormat="1" s="65">
      <c r="A36" s="55" t="n"/>
      <c r="B36" s="382" t="inlineStr">
        <is>
          <t>재무팀 및 본사(VF)의 검토·보고체계를 통해 퇴직급여 관련 회계처리가 감독됨. 세부 내용은 조서(첨부6) 입수 후 확정 예정.</t>
        </is>
      </c>
      <c r="C36" s="374" t="n"/>
      <c r="D36" s="374" t="n"/>
      <c r="E36" s="374" t="n"/>
      <c r="F36" s="374" t="n"/>
      <c r="G36" s="374" t="n"/>
      <c r="H36" s="374" t="n"/>
      <c r="I36" s="374" t="n"/>
      <c r="J36" s="374" t="n"/>
      <c r="K36" s="374" t="n"/>
      <c r="L36" s="374" t="n"/>
      <c r="M36" s="374" t="n"/>
      <c r="N36" s="374" t="n"/>
      <c r="O36" s="374" t="n"/>
      <c r="P36" s="332" t="inlineStr">
        <is>
          <t>Link to guidance</t>
        </is>
      </c>
      <c r="Q36" s="134" t="n"/>
      <c r="R36" s="269" t="n"/>
      <c r="S36" s="270" t="n"/>
      <c r="T36" s="270" t="n"/>
      <c r="U36" s="271" t="n"/>
      <c r="V36" s="271" t="n"/>
      <c r="W36" s="132" t="n"/>
    </row>
    <row r="37" ht="15" customFormat="1" customHeight="1" s="65">
      <c r="A37" s="55" t="n"/>
      <c r="B37" s="380" t="n"/>
      <c r="C37" s="374" t="n"/>
      <c r="D37" s="374" t="n"/>
      <c r="E37" s="374" t="n"/>
      <c r="F37" s="374" t="n"/>
      <c r="G37" s="374" t="n"/>
      <c r="H37" s="374" t="n"/>
      <c r="I37" s="374" t="n"/>
      <c r="J37" s="374" t="n"/>
      <c r="K37" s="374" t="n"/>
      <c r="L37" s="374" t="n"/>
      <c r="M37" s="374" t="n"/>
      <c r="N37" s="374" t="n"/>
      <c r="O37" s="374" t="n"/>
      <c r="P37" s="381" t="n"/>
      <c r="Q37" s="134" t="n"/>
      <c r="R37" s="269" t="n"/>
      <c r="S37" s="270" t="n"/>
      <c r="T37" s="270" t="n"/>
      <c r="U37" s="271" t="n"/>
      <c r="V37" s="271" t="n"/>
      <c r="W37" s="132" t="n"/>
    </row>
    <row r="38" customFormat="1" s="65">
      <c r="A38" s="55" t="n"/>
      <c r="B38" s="380" t="n"/>
      <c r="C38" s="374" t="n"/>
      <c r="D38" s="374" t="n"/>
      <c r="E38" s="374" t="n"/>
      <c r="F38" s="374" t="n"/>
      <c r="G38" s="374" t="n"/>
      <c r="H38" s="374" t="n"/>
      <c r="I38" s="374" t="n"/>
      <c r="J38" s="374" t="n"/>
      <c r="K38" s="374" t="n"/>
      <c r="L38" s="374" t="n"/>
      <c r="M38" s="374" t="n"/>
      <c r="N38" s="374" t="n"/>
      <c r="O38" s="374" t="n"/>
      <c r="P38" s="212" t="n"/>
      <c r="Q38" s="78" t="n"/>
      <c r="R38" s="272" t="n"/>
      <c r="S38" s="273" t="n"/>
      <c r="T38" s="273" t="n"/>
      <c r="U38" s="273" t="n"/>
      <c r="V38" s="273" t="n"/>
      <c r="W38" s="133" t="n"/>
    </row>
    <row r="39" ht="19.5" customFormat="1" customHeight="1" s="65">
      <c r="A39" s="55" t="n"/>
      <c r="B39" s="209" t="inlineStr">
        <is>
          <t>Risk assessment processes [ISA(revised) 540.13g]</t>
        </is>
      </c>
      <c r="C39" s="68" t="n"/>
      <c r="D39" s="68" t="n"/>
      <c r="E39" s="68" t="n"/>
      <c r="F39" s="68" t="n"/>
      <c r="G39" s="68" t="n"/>
      <c r="H39" s="68" t="n"/>
      <c r="I39" s="68" t="n"/>
      <c r="J39" s="68" t="n"/>
      <c r="K39" s="68" t="n"/>
      <c r="L39" s="68" t="n"/>
      <c r="M39" s="68" t="n"/>
      <c r="N39" s="68" t="n"/>
      <c r="O39" s="68" t="n"/>
      <c r="P39" s="210" t="n"/>
      <c r="Q39" s="19" t="n"/>
      <c r="R39" s="274" t="n"/>
      <c r="S39" s="275" t="n"/>
      <c r="T39" s="275" t="n"/>
      <c r="U39" s="275" t="n"/>
      <c r="V39" s="275" t="n"/>
      <c r="W39" s="64" t="n"/>
    </row>
    <row r="40" ht="15" customFormat="1" customHeight="1" s="65">
      <c r="A40" s="55" t="n"/>
      <c r="B40" s="382" t="inlineStr">
        <is>
          <t>회사는 임직원 현황 및 급여·근속연수 데이터를 관리하여 퇴직급여충당부채 추계액을 산정함. 세부 내용은 조서(첨부6) 입수 후 확정 예정.</t>
        </is>
      </c>
      <c r="C40" s="374" t="n"/>
      <c r="D40" s="374" t="n"/>
      <c r="E40" s="374" t="n"/>
      <c r="F40" s="374" t="n"/>
      <c r="G40" s="374" t="n"/>
      <c r="H40" s="374" t="n"/>
      <c r="I40" s="374" t="n"/>
      <c r="J40" s="374" t="n"/>
      <c r="K40" s="374" t="n"/>
      <c r="L40" s="374" t="n"/>
      <c r="M40" s="374" t="n"/>
      <c r="N40" s="374" t="n"/>
      <c r="O40" s="374" t="n"/>
      <c r="P40" s="332" t="inlineStr">
        <is>
          <t>Link to guidance</t>
        </is>
      </c>
      <c r="Q40" s="78" t="n"/>
      <c r="R40" s="269" t="n"/>
      <c r="S40" s="270" t="n"/>
      <c r="T40" s="270" t="n"/>
      <c r="U40" s="271" t="n"/>
      <c r="V40" s="271" t="n"/>
      <c r="W40" s="132" t="n"/>
    </row>
    <row r="41" ht="15" customFormat="1" customHeight="1" s="65">
      <c r="A41" s="55" t="n"/>
      <c r="B41" s="380" t="n"/>
      <c r="C41" s="374" t="n"/>
      <c r="D41" s="374" t="n"/>
      <c r="E41" s="374" t="n"/>
      <c r="F41" s="374" t="n"/>
      <c r="G41" s="374" t="n"/>
      <c r="H41" s="374" t="n"/>
      <c r="I41" s="374" t="n"/>
      <c r="J41" s="374" t="n"/>
      <c r="K41" s="374" t="n"/>
      <c r="L41" s="374" t="n"/>
      <c r="M41" s="374" t="n"/>
      <c r="N41" s="374" t="n"/>
      <c r="O41" s="374" t="n"/>
      <c r="P41" s="381" t="n"/>
      <c r="Q41" s="78" t="n"/>
      <c r="R41" s="269" t="n"/>
      <c r="S41" s="270" t="n"/>
      <c r="T41" s="270" t="n"/>
      <c r="U41" s="271" t="n"/>
      <c r="V41" s="271" t="n"/>
      <c r="W41" s="132" t="n"/>
    </row>
    <row r="42" ht="14.45" customFormat="1" customHeight="1" s="65">
      <c r="A42" s="55" t="n"/>
      <c r="B42" s="380" t="n"/>
      <c r="C42" s="374" t="n"/>
      <c r="D42" s="374" t="n"/>
      <c r="E42" s="374" t="n"/>
      <c r="F42" s="374" t="n"/>
      <c r="G42" s="374" t="n"/>
      <c r="H42" s="374" t="n"/>
      <c r="I42" s="374" t="n"/>
      <c r="J42" s="374" t="n"/>
      <c r="K42" s="374" t="n"/>
      <c r="L42" s="374" t="n"/>
      <c r="M42" s="374" t="n"/>
      <c r="N42" s="374" t="n"/>
      <c r="O42" s="374" t="n"/>
      <c r="P42" s="381" t="n"/>
      <c r="Q42" s="78" t="n"/>
      <c r="R42" s="269" t="n"/>
      <c r="S42" s="270" t="n"/>
      <c r="T42" s="270" t="n"/>
      <c r="U42" s="271" t="n"/>
      <c r="V42" s="271" t="n"/>
      <c r="W42" s="132" t="n"/>
    </row>
    <row r="43" ht="20.25" customFormat="1" customHeight="1" s="65">
      <c r="A43" s="55" t="n"/>
      <c r="B43" s="380" t="n"/>
      <c r="C43" s="374" t="n"/>
      <c r="D43" s="374" t="n"/>
      <c r="E43" s="374" t="n"/>
      <c r="F43" s="374" t="n"/>
      <c r="G43" s="374" t="n"/>
      <c r="H43" s="374" t="n"/>
      <c r="I43" s="374" t="n"/>
      <c r="J43" s="374" t="n"/>
      <c r="K43" s="374" t="n"/>
      <c r="L43" s="374" t="n"/>
      <c r="M43" s="374" t="n"/>
      <c r="N43" s="374" t="n"/>
      <c r="O43" s="374" t="n"/>
      <c r="P43" s="212" t="n"/>
      <c r="Q43" s="78" t="n"/>
      <c r="R43" s="272" t="n"/>
      <c r="S43" s="273" t="n"/>
      <c r="T43" s="273" t="n"/>
      <c r="U43" s="273" t="n"/>
      <c r="V43" s="273" t="n"/>
      <c r="W43" s="133" t="n"/>
    </row>
    <row r="44" ht="19.5" customFormat="1" customHeight="1" s="65">
      <c r="A44" s="55" t="n"/>
      <c r="B44" s="209" t="inlineStr">
        <is>
          <t>Control activities [ISA(revised) 540.13i]</t>
        </is>
      </c>
      <c r="C44" s="68" t="n"/>
      <c r="D44" s="68" t="n"/>
      <c r="E44" s="68" t="n"/>
      <c r="F44" s="68" t="n"/>
      <c r="G44" s="68" t="n"/>
      <c r="H44" s="68" t="n"/>
      <c r="I44" s="68" t="n"/>
      <c r="J44" s="68" t="n"/>
      <c r="K44" s="68" t="n"/>
      <c r="L44" s="68" t="n"/>
      <c r="M44" s="68" t="n"/>
      <c r="N44" s="68" t="n"/>
      <c r="O44" s="68" t="n"/>
      <c r="P44" s="210" t="n"/>
      <c r="Q44" s="19" t="n"/>
      <c r="R44" s="274" t="n"/>
      <c r="S44" s="275" t="n"/>
      <c r="T44" s="275" t="n"/>
      <c r="U44" s="275" t="n"/>
      <c r="V44" s="275" t="n"/>
      <c r="W44" s="64" t="n"/>
    </row>
    <row r="45" customFormat="1" s="65">
      <c r="A45" s="55" t="n"/>
      <c r="B45" s="382" t="inlineStr">
        <is>
          <t>① 퇴직금 추계액 명세의 작성 및 검토, ② 퇴직연금(사외적립자산) 대사, ③ 회계처리의 검토·승인. 세부 통제는 조서(첨부6) 입수 후 확정 예정.</t>
        </is>
      </c>
      <c r="C45" s="374" t="n"/>
      <c r="D45" s="374" t="n"/>
      <c r="E45" s="374" t="n"/>
      <c r="F45" s="374" t="n"/>
      <c r="G45" s="374" t="n"/>
      <c r="H45" s="374" t="n"/>
      <c r="I45" s="374" t="n"/>
      <c r="J45" s="374" t="n"/>
      <c r="K45" s="374" t="n"/>
      <c r="L45" s="374" t="n"/>
      <c r="M45" s="374" t="n"/>
      <c r="N45" s="374" t="n"/>
      <c r="O45" s="374" t="n"/>
      <c r="P45" s="332" t="inlineStr">
        <is>
          <t>Link to guidance</t>
        </is>
      </c>
      <c r="Q45" s="78" t="n"/>
      <c r="R45" s="354" t="inlineStr">
        <is>
          <t xml:space="preserve">Please ensure that the controls identified here are copied into Atlas on the node 'Identify controls that address WCGW's and relate them to the WCGW's' </t>
        </is>
      </c>
      <c r="W45" s="132" t="n"/>
    </row>
    <row r="46" customFormat="1" s="65">
      <c r="A46" s="55" t="n"/>
      <c r="B46" s="380" t="n"/>
      <c r="C46" s="374" t="n"/>
      <c r="D46" s="374" t="n"/>
      <c r="E46" s="374" t="n"/>
      <c r="F46" s="374" t="n"/>
      <c r="G46" s="374" t="n"/>
      <c r="H46" s="374" t="n"/>
      <c r="I46" s="374" t="n"/>
      <c r="J46" s="374" t="n"/>
      <c r="K46" s="374" t="n"/>
      <c r="L46" s="374" t="n"/>
      <c r="M46" s="374" t="n"/>
      <c r="N46" s="374" t="n"/>
      <c r="O46" s="374" t="n"/>
      <c r="P46" s="381" t="n"/>
      <c r="Q46" s="78" t="n"/>
      <c r="W46" s="132" t="n"/>
    </row>
    <row r="47" customFormat="1" s="65">
      <c r="B47" s="380" t="n"/>
      <c r="C47" s="374" t="n"/>
      <c r="D47" s="374" t="n"/>
      <c r="E47" s="374" t="n"/>
      <c r="F47" s="374" t="n"/>
      <c r="G47" s="374" t="n"/>
      <c r="H47" s="374" t="n"/>
      <c r="I47" s="374" t="n"/>
      <c r="J47" s="374" t="n"/>
      <c r="K47" s="374" t="n"/>
      <c r="L47" s="374" t="n"/>
      <c r="M47" s="374" t="n"/>
      <c r="N47" s="374" t="n"/>
      <c r="O47" s="374" t="n"/>
      <c r="P47" s="304" t="n"/>
      <c r="Q47" s="78" t="n"/>
      <c r="W47" s="133" t="n"/>
    </row>
    <row r="48" ht="15" customFormat="1" customHeight="1" s="65">
      <c r="A48" s="55" t="n"/>
      <c r="B48" s="209" t="inlineStr">
        <is>
          <t>Entity's information system [ISA(revised) 540.13h]</t>
        </is>
      </c>
      <c r="C48" s="214" t="n"/>
      <c r="D48" s="214" t="n"/>
      <c r="E48" s="214" t="n"/>
      <c r="F48" s="214" t="n"/>
      <c r="G48" s="214" t="n"/>
      <c r="H48" s="214" t="n"/>
      <c r="I48" s="214" t="n"/>
      <c r="J48" s="214" t="n"/>
      <c r="K48" s="214" t="n"/>
      <c r="L48" s="214" t="n"/>
      <c r="M48" s="214" t="n"/>
      <c r="N48" s="214" t="n"/>
      <c r="O48" s="214" t="n"/>
      <c r="P48" s="215" t="n"/>
      <c r="Q48" s="134" t="n"/>
      <c r="R48" s="274" t="n"/>
      <c r="S48" s="275" t="n"/>
      <c r="T48" s="275" t="n"/>
      <c r="U48" s="275" t="n"/>
      <c r="V48" s="275" t="n"/>
      <c r="W48" s="136" t="n"/>
    </row>
    <row r="49" customFormat="1" s="65">
      <c r="A49" s="55" t="n"/>
      <c r="B49" s="317" t="inlineStr">
        <is>
          <t>How information relating to accounting estimates and related disclosures for significant classes of transactions, account balances or disclosures flows through the entity's information system [ISA 540.13h (i)]</t>
        </is>
      </c>
      <c r="P49" s="216" t="n"/>
      <c r="Q49" s="137" t="n"/>
      <c r="R49" s="274" t="n"/>
      <c r="S49" s="275" t="n"/>
      <c r="T49" s="275" t="n"/>
      <c r="U49" s="275" t="n"/>
      <c r="V49" s="275" t="n"/>
      <c r="W49" s="135" t="n"/>
    </row>
    <row r="50" customFormat="1" s="65">
      <c r="A50" s="55" t="n"/>
      <c r="B50" s="386" t="n"/>
      <c r="P50" s="216" t="n"/>
      <c r="Q50" s="137" t="n"/>
      <c r="R50" s="274" t="n"/>
      <c r="S50" s="275" t="n"/>
      <c r="T50" s="275" t="n"/>
      <c r="U50" s="275" t="n"/>
      <c r="V50" s="275" t="n"/>
      <c r="W50" s="135" t="n"/>
    </row>
    <row r="51" customFormat="1" s="55">
      <c r="B51" s="382" t="inlineStr">
        <is>
          <t>인사·급여 시스템의 임직원별 급여·근속연수 데이터를 근거로 퇴직금 추계액을 산출하여 총계정원장·재무제표에 반영함. 세부 내용은 조서(첨부6) 입수 후 확정 예정.</t>
        </is>
      </c>
      <c r="C51" s="374" t="n"/>
      <c r="D51" s="374" t="n"/>
      <c r="E51" s="374" t="n"/>
      <c r="F51" s="374" t="n"/>
      <c r="G51" s="374" t="n"/>
      <c r="H51" s="374" t="n"/>
      <c r="I51" s="374" t="n"/>
      <c r="J51" s="374" t="n"/>
      <c r="K51" s="374" t="n"/>
      <c r="L51" s="374" t="n"/>
      <c r="M51" s="374" t="n"/>
      <c r="N51" s="374" t="n"/>
      <c r="O51" s="374" t="n"/>
      <c r="P51" s="332" t="inlineStr">
        <is>
          <t>Link to guidance</t>
        </is>
      </c>
      <c r="Q51" s="138" t="n"/>
      <c r="R51" s="269" t="n"/>
      <c r="S51" s="270" t="n"/>
      <c r="T51" s="270" t="n"/>
      <c r="U51" s="271" t="n"/>
      <c r="V51" s="271" t="n"/>
      <c r="W51" s="56" t="n"/>
      <c r="X51" s="54" t="n"/>
      <c r="Y51" s="54" t="n"/>
      <c r="Z51" s="54" t="n"/>
      <c r="AA51" s="54" t="n"/>
    </row>
    <row r="52" ht="15" customFormat="1" customHeight="1" s="55">
      <c r="B52" s="380" t="n"/>
      <c r="C52" s="374" t="n"/>
      <c r="D52" s="374" t="n"/>
      <c r="E52" s="374" t="n"/>
      <c r="F52" s="374" t="n"/>
      <c r="G52" s="374" t="n"/>
      <c r="H52" s="374" t="n"/>
      <c r="I52" s="374" t="n"/>
      <c r="J52" s="374" t="n"/>
      <c r="K52" s="374" t="n"/>
      <c r="L52" s="374" t="n"/>
      <c r="M52" s="374" t="n"/>
      <c r="N52" s="374" t="n"/>
      <c r="O52" s="374" t="n"/>
      <c r="P52" s="381" t="n"/>
      <c r="Q52" s="138" t="n"/>
      <c r="R52" s="269" t="n"/>
      <c r="S52" s="270" t="n"/>
      <c r="T52" s="270" t="n"/>
      <c r="U52" s="271" t="n"/>
      <c r="V52" s="271" t="n"/>
      <c r="W52" s="56" t="n"/>
      <c r="X52" s="54" t="n"/>
      <c r="Y52" s="54" t="n"/>
      <c r="Z52" s="54" t="n"/>
      <c r="AA52" s="54" t="n"/>
    </row>
    <row r="53" ht="15.75" customFormat="1" customHeight="1" s="55">
      <c r="B53" s="380" t="n"/>
      <c r="C53" s="374" t="n"/>
      <c r="D53" s="374" t="n"/>
      <c r="E53" s="374" t="n"/>
      <c r="F53" s="374" t="n"/>
      <c r="G53" s="374" t="n"/>
      <c r="H53" s="374" t="n"/>
      <c r="I53" s="374" t="n"/>
      <c r="J53" s="374" t="n"/>
      <c r="K53" s="374" t="n"/>
      <c r="L53" s="374" t="n"/>
      <c r="M53" s="374" t="n"/>
      <c r="N53" s="374" t="n"/>
      <c r="O53" s="374" t="n"/>
      <c r="P53" s="217" t="n"/>
      <c r="Q53" s="138" t="n"/>
      <c r="R53" s="276" t="n"/>
      <c r="S53" s="277" t="n"/>
      <c r="T53" s="277" t="n"/>
      <c r="U53" s="277" t="n"/>
      <c r="V53" s="277" t="n"/>
      <c r="W53" s="58" t="n"/>
      <c r="X53" s="54" t="n"/>
      <c r="Y53" s="54" t="n"/>
      <c r="Z53" s="54" t="n"/>
      <c r="AA53" s="54" t="n"/>
    </row>
    <row r="54" ht="19.5" customFormat="1" customHeight="1" s="55">
      <c r="B54" s="209" t="inlineStr">
        <is>
          <t>Method used in making the accounting estimate, including models used [ISA 540.13h(ii) a(i)]</t>
        </is>
      </c>
      <c r="C54" s="68" t="n"/>
      <c r="D54" s="68" t="n"/>
      <c r="E54" s="68" t="n"/>
      <c r="F54" s="68" t="n"/>
      <c r="G54" s="68" t="n"/>
      <c r="H54" s="68" t="n"/>
      <c r="I54" s="68" t="n"/>
      <c r="J54" s="68" t="n"/>
      <c r="K54" s="68" t="n"/>
      <c r="L54" s="68" t="n"/>
      <c r="M54" s="68" t="n"/>
      <c r="N54" s="68" t="n"/>
      <c r="O54" s="68" t="n"/>
      <c r="P54" s="193" t="n"/>
      <c r="Q54" s="19" t="n"/>
      <c r="R54" s="267" t="n"/>
      <c r="S54" s="268" t="n"/>
      <c r="T54" s="268" t="n"/>
      <c r="U54" s="268" t="n"/>
      <c r="V54" s="268" t="n"/>
      <c r="W54" s="53" t="n"/>
      <c r="X54" s="54" t="n"/>
      <c r="Y54" s="54" t="n"/>
      <c r="Z54" s="54" t="n"/>
      <c r="AA54" s="54" t="n"/>
    </row>
    <row r="55" customFormat="1" s="55">
      <c r="B55" s="382" t="inlineStr">
        <is>
          <t>[방법] 보고기간말 기준 전 임직원 일시퇴직 가정에 따른 퇴직금 추계액을 퇴직급여충당부채로 인식(K-GAAP). 세부 방법은 조서(첨부6) 입수 후 확정 예정.
※ 조서(첨부6) 입수 후 작성 예정 (Pending receipt of working paper).</t>
        </is>
      </c>
      <c r="C55" s="374" t="n"/>
      <c r="D55" s="374" t="n"/>
      <c r="E55" s="374" t="n"/>
      <c r="F55" s="374" t="n"/>
      <c r="G55" s="374" t="n"/>
      <c r="H55" s="374" t="n"/>
      <c r="I55" s="374" t="n"/>
      <c r="J55" s="374" t="n"/>
      <c r="K55" s="374" t="n"/>
      <c r="L55" s="374" t="n"/>
      <c r="M55" s="374" t="n"/>
      <c r="N55" s="374" t="n"/>
      <c r="O55" s="374" t="n"/>
      <c r="P55" s="332" t="inlineStr">
        <is>
          <t>Link to guidance</t>
        </is>
      </c>
      <c r="Q55" s="139" t="n"/>
      <c r="R55" s="269" t="n"/>
      <c r="S55" s="270" t="n"/>
      <c r="T55" s="270" t="n"/>
      <c r="U55" s="271" t="n"/>
      <c r="V55" s="271" t="n"/>
      <c r="W55" s="56" t="n"/>
      <c r="X55" s="54" t="n"/>
      <c r="Y55" s="54" t="n"/>
      <c r="Z55" s="54" t="n"/>
      <c r="AA55" s="54" t="n"/>
    </row>
    <row r="56" customFormat="1" s="55">
      <c r="B56" s="380" t="n"/>
      <c r="C56" s="374" t="n"/>
      <c r="D56" s="374" t="n"/>
      <c r="E56" s="374" t="n"/>
      <c r="F56" s="374" t="n"/>
      <c r="G56" s="374" t="n"/>
      <c r="H56" s="374" t="n"/>
      <c r="I56" s="374" t="n"/>
      <c r="J56" s="374" t="n"/>
      <c r="K56" s="374" t="n"/>
      <c r="L56" s="374" t="n"/>
      <c r="M56" s="374" t="n"/>
      <c r="N56" s="374" t="n"/>
      <c r="O56" s="374" t="n"/>
      <c r="P56" s="381" t="n"/>
      <c r="Q56" s="139" t="n"/>
      <c r="R56" s="269" t="n"/>
      <c r="S56" s="270" t="n"/>
      <c r="T56" s="270" t="n"/>
      <c r="U56" s="271" t="n"/>
      <c r="V56" s="271" t="n"/>
      <c r="W56" s="56" t="n"/>
      <c r="X56" s="54" t="n"/>
      <c r="Y56" s="54" t="n"/>
      <c r="Z56" s="54" t="n"/>
      <c r="AA56" s="54" t="n"/>
    </row>
    <row r="57" customFormat="1" s="55">
      <c r="B57" s="380" t="n"/>
      <c r="C57" s="374" t="n"/>
      <c r="D57" s="374" t="n"/>
      <c r="E57" s="374" t="n"/>
      <c r="F57" s="374" t="n"/>
      <c r="G57" s="374" t="n"/>
      <c r="H57" s="374" t="n"/>
      <c r="I57" s="374" t="n"/>
      <c r="J57" s="374" t="n"/>
      <c r="K57" s="374" t="n"/>
      <c r="L57" s="374" t="n"/>
      <c r="M57" s="374" t="n"/>
      <c r="N57" s="374" t="n"/>
      <c r="O57" s="374" t="n"/>
      <c r="P57" s="218" t="n"/>
      <c r="Q57" s="139" t="n"/>
      <c r="R57" s="278" t="n"/>
      <c r="S57" s="279" t="n"/>
      <c r="T57" s="279" t="n"/>
      <c r="U57" s="279" t="n"/>
      <c r="V57" s="279" t="n"/>
      <c r="W57" s="59" t="n"/>
      <c r="X57" s="54" t="n"/>
      <c r="Y57" s="54" t="n"/>
      <c r="Z57" s="54" t="n"/>
      <c r="AA57" s="54" t="n"/>
    </row>
    <row r="58" ht="19.5" customFormat="1" customHeight="1" s="55">
      <c r="B58" s="209" t="inlineStr">
        <is>
          <t>Assumptions used in making the accounting estimate [ISA 540.13h (ii) a(ii)]</t>
        </is>
      </c>
      <c r="C58" s="68" t="n"/>
      <c r="D58" s="68" t="n"/>
      <c r="E58" s="68" t="n"/>
      <c r="F58" s="68" t="n"/>
      <c r="G58" s="68" t="n"/>
      <c r="H58" s="68" t="n"/>
      <c r="I58" s="68" t="n"/>
      <c r="J58" s="68" t="n"/>
      <c r="K58" s="68" t="n"/>
      <c r="L58" s="68" t="n"/>
      <c r="M58" s="68" t="n"/>
      <c r="N58" s="68" t="n"/>
      <c r="O58" s="68" t="n"/>
      <c r="P58" s="210" t="n"/>
      <c r="Q58" s="19" t="n"/>
      <c r="R58" s="267" t="n"/>
      <c r="S58" s="268" t="n"/>
      <c r="T58" s="268" t="n"/>
      <c r="U58" s="268" t="n"/>
      <c r="V58" s="268" t="n"/>
      <c r="W58" s="53" t="n"/>
      <c r="X58" s="54" t="n"/>
      <c r="Y58" s="54" t="n"/>
      <c r="Z58" s="54" t="n"/>
      <c r="AA58" s="54" t="n"/>
    </row>
    <row r="59" customFormat="1" s="55">
      <c r="B59" s="382" t="inlineStr">
        <is>
          <t>주요 가정은 급여수준, 근속연수 및 퇴직금 지급률 등임. 보험수리적 가정 적용 여부 등 세부 사항은 조서(첨부6) 입수 후 확정 예정.</t>
        </is>
      </c>
      <c r="C59" s="374" t="n"/>
      <c r="D59" s="374" t="n"/>
      <c r="E59" s="374" t="n"/>
      <c r="F59" s="374" t="n"/>
      <c r="G59" s="374" t="n"/>
      <c r="H59" s="374" t="n"/>
      <c r="I59" s="374" t="n"/>
      <c r="J59" s="374" t="n"/>
      <c r="K59" s="374" t="n"/>
      <c r="L59" s="374" t="n"/>
      <c r="M59" s="374" t="n"/>
      <c r="N59" s="374" t="n"/>
      <c r="O59" s="374" t="n"/>
      <c r="P59" s="332" t="inlineStr">
        <is>
          <t>Link to guidance</t>
        </is>
      </c>
      <c r="Q59" s="78" t="n"/>
      <c r="R59" s="269" t="n"/>
      <c r="S59" s="270" t="n"/>
      <c r="T59" s="270" t="n"/>
      <c r="U59" s="271" t="n"/>
      <c r="V59" s="271" t="n"/>
      <c r="W59" s="56" t="n"/>
      <c r="X59" s="54" t="n"/>
      <c r="Y59" s="54" t="n"/>
      <c r="Z59" s="54" t="n"/>
      <c r="AA59" s="54" t="n"/>
    </row>
    <row r="60" customFormat="1" s="55">
      <c r="B60" s="380" t="n"/>
      <c r="C60" s="374" t="n"/>
      <c r="D60" s="374" t="n"/>
      <c r="E60" s="374" t="n"/>
      <c r="F60" s="374" t="n"/>
      <c r="G60" s="374" t="n"/>
      <c r="H60" s="374" t="n"/>
      <c r="I60" s="374" t="n"/>
      <c r="J60" s="374" t="n"/>
      <c r="K60" s="374" t="n"/>
      <c r="L60" s="374" t="n"/>
      <c r="M60" s="374" t="n"/>
      <c r="N60" s="374" t="n"/>
      <c r="O60" s="374" t="n"/>
      <c r="P60" s="381" t="n"/>
      <c r="Q60" s="78" t="n"/>
      <c r="R60" s="269" t="n"/>
      <c r="S60" s="270" t="n"/>
      <c r="T60" s="270" t="n"/>
      <c r="U60" s="271" t="n"/>
      <c r="V60" s="271" t="n"/>
      <c r="W60" s="56" t="n"/>
      <c r="X60" s="54" t="n"/>
      <c r="Y60" s="54" t="n"/>
      <c r="Z60" s="54" t="n"/>
      <c r="AA60" s="54" t="n"/>
    </row>
    <row r="61" customFormat="1" s="55">
      <c r="B61" s="380" t="n"/>
      <c r="C61" s="374" t="n"/>
      <c r="D61" s="374" t="n"/>
      <c r="E61" s="374" t="n"/>
      <c r="F61" s="374" t="n"/>
      <c r="G61" s="374" t="n"/>
      <c r="H61" s="374" t="n"/>
      <c r="I61" s="374" t="n"/>
      <c r="J61" s="374" t="n"/>
      <c r="K61" s="374" t="n"/>
      <c r="L61" s="374" t="n"/>
      <c r="M61" s="374" t="n"/>
      <c r="N61" s="374" t="n"/>
      <c r="O61" s="374" t="n"/>
      <c r="P61" s="212" t="n"/>
      <c r="Q61" s="78" t="n"/>
      <c r="R61" s="272" t="n"/>
      <c r="S61" s="273" t="n"/>
      <c r="T61" s="273" t="n"/>
      <c r="U61" s="273" t="n"/>
      <c r="V61" s="273" t="n"/>
      <c r="W61" s="57" t="n"/>
      <c r="X61" s="54" t="n"/>
      <c r="Y61" s="54" t="n"/>
      <c r="Z61" s="54" t="n"/>
      <c r="AA61" s="54" t="n"/>
    </row>
    <row r="62" ht="19.5" customFormat="1" customHeight="1" s="55">
      <c r="A62" s="65" t="n"/>
      <c r="B62" s="209" t="inlineStr">
        <is>
          <t>Data used in making the accounting estimate [ISA 540.13h (ii) a(iii)]</t>
        </is>
      </c>
      <c r="C62" s="68" t="n"/>
      <c r="D62" s="68" t="n"/>
      <c r="E62" s="68" t="n"/>
      <c r="F62" s="68" t="n"/>
      <c r="G62" s="68" t="n"/>
      <c r="H62" s="68" t="n"/>
      <c r="I62" s="68" t="n"/>
      <c r="J62" s="68" t="n"/>
      <c r="K62" s="68" t="n"/>
      <c r="L62" s="68" t="n"/>
      <c r="M62" s="68" t="n"/>
      <c r="N62" s="68" t="n"/>
      <c r="O62" s="68" t="n"/>
      <c r="P62" s="210" t="n"/>
      <c r="Q62" s="19" t="n"/>
      <c r="R62" s="267" t="n"/>
      <c r="S62" s="268" t="n"/>
      <c r="T62" s="268" t="n"/>
      <c r="U62" s="268" t="n"/>
      <c r="V62" s="268" t="n"/>
      <c r="W62" s="53" t="n"/>
      <c r="X62" s="54" t="n"/>
      <c r="Y62" s="54" t="n"/>
      <c r="Z62" s="54" t="n"/>
      <c r="AA62" s="54" t="n"/>
    </row>
    <row r="63" customFormat="1" s="55">
      <c r="A63" s="65" t="n"/>
      <c r="B63" s="382" t="inlineStr">
        <is>
          <t>사용 데이터는 임직원별 급여·근속연수 및 퇴직금 지급규정임. 세부 데이터 검증은 조서(첨부6) 입수 후 확정 예정.</t>
        </is>
      </c>
      <c r="C63" s="374" t="n"/>
      <c r="D63" s="374" t="n"/>
      <c r="E63" s="374" t="n"/>
      <c r="F63" s="374" t="n"/>
      <c r="G63" s="374" t="n"/>
      <c r="H63" s="374" t="n"/>
      <c r="I63" s="374" t="n"/>
      <c r="J63" s="374" t="n"/>
      <c r="K63" s="374" t="n"/>
      <c r="L63" s="374" t="n"/>
      <c r="M63" s="374" t="n"/>
      <c r="N63" s="374" t="n"/>
      <c r="O63" s="374" t="n"/>
      <c r="P63" s="332" t="inlineStr">
        <is>
          <t>Link to guidance</t>
        </is>
      </c>
      <c r="Q63" s="78" t="n"/>
      <c r="R63" s="269" t="n"/>
      <c r="S63" s="270" t="n"/>
      <c r="T63" s="270" t="n"/>
      <c r="U63" s="271" t="n"/>
      <c r="V63" s="271" t="n"/>
      <c r="W63" s="56" t="n"/>
      <c r="X63" s="54" t="n"/>
      <c r="Y63" s="54" t="n"/>
      <c r="Z63" s="54" t="n"/>
      <c r="AA63" s="54" t="n"/>
    </row>
    <row r="64" ht="15" customFormat="1" customHeight="1" s="55">
      <c r="A64" s="65" t="n"/>
      <c r="B64" s="380" t="n"/>
      <c r="C64" s="374" t="n"/>
      <c r="D64" s="374" t="n"/>
      <c r="E64" s="374" t="n"/>
      <c r="F64" s="374" t="n"/>
      <c r="G64" s="374" t="n"/>
      <c r="H64" s="374" t="n"/>
      <c r="I64" s="374" t="n"/>
      <c r="J64" s="374" t="n"/>
      <c r="K64" s="374" t="n"/>
      <c r="L64" s="374" t="n"/>
      <c r="M64" s="374" t="n"/>
      <c r="N64" s="374" t="n"/>
      <c r="O64" s="374" t="n"/>
      <c r="P64" s="381" t="n"/>
      <c r="Q64" s="78" t="n"/>
      <c r="R64" s="269" t="n"/>
      <c r="S64" s="270" t="n"/>
      <c r="T64" s="270" t="n"/>
      <c r="U64" s="271" t="n"/>
      <c r="V64" s="271" t="n"/>
      <c r="W64" s="56" t="n"/>
      <c r="X64" s="54" t="n"/>
      <c r="Y64" s="54" t="n"/>
      <c r="Z64" s="54" t="n"/>
      <c r="AA64" s="54" t="n"/>
    </row>
    <row r="65" customFormat="1" s="55">
      <c r="A65" s="65" t="n"/>
      <c r="B65" s="380" t="n"/>
      <c r="C65" s="374" t="n"/>
      <c r="D65" s="374" t="n"/>
      <c r="E65" s="374" t="n"/>
      <c r="F65" s="374" t="n"/>
      <c r="G65" s="374" t="n"/>
      <c r="H65" s="374" t="n"/>
      <c r="I65" s="374" t="n"/>
      <c r="J65" s="374" t="n"/>
      <c r="K65" s="374" t="n"/>
      <c r="L65" s="374" t="n"/>
      <c r="M65" s="374" t="n"/>
      <c r="N65" s="374" t="n"/>
      <c r="O65" s="374" t="n"/>
      <c r="P65" s="212" t="n"/>
      <c r="Q65" s="78" t="n"/>
      <c r="R65" s="272" t="n"/>
      <c r="S65" s="273" t="n"/>
      <c r="T65" s="273" t="n"/>
      <c r="U65" s="273" t="n"/>
      <c r="V65" s="273" t="n"/>
      <c r="W65" s="57" t="n"/>
      <c r="X65" s="54" t="n"/>
      <c r="Y65" s="54" t="n"/>
      <c r="Z65" s="54" t="n"/>
      <c r="AA65" s="54" t="n"/>
    </row>
    <row r="66" ht="19.5" customFormat="1" customHeight="1" s="55">
      <c r="A66" s="65" t="n"/>
      <c r="B66" s="209" t="inlineStr">
        <is>
          <t>Management's assessment of estimation uncertainty [ISA (revised) 540.13h b and c]</t>
        </is>
      </c>
      <c r="C66" s="68" t="n"/>
      <c r="D66" s="68" t="n"/>
      <c r="E66" s="68" t="n"/>
      <c r="F66" s="68" t="n"/>
      <c r="G66" s="68" t="n"/>
      <c r="H66" s="68" t="n"/>
      <c r="I66" s="68" t="n"/>
      <c r="J66" s="68" t="n"/>
      <c r="K66" s="68" t="n"/>
      <c r="L66" s="68" t="n"/>
      <c r="M66" s="68" t="n"/>
      <c r="N66" s="68" t="n"/>
      <c r="O66" s="68" t="n"/>
      <c r="P66" s="210" t="n"/>
      <c r="Q66" s="19" t="n"/>
      <c r="R66" s="280" t="n"/>
      <c r="S66" s="281" t="n"/>
      <c r="T66" s="281" t="n"/>
      <c r="U66" s="281" t="n"/>
      <c r="V66" s="281" t="n"/>
      <c r="W66" s="53" t="n"/>
      <c r="X66" s="54" t="n"/>
      <c r="Y66" s="54" t="n"/>
      <c r="Z66" s="54" t="n"/>
      <c r="AA66" s="54" t="n"/>
    </row>
    <row r="67" customFormat="1" s="55">
      <c r="A67" s="65" t="n"/>
      <c r="B67" s="382" t="inlineStr">
        <is>
          <t>경영진의 추정불확실성 평가 내용은 조서(첨부6) 입수 후 확정 예정.</t>
        </is>
      </c>
      <c r="C67" s="374" t="n"/>
      <c r="D67" s="374" t="n"/>
      <c r="E67" s="374" t="n"/>
      <c r="F67" s="374" t="n"/>
      <c r="G67" s="374" t="n"/>
      <c r="H67" s="374" t="n"/>
      <c r="I67" s="374" t="n"/>
      <c r="J67" s="374" t="n"/>
      <c r="K67" s="374" t="n"/>
      <c r="L67" s="374" t="n"/>
      <c r="M67" s="374" t="n"/>
      <c r="N67" s="374" t="n"/>
      <c r="O67" s="374" t="n"/>
      <c r="P67" s="332" t="inlineStr">
        <is>
          <t>Link to guidance</t>
        </is>
      </c>
      <c r="Q67" s="140" t="n"/>
      <c r="R67" s="269" t="n"/>
      <c r="S67" s="270" t="n"/>
      <c r="T67" s="270" t="n"/>
      <c r="U67" s="271" t="n"/>
      <c r="V67" s="271" t="n"/>
      <c r="W67" s="56" t="n"/>
      <c r="X67" s="54" t="n"/>
      <c r="Y67" s="54" t="n"/>
      <c r="Z67" s="54" t="n"/>
      <c r="AA67" s="54" t="n"/>
    </row>
    <row r="68" customFormat="1" s="55">
      <c r="A68" s="65" t="n"/>
      <c r="B68" s="380" t="n"/>
      <c r="C68" s="374" t="n"/>
      <c r="D68" s="374" t="n"/>
      <c r="E68" s="374" t="n"/>
      <c r="F68" s="374" t="n"/>
      <c r="G68" s="374" t="n"/>
      <c r="H68" s="374" t="n"/>
      <c r="I68" s="374" t="n"/>
      <c r="J68" s="374" t="n"/>
      <c r="K68" s="374" t="n"/>
      <c r="L68" s="374" t="n"/>
      <c r="M68" s="374" t="n"/>
      <c r="N68" s="374" t="n"/>
      <c r="O68" s="374" t="n"/>
      <c r="P68" s="381" t="n"/>
      <c r="Q68" s="140" t="n"/>
      <c r="R68" s="269" t="n"/>
      <c r="S68" s="270" t="n"/>
      <c r="T68" s="270" t="n"/>
      <c r="U68" s="271" t="n"/>
      <c r="V68" s="271" t="n"/>
      <c r="W68" s="56" t="n"/>
      <c r="X68" s="54" t="n"/>
      <c r="Y68" s="54" t="n"/>
      <c r="Z68" s="54" t="n"/>
      <c r="AA68" s="54" t="n"/>
    </row>
    <row r="69" customFormat="1" s="55">
      <c r="A69" s="65" t="n"/>
      <c r="B69" s="380" t="n"/>
      <c r="C69" s="374" t="n"/>
      <c r="D69" s="374" t="n"/>
      <c r="E69" s="374" t="n"/>
      <c r="F69" s="374" t="n"/>
      <c r="G69" s="374" t="n"/>
      <c r="H69" s="374" t="n"/>
      <c r="I69" s="374" t="n"/>
      <c r="J69" s="374" t="n"/>
      <c r="K69" s="374" t="n"/>
      <c r="L69" s="374" t="n"/>
      <c r="M69" s="374" t="n"/>
      <c r="N69" s="374" t="n"/>
      <c r="O69" s="374" t="n"/>
      <c r="P69" s="212" t="n"/>
      <c r="Q69" s="78" t="n"/>
      <c r="R69" s="272" t="n"/>
      <c r="S69" s="273" t="n"/>
      <c r="T69" s="273" t="n"/>
      <c r="U69" s="273" t="n"/>
      <c r="V69" s="273" t="n"/>
      <c r="W69" s="57" t="n"/>
      <c r="X69" s="54" t="n"/>
      <c r="Y69" s="54" t="n"/>
      <c r="Z69" s="54" t="n"/>
      <c r="AA69" s="54" t="n"/>
    </row>
    <row r="70" ht="19.5" customFormat="1" customHeight="1" s="55">
      <c r="A70" s="65" t="n"/>
      <c r="B70" s="209" t="inlineStr">
        <is>
          <t>Outcome or subsequent re-estimation in the current year of previous accounting estimates [ISA(revised) 540.13j and ISA (revised) 540.14]</t>
        </is>
      </c>
      <c r="C70" s="68" t="n"/>
      <c r="D70" s="68" t="n"/>
      <c r="E70" s="68" t="n"/>
      <c r="F70" s="68" t="n"/>
      <c r="G70" s="68" t="n"/>
      <c r="H70" s="68" t="n"/>
      <c r="I70" s="68" t="n"/>
      <c r="J70" s="68" t="n"/>
      <c r="K70" s="68" t="n"/>
      <c r="L70" s="68" t="n"/>
      <c r="M70" s="68" t="n"/>
      <c r="N70" s="68" t="n"/>
      <c r="O70" s="68" t="n"/>
      <c r="P70" s="210" t="n"/>
      <c r="Q70" s="19" t="n"/>
      <c r="R70" s="274" t="n"/>
      <c r="S70" s="275" t="n"/>
      <c r="T70" s="275" t="n"/>
      <c r="U70" s="275" t="n"/>
      <c r="V70" s="275" t="n"/>
      <c r="W70" s="53" t="n"/>
      <c r="X70" s="54" t="n"/>
      <c r="Y70" s="54" t="n"/>
      <c r="Z70" s="54" t="n"/>
      <c r="AA70" s="54" t="n"/>
    </row>
    <row r="71" customFormat="1" s="55">
      <c r="A71" s="65" t="n"/>
      <c r="B71" s="382" t="inlineStr">
        <is>
          <t>전기 퇴직급여충당부채의 당기 변동(설정·지급) 및 추정의 적정성은 조서(첨부6) 입수 후 검토 예정.</t>
        </is>
      </c>
      <c r="C71" s="374" t="n"/>
      <c r="D71" s="374" t="n"/>
      <c r="E71" s="374" t="n"/>
      <c r="F71" s="374" t="n"/>
      <c r="G71" s="374" t="n"/>
      <c r="H71" s="374" t="n"/>
      <c r="I71" s="374" t="n"/>
      <c r="J71" s="374" t="n"/>
      <c r="K71" s="374" t="n"/>
      <c r="L71" s="374" t="n"/>
      <c r="M71" s="374" t="n"/>
      <c r="N71" s="374" t="n"/>
      <c r="O71" s="374" t="n"/>
      <c r="P71" s="332" t="inlineStr">
        <is>
          <t>Link to guidance</t>
        </is>
      </c>
      <c r="Q71" s="78" t="n"/>
      <c r="R71" s="269" t="n"/>
      <c r="S71" s="270" t="n"/>
      <c r="T71" s="270" t="n"/>
      <c r="U71" s="271" t="n"/>
      <c r="V71" s="271" t="n"/>
      <c r="W71" s="56" t="n"/>
      <c r="X71" s="54" t="n"/>
      <c r="Y71" s="54" t="n"/>
      <c r="Z71" s="54" t="n"/>
      <c r="AA71" s="54" t="n"/>
    </row>
    <row r="72" customFormat="1" s="55">
      <c r="A72" s="65" t="n"/>
      <c r="B72" s="380" t="n"/>
      <c r="C72" s="374" t="n"/>
      <c r="D72" s="374" t="n"/>
      <c r="E72" s="374" t="n"/>
      <c r="F72" s="374" t="n"/>
      <c r="G72" s="374" t="n"/>
      <c r="H72" s="374" t="n"/>
      <c r="I72" s="374" t="n"/>
      <c r="J72" s="374" t="n"/>
      <c r="K72" s="374" t="n"/>
      <c r="L72" s="374" t="n"/>
      <c r="M72" s="374" t="n"/>
      <c r="N72" s="374" t="n"/>
      <c r="O72" s="374" t="n"/>
      <c r="P72" s="381" t="n"/>
      <c r="Q72" s="141" t="n"/>
      <c r="R72" s="269" t="n"/>
      <c r="S72" s="270" t="n"/>
      <c r="T72" s="270" t="n"/>
      <c r="U72" s="271" t="n"/>
      <c r="V72" s="271" t="n"/>
      <c r="W72" s="56" t="n"/>
      <c r="X72" s="54" t="n"/>
      <c r="Y72" s="54" t="n"/>
      <c r="Z72" s="54" t="n"/>
      <c r="AA72" s="54" t="n"/>
    </row>
    <row r="73" customFormat="1" s="55">
      <c r="A73" s="65" t="n"/>
      <c r="B73" s="380" t="n"/>
      <c r="C73" s="374" t="n"/>
      <c r="D73" s="374" t="n"/>
      <c r="E73" s="374" t="n"/>
      <c r="F73" s="374" t="n"/>
      <c r="G73" s="374" t="n"/>
      <c r="H73" s="374" t="n"/>
      <c r="I73" s="374" t="n"/>
      <c r="J73" s="374" t="n"/>
      <c r="K73" s="374" t="n"/>
      <c r="L73" s="374" t="n"/>
      <c r="M73" s="374" t="n"/>
      <c r="N73" s="374" t="n"/>
      <c r="O73" s="374" t="n"/>
      <c r="P73" s="218" t="n"/>
      <c r="Q73" s="141" t="n"/>
      <c r="R73" s="278" t="n"/>
      <c r="S73" s="278" t="n"/>
      <c r="T73" s="278" t="n"/>
      <c r="U73" s="278" t="n"/>
      <c r="V73" s="278" t="n"/>
      <c r="W73" s="60" t="n"/>
      <c r="X73" s="54" t="n"/>
      <c r="Y73" s="54" t="n"/>
      <c r="Z73" s="54" t="n"/>
      <c r="AA73" s="54" t="n"/>
    </row>
    <row r="74" ht="19.5" customFormat="1" customHeight="1" s="55">
      <c r="A74" s="65" t="n"/>
      <c r="B74" s="209" t="inlineStr">
        <is>
          <t>Identifying a need for management's expert [ISA(revised) 540.13f]</t>
        </is>
      </c>
      <c r="C74" s="68" t="n"/>
      <c r="D74" s="68" t="n"/>
      <c r="E74" s="68" t="n"/>
      <c r="F74" s="68" t="n"/>
      <c r="G74" s="68" t="n"/>
      <c r="H74" s="68" t="n"/>
      <c r="I74" s="68" t="n"/>
      <c r="J74" s="68" t="n"/>
      <c r="K74" s="68" t="n"/>
      <c r="L74" s="68" t="n"/>
      <c r="M74" s="68" t="n"/>
      <c r="N74" s="68" t="n"/>
      <c r="O74" s="68" t="n"/>
      <c r="P74" s="210" t="n"/>
      <c r="Q74" s="19" t="n"/>
      <c r="R74" s="274" t="n"/>
      <c r="S74" s="275" t="n"/>
      <c r="T74" s="275" t="n"/>
      <c r="U74" s="275" t="n"/>
      <c r="V74" s="275" t="n"/>
      <c r="W74" s="53" t="n"/>
      <c r="X74" s="54" t="n"/>
      <c r="Y74" s="54" t="n"/>
      <c r="Z74" s="54" t="n"/>
      <c r="AA74" s="54" t="n"/>
    </row>
    <row r="75" customFormat="1" s="55">
      <c r="A75" s="65" t="n"/>
      <c r="B75" s="382" t="inlineStr">
        <is>
          <t>경영진의 전문가(보험계리인 등) 이용 여부는 조서(첨부6) 입수 후 확정 예정.</t>
        </is>
      </c>
      <c r="C75" s="374" t="n"/>
      <c r="D75" s="374" t="n"/>
      <c r="E75" s="374" t="n"/>
      <c r="F75" s="374" t="n"/>
      <c r="G75" s="374" t="n"/>
      <c r="H75" s="374" t="n"/>
      <c r="I75" s="374" t="n"/>
      <c r="J75" s="374" t="n"/>
      <c r="K75" s="374" t="n"/>
      <c r="L75" s="374" t="n"/>
      <c r="M75" s="374" t="n"/>
      <c r="N75" s="374" t="n"/>
      <c r="O75" s="374" t="n"/>
      <c r="P75" s="332" t="inlineStr">
        <is>
          <t>Link to guidance</t>
        </is>
      </c>
      <c r="Q75" s="78" t="n"/>
      <c r="R75" s="269" t="n"/>
      <c r="S75" s="270" t="n"/>
      <c r="T75" s="270" t="n"/>
      <c r="U75" s="271" t="n"/>
      <c r="V75" s="271" t="n"/>
      <c r="W75" s="56" t="n"/>
      <c r="X75" s="54" t="n"/>
      <c r="Y75" s="54" t="n"/>
      <c r="Z75" s="54" t="n"/>
      <c r="AA75" s="54" t="n"/>
    </row>
    <row r="76" ht="15.75" customFormat="1" customHeight="1" s="55">
      <c r="A76" s="65" t="n"/>
      <c r="B76" s="380" t="n"/>
      <c r="C76" s="374" t="n"/>
      <c r="D76" s="374" t="n"/>
      <c r="E76" s="374" t="n"/>
      <c r="F76" s="374" t="n"/>
      <c r="G76" s="374" t="n"/>
      <c r="H76" s="374" t="n"/>
      <c r="I76" s="374" t="n"/>
      <c r="J76" s="374" t="n"/>
      <c r="K76" s="374" t="n"/>
      <c r="L76" s="374" t="n"/>
      <c r="M76" s="374" t="n"/>
      <c r="N76" s="374" t="n"/>
      <c r="O76" s="374" t="n"/>
      <c r="P76" s="381" t="n"/>
      <c r="Q76" s="78" t="n"/>
      <c r="R76" s="269" t="n"/>
      <c r="S76" s="270" t="n"/>
      <c r="T76" s="270" t="n"/>
      <c r="U76" s="271" t="n"/>
      <c r="V76" s="271" t="n"/>
      <c r="W76" s="56" t="n"/>
      <c r="X76" s="61" t="inlineStr">
        <is>
          <t>Use of an expert dropdown (to be hidden)</t>
        </is>
      </c>
      <c r="Y76" s="54" t="n"/>
      <c r="Z76" s="54" t="n"/>
      <c r="AA76" s="54" t="n"/>
    </row>
    <row r="77" ht="15.75" customFormat="1" customHeight="1" s="55" thickBot="1">
      <c r="A77" s="65" t="n"/>
      <c r="B77" s="380" t="n"/>
      <c r="C77" s="374" t="n"/>
      <c r="D77" s="374" t="n"/>
      <c r="E77" s="374" t="n"/>
      <c r="F77" s="374" t="n"/>
      <c r="G77" s="374" t="n"/>
      <c r="H77" s="374" t="n"/>
      <c r="I77" s="374" t="n"/>
      <c r="J77" s="374" t="n"/>
      <c r="K77" s="374" t="n"/>
      <c r="L77" s="374" t="n"/>
      <c r="M77" s="374" t="n"/>
      <c r="N77" s="374" t="n"/>
      <c r="O77" s="374" t="n"/>
      <c r="P77" s="212" t="n"/>
      <c r="Q77" s="78" t="n"/>
      <c r="R77" s="272" t="n"/>
      <c r="S77" s="273" t="n"/>
      <c r="T77" s="273" t="n"/>
      <c r="U77" s="273" t="n"/>
      <c r="V77" s="273" t="n"/>
      <c r="W77" s="57" t="n"/>
      <c r="X77" s="54" t="inlineStr">
        <is>
          <t>Yes</t>
        </is>
      </c>
      <c r="Y77" s="54" t="n"/>
      <c r="Z77" s="54" t="n"/>
      <c r="AA77" s="54" t="n"/>
    </row>
    <row r="78" ht="15.75" customFormat="1" customHeight="1" s="55" thickBot="1">
      <c r="A78" s="65" t="n"/>
      <c r="B78" s="220" t="inlineStr">
        <is>
          <t xml:space="preserve">Have management used an expert? </t>
        </is>
      </c>
      <c r="C78" s="221" t="n"/>
      <c r="D78" s="221" t="n"/>
      <c r="E78" s="301" t="inlineStr">
        <is>
          <t>No</t>
        </is>
      </c>
      <c r="F78" s="221" t="inlineStr">
        <is>
          <t>User should select from dropdown menu</t>
        </is>
      </c>
      <c r="G78" s="221" t="n"/>
      <c r="H78" s="221" t="n"/>
      <c r="I78" s="221" t="n"/>
      <c r="J78" s="221" t="n"/>
      <c r="K78" s="221" t="n"/>
      <c r="L78" s="221" t="n"/>
      <c r="M78" s="221" t="n"/>
      <c r="N78" s="221" t="n"/>
      <c r="O78" s="221" t="n"/>
      <c r="P78" s="210" t="n"/>
      <c r="Q78" s="19" t="n"/>
      <c r="R78" s="344" t="inlineStr">
        <is>
          <t>If a management's expert is used then you must document this in Atlas on the node 'Details of reliance on experts'</t>
        </is>
      </c>
      <c r="W78" s="53" t="n"/>
      <c r="X78" s="54" t="inlineStr">
        <is>
          <t>No</t>
        </is>
      </c>
      <c r="Y78" s="54" t="n"/>
      <c r="Z78" s="54" t="n"/>
      <c r="AA78" s="54" t="n"/>
    </row>
    <row r="79" ht="15" customFormat="1" customHeight="1" s="55">
      <c r="A79" s="65" t="n"/>
      <c r="B79" s="302">
        <f>IF(E78="Yes","Please document the details in the experts template/screen within the audit file","")</f>
        <v/>
      </c>
      <c r="C79" s="303" t="n"/>
      <c r="D79" s="303" t="n"/>
      <c r="E79" s="303" t="n"/>
      <c r="F79" s="303" t="n"/>
      <c r="G79" s="303" t="n"/>
      <c r="H79" s="303" t="n"/>
      <c r="I79" s="303" t="n"/>
      <c r="J79" s="303" t="n"/>
      <c r="K79" s="303" t="n"/>
      <c r="L79" s="303" t="n"/>
      <c r="M79" s="303" t="n"/>
      <c r="N79" s="303" t="n"/>
      <c r="O79" s="303" t="n"/>
      <c r="P79" s="304" t="n"/>
      <c r="Q79" s="78" t="n"/>
      <c r="W79" s="57" t="n"/>
      <c r="X79" s="54" t="n"/>
      <c r="Y79" s="54" t="n"/>
      <c r="Z79" s="54" t="n"/>
      <c r="AA79" s="54" t="n"/>
    </row>
    <row r="80" ht="15" customFormat="1" customHeight="1" s="55">
      <c r="A80" s="65" t="n"/>
      <c r="B80" s="305">
        <f>IF(E78="YES","Please insert the file reference of the experts documentation:","")</f>
        <v/>
      </c>
      <c r="C80" s="306" t="n"/>
      <c r="D80" s="306" t="n"/>
      <c r="E80" s="306" t="n"/>
      <c r="F80" s="306" t="n"/>
      <c r="G80" s="331" t="n"/>
      <c r="H80" s="374" t="n"/>
      <c r="I80" s="374" t="n"/>
      <c r="J80" s="307" t="n"/>
      <c r="K80" s="307" t="n"/>
      <c r="L80" s="307" t="n"/>
      <c r="M80" s="307" t="n"/>
      <c r="N80" s="307" t="n"/>
      <c r="O80" s="307" t="n"/>
      <c r="P80" s="219" t="n"/>
      <c r="Q80" s="141" t="n"/>
      <c r="W80" s="60" t="n"/>
      <c r="X80" s="54" t="n"/>
      <c r="Y80" s="54" t="n"/>
      <c r="Z80" s="54" t="n"/>
      <c r="AA80" s="54" t="n"/>
    </row>
    <row r="81" ht="15.75" customFormat="1" customHeight="1" s="55" thickBot="1">
      <c r="A81" s="65" t="n"/>
      <c r="B81" s="261" t="n"/>
      <c r="C81" s="262" t="n"/>
      <c r="D81" s="262" t="n"/>
      <c r="E81" s="262" t="n"/>
      <c r="F81" s="262" t="n"/>
      <c r="G81" s="262" t="n"/>
      <c r="H81" s="262" t="n"/>
      <c r="I81" s="262" t="n"/>
      <c r="J81" s="262" t="n"/>
      <c r="K81" s="262" t="n"/>
      <c r="L81" s="262" t="n"/>
      <c r="M81" s="262" t="n"/>
      <c r="N81" s="262" t="n"/>
      <c r="O81" s="262" t="n"/>
      <c r="P81" s="263" t="n"/>
      <c r="Q81" s="141" t="n"/>
      <c r="R81" s="278" t="n"/>
      <c r="S81" s="278" t="n"/>
      <c r="T81" s="278" t="n"/>
      <c r="U81" s="278" t="n"/>
      <c r="V81" s="278" t="n"/>
      <c r="W81" s="60" t="n"/>
      <c r="X81" s="54" t="n"/>
      <c r="Y81" s="54" t="n"/>
      <c r="Z81" s="54" t="n"/>
      <c r="AA81" s="54" t="n"/>
    </row>
    <row r="82" ht="15.75" customFormat="1" customHeight="1" s="65" thickBot="1">
      <c r="Q82" s="141" t="n"/>
      <c r="R82" s="278" t="n"/>
      <c r="S82" s="278" t="n"/>
      <c r="T82" s="278" t="n"/>
      <c r="U82" s="278" t="n"/>
      <c r="V82" s="278" t="n"/>
      <c r="W82" s="222" t="n"/>
    </row>
    <row r="83" ht="20.25" customFormat="1" customHeight="1" s="55">
      <c r="A83" s="65" t="n"/>
      <c r="B83" s="181" t="inlineStr">
        <is>
          <t>The audit team</t>
        </is>
      </c>
      <c r="C83" s="182" t="n"/>
      <c r="D83" s="182" t="n"/>
      <c r="E83" s="182" t="n"/>
      <c r="F83" s="182" t="n"/>
      <c r="G83" s="182" t="n"/>
      <c r="H83" s="182" t="n"/>
      <c r="I83" s="182" t="n"/>
      <c r="J83" s="182" t="n"/>
      <c r="K83" s="182" t="n"/>
      <c r="L83" s="182" t="n"/>
      <c r="M83" s="182" t="n"/>
      <c r="N83" s="182" t="n"/>
      <c r="O83" s="182" t="n"/>
      <c r="P83" s="223" t="n"/>
      <c r="Q83" s="142" t="n"/>
      <c r="R83" s="283" t="n"/>
      <c r="S83" s="283" t="n"/>
      <c r="T83" s="283" t="n"/>
      <c r="U83" s="283" t="n"/>
      <c r="V83" s="283" t="n"/>
      <c r="W83" s="60" t="n"/>
      <c r="X83" s="54" t="n"/>
      <c r="Y83" s="54" t="n"/>
      <c r="Z83" s="54" t="n"/>
      <c r="AA83" s="54" t="n"/>
    </row>
    <row r="84" customFormat="1" s="55">
      <c r="A84" s="65" t="n"/>
      <c r="B84" s="186" t="inlineStr">
        <is>
          <t>Engagement team skills and knowledge [ISA (revised) 540.15]</t>
        </is>
      </c>
      <c r="C84" s="71" t="n"/>
      <c r="D84" s="71" t="n"/>
      <c r="E84" s="71" t="n"/>
      <c r="F84" s="71" t="n"/>
      <c r="G84" s="71" t="n"/>
      <c r="H84" s="71" t="n"/>
      <c r="I84" s="71" t="n"/>
      <c r="J84" s="174" t="n"/>
      <c r="K84" s="174" t="n"/>
      <c r="L84" s="174" t="n"/>
      <c r="M84" s="174" t="n"/>
      <c r="N84" s="174" t="n"/>
      <c r="O84" s="174" t="n"/>
      <c r="P84" s="187" t="n"/>
      <c r="Q84" s="143" t="n"/>
      <c r="R84" s="280" t="n"/>
      <c r="S84" s="281" t="n"/>
      <c r="T84" s="281" t="n"/>
      <c r="U84" s="281" t="n"/>
      <c r="V84" s="281" t="n"/>
      <c r="W84" s="53" t="n"/>
      <c r="X84" s="54" t="n"/>
      <c r="Y84" s="54" t="n"/>
      <c r="Z84" s="54" t="n"/>
      <c r="AA84" s="54" t="n"/>
    </row>
    <row r="85" ht="15" customFormat="1" customHeight="1" s="55">
      <c r="A85" s="65" t="n"/>
      <c r="B85" s="382" t="inlineStr">
        <is>
          <t>감사팀 스킬 및 지식의 적정성은 조서(첨부6) 입수 후 확정 예정.</t>
        </is>
      </c>
      <c r="C85" s="374" t="n"/>
      <c r="D85" s="374" t="n"/>
      <c r="E85" s="374" t="n"/>
      <c r="F85" s="374" t="n"/>
      <c r="G85" s="374" t="n"/>
      <c r="H85" s="374" t="n"/>
      <c r="I85" s="374" t="n"/>
      <c r="J85" s="374" t="n"/>
      <c r="K85" s="374" t="n"/>
      <c r="L85" s="374" t="n"/>
      <c r="M85" s="374" t="n"/>
      <c r="N85" s="374" t="n"/>
      <c r="O85" s="374" t="n"/>
      <c r="P85" s="333" t="inlineStr">
        <is>
          <t>Link to guidance</t>
        </is>
      </c>
      <c r="Q85" s="140" t="n"/>
      <c r="R85" s="269" t="n"/>
      <c r="S85" s="270" t="n"/>
      <c r="T85" s="270" t="n"/>
      <c r="U85" s="271" t="n"/>
      <c r="V85" s="271" t="n"/>
      <c r="W85" s="56" t="n"/>
      <c r="X85" s="54" t="n"/>
      <c r="Y85" s="54" t="n"/>
      <c r="Z85" s="54" t="n"/>
      <c r="AA85" s="54" t="n"/>
    </row>
    <row r="86" customFormat="1" s="55">
      <c r="A86" s="65" t="n"/>
      <c r="B86" s="380" t="n"/>
      <c r="C86" s="374" t="n"/>
      <c r="D86" s="374" t="n"/>
      <c r="E86" s="374" t="n"/>
      <c r="F86" s="374" t="n"/>
      <c r="G86" s="374" t="n"/>
      <c r="H86" s="374" t="n"/>
      <c r="I86" s="374" t="n"/>
      <c r="J86" s="374" t="n"/>
      <c r="K86" s="374" t="n"/>
      <c r="L86" s="374" t="n"/>
      <c r="M86" s="374" t="n"/>
      <c r="N86" s="374" t="n"/>
      <c r="O86" s="374" t="n"/>
      <c r="P86" s="381" t="n"/>
      <c r="Q86" s="78" t="n"/>
      <c r="R86" s="269" t="n"/>
      <c r="S86" s="270" t="n"/>
      <c r="T86" s="270" t="n"/>
      <c r="U86" s="271" t="n"/>
      <c r="V86" s="271" t="n"/>
      <c r="W86" s="56" t="n"/>
      <c r="X86" s="54" t="n"/>
      <c r="Y86" s="54" t="n"/>
      <c r="Z86" s="54" t="n"/>
      <c r="AA86" s="54" t="n"/>
    </row>
    <row r="87" ht="16.5" customFormat="1" customHeight="1" s="55" thickBot="1">
      <c r="A87" s="65" t="n"/>
      <c r="B87" s="380" t="n"/>
      <c r="C87" s="374" t="n"/>
      <c r="D87" s="374" t="n"/>
      <c r="E87" s="374" t="n"/>
      <c r="F87" s="374" t="n"/>
      <c r="G87" s="374" t="n"/>
      <c r="H87" s="374" t="n"/>
      <c r="I87" s="374" t="n"/>
      <c r="J87" s="374" t="n"/>
      <c r="K87" s="374" t="n"/>
      <c r="L87" s="374" t="n"/>
      <c r="M87" s="374" t="n"/>
      <c r="N87" s="374" t="n"/>
      <c r="O87" s="374" t="n"/>
      <c r="P87" s="219" t="n"/>
      <c r="Q87" s="144" t="n"/>
      <c r="R87" s="344" t="inlineStr">
        <is>
          <t>If an auditor's expert is used then you must document this in Atlas on the node 'Details of reliance on experts'.
If a specialist is used then within Atlas they must be added to the engagement team within the node 'Engagement'.</t>
        </is>
      </c>
      <c r="W87" s="62" t="n"/>
      <c r="X87" s="54" t="n"/>
      <c r="Y87" s="54" t="n"/>
      <c r="Z87" s="54" t="n"/>
      <c r="AA87" s="54" t="n"/>
    </row>
    <row r="88" ht="15.75" customFormat="1" customHeight="1" s="55" thickBot="1">
      <c r="A88" s="65" t="n"/>
      <c r="B88" s="209" t="inlineStr">
        <is>
          <t>Will we use an auditor's expert or specialist?</t>
        </is>
      </c>
      <c r="C88" s="68" t="n"/>
      <c r="D88" s="68" t="n"/>
      <c r="E88" s="68" t="n"/>
      <c r="F88" s="308" t="inlineStr">
        <is>
          <t>No</t>
        </is>
      </c>
      <c r="G88" s="68" t="inlineStr">
        <is>
          <t>User should select from dropdown menu</t>
        </is>
      </c>
      <c r="H88" s="68" t="n"/>
      <c r="I88" s="68" t="n"/>
      <c r="J88" s="68" t="n"/>
      <c r="K88" s="68" t="n"/>
      <c r="L88" s="68" t="n"/>
      <c r="M88" s="68" t="n"/>
      <c r="N88" s="68" t="n"/>
      <c r="O88" s="68" t="n"/>
      <c r="P88" s="193" t="n"/>
      <c r="Q88" s="19" t="n"/>
      <c r="W88" s="53" t="n"/>
      <c r="X88" s="54" t="n"/>
      <c r="Y88" s="54" t="n"/>
      <c r="Z88" s="54" t="n"/>
      <c r="AA88" s="54" t="n"/>
    </row>
    <row r="89" ht="15" customFormat="1" customHeight="1" s="55">
      <c r="B89" s="255">
        <f>IF(F88="Yes","Please document the details in the experts template/screen within the audit file","")</f>
        <v/>
      </c>
      <c r="C89" s="251" t="n"/>
      <c r="D89" s="251" t="n"/>
      <c r="E89" s="251" t="n"/>
      <c r="F89" s="251" t="n"/>
      <c r="G89" s="251" t="n"/>
      <c r="H89" s="251" t="n"/>
      <c r="I89" s="251" t="n"/>
      <c r="J89" s="251" t="n"/>
      <c r="K89" s="251" t="n"/>
      <c r="L89" s="251" t="n"/>
      <c r="M89" s="251" t="n"/>
      <c r="N89" s="251" t="n"/>
      <c r="O89" s="251" t="n"/>
      <c r="P89" s="256" t="n"/>
      <c r="Q89" s="13" t="n"/>
      <c r="W89" s="62" t="n"/>
    </row>
    <row r="90" ht="15.75" customFormat="1" customHeight="1" s="55">
      <c r="B90" s="257">
        <f>IF(F88="YES","Please insert the file reference of the experts documentation:","")</f>
        <v/>
      </c>
      <c r="C90" s="252" t="n"/>
      <c r="D90" s="252" t="n"/>
      <c r="E90" s="252" t="n"/>
      <c r="F90" s="252" t="n"/>
      <c r="G90" s="326" t="n"/>
      <c r="H90" s="374" t="n"/>
      <c r="I90" s="374" t="n"/>
      <c r="J90" s="253" t="n"/>
      <c r="K90" s="253" t="n"/>
      <c r="L90" s="253" t="n"/>
      <c r="M90" s="253" t="n"/>
      <c r="N90" s="253" t="n"/>
      <c r="O90" s="253" t="n"/>
      <c r="P90" s="258" t="n"/>
      <c r="Q90" s="13" t="n"/>
      <c r="W90" s="62" t="n"/>
    </row>
    <row r="91" ht="15.75" customFormat="1" customHeight="1" s="55">
      <c r="B91" s="257" t="n"/>
      <c r="C91" s="252" t="n"/>
      <c r="D91" s="252" t="n"/>
      <c r="E91" s="252" t="n"/>
      <c r="F91" s="253" t="n"/>
      <c r="G91" s="253" t="n"/>
      <c r="H91" s="253" t="n"/>
      <c r="I91" s="253" t="n"/>
      <c r="J91" s="253" t="n"/>
      <c r="K91" s="253" t="n"/>
      <c r="L91" s="253" t="n"/>
      <c r="M91" s="253" t="n"/>
      <c r="N91" s="253" t="n"/>
      <c r="O91" s="253" t="n"/>
      <c r="P91" s="258" t="n"/>
      <c r="Q91" s="13" t="n"/>
      <c r="W91" s="62" t="n"/>
    </row>
    <row r="92" customFormat="1" s="65">
      <c r="B92" s="259" t="n"/>
      <c r="C92" s="254" t="n"/>
      <c r="D92" s="254" t="n"/>
      <c r="E92" s="254" t="n"/>
      <c r="F92" s="254" t="n"/>
      <c r="G92" s="254" t="n"/>
      <c r="H92" s="254" t="n"/>
      <c r="I92" s="254" t="n"/>
      <c r="J92" s="254" t="n"/>
      <c r="K92" s="254" t="n"/>
      <c r="L92" s="254" t="n"/>
      <c r="M92" s="254" t="n"/>
      <c r="N92" s="254" t="n"/>
      <c r="O92" s="254" t="n"/>
      <c r="P92" s="260" t="n"/>
      <c r="Q92" s="144" t="n"/>
      <c r="R92" s="284" t="n"/>
      <c r="S92" s="285" t="n"/>
      <c r="T92" s="285" t="n"/>
      <c r="U92" s="285" t="n"/>
      <c r="V92" s="285" t="n"/>
      <c r="W92" s="145" t="n"/>
    </row>
    <row r="93" ht="15.75" customFormat="1" customHeight="1" s="65" thickBot="1">
      <c r="B93" s="261" t="n"/>
      <c r="C93" s="262" t="n"/>
      <c r="D93" s="262" t="n"/>
      <c r="E93" s="262" t="n"/>
      <c r="F93" s="262" t="n"/>
      <c r="G93" s="262" t="n"/>
      <c r="H93" s="262" t="n"/>
      <c r="I93" s="262" t="n"/>
      <c r="J93" s="262" t="n"/>
      <c r="K93" s="262" t="n"/>
      <c r="L93" s="262" t="n"/>
      <c r="M93" s="262" t="n"/>
      <c r="N93" s="262" t="n"/>
      <c r="O93" s="262" t="n"/>
      <c r="P93" s="263" t="n"/>
      <c r="Q93" s="146" t="n"/>
      <c r="R93" s="286" t="n"/>
      <c r="S93" s="287" t="n"/>
      <c r="T93" s="287" t="n"/>
      <c r="U93" s="287" t="n"/>
      <c r="V93" s="287" t="n"/>
      <c r="W93" s="148" t="n"/>
    </row>
    <row r="94" customFormat="1" s="65">
      <c r="B94" s="146" t="n"/>
      <c r="C94" s="146" t="n"/>
      <c r="D94" s="146" t="n"/>
      <c r="E94" s="146" t="n"/>
      <c r="F94" s="146" t="n"/>
      <c r="G94" s="146" t="n"/>
      <c r="H94" s="146" t="n"/>
      <c r="I94" s="146" t="n"/>
      <c r="J94" s="146" t="n"/>
      <c r="K94" s="146" t="n"/>
      <c r="L94" s="146" t="n"/>
      <c r="M94" s="146" t="n"/>
      <c r="N94" s="146" t="n"/>
      <c r="O94" s="146" t="n"/>
      <c r="P94" s="147" t="n"/>
      <c r="Q94" s="146" t="n"/>
      <c r="R94" s="286" t="n"/>
      <c r="S94" s="287" t="n"/>
      <c r="T94" s="287" t="n"/>
      <c r="U94" s="287" t="n"/>
      <c r="V94" s="287" t="n"/>
      <c r="W94" s="148" t="n"/>
    </row>
    <row r="95" ht="31.5" customFormat="1" customHeight="1" s="119">
      <c r="B95" s="119" t="inlineStr">
        <is>
          <t>STEP 2:   IDENTIFYING AND ASSESSING THE RISKS OF MATERIAL MISSTATEMENT</t>
        </is>
      </c>
      <c r="P95" s="159" t="n"/>
      <c r="R95" s="267" t="n"/>
      <c r="S95" s="268" t="n"/>
      <c r="T95" s="268" t="n"/>
      <c r="U95" s="268" t="n"/>
      <c r="V95" s="268" t="n"/>
      <c r="W95" s="122" t="n"/>
      <c r="Z95" s="119" t="inlineStr">
        <is>
          <t>Inherent risk matrix</t>
        </is>
      </c>
    </row>
    <row r="96" ht="15.75" customHeight="1" thickBot="1">
      <c r="A96" s="55" t="n"/>
      <c r="B96" s="170" t="n"/>
      <c r="C96" s="43" t="n"/>
      <c r="D96" s="43" t="n"/>
      <c r="E96" s="43" t="n"/>
      <c r="F96" s="43" t="n"/>
      <c r="G96" s="43" t="n"/>
      <c r="H96" s="43" t="n"/>
      <c r="I96" s="43" t="n"/>
      <c r="J96" s="43" t="n"/>
      <c r="K96" s="43" t="n"/>
      <c r="L96" s="43" t="n"/>
      <c r="M96" s="43" t="n"/>
      <c r="N96" s="43" t="n"/>
      <c r="O96" s="43" t="n"/>
      <c r="P96" s="127" t="n"/>
      <c r="Q96" s="4" t="n"/>
      <c r="Z96" s="79" t="inlineStr">
        <is>
          <t>Significant</t>
        </is>
      </c>
      <c r="AA96" s="79" t="inlineStr">
        <is>
          <t>&gt;6</t>
        </is>
      </c>
    </row>
    <row r="97" ht="27.6" customHeight="1">
      <c r="A97" s="65" t="n"/>
      <c r="B97" s="181" t="inlineStr">
        <is>
          <t>Inherent risk assessment</t>
        </is>
      </c>
      <c r="C97" s="182" t="n"/>
      <c r="D97" s="182" t="n"/>
      <c r="E97" s="182" t="n"/>
      <c r="F97" s="182" t="n"/>
      <c r="G97" s="182" t="n"/>
      <c r="H97" s="182" t="n"/>
      <c r="I97" s="182" t="n"/>
      <c r="J97" s="182" t="n"/>
      <c r="K97" s="182" t="n"/>
      <c r="L97" s="182" t="n"/>
      <c r="M97" s="182" t="n"/>
      <c r="N97" s="182" t="n"/>
      <c r="O97" s="182" t="n"/>
      <c r="P97" s="192" t="n"/>
      <c r="Q97" s="19" t="n"/>
      <c r="Z97" s="79" t="inlineStr">
        <is>
          <t>Enhanced</t>
        </is>
      </c>
      <c r="AA97" s="81" t="inlineStr">
        <is>
          <t>4 to 6</t>
        </is>
      </c>
    </row>
    <row r="98" ht="19.5" customFormat="1" customHeight="1" s="55">
      <c r="A98" s="65" t="n"/>
      <c r="B98" s="186" t="inlineStr">
        <is>
          <t>Identifying and assessing the risks of material misstatement relating to an accounting estimate and related disclosures at assertion level [ISA (revised) 540.16]</t>
        </is>
      </c>
      <c r="C98" s="71" t="n"/>
      <c r="D98" s="71" t="n"/>
      <c r="E98" s="71" t="n"/>
      <c r="F98" s="71" t="n"/>
      <c r="G98" s="71" t="n"/>
      <c r="H98" s="71" t="n"/>
      <c r="I98" s="71" t="n"/>
      <c r="J98" s="174" t="n"/>
      <c r="K98" s="174" t="n"/>
      <c r="L98" s="174" t="n"/>
      <c r="M98" s="174" t="n"/>
      <c r="N98" s="174" t="n"/>
      <c r="O98" s="174" t="n"/>
      <c r="P98" s="193" t="n"/>
      <c r="Q98" s="19" t="n"/>
      <c r="R98" s="288" t="n"/>
      <c r="S98" s="289" t="n"/>
      <c r="T98" s="289" t="n"/>
      <c r="U98" s="289" t="n"/>
      <c r="V98" s="289" t="n"/>
      <c r="W98" s="53" t="n"/>
      <c r="X98" s="54" t="n"/>
      <c r="Y98" s="54" t="n"/>
      <c r="Z98" s="54" t="inlineStr">
        <is>
          <t>Standard</t>
        </is>
      </c>
      <c r="AA98" s="54" t="inlineStr">
        <is>
          <t>&gt;4</t>
        </is>
      </c>
    </row>
    <row r="99" ht="15" customHeight="1">
      <c r="A99" s="65" t="n"/>
      <c r="B99" s="327" t="inlineStr">
        <is>
          <t xml:space="preserve">In identifying and assessing risks of material misstatement at the assertion level for an accounting estimate and related disclosures, we must consider inherent risk and control risk separately. We must consider the factors of estimation uncertainty, complexity, subjectivity and other inherent risk factors when considering the level of inherent risk. The below sections will help to guide you in determining to what degree your accounting estimate is subject to these factors. You will then form an overall assessment of the inherent and control risks associated with your accounting estimate. </t>
        </is>
      </c>
      <c r="P99" s="194" t="n"/>
      <c r="Q99" s="149" t="n"/>
      <c r="R99" s="290" t="n"/>
      <c r="S99" s="291" t="n"/>
      <c r="T99" s="291" t="n"/>
      <c r="U99" s="291" t="n"/>
      <c r="V99" s="291" t="n"/>
      <c r="W99" s="82" t="n"/>
    </row>
    <row r="100" ht="15" customHeight="1">
      <c r="A100" s="65" t="n"/>
      <c r="B100" s="386" t="n"/>
      <c r="P100" s="194" t="n"/>
      <c r="Q100" s="149" t="n"/>
      <c r="R100" s="290" t="n"/>
      <c r="S100" s="291" t="n"/>
      <c r="T100" s="291" t="n"/>
      <c r="U100" s="291" t="n"/>
      <c r="V100" s="291" t="n"/>
      <c r="W100" s="82" t="n"/>
    </row>
    <row r="101" ht="15" customHeight="1">
      <c r="A101" s="65" t="n"/>
      <c r="B101" s="386" t="n"/>
      <c r="P101" s="194" t="n"/>
      <c r="Q101" s="149" t="n"/>
      <c r="R101" s="290" t="n"/>
      <c r="S101" s="291" t="n"/>
      <c r="T101" s="291" t="n"/>
      <c r="U101" s="291" t="n"/>
      <c r="V101" s="291" t="n"/>
      <c r="W101" s="82" t="n"/>
    </row>
    <row r="102" ht="15" customHeight="1" thickBot="1">
      <c r="A102" s="65" t="n"/>
      <c r="B102" s="386" t="n"/>
      <c r="P102" s="194" t="n"/>
      <c r="Q102" s="149" t="n"/>
      <c r="R102" s="290" t="n"/>
      <c r="S102" s="291" t="n"/>
      <c r="T102" s="291" t="n"/>
      <c r="U102" s="291" t="n"/>
      <c r="V102" s="291" t="n"/>
      <c r="W102" s="82" t="n"/>
      <c r="X102" s="83" t="inlineStr">
        <is>
          <t>Risk indicator level for dropdown menu (to be hidden)</t>
        </is>
      </c>
      <c r="Z102" s="83" t="inlineStr">
        <is>
          <t>Calculation based on answers</t>
        </is>
      </c>
    </row>
    <row r="103" ht="15" customHeight="1" thickBot="1">
      <c r="A103" s="65" t="n"/>
      <c r="B103" s="195" t="inlineStr">
        <is>
          <t>The degree to which the accounting estimate is subject to estimation uncertainty</t>
        </is>
      </c>
      <c r="C103" s="175" t="n"/>
      <c r="D103" s="196" t="n"/>
      <c r="E103" s="196" t="n"/>
      <c r="F103" s="196" t="n"/>
      <c r="G103" s="196" t="n"/>
      <c r="H103" s="196" t="n"/>
      <c r="I103" s="196" t="n"/>
      <c r="J103" s="197" t="inlineStr">
        <is>
          <t>User to select from the dropdown menu</t>
        </is>
      </c>
      <c r="K103" s="197" t="n"/>
      <c r="L103" s="198" t="inlineStr">
        <is>
          <t>Risk indicator:</t>
        </is>
      </c>
      <c r="M103" s="199" t="n"/>
      <c r="N103" s="301" t="inlineStr">
        <is>
          <t>Low</t>
        </is>
      </c>
      <c r="O103" s="176" t="n"/>
      <c r="P103" s="200" t="n"/>
      <c r="Q103" s="140" t="n"/>
      <c r="R103" s="292" t="n"/>
      <c r="S103" s="293" t="n"/>
      <c r="T103" s="293" t="n"/>
      <c r="U103" s="293" t="n"/>
      <c r="V103" s="293" t="n"/>
      <c r="W103" s="84" t="n"/>
      <c r="X103" s="79" t="inlineStr">
        <is>
          <t>Low</t>
        </is>
      </c>
      <c r="Z103" s="79" t="inlineStr">
        <is>
          <t>Estm uncert.</t>
        </is>
      </c>
      <c r="AA103" s="79">
        <f>IF($N$103="High",3,IF($N$103="Moderate",2,IF($N$103="Low",1,"")))</f>
        <v/>
      </c>
    </row>
    <row r="104" ht="15" customHeight="1">
      <c r="A104" s="65" t="n"/>
      <c r="B104" s="382" t="inlineStr">
        <is>
          <t>K-GAAP상 일시퇴직 기준 추계액으로 산정 시 추정불확실성은 낮은 편으로 잠정 판단함. ※ 조서(첨부6) 입수 후 작성 예정 (Pending receipt of working paper).</t>
        </is>
      </c>
      <c r="C104" s="374" t="n"/>
      <c r="D104" s="374" t="n"/>
      <c r="E104" s="374" t="n"/>
      <c r="F104" s="374" t="n"/>
      <c r="G104" s="374" t="n"/>
      <c r="H104" s="374" t="n"/>
      <c r="I104" s="374" t="n"/>
      <c r="J104" s="374" t="n"/>
      <c r="K104" s="374" t="n"/>
      <c r="L104" s="374" t="n"/>
      <c r="M104" s="374" t="n"/>
      <c r="N104" s="374" t="n"/>
      <c r="O104" s="374" t="n"/>
      <c r="P104" s="333" t="inlineStr">
        <is>
          <t>Link to guidance</t>
        </is>
      </c>
      <c r="Q104" s="150" t="n"/>
      <c r="R104" s="269" t="n"/>
      <c r="S104" s="294" t="n"/>
      <c r="T104" s="294" t="n"/>
      <c r="U104" s="295" t="n"/>
      <c r="V104" s="295" t="n"/>
      <c r="W104" s="85" t="n"/>
      <c r="X104" s="79" t="inlineStr">
        <is>
          <t>Moderate</t>
        </is>
      </c>
      <c r="Z104" s="79" t="inlineStr">
        <is>
          <t>Com</t>
        </is>
      </c>
      <c r="AA104" s="79">
        <f>IF($N$110="High",3,IF($N$110="Moderate",2,IF($N$110="Low",1,"")))</f>
        <v/>
      </c>
    </row>
    <row r="105" ht="15" customHeight="1">
      <c r="A105" s="65" t="n"/>
      <c r="B105" s="380" t="n"/>
      <c r="C105" s="374" t="n"/>
      <c r="D105" s="374" t="n"/>
      <c r="E105" s="374" t="n"/>
      <c r="F105" s="374" t="n"/>
      <c r="G105" s="374" t="n"/>
      <c r="H105" s="374" t="n"/>
      <c r="I105" s="374" t="n"/>
      <c r="J105" s="374" t="n"/>
      <c r="K105" s="374" t="n"/>
      <c r="L105" s="374" t="n"/>
      <c r="M105" s="374" t="n"/>
      <c r="N105" s="374" t="n"/>
      <c r="O105" s="374" t="n"/>
      <c r="P105" s="381" t="n"/>
      <c r="Q105" s="150" t="n"/>
      <c r="R105" s="278" t="n"/>
      <c r="S105" s="296" t="n"/>
      <c r="T105" s="296" t="n"/>
      <c r="U105" s="296" t="n"/>
      <c r="V105" s="296" t="n"/>
      <c r="W105" s="82" t="n"/>
      <c r="X105" s="79" t="inlineStr">
        <is>
          <t>High</t>
        </is>
      </c>
      <c r="Z105" s="79" t="inlineStr">
        <is>
          <t>Sub</t>
        </is>
      </c>
      <c r="AA105" s="79">
        <f>IF($N$115="High",3,IF($N$115="Moderate",2,IF($N$115="Low",1,"")))</f>
        <v/>
      </c>
    </row>
    <row r="106" ht="15" customHeight="1">
      <c r="A106" s="65" t="n"/>
      <c r="B106" s="380" t="n"/>
      <c r="C106" s="374" t="n"/>
      <c r="D106" s="374" t="n"/>
      <c r="E106" s="374" t="n"/>
      <c r="F106" s="374" t="n"/>
      <c r="G106" s="374" t="n"/>
      <c r="H106" s="374" t="n"/>
      <c r="I106" s="374" t="n"/>
      <c r="J106" s="374" t="n"/>
      <c r="K106" s="374" t="n"/>
      <c r="L106" s="374" t="n"/>
      <c r="M106" s="374" t="n"/>
      <c r="N106" s="374" t="n"/>
      <c r="O106" s="374" t="n"/>
      <c r="P106" s="201" t="n"/>
      <c r="Q106" s="150" t="n"/>
      <c r="R106" s="278" t="n"/>
      <c r="S106" s="296" t="n"/>
      <c r="T106" s="296" t="n"/>
      <c r="U106" s="296" t="n"/>
      <c r="V106" s="296" t="n"/>
      <c r="W106" s="82" t="n"/>
      <c r="AA106" s="86">
        <f>SUM(AA103:AA105)</f>
        <v/>
      </c>
    </row>
    <row r="107" ht="15" customHeight="1">
      <c r="A107" s="65" t="n"/>
      <c r="B107" s="380" t="n"/>
      <c r="C107" s="374" t="n"/>
      <c r="D107" s="374" t="n"/>
      <c r="E107" s="374" t="n"/>
      <c r="F107" s="374" t="n"/>
      <c r="G107" s="374" t="n"/>
      <c r="H107" s="374" t="n"/>
      <c r="I107" s="374" t="n"/>
      <c r="J107" s="374" t="n"/>
      <c r="K107" s="374" t="n"/>
      <c r="L107" s="374" t="n"/>
      <c r="M107" s="374" t="n"/>
      <c r="N107" s="374" t="n"/>
      <c r="O107" s="374" t="n"/>
      <c r="P107" s="201" t="n"/>
      <c r="Q107" s="150" t="n"/>
      <c r="R107" s="278" t="n"/>
      <c r="S107" s="296" t="n"/>
      <c r="T107" s="296" t="n"/>
      <c r="U107" s="296" t="n"/>
      <c r="V107" s="296" t="n"/>
      <c r="W107" s="82" t="n"/>
    </row>
    <row r="108" ht="15" customHeight="1">
      <c r="A108" s="65" t="n"/>
      <c r="B108" s="329" t="inlineStr">
        <is>
          <t>The degree to which the selection and application of the method, assumptions and data in making the accounting estimate, or the selection of management's point estimate and related disclosures are affected by:</t>
        </is>
      </c>
      <c r="P108" s="200" t="n"/>
      <c r="Q108" s="140" t="n"/>
      <c r="R108" s="292" t="n"/>
      <c r="S108" s="293" t="n"/>
      <c r="T108" s="293" t="n"/>
      <c r="U108" s="293" t="n"/>
      <c r="V108" s="293" t="n"/>
      <c r="W108" s="84" t="n"/>
    </row>
    <row r="109" ht="15.75" customHeight="1" thickBot="1">
      <c r="A109" s="65" t="n"/>
      <c r="B109" s="386" t="n"/>
      <c r="P109" s="200" t="n"/>
      <c r="Q109" s="140" t="n"/>
      <c r="R109" s="292" t="n"/>
      <c r="S109" s="293" t="n"/>
      <c r="T109" s="293" t="n"/>
      <c r="U109" s="293" t="n"/>
      <c r="V109" s="293" t="n"/>
      <c r="W109" s="84" t="n"/>
    </row>
    <row r="110" ht="15" customHeight="1" thickBot="1">
      <c r="A110" s="65" t="n"/>
      <c r="B110" s="195" t="inlineStr">
        <is>
          <t>Complexity</t>
        </is>
      </c>
      <c r="C110" s="175" t="n"/>
      <c r="D110" s="196" t="n"/>
      <c r="E110" s="196" t="n"/>
      <c r="F110" s="196" t="n"/>
      <c r="G110" s="196" t="n"/>
      <c r="H110" s="196" t="n"/>
      <c r="I110" s="196" t="n"/>
      <c r="J110" s="197" t="inlineStr">
        <is>
          <t>User to select from the dropdown menu</t>
        </is>
      </c>
      <c r="K110" s="197" t="n"/>
      <c r="L110" s="198" t="inlineStr">
        <is>
          <t>Risk indicator:</t>
        </is>
      </c>
      <c r="M110" s="199" t="n"/>
      <c r="N110" s="301" t="inlineStr">
        <is>
          <t>Low</t>
        </is>
      </c>
      <c r="O110" s="176" t="n"/>
      <c r="P110" s="200" t="n"/>
      <c r="Q110" s="140" t="n"/>
      <c r="R110" s="292" t="n"/>
      <c r="S110" s="293" t="n"/>
      <c r="T110" s="293" t="n"/>
      <c r="U110" s="293" t="n"/>
      <c r="V110" s="293" t="n"/>
      <c r="W110" s="84" t="n"/>
    </row>
    <row r="111" ht="15" customHeight="1">
      <c r="A111" s="65" t="n"/>
      <c r="B111" s="382" t="inlineStr">
        <is>
          <t>급여·근속연수 데이터에 기초한 추계로 복잡성은 낮은 편으로 잠정 판단함. ※ 조서(첨부6) 입수 후 작성 예정 (Pending receipt of working paper).</t>
        </is>
      </c>
      <c r="C111" s="374" t="n"/>
      <c r="D111" s="374" t="n"/>
      <c r="E111" s="374" t="n"/>
      <c r="F111" s="374" t="n"/>
      <c r="G111" s="374" t="n"/>
      <c r="H111" s="374" t="n"/>
      <c r="I111" s="374" t="n"/>
      <c r="J111" s="374" t="n"/>
      <c r="K111" s="374" t="n"/>
      <c r="L111" s="374" t="n"/>
      <c r="M111" s="374" t="n"/>
      <c r="N111" s="374" t="n"/>
      <c r="O111" s="374" t="n"/>
      <c r="P111" s="333" t="inlineStr">
        <is>
          <t>Link to guidance</t>
        </is>
      </c>
      <c r="Q111" s="150" t="n"/>
      <c r="R111" s="269" t="n"/>
      <c r="S111" s="294" t="n"/>
      <c r="T111" s="294" t="n"/>
      <c r="U111" s="295" t="n"/>
      <c r="V111" s="295" t="n"/>
      <c r="W111" s="85" t="n"/>
    </row>
    <row r="112" ht="15" customHeight="1">
      <c r="A112" s="65" t="n"/>
      <c r="B112" s="380" t="n"/>
      <c r="C112" s="374" t="n"/>
      <c r="D112" s="374" t="n"/>
      <c r="E112" s="374" t="n"/>
      <c r="F112" s="374" t="n"/>
      <c r="G112" s="374" t="n"/>
      <c r="H112" s="374" t="n"/>
      <c r="I112" s="374" t="n"/>
      <c r="J112" s="374" t="n"/>
      <c r="K112" s="374" t="n"/>
      <c r="L112" s="374" t="n"/>
      <c r="M112" s="374" t="n"/>
      <c r="N112" s="374" t="n"/>
      <c r="O112" s="374" t="n"/>
      <c r="P112" s="381" t="n"/>
      <c r="Q112" s="150" t="n"/>
      <c r="R112" s="278" t="n"/>
      <c r="S112" s="296" t="n"/>
      <c r="T112" s="296" t="n"/>
      <c r="U112" s="296" t="n"/>
      <c r="V112" s="296" t="n"/>
      <c r="W112" s="82" t="n"/>
    </row>
    <row r="113" ht="15" customHeight="1">
      <c r="A113" s="65" t="n"/>
      <c r="B113" s="380" t="n"/>
      <c r="C113" s="374" t="n"/>
      <c r="D113" s="374" t="n"/>
      <c r="E113" s="374" t="n"/>
      <c r="F113" s="374" t="n"/>
      <c r="G113" s="374" t="n"/>
      <c r="H113" s="374" t="n"/>
      <c r="I113" s="374" t="n"/>
      <c r="J113" s="374" t="n"/>
      <c r="K113" s="374" t="n"/>
      <c r="L113" s="374" t="n"/>
      <c r="M113" s="374" t="n"/>
      <c r="N113" s="374" t="n"/>
      <c r="O113" s="374" t="n"/>
      <c r="P113" s="201" t="n"/>
      <c r="Q113" s="150" t="n"/>
      <c r="R113" s="278" t="n"/>
      <c r="S113" s="296" t="n"/>
      <c r="T113" s="296" t="n"/>
      <c r="U113" s="296" t="n"/>
      <c r="V113" s="296" t="n"/>
      <c r="W113" s="82" t="n"/>
    </row>
    <row r="114" ht="15" customHeight="1" thickBot="1">
      <c r="A114" s="65" t="n"/>
      <c r="B114" s="380" t="n"/>
      <c r="C114" s="374" t="n"/>
      <c r="D114" s="374" t="n"/>
      <c r="E114" s="374" t="n"/>
      <c r="F114" s="374" t="n"/>
      <c r="G114" s="374" t="n"/>
      <c r="H114" s="374" t="n"/>
      <c r="I114" s="374" t="n"/>
      <c r="J114" s="374" t="n"/>
      <c r="K114" s="374" t="n"/>
      <c r="L114" s="374" t="n"/>
      <c r="M114" s="374" t="n"/>
      <c r="N114" s="374" t="n"/>
      <c r="O114" s="374" t="n"/>
      <c r="P114" s="201" t="n"/>
      <c r="Q114" s="150" t="n"/>
      <c r="R114" s="278" t="n"/>
      <c r="S114" s="296" t="n"/>
      <c r="T114" s="296" t="n"/>
      <c r="U114" s="296" t="n"/>
      <c r="V114" s="296" t="n"/>
      <c r="W114" s="82" t="n"/>
    </row>
    <row r="115" ht="15" customHeight="1" thickBot="1">
      <c r="A115" s="65" t="n"/>
      <c r="B115" s="195" t="inlineStr">
        <is>
          <t>Subjectivity</t>
        </is>
      </c>
      <c r="C115" s="175" t="n"/>
      <c r="D115" s="196" t="n"/>
      <c r="E115" s="196" t="n"/>
      <c r="F115" s="196" t="n"/>
      <c r="G115" s="196" t="n"/>
      <c r="H115" s="196" t="n"/>
      <c r="I115" s="196" t="n"/>
      <c r="J115" s="197" t="inlineStr">
        <is>
          <t>User to select from the dropdown menu</t>
        </is>
      </c>
      <c r="K115" s="197" t="n"/>
      <c r="L115" s="198" t="inlineStr">
        <is>
          <t>Risk indicator:</t>
        </is>
      </c>
      <c r="M115" s="199" t="n"/>
      <c r="N115" s="301" t="inlineStr">
        <is>
          <t>Low</t>
        </is>
      </c>
      <c r="O115" s="176" t="n"/>
      <c r="P115" s="200" t="n"/>
      <c r="Q115" s="140" t="n"/>
      <c r="R115" s="292" t="n"/>
      <c r="S115" s="293" t="n"/>
      <c r="T115" s="293" t="n"/>
      <c r="U115" s="293" t="n"/>
      <c r="V115" s="293" t="n"/>
      <c r="W115" s="84" t="n"/>
    </row>
    <row r="116" ht="15" customFormat="1" customHeight="1" s="65">
      <c r="B116" s="382" t="inlineStr">
        <is>
          <t>일시퇴직 기준 추계액으로 판단개입 여지가 제한적이어서 주관성은 낮은 편으로 잠정 판단함. ※ 조서(첨부6) 입수 후 작성 예정 (Pending receipt of working paper).</t>
        </is>
      </c>
      <c r="C116" s="374" t="n"/>
      <c r="D116" s="374" t="n"/>
      <c r="E116" s="374" t="n"/>
      <c r="F116" s="374" t="n"/>
      <c r="G116" s="374" t="n"/>
      <c r="H116" s="374" t="n"/>
      <c r="I116" s="374" t="n"/>
      <c r="J116" s="374" t="n"/>
      <c r="K116" s="374" t="n"/>
      <c r="L116" s="374" t="n"/>
      <c r="M116" s="374" t="n"/>
      <c r="N116" s="374" t="n"/>
      <c r="O116" s="374" t="n"/>
      <c r="P116" s="333" t="inlineStr">
        <is>
          <t>Link to guidance</t>
        </is>
      </c>
      <c r="Q116" s="150" t="n"/>
      <c r="R116" s="269" t="n"/>
      <c r="S116" s="270" t="n"/>
      <c r="T116" s="270" t="n"/>
      <c r="U116" s="271" t="n"/>
      <c r="V116" s="271" t="n"/>
      <c r="W116" s="132" t="n"/>
    </row>
    <row r="117" ht="15" customFormat="1" customHeight="1" s="65">
      <c r="B117" s="380" t="n"/>
      <c r="C117" s="374" t="n"/>
      <c r="D117" s="374" t="n"/>
      <c r="E117" s="374" t="n"/>
      <c r="F117" s="374" t="n"/>
      <c r="G117" s="374" t="n"/>
      <c r="H117" s="374" t="n"/>
      <c r="I117" s="374" t="n"/>
      <c r="J117" s="374" t="n"/>
      <c r="K117" s="374" t="n"/>
      <c r="L117" s="374" t="n"/>
      <c r="M117" s="374" t="n"/>
      <c r="N117" s="374" t="n"/>
      <c r="O117" s="374" t="n"/>
      <c r="P117" s="381" t="n"/>
      <c r="Q117" s="150" t="n"/>
      <c r="R117" s="269" t="n"/>
      <c r="S117" s="270" t="n"/>
      <c r="T117" s="270" t="n"/>
      <c r="U117" s="271" t="n"/>
      <c r="V117" s="271" t="n"/>
      <c r="W117" s="132" t="n"/>
      <c r="X117" s="151" t="inlineStr">
        <is>
          <t>Inherent risk level for dropdown menu (to be hidden)</t>
        </is>
      </c>
    </row>
    <row r="118" customFormat="1" s="65">
      <c r="B118" s="380" t="n"/>
      <c r="C118" s="374" t="n"/>
      <c r="D118" s="374" t="n"/>
      <c r="E118" s="374" t="n"/>
      <c r="F118" s="374" t="n"/>
      <c r="G118" s="374" t="n"/>
      <c r="H118" s="374" t="n"/>
      <c r="I118" s="374" t="n"/>
      <c r="J118" s="374" t="n"/>
      <c r="K118" s="374" t="n"/>
      <c r="L118" s="374" t="n"/>
      <c r="M118" s="374" t="n"/>
      <c r="N118" s="374" t="n"/>
      <c r="O118" s="374" t="n"/>
      <c r="P118" s="201" t="n"/>
      <c r="Q118" s="150" t="n"/>
      <c r="R118" s="278" t="n"/>
      <c r="S118" s="296" t="n"/>
      <c r="T118" s="296" t="n"/>
      <c r="U118" s="296" t="n"/>
      <c r="V118" s="296" t="n"/>
      <c r="W118" s="152" t="n"/>
      <c r="X118" s="65" t="inlineStr">
        <is>
          <t>Standard</t>
        </is>
      </c>
    </row>
    <row r="119" customFormat="1" s="65">
      <c r="B119" s="380" t="n"/>
      <c r="C119" s="374" t="n"/>
      <c r="D119" s="374" t="n"/>
      <c r="E119" s="374" t="n"/>
      <c r="F119" s="374" t="n"/>
      <c r="G119" s="374" t="n"/>
      <c r="H119" s="374" t="n"/>
      <c r="I119" s="374" t="n"/>
      <c r="J119" s="374" t="n"/>
      <c r="K119" s="374" t="n"/>
      <c r="L119" s="374" t="n"/>
      <c r="M119" s="374" t="n"/>
      <c r="N119" s="374" t="n"/>
      <c r="O119" s="374" t="n"/>
      <c r="P119" s="201" t="n"/>
      <c r="Q119" s="150" t="n"/>
      <c r="R119" s="278" t="n"/>
      <c r="S119" s="296" t="n"/>
      <c r="T119" s="296" t="n"/>
      <c r="U119" s="296" t="n"/>
      <c r="V119" s="296" t="n"/>
      <c r="W119" s="152" t="n"/>
      <c r="X119" s="65" t="inlineStr">
        <is>
          <t>Enhanced</t>
        </is>
      </c>
    </row>
    <row r="120" ht="21.95" customFormat="1" customHeight="1" s="65">
      <c r="B120" s="341" t="inlineStr">
        <is>
          <t>Overall conclusion on inherent risk on the accounting estimate:</t>
        </is>
      </c>
      <c r="L120" s="202" t="n"/>
      <c r="M120" s="202" t="n"/>
      <c r="N120" s="202" t="n"/>
      <c r="O120" s="202" t="n"/>
      <c r="P120" s="333" t="inlineStr">
        <is>
          <t>Link to guidance</t>
        </is>
      </c>
      <c r="Q120" s="140" t="n"/>
      <c r="R120" s="292" t="n"/>
      <c r="S120" s="293" t="n"/>
      <c r="T120" s="293" t="n"/>
      <c r="U120" s="293" t="n"/>
      <c r="V120" s="293" t="n"/>
      <c r="W120" s="153" t="n"/>
      <c r="X120" s="65" t="inlineStr">
        <is>
          <t>Significant</t>
        </is>
      </c>
    </row>
    <row r="121" ht="15" customFormat="1" customHeight="1" s="65">
      <c r="B121" s="203" t="inlineStr">
        <is>
          <t>The suggested calculated level of inherent risk associated with this accounting estimate is:</t>
        </is>
      </c>
      <c r="C121" s="204" t="n"/>
      <c r="D121" s="204" t="n"/>
      <c r="E121" s="204" t="n"/>
      <c r="F121" s="204" t="n"/>
      <c r="G121" s="204" t="n"/>
      <c r="H121" s="204" t="n"/>
      <c r="I121" s="204" t="n"/>
      <c r="J121" s="204" t="n"/>
      <c r="K121" s="68" t="n"/>
      <c r="L121" s="180">
        <f>IF(AA106&gt;6,"Significant",IF(AA106=6,"Enhanced",IF(AA106=5,"Enhanced",IF(AA106=3,"Standard",IF(AA106=4,"Enhanced","")))))</f>
        <v/>
      </c>
      <c r="M121" s="197" t="inlineStr">
        <is>
          <t>Calculation is based on the 3 answers above</t>
        </is>
      </c>
      <c r="N121" s="197" t="n"/>
      <c r="O121" s="197" t="n"/>
      <c r="P121" s="381" t="n"/>
      <c r="Q121" s="140" t="n"/>
      <c r="R121" s="269" t="n"/>
      <c r="S121" s="270" t="n"/>
      <c r="T121" s="270" t="n"/>
      <c r="U121" s="271" t="n"/>
      <c r="V121" s="271" t="n"/>
      <c r="W121" s="132" t="n"/>
    </row>
    <row r="122" ht="15" customFormat="1" customHeight="1" s="65">
      <c r="B122" s="339" t="inlineStr">
        <is>
          <t>Other inherent risk factors</t>
        </is>
      </c>
      <c r="P122" s="200" t="n"/>
      <c r="Q122" s="140" t="n"/>
      <c r="R122" s="292" t="n"/>
      <c r="S122" s="293" t="n"/>
      <c r="T122" s="293" t="n"/>
      <c r="U122" s="293" t="n"/>
      <c r="V122" s="293" t="n"/>
      <c r="W122" s="153" t="n"/>
    </row>
    <row r="123" ht="15" customFormat="1" customHeight="1" s="65">
      <c r="B123" s="382" t="inlineStr">
        <is>
          <t>기타 고유위험요인은 조서(첨부6) 입수 후 확정 예정.</t>
        </is>
      </c>
      <c r="C123" s="374" t="n"/>
      <c r="D123" s="374" t="n"/>
      <c r="E123" s="374" t="n"/>
      <c r="F123" s="374" t="n"/>
      <c r="G123" s="374" t="n"/>
      <c r="H123" s="374" t="n"/>
      <c r="I123" s="374" t="n"/>
      <c r="J123" s="374" t="n"/>
      <c r="K123" s="374" t="n"/>
      <c r="L123" s="374" t="n"/>
      <c r="M123" s="374" t="n"/>
      <c r="N123" s="374" t="n"/>
      <c r="O123" s="374" t="n"/>
      <c r="P123" s="333" t="inlineStr">
        <is>
          <t>Link to guidance</t>
        </is>
      </c>
      <c r="Q123" s="140" t="n"/>
      <c r="R123" s="355" t="inlineStr">
        <is>
          <t xml:space="preserve">The auditor's selected level of inherent risk for the accounting estimate should be reflected in Atlas within the node 'Determine preliminary RMM for assertions'. Please note that this template only deals with the accounting estimate, and therefore there may be other factors which drive the inherent risk level for the overall assertion. The inherent risk level for the assertion may the same or a higher level of inherent risk as this template. </t>
        </is>
      </c>
      <c r="W123" s="132" t="n"/>
    </row>
    <row r="124" ht="15" customFormat="1" customHeight="1" s="65">
      <c r="B124" s="380" t="n"/>
      <c r="C124" s="374" t="n"/>
      <c r="D124" s="374" t="n"/>
      <c r="E124" s="374" t="n"/>
      <c r="F124" s="374" t="n"/>
      <c r="G124" s="374" t="n"/>
      <c r="H124" s="374" t="n"/>
      <c r="I124" s="374" t="n"/>
      <c r="J124" s="374" t="n"/>
      <c r="K124" s="374" t="n"/>
      <c r="L124" s="374" t="n"/>
      <c r="M124" s="374" t="n"/>
      <c r="N124" s="374" t="n"/>
      <c r="O124" s="374" t="n"/>
      <c r="P124" s="381" t="n"/>
      <c r="Q124" s="140" t="n"/>
      <c r="W124" s="132" t="n"/>
    </row>
    <row r="125" ht="15" customFormat="1" customHeight="1" s="65" thickBot="1">
      <c r="B125" s="380" t="n"/>
      <c r="C125" s="374" t="n"/>
      <c r="D125" s="374" t="n"/>
      <c r="E125" s="374" t="n"/>
      <c r="F125" s="374" t="n"/>
      <c r="G125" s="374" t="n"/>
      <c r="H125" s="374" t="n"/>
      <c r="I125" s="374" t="n"/>
      <c r="J125" s="374" t="n"/>
      <c r="K125" s="374" t="n"/>
      <c r="L125" s="374" t="n"/>
      <c r="M125" s="374" t="n"/>
      <c r="N125" s="374" t="n"/>
      <c r="O125" s="374" t="n"/>
      <c r="P125" s="200" t="n"/>
      <c r="Q125" s="140" t="n"/>
      <c r="W125" s="153" t="n"/>
    </row>
    <row r="126" ht="16.5" customFormat="1" customHeight="1" s="65" thickBot="1">
      <c r="B126" s="205" t="inlineStr">
        <is>
          <t>Auditor's selected level of inherent risk associated with this accounting estimate is:</t>
        </is>
      </c>
      <c r="C126" s="206" t="n"/>
      <c r="D126" s="206" t="n"/>
      <c r="E126" s="206" t="n"/>
      <c r="F126" s="206" t="n"/>
      <c r="G126" s="206" t="n"/>
      <c r="H126" s="206" t="n"/>
      <c r="I126" s="206" t="n"/>
      <c r="J126" s="206" t="n"/>
      <c r="K126" s="68" t="n"/>
      <c r="L126" s="301" t="inlineStr">
        <is>
          <t>Standard</t>
        </is>
      </c>
      <c r="M126" s="197" t="inlineStr">
        <is>
          <t>User should select from the dropdown menu.</t>
        </is>
      </c>
      <c r="N126" s="206" t="n"/>
      <c r="O126" s="206" t="n"/>
      <c r="P126" s="333" t="inlineStr">
        <is>
          <t>Link to guidance</t>
        </is>
      </c>
      <c r="Q126" s="149" t="n"/>
      <c r="W126" s="132" t="n"/>
    </row>
    <row r="127" ht="18.75" customFormat="1" customHeight="1" s="65">
      <c r="B127" s="339" t="inlineStr">
        <is>
          <t>The reason for the auditor's selected level of inherent risk is due to (Mandatory to explain if there is a departure from the suggested level of inherent risk):</t>
        </is>
      </c>
      <c r="P127" s="381" t="n"/>
      <c r="Q127" s="140" t="n"/>
      <c r="W127" s="132" t="n"/>
    </row>
    <row r="128" ht="15" customFormat="1" customHeight="1" s="65">
      <c r="B128" s="387" t="inlineStr">
        <is>
          <t>잠정적으로 고유위험을 표준(Standard)으로 선택함. 최종 평가는 조서(첨부6) 입수 후 확정 예정.
※ 조서(첨부6) 입수 후 작성 예정 (Pending receipt of working paper).</t>
        </is>
      </c>
      <c r="C128" s="374" t="n"/>
      <c r="D128" s="374" t="n"/>
      <c r="E128" s="374" t="n"/>
      <c r="F128" s="374" t="n"/>
      <c r="G128" s="374" t="n"/>
      <c r="H128" s="374" t="n"/>
      <c r="I128" s="374" t="n"/>
      <c r="J128" s="374" t="n"/>
      <c r="K128" s="374" t="n"/>
      <c r="L128" s="374" t="n"/>
      <c r="M128" s="374" t="n"/>
      <c r="N128" s="374" t="n"/>
      <c r="O128" s="374" t="n"/>
      <c r="P128" s="333" t="inlineStr">
        <is>
          <t>Link to guidance</t>
        </is>
      </c>
      <c r="Q128" s="140" t="n"/>
      <c r="W128" s="132" t="n"/>
    </row>
    <row r="129" ht="15" customFormat="1" customHeight="1" s="65">
      <c r="B129" s="380" t="n"/>
      <c r="C129" s="374" t="n"/>
      <c r="D129" s="374" t="n"/>
      <c r="E129" s="374" t="n"/>
      <c r="F129" s="374" t="n"/>
      <c r="G129" s="374" t="n"/>
      <c r="H129" s="374" t="n"/>
      <c r="I129" s="374" t="n"/>
      <c r="J129" s="374" t="n"/>
      <c r="K129" s="374" t="n"/>
      <c r="L129" s="374" t="n"/>
      <c r="M129" s="374" t="n"/>
      <c r="N129" s="374" t="n"/>
      <c r="O129" s="374" t="n"/>
      <c r="P129" s="381" t="n"/>
      <c r="Q129" s="140" t="n"/>
      <c r="W129" s="153" t="n"/>
    </row>
    <row r="130" ht="15" customFormat="1" customHeight="1" s="65" thickBot="1">
      <c r="B130" s="388" t="n"/>
      <c r="C130" s="389" t="n"/>
      <c r="D130" s="389" t="n"/>
      <c r="E130" s="389" t="n"/>
      <c r="F130" s="389" t="n"/>
      <c r="G130" s="389" t="n"/>
      <c r="H130" s="389" t="n"/>
      <c r="I130" s="389" t="n"/>
      <c r="J130" s="389" t="n"/>
      <c r="K130" s="389" t="n"/>
      <c r="L130" s="389" t="n"/>
      <c r="M130" s="389" t="n"/>
      <c r="N130" s="389" t="n"/>
      <c r="O130" s="389" t="n"/>
      <c r="P130" s="207" t="n"/>
      <c r="Q130" s="140" t="n"/>
      <c r="W130" s="153" t="n"/>
    </row>
    <row r="131" ht="15" customFormat="1" customHeight="1" s="55">
      <c r="B131" s="166" t="n"/>
      <c r="C131" s="166" t="n"/>
      <c r="D131" s="166" t="n"/>
      <c r="E131" s="166" t="n"/>
      <c r="F131" s="166" t="n"/>
      <c r="G131" s="166" t="n"/>
      <c r="H131" s="166" t="n"/>
      <c r="I131" s="166" t="n"/>
      <c r="J131" s="166" t="n"/>
      <c r="K131" s="166" t="n"/>
      <c r="L131" s="166" t="n"/>
      <c r="M131" s="166" t="n"/>
      <c r="N131" s="166" t="n"/>
      <c r="O131" s="166" t="n"/>
      <c r="P131" s="167" t="n"/>
      <c r="Q131" s="16" t="n"/>
      <c r="W131" s="63" t="n"/>
    </row>
    <row r="132" ht="24.75" customFormat="1" customHeight="1" s="55" thickBot="1">
      <c r="B132" s="168" t="n"/>
      <c r="C132" s="11" t="n"/>
      <c r="D132" s="11" t="n"/>
      <c r="E132" s="11" t="n"/>
      <c r="F132" s="11" t="n"/>
      <c r="G132" s="11" t="n"/>
      <c r="H132" s="11" t="n"/>
      <c r="I132" s="11" t="n"/>
      <c r="J132" s="11" t="n"/>
      <c r="K132" s="11" t="n"/>
      <c r="L132" s="11" t="n"/>
      <c r="M132" s="11" t="n"/>
      <c r="N132" s="11" t="n"/>
      <c r="O132" s="11" t="n"/>
      <c r="P132" s="169" t="n"/>
      <c r="Q132" s="11" t="n"/>
      <c r="R132" s="280" t="n"/>
      <c r="S132" s="281" t="n"/>
      <c r="T132" s="281" t="n"/>
      <c r="U132" s="281" t="n"/>
      <c r="V132" s="281" t="n"/>
      <c r="W132" s="53" t="n"/>
    </row>
    <row r="133" ht="33" customFormat="1" customHeight="1" s="65">
      <c r="B133" s="181" t="inlineStr">
        <is>
          <t>Control risk assessment</t>
        </is>
      </c>
      <c r="C133" s="182" t="n"/>
      <c r="D133" s="182" t="n"/>
      <c r="E133" s="182" t="n"/>
      <c r="F133" s="182" t="n"/>
      <c r="G133" s="182" t="n"/>
      <c r="H133" s="182" t="n"/>
      <c r="I133" s="182" t="n"/>
      <c r="J133" s="182" t="n"/>
      <c r="K133" s="182" t="n"/>
      <c r="L133" s="182" t="n"/>
      <c r="M133" s="182" t="n"/>
      <c r="N133" s="182" t="n"/>
      <c r="O133" s="182" t="n"/>
      <c r="P133" s="183" t="n"/>
      <c r="Q133" s="143" t="n"/>
      <c r="R133" s="280" t="n"/>
      <c r="S133" s="281" t="n"/>
      <c r="T133" s="281" t="n"/>
      <c r="U133" s="281" t="n"/>
      <c r="V133" s="281" t="n"/>
      <c r="W133" s="64" t="n"/>
    </row>
    <row r="134" customFormat="1" s="65">
      <c r="B134" s="184" t="inlineStr">
        <is>
          <t>Control Risk [ISA (revised) 540.16 and 17]</t>
        </is>
      </c>
      <c r="C134" s="71" t="n"/>
      <c r="D134" s="71" t="n"/>
      <c r="E134" s="71" t="n"/>
      <c r="F134" s="71" t="n"/>
      <c r="G134" s="71" t="n"/>
      <c r="H134" s="71" t="n"/>
      <c r="I134" s="174" t="n"/>
      <c r="J134" s="174" t="n"/>
      <c r="K134" s="174" t="n"/>
      <c r="L134" s="174" t="n"/>
      <c r="M134" s="174" t="n"/>
      <c r="N134" s="174" t="n"/>
      <c r="O134" s="71" t="n"/>
      <c r="P134" s="185" t="n"/>
      <c r="Q134" s="143" t="n"/>
      <c r="R134" s="280" t="n"/>
      <c r="S134" s="281" t="n"/>
      <c r="T134" s="281" t="n"/>
      <c r="U134" s="281" t="n"/>
      <c r="V134" s="281" t="n"/>
      <c r="W134" s="64" t="n"/>
    </row>
    <row r="135" ht="15" customFormat="1" customHeight="1" s="65">
      <c r="B135" s="186" t="inlineStr">
        <is>
          <t>Controls associated with accounting estimates</t>
        </is>
      </c>
      <c r="C135" s="71" t="n"/>
      <c r="D135" s="71" t="n"/>
      <c r="E135" s="71" t="n"/>
      <c r="F135" s="71" t="n"/>
      <c r="G135" s="71" t="n"/>
      <c r="H135" s="174" t="n"/>
      <c r="I135" s="174" t="n"/>
      <c r="J135" s="174" t="n"/>
      <c r="K135" s="174" t="n"/>
      <c r="L135" s="174" t="n"/>
      <c r="M135" s="174" t="n"/>
      <c r="N135" s="174" t="n"/>
      <c r="O135" s="174" t="n"/>
      <c r="P135" s="187" t="n"/>
      <c r="Q135" s="143" t="n"/>
      <c r="R135" s="280" t="n"/>
      <c r="S135" s="281" t="n"/>
      <c r="T135" s="281" t="n"/>
      <c r="U135" s="281" t="n"/>
      <c r="V135" s="281" t="n"/>
      <c r="W135" s="64" t="n"/>
    </row>
    <row r="136" customFormat="1" s="65">
      <c r="B136" s="186" t="inlineStr">
        <is>
          <t>THIS INFORMATION IS COPIED FROM CELLS ABOVE</t>
        </is>
      </c>
      <c r="C136" s="71" t="n"/>
      <c r="D136" s="71" t="n"/>
      <c r="E136" s="71" t="n"/>
      <c r="F136" s="71" t="n"/>
      <c r="G136" s="71" t="n"/>
      <c r="H136" s="174" t="n"/>
      <c r="I136" s="174" t="n"/>
      <c r="J136" s="174" t="n"/>
      <c r="K136" s="174" t="n"/>
      <c r="L136" s="174" t="n"/>
      <c r="M136" s="174" t="n"/>
      <c r="N136" s="174" t="n"/>
      <c r="O136" s="174" t="n"/>
      <c r="P136" s="187" t="n"/>
      <c r="Q136" s="143" t="n"/>
      <c r="R136" s="280" t="n"/>
      <c r="S136" s="281" t="n"/>
      <c r="T136" s="281" t="n"/>
      <c r="U136" s="281" t="n"/>
      <c r="V136" s="281" t="n"/>
      <c r="W136" s="64" t="n"/>
    </row>
    <row r="137" ht="15" customFormat="1" customHeight="1" s="65">
      <c r="B137" s="335">
        <f>B45</f>
        <v/>
      </c>
      <c r="P137" s="188" t="n"/>
      <c r="Q137" s="143" t="n"/>
      <c r="R137" s="355" t="inlineStr">
        <is>
          <t xml:space="preserve">Please ensure that the controls identified here are copied into Atlas on the node 'Identify controls that address WCGW's and relate them to the WCGW's' </t>
        </is>
      </c>
      <c r="W137" s="64" t="n"/>
    </row>
    <row r="138" ht="15.75" customFormat="1" customHeight="1" s="65">
      <c r="B138" s="386" t="n"/>
      <c r="P138" s="188" t="n"/>
      <c r="Q138" s="143" t="n"/>
      <c r="W138" s="64" t="n"/>
      <c r="X138" s="151" t="inlineStr">
        <is>
          <t>TOE performed dropdown menu (to be hidden)</t>
        </is>
      </c>
    </row>
    <row r="139" ht="15.75" customFormat="1" customHeight="1" s="65" thickBot="1">
      <c r="B139" s="386" t="n"/>
      <c r="P139" s="333" t="inlineStr">
        <is>
          <t>Link to guidance</t>
        </is>
      </c>
      <c r="Q139" s="143" t="n"/>
      <c r="W139" s="64" t="n"/>
      <c r="X139" s="65" t="inlineStr">
        <is>
          <t>Yes</t>
        </is>
      </c>
    </row>
    <row r="140" ht="16.5" customFormat="1" customHeight="1" s="65" thickBot="1">
      <c r="B140" s="186" t="inlineStr">
        <is>
          <t>Will we rely on the control(s) operating effectively?</t>
        </is>
      </c>
      <c r="C140" s="175" t="n"/>
      <c r="D140" s="175" t="n"/>
      <c r="E140" s="175" t="n"/>
      <c r="F140" s="175" t="n"/>
      <c r="G140" s="176" t="n"/>
      <c r="H140" s="301" t="inlineStr">
        <is>
          <t>No</t>
        </is>
      </c>
      <c r="I140" s="177" t="inlineStr">
        <is>
          <t>User to select from dropdown menu</t>
        </is>
      </c>
      <c r="J140" s="176" t="n"/>
      <c r="K140" s="176" t="n"/>
      <c r="L140" s="178" t="n"/>
      <c r="M140" s="178" t="n"/>
      <c r="N140" s="178" t="n"/>
      <c r="O140" s="178" t="n"/>
      <c r="P140" s="381" t="n"/>
      <c r="Q140" s="140" t="n"/>
      <c r="R140" s="343" t="inlineStr">
        <is>
          <t>Our response should be copied into the node 'Document our understanding of and planned approach for the identified controls'</t>
        </is>
      </c>
      <c r="W140" s="153" t="n"/>
      <c r="X140" s="65" t="inlineStr">
        <is>
          <t>No</t>
        </is>
      </c>
    </row>
    <row r="141" customFormat="1" s="65">
      <c r="B141" s="189" t="inlineStr">
        <is>
          <t>Planned control reliance:</t>
        </is>
      </c>
      <c r="C141" s="179" t="n"/>
      <c r="D141" s="68" t="n"/>
      <c r="E141" s="180">
        <f>IF(H140="Yes","High reliance",IF(H140="No","No reliance",""))</f>
        <v/>
      </c>
      <c r="F141" s="173" t="inlineStr">
        <is>
          <t xml:space="preserve">Please note this is the inverse of the control risk. </t>
        </is>
      </c>
      <c r="G141" s="68" t="n"/>
      <c r="H141" s="68" t="n"/>
      <c r="I141" s="68" t="n"/>
      <c r="J141" s="68" t="n"/>
      <c r="K141" s="68" t="n"/>
      <c r="L141" s="66" t="n"/>
      <c r="M141" s="66" t="n"/>
      <c r="N141" s="66" t="n"/>
      <c r="O141" s="66" t="n"/>
      <c r="P141" s="347" t="inlineStr">
        <is>
          <t>Link to guidance</t>
        </is>
      </c>
      <c r="Q141" s="19" t="n"/>
      <c r="R141" s="297" t="n"/>
      <c r="S141" s="270" t="n"/>
      <c r="T141" s="270" t="n"/>
      <c r="U141" s="271" t="n"/>
      <c r="V141" s="271" t="n"/>
      <c r="W141" s="64" t="n"/>
    </row>
    <row r="142" customFormat="1" s="65">
      <c r="B142" s="189" t="inlineStr">
        <is>
          <t>Planned control risk:</t>
        </is>
      </c>
      <c r="C142" s="179" t="n"/>
      <c r="D142" s="68" t="n"/>
      <c r="E142" s="180">
        <f>IF(E141="High reliance","Low",IF(E141="No reliance","High",""))</f>
        <v/>
      </c>
      <c r="F142" s="173" t="n"/>
      <c r="G142" s="68" t="n"/>
      <c r="H142" s="68" t="n"/>
      <c r="I142" s="68" t="n"/>
      <c r="J142" s="68" t="n"/>
      <c r="K142" s="68" t="n"/>
      <c r="L142" s="66" t="n"/>
      <c r="M142" s="66" t="n"/>
      <c r="N142" s="66" t="n"/>
      <c r="O142" s="66" t="n"/>
      <c r="P142" s="381" t="n"/>
      <c r="Q142" s="19" t="n"/>
      <c r="R142" s="300" t="inlineStr">
        <is>
          <t>This will display in the node 'Audit strategy overview'</t>
        </is>
      </c>
      <c r="S142" s="344" t="n"/>
      <c r="T142" s="344" t="n"/>
      <c r="U142" s="344" t="n"/>
      <c r="V142" s="344" t="n"/>
      <c r="W142" s="64" t="n"/>
    </row>
    <row r="143" ht="15.75" customFormat="1" customHeight="1" s="65">
      <c r="B143" s="190" t="inlineStr">
        <is>
          <t>Reason for assessment of control reliance:</t>
        </is>
      </c>
      <c r="C143" s="171" t="n"/>
      <c r="D143" s="171" t="n"/>
      <c r="E143" s="171" t="n"/>
      <c r="F143" s="171" t="n"/>
      <c r="G143" s="171" t="n"/>
      <c r="H143" s="171" t="n"/>
      <c r="I143" s="171" t="n"/>
      <c r="J143" s="171" t="n"/>
      <c r="K143" s="171" t="n"/>
      <c r="L143" s="172" t="n"/>
      <c r="M143" s="172" t="n"/>
      <c r="N143" s="172" t="n"/>
      <c r="O143" s="172" t="n"/>
      <c r="P143" s="381" t="n"/>
      <c r="Q143" s="154" t="n"/>
      <c r="R143" s="298" t="n"/>
      <c r="S143" s="344" t="n"/>
      <c r="T143" s="344" t="n"/>
      <c r="U143" s="344" t="n"/>
      <c r="V143" s="344" t="n"/>
      <c r="W143" s="155" t="n"/>
      <c r="X143" s="151" t="inlineStr">
        <is>
          <t>Planned control reliance dropdown menu (to be hidden)</t>
        </is>
      </c>
    </row>
    <row r="144" ht="15" customFormat="1" customHeight="1" s="65">
      <c r="B144" s="387" t="inlineStr">
        <is>
          <t>실증절차(퇴직금 추계액 재계산 및 사외적립자산 대사) 중심으로 계획함(잠정). 세부 내용은 조서(첨부6) 입수 후 확정 예정.</t>
        </is>
      </c>
      <c r="C144" s="374" t="n"/>
      <c r="D144" s="374" t="n"/>
      <c r="E144" s="374" t="n"/>
      <c r="F144" s="374" t="n"/>
      <c r="G144" s="374" t="n"/>
      <c r="H144" s="374" t="n"/>
      <c r="I144" s="374" t="n"/>
      <c r="J144" s="374" t="n"/>
      <c r="K144" s="374" t="n"/>
      <c r="L144" s="374" t="n"/>
      <c r="M144" s="374" t="n"/>
      <c r="N144" s="374" t="n"/>
      <c r="O144" s="374" t="n"/>
      <c r="P144" s="333" t="n"/>
      <c r="Q144" s="154" t="n"/>
      <c r="R144" s="298" t="n"/>
      <c r="S144" s="344" t="n"/>
      <c r="T144" s="344" t="n"/>
      <c r="U144" s="344" t="n"/>
      <c r="V144" s="344" t="n"/>
      <c r="W144" s="132" t="n"/>
      <c r="X144" s="65" t="inlineStr">
        <is>
          <t>No reliance</t>
        </is>
      </c>
    </row>
    <row r="145" customFormat="1" s="65">
      <c r="B145" s="380" t="n"/>
      <c r="C145" s="374" t="n"/>
      <c r="D145" s="374" t="n"/>
      <c r="E145" s="374" t="n"/>
      <c r="F145" s="374" t="n"/>
      <c r="G145" s="374" t="n"/>
      <c r="H145" s="374" t="n"/>
      <c r="I145" s="374" t="n"/>
      <c r="J145" s="374" t="n"/>
      <c r="K145" s="374" t="n"/>
      <c r="L145" s="374" t="n"/>
      <c r="M145" s="374" t="n"/>
      <c r="N145" s="374" t="n"/>
      <c r="O145" s="374" t="n"/>
      <c r="P145" s="381" t="n"/>
      <c r="Q145" s="154" t="n"/>
      <c r="R145" s="298" t="n"/>
      <c r="S145" s="344" t="n"/>
      <c r="T145" s="344" t="n"/>
      <c r="U145" s="344" t="n"/>
      <c r="V145" s="344" t="n"/>
      <c r="W145" s="132" t="n"/>
      <c r="X145" s="65" t="inlineStr">
        <is>
          <t>High reliance</t>
        </is>
      </c>
    </row>
    <row r="146" ht="15.75" customFormat="1" customHeight="1" s="65" thickBot="1">
      <c r="B146" s="388" t="n"/>
      <c r="C146" s="389" t="n"/>
      <c r="D146" s="389" t="n"/>
      <c r="E146" s="389" t="n"/>
      <c r="F146" s="389" t="n"/>
      <c r="G146" s="389" t="n"/>
      <c r="H146" s="389" t="n"/>
      <c r="I146" s="389" t="n"/>
      <c r="J146" s="389" t="n"/>
      <c r="K146" s="389" t="n"/>
      <c r="L146" s="389" t="n"/>
      <c r="M146" s="389" t="n"/>
      <c r="N146" s="389" t="n"/>
      <c r="O146" s="389" t="n"/>
      <c r="P146" s="191" t="n"/>
      <c r="Q146" s="19" t="n"/>
      <c r="R146" s="267" t="n"/>
      <c r="S146" s="268" t="n"/>
      <c r="T146" s="268" t="n"/>
      <c r="U146" s="268" t="n"/>
      <c r="V146" s="268" t="n"/>
      <c r="W146" s="64" t="n"/>
    </row>
    <row r="147" customFormat="1" s="55">
      <c r="B147" s="164">
        <f>IF(H140="yes","Please document any tests of control below in the planned response section","")</f>
        <v/>
      </c>
      <c r="C147" s="164" t="n"/>
      <c r="D147" s="164" t="n"/>
      <c r="E147" s="164" t="n"/>
      <c r="F147" s="164" t="n"/>
      <c r="G147" s="164" t="n"/>
      <c r="H147" s="164" t="n"/>
      <c r="I147" s="164" t="n"/>
      <c r="J147" s="164" t="n"/>
      <c r="K147" s="164" t="n"/>
      <c r="L147" s="164" t="n"/>
      <c r="M147" s="164" t="n"/>
      <c r="N147" s="164" t="n"/>
      <c r="O147" s="164" t="n"/>
      <c r="P147" s="165" t="n"/>
      <c r="Q147" s="4" t="n"/>
      <c r="R147" s="267" t="n"/>
      <c r="S147" s="268" t="n"/>
      <c r="T147" s="268" t="n"/>
      <c r="U147" s="268" t="n"/>
      <c r="V147" s="268" t="n"/>
      <c r="W147" s="53" t="n"/>
    </row>
    <row r="148" customFormat="1" s="65">
      <c r="B148" s="1" t="n"/>
      <c r="C148" s="5" t="n"/>
      <c r="D148" s="5" t="n"/>
      <c r="E148" s="5" t="n"/>
      <c r="F148" s="5" t="n"/>
      <c r="G148" s="5" t="n"/>
      <c r="H148" s="5" t="n"/>
      <c r="I148" s="5" t="n"/>
      <c r="J148" s="5" t="n"/>
      <c r="K148" s="5" t="n"/>
      <c r="L148" s="5" t="n"/>
      <c r="M148" s="5" t="n"/>
      <c r="N148" s="5" t="n"/>
      <c r="O148" s="4" t="n"/>
      <c r="P148" s="126" t="n"/>
      <c r="Q148" s="19" t="n"/>
      <c r="R148" s="267" t="n"/>
      <c r="S148" s="268" t="n"/>
      <c r="T148" s="268" t="n"/>
      <c r="U148" s="268" t="n"/>
      <c r="V148" s="268" t="n"/>
      <c r="W148" s="64" t="n"/>
    </row>
    <row r="149" ht="31.5" customFormat="1" customHeight="1" s="119">
      <c r="B149" s="119" t="inlineStr">
        <is>
          <t>STEP 3:   RESPONSES TO THE ASSESSED RISKS OF MATERIAL MISSTATEMENT</t>
        </is>
      </c>
      <c r="P149" s="159" t="n"/>
      <c r="R149" s="267" t="n"/>
      <c r="S149" s="268" t="n"/>
      <c r="T149" s="268" t="n"/>
      <c r="U149" s="268" t="n"/>
      <c r="V149" s="268" t="n"/>
      <c r="W149" s="122" t="n"/>
    </row>
    <row r="150" ht="35.1" customFormat="1" customHeight="1" s="55" thickBot="1">
      <c r="B150" s="162" t="n"/>
      <c r="C150" s="26" t="n"/>
      <c r="D150" s="26" t="n"/>
      <c r="E150" s="26" t="n"/>
      <c r="F150" s="26" t="n"/>
      <c r="G150" s="26" t="n"/>
      <c r="H150" s="26" t="n"/>
      <c r="I150" s="26" t="n"/>
      <c r="J150" s="26" t="n"/>
      <c r="K150" s="26" t="n"/>
      <c r="L150" s="26" t="n"/>
      <c r="M150" s="26" t="n"/>
      <c r="N150" s="26" t="n"/>
      <c r="O150" s="26" t="n"/>
      <c r="P150" s="163" t="n"/>
      <c r="Q150" s="26" t="n"/>
      <c r="R150" s="267" t="n"/>
      <c r="S150" s="268" t="n"/>
      <c r="T150" s="268" t="n"/>
      <c r="U150" s="268" t="n"/>
      <c r="V150" s="268" t="n"/>
      <c r="W150" s="53" t="n"/>
    </row>
    <row r="151" ht="35.1" customFormat="1" customHeight="1" s="65">
      <c r="B151" s="181" t="inlineStr">
        <is>
          <t>Risk of material misstatement</t>
        </is>
      </c>
      <c r="C151" s="182" t="n"/>
      <c r="D151" s="182" t="n"/>
      <c r="E151" s="182" t="n"/>
      <c r="F151" s="182" t="n"/>
      <c r="G151" s="182" t="n"/>
      <c r="H151" s="182" t="n"/>
      <c r="I151" s="182" t="n"/>
      <c r="J151" s="182" t="n"/>
      <c r="K151" s="182" t="n"/>
      <c r="L151" s="182" t="n"/>
      <c r="M151" s="182" t="n"/>
      <c r="N151" s="182" t="n"/>
      <c r="O151" s="182" t="n"/>
      <c r="P151" s="183" t="n"/>
      <c r="Q151" s="143" t="n"/>
      <c r="R151" s="267" t="n"/>
      <c r="S151" s="268" t="n"/>
      <c r="T151" s="268" t="n"/>
      <c r="U151" s="268" t="n"/>
      <c r="V151" s="268" t="n"/>
      <c r="W151" s="64" t="n"/>
    </row>
    <row r="152" hidden="1" ht="35.1" customFormat="1" customHeight="1" s="65">
      <c r="B152" s="229" t="n"/>
      <c r="C152" s="36" t="n"/>
      <c r="D152" s="36" t="n"/>
      <c r="E152" s="36" t="n"/>
      <c r="F152" s="36" t="n"/>
      <c r="G152" s="36" t="n"/>
      <c r="H152" s="36" t="n"/>
      <c r="I152" s="36" t="n"/>
      <c r="J152" s="36" t="n"/>
      <c r="K152" s="36" t="n"/>
      <c r="L152" s="36" t="n"/>
      <c r="M152" s="36" t="n"/>
      <c r="N152" s="36" t="n"/>
      <c r="O152" s="36" t="n"/>
      <c r="P152" s="230" t="n"/>
      <c r="Q152" s="75" t="n"/>
      <c r="R152" s="267" t="n"/>
      <c r="S152" s="268" t="n"/>
      <c r="T152" s="268" t="n"/>
      <c r="U152" s="268" t="n"/>
      <c r="V152" s="268" t="n"/>
      <c r="W152" s="64" t="n"/>
    </row>
    <row r="153" hidden="1" ht="35.1" customFormat="1" customHeight="1" s="65">
      <c r="B153" s="231" t="inlineStr">
        <is>
          <t>Combined field for formula</t>
        </is>
      </c>
      <c r="C153" s="36" t="n"/>
      <c r="D153" s="36" t="n"/>
      <c r="E153" s="36">
        <f>L126&amp;E141</f>
        <v/>
      </c>
      <c r="F153" s="36" t="n"/>
      <c r="G153" s="36" t="n"/>
      <c r="H153" s="36" t="inlineStr">
        <is>
          <t>THIS ROW IS TO BE HIDDEN</t>
        </is>
      </c>
      <c r="I153" s="36" t="n"/>
      <c r="J153" s="36" t="n"/>
      <c r="K153" s="36" t="n"/>
      <c r="L153" s="36" t="n"/>
      <c r="M153" s="36" t="n"/>
      <c r="N153" s="36" t="n"/>
      <c r="O153" s="36" t="n"/>
      <c r="P153" s="230" t="n"/>
      <c r="Q153" s="75" t="n"/>
      <c r="R153" s="267" t="n"/>
      <c r="S153" s="268" t="n"/>
      <c r="T153" s="268" t="n"/>
      <c r="U153" s="268" t="n"/>
      <c r="V153" s="268" t="n"/>
      <c r="W153" s="64" t="n"/>
    </row>
    <row r="154" customFormat="1" s="65">
      <c r="B154" s="195" t="inlineStr">
        <is>
          <t>The risk of material misstatement associated with the accounting estimate is:</t>
        </is>
      </c>
      <c r="C154" s="68" t="n"/>
      <c r="D154" s="68" t="n"/>
      <c r="E154" s="68" t="n"/>
      <c r="F154" s="68" t="n"/>
      <c r="G154" s="68" t="n"/>
      <c r="H154" s="68" t="n"/>
      <c r="I154" s="68" t="n"/>
      <c r="J154" s="180">
        <f>IFERROR(VLOOKUP(E153,X192:AA197,4,FALSE),"")</f>
        <v/>
      </c>
      <c r="K154" s="232" t="n"/>
      <c r="L154" s="232" t="n"/>
      <c r="M154" s="232" t="n"/>
      <c r="N154" s="232" t="n"/>
      <c r="O154" s="232" t="n"/>
      <c r="P154" s="230" t="n"/>
      <c r="Q154" s="75" t="n"/>
      <c r="R154" s="267" t="n"/>
      <c r="S154" s="268" t="n"/>
      <c r="T154" s="268" t="n"/>
      <c r="U154" s="268" t="n"/>
      <c r="V154" s="268" t="n"/>
      <c r="W154" s="64" t="n"/>
    </row>
    <row r="155" hidden="1" ht="35.1" customFormat="1" customHeight="1" s="65">
      <c r="B155" s="233" t="n"/>
      <c r="C155" s="68" t="n"/>
      <c r="D155" s="68" t="n"/>
      <c r="E155" s="68" t="n"/>
      <c r="F155" s="68" t="n"/>
      <c r="G155" s="68" t="n"/>
      <c r="H155" s="68" t="n"/>
      <c r="I155" s="68" t="n"/>
      <c r="J155" s="234" t="n"/>
      <c r="K155" s="234" t="n"/>
      <c r="L155" s="234" t="n"/>
      <c r="M155" s="234" t="n"/>
      <c r="N155" s="234" t="n"/>
      <c r="O155" s="234" t="n"/>
      <c r="P155" s="235" t="n"/>
      <c r="Q155" s="75" t="n"/>
      <c r="R155" s="267" t="n"/>
      <c r="S155" s="268" t="n"/>
      <c r="T155" s="268" t="n"/>
      <c r="U155" s="268" t="n"/>
      <c r="V155" s="268" t="n"/>
      <c r="W155" s="64" t="n"/>
    </row>
    <row r="156" customFormat="1" s="65">
      <c r="B156" s="236" t="inlineStr">
        <is>
          <t>Our further audit procedures should include one or more of the following approaches:</t>
        </is>
      </c>
      <c r="C156" s="237" t="n"/>
      <c r="D156" s="238" t="n"/>
      <c r="E156" s="238" t="n"/>
      <c r="F156" s="238" t="n"/>
      <c r="G156" s="238" t="n"/>
      <c r="H156" s="238" t="n"/>
      <c r="I156" s="238" t="n"/>
      <c r="J156" s="238" t="n"/>
      <c r="K156" s="238" t="n"/>
      <c r="L156" s="238" t="n"/>
      <c r="M156" s="238" t="n"/>
      <c r="N156" s="238" t="n"/>
      <c r="O156" s="68" t="n"/>
      <c r="P156" s="348" t="inlineStr">
        <is>
          <t>Link to guidance</t>
        </is>
      </c>
      <c r="Q156" s="156" t="n"/>
      <c r="R156" s="284" t="n"/>
      <c r="S156" s="299" t="n"/>
      <c r="T156" s="299" t="n"/>
      <c r="U156" s="299" t="n"/>
      <c r="V156" s="299" t="n"/>
      <c r="W156" s="155" t="n"/>
    </row>
    <row r="157" customFormat="1" s="65">
      <c r="B157" s="236" t="n"/>
      <c r="C157" s="237" t="inlineStr">
        <is>
          <t xml:space="preserve"> - Obtaining audit evidence from events occurring up to the date of the auditor's report; [ISA (revised) 540.21]</t>
        </is>
      </c>
      <c r="D157" s="68" t="n"/>
      <c r="E157" s="68" t="n"/>
      <c r="F157" s="68" t="n"/>
      <c r="G157" s="68" t="n"/>
      <c r="H157" s="68" t="n"/>
      <c r="I157" s="68" t="n"/>
      <c r="J157" s="68" t="n"/>
      <c r="K157" s="68" t="n"/>
      <c r="L157" s="68" t="n"/>
      <c r="M157" s="68" t="n"/>
      <c r="N157" s="68" t="n"/>
      <c r="O157" s="68" t="n"/>
      <c r="P157" s="381" t="n"/>
      <c r="Q157" s="75" t="n"/>
      <c r="R157" s="267" t="n"/>
      <c r="S157" s="268" t="n"/>
      <c r="T157" s="268" t="n"/>
      <c r="U157" s="268" t="n"/>
      <c r="V157" s="268" t="n"/>
      <c r="W157" s="64" t="n"/>
    </row>
    <row r="158" customFormat="1" s="65">
      <c r="B158" s="236" t="n"/>
      <c r="C158" s="237" t="inlineStr">
        <is>
          <t xml:space="preserve"> - Testing how management made the accounting estimate; or [ISA (revised) 540.22 - 27]</t>
        </is>
      </c>
      <c r="D158" s="68" t="n"/>
      <c r="E158" s="68" t="n"/>
      <c r="F158" s="68" t="n"/>
      <c r="G158" s="68" t="n"/>
      <c r="H158" s="68" t="n"/>
      <c r="I158" s="68" t="n"/>
      <c r="J158" s="68" t="n"/>
      <c r="K158" s="68" t="n"/>
      <c r="L158" s="68" t="n"/>
      <c r="M158" s="68" t="n"/>
      <c r="N158" s="68" t="n"/>
      <c r="O158" s="68" t="n"/>
      <c r="P158" s="239" t="n"/>
      <c r="Q158" s="75" t="n"/>
      <c r="R158" s="267" t="n"/>
      <c r="S158" s="268" t="n"/>
      <c r="T158" s="268" t="n"/>
      <c r="U158" s="268" t="n"/>
      <c r="V158" s="268" t="n"/>
      <c r="W158" s="64" t="n"/>
    </row>
    <row r="159" customFormat="1" s="65">
      <c r="B159" s="236" t="n"/>
      <c r="C159" s="237" t="inlineStr">
        <is>
          <t xml:space="preserve"> - Developing an auditor's point estimate or range [ ISA (revised) 540.28]</t>
        </is>
      </c>
      <c r="D159" s="68" t="n"/>
      <c r="E159" s="68" t="n"/>
      <c r="F159" s="68" t="n"/>
      <c r="G159" s="68" t="n"/>
      <c r="H159" s="68" t="n"/>
      <c r="I159" s="68" t="n"/>
      <c r="J159" s="68" t="n"/>
      <c r="K159" s="68" t="n"/>
      <c r="L159" s="68" t="n"/>
      <c r="M159" s="68" t="n"/>
      <c r="N159" s="68" t="n"/>
      <c r="O159" s="68" t="n"/>
      <c r="P159" s="239" t="n"/>
      <c r="Q159" s="75" t="n"/>
      <c r="R159" s="267" t="n"/>
      <c r="S159" s="268" t="n"/>
      <c r="T159" s="268" t="n"/>
      <c r="U159" s="268" t="n"/>
      <c r="V159" s="268" t="n"/>
      <c r="W159" s="64" t="n"/>
    </row>
    <row r="160" customFormat="1" s="65">
      <c r="B160" s="195" t="inlineStr">
        <is>
          <t>Planned responses [ISA (revised) 540.18]</t>
        </is>
      </c>
      <c r="C160" s="238" t="n"/>
      <c r="D160" s="238" t="n"/>
      <c r="E160" s="238" t="n"/>
      <c r="F160" s="238" t="n"/>
      <c r="G160" s="238" t="n"/>
      <c r="H160" s="238" t="n"/>
      <c r="I160" s="238" t="n"/>
      <c r="J160" s="238" t="n"/>
      <c r="K160" s="238" t="n"/>
      <c r="L160" s="238" t="n"/>
      <c r="M160" s="238" t="n"/>
      <c r="N160" s="238" t="n"/>
      <c r="O160" s="238" t="n"/>
      <c r="P160" s="239" t="n"/>
      <c r="Q160" s="75" t="n"/>
      <c r="R160" s="269" t="n"/>
      <c r="S160" s="270" t="n"/>
      <c r="T160" s="270" t="n"/>
      <c r="U160" s="271" t="n"/>
      <c r="V160" s="271" t="n"/>
      <c r="W160" s="132" t="n"/>
    </row>
    <row r="161" customFormat="1" s="65">
      <c r="B161" s="382" t="inlineStr">
        <is>
          <t>[접근법: 경영진이 추정치를 산출한 방법의 검토 - ISA 540.22~27]
퇴직금 추계액 재계산, 퇴직연금(사외적립자산) 대사, 관련 회계처리 및 주석 검토를 수행할 예정임.
※ 조서(첨부6) 입수 후 작성 예정 (Pending receipt of working paper).</t>
        </is>
      </c>
      <c r="C161" s="374" t="n"/>
      <c r="D161" s="374" t="n"/>
      <c r="E161" s="374" t="n"/>
      <c r="F161" s="374" t="n"/>
      <c r="G161" s="374" t="n"/>
      <c r="H161" s="374" t="n"/>
      <c r="I161" s="374" t="n"/>
      <c r="J161" s="374" t="n"/>
      <c r="K161" s="374" t="n"/>
      <c r="L161" s="374" t="n"/>
      <c r="M161" s="374" t="n"/>
      <c r="N161" s="374" t="n"/>
      <c r="O161" s="374" t="n"/>
      <c r="P161" s="346" t="inlineStr">
        <is>
          <t>Link to guidance</t>
        </is>
      </c>
      <c r="Q161" s="75" t="n"/>
      <c r="R161" s="269" t="n"/>
      <c r="S161" s="270" t="n"/>
      <c r="T161" s="270" t="n"/>
      <c r="U161" s="271" t="n"/>
      <c r="V161" s="271" t="n"/>
      <c r="W161" s="132" t="n"/>
    </row>
    <row r="162" ht="15" customFormat="1" customHeight="1" s="65">
      <c r="B162" s="380" t="n"/>
      <c r="C162" s="374" t="n"/>
      <c r="D162" s="374" t="n"/>
      <c r="E162" s="374" t="n"/>
      <c r="F162" s="374" t="n"/>
      <c r="G162" s="374" t="n"/>
      <c r="H162" s="374" t="n"/>
      <c r="I162" s="374" t="n"/>
      <c r="J162" s="374" t="n"/>
      <c r="K162" s="374" t="n"/>
      <c r="L162" s="374" t="n"/>
      <c r="M162" s="374" t="n"/>
      <c r="N162" s="374" t="n"/>
      <c r="O162" s="374" t="n"/>
      <c r="P162" s="381" t="n"/>
      <c r="Q162" s="75" t="n"/>
      <c r="R162" s="344" t="inlineStr">
        <is>
          <t xml:space="preserve">Our planned response should be created in the work programme of the applicable SCOTABD. To access the work programme please see the screen 'Audit Strategy Overview'. </t>
        </is>
      </c>
      <c r="W162" s="132" t="n"/>
    </row>
    <row r="163" customFormat="1" s="65">
      <c r="B163" s="380" t="n"/>
      <c r="C163" s="374" t="n"/>
      <c r="D163" s="374" t="n"/>
      <c r="E163" s="374" t="n"/>
      <c r="F163" s="374" t="n"/>
      <c r="G163" s="374" t="n"/>
      <c r="H163" s="374" t="n"/>
      <c r="I163" s="374" t="n"/>
      <c r="J163" s="374" t="n"/>
      <c r="K163" s="374" t="n"/>
      <c r="L163" s="374" t="n"/>
      <c r="M163" s="374" t="n"/>
      <c r="N163" s="374" t="n"/>
      <c r="O163" s="374" t="n"/>
      <c r="P163" s="240" t="n"/>
      <c r="Q163" s="75" t="n"/>
      <c r="W163" s="64" t="n"/>
    </row>
    <row r="164" ht="15" customFormat="1" customHeight="1" s="65">
      <c r="B164" s="380" t="n"/>
      <c r="C164" s="374" t="n"/>
      <c r="D164" s="374" t="n"/>
      <c r="E164" s="374" t="n"/>
      <c r="F164" s="374" t="n"/>
      <c r="G164" s="374" t="n"/>
      <c r="H164" s="374" t="n"/>
      <c r="I164" s="374" t="n"/>
      <c r="J164" s="374" t="n"/>
      <c r="K164" s="374" t="n"/>
      <c r="L164" s="374" t="n"/>
      <c r="M164" s="374" t="n"/>
      <c r="N164" s="374" t="n"/>
      <c r="O164" s="374" t="n"/>
      <c r="P164" s="240" t="n"/>
      <c r="Q164" s="75" t="n"/>
      <c r="W164" s="64" t="n"/>
    </row>
    <row r="165" ht="15" customFormat="1" customHeight="1" s="65">
      <c r="B165" s="380" t="n"/>
      <c r="C165" s="374" t="n"/>
      <c r="D165" s="374" t="n"/>
      <c r="E165" s="374" t="n"/>
      <c r="F165" s="374" t="n"/>
      <c r="G165" s="374" t="n"/>
      <c r="H165" s="374" t="n"/>
      <c r="I165" s="374" t="n"/>
      <c r="J165" s="374" t="n"/>
      <c r="K165" s="374" t="n"/>
      <c r="L165" s="374" t="n"/>
      <c r="M165" s="374" t="n"/>
      <c r="N165" s="374" t="n"/>
      <c r="O165" s="374" t="n"/>
      <c r="P165" s="240" t="n"/>
      <c r="Q165" s="75" t="n"/>
      <c r="W165" s="64" t="n"/>
    </row>
    <row r="166" ht="15" customFormat="1" customHeight="1" s="65">
      <c r="B166" s="380" t="n"/>
      <c r="C166" s="374" t="n"/>
      <c r="D166" s="374" t="n"/>
      <c r="E166" s="374" t="n"/>
      <c r="F166" s="374" t="n"/>
      <c r="G166" s="374" t="n"/>
      <c r="H166" s="374" t="n"/>
      <c r="I166" s="374" t="n"/>
      <c r="J166" s="374" t="n"/>
      <c r="K166" s="374" t="n"/>
      <c r="L166" s="374" t="n"/>
      <c r="M166" s="374" t="n"/>
      <c r="N166" s="374" t="n"/>
      <c r="O166" s="374" t="n"/>
      <c r="P166" s="240" t="n"/>
      <c r="Q166" s="75" t="n"/>
      <c r="R166" s="267" t="n"/>
      <c r="S166" s="268" t="n"/>
      <c r="T166" s="268" t="n"/>
      <c r="U166" s="268" t="n"/>
      <c r="V166" s="268" t="n"/>
      <c r="W166" s="64" t="n"/>
    </row>
    <row r="167" customFormat="1" s="65">
      <c r="B167" s="380" t="n"/>
      <c r="C167" s="374" t="n"/>
      <c r="D167" s="374" t="n"/>
      <c r="E167" s="374" t="n"/>
      <c r="F167" s="374" t="n"/>
      <c r="G167" s="374" t="n"/>
      <c r="H167" s="374" t="n"/>
      <c r="I167" s="374" t="n"/>
      <c r="J167" s="374" t="n"/>
      <c r="K167" s="374" t="n"/>
      <c r="L167" s="374" t="n"/>
      <c r="M167" s="374" t="n"/>
      <c r="N167" s="374" t="n"/>
      <c r="O167" s="374" t="n"/>
      <c r="P167" s="240" t="n"/>
      <c r="Q167" s="75" t="n"/>
      <c r="R167" s="267" t="n"/>
      <c r="S167" s="268" t="n"/>
      <c r="T167" s="268" t="n"/>
      <c r="U167" s="268" t="n"/>
      <c r="V167" s="268" t="n"/>
      <c r="W167" s="64" t="n"/>
    </row>
    <row r="168" customFormat="1" s="65">
      <c r="B168" s="380" t="n"/>
      <c r="C168" s="374" t="n"/>
      <c r="D168" s="374" t="n"/>
      <c r="E168" s="374" t="n"/>
      <c r="F168" s="374" t="n"/>
      <c r="G168" s="374" t="n"/>
      <c r="H168" s="374" t="n"/>
      <c r="I168" s="374" t="n"/>
      <c r="J168" s="374" t="n"/>
      <c r="K168" s="374" t="n"/>
      <c r="L168" s="374" t="n"/>
      <c r="M168" s="374" t="n"/>
      <c r="N168" s="374" t="n"/>
      <c r="O168" s="374" t="n"/>
      <c r="P168" s="240" t="n"/>
      <c r="Q168" s="75" t="n"/>
      <c r="R168" s="267" t="n"/>
      <c r="S168" s="268" t="n"/>
      <c r="T168" s="268" t="n"/>
      <c r="U168" s="268" t="n"/>
      <c r="V168" s="268" t="n"/>
      <c r="W168" s="64" t="n"/>
    </row>
    <row r="169" ht="14.45" customFormat="1" customHeight="1" s="65">
      <c r="B169" s="233" t="inlineStr">
        <is>
          <t>We have added these procedures to the work programme at reference:</t>
        </is>
      </c>
      <c r="C169" s="68" t="n"/>
      <c r="D169" s="68" t="n"/>
      <c r="E169" s="68" t="n"/>
      <c r="F169" s="68" t="n"/>
      <c r="G169" s="68" t="n"/>
      <c r="H169" s="68" t="n"/>
      <c r="I169" s="334" t="n"/>
      <c r="J169" s="374" t="n"/>
      <c r="K169" s="374" t="n"/>
      <c r="L169" s="374" t="n"/>
      <c r="M169" s="374" t="n"/>
      <c r="N169" s="374" t="n"/>
      <c r="O169" s="374" t="n"/>
      <c r="P169" s="241" t="n"/>
      <c r="Q169" s="75" t="n"/>
      <c r="R169" s="267" t="n"/>
      <c r="S169" s="268" t="n"/>
      <c r="T169" s="268" t="n"/>
      <c r="U169" s="268" t="n"/>
      <c r="V169" s="268" t="n"/>
      <c r="W169" s="64" t="n"/>
    </row>
    <row r="170" customFormat="1" s="158">
      <c r="B170" s="390" t="inlineStr">
        <is>
          <t>(첨부6 조서 입수 후 기재 예정)</t>
        </is>
      </c>
      <c r="C170" s="243" t="n"/>
      <c r="D170" s="243" t="n"/>
      <c r="E170" s="243" t="n"/>
      <c r="F170" s="243" t="n"/>
      <c r="G170" s="243" t="n"/>
      <c r="H170" s="243" t="n"/>
      <c r="I170" s="243" t="n"/>
      <c r="J170" s="243" t="n"/>
      <c r="K170" s="243" t="n"/>
      <c r="L170" s="243" t="n"/>
      <c r="M170" s="243" t="n"/>
      <c r="N170" s="243" t="n"/>
      <c r="O170" s="243" t="n"/>
      <c r="P170" s="241" t="n"/>
      <c r="Q170" s="75" t="n"/>
      <c r="R170" s="267" t="n"/>
      <c r="S170" s="268" t="n"/>
      <c r="T170" s="268" t="n"/>
      <c r="U170" s="268" t="n"/>
      <c r="V170" s="268" t="n"/>
      <c r="W170" s="157" t="n"/>
    </row>
    <row r="171" ht="15.75" customFormat="1" customHeight="1" s="65" thickBot="1">
      <c r="B171" s="391" t="inlineStr">
        <is>
          <t>※ 조서(첨부6) 입수 후 작성 예정 (Pending receipt of working paper).</t>
        </is>
      </c>
      <c r="C171" s="244" t="n"/>
      <c r="D171" s="244" t="n"/>
      <c r="E171" s="244" t="n"/>
      <c r="F171" s="244" t="n"/>
      <c r="G171" s="244" t="n"/>
      <c r="H171" s="244" t="n"/>
      <c r="I171" s="244" t="n"/>
      <c r="J171" s="244" t="n"/>
      <c r="K171" s="244" t="n"/>
      <c r="L171" s="244" t="n"/>
      <c r="M171" s="244" t="n"/>
      <c r="N171" s="244" t="n"/>
      <c r="O171" s="244" t="n"/>
      <c r="P171" s="245" t="n"/>
      <c r="Q171" s="75" t="n"/>
      <c r="R171" s="267" t="n"/>
      <c r="S171" s="268" t="n"/>
      <c r="T171" s="268" t="n"/>
      <c r="U171" s="268" t="n"/>
      <c r="V171" s="268" t="n"/>
      <c r="W171" s="64" t="n"/>
    </row>
    <row r="172" ht="27" customFormat="1" customHeight="1" s="55" thickBot="1">
      <c r="B172" s="160" t="n"/>
      <c r="C172" s="26" t="n"/>
      <c r="D172" s="26" t="n"/>
      <c r="E172" s="26" t="n"/>
      <c r="F172" s="26" t="n"/>
      <c r="G172" s="26" t="n"/>
      <c r="H172" s="26" t="n"/>
      <c r="I172" s="26" t="n"/>
      <c r="J172" s="26" t="n"/>
      <c r="K172" s="26" t="n"/>
      <c r="L172" s="26" t="n"/>
      <c r="M172" s="26" t="n"/>
      <c r="N172" s="26" t="n"/>
      <c r="O172" s="26" t="n"/>
      <c r="P172" s="161" t="n"/>
      <c r="Q172" s="26" t="n"/>
      <c r="R172" s="267" t="n"/>
      <c r="S172" s="268" t="n"/>
      <c r="T172" s="268" t="n"/>
      <c r="U172" s="268" t="n"/>
      <c r="V172" s="268" t="n"/>
      <c r="W172" s="53" t="n"/>
    </row>
    <row r="173" ht="24.6" customFormat="1" customHeight="1" s="65">
      <c r="B173" s="392" t="inlineStr">
        <is>
          <t>General implications</t>
        </is>
      </c>
      <c r="C173" s="393" t="n"/>
      <c r="D173" s="393" t="n"/>
      <c r="E173" s="393" t="n"/>
      <c r="F173" s="393" t="n"/>
      <c r="G173" s="393" t="n"/>
      <c r="H173" s="393" t="n"/>
      <c r="I173" s="393" t="n"/>
      <c r="J173" s="393" t="n"/>
      <c r="K173" s="393" t="n"/>
      <c r="L173" s="393" t="n"/>
      <c r="M173" s="393" t="n"/>
      <c r="N173" s="393" t="n"/>
      <c r="O173" s="393" t="n"/>
      <c r="P173" s="394" t="n"/>
      <c r="Q173" s="75" t="n"/>
      <c r="R173" s="267" t="n"/>
      <c r="S173" s="268" t="n"/>
      <c r="T173" s="268" t="n"/>
      <c r="U173" s="268" t="n"/>
      <c r="V173" s="268" t="n"/>
      <c r="W173" s="64" t="n"/>
    </row>
    <row r="174" customFormat="1" s="65">
      <c r="B174" s="209" t="inlineStr">
        <is>
          <t>Further considerations where the accounting estimate is at the higher end of the inherent risk spectrum</t>
        </is>
      </c>
      <c r="C174" s="68" t="n"/>
      <c r="D174" s="68" t="n"/>
      <c r="E174" s="68" t="n"/>
      <c r="F174" s="68" t="n"/>
      <c r="G174" s="68" t="n"/>
      <c r="H174" s="68" t="n"/>
      <c r="I174" s="68" t="n"/>
      <c r="J174" s="68" t="n"/>
      <c r="K174" s="68" t="n"/>
      <c r="L174" s="68" t="n"/>
      <c r="M174" s="68" t="n"/>
      <c r="N174" s="68" t="n"/>
      <c r="O174" s="68" t="n"/>
      <c r="P174" s="239" t="n"/>
      <c r="Q174" s="75" t="n"/>
      <c r="R174" s="267" t="n"/>
      <c r="S174" s="268" t="n"/>
      <c r="T174" s="268" t="n"/>
      <c r="U174" s="268" t="n"/>
      <c r="V174" s="268" t="n"/>
      <c r="W174" s="64" t="n"/>
    </row>
    <row r="175" ht="15.75" customFormat="1" customHeight="1" s="65">
      <c r="B175" s="209" t="inlineStr">
        <is>
          <t xml:space="preserve">The below should be considered for all accounting estimates, however there should be particular focus for those that have significant or enhanced inherent risk. </t>
        </is>
      </c>
      <c r="C175" s="68" t="n"/>
      <c r="D175" s="68" t="n"/>
      <c r="E175" s="68" t="n"/>
      <c r="F175" s="68" t="n"/>
      <c r="G175" s="68" t="n"/>
      <c r="H175" s="68" t="n"/>
      <c r="I175" s="68" t="n"/>
      <c r="J175" s="68" t="n"/>
      <c r="K175" s="68" t="n"/>
      <c r="L175" s="68" t="n"/>
      <c r="M175" s="68" t="n"/>
      <c r="N175" s="68" t="n"/>
      <c r="O175" s="68" t="n"/>
      <c r="P175" s="246" t="n"/>
      <c r="Q175" s="75" t="n"/>
      <c r="R175" s="267" t="n"/>
      <c r="S175" s="268" t="n"/>
      <c r="T175" s="268" t="n"/>
      <c r="U175" s="268" t="n"/>
      <c r="V175" s="268" t="n"/>
      <c r="W175" s="64" t="n"/>
    </row>
    <row r="176" customFormat="1" s="65">
      <c r="B176" s="209" t="inlineStr">
        <is>
          <t>Increased professional scepticism:</t>
        </is>
      </c>
      <c r="C176" s="68" t="n"/>
      <c r="D176" s="68" t="n"/>
      <c r="E176" s="68" t="n"/>
      <c r="F176" s="68" t="n"/>
      <c r="G176" s="68" t="n"/>
      <c r="H176" s="68" t="n"/>
      <c r="I176" s="68" t="n"/>
      <c r="J176" s="68" t="n"/>
      <c r="K176" s="68" t="n"/>
      <c r="L176" s="68" t="n"/>
      <c r="M176" s="68" t="n"/>
      <c r="N176" s="68" t="n"/>
      <c r="O176" s="68" t="n"/>
      <c r="P176" s="239" t="n"/>
      <c r="Q176" s="75" t="n"/>
      <c r="R176" s="267" t="n"/>
      <c r="S176" s="268" t="n"/>
      <c r="T176" s="268" t="n"/>
      <c r="U176" s="268" t="n"/>
      <c r="V176" s="268" t="n"/>
      <c r="W176" s="64" t="n"/>
    </row>
    <row r="177" ht="15" customFormat="1" customHeight="1" s="65">
      <c r="B177" s="379" t="inlineStr">
        <is>
          <t>세부 내용은 조서(첨부6) 입수 후 확정 예정.</t>
        </is>
      </c>
      <c r="C177" s="374" t="n"/>
      <c r="D177" s="374" t="n"/>
      <c r="E177" s="374" t="n"/>
      <c r="F177" s="374" t="n"/>
      <c r="G177" s="374" t="n"/>
      <c r="H177" s="374" t="n"/>
      <c r="I177" s="374" t="n"/>
      <c r="J177" s="374" t="n"/>
      <c r="K177" s="374" t="n"/>
      <c r="L177" s="374" t="n"/>
      <c r="M177" s="374" t="n"/>
      <c r="N177" s="374" t="n"/>
      <c r="O177" s="374" t="n"/>
      <c r="P177" s="346" t="inlineStr">
        <is>
          <t>Link to guidance</t>
        </is>
      </c>
      <c r="Q177" s="75" t="n"/>
      <c r="R177" s="269" t="n"/>
      <c r="S177" s="270" t="n"/>
      <c r="T177" s="270" t="n"/>
      <c r="U177" s="271" t="n"/>
      <c r="V177" s="271" t="n"/>
      <c r="W177" s="132" t="n"/>
    </row>
    <row r="178" ht="15" customFormat="1" customHeight="1" s="65">
      <c r="B178" s="380" t="n"/>
      <c r="C178" s="374" t="n"/>
      <c r="D178" s="374" t="n"/>
      <c r="E178" s="374" t="n"/>
      <c r="F178" s="374" t="n"/>
      <c r="G178" s="374" t="n"/>
      <c r="H178" s="374" t="n"/>
      <c r="I178" s="374" t="n"/>
      <c r="J178" s="374" t="n"/>
      <c r="K178" s="374" t="n"/>
      <c r="L178" s="374" t="n"/>
      <c r="M178" s="374" t="n"/>
      <c r="N178" s="374" t="n"/>
      <c r="O178" s="374" t="n"/>
      <c r="P178" s="381" t="n"/>
      <c r="Q178" s="75" t="n"/>
      <c r="R178" s="269" t="n"/>
      <c r="S178" s="270" t="n"/>
      <c r="T178" s="270" t="n"/>
      <c r="U178" s="271" t="n"/>
      <c r="V178" s="271" t="n"/>
      <c r="W178" s="132" t="n"/>
    </row>
    <row r="179" customFormat="1" s="65">
      <c r="B179" s="380" t="n"/>
      <c r="C179" s="374" t="n"/>
      <c r="D179" s="374" t="n"/>
      <c r="E179" s="374" t="n"/>
      <c r="F179" s="374" t="n"/>
      <c r="G179" s="374" t="n"/>
      <c r="H179" s="374" t="n"/>
      <c r="I179" s="374" t="n"/>
      <c r="J179" s="374" t="n"/>
      <c r="K179" s="374" t="n"/>
      <c r="L179" s="374" t="n"/>
      <c r="M179" s="374" t="n"/>
      <c r="N179" s="374" t="n"/>
      <c r="O179" s="374" t="n"/>
      <c r="P179" s="239" t="n"/>
      <c r="Q179" s="75" t="n"/>
      <c r="R179" s="267" t="n"/>
      <c r="S179" s="268" t="n"/>
      <c r="T179" s="268" t="n"/>
      <c r="U179" s="268" t="n"/>
      <c r="V179" s="268" t="n"/>
      <c r="W179" s="64" t="n"/>
    </row>
    <row r="180" customFormat="1" s="65">
      <c r="B180" s="209" t="inlineStr">
        <is>
          <t>Consideration of method of testing:</t>
        </is>
      </c>
      <c r="C180" s="68" t="n"/>
      <c r="D180" s="68" t="n"/>
      <c r="E180" s="68" t="n"/>
      <c r="F180" s="68" t="n"/>
      <c r="G180" s="68" t="n"/>
      <c r="H180" s="68" t="n"/>
      <c r="I180" s="68" t="n"/>
      <c r="J180" s="68" t="n"/>
      <c r="K180" s="68" t="n"/>
      <c r="L180" s="68" t="n"/>
      <c r="M180" s="68" t="n"/>
      <c r="N180" s="68" t="n"/>
      <c r="O180" s="68" t="n"/>
      <c r="P180" s="239" t="n"/>
      <c r="Q180" s="75" t="n"/>
      <c r="R180" s="267" t="n"/>
      <c r="S180" s="268" t="n"/>
      <c r="T180" s="268" t="n"/>
      <c r="U180" s="268" t="n"/>
      <c r="V180" s="268" t="n"/>
      <c r="W180" s="64" t="n"/>
    </row>
    <row r="181" ht="15" customFormat="1" customHeight="1" s="65">
      <c r="B181" s="379" t="inlineStr">
        <is>
          <t>세부 내용은 조서(첨부6) 입수 후 확정 예정.</t>
        </is>
      </c>
      <c r="C181" s="374" t="n"/>
      <c r="D181" s="374" t="n"/>
      <c r="E181" s="374" t="n"/>
      <c r="F181" s="374" t="n"/>
      <c r="G181" s="374" t="n"/>
      <c r="H181" s="374" t="n"/>
      <c r="I181" s="374" t="n"/>
      <c r="J181" s="374" t="n"/>
      <c r="K181" s="374" t="n"/>
      <c r="L181" s="374" t="n"/>
      <c r="M181" s="374" t="n"/>
      <c r="N181" s="374" t="n"/>
      <c r="O181" s="374" t="n"/>
      <c r="P181" s="346" t="inlineStr">
        <is>
          <t>Link to guidance</t>
        </is>
      </c>
      <c r="Q181" s="75" t="n"/>
      <c r="R181" s="269" t="n"/>
      <c r="S181" s="270" t="n"/>
      <c r="T181" s="270" t="n"/>
      <c r="U181" s="271" t="n"/>
      <c r="V181" s="271" t="n"/>
      <c r="W181" s="132" t="n"/>
    </row>
    <row r="182" customFormat="1" s="65">
      <c r="B182" s="380" t="n"/>
      <c r="C182" s="374" t="n"/>
      <c r="D182" s="374" t="n"/>
      <c r="E182" s="374" t="n"/>
      <c r="F182" s="374" t="n"/>
      <c r="G182" s="374" t="n"/>
      <c r="H182" s="374" t="n"/>
      <c r="I182" s="374" t="n"/>
      <c r="J182" s="374" t="n"/>
      <c r="K182" s="374" t="n"/>
      <c r="L182" s="374" t="n"/>
      <c r="M182" s="374" t="n"/>
      <c r="N182" s="374" t="n"/>
      <c r="O182" s="374" t="n"/>
      <c r="P182" s="381" t="n"/>
      <c r="Q182" s="75" t="n"/>
      <c r="R182" s="269" t="n"/>
      <c r="S182" s="270" t="n"/>
      <c r="T182" s="270" t="n"/>
      <c r="U182" s="271" t="n"/>
      <c r="V182" s="271" t="n"/>
      <c r="W182" s="132" t="n"/>
    </row>
    <row r="183" ht="15" customFormat="1" customHeight="1" s="65">
      <c r="B183" s="380" t="n"/>
      <c r="C183" s="374" t="n"/>
      <c r="D183" s="374" t="n"/>
      <c r="E183" s="374" t="n"/>
      <c r="F183" s="374" t="n"/>
      <c r="G183" s="374" t="n"/>
      <c r="H183" s="374" t="n"/>
      <c r="I183" s="374" t="n"/>
      <c r="J183" s="374" t="n"/>
      <c r="K183" s="374" t="n"/>
      <c r="L183" s="374" t="n"/>
      <c r="M183" s="374" t="n"/>
      <c r="N183" s="374" t="n"/>
      <c r="O183" s="374" t="n"/>
      <c r="P183" s="239" t="n"/>
      <c r="Q183" s="75" t="n"/>
      <c r="R183" s="267" t="n"/>
      <c r="S183" s="268" t="n"/>
      <c r="T183" s="268" t="n"/>
      <c r="U183" s="268" t="n"/>
      <c r="V183" s="268" t="n"/>
      <c r="W183" s="64" t="n"/>
    </row>
    <row r="184" customFormat="1" s="65">
      <c r="B184" s="209" t="inlineStr">
        <is>
          <t>Engagement team appropriate resourcing:</t>
        </is>
      </c>
      <c r="C184" s="68" t="n"/>
      <c r="D184" s="68" t="n"/>
      <c r="E184" s="68" t="n"/>
      <c r="F184" s="68" t="n"/>
      <c r="G184" s="68" t="n"/>
      <c r="H184" s="68" t="n"/>
      <c r="I184" s="68" t="n"/>
      <c r="J184" s="68" t="n"/>
      <c r="K184" s="68" t="n"/>
      <c r="L184" s="68" t="n"/>
      <c r="M184" s="68" t="n"/>
      <c r="N184" s="68" t="n"/>
      <c r="O184" s="68" t="n"/>
      <c r="P184" s="239" t="n"/>
      <c r="Q184" s="75" t="n"/>
      <c r="R184" s="267" t="n"/>
      <c r="S184" s="268" t="n"/>
      <c r="T184" s="268" t="n"/>
      <c r="U184" s="268" t="n"/>
      <c r="V184" s="268" t="n"/>
      <c r="W184" s="64" t="n"/>
    </row>
    <row r="185" ht="15" customFormat="1" customHeight="1" s="65">
      <c r="B185" s="379" t="inlineStr">
        <is>
          <t>세부 내용은 조서(첨부6) 입수 후 확정 예정.</t>
        </is>
      </c>
      <c r="C185" s="374" t="n"/>
      <c r="D185" s="374" t="n"/>
      <c r="E185" s="374" t="n"/>
      <c r="F185" s="374" t="n"/>
      <c r="G185" s="374" t="n"/>
      <c r="H185" s="374" t="n"/>
      <c r="I185" s="374" t="n"/>
      <c r="J185" s="374" t="n"/>
      <c r="K185" s="374" t="n"/>
      <c r="L185" s="374" t="n"/>
      <c r="M185" s="374" t="n"/>
      <c r="N185" s="374" t="n"/>
      <c r="O185" s="374" t="n"/>
      <c r="P185" s="346" t="inlineStr">
        <is>
          <t>Link to guidance</t>
        </is>
      </c>
      <c r="Q185" s="75" t="n"/>
      <c r="R185" s="345" t="inlineStr">
        <is>
          <t>Please ensure that all audit team members are documented within the screen 'Engagement'</t>
        </is>
      </c>
      <c r="W185" s="132" t="n"/>
    </row>
    <row r="186" customFormat="1" s="65">
      <c r="B186" s="380" t="n"/>
      <c r="C186" s="374" t="n"/>
      <c r="D186" s="374" t="n"/>
      <c r="E186" s="374" t="n"/>
      <c r="F186" s="374" t="n"/>
      <c r="G186" s="374" t="n"/>
      <c r="H186" s="374" t="n"/>
      <c r="I186" s="374" t="n"/>
      <c r="J186" s="374" t="n"/>
      <c r="K186" s="374" t="n"/>
      <c r="L186" s="374" t="n"/>
      <c r="M186" s="374" t="n"/>
      <c r="N186" s="374" t="n"/>
      <c r="O186" s="374" t="n"/>
      <c r="P186" s="381" t="n"/>
      <c r="Q186" s="75" t="n"/>
      <c r="W186" s="132" t="n"/>
    </row>
    <row r="187" customFormat="1" s="65">
      <c r="B187" s="380" t="n"/>
      <c r="C187" s="374" t="n"/>
      <c r="D187" s="374" t="n"/>
      <c r="E187" s="374" t="n"/>
      <c r="F187" s="374" t="n"/>
      <c r="G187" s="374" t="n"/>
      <c r="H187" s="374" t="n"/>
      <c r="I187" s="374" t="n"/>
      <c r="J187" s="374" t="n"/>
      <c r="K187" s="374" t="n"/>
      <c r="L187" s="374" t="n"/>
      <c r="M187" s="374" t="n"/>
      <c r="N187" s="374" t="n"/>
      <c r="O187" s="374" t="n"/>
      <c r="P187" s="239" t="n"/>
      <c r="Q187" s="75" t="n"/>
      <c r="W187" s="64" t="n"/>
    </row>
    <row r="188" customFormat="1" s="65">
      <c r="B188" s="209" t="inlineStr">
        <is>
          <t>Additional supervision:</t>
        </is>
      </c>
      <c r="C188" s="68" t="n"/>
      <c r="D188" s="68" t="n"/>
      <c r="E188" s="68" t="n"/>
      <c r="F188" s="68" t="n"/>
      <c r="G188" s="68" t="n"/>
      <c r="H188" s="68" t="n"/>
      <c r="I188" s="68" t="n"/>
      <c r="J188" s="68" t="n"/>
      <c r="K188" s="68" t="n"/>
      <c r="L188" s="68" t="n"/>
      <c r="M188" s="68" t="n"/>
      <c r="N188" s="68" t="n"/>
      <c r="O188" s="68" t="n"/>
      <c r="P188" s="239" t="n"/>
      <c r="Q188" s="75" t="n"/>
      <c r="W188" s="64" t="n"/>
    </row>
    <row r="189" ht="15" customFormat="1" customHeight="1" s="65">
      <c r="B189" s="395" t="inlineStr">
        <is>
          <t>세부 내용은 조서(첨부6) 입수 후 확정 예정.</t>
        </is>
      </c>
      <c r="C189" s="374" t="n"/>
      <c r="D189" s="374" t="n"/>
      <c r="E189" s="374" t="n"/>
      <c r="F189" s="374" t="n"/>
      <c r="G189" s="374" t="n"/>
      <c r="H189" s="374" t="n"/>
      <c r="I189" s="374" t="n"/>
      <c r="J189" s="374" t="n"/>
      <c r="K189" s="374" t="n"/>
      <c r="L189" s="374" t="n"/>
      <c r="M189" s="374" t="n"/>
      <c r="N189" s="374" t="n"/>
      <c r="O189" s="374" t="n"/>
      <c r="P189" s="346" t="inlineStr">
        <is>
          <t>Link to guidance</t>
        </is>
      </c>
      <c r="Q189" s="75" t="n"/>
      <c r="W189" s="132" t="n"/>
    </row>
    <row r="190" customFormat="1" s="65">
      <c r="B190" s="380" t="n"/>
      <c r="C190" s="374" t="n"/>
      <c r="D190" s="374" t="n"/>
      <c r="E190" s="374" t="n"/>
      <c r="F190" s="374" t="n"/>
      <c r="G190" s="374" t="n"/>
      <c r="H190" s="374" t="n"/>
      <c r="I190" s="374" t="n"/>
      <c r="J190" s="374" t="n"/>
      <c r="K190" s="374" t="n"/>
      <c r="L190" s="374" t="n"/>
      <c r="M190" s="374" t="n"/>
      <c r="N190" s="374" t="n"/>
      <c r="O190" s="374" t="n"/>
      <c r="P190" s="381" t="n"/>
      <c r="Q190" s="75" t="n"/>
      <c r="W190" s="132" t="n"/>
    </row>
    <row r="191" ht="15.75" customHeight="1" thickBot="1">
      <c r="A191" s="65" t="n"/>
      <c r="B191" s="388" t="n"/>
      <c r="C191" s="389" t="n"/>
      <c r="D191" s="389" t="n"/>
      <c r="E191" s="389" t="n"/>
      <c r="F191" s="389" t="n"/>
      <c r="G191" s="389" t="n"/>
      <c r="H191" s="389" t="n"/>
      <c r="I191" s="389" t="n"/>
      <c r="J191" s="389" t="n"/>
      <c r="K191" s="389" t="n"/>
      <c r="L191" s="389" t="n"/>
      <c r="M191" s="389" t="n"/>
      <c r="N191" s="389" t="n"/>
      <c r="O191" s="389" t="n"/>
      <c r="P191" s="247" t="n"/>
      <c r="Q191" s="75" t="n"/>
    </row>
    <row r="192" ht="15" customFormat="1" customHeight="1" s="80">
      <c r="B192" s="28" t="n"/>
      <c r="C192" s="28" t="n"/>
      <c r="D192" s="28" t="n"/>
      <c r="E192" s="28" t="n"/>
      <c r="F192" s="28" t="n"/>
      <c r="G192" s="28" t="n"/>
      <c r="H192" s="28" t="n"/>
      <c r="I192" s="28" t="n"/>
      <c r="J192" s="28" t="n"/>
      <c r="K192" s="28" t="n"/>
      <c r="L192" s="28" t="n"/>
      <c r="M192" s="28" t="n"/>
      <c r="N192" s="28" t="n"/>
      <c r="O192" s="28" t="n"/>
      <c r="P192" s="129" t="n"/>
      <c r="Q192" s="87" t="n"/>
      <c r="R192" s="292" t="n"/>
      <c r="S192" s="293" t="n"/>
      <c r="T192" s="293" t="n"/>
      <c r="U192" s="293" t="n"/>
      <c r="V192" s="293" t="n"/>
      <c r="W192" s="84" t="n"/>
      <c r="X192" s="80">
        <f>Y192&amp;Z192</f>
        <v/>
      </c>
      <c r="Y192" s="80" t="inlineStr">
        <is>
          <t>Standard</t>
        </is>
      </c>
      <c r="Z192" s="80" t="inlineStr">
        <is>
          <t>High reliance</t>
        </is>
      </c>
      <c r="AA192" s="80" t="inlineStr">
        <is>
          <t>Standard</t>
        </is>
      </c>
    </row>
    <row r="193" ht="15" customFormat="1" customHeight="1" s="80">
      <c r="B193" s="29" t="n"/>
      <c r="C193" s="3" t="n"/>
      <c r="D193" s="3" t="n"/>
      <c r="E193" s="3" t="n"/>
      <c r="F193" s="3" t="n"/>
      <c r="G193" s="3" t="n"/>
      <c r="H193" s="3" t="n"/>
      <c r="I193" s="3" t="n"/>
      <c r="J193" s="3" t="n"/>
      <c r="K193" s="3" t="n"/>
      <c r="L193" s="3" t="n"/>
      <c r="M193" s="3" t="n"/>
      <c r="N193" s="3" t="n"/>
      <c r="O193" s="3" t="n"/>
      <c r="P193" s="130" t="n"/>
      <c r="Q193" s="88" t="n"/>
      <c r="R193" s="267" t="n"/>
      <c r="S193" s="268" t="n"/>
      <c r="T193" s="268" t="n"/>
      <c r="U193" s="268" t="n"/>
      <c r="V193" s="268" t="n"/>
      <c r="X193" s="80">
        <f>Y193&amp;Z193</f>
        <v/>
      </c>
      <c r="Y193" s="80" t="inlineStr">
        <is>
          <t>Standard</t>
        </is>
      </c>
      <c r="Z193" s="80" t="inlineStr">
        <is>
          <t>No reliance</t>
        </is>
      </c>
      <c r="AA193" s="80" t="inlineStr">
        <is>
          <t>Standard</t>
        </is>
      </c>
    </row>
    <row r="194" ht="15" customFormat="1" customHeight="1" s="80">
      <c r="B194" s="30" t="n"/>
      <c r="C194" s="28" t="n"/>
      <c r="D194" s="28" t="n"/>
      <c r="E194" s="28" t="n"/>
      <c r="F194" s="28" t="n"/>
      <c r="G194" s="28" t="n"/>
      <c r="H194" s="28" t="n"/>
      <c r="I194" s="28" t="n"/>
      <c r="J194" s="28" t="n"/>
      <c r="K194" s="28" t="n"/>
      <c r="L194" s="28" t="n"/>
      <c r="M194" s="28" t="n"/>
      <c r="N194" s="28" t="n"/>
      <c r="O194" s="28" t="n"/>
      <c r="P194" s="129" t="n"/>
      <c r="Q194" s="87" t="n"/>
      <c r="R194" s="292" t="n"/>
      <c r="S194" s="293" t="n"/>
      <c r="T194" s="293" t="n"/>
      <c r="U194" s="293" t="n"/>
      <c r="V194" s="293" t="n"/>
      <c r="W194" s="84" t="n"/>
      <c r="X194" s="80">
        <f>Y194&amp;Z194</f>
        <v/>
      </c>
      <c r="Y194" s="80" t="inlineStr">
        <is>
          <t>Enhanced</t>
        </is>
      </c>
      <c r="Z194" s="80" t="inlineStr">
        <is>
          <t>High reliance</t>
        </is>
      </c>
      <c r="AA194" s="80" t="inlineStr">
        <is>
          <t>Enhanced</t>
        </is>
      </c>
    </row>
    <row r="195" ht="15" customFormat="1" customHeight="1" s="80">
      <c r="B195" s="30" t="n"/>
      <c r="C195" s="28" t="n"/>
      <c r="D195" s="28" t="n"/>
      <c r="E195" s="28" t="n"/>
      <c r="F195" s="28" t="n"/>
      <c r="G195" s="28" t="n"/>
      <c r="H195" s="28" t="n"/>
      <c r="I195" s="28" t="n"/>
      <c r="J195" s="28" t="n"/>
      <c r="K195" s="28" t="n"/>
      <c r="L195" s="28" t="n"/>
      <c r="M195" s="28" t="n"/>
      <c r="N195" s="28" t="n"/>
      <c r="O195" s="28" t="n"/>
      <c r="P195" s="129" t="n"/>
      <c r="Q195" s="87" t="n"/>
      <c r="R195" s="292" t="n"/>
      <c r="S195" s="293" t="n"/>
      <c r="T195" s="293" t="n"/>
      <c r="U195" s="293" t="n"/>
      <c r="V195" s="293" t="n"/>
      <c r="W195" s="84" t="n"/>
      <c r="X195">
        <f>Y195&amp;Z195</f>
        <v/>
      </c>
      <c r="Y195" t="inlineStr">
        <is>
          <t>Enhanced</t>
        </is>
      </c>
      <c r="Z195" t="inlineStr">
        <is>
          <t>No reliance</t>
        </is>
      </c>
      <c r="AA195" t="inlineStr">
        <is>
          <t>Enhanced</t>
        </is>
      </c>
    </row>
    <row r="196" ht="15" customFormat="1" customHeight="1" s="80">
      <c r="B196" s="30" t="n"/>
      <c r="C196" s="28" t="n"/>
      <c r="D196" s="28" t="n"/>
      <c r="E196" s="28" t="n"/>
      <c r="F196" s="28" t="n"/>
      <c r="G196" s="28" t="n"/>
      <c r="H196" s="28" t="n"/>
      <c r="I196" s="28" t="n"/>
      <c r="J196" s="28" t="n"/>
      <c r="K196" s="28" t="n"/>
      <c r="L196" s="28" t="n"/>
      <c r="M196" s="28" t="n"/>
      <c r="N196" s="28" t="n"/>
      <c r="O196" s="28" t="n"/>
      <c r="P196" s="129" t="n"/>
      <c r="Q196" s="87" t="n"/>
      <c r="R196" s="292" t="n"/>
      <c r="S196" s="293" t="n"/>
      <c r="T196" s="293" t="n"/>
      <c r="U196" s="293" t="n"/>
      <c r="V196" s="293" t="n"/>
      <c r="W196" s="84" t="n"/>
      <c r="X196">
        <f>Y196&amp;Z196</f>
        <v/>
      </c>
      <c r="Y196" t="inlineStr">
        <is>
          <t>Significant</t>
        </is>
      </c>
      <c r="Z196" t="inlineStr">
        <is>
          <t>High reliance</t>
        </is>
      </c>
      <c r="AA196" t="inlineStr">
        <is>
          <t>Significant</t>
        </is>
      </c>
    </row>
    <row r="197" ht="15" customFormat="1" customHeight="1" s="80">
      <c r="B197" s="28" t="n"/>
      <c r="C197" s="28" t="n"/>
      <c r="D197" s="28" t="n"/>
      <c r="E197" s="28" t="n"/>
      <c r="F197" s="28" t="n"/>
      <c r="G197" s="28" t="n"/>
      <c r="H197" s="28" t="n"/>
      <c r="I197" s="28" t="n"/>
      <c r="J197" s="28" t="n"/>
      <c r="K197" s="28" t="n"/>
      <c r="L197" s="28" t="n"/>
      <c r="M197" s="28" t="n"/>
      <c r="N197" s="28" t="n"/>
      <c r="O197" s="28" t="n"/>
      <c r="P197" s="129" t="n"/>
      <c r="Q197" s="87" t="n"/>
      <c r="R197" s="292" t="n"/>
      <c r="S197" s="293" t="n"/>
      <c r="T197" s="293" t="n"/>
      <c r="U197" s="293" t="n"/>
      <c r="V197" s="293" t="n"/>
      <c r="W197" s="84" t="n"/>
      <c r="X197">
        <f>Y197&amp;Z197</f>
        <v/>
      </c>
      <c r="Y197" t="inlineStr">
        <is>
          <t>Significant</t>
        </is>
      </c>
      <c r="Z197" t="inlineStr">
        <is>
          <t>No reliance</t>
        </is>
      </c>
      <c r="AA197" t="inlineStr">
        <is>
          <t>Significant</t>
        </is>
      </c>
    </row>
    <row r="198" ht="15" customFormat="1" customHeight="1" s="80">
      <c r="B198" s="29" t="n"/>
      <c r="C198" s="3" t="n"/>
      <c r="D198" s="3" t="n"/>
      <c r="E198" s="3" t="n"/>
      <c r="F198" s="3" t="n"/>
      <c r="G198" s="3" t="n"/>
      <c r="H198" s="3" t="n"/>
      <c r="I198" s="3" t="n"/>
      <c r="J198" s="3" t="n"/>
      <c r="K198" s="3" t="n"/>
      <c r="L198" s="3" t="n"/>
      <c r="M198" s="3" t="n"/>
      <c r="N198" s="3" t="n"/>
      <c r="O198" s="3" t="n"/>
      <c r="P198" s="130" t="n"/>
      <c r="Q198" s="88" t="n"/>
      <c r="R198" s="267" t="n"/>
      <c r="S198" s="268" t="n"/>
      <c r="T198" s="268" t="n"/>
      <c r="U198" s="268" t="n"/>
      <c r="V198" s="268" t="n"/>
    </row>
    <row r="199" ht="15" customFormat="1" customHeight="1" s="80">
      <c r="B199" s="30" t="n"/>
      <c r="C199" s="28" t="n"/>
      <c r="D199" s="28" t="n"/>
      <c r="E199" s="28" t="n"/>
      <c r="F199" s="28" t="n"/>
      <c r="G199" s="28" t="n"/>
      <c r="H199" s="28" t="n"/>
      <c r="I199" s="28" t="n"/>
      <c r="J199" s="28" t="n"/>
      <c r="K199" s="28" t="n"/>
      <c r="L199" s="28" t="n"/>
      <c r="M199" s="28" t="n"/>
      <c r="N199" s="28" t="n"/>
      <c r="O199" s="28" t="n"/>
      <c r="P199" s="129" t="n"/>
      <c r="Q199" s="87" t="n"/>
      <c r="R199" s="292" t="n"/>
      <c r="S199" s="293" t="n"/>
      <c r="T199" s="293" t="n"/>
      <c r="U199" s="293" t="n"/>
      <c r="V199" s="293" t="n"/>
      <c r="W199" s="84" t="n"/>
    </row>
    <row r="200" ht="15" customFormat="1" customHeight="1" s="80">
      <c r="B200" s="28" t="n"/>
      <c r="C200" s="30" t="n"/>
      <c r="D200" s="28" t="n"/>
      <c r="E200" s="28" t="n"/>
      <c r="F200" s="28" t="n"/>
      <c r="G200" s="28" t="n"/>
      <c r="H200" s="28" t="n"/>
      <c r="I200" s="28" t="n"/>
      <c r="J200" s="28" t="n"/>
      <c r="K200" s="28" t="n"/>
      <c r="L200" s="28" t="n"/>
      <c r="M200" s="28" t="n"/>
      <c r="N200" s="28" t="n"/>
      <c r="O200" s="28" t="n"/>
      <c r="P200" s="129" t="n"/>
      <c r="Q200" s="87" t="n"/>
      <c r="R200" s="292" t="n"/>
      <c r="S200" s="293" t="n"/>
      <c r="T200" s="293" t="n"/>
      <c r="U200" s="293" t="n"/>
      <c r="V200" s="293" t="n"/>
      <c r="W200" s="84" t="n"/>
    </row>
    <row r="201" ht="15" customFormat="1" customHeight="1" s="80">
      <c r="B201" s="28" t="n"/>
      <c r="C201" s="30" t="n"/>
      <c r="D201" s="28" t="n"/>
      <c r="E201" s="28" t="n"/>
      <c r="F201" s="28" t="n"/>
      <c r="G201" s="28" t="n"/>
      <c r="H201" s="28" t="n"/>
      <c r="I201" s="28" t="n"/>
      <c r="J201" s="28" t="n"/>
      <c r="K201" s="28" t="n"/>
      <c r="L201" s="28" t="n"/>
      <c r="M201" s="28" t="n"/>
      <c r="N201" s="28" t="n"/>
      <c r="O201" s="28" t="n"/>
      <c r="P201" s="129" t="n"/>
      <c r="Q201" s="87" t="n"/>
      <c r="R201" s="292" t="n"/>
      <c r="S201" s="293" t="n"/>
      <c r="T201" s="293" t="n"/>
      <c r="U201" s="293" t="n"/>
      <c r="V201" s="293" t="n"/>
      <c r="W201" s="84" t="n"/>
    </row>
    <row r="202" ht="15" customFormat="1" customHeight="1" s="80">
      <c r="B202" s="28" t="n"/>
      <c r="C202" s="31" t="n"/>
      <c r="D202" s="28" t="n"/>
      <c r="E202" s="28" t="n"/>
      <c r="F202" s="28" t="n"/>
      <c r="G202" s="28" t="n"/>
      <c r="H202" s="28" t="n"/>
      <c r="I202" s="28" t="n"/>
      <c r="J202" s="28" t="n"/>
      <c r="K202" s="28" t="n"/>
      <c r="L202" s="28" t="n"/>
      <c r="M202" s="28" t="n"/>
      <c r="N202" s="28" t="n"/>
      <c r="O202" s="28" t="n"/>
      <c r="P202" s="129" t="n"/>
      <c r="Q202" s="87" t="n"/>
      <c r="R202" s="292" t="n"/>
      <c r="S202" s="293" t="n"/>
      <c r="T202" s="293" t="n"/>
      <c r="U202" s="293" t="n"/>
      <c r="V202" s="293" t="n"/>
      <c r="W202" s="84" t="n"/>
    </row>
    <row r="203" ht="15" customFormat="1" customHeight="1" s="80">
      <c r="B203" s="28" t="n"/>
      <c r="C203" s="28" t="n"/>
      <c r="D203" s="28" t="n"/>
      <c r="E203" s="28" t="n"/>
      <c r="F203" s="28" t="n"/>
      <c r="G203" s="28" t="n"/>
      <c r="H203" s="28" t="n"/>
      <c r="I203" s="28" t="n"/>
      <c r="J203" s="28" t="n"/>
      <c r="K203" s="28" t="n"/>
      <c r="L203" s="28" t="n"/>
      <c r="M203" s="28" t="n"/>
      <c r="N203" s="28" t="n"/>
      <c r="O203" s="28" t="n"/>
      <c r="P203" s="129" t="n"/>
      <c r="Q203" s="87" t="n"/>
      <c r="R203" s="292" t="n"/>
      <c r="S203" s="293" t="n"/>
      <c r="T203" s="293" t="n"/>
      <c r="U203" s="293" t="n"/>
      <c r="V203" s="293" t="n"/>
      <c r="W203" s="84" t="n"/>
    </row>
    <row r="204" ht="15" customFormat="1" customHeight="1" s="80">
      <c r="B204" s="29" t="n"/>
      <c r="C204" s="3" t="n"/>
      <c r="D204" s="3" t="n"/>
      <c r="E204" s="3" t="n"/>
      <c r="F204" s="3" t="n"/>
      <c r="G204" s="3" t="n"/>
      <c r="H204" s="3" t="n"/>
      <c r="I204" s="3" t="n"/>
      <c r="J204" s="3" t="n"/>
      <c r="K204" s="3" t="n"/>
      <c r="L204" s="3" t="n"/>
      <c r="M204" s="3" t="n"/>
      <c r="N204" s="3" t="n"/>
      <c r="O204" s="3" t="n"/>
      <c r="P204" s="130" t="n"/>
      <c r="Q204" s="88" t="n"/>
      <c r="R204" s="267" t="n"/>
      <c r="S204" s="268" t="n"/>
      <c r="T204" s="268" t="n"/>
      <c r="U204" s="268" t="n"/>
      <c r="V204" s="268" t="n"/>
    </row>
    <row r="205" ht="15" customFormat="1" customHeight="1" s="80">
      <c r="B205" s="28" t="n"/>
      <c r="C205" s="28" t="n"/>
      <c r="D205" s="28" t="n"/>
      <c r="E205" s="28" t="n"/>
      <c r="F205" s="28" t="n"/>
      <c r="G205" s="28" t="n"/>
      <c r="H205" s="28" t="n"/>
      <c r="I205" s="28" t="n"/>
      <c r="J205" s="28" t="n"/>
      <c r="K205" s="28" t="n"/>
      <c r="L205" s="28" t="n"/>
      <c r="M205" s="28" t="n"/>
      <c r="N205" s="28" t="n"/>
      <c r="O205" s="28" t="n"/>
      <c r="P205" s="129" t="n"/>
      <c r="Q205" s="87" t="n"/>
      <c r="R205" s="292" t="n"/>
      <c r="S205" s="293" t="n"/>
      <c r="T205" s="293" t="n"/>
      <c r="U205" s="293" t="n"/>
      <c r="V205" s="293" t="n"/>
      <c r="W205" s="84" t="n"/>
    </row>
    <row r="206" ht="15" customFormat="1" customHeight="1" s="80">
      <c r="B206" s="28" t="n"/>
      <c r="C206" s="28" t="n"/>
      <c r="D206" s="28" t="n"/>
      <c r="E206" s="28" t="n"/>
      <c r="F206" s="28" t="n"/>
      <c r="G206" s="28" t="n"/>
      <c r="H206" s="28" t="n"/>
      <c r="I206" s="28" t="n"/>
      <c r="J206" s="28" t="n"/>
      <c r="K206" s="28" t="n"/>
      <c r="L206" s="28" t="n"/>
      <c r="M206" s="28" t="n"/>
      <c r="N206" s="28" t="n"/>
      <c r="O206" s="28" t="n"/>
      <c r="P206" s="129" t="n"/>
      <c r="Q206" s="87" t="n"/>
      <c r="R206" s="292" t="n"/>
      <c r="S206" s="293" t="n"/>
      <c r="T206" s="293" t="n"/>
      <c r="U206" s="293" t="n"/>
      <c r="V206" s="293" t="n"/>
      <c r="W206" s="84" t="n"/>
    </row>
    <row r="207" ht="15" customFormat="1" customHeight="1" s="80">
      <c r="B207" s="28" t="n"/>
      <c r="C207" s="28" t="n"/>
      <c r="D207" s="28" t="n"/>
      <c r="E207" s="28" t="n"/>
      <c r="F207" s="28" t="n"/>
      <c r="G207" s="28" t="n"/>
      <c r="H207" s="28" t="n"/>
      <c r="I207" s="28" t="n"/>
      <c r="J207" s="28" t="n"/>
      <c r="K207" s="28" t="n"/>
      <c r="L207" s="28" t="n"/>
      <c r="M207" s="28" t="n"/>
      <c r="N207" s="28" t="n"/>
      <c r="O207" s="28" t="n"/>
      <c r="P207" s="129" t="n"/>
      <c r="Q207" s="87" t="n"/>
      <c r="R207" s="292" t="n"/>
      <c r="S207" s="293" t="n"/>
      <c r="T207" s="293" t="n"/>
      <c r="U207" s="293" t="n"/>
      <c r="V207" s="293" t="n"/>
      <c r="W207" s="84" t="n"/>
    </row>
    <row r="208" ht="15" customFormat="1" customHeight="1" s="80">
      <c r="B208" s="3" t="n"/>
      <c r="C208" s="3" t="n"/>
      <c r="D208" s="3" t="n"/>
      <c r="E208" s="3" t="n"/>
      <c r="F208" s="3" t="n"/>
      <c r="G208" s="3" t="n"/>
      <c r="H208" s="3" t="n"/>
      <c r="I208" s="3" t="n"/>
      <c r="J208" s="3" t="n"/>
      <c r="K208" s="3" t="n"/>
      <c r="L208" s="3" t="n"/>
      <c r="M208" s="3" t="n"/>
      <c r="N208" s="3" t="n"/>
      <c r="O208" s="3" t="n"/>
      <c r="P208" s="130" t="n"/>
      <c r="Q208" s="88" t="n"/>
      <c r="R208" s="267" t="n"/>
      <c r="S208" s="268" t="n"/>
      <c r="T208" s="268" t="n"/>
      <c r="U208" s="268" t="n"/>
      <c r="V208" s="268" t="n"/>
    </row>
    <row r="209" ht="15" customFormat="1" customHeight="1" s="80">
      <c r="B209" s="3" t="n"/>
      <c r="C209" s="3" t="n"/>
      <c r="D209" s="3" t="n"/>
      <c r="E209" s="3" t="n"/>
      <c r="F209" s="3" t="n"/>
      <c r="G209" s="3" t="n"/>
      <c r="H209" s="3" t="n"/>
      <c r="I209" s="3" t="n"/>
      <c r="J209" s="3" t="n"/>
      <c r="K209" s="3" t="n"/>
      <c r="L209" s="3" t="n"/>
      <c r="M209" s="3" t="n"/>
      <c r="N209" s="3" t="n"/>
      <c r="O209" s="3" t="n"/>
      <c r="P209" s="130" t="n"/>
      <c r="Q209" s="88" t="n"/>
      <c r="R209" s="267" t="n"/>
      <c r="S209" s="268" t="n"/>
      <c r="T209" s="268" t="n"/>
      <c r="U209" s="268" t="n"/>
      <c r="V209" s="268" t="n"/>
    </row>
    <row r="210" ht="15" customFormat="1" customHeight="1" s="80">
      <c r="B210" s="3" t="n"/>
      <c r="C210" s="3" t="n"/>
      <c r="D210" s="3" t="n"/>
      <c r="E210" s="3" t="n"/>
      <c r="F210" s="3" t="n"/>
      <c r="G210" s="3" t="n"/>
      <c r="H210" s="3" t="n"/>
      <c r="I210" s="3" t="n"/>
      <c r="J210" s="3" t="n"/>
      <c r="K210" s="3" t="n"/>
      <c r="L210" s="3" t="n"/>
      <c r="M210" s="3" t="n"/>
      <c r="N210" s="3" t="n"/>
      <c r="O210" s="3" t="n"/>
      <c r="P210" s="130" t="n"/>
      <c r="Q210" s="88" t="n"/>
      <c r="R210" s="267" t="n"/>
      <c r="S210" s="268" t="n"/>
      <c r="T210" s="268" t="n"/>
      <c r="U210" s="268" t="n"/>
      <c r="V210" s="268" t="n"/>
    </row>
    <row r="211" ht="15" customFormat="1" customHeight="1" s="80">
      <c r="B211" s="3" t="n"/>
      <c r="C211" s="3" t="n"/>
      <c r="D211" s="3" t="n"/>
      <c r="E211" s="3" t="n"/>
      <c r="F211" s="3" t="n"/>
      <c r="G211" s="3" t="n"/>
      <c r="H211" s="3" t="n"/>
      <c r="I211" s="3" t="n"/>
      <c r="J211" s="3" t="n"/>
      <c r="K211" s="3" t="n"/>
      <c r="L211" s="3" t="n"/>
      <c r="M211" s="3" t="n"/>
      <c r="N211" s="3" t="n"/>
      <c r="O211" s="3" t="n"/>
      <c r="P211" s="130" t="n"/>
      <c r="Q211" s="88" t="n"/>
      <c r="R211" s="267" t="n"/>
      <c r="S211" s="268" t="n"/>
      <c r="T211" s="268" t="n"/>
      <c r="U211" s="268" t="n"/>
      <c r="V211" s="268" t="n"/>
    </row>
    <row r="212" ht="15" customFormat="1" customHeight="1" s="80">
      <c r="B212" s="3" t="n"/>
      <c r="C212" s="3" t="n"/>
      <c r="D212" s="3" t="n"/>
      <c r="E212" s="3" t="n"/>
      <c r="F212" s="3" t="n"/>
      <c r="G212" s="3" t="n"/>
      <c r="H212" s="3" t="n"/>
      <c r="I212" s="3" t="n"/>
      <c r="J212" s="3" t="n"/>
      <c r="K212" s="3" t="n"/>
      <c r="L212" s="3" t="n"/>
      <c r="M212" s="3" t="n"/>
      <c r="N212" s="3" t="n"/>
      <c r="O212" s="3" t="n"/>
      <c r="P212" s="130" t="n"/>
      <c r="Q212" s="88" t="n"/>
      <c r="R212" s="267" t="n"/>
      <c r="S212" s="268" t="n"/>
      <c r="T212" s="268" t="n"/>
      <c r="U212" s="268" t="n"/>
      <c r="V212" s="268" t="n"/>
    </row>
    <row r="213" ht="15" customFormat="1" customHeight="1" s="80">
      <c r="B213" s="3" t="n"/>
      <c r="C213" s="3" t="n"/>
      <c r="D213" s="3" t="n"/>
      <c r="E213" s="3" t="n"/>
      <c r="F213" s="3" t="n"/>
      <c r="G213" s="3" t="n"/>
      <c r="H213" s="3" t="n"/>
      <c r="I213" s="3" t="n"/>
      <c r="J213" s="3" t="n"/>
      <c r="K213" s="3" t="n"/>
      <c r="L213" s="3" t="n"/>
      <c r="M213" s="3" t="n"/>
      <c r="N213" s="3" t="n"/>
      <c r="O213" s="3" t="n"/>
      <c r="P213" s="130" t="n"/>
      <c r="Q213" s="88" t="n"/>
      <c r="R213" s="267" t="n"/>
      <c r="S213" s="268" t="n"/>
      <c r="T213" s="268" t="n"/>
      <c r="U213" s="268" t="n"/>
      <c r="V213" s="268" t="n"/>
    </row>
    <row r="214" ht="15" customFormat="1" customHeight="1" s="80">
      <c r="B214" s="3" t="n"/>
      <c r="C214" s="3" t="n"/>
      <c r="D214" s="3" t="n"/>
      <c r="E214" s="3" t="n"/>
      <c r="F214" s="3" t="n"/>
      <c r="G214" s="3" t="n"/>
      <c r="H214" s="3" t="n"/>
      <c r="I214" s="3" t="n"/>
      <c r="J214" s="3" t="n"/>
      <c r="K214" s="3" t="n"/>
      <c r="L214" s="3" t="n"/>
      <c r="M214" s="3" t="n"/>
      <c r="N214" s="3" t="n"/>
      <c r="O214" s="3" t="n"/>
      <c r="P214" s="130" t="n"/>
      <c r="Q214" s="88" t="n"/>
      <c r="R214" s="267" t="n"/>
      <c r="S214" s="268" t="n"/>
      <c r="T214" s="268" t="n"/>
      <c r="U214" s="268" t="n"/>
      <c r="V214" s="268" t="n"/>
    </row>
    <row r="215" ht="15" customFormat="1" customHeight="1" s="80">
      <c r="B215" s="3" t="n"/>
      <c r="C215" s="3" t="n"/>
      <c r="D215" s="3" t="n"/>
      <c r="E215" s="3" t="n"/>
      <c r="F215" s="3" t="n"/>
      <c r="G215" s="3" t="n"/>
      <c r="H215" s="3" t="n"/>
      <c r="I215" s="3" t="n"/>
      <c r="J215" s="3" t="n"/>
      <c r="K215" s="3" t="n"/>
      <c r="L215" s="3" t="n"/>
      <c r="M215" s="3" t="n"/>
      <c r="N215" s="3" t="n"/>
      <c r="O215" s="3" t="n"/>
      <c r="P215" s="130" t="n"/>
      <c r="Q215" s="88" t="n"/>
      <c r="R215" s="267" t="n"/>
      <c r="S215" s="268" t="n"/>
      <c r="T215" s="268" t="n"/>
      <c r="U215" s="268" t="n"/>
      <c r="V215" s="268" t="n"/>
    </row>
    <row r="216" ht="15" customFormat="1" customHeight="1" s="80">
      <c r="B216" s="3" t="n"/>
      <c r="C216" s="3" t="n"/>
      <c r="D216" s="3" t="n"/>
      <c r="E216" s="3" t="n"/>
      <c r="F216" s="3" t="n"/>
      <c r="G216" s="3" t="n"/>
      <c r="H216" s="3" t="n"/>
      <c r="I216" s="3" t="n"/>
      <c r="J216" s="3" t="n"/>
      <c r="K216" s="3" t="n"/>
      <c r="L216" s="3" t="n"/>
      <c r="M216" s="3" t="n"/>
      <c r="N216" s="3" t="n"/>
      <c r="O216" s="3" t="n"/>
      <c r="P216" s="130" t="n"/>
      <c r="Q216" s="88" t="n"/>
      <c r="R216" s="267" t="n"/>
      <c r="S216" s="268" t="n"/>
      <c r="T216" s="268" t="n"/>
      <c r="U216" s="268" t="n"/>
      <c r="V216" s="268" t="n"/>
    </row>
    <row r="217" ht="15" customFormat="1" customHeight="1" s="80">
      <c r="B217" s="3" t="n"/>
      <c r="C217" s="3" t="n"/>
      <c r="D217" s="3" t="n"/>
      <c r="E217" s="3" t="n"/>
      <c r="F217" s="3" t="n"/>
      <c r="G217" s="3" t="n"/>
      <c r="H217" s="3" t="n"/>
      <c r="I217" s="3" t="n"/>
      <c r="J217" s="3" t="n"/>
      <c r="K217" s="3" t="n"/>
      <c r="L217" s="3" t="n"/>
      <c r="M217" s="3" t="n"/>
      <c r="N217" s="3" t="n"/>
      <c r="O217" s="3" t="n"/>
      <c r="P217" s="130" t="n"/>
      <c r="Q217" s="88" t="n"/>
      <c r="R217" s="267" t="n"/>
      <c r="S217" s="268" t="n"/>
      <c r="T217" s="268" t="n"/>
      <c r="U217" s="268" t="n"/>
      <c r="V217" s="268" t="n"/>
    </row>
    <row r="218" ht="15" customFormat="1" customHeight="1" s="80">
      <c r="B218" s="3" t="n"/>
      <c r="C218" s="3" t="n"/>
      <c r="D218" s="3" t="n"/>
      <c r="E218" s="3" t="n"/>
      <c r="F218" s="3" t="n"/>
      <c r="G218" s="3" t="n"/>
      <c r="H218" s="3" t="n"/>
      <c r="I218" s="3" t="n"/>
      <c r="J218" s="3" t="n"/>
      <c r="K218" s="3" t="n"/>
      <c r="L218" s="3" t="n"/>
      <c r="M218" s="3" t="n"/>
      <c r="N218" s="3" t="n"/>
      <c r="O218" s="3" t="n"/>
      <c r="P218" s="130" t="n"/>
      <c r="Q218" s="88" t="n"/>
      <c r="R218" s="267" t="n"/>
      <c r="S218" s="268" t="n"/>
      <c r="T218" s="268" t="n"/>
      <c r="U218" s="268" t="n"/>
      <c r="V218" s="268" t="n"/>
    </row>
    <row r="219" ht="15" customFormat="1" customHeight="1" s="80">
      <c r="B219" s="3" t="n"/>
      <c r="C219" s="3" t="n"/>
      <c r="D219" s="3" t="n"/>
      <c r="E219" s="3" t="n"/>
      <c r="F219" s="3" t="n"/>
      <c r="G219" s="3" t="n"/>
      <c r="H219" s="3" t="n"/>
      <c r="I219" s="3" t="n"/>
      <c r="J219" s="3" t="n"/>
      <c r="K219" s="3" t="n"/>
      <c r="L219" s="3" t="n"/>
      <c r="M219" s="3" t="n"/>
      <c r="N219" s="3" t="n"/>
      <c r="O219" s="3" t="n"/>
      <c r="P219" s="130" t="n"/>
      <c r="Q219" s="88" t="n"/>
      <c r="R219" s="267" t="n"/>
      <c r="S219" s="268" t="n"/>
      <c r="T219" s="268" t="n"/>
      <c r="U219" s="268" t="n"/>
      <c r="V219" s="268" t="n"/>
    </row>
    <row r="220" ht="15" customFormat="1" customHeight="1" s="80">
      <c r="B220" s="3" t="n"/>
      <c r="C220" s="3" t="n"/>
      <c r="D220" s="3" t="n"/>
      <c r="E220" s="3" t="n"/>
      <c r="F220" s="3" t="n"/>
      <c r="G220" s="3" t="n"/>
      <c r="H220" s="3" t="n"/>
      <c r="I220" s="3" t="n"/>
      <c r="J220" s="3" t="n"/>
      <c r="K220" s="3" t="n"/>
      <c r="L220" s="3" t="n"/>
      <c r="M220" s="3" t="n"/>
      <c r="N220" s="3" t="n"/>
      <c r="O220" s="3" t="n"/>
      <c r="P220" s="130" t="n"/>
      <c r="Q220" s="88" t="n"/>
      <c r="R220" s="267" t="n"/>
      <c r="S220" s="268" t="n"/>
      <c r="T220" s="268" t="n"/>
      <c r="U220" s="268" t="n"/>
      <c r="V220" s="268" t="n"/>
    </row>
    <row r="221" ht="15" customFormat="1" customHeight="1" s="80">
      <c r="B221" s="3" t="n"/>
      <c r="C221" s="3" t="n"/>
      <c r="D221" s="3" t="n"/>
      <c r="E221" s="3" t="n"/>
      <c r="F221" s="3" t="n"/>
      <c r="G221" s="3" t="n"/>
      <c r="H221" s="3" t="n"/>
      <c r="I221" s="3" t="n"/>
      <c r="J221" s="3" t="n"/>
      <c r="K221" s="3" t="n"/>
      <c r="L221" s="3" t="n"/>
      <c r="M221" s="3" t="n"/>
      <c r="N221" s="3" t="n"/>
      <c r="O221" s="3" t="n"/>
      <c r="P221" s="130" t="n"/>
      <c r="Q221" s="88" t="n"/>
      <c r="R221" s="267" t="n"/>
      <c r="S221" s="268" t="n"/>
      <c r="T221" s="268" t="n"/>
      <c r="U221" s="268" t="n"/>
      <c r="V221" s="268" t="n"/>
    </row>
    <row r="222" ht="15" customFormat="1" customHeight="1" s="80">
      <c r="B222" s="3" t="n"/>
      <c r="C222" s="3" t="n"/>
      <c r="D222" s="3" t="n"/>
      <c r="E222" s="3" t="n"/>
      <c r="F222" s="3" t="n"/>
      <c r="G222" s="3" t="n"/>
      <c r="H222" s="3" t="n"/>
      <c r="I222" s="3" t="n"/>
      <c r="J222" s="3" t="n"/>
      <c r="K222" s="3" t="n"/>
      <c r="L222" s="3" t="n"/>
      <c r="M222" s="3" t="n"/>
      <c r="N222" s="3" t="n"/>
      <c r="O222" s="3" t="n"/>
      <c r="P222" s="130" t="n"/>
      <c r="Q222" s="88" t="n"/>
      <c r="R222" s="267" t="n"/>
      <c r="S222" s="268" t="n"/>
      <c r="T222" s="268" t="n"/>
      <c r="U222" s="268" t="n"/>
      <c r="V222" s="268" t="n"/>
    </row>
    <row r="223" ht="15" customFormat="1" customHeight="1" s="80">
      <c r="B223" s="3" t="n"/>
      <c r="C223" s="3" t="n"/>
      <c r="D223" s="3" t="n"/>
      <c r="E223" s="3" t="n"/>
      <c r="F223" s="3" t="n"/>
      <c r="G223" s="3" t="n"/>
      <c r="H223" s="3" t="n"/>
      <c r="I223" s="3" t="n"/>
      <c r="J223" s="3" t="n"/>
      <c r="K223" s="3" t="n"/>
      <c r="L223" s="3" t="n"/>
      <c r="M223" s="3" t="n"/>
      <c r="N223" s="3" t="n"/>
      <c r="O223" s="3" t="n"/>
      <c r="P223" s="130" t="n"/>
      <c r="Q223" s="88" t="n"/>
      <c r="R223" s="267" t="n"/>
      <c r="S223" s="268" t="n"/>
      <c r="T223" s="268" t="n"/>
      <c r="U223" s="268" t="n"/>
      <c r="V223" s="268" t="n"/>
    </row>
    <row r="224" ht="15" customFormat="1" customHeight="1" s="80">
      <c r="B224" s="3" t="n"/>
      <c r="C224" s="3" t="n"/>
      <c r="D224" s="3" t="n"/>
      <c r="E224" s="3" t="n"/>
      <c r="F224" s="3" t="n"/>
      <c r="G224" s="3" t="n"/>
      <c r="H224" s="3" t="n"/>
      <c r="I224" s="3" t="n"/>
      <c r="J224" s="3" t="n"/>
      <c r="K224" s="3" t="n"/>
      <c r="L224" s="3" t="n"/>
      <c r="M224" s="3" t="n"/>
      <c r="N224" s="3" t="n"/>
      <c r="O224" s="3" t="n"/>
      <c r="P224" s="130" t="n"/>
      <c r="Q224" s="88" t="n"/>
      <c r="R224" s="267" t="n"/>
      <c r="S224" s="268" t="n"/>
      <c r="T224" s="268" t="n"/>
      <c r="U224" s="268" t="n"/>
      <c r="V224" s="268" t="n"/>
    </row>
    <row r="225" ht="15" customFormat="1" customHeight="1" s="80">
      <c r="B225" s="3" t="n"/>
      <c r="C225" s="3" t="n"/>
      <c r="D225" s="3" t="n"/>
      <c r="E225" s="3" t="n"/>
      <c r="F225" s="3" t="n"/>
      <c r="G225" s="3" t="n"/>
      <c r="H225" s="3" t="n"/>
      <c r="I225" s="3" t="n"/>
      <c r="J225" s="3" t="n"/>
      <c r="K225" s="3" t="n"/>
      <c r="L225" s="3" t="n"/>
      <c r="M225" s="3" t="n"/>
      <c r="N225" s="3" t="n"/>
      <c r="O225" s="3" t="n"/>
      <c r="P225" s="130" t="n"/>
      <c r="Q225" s="88" t="n"/>
      <c r="R225" s="267" t="n"/>
      <c r="S225" s="268" t="n"/>
      <c r="T225" s="268" t="n"/>
      <c r="U225" s="268" t="n"/>
      <c r="V225" s="268" t="n"/>
    </row>
    <row r="226" ht="15" customFormat="1" customHeight="1" s="80">
      <c r="B226" s="3" t="n"/>
      <c r="C226" s="3" t="n"/>
      <c r="D226" s="3" t="n"/>
      <c r="E226" s="3" t="n"/>
      <c r="F226" s="3" t="n"/>
      <c r="G226" s="3" t="n"/>
      <c r="H226" s="3" t="n"/>
      <c r="I226" s="3" t="n"/>
      <c r="J226" s="3" t="n"/>
      <c r="K226" s="3" t="n"/>
      <c r="L226" s="3" t="n"/>
      <c r="M226" s="3" t="n"/>
      <c r="N226" s="3" t="n"/>
      <c r="O226" s="3" t="n"/>
      <c r="P226" s="130" t="n"/>
      <c r="Q226" s="88" t="n"/>
      <c r="R226" s="267" t="n"/>
      <c r="S226" s="268" t="n"/>
      <c r="T226" s="268" t="n"/>
      <c r="U226" s="268" t="n"/>
      <c r="V226" s="268" t="n"/>
    </row>
    <row r="227" ht="15" customFormat="1" customHeight="1" s="80">
      <c r="B227" s="3" t="n"/>
      <c r="C227" s="3" t="n"/>
      <c r="D227" s="3" t="n"/>
      <c r="E227" s="3" t="n"/>
      <c r="F227" s="3" t="n"/>
      <c r="G227" s="3" t="n"/>
      <c r="H227" s="3" t="n"/>
      <c r="I227" s="3" t="n"/>
      <c r="J227" s="3" t="n"/>
      <c r="K227" s="3" t="n"/>
      <c r="L227" s="3" t="n"/>
      <c r="M227" s="3" t="n"/>
      <c r="N227" s="3" t="n"/>
      <c r="O227" s="3" t="n"/>
      <c r="P227" s="130" t="n"/>
      <c r="Q227" s="88" t="n"/>
      <c r="R227" s="267" t="n"/>
      <c r="S227" s="268" t="n"/>
      <c r="T227" s="268" t="n"/>
      <c r="U227" s="268" t="n"/>
      <c r="V227" s="268" t="n"/>
    </row>
    <row r="228" ht="15" customFormat="1" customHeight="1" s="80">
      <c r="B228" s="3" t="n"/>
      <c r="C228" s="3" t="n"/>
      <c r="D228" s="3" t="n"/>
      <c r="E228" s="3" t="n"/>
      <c r="F228" s="3" t="n"/>
      <c r="G228" s="3" t="n"/>
      <c r="H228" s="3" t="n"/>
      <c r="I228" s="3" t="n"/>
      <c r="J228" s="3" t="n"/>
      <c r="K228" s="3" t="n"/>
      <c r="L228" s="3" t="n"/>
      <c r="M228" s="3" t="n"/>
      <c r="N228" s="3" t="n"/>
      <c r="O228" s="3" t="n"/>
      <c r="P228" s="130" t="n"/>
      <c r="Q228" s="88" t="n"/>
      <c r="R228" s="267" t="n"/>
      <c r="S228" s="268" t="n"/>
      <c r="T228" s="268" t="n"/>
      <c r="U228" s="268" t="n"/>
      <c r="V228" s="268" t="n"/>
    </row>
    <row r="229" ht="15" customFormat="1" customHeight="1" s="80">
      <c r="B229" s="3" t="n"/>
      <c r="C229" s="3" t="n"/>
      <c r="D229" s="3" t="n"/>
      <c r="E229" s="3" t="n"/>
      <c r="F229" s="3" t="n"/>
      <c r="G229" s="3" t="n"/>
      <c r="H229" s="3" t="n"/>
      <c r="I229" s="3" t="n"/>
      <c r="J229" s="3" t="n"/>
      <c r="K229" s="3" t="n"/>
      <c r="L229" s="3" t="n"/>
      <c r="M229" s="3" t="n"/>
      <c r="N229" s="3" t="n"/>
      <c r="O229" s="3" t="n"/>
      <c r="P229" s="130" t="n"/>
      <c r="Q229" s="88" t="n"/>
      <c r="R229" s="267" t="n"/>
      <c r="S229" s="268" t="n"/>
      <c r="T229" s="268" t="n"/>
      <c r="U229" s="268" t="n"/>
      <c r="V229" s="268" t="n"/>
    </row>
  </sheetData>
  <mergeCells count="88">
    <mergeCell ref="B144:O146"/>
    <mergeCell ref="B51:O53"/>
    <mergeCell ref="P59:P60"/>
    <mergeCell ref="B185:O187"/>
    <mergeCell ref="B63:O65"/>
    <mergeCell ref="P21:P22"/>
    <mergeCell ref="P67:P68"/>
    <mergeCell ref="B49:O50"/>
    <mergeCell ref="R3:V4"/>
    <mergeCell ref="R185:V190"/>
    <mergeCell ref="R137:V139"/>
    <mergeCell ref="B99:O102"/>
    <mergeCell ref="B27:O29"/>
    <mergeCell ref="P185:P186"/>
    <mergeCell ref="B67:O69"/>
    <mergeCell ref="B17:O19"/>
    <mergeCell ref="G90:I90"/>
    <mergeCell ref="B104:O107"/>
    <mergeCell ref="P71:P72"/>
    <mergeCell ref="B26:J26"/>
    <mergeCell ref="B173:P173"/>
    <mergeCell ref="P177:P178"/>
    <mergeCell ref="B120:K120"/>
    <mergeCell ref="P40:P42"/>
    <mergeCell ref="B55:O57"/>
    <mergeCell ref="B189:O191"/>
    <mergeCell ref="B45:O47"/>
    <mergeCell ref="P51:P52"/>
    <mergeCell ref="P189:P190"/>
    <mergeCell ref="B122:O122"/>
    <mergeCell ref="L1:N1"/>
    <mergeCell ref="R78:V80"/>
    <mergeCell ref="B40:O43"/>
    <mergeCell ref="G80:I80"/>
    <mergeCell ref="B21:O23"/>
    <mergeCell ref="P126:P127"/>
    <mergeCell ref="P36:P37"/>
    <mergeCell ref="B71:O73"/>
    <mergeCell ref="P116:P117"/>
    <mergeCell ref="P181:P182"/>
    <mergeCell ref="R87:V91"/>
    <mergeCell ref="B181:O183"/>
    <mergeCell ref="P13:P14"/>
    <mergeCell ref="B128:O130"/>
    <mergeCell ref="B137:O139"/>
    <mergeCell ref="R140:V140"/>
    <mergeCell ref="B31:M31"/>
    <mergeCell ref="P144:P145"/>
    <mergeCell ref="R162:V165"/>
    <mergeCell ref="P63:P64"/>
    <mergeCell ref="P128:P129"/>
    <mergeCell ref="B36:O38"/>
    <mergeCell ref="B123:O125"/>
    <mergeCell ref="B85:O87"/>
    <mergeCell ref="B116:O119"/>
    <mergeCell ref="L4:N4"/>
    <mergeCell ref="B75:O77"/>
    <mergeCell ref="P120:P121"/>
    <mergeCell ref="C2:E2"/>
    <mergeCell ref="P161:P162"/>
    <mergeCell ref="P17:P18"/>
    <mergeCell ref="R123:V131"/>
    <mergeCell ref="P75:P76"/>
    <mergeCell ref="P156:P157"/>
    <mergeCell ref="L2:N2"/>
    <mergeCell ref="R7:V8"/>
    <mergeCell ref="B8:Q8"/>
    <mergeCell ref="P55:P56"/>
    <mergeCell ref="B177:O179"/>
    <mergeCell ref="B111:O114"/>
    <mergeCell ref="L3:N3"/>
    <mergeCell ref="P45:P46"/>
    <mergeCell ref="C1:E1"/>
    <mergeCell ref="P141:P143"/>
    <mergeCell ref="B161:O168"/>
    <mergeCell ref="B59:O61"/>
    <mergeCell ref="I169:O169"/>
    <mergeCell ref="P111:P112"/>
    <mergeCell ref="B108:O109"/>
    <mergeCell ref="R45:V47"/>
    <mergeCell ref="B13:O15"/>
    <mergeCell ref="B32:M32"/>
    <mergeCell ref="R11:V14"/>
    <mergeCell ref="P139:P140"/>
    <mergeCell ref="B127:O127"/>
    <mergeCell ref="P123:P124"/>
    <mergeCell ref="P104:P105"/>
    <mergeCell ref="P85:P86"/>
  </mergeCells>
  <dataValidations count="5">
    <dataValidation sqref="K26" showDropDown="0" showInputMessage="0" showErrorMessage="0" allowBlank="1" type="list">
      <formula1>"Yes,No"</formula1>
    </dataValidation>
    <dataValidation sqref="E78 F88" showDropDown="0" showInputMessage="0" showErrorMessage="0" allowBlank="1" type="list">
      <formula1>$X$77:$X$78</formula1>
    </dataValidation>
    <dataValidation sqref="N103 N110 N115" showDropDown="0" showInputMessage="0" showErrorMessage="0" allowBlank="1" type="list">
      <formula1>$X$103:$X$105</formula1>
    </dataValidation>
    <dataValidation sqref="H140" showDropDown="0" showInputMessage="0" showErrorMessage="0" allowBlank="1" type="list">
      <formula1>$X$139:$X$140</formula1>
    </dataValidation>
    <dataValidation sqref="L126" showDropDown="0" showInputMessage="0" showErrorMessage="0" allowBlank="1" type="list">
      <formula1>$X$118:$X$120</formula1>
    </dataValidation>
  </dataValidations>
  <hyperlinks>
    <hyperlink ref="P13" location="'Guidance (Do not delete)'!B7" display="Link to guidance"/>
    <hyperlink ref="P17" location="'Guidance (Do not delete)'!B13" display="Link to guidance"/>
    <hyperlink ref="P21" location="'Guidance (Do not delete)'!B20" display="Link to guidance"/>
    <hyperlink ref="P36" location="'Guidance (Do not delete)'!B30" display="Link to guidance"/>
    <hyperlink ref="P40" location="'Guidance (Do not delete)'!B40" display="Link to guidance"/>
    <hyperlink ref="P45" location="'Guidance (Do not delete)'!B50" display="Link to guidance"/>
    <hyperlink ref="P51" location="'Guidance (Do not delete)'!B65" display="Link to guidance"/>
    <hyperlink ref="P55" location="'Guidance (Do not delete)'!B69" display="Link to guidance"/>
    <hyperlink ref="P59" location="'Guidance (Do not delete)'!B83" display="Link to guidance"/>
    <hyperlink ref="P63" location="'Guidance (Do not delete)'!B88" display="Link to guidance"/>
    <hyperlink ref="P67" location="'Guidance (Do not delete)'!B96" display="Link to guidance"/>
    <hyperlink ref="P71" location="'Guidance (Do not delete)'!B100" display="Link to guidance"/>
    <hyperlink ref="P75" location="'Guidance (Do not delete)'!B105" display="Link to guidance"/>
    <hyperlink ref="P85" location="'Guidance (Do not delete)'!B114" display="Link to guidance"/>
    <hyperlink ref="P104" location="'Guidance (Do not delete)'!B141" display="Link to guidance"/>
    <hyperlink ref="P111" location="'Guidance (Do not delete)'!B151" display="Link to guidance"/>
    <hyperlink ref="P116" location="'Guidance (Do not delete)'!B160" display="Link to guidance"/>
    <hyperlink ref="P120" location="'Guidance (Do not delete)'!B167" display="Link to guidance"/>
    <hyperlink ref="P123" location="'Guidance (Do not delete)'!B173" display="Link to guidance"/>
    <hyperlink ref="P126" location="'Guidance (Do not delete)'!B178" display="Link to guidance"/>
    <hyperlink ref="P128" location="'Guidance (Do not delete)'!B201" display="Link to guidance"/>
    <hyperlink ref="P139" location="'Guidance (Do not delete)'!B217" display="Link to guidance"/>
    <hyperlink ref="P141" location="'Guidance (Do not delete)'!B222" display="Link to guidance"/>
    <hyperlink ref="P156" location="'Guidance (Do not delete)'!B240" display="Link to guidance"/>
    <hyperlink ref="P161" location="'Guidance (Do not delete)'!B250" display="Link to guidance"/>
    <hyperlink ref="P177" location="'Guidance (Do not delete)'!B326" display="Link to guidance"/>
    <hyperlink ref="P181" location="'Guidance (Do not delete)'!B333" display="Link to guidance"/>
    <hyperlink ref="P185" location="'Guidance (Do not delete)'!B337" display="Link to guidance"/>
    <hyperlink ref="P189" location="'Guidance (Do not delete)'!B341" display="Link to guidance"/>
  </hyperlinks>
  <pageMargins left="0.7" right="0.7" top="0.75" bottom="0.75" header="0.3" footer="0.3"/>
  <pageSetup orientation="portrait" paperSize="9"/>
</worksheet>
</file>

<file path=xl/worksheets/sheet6.xml><?xml version="1.0" encoding="utf-8"?>
<worksheet xmlns="http://schemas.openxmlformats.org/spreadsheetml/2006/main">
  <sheetPr codeName="Sheet2">
    <tabColor rgb="FF464B4B"/>
    <outlinePr summaryBelow="1" summaryRight="1"/>
    <pageSetUpPr/>
  </sheetPr>
  <dimension ref="B2:X371"/>
  <sheetViews>
    <sheetView showGridLines="0" zoomScaleNormal="100" workbookViewId="0">
      <selection activeCell="J11" sqref="J11"/>
    </sheetView>
  </sheetViews>
  <sheetFormatPr baseColWidth="8" defaultColWidth="0" defaultRowHeight="14.25" zeroHeight="1"/>
  <cols>
    <col width="4.25" customWidth="1" style="4" min="1" max="2"/>
    <col width="8.75" customWidth="1" style="4" min="3" max="3"/>
    <col width="14.875" customWidth="1" style="4" min="4" max="16"/>
    <col width="3.25" customWidth="1" style="4" min="17" max="17"/>
    <col width="2.125" customWidth="1" style="4" min="18" max="19"/>
    <col width="16.625" customWidth="1" style="4" min="20" max="20"/>
    <col width="4" customWidth="1" style="4" min="21" max="21"/>
    <col hidden="1" width="13" customWidth="1" style="4" min="22" max="24"/>
    <col hidden="1" width="8.75" customWidth="1" style="4" min="25" max="256"/>
    <col hidden="1" width="8.75" customWidth="1" style="4" min="257" max="16384"/>
  </cols>
  <sheetData>
    <row r="2" ht="41.25" customHeight="1">
      <c r="B2" s="68" t="n"/>
      <c r="C2" s="372" t="inlineStr">
        <is>
          <t>GUIDANCE MATERIAL</t>
        </is>
      </c>
      <c r="Q2" s="68" t="n"/>
      <c r="T2" s="90" t="inlineStr">
        <is>
          <t>MAM reference</t>
        </is>
      </c>
    </row>
    <row r="3" ht="15.75" customHeight="1">
      <c r="B3" s="5" t="n"/>
      <c r="C3" s="20" t="n"/>
      <c r="D3" s="20" t="n"/>
      <c r="E3" s="20" t="n"/>
      <c r="F3" s="20" t="n"/>
      <c r="G3" s="20" t="n"/>
      <c r="H3" s="20" t="n"/>
      <c r="I3" s="20" t="n"/>
      <c r="J3" s="20" t="n"/>
      <c r="K3" s="20" t="n"/>
      <c r="L3" s="20" t="n"/>
      <c r="M3" s="20" t="n"/>
      <c r="N3" s="20" t="n"/>
      <c r="O3" s="20" t="n"/>
      <c r="P3" s="20" t="n"/>
      <c r="Q3" s="5" t="n"/>
      <c r="T3" s="90" t="n"/>
    </row>
    <row r="4" ht="23.25" customFormat="1" customHeight="1" s="116">
      <c r="B4" s="118" t="inlineStr">
        <is>
          <t>STEP 1:   UNDERSTANDING THE ESTIMATE AND RISK ASSESSMENT PROCEDURES</t>
        </is>
      </c>
      <c r="T4" s="125" t="n"/>
    </row>
    <row r="5" ht="15" customHeight="1">
      <c r="B5" s="19" t="n"/>
      <c r="C5" s="19" t="n"/>
      <c r="D5" s="19" t="n"/>
      <c r="E5" s="19" t="n"/>
      <c r="F5" s="19" t="n"/>
      <c r="G5" s="19" t="n"/>
      <c r="H5" s="19" t="n"/>
      <c r="I5" s="19" t="n"/>
      <c r="J5" s="19" t="n"/>
      <c r="K5" s="19" t="n"/>
      <c r="L5" s="19" t="n"/>
      <c r="M5" s="19" t="n"/>
      <c r="N5" s="19" t="n"/>
      <c r="O5" s="19" t="n"/>
      <c r="P5" s="19" t="n"/>
      <c r="Q5" s="19" t="n"/>
      <c r="T5" s="90" t="n"/>
    </row>
    <row r="6" ht="21" customHeight="1">
      <c r="B6" s="19" t="n"/>
      <c r="C6" s="117" t="inlineStr">
        <is>
          <t>Obtaining an understanding of the entity and it's environment and the applicable financial reporting framework</t>
        </is>
      </c>
      <c r="D6" s="32" t="n"/>
      <c r="E6" s="32" t="n"/>
      <c r="F6" s="32" t="n"/>
      <c r="G6" s="32" t="n"/>
      <c r="H6" s="32" t="n"/>
      <c r="I6" s="32" t="n"/>
      <c r="J6" s="32" t="n"/>
      <c r="K6" s="32" t="n"/>
      <c r="L6" s="32" t="n"/>
      <c r="M6" s="32" t="n"/>
      <c r="N6" s="32" t="n"/>
      <c r="O6" s="32" t="n"/>
      <c r="P6" s="32" t="n"/>
      <c r="Q6" s="19" t="n"/>
      <c r="R6" s="12" t="n"/>
      <c r="S6" s="12" t="n"/>
      <c r="T6" s="95" t="inlineStr">
        <is>
          <t>406.1</t>
        </is>
      </c>
      <c r="U6" s="12" t="n"/>
    </row>
    <row r="7" ht="15" customHeight="1">
      <c r="B7" s="19" t="n"/>
      <c r="C7" s="67" t="inlineStr">
        <is>
          <t>Entity's transactions and other events and conditions relevant to the specific accounting estimate [ISA (revised) 540.13a]</t>
        </is>
      </c>
      <c r="D7" s="68" t="n"/>
      <c r="E7" s="68" t="n"/>
      <c r="F7" s="68" t="n"/>
      <c r="G7" s="68" t="n"/>
      <c r="H7" s="68" t="n"/>
      <c r="I7" s="68" t="n"/>
      <c r="J7" s="68" t="n"/>
      <c r="K7" s="68" t="n"/>
      <c r="L7" s="68" t="n"/>
      <c r="M7" s="68" t="n"/>
      <c r="N7" s="68" t="n"/>
      <c r="O7" s="68" t="n"/>
      <c r="P7" s="68" t="n"/>
      <c r="Q7" s="19" t="n"/>
      <c r="T7" s="90" t="inlineStr">
        <is>
          <t>406.1.1</t>
        </is>
      </c>
    </row>
    <row r="8" ht="15.75" customHeight="1">
      <c r="B8" s="19" t="n"/>
      <c r="C8" s="363" t="inlineStr">
        <is>
          <t>In order to obtain an understanding of the nature of the accounting estimate and related disclosures we expect to be included in the entities financial statements, we need to obtain an understanding of the entity's transactions and other events or conditions that may give rise for the need for, or changes in, accounting estimates to be recognised or disclosed in the financial statements. This could include:</t>
        </is>
      </c>
      <c r="Q8" s="19" t="n"/>
      <c r="R8" s="21" t="n"/>
      <c r="S8" s="21" t="n"/>
      <c r="T8" s="91" t="inlineStr">
        <is>
          <t>406.1.4</t>
        </is>
      </c>
      <c r="U8" s="21" t="n"/>
    </row>
    <row r="9">
      <c r="B9" s="19" t="n"/>
      <c r="Q9" s="19" t="n"/>
      <c r="R9" s="21" t="n"/>
      <c r="S9" s="21" t="n"/>
      <c r="T9" s="91" t="n"/>
      <c r="U9" s="21" t="n"/>
    </row>
    <row r="10">
      <c r="B10" s="19" t="n"/>
      <c r="C10" s="45" t="n"/>
      <c r="D10" s="45" t="inlineStr">
        <is>
          <t xml:space="preserve"> - Where the entity has engaged in new types of transactions;</t>
        </is>
      </c>
      <c r="E10" s="363" t="n"/>
      <c r="F10" s="363" t="n"/>
      <c r="G10" s="363" t="n"/>
      <c r="H10" s="363" t="n"/>
      <c r="I10" s="363" t="n"/>
      <c r="J10" s="363" t="n"/>
      <c r="K10" s="363" t="n"/>
      <c r="L10" s="363" t="n"/>
      <c r="M10" s="363" t="n"/>
      <c r="N10" s="363" t="n"/>
      <c r="O10" s="363" t="n"/>
      <c r="P10" s="363" t="n"/>
      <c r="Q10" s="19" t="n"/>
      <c r="R10" s="21" t="n"/>
      <c r="S10" s="21" t="n"/>
      <c r="T10" s="91" t="n"/>
      <c r="U10" s="21" t="n"/>
    </row>
    <row r="11">
      <c r="B11" s="104" t="n"/>
      <c r="C11" s="45" t="n"/>
      <c r="D11" s="45" t="inlineStr">
        <is>
          <t xml:space="preserve"> - Where the terms of transactions have changed; or</t>
        </is>
      </c>
      <c r="E11" s="45" t="n"/>
      <c r="F11" s="45" t="n"/>
      <c r="G11" s="45" t="n"/>
      <c r="H11" s="45" t="n"/>
      <c r="I11" s="45" t="n"/>
      <c r="J11" s="45" t="n"/>
      <c r="K11" s="45" t="n"/>
      <c r="L11" s="45" t="n"/>
      <c r="M11" s="45" t="n"/>
      <c r="N11" s="45" t="n"/>
      <c r="O11" s="45" t="n"/>
      <c r="P11" s="45" t="n"/>
      <c r="Q11" s="19" t="n"/>
      <c r="R11" s="21" t="n"/>
      <c r="S11" s="21" t="n"/>
      <c r="T11" s="91" t="n"/>
      <c r="U11" s="21" t="n"/>
      <c r="X11" s="26" t="n"/>
    </row>
    <row r="12" ht="15" customHeight="1">
      <c r="B12" s="104" t="n"/>
      <c r="C12" s="45" t="n"/>
      <c r="D12" s="45" t="inlineStr">
        <is>
          <t xml:space="preserve"> - Where new events or conditions have occurred</t>
        </is>
      </c>
      <c r="E12" s="45" t="n"/>
      <c r="F12" s="45" t="n"/>
      <c r="G12" s="45" t="n"/>
      <c r="H12" s="45" t="n"/>
      <c r="I12" s="45" t="n"/>
      <c r="J12" s="45" t="n"/>
      <c r="K12" s="45" t="n"/>
      <c r="L12" s="45" t="n"/>
      <c r="M12" s="45" t="n"/>
      <c r="N12" s="45" t="n"/>
      <c r="O12" s="45" t="n"/>
      <c r="P12" s="45" t="n"/>
      <c r="Q12" s="19" t="n"/>
      <c r="T12" s="90" t="n"/>
    </row>
    <row r="13" ht="15" customHeight="1">
      <c r="B13" s="104" t="n"/>
      <c r="C13" s="370" t="inlineStr">
        <is>
          <t>Requirements of the applicable financial reporting framework [ISA (revised) 540.13b]</t>
        </is>
      </c>
      <c r="D13" s="68" t="n"/>
      <c r="E13" s="68" t="n"/>
      <c r="F13" s="68" t="n"/>
      <c r="G13" s="68" t="n"/>
      <c r="H13" s="68" t="n"/>
      <c r="I13" s="68" t="n"/>
      <c r="J13" s="68" t="n"/>
      <c r="K13" s="68" t="n"/>
      <c r="L13" s="68" t="n"/>
      <c r="M13" s="68" t="n"/>
      <c r="N13" s="68" t="n"/>
      <c r="O13" s="68" t="n"/>
      <c r="P13" s="68" t="n"/>
      <c r="Q13" s="19" t="n"/>
      <c r="T13" s="90" t="inlineStr">
        <is>
          <t>406.1.2</t>
        </is>
      </c>
    </row>
    <row r="14" ht="15" customHeight="1">
      <c r="B14" s="19" t="n"/>
      <c r="C14" s="363" t="inlineStr">
        <is>
          <t>In order to obtain an understanding of the nature of the accounting estimate and related disclosures we expect to be included in the entities financial statements, we need to obtain an understanding of the requirements or changes in the requirements of the applicable financial reporting framework as this assists us in determining whether it, for example:</t>
        </is>
      </c>
      <c r="Q14" s="19" t="n"/>
      <c r="R14" s="6" t="n"/>
      <c r="S14" s="6" t="n"/>
      <c r="T14" s="91" t="inlineStr">
        <is>
          <t>406.1.4</t>
        </is>
      </c>
      <c r="U14" s="6" t="n"/>
    </row>
    <row r="15">
      <c r="B15" s="19" t="n"/>
      <c r="Q15" s="19" t="n"/>
      <c r="R15" s="6" t="n"/>
      <c r="S15" s="6" t="n"/>
      <c r="T15" s="92" t="n"/>
      <c r="U15" s="6" t="n"/>
    </row>
    <row r="16" ht="15" customHeight="1">
      <c r="B16" s="19" t="n"/>
      <c r="C16" s="45" t="n"/>
      <c r="D16" s="45" t="inlineStr">
        <is>
          <t>- prescribes certain conditions for the recognition, or methods for the measurement, of accounting estimates</t>
        </is>
      </c>
      <c r="E16" s="45" t="n"/>
      <c r="F16" s="45" t="n"/>
      <c r="G16" s="45" t="n"/>
      <c r="H16" s="45" t="n"/>
      <c r="I16" s="45" t="n"/>
      <c r="J16" s="45" t="n"/>
      <c r="K16" s="45" t="n"/>
      <c r="L16" s="45" t="n"/>
      <c r="M16" s="45" t="n"/>
      <c r="N16" s="45" t="n"/>
      <c r="O16" s="45" t="n"/>
      <c r="P16" s="45" t="n"/>
      <c r="Q16" s="19" t="n"/>
      <c r="R16" s="6" t="n"/>
      <c r="S16" s="6" t="n"/>
      <c r="T16" s="92" t="n"/>
      <c r="U16" s="6" t="n"/>
    </row>
    <row r="17" ht="15" customHeight="1">
      <c r="B17" s="19" t="n"/>
      <c r="C17" s="47" t="n"/>
      <c r="D17" s="371" t="inlineStr">
        <is>
          <t>- specifies certain conditions that permit or require measurement at a fair value, for example, by referring to management's intentions to carry out certain courses of actions with respect to an asset or liability</t>
        </is>
      </c>
      <c r="Q17" s="19" t="n"/>
      <c r="R17" s="6" t="n"/>
      <c r="S17" s="6" t="n"/>
      <c r="T17" s="92" t="n"/>
      <c r="U17" s="6" t="n"/>
    </row>
    <row r="18" ht="15" customHeight="1">
      <c r="B18" s="19" t="n"/>
      <c r="C18" s="47" t="n"/>
      <c r="Q18" s="19" t="n"/>
      <c r="R18" s="6" t="n"/>
      <c r="S18" s="6" t="n"/>
      <c r="T18" s="92" t="n"/>
      <c r="U18" s="6" t="n"/>
    </row>
    <row r="19" ht="24.75" customHeight="1">
      <c r="B19" s="19" t="n"/>
      <c r="C19" s="105" t="n"/>
      <c r="D19" s="371" t="inlineStr">
        <is>
          <t>- specifies required or suggested disclosures, including disclosures concerning judgements, assumptions or other sources of estimation uncertainty relating to accounting estimates</t>
        </is>
      </c>
      <c r="Q19" s="19" t="n"/>
      <c r="R19" s="6" t="n"/>
      <c r="S19" s="6" t="n"/>
      <c r="T19" s="92" t="n"/>
      <c r="U19" s="6" t="n"/>
    </row>
    <row r="20" ht="15.75" customHeight="1">
      <c r="B20" s="19" t="n"/>
      <c r="C20" s="370" t="inlineStr">
        <is>
          <t>Regulatory factors [ISA 540 (revised) 540.13c]</t>
        </is>
      </c>
      <c r="D20" s="68" t="n"/>
      <c r="E20" s="68" t="n"/>
      <c r="F20" s="68" t="n"/>
      <c r="G20" s="68" t="n"/>
      <c r="H20" s="68" t="n"/>
      <c r="I20" s="68" t="n"/>
      <c r="J20" s="68" t="n"/>
      <c r="K20" s="68" t="n"/>
      <c r="L20" s="68" t="n"/>
      <c r="M20" s="68" t="n"/>
      <c r="N20" s="68" t="n"/>
      <c r="O20" s="68" t="n"/>
      <c r="P20" s="68" t="n"/>
      <c r="Q20" s="106" t="n"/>
      <c r="R20" s="7" t="n"/>
      <c r="S20" s="7" t="n"/>
      <c r="T20" s="90" t="inlineStr">
        <is>
          <t>406.1.3</t>
        </is>
      </c>
      <c r="U20" s="7" t="n"/>
    </row>
    <row r="21" ht="15" customHeight="1">
      <c r="B21" s="19" t="n"/>
      <c r="C21" s="363" t="inlineStr">
        <is>
          <t>In order to obtain an understanding of the nature of the accounting estimate and related disclosures we expect to be included in the entities financial statements, we need to obtain an understanding of regulatory factors , if any, that are relevant to accounting estimates. Doing so will help us determine if the regulatory framework:</t>
        </is>
      </c>
      <c r="Q21" s="19" t="n"/>
      <c r="T21" s="91" t="inlineStr">
        <is>
          <t>406.1.4</t>
        </is>
      </c>
    </row>
    <row r="22">
      <c r="B22" s="19" t="n"/>
      <c r="Q22" s="19" t="n"/>
      <c r="R22" s="6" t="n"/>
      <c r="S22" s="6" t="n"/>
      <c r="T22" s="92" t="n"/>
      <c r="U22" s="6" t="n"/>
    </row>
    <row r="23">
      <c r="B23" s="19" t="n"/>
      <c r="C23" s="45" t="n"/>
      <c r="D23" s="45" t="inlineStr">
        <is>
          <t xml:space="preserve"> - addresses conditions for the recognitions, or methods for the measurement, of accounting estimate, or provides related guidance thereon;</t>
        </is>
      </c>
      <c r="E23" s="45" t="n"/>
      <c r="F23" s="45" t="n"/>
      <c r="G23" s="45" t="n"/>
      <c r="H23" s="45" t="n"/>
      <c r="I23" s="45" t="n"/>
      <c r="J23" s="45" t="n"/>
      <c r="K23" s="45" t="n"/>
      <c r="L23" s="45" t="n"/>
      <c r="M23" s="45" t="n"/>
      <c r="N23" s="45" t="n"/>
      <c r="O23" s="45" t="n"/>
      <c r="P23" s="45" t="n"/>
      <c r="Q23" s="19" t="n"/>
      <c r="R23" s="6" t="n"/>
      <c r="S23" s="6" t="n"/>
      <c r="T23" s="92" t="n"/>
      <c r="U23" s="6" t="n"/>
    </row>
    <row r="24">
      <c r="B24" s="19" t="n"/>
      <c r="C24" s="45" t="n"/>
      <c r="D24" s="47" t="inlineStr">
        <is>
          <t xml:space="preserve"> - Specifies, or provides guidance about, disclosures in addition to the requirements of the applicable financial reporting framework;</t>
        </is>
      </c>
      <c r="E24" s="45" t="n"/>
      <c r="F24" s="45" t="n"/>
      <c r="G24" s="45" t="n"/>
      <c r="H24" s="45" t="n"/>
      <c r="I24" s="45" t="n"/>
      <c r="J24" s="45" t="n"/>
      <c r="K24" s="45" t="n"/>
      <c r="L24" s="45" t="n"/>
      <c r="M24" s="45" t="n"/>
      <c r="N24" s="45" t="n"/>
      <c r="O24" s="45" t="n"/>
      <c r="P24" s="45" t="n"/>
      <c r="Q24" s="19" t="n"/>
      <c r="R24" s="6" t="n"/>
      <c r="S24" s="6" t="n"/>
      <c r="T24" s="92" t="n"/>
      <c r="U24" s="6" t="n"/>
    </row>
    <row r="25">
      <c r="B25" s="19" t="n"/>
      <c r="C25" s="45" t="n"/>
      <c r="D25" s="45" t="inlineStr">
        <is>
          <t xml:space="preserve"> - Provides an indication of areas of which there may be a potential for management bias to meet regulatory requirements; or</t>
        </is>
      </c>
      <c r="E25" s="45" t="n"/>
      <c r="F25" s="45" t="n"/>
      <c r="G25" s="45" t="n"/>
      <c r="H25" s="45" t="n"/>
      <c r="I25" s="45" t="n"/>
      <c r="J25" s="45" t="n"/>
      <c r="K25" s="45" t="n"/>
      <c r="L25" s="45" t="n"/>
      <c r="M25" s="45" t="n"/>
      <c r="N25" s="45" t="n"/>
      <c r="O25" s="45" t="n"/>
      <c r="P25" s="45" t="n"/>
      <c r="Q25" s="19" t="n"/>
      <c r="R25" s="6" t="n"/>
      <c r="S25" s="6" t="n"/>
      <c r="T25" s="92" t="n"/>
      <c r="U25" s="6" t="n"/>
    </row>
    <row r="26" ht="15" customHeight="1">
      <c r="B26" s="19" t="n"/>
      <c r="C26" s="45" t="n"/>
      <c r="D26" s="371" t="inlineStr">
        <is>
          <t xml:space="preserve"> - Contains requirements for regulatory purposes that are not consistent with requirements of the applicable financial reporting framework, which may indicate potential risks of material misstatement. </t>
        </is>
      </c>
      <c r="Q26" s="19" t="n"/>
      <c r="R26" s="6" t="n"/>
      <c r="S26" s="6" t="n"/>
      <c r="T26" s="92" t="n"/>
      <c r="U26" s="6" t="n"/>
    </row>
    <row r="27">
      <c r="B27" s="19" t="n"/>
      <c r="C27" s="45" t="n"/>
      <c r="Q27" s="19" t="n"/>
      <c r="R27" s="6" t="n"/>
      <c r="S27" s="6" t="n"/>
      <c r="T27" s="92" t="n"/>
      <c r="U27" s="6" t="n"/>
    </row>
    <row r="28">
      <c r="B28" s="19" t="n"/>
      <c r="C28" s="19" t="n"/>
      <c r="D28" s="19" t="n"/>
      <c r="E28" s="19" t="n"/>
      <c r="F28" s="19" t="n"/>
      <c r="G28" s="19" t="n"/>
      <c r="H28" s="19" t="n"/>
      <c r="I28" s="19" t="n"/>
      <c r="J28" s="19" t="n"/>
      <c r="K28" s="19" t="n"/>
      <c r="L28" s="19" t="n"/>
      <c r="M28" s="19" t="n"/>
      <c r="N28" s="19" t="n"/>
      <c r="O28" s="19" t="n"/>
      <c r="P28" s="19" t="n"/>
      <c r="Q28" s="19" t="n"/>
      <c r="R28" s="6" t="n"/>
      <c r="S28" s="6" t="n"/>
      <c r="T28" s="92" t="n"/>
      <c r="U28" s="6" t="n"/>
    </row>
    <row r="29" ht="21" customHeight="1">
      <c r="B29" s="19" t="n"/>
      <c r="C29" s="117" t="inlineStr">
        <is>
          <t>Obtaining an Understanding the entity's system of internal control</t>
        </is>
      </c>
      <c r="D29" s="32" t="n"/>
      <c r="E29" s="32" t="n"/>
      <c r="F29" s="32" t="n"/>
      <c r="G29" s="32" t="n"/>
      <c r="H29" s="32" t="n"/>
      <c r="I29" s="32" t="n"/>
      <c r="J29" s="32" t="n"/>
      <c r="K29" s="32" t="n"/>
      <c r="L29" s="32" t="n"/>
      <c r="M29" s="32" t="n"/>
      <c r="N29" s="32" t="n"/>
      <c r="O29" s="32" t="n"/>
      <c r="P29" s="32" t="n"/>
      <c r="Q29" s="19" t="n"/>
      <c r="R29" s="12" t="n"/>
      <c r="S29" s="12" t="n"/>
      <c r="T29" s="95" t="inlineStr">
        <is>
          <t>406.2</t>
        </is>
      </c>
      <c r="U29" s="12" t="n"/>
    </row>
    <row r="30" ht="15.75" customHeight="1">
      <c r="B30" s="19" t="n"/>
      <c r="C30" s="370" t="inlineStr">
        <is>
          <t>Nature and extent of oversight and governance [ISA(revised) 540.13e]</t>
        </is>
      </c>
      <c r="D30" s="68" t="n"/>
      <c r="E30" s="68" t="n"/>
      <c r="F30" s="68" t="n"/>
      <c r="G30" s="68" t="n"/>
      <c r="H30" s="68" t="n"/>
      <c r="I30" s="68" t="n"/>
      <c r="J30" s="68" t="n"/>
      <c r="K30" s="68" t="n"/>
      <c r="L30" s="68" t="n"/>
      <c r="M30" s="68" t="n"/>
      <c r="N30" s="68" t="n"/>
      <c r="O30" s="68" t="n"/>
      <c r="P30" s="68" t="n"/>
      <c r="Q30" s="19" t="n"/>
      <c r="R30" s="7" t="n"/>
      <c r="S30" s="7" t="n"/>
      <c r="T30" s="90" t="inlineStr">
        <is>
          <t>406.2.1</t>
        </is>
      </c>
      <c r="U30" s="7" t="n"/>
    </row>
    <row r="31" ht="15" customHeight="1">
      <c r="B31" s="19" t="n"/>
      <c r="C31" s="45" t="inlineStr">
        <is>
          <t>We need to understand if those charged with governance:</t>
        </is>
      </c>
      <c r="D31" s="48" t="n"/>
      <c r="E31" s="48" t="n"/>
      <c r="F31" s="48" t="n"/>
      <c r="G31" s="48" t="n"/>
      <c r="H31" s="48" t="n"/>
      <c r="I31" s="48" t="n"/>
      <c r="J31" s="48" t="n"/>
      <c r="K31" s="48" t="n"/>
      <c r="L31" s="48" t="n"/>
      <c r="M31" s="48" t="n"/>
      <c r="N31" s="48" t="n"/>
      <c r="O31" s="48" t="n"/>
      <c r="P31" s="48" t="n"/>
      <c r="Q31" s="19" t="n"/>
      <c r="R31" s="7" t="n"/>
      <c r="S31" s="7" t="n"/>
      <c r="T31" s="93" t="n"/>
      <c r="U31" s="7" t="n"/>
    </row>
    <row r="32" ht="15" customHeight="1">
      <c r="B32" s="19" t="n"/>
      <c r="C32" s="48" t="n"/>
      <c r="D32" s="371" t="inlineStr">
        <is>
          <t xml:space="preserve"> - Have the skills or knowledge to understand the characteristics of a particular method or model to make accounting estimates, or the risks related to the accounting estimate;</t>
        </is>
      </c>
      <c r="Q32" s="19" t="n"/>
      <c r="R32" s="7" t="n"/>
      <c r="S32" s="7" t="n"/>
      <c r="T32" s="93" t="n"/>
      <c r="U32" s="7" t="n"/>
    </row>
    <row r="33">
      <c r="B33" s="19" t="n"/>
      <c r="C33" s="48" t="n"/>
      <c r="Q33" s="19" t="n"/>
      <c r="R33" s="7" t="n"/>
      <c r="S33" s="7" t="n"/>
      <c r="T33" s="93" t="n"/>
      <c r="U33" s="7" t="n"/>
    </row>
    <row r="34">
      <c r="B34" s="19" t="n"/>
      <c r="C34" s="48" t="n"/>
      <c r="D34" s="45" t="inlineStr">
        <is>
          <t xml:space="preserve"> - Have the skills and knowledge to understand whether management made the accounting estimates in accordance with the applicable financial reporting framework;</t>
        </is>
      </c>
      <c r="E34" s="48" t="n"/>
      <c r="F34" s="48" t="n"/>
      <c r="G34" s="48" t="n"/>
      <c r="H34" s="48" t="n"/>
      <c r="I34" s="48" t="n"/>
      <c r="J34" s="48" t="n"/>
      <c r="K34" s="48" t="n"/>
      <c r="L34" s="48" t="n"/>
      <c r="M34" s="48" t="n"/>
      <c r="N34" s="48" t="n"/>
      <c r="O34" s="48" t="n"/>
      <c r="P34" s="48" t="n"/>
      <c r="Q34" s="19" t="n"/>
      <c r="R34" s="7" t="n"/>
      <c r="S34" s="7" t="n"/>
      <c r="T34" s="93" t="n"/>
      <c r="U34" s="7" t="n"/>
    </row>
    <row r="35" ht="15" customHeight="1">
      <c r="B35" s="19" t="n"/>
      <c r="C35" s="48" t="n"/>
      <c r="D35" s="363" t="inlineStr">
        <is>
          <t xml:space="preserve"> - Are independent from management, have the information required to evaluate on a timely basis how management made the accounting estimates, and the authority to call into questions management's actions when those actions appear to be inadequate or inappropriate;</t>
        </is>
      </c>
      <c r="Q35" s="19" t="n"/>
      <c r="R35" s="7" t="n"/>
      <c r="S35" s="7" t="n"/>
      <c r="T35" s="93" t="n"/>
      <c r="U35" s="7" t="n"/>
    </row>
    <row r="36">
      <c r="B36" s="19" t="n"/>
      <c r="C36" s="48" t="n"/>
      <c r="Q36" s="19" t="n"/>
      <c r="R36" s="7" t="n"/>
      <c r="S36" s="7" t="n"/>
      <c r="T36" s="93" t="n"/>
      <c r="U36" s="7" t="n"/>
    </row>
    <row r="37">
      <c r="B37" s="19" t="n"/>
      <c r="C37" s="48" t="n"/>
      <c r="D37" s="45" t="inlineStr">
        <is>
          <t xml:space="preserve"> - Oversee management's process for making the accounting estimates, including the use of models; and</t>
        </is>
      </c>
      <c r="E37" s="48" t="n"/>
      <c r="F37" s="48" t="n"/>
      <c r="G37" s="48" t="n"/>
      <c r="H37" s="48" t="n"/>
      <c r="I37" s="48" t="n"/>
      <c r="J37" s="48" t="n"/>
      <c r="K37" s="48" t="n"/>
      <c r="L37" s="48" t="n"/>
      <c r="M37" s="48" t="n"/>
      <c r="N37" s="48" t="n"/>
      <c r="O37" s="48" t="n"/>
      <c r="P37" s="48" t="n"/>
      <c r="Q37" s="19" t="n"/>
      <c r="R37" s="6" t="n"/>
      <c r="S37" s="6" t="n"/>
      <c r="T37" s="92" t="n"/>
      <c r="U37" s="6" t="n"/>
    </row>
    <row r="38" ht="15" customHeight="1">
      <c r="B38" s="19" t="n"/>
      <c r="C38" s="48" t="n"/>
      <c r="D38" s="363" t="inlineStr">
        <is>
          <t xml:space="preserve"> - Oversee the monitoring activities undertaken by management. This may include supervision and review procedures designed to detect and correct any deficiencies in the design or operating effectiveness of controls over the accounting estimates.</t>
        </is>
      </c>
      <c r="Q38" s="19" t="n"/>
      <c r="R38" s="6" t="n"/>
      <c r="S38" s="6" t="n"/>
      <c r="T38" s="92" t="n"/>
      <c r="U38" s="6" t="n"/>
    </row>
    <row r="39">
      <c r="B39" s="19" t="n"/>
      <c r="C39" s="48" t="n"/>
      <c r="Q39" s="19" t="n"/>
      <c r="R39" s="6" t="n"/>
      <c r="S39" s="6" t="n"/>
      <c r="T39" s="92" t="n"/>
      <c r="U39" s="6" t="n"/>
    </row>
    <row r="40" ht="15.75" customHeight="1">
      <c r="B40" s="19" t="n"/>
      <c r="C40" s="370" t="inlineStr">
        <is>
          <t>Risk assessment processes [ISA(revised) 540.13g]</t>
        </is>
      </c>
      <c r="D40" s="68" t="n"/>
      <c r="E40" s="68" t="n"/>
      <c r="F40" s="68" t="n"/>
      <c r="G40" s="68" t="n"/>
      <c r="H40" s="68" t="n"/>
      <c r="I40" s="68" t="n"/>
      <c r="J40" s="68" t="n"/>
      <c r="K40" s="68" t="n"/>
      <c r="L40" s="68" t="n"/>
      <c r="M40" s="68" t="n"/>
      <c r="N40" s="68" t="n"/>
      <c r="O40" s="68" t="n"/>
      <c r="P40" s="68" t="n"/>
      <c r="Q40" s="19" t="n"/>
      <c r="R40" s="7" t="n"/>
      <c r="S40" s="7" t="n"/>
      <c r="T40" s="90" t="inlineStr">
        <is>
          <t>406.2.3</t>
        </is>
      </c>
      <c r="U40" s="7" t="n"/>
    </row>
    <row r="41" ht="15" customHeight="1">
      <c r="B41" s="19" t="n"/>
      <c r="C41" s="363" t="inlineStr">
        <is>
          <t>We need to understand how management's risk assessment processes identify and address risks associated with accounting estimates. This should also cover how management identify and assess the susceptibility of misstatement due to management bias or fraud in making accounting estimates. This could include, how management:</t>
        </is>
      </c>
      <c r="Q41" s="19" t="n"/>
      <c r="R41" s="6" t="n"/>
      <c r="S41" s="6" t="n"/>
      <c r="T41" s="92" t="n"/>
      <c r="U41" s="6" t="n"/>
    </row>
    <row r="42">
      <c r="B42" s="19" t="n"/>
      <c r="Q42" s="19" t="n"/>
      <c r="R42" s="6" t="n"/>
      <c r="S42" s="6" t="n"/>
      <c r="T42" s="92" t="n"/>
      <c r="U42" s="6" t="n"/>
    </row>
    <row r="43">
      <c r="B43" s="19" t="n"/>
      <c r="C43" s="48" t="n"/>
      <c r="D43" s="45" t="inlineStr">
        <is>
          <t xml:space="preserve"> - Pays particular attention to selecting or applying the methods, assumptions and data used in making accounting estimates.</t>
        </is>
      </c>
      <c r="E43" s="45" t="n"/>
      <c r="F43" s="45" t="n"/>
      <c r="G43" s="45" t="n"/>
      <c r="H43" s="45" t="n"/>
      <c r="I43" s="45" t="n"/>
      <c r="J43" s="45" t="n"/>
      <c r="K43" s="45" t="n"/>
      <c r="L43" s="45" t="n"/>
      <c r="M43" s="45" t="n"/>
      <c r="N43" s="45" t="n"/>
      <c r="O43" s="45" t="n"/>
      <c r="P43" s="45" t="n"/>
      <c r="Q43" s="19" t="n"/>
      <c r="R43" s="6" t="n"/>
      <c r="S43" s="6" t="n"/>
      <c r="T43" s="92" t="n"/>
      <c r="U43" s="6" t="n"/>
    </row>
    <row r="44" ht="15" customHeight="1">
      <c r="B44" s="19" t="n"/>
      <c r="C44" s="48" t="n"/>
      <c r="D44" s="363" t="inlineStr">
        <is>
          <t xml:space="preserve"> - Monitors key performance indicators that may indicate unexpected or inconsistent performance compared with historical or budgeted performance or with other known factors. </t>
        </is>
      </c>
      <c r="Q44" s="19" t="n"/>
      <c r="R44" s="6" t="n"/>
      <c r="S44" s="6" t="n"/>
      <c r="T44" s="92" t="n"/>
      <c r="U44" s="6" t="n"/>
    </row>
    <row r="45">
      <c r="B45" s="19" t="n"/>
      <c r="C45" s="48" t="n"/>
      <c r="Q45" s="19" t="n"/>
      <c r="R45" s="6" t="n"/>
      <c r="S45" s="6" t="n"/>
      <c r="T45" s="92" t="n"/>
      <c r="U45" s="6" t="n"/>
    </row>
    <row r="46">
      <c r="B46" s="19" t="n"/>
      <c r="C46" s="48" t="n"/>
      <c r="D46" s="45" t="inlineStr">
        <is>
          <t xml:space="preserve"> - identified financial or other incentives that may be a motivation for bias. </t>
        </is>
      </c>
      <c r="E46" s="45" t="n"/>
      <c r="F46" s="45" t="n"/>
      <c r="G46" s="45" t="n"/>
      <c r="H46" s="45" t="n"/>
      <c r="I46" s="45" t="n"/>
      <c r="J46" s="45" t="n"/>
      <c r="K46" s="45" t="n"/>
      <c r="L46" s="45" t="n"/>
      <c r="M46" s="45" t="n"/>
      <c r="N46" s="45" t="n"/>
      <c r="O46" s="45" t="n"/>
      <c r="P46" s="45" t="n"/>
      <c r="Q46" s="19" t="n"/>
      <c r="R46" s="6" t="n"/>
      <c r="S46" s="6" t="n"/>
      <c r="T46" s="92" t="n"/>
      <c r="U46" s="6" t="n"/>
    </row>
    <row r="47">
      <c r="B47" s="19" t="n"/>
      <c r="C47" s="48" t="n"/>
      <c r="D47" s="45" t="inlineStr">
        <is>
          <t xml:space="preserve"> - Monitors the needs for changes in the methods, significant assumptions or the data used in making accounting estimates. </t>
        </is>
      </c>
      <c r="E47" s="45" t="n"/>
      <c r="F47" s="45" t="n"/>
      <c r="G47" s="45" t="n"/>
      <c r="H47" s="45" t="n"/>
      <c r="I47" s="45" t="n"/>
      <c r="J47" s="45" t="n"/>
      <c r="K47" s="45" t="n"/>
      <c r="L47" s="45" t="n"/>
      <c r="M47" s="45" t="n"/>
      <c r="N47" s="45" t="n"/>
      <c r="O47" s="45" t="n"/>
      <c r="P47" s="45" t="n"/>
      <c r="Q47" s="19" t="n"/>
      <c r="R47" s="6" t="n"/>
      <c r="S47" s="6" t="n"/>
      <c r="T47" s="92" t="n"/>
      <c r="U47" s="6" t="n"/>
    </row>
    <row r="48">
      <c r="B48" s="19" t="n"/>
      <c r="C48" s="48" t="n"/>
      <c r="D48" s="45" t="inlineStr">
        <is>
          <t xml:space="preserve"> - Establishes appropriate oversight and review of models used in making accounting estimates. </t>
        </is>
      </c>
      <c r="E48" s="45" t="n"/>
      <c r="F48" s="45" t="n"/>
      <c r="G48" s="45" t="n"/>
      <c r="H48" s="45" t="n"/>
      <c r="I48" s="45" t="n"/>
      <c r="J48" s="45" t="n"/>
      <c r="K48" s="45" t="n"/>
      <c r="L48" s="45" t="n"/>
      <c r="M48" s="45" t="n"/>
      <c r="N48" s="45" t="n"/>
      <c r="O48" s="45" t="n"/>
      <c r="P48" s="45" t="n"/>
      <c r="Q48" s="19" t="n"/>
      <c r="R48" s="6" t="n"/>
      <c r="S48" s="6" t="n"/>
      <c r="T48" s="92" t="n"/>
      <c r="U48" s="6" t="n"/>
    </row>
    <row r="49">
      <c r="B49" s="19" t="n"/>
      <c r="C49" s="48" t="n"/>
      <c r="D49" s="45" t="inlineStr">
        <is>
          <t xml:space="preserve"> - Requires documentation of the rationale for, or an independent review of, significant judgements made in making accounting estimates. </t>
        </is>
      </c>
      <c r="E49" s="45" t="n"/>
      <c r="F49" s="45" t="n"/>
      <c r="G49" s="45" t="n"/>
      <c r="H49" s="45" t="n"/>
      <c r="I49" s="45" t="n"/>
      <c r="J49" s="45" t="n"/>
      <c r="K49" s="45" t="n"/>
      <c r="L49" s="45" t="n"/>
      <c r="M49" s="45" t="n"/>
      <c r="N49" s="45" t="n"/>
      <c r="O49" s="45" t="n"/>
      <c r="P49" s="45" t="n"/>
      <c r="Q49" s="19" t="n"/>
      <c r="R49" s="6" t="n"/>
      <c r="S49" s="6" t="n"/>
      <c r="T49" s="92" t="n"/>
      <c r="U49" s="6" t="n"/>
    </row>
    <row r="50" ht="15.75" customHeight="1">
      <c r="B50" s="19" t="n"/>
      <c r="C50" s="370" t="inlineStr">
        <is>
          <t>Control activities [ISA(revised) 540.13i]</t>
        </is>
      </c>
      <c r="D50" s="68" t="n"/>
      <c r="E50" s="68" t="n"/>
      <c r="F50" s="68" t="n"/>
      <c r="G50" s="68" t="n"/>
      <c r="H50" s="68" t="n"/>
      <c r="I50" s="68" t="n"/>
      <c r="J50" s="68" t="n"/>
      <c r="K50" s="68" t="n"/>
      <c r="L50" s="68" t="n"/>
      <c r="M50" s="68" t="n"/>
      <c r="N50" s="68" t="n"/>
      <c r="O50" s="68" t="n"/>
      <c r="P50" s="68" t="n"/>
      <c r="Q50" s="19" t="n"/>
      <c r="R50" s="7" t="n"/>
      <c r="S50" s="7" t="n"/>
      <c r="T50" s="93" t="inlineStr">
        <is>
          <t>406.2.6</t>
        </is>
      </c>
      <c r="U50" s="7" t="n"/>
    </row>
    <row r="51" ht="15" customHeight="1">
      <c r="B51" s="19" t="n"/>
      <c r="C51" s="45" t="inlineStr">
        <is>
          <t>We need to identify the controls and evaluate their design and determine whether they have been implemented. We may consider:</t>
        </is>
      </c>
      <c r="D51" s="45" t="n"/>
      <c r="E51" s="45" t="n"/>
      <c r="F51" s="45" t="n"/>
      <c r="G51" s="45" t="n"/>
      <c r="H51" s="45" t="n"/>
      <c r="I51" s="45" t="n"/>
      <c r="J51" s="45" t="n"/>
      <c r="K51" s="45" t="n"/>
      <c r="L51" s="45" t="n"/>
      <c r="M51" s="45" t="n"/>
      <c r="N51" s="45" t="n"/>
      <c r="O51" s="45" t="n"/>
      <c r="P51" s="48" t="n"/>
      <c r="Q51" s="19" t="n"/>
      <c r="R51" s="6" t="n"/>
      <c r="S51" s="6" t="n"/>
      <c r="T51" s="92" t="n"/>
      <c r="U51" s="6" t="n"/>
    </row>
    <row r="52">
      <c r="B52" s="19" t="n"/>
      <c r="C52" s="45" t="n"/>
      <c r="D52" s="45" t="inlineStr">
        <is>
          <t xml:space="preserve"> - How management determines the completeness, relevant and appropriateness of the data used to develop the accounting estimates</t>
        </is>
      </c>
      <c r="E52" s="45" t="n"/>
      <c r="F52" s="45" t="n"/>
      <c r="G52" s="45" t="n"/>
      <c r="H52" s="45" t="n"/>
      <c r="I52" s="45" t="n"/>
      <c r="J52" s="45" t="n"/>
      <c r="K52" s="45" t="n"/>
      <c r="L52" s="45" t="n"/>
      <c r="M52" s="45" t="n"/>
      <c r="N52" s="45" t="n"/>
      <c r="O52" s="45" t="n"/>
      <c r="P52" s="48" t="n"/>
      <c r="Q52" s="19" t="n"/>
      <c r="R52" s="6" t="n"/>
      <c r="S52" s="6" t="n"/>
      <c r="T52" s="92" t="n"/>
      <c r="U52" s="6" t="n"/>
    </row>
    <row r="53">
      <c r="B53" s="19" t="n"/>
      <c r="C53" s="45" t="n"/>
      <c r="D53" s="45" t="inlineStr">
        <is>
          <t xml:space="preserve"> - The review and approval of accounting estimates, including the assumptions or data used in their development</t>
        </is>
      </c>
      <c r="E53" s="45" t="n"/>
      <c r="F53" s="45" t="n"/>
      <c r="G53" s="45" t="n"/>
      <c r="H53" s="45" t="n"/>
      <c r="I53" s="45" t="n"/>
      <c r="J53" s="45" t="n"/>
      <c r="K53" s="45" t="n"/>
      <c r="L53" s="45" t="n"/>
      <c r="M53" s="45" t="n"/>
      <c r="N53" s="45" t="n"/>
      <c r="O53" s="45" t="n"/>
      <c r="P53" s="48" t="n"/>
      <c r="Q53" s="19" t="n"/>
      <c r="R53" s="6" t="n"/>
      <c r="S53" s="6" t="n"/>
      <c r="T53" s="92" t="n"/>
      <c r="U53" s="6" t="n"/>
    </row>
    <row r="54">
      <c r="B54" s="19" t="n"/>
      <c r="C54" s="45" t="n"/>
      <c r="D54" s="45" t="inlineStr">
        <is>
          <t xml:space="preserve"> - The segregation of duties between those responsible for making the accounting estimates and those committing the entity to the related transaction</t>
        </is>
      </c>
      <c r="E54" s="45" t="n"/>
      <c r="F54" s="45" t="n"/>
      <c r="G54" s="45" t="n"/>
      <c r="H54" s="45" t="n"/>
      <c r="I54" s="45" t="n"/>
      <c r="J54" s="45" t="n"/>
      <c r="K54" s="45" t="n"/>
      <c r="L54" s="45" t="n"/>
      <c r="M54" s="45" t="n"/>
      <c r="N54" s="45" t="n"/>
      <c r="O54" s="45" t="n"/>
      <c r="P54" s="48" t="n"/>
      <c r="Q54" s="19" t="n"/>
      <c r="R54" s="6" t="n"/>
      <c r="S54" s="6" t="n"/>
      <c r="T54" s="92" t="n"/>
      <c r="U54" s="6" t="n"/>
    </row>
    <row r="55">
      <c r="B55" s="19" t="n"/>
      <c r="C55" s="45" t="n"/>
      <c r="D55" s="45" t="inlineStr">
        <is>
          <t xml:space="preserve"> - The effectiveness of the design of the controls</t>
        </is>
      </c>
      <c r="E55" s="45" t="n"/>
      <c r="F55" s="45" t="n"/>
      <c r="G55" s="45" t="n"/>
      <c r="H55" s="45" t="n"/>
      <c r="I55" s="45" t="n"/>
      <c r="J55" s="45" t="n"/>
      <c r="K55" s="45" t="n"/>
      <c r="L55" s="45" t="n"/>
      <c r="M55" s="45" t="n"/>
      <c r="N55" s="45" t="n"/>
      <c r="O55" s="45" t="n"/>
      <c r="P55" s="48" t="n"/>
      <c r="Q55" s="19" t="n"/>
      <c r="R55" s="6" t="n"/>
      <c r="S55" s="6" t="n"/>
      <c r="T55" s="92" t="n"/>
      <c r="U55" s="6" t="n"/>
    </row>
    <row r="56" ht="21.6" customHeight="1">
      <c r="B56" s="19" t="n"/>
      <c r="C56" s="363" t="inlineStr">
        <is>
          <t>When management makes extensive use of information technology in making an accounting estimate, identified controls are likely to include general IT controls and information processing controls that address risks related to:</t>
        </is>
      </c>
      <c r="Q56" s="19" t="n"/>
      <c r="R56" s="6" t="n"/>
      <c r="S56" s="6" t="n"/>
      <c r="T56" s="92" t="n"/>
      <c r="U56" s="6" t="n"/>
    </row>
    <row r="57">
      <c r="B57" s="19" t="n"/>
      <c r="C57" s="45" t="n"/>
      <c r="D57" s="45" t="inlineStr">
        <is>
          <t xml:space="preserve"> - Whether IT application or other aspects of the IT environment have appropriate capability to process large volumes of data or perform complex calculations</t>
        </is>
      </c>
      <c r="E57" s="45" t="n"/>
      <c r="F57" s="45" t="n"/>
      <c r="G57" s="45" t="n"/>
      <c r="H57" s="45" t="n"/>
      <c r="I57" s="45" t="n"/>
      <c r="J57" s="45" t="n"/>
      <c r="K57" s="45" t="n"/>
      <c r="L57" s="45" t="n"/>
      <c r="M57" s="45" t="n"/>
      <c r="N57" s="45" t="n"/>
      <c r="O57" s="45" t="n"/>
      <c r="P57" s="48" t="n"/>
      <c r="Q57" s="19" t="n"/>
      <c r="R57" s="6" t="n"/>
      <c r="S57" s="6" t="n"/>
      <c r="T57" s="92" t="n"/>
      <c r="U57" s="6" t="n"/>
    </row>
    <row r="58">
      <c r="B58" s="19" t="n"/>
      <c r="C58" s="45" t="n"/>
      <c r="D58" s="45" t="inlineStr">
        <is>
          <t xml:space="preserve"> - Reconciliations between different IT applications involved in the calculation of the accounting estimate</t>
        </is>
      </c>
      <c r="E58" s="45" t="n"/>
      <c r="F58" s="45" t="n"/>
      <c r="G58" s="45" t="n"/>
      <c r="H58" s="45" t="n"/>
      <c r="I58" s="45" t="n"/>
      <c r="J58" s="45" t="n"/>
      <c r="K58" s="45" t="n"/>
      <c r="L58" s="45" t="n"/>
      <c r="M58" s="45" t="n"/>
      <c r="N58" s="45" t="n"/>
      <c r="O58" s="45" t="n"/>
      <c r="P58" s="48" t="n"/>
      <c r="Q58" s="19" t="n"/>
      <c r="R58" s="6" t="n"/>
      <c r="S58" s="6" t="n"/>
      <c r="T58" s="92" t="n"/>
      <c r="U58" s="6" t="n"/>
    </row>
    <row r="59">
      <c r="B59" s="19" t="n"/>
      <c r="C59" s="45" t="n"/>
      <c r="D59" s="45" t="inlineStr">
        <is>
          <t xml:space="preserve"> - Periodic review over the design and calibration of models </t>
        </is>
      </c>
      <c r="E59" s="45" t="n"/>
      <c r="F59" s="45" t="n"/>
      <c r="G59" s="45" t="n"/>
      <c r="H59" s="45" t="n"/>
      <c r="I59" s="45" t="n"/>
      <c r="J59" s="45" t="n"/>
      <c r="K59" s="45" t="n"/>
      <c r="L59" s="45" t="n"/>
      <c r="M59" s="45" t="n"/>
      <c r="N59" s="45" t="n"/>
      <c r="O59" s="45" t="n"/>
      <c r="P59" s="48" t="n"/>
      <c r="Q59" s="19" t="n"/>
      <c r="R59" s="6" t="n"/>
      <c r="S59" s="6" t="n"/>
      <c r="T59" s="92" t="n"/>
      <c r="U59" s="6" t="n"/>
    </row>
    <row r="60">
      <c r="B60" s="19" t="n"/>
      <c r="C60" s="45" t="n"/>
      <c r="D60" s="45" t="inlineStr">
        <is>
          <t xml:space="preserve"> - Controls over access to models association with calculations of accounting estimates and data integrity and security. </t>
        </is>
      </c>
      <c r="E60" s="45" t="n"/>
      <c r="F60" s="45" t="n"/>
      <c r="G60" s="45" t="n"/>
      <c r="H60" s="45" t="n"/>
      <c r="I60" s="45" t="n"/>
      <c r="J60" s="45" t="n"/>
      <c r="K60" s="45" t="n"/>
      <c r="L60" s="45" t="n"/>
      <c r="M60" s="45" t="n"/>
      <c r="N60" s="45" t="n"/>
      <c r="O60" s="45" t="n"/>
      <c r="P60" s="48" t="n"/>
      <c r="Q60" s="19" t="n"/>
      <c r="R60" s="6" t="n"/>
      <c r="S60" s="6" t="n"/>
      <c r="T60" s="92" t="n"/>
      <c r="U60" s="6" t="n"/>
    </row>
    <row r="61">
      <c r="B61" s="19" t="n"/>
      <c r="C61" s="45" t="n"/>
      <c r="D61" s="45" t="inlineStr">
        <is>
          <t xml:space="preserve"> - Controls related to the complete and accurate extraction of data regarding accounting estimates, including external information sources. </t>
        </is>
      </c>
      <c r="E61" s="45" t="n"/>
      <c r="F61" s="45" t="n"/>
      <c r="G61" s="45" t="n"/>
      <c r="H61" s="45" t="n"/>
      <c r="I61" s="45" t="n"/>
      <c r="J61" s="45" t="n"/>
      <c r="K61" s="45" t="n"/>
      <c r="L61" s="45" t="n"/>
      <c r="M61" s="45" t="n"/>
      <c r="N61" s="45" t="n"/>
      <c r="O61" s="45" t="n"/>
      <c r="P61" s="48" t="n"/>
      <c r="Q61" s="19" t="n"/>
      <c r="R61" s="6" t="n"/>
      <c r="S61" s="6" t="n"/>
      <c r="T61" s="92" t="n"/>
      <c r="U61" s="6" t="n"/>
    </row>
    <row r="62">
      <c r="B62" s="19" t="n"/>
      <c r="C62" s="45" t="n"/>
      <c r="D62" s="45" t="inlineStr">
        <is>
          <t xml:space="preserve"> - Controls related to the transfer of information into the general ledger. </t>
        </is>
      </c>
      <c r="E62" s="45" t="n"/>
      <c r="F62" s="45" t="n"/>
      <c r="G62" s="45" t="n"/>
      <c r="H62" s="45" t="n"/>
      <c r="I62" s="45" t="n"/>
      <c r="J62" s="45" t="n"/>
      <c r="K62" s="45" t="n"/>
      <c r="L62" s="45" t="n"/>
      <c r="M62" s="45" t="n"/>
      <c r="N62" s="45" t="n"/>
      <c r="O62" s="45" t="n"/>
      <c r="P62" s="48" t="n"/>
      <c r="Q62" s="19" t="n"/>
      <c r="R62" s="6" t="n"/>
      <c r="S62" s="6" t="n"/>
      <c r="T62" s="92" t="n"/>
      <c r="U62" s="6" t="n"/>
    </row>
    <row r="63" ht="21" customHeight="1">
      <c r="B63" s="19" t="n"/>
      <c r="C63" s="117" t="inlineStr">
        <is>
          <t>Entity's information system [ISA(revised) 540.13h]</t>
        </is>
      </c>
      <c r="D63" s="32" t="n"/>
      <c r="E63" s="32" t="n"/>
      <c r="F63" s="32" t="n"/>
      <c r="G63" s="32" t="n"/>
      <c r="H63" s="32" t="n"/>
      <c r="I63" s="32" t="n"/>
      <c r="J63" s="32" t="n"/>
      <c r="K63" s="32" t="n"/>
      <c r="L63" s="32" t="n"/>
      <c r="M63" s="32" t="n"/>
      <c r="N63" s="32" t="n"/>
      <c r="O63" s="32" t="n"/>
      <c r="P63" s="32" t="n"/>
      <c r="Q63" s="19" t="n"/>
      <c r="R63" s="12" t="n"/>
      <c r="S63" s="12" t="n"/>
      <c r="T63" s="95" t="inlineStr">
        <is>
          <t>406.2.4</t>
        </is>
      </c>
      <c r="U63" s="12" t="n"/>
    </row>
    <row r="64" ht="15" customHeight="1">
      <c r="B64" s="19" t="n"/>
      <c r="C64" s="370" t="inlineStr">
        <is>
          <t>How information relating to accounting estimates and related disclosures for significant classes of transactions, account balances or disclosures flows through the entity's information system [ISA 540.13h (i)]</t>
        </is>
      </c>
      <c r="D64" s="68" t="n"/>
      <c r="E64" s="68" t="n"/>
      <c r="F64" s="68" t="n"/>
      <c r="G64" s="68" t="n"/>
      <c r="H64" s="68" t="n"/>
      <c r="I64" s="68" t="n"/>
      <c r="J64" s="68" t="n"/>
      <c r="K64" s="68" t="n"/>
      <c r="L64" s="68" t="n"/>
      <c r="M64" s="68" t="n"/>
      <c r="N64" s="68" t="n"/>
      <c r="O64" s="68" t="n"/>
      <c r="P64" s="68" t="n"/>
      <c r="Q64" s="19" t="n"/>
      <c r="R64" s="8" t="n"/>
      <c r="S64" s="8" t="n"/>
      <c r="T64" s="93" t="inlineStr">
        <is>
          <t>406.2.4</t>
        </is>
      </c>
      <c r="U64" s="8" t="n"/>
    </row>
    <row r="65">
      <c r="B65" s="19" t="n"/>
      <c r="C65" s="370" t="n"/>
      <c r="D65" s="68" t="n"/>
      <c r="E65" s="68" t="n"/>
      <c r="F65" s="68" t="n"/>
      <c r="G65" s="68" t="n"/>
      <c r="H65" s="68" t="n"/>
      <c r="I65" s="68" t="n"/>
      <c r="J65" s="68" t="n"/>
      <c r="K65" s="68" t="n"/>
      <c r="L65" s="68" t="n"/>
      <c r="M65" s="68" t="n"/>
      <c r="N65" s="68" t="n"/>
      <c r="O65" s="68" t="n"/>
      <c r="P65" s="68" t="n"/>
      <c r="Q65" s="19" t="n"/>
      <c r="R65" s="8" t="n"/>
      <c r="S65" s="8" t="n"/>
      <c r="T65" s="93" t="n"/>
      <c r="U65" s="8" t="n"/>
    </row>
    <row r="66" ht="15" customHeight="1">
      <c r="B66" s="19" t="n"/>
      <c r="C66" s="45" t="inlineStr">
        <is>
          <t>Audit teams should document how management identifies:</t>
        </is>
      </c>
      <c r="D66" s="48" t="n"/>
      <c r="E66" s="48" t="n"/>
      <c r="F66" s="48" t="n"/>
      <c r="G66" s="48" t="n"/>
      <c r="H66" s="48" t="n"/>
      <c r="I66" s="48" t="n"/>
      <c r="J66" s="48" t="n"/>
      <c r="K66" s="48" t="n"/>
      <c r="L66" s="48" t="n"/>
      <c r="M66" s="48" t="n"/>
      <c r="N66" s="48" t="n"/>
      <c r="O66" s="48" t="n"/>
      <c r="P66" s="48" t="n"/>
      <c r="Q66" s="19" t="n"/>
      <c r="R66" s="9" t="n"/>
      <c r="S66" s="9" t="n"/>
      <c r="T66" s="94" t="n"/>
      <c r="U66" s="9" t="n"/>
    </row>
    <row r="67" ht="15" customHeight="1">
      <c r="B67" s="19" t="n"/>
      <c r="C67" s="48" t="n"/>
      <c r="D67" s="363" t="inlineStr">
        <is>
          <t xml:space="preserve"> - Whether the accounting estimates arise from the recoding of routine and recurring transaction or whether they arise from non-recurring or unusual transactions. </t>
        </is>
      </c>
      <c r="Q67" s="19" t="n"/>
      <c r="R67" s="9" t="n"/>
      <c r="S67" s="9" t="n"/>
      <c r="T67" s="94" t="n"/>
      <c r="U67" s="9" t="n"/>
    </row>
    <row r="68" ht="15.75" customHeight="1">
      <c r="B68" s="19" t="n"/>
      <c r="C68" s="48" t="n"/>
      <c r="D68" s="371" t="inlineStr">
        <is>
          <t xml:space="preserve"> - How the information system addresses the completeness of accounting estimates and related disclosures, in particular for accounting estimates related to liabilities.</t>
        </is>
      </c>
      <c r="Q68" s="19" t="n"/>
      <c r="R68" s="9" t="n"/>
      <c r="S68" s="9" t="n"/>
      <c r="T68" s="94" t="n"/>
      <c r="U68" s="9" t="n"/>
    </row>
    <row r="69">
      <c r="B69" s="19" t="n"/>
      <c r="C69" s="370" t="inlineStr">
        <is>
          <t>Method used in making the accounting estimate, including models used [ISA 540.13h(ii) a(i)]</t>
        </is>
      </c>
      <c r="D69" s="68" t="n"/>
      <c r="E69" s="68" t="n"/>
      <c r="F69" s="68" t="n"/>
      <c r="G69" s="68" t="n"/>
      <c r="H69" s="68" t="n"/>
      <c r="I69" s="68" t="n"/>
      <c r="J69" s="68" t="n"/>
      <c r="K69" s="68" t="n"/>
      <c r="L69" s="68" t="n"/>
      <c r="M69" s="68" t="n"/>
      <c r="N69" s="68" t="n"/>
      <c r="O69" s="68" t="n"/>
      <c r="P69" s="68" t="n"/>
      <c r="Q69" s="19" t="n"/>
      <c r="T69" s="93" t="inlineStr">
        <is>
          <t>406.2.5</t>
        </is>
      </c>
    </row>
    <row r="70" ht="15" customHeight="1">
      <c r="B70" s="19" t="n"/>
      <c r="C70" s="45" t="inlineStr">
        <is>
          <t xml:space="preserve">Consider whether the financial reporting framework dictates what method can be used. We should understand how management identified and selected/ designed the method used. </t>
        </is>
      </c>
      <c r="D70" s="45" t="n"/>
      <c r="E70" s="45" t="n"/>
      <c r="F70" s="45" t="n"/>
      <c r="G70" s="45" t="n"/>
      <c r="H70" s="45" t="n"/>
      <c r="I70" s="45" t="n"/>
      <c r="J70" s="45" t="n"/>
      <c r="K70" s="45" t="n"/>
      <c r="L70" s="45" t="n"/>
      <c r="M70" s="45" t="n"/>
      <c r="N70" s="45" t="n"/>
      <c r="O70" s="45" t="n"/>
      <c r="P70" s="45" t="n"/>
      <c r="Q70" s="19" t="n"/>
      <c r="R70" s="10" t="n"/>
      <c r="S70" s="10" t="n"/>
      <c r="T70" s="95" t="inlineStr">
        <is>
          <t>406.2.7</t>
        </is>
      </c>
      <c r="U70" s="10" t="n"/>
    </row>
    <row r="71">
      <c r="B71" s="19" t="n"/>
      <c r="C71" s="45" t="inlineStr">
        <is>
          <t>If a model is used, audit teams should understand:</t>
        </is>
      </c>
      <c r="D71" s="45" t="n"/>
      <c r="E71" s="45" t="n"/>
      <c r="F71" s="45" t="n"/>
      <c r="G71" s="45" t="n"/>
      <c r="H71" s="45" t="n"/>
      <c r="I71" s="45" t="n"/>
      <c r="J71" s="45" t="n"/>
      <c r="K71" s="45" t="n"/>
      <c r="L71" s="45" t="n"/>
      <c r="M71" s="45" t="n"/>
      <c r="N71" s="45" t="n"/>
      <c r="O71" s="45" t="n"/>
      <c r="P71" s="45" t="n"/>
      <c r="Q71" s="19" t="n"/>
      <c r="R71" s="10" t="n"/>
      <c r="S71" s="10" t="n"/>
      <c r="T71" s="95" t="n"/>
      <c r="U71" s="10" t="n"/>
    </row>
    <row r="72">
      <c r="B72" s="19" t="n"/>
      <c r="C72" s="45" t="n"/>
      <c r="D72" s="45" t="inlineStr">
        <is>
          <t xml:space="preserve"> - How management determines the relevance and accuracy of the model;</t>
        </is>
      </c>
      <c r="E72" s="45" t="n"/>
      <c r="F72" s="45" t="n"/>
      <c r="G72" s="45" t="n"/>
      <c r="H72" s="45" t="n"/>
      <c r="I72" s="45" t="n"/>
      <c r="J72" s="45" t="n"/>
      <c r="K72" s="45" t="n"/>
      <c r="L72" s="45" t="n"/>
      <c r="M72" s="45" t="n"/>
      <c r="N72" s="45" t="n"/>
      <c r="O72" s="45" t="n"/>
      <c r="P72" s="45" t="n"/>
      <c r="Q72" s="19" t="n"/>
      <c r="R72" s="10" t="n"/>
      <c r="S72" s="10" t="n"/>
      <c r="T72" s="95" t="n"/>
      <c r="U72" s="10" t="n"/>
    </row>
    <row r="73">
      <c r="B73" s="19" t="n"/>
      <c r="C73" s="45" t="n"/>
      <c r="D73" s="45" t="inlineStr">
        <is>
          <t xml:space="preserve"> - The validation of the model, including whether is was validated prior to use and revalidation intervals. </t>
        </is>
      </c>
      <c r="E73" s="45" t="n"/>
      <c r="F73" s="45" t="n"/>
      <c r="G73" s="45" t="n"/>
      <c r="H73" s="45" t="n"/>
      <c r="I73" s="45" t="n"/>
      <c r="J73" s="45" t="n"/>
      <c r="K73" s="45" t="n"/>
      <c r="L73" s="45" t="n"/>
      <c r="M73" s="45" t="n"/>
      <c r="N73" s="45" t="n"/>
      <c r="O73" s="45" t="n"/>
      <c r="P73" s="45" t="n"/>
      <c r="Q73" s="19" t="n"/>
      <c r="R73" s="10" t="n"/>
      <c r="S73" s="10" t="n"/>
      <c r="T73" s="95" t="n"/>
      <c r="U73" s="10" t="n"/>
    </row>
    <row r="74">
      <c r="B74" s="19" t="n"/>
      <c r="C74" s="45" t="n"/>
      <c r="D74" s="45" t="inlineStr">
        <is>
          <t xml:space="preserve"> - How the model is appropriately changed or adjusted on a timely basis for changes in market or other conditions, and the controls over changes. </t>
        </is>
      </c>
      <c r="E74" s="45" t="n"/>
      <c r="F74" s="45" t="n"/>
      <c r="G74" s="45" t="n"/>
      <c r="H74" s="45" t="n"/>
      <c r="I74" s="45" t="n"/>
      <c r="J74" s="45" t="n"/>
      <c r="K74" s="45" t="n"/>
      <c r="L74" s="45" t="n"/>
      <c r="M74" s="45" t="n"/>
      <c r="N74" s="45" t="n"/>
      <c r="O74" s="45" t="n"/>
      <c r="P74" s="45" t="n"/>
      <c r="Q74" s="19" t="n"/>
      <c r="R74" s="10" t="n"/>
      <c r="S74" s="10" t="n"/>
      <c r="T74" s="95" t="n"/>
      <c r="U74" s="10" t="n"/>
    </row>
    <row r="75">
      <c r="B75" s="19" t="n"/>
      <c r="C75" s="45" t="n"/>
      <c r="D75" s="45" t="inlineStr">
        <is>
          <t xml:space="preserve"> - Whether adjustments are made to the output of the model and whether they are appropriate</t>
        </is>
      </c>
      <c r="E75" s="45" t="n"/>
      <c r="F75" s="45" t="n"/>
      <c r="G75" s="45" t="n"/>
      <c r="H75" s="45" t="n"/>
      <c r="I75" s="45" t="n"/>
      <c r="J75" s="45" t="n"/>
      <c r="K75" s="45" t="n"/>
      <c r="L75" s="45" t="n"/>
      <c r="M75" s="45" t="n"/>
      <c r="N75" s="45" t="n"/>
      <c r="O75" s="45" t="n"/>
      <c r="P75" s="45" t="n"/>
      <c r="Q75" s="19" t="n"/>
      <c r="R75" s="10" t="n"/>
      <c r="S75" s="10" t="n"/>
      <c r="T75" s="95" t="n"/>
      <c r="U75" s="10" t="n"/>
    </row>
    <row r="76">
      <c r="B76" s="19" t="n"/>
      <c r="C76" s="45" t="n"/>
      <c r="D76" s="45" t="inlineStr">
        <is>
          <t xml:space="preserve"> - Whether the model is adequately documented</t>
        </is>
      </c>
      <c r="E76" s="45" t="n"/>
      <c r="F76" s="45" t="n"/>
      <c r="G76" s="45" t="n"/>
      <c r="H76" s="45" t="n"/>
      <c r="I76" s="45" t="n"/>
      <c r="J76" s="45" t="n"/>
      <c r="K76" s="45" t="n"/>
      <c r="L76" s="45" t="n"/>
      <c r="M76" s="45" t="n"/>
      <c r="N76" s="45" t="n"/>
      <c r="O76" s="45" t="n"/>
      <c r="P76" s="45" t="n"/>
      <c r="Q76" s="19" t="n"/>
      <c r="R76" s="10" t="n"/>
      <c r="S76" s="10" t="n"/>
      <c r="T76" s="95" t="n"/>
      <c r="U76" s="10" t="n"/>
    </row>
    <row r="77">
      <c r="B77" s="19" t="n"/>
      <c r="C77" s="45" t="inlineStr">
        <is>
          <t xml:space="preserve">If management has changed the method, the auditor should consider whether the new method, </t>
        </is>
      </c>
      <c r="D77" s="45" t="n"/>
      <c r="E77" s="45" t="n"/>
      <c r="F77" s="45" t="n"/>
      <c r="G77" s="45" t="n"/>
      <c r="H77" s="45" t="n"/>
      <c r="I77" s="45" t="n"/>
      <c r="J77" s="45" t="n"/>
      <c r="K77" s="45" t="n"/>
      <c r="L77" s="45" t="n"/>
      <c r="M77" s="45" t="n"/>
      <c r="N77" s="45" t="n"/>
      <c r="O77" s="45" t="n"/>
      <c r="P77" s="45" t="n"/>
      <c r="Q77" s="19" t="n"/>
      <c r="R77" s="10" t="n"/>
      <c r="S77" s="10" t="n"/>
      <c r="T77" s="95" t="n"/>
      <c r="U77" s="10" t="n"/>
    </row>
    <row r="78">
      <c r="B78" s="19" t="n"/>
      <c r="C78" s="45" t="n"/>
      <c r="D78" s="45" t="inlineStr">
        <is>
          <t xml:space="preserve"> - is in response to changes in the environment or circumstances affecting the entity; or </t>
        </is>
      </c>
      <c r="E78" s="45" t="n"/>
      <c r="F78" s="45" t="n"/>
      <c r="G78" s="45" t="n"/>
      <c r="H78" s="45" t="n"/>
      <c r="I78" s="45" t="n"/>
      <c r="J78" s="45" t="n"/>
      <c r="K78" s="45" t="n"/>
      <c r="L78" s="45" t="n"/>
      <c r="M78" s="45" t="n"/>
      <c r="N78" s="45" t="n"/>
      <c r="O78" s="45" t="n"/>
      <c r="P78" s="45" t="n"/>
      <c r="Q78" s="19" t="n"/>
      <c r="R78" s="10" t="n"/>
      <c r="S78" s="10" t="n"/>
      <c r="T78" s="95" t="n"/>
      <c r="U78" s="10" t="n"/>
    </row>
    <row r="79">
      <c r="B79" s="19" t="n"/>
      <c r="C79" s="45" t="n"/>
      <c r="D79" s="45" t="inlineStr">
        <is>
          <t xml:space="preserve"> - to changes in the requirements of  the applicable financial reporting framework or regulatory environment; </t>
        </is>
      </c>
      <c r="E79" s="45" t="n"/>
      <c r="F79" s="45" t="n"/>
      <c r="G79" s="45" t="n"/>
      <c r="H79" s="45" t="n"/>
      <c r="I79" s="45" t="n"/>
      <c r="J79" s="45" t="n"/>
      <c r="K79" s="45" t="n"/>
      <c r="L79" s="45" t="n"/>
      <c r="M79" s="45" t="n"/>
      <c r="N79" s="45" t="n"/>
      <c r="O79" s="45" t="n"/>
      <c r="P79" s="45" t="n"/>
      <c r="Q79" s="19" t="n"/>
      <c r="R79" s="10" t="n"/>
      <c r="S79" s="10" t="n"/>
      <c r="T79" s="95" t="n"/>
      <c r="U79" s="10" t="n"/>
    </row>
    <row r="80">
      <c r="B80" s="19" t="n"/>
      <c r="C80" s="45" t="n"/>
      <c r="D80" s="45" t="inlineStr">
        <is>
          <t xml:space="preserve"> - or another valid reason. </t>
        </is>
      </c>
      <c r="E80" s="45" t="n"/>
      <c r="F80" s="45" t="n"/>
      <c r="G80" s="45" t="n"/>
      <c r="H80" s="45" t="n"/>
      <c r="I80" s="45" t="n"/>
      <c r="J80" s="45" t="n"/>
      <c r="K80" s="45" t="n"/>
      <c r="L80" s="45" t="n"/>
      <c r="M80" s="45" t="n"/>
      <c r="N80" s="45" t="n"/>
      <c r="O80" s="45" t="n"/>
      <c r="P80" s="45" t="n"/>
      <c r="Q80" s="19" t="n"/>
      <c r="R80" s="10" t="n"/>
      <c r="S80" s="10" t="n"/>
      <c r="T80" s="95" t="n"/>
      <c r="U80" s="10" t="n"/>
    </row>
    <row r="81" ht="15" customHeight="1">
      <c r="B81" s="19" t="n"/>
      <c r="C81" s="363" t="inlineStr">
        <is>
          <t>If management has not changed the method, we should consider whether the continued use of previous methods, assumptions and/or data, is appropriate given the current environment or circumstances.</t>
        </is>
      </c>
      <c r="Q81" s="19" t="n"/>
      <c r="R81" s="10" t="n"/>
      <c r="S81" s="10" t="n"/>
      <c r="T81" s="95" t="n"/>
      <c r="U81" s="10" t="n"/>
    </row>
    <row r="82">
      <c r="B82" s="19" t="n"/>
      <c r="Q82" s="19" t="n"/>
      <c r="R82" s="10" t="n"/>
      <c r="S82" s="10" t="n"/>
      <c r="T82" s="95" t="n"/>
      <c r="U82" s="10" t="n"/>
    </row>
    <row r="83">
      <c r="B83" s="19" t="n"/>
      <c r="C83" s="370" t="inlineStr">
        <is>
          <t>Assumptions used in making the accounting estimate [ISA 540.13h (ii) a(ii)]</t>
        </is>
      </c>
      <c r="D83" s="68" t="n"/>
      <c r="E83" s="68" t="n"/>
      <c r="F83" s="68" t="n"/>
      <c r="G83" s="68" t="n"/>
      <c r="H83" s="68" t="n"/>
      <c r="I83" s="68" t="n"/>
      <c r="J83" s="68" t="n"/>
      <c r="K83" s="68" t="n"/>
      <c r="L83" s="68" t="n"/>
      <c r="M83" s="68" t="n"/>
      <c r="N83" s="68" t="n"/>
      <c r="O83" s="68" t="n"/>
      <c r="P83" s="68" t="n"/>
      <c r="Q83" s="19" t="n"/>
      <c r="T83" s="93" t="inlineStr">
        <is>
          <t>406.2.5</t>
        </is>
      </c>
    </row>
    <row r="84" ht="15" customHeight="1">
      <c r="B84" s="19" t="n"/>
      <c r="C84" s="45" t="inlineStr">
        <is>
          <t>We should understand how management identified and selected the assumptions, including:</t>
        </is>
      </c>
      <c r="D84" s="45" t="n"/>
      <c r="E84" s="45" t="n"/>
      <c r="F84" s="45" t="n"/>
      <c r="G84" s="45" t="n"/>
      <c r="H84" s="45" t="n"/>
      <c r="I84" s="45" t="n"/>
      <c r="J84" s="45" t="n"/>
      <c r="K84" s="45" t="n"/>
      <c r="L84" s="45" t="n"/>
      <c r="M84" s="45" t="n"/>
      <c r="N84" s="45" t="n"/>
      <c r="O84" s="45" t="n"/>
      <c r="P84" s="45" t="n"/>
      <c r="Q84" s="19" t="n"/>
      <c r="R84" s="6" t="n"/>
      <c r="S84" s="6" t="n"/>
      <c r="T84" s="92" t="n"/>
      <c r="U84" s="6" t="n"/>
    </row>
    <row r="85">
      <c r="B85" s="19" t="n"/>
      <c r="C85" s="45" t="n"/>
      <c r="D85" s="45" t="inlineStr">
        <is>
          <t xml:space="preserve"> - The basis for management's selection</t>
        </is>
      </c>
      <c r="E85" s="45" t="n"/>
      <c r="F85" s="45" t="n"/>
      <c r="G85" s="45" t="n"/>
      <c r="H85" s="45" t="n"/>
      <c r="I85" s="45" t="n"/>
      <c r="J85" s="45" t="n"/>
      <c r="K85" s="45" t="n"/>
      <c r="L85" s="45" t="n"/>
      <c r="M85" s="45" t="n"/>
      <c r="N85" s="45" t="n"/>
      <c r="O85" s="45" t="n"/>
      <c r="P85" s="45" t="n"/>
      <c r="Q85" s="19" t="n"/>
      <c r="R85" s="6" t="n"/>
      <c r="S85" s="6" t="n"/>
      <c r="T85" s="92" t="n"/>
      <c r="U85" s="6" t="n"/>
    </row>
    <row r="86">
      <c r="B86" s="19" t="n"/>
      <c r="C86" s="45" t="n"/>
      <c r="D86" s="45" t="inlineStr">
        <is>
          <t xml:space="preserve"> - How management assess that assumptions are relevant and complete</t>
        </is>
      </c>
      <c r="E86" s="45" t="n"/>
      <c r="F86" s="45" t="n"/>
      <c r="G86" s="45" t="n"/>
      <c r="H86" s="45" t="n"/>
      <c r="I86" s="45" t="n"/>
      <c r="J86" s="45" t="n"/>
      <c r="K86" s="45" t="n"/>
      <c r="L86" s="45" t="n"/>
      <c r="M86" s="45" t="n"/>
      <c r="N86" s="45" t="n"/>
      <c r="O86" s="45" t="n"/>
      <c r="P86" s="45" t="n"/>
      <c r="Q86" s="19" t="n"/>
      <c r="R86" s="6" t="n"/>
      <c r="S86" s="6" t="n"/>
      <c r="T86" s="92" t="n"/>
      <c r="U86" s="6" t="n"/>
    </row>
    <row r="87">
      <c r="B87" s="19" t="n"/>
      <c r="C87" s="45" t="n"/>
      <c r="D87" s="45" t="inlineStr">
        <is>
          <t xml:space="preserve"> - Where applicable, how management assess that assumptions are consistent with each other (used in other accounting estimates, or other areas of the business)</t>
        </is>
      </c>
      <c r="E87" s="45" t="n"/>
      <c r="F87" s="45" t="n"/>
      <c r="G87" s="45" t="n"/>
      <c r="H87" s="45" t="n"/>
      <c r="I87" s="45" t="n"/>
      <c r="J87" s="45" t="n"/>
      <c r="K87" s="45" t="n"/>
      <c r="L87" s="45" t="n"/>
      <c r="M87" s="45" t="n"/>
      <c r="N87" s="45" t="n"/>
      <c r="O87" s="45" t="n"/>
      <c r="P87" s="45" t="n"/>
      <c r="Q87" s="19" t="n"/>
      <c r="R87" s="6" t="n"/>
      <c r="S87" s="6" t="n"/>
      <c r="T87" s="92" t="n"/>
      <c r="U87" s="6" t="n"/>
    </row>
    <row r="88">
      <c r="B88" s="19" t="n"/>
      <c r="C88" s="370" t="inlineStr">
        <is>
          <t>Data used in making the accounting estimate [ISA 540.13h (ii) a(iii)]</t>
        </is>
      </c>
      <c r="D88" s="68" t="n"/>
      <c r="E88" s="68" t="n"/>
      <c r="F88" s="68" t="n"/>
      <c r="G88" s="68" t="n"/>
      <c r="H88" s="68" t="n"/>
      <c r="I88" s="68" t="n"/>
      <c r="J88" s="68" t="n"/>
      <c r="K88" s="68" t="n"/>
      <c r="L88" s="68" t="n"/>
      <c r="M88" s="68" t="n"/>
      <c r="N88" s="68" t="n"/>
      <c r="O88" s="68" t="n"/>
      <c r="P88" s="68" t="n"/>
      <c r="Q88" s="19" t="n"/>
      <c r="T88" s="93" t="inlineStr">
        <is>
          <t>406.2.5</t>
        </is>
      </c>
    </row>
    <row r="89" ht="15" customHeight="1">
      <c r="B89" s="19" t="n"/>
      <c r="C89" s="45" t="inlineStr">
        <is>
          <t>The auditor should understand how management identified and selected the data, including:</t>
        </is>
      </c>
      <c r="D89" s="45" t="n"/>
      <c r="E89" s="45" t="n"/>
      <c r="F89" s="45" t="n"/>
      <c r="G89" s="45" t="n"/>
      <c r="H89" s="45" t="n"/>
      <c r="I89" s="45" t="n"/>
      <c r="J89" s="45" t="n"/>
      <c r="K89" s="45" t="n"/>
      <c r="L89" s="45" t="n"/>
      <c r="M89" s="45" t="n"/>
      <c r="N89" s="49" t="n"/>
      <c r="O89" s="49" t="n"/>
      <c r="P89" s="48" t="n"/>
      <c r="Q89" s="19" t="n"/>
      <c r="R89" s="6" t="n"/>
      <c r="S89" s="6" t="n"/>
      <c r="T89" s="92" t="n"/>
      <c r="U89" s="6" t="n"/>
    </row>
    <row r="90" ht="15" customHeight="1">
      <c r="B90" s="19" t="n"/>
      <c r="C90" s="45" t="n"/>
      <c r="D90" s="45" t="inlineStr">
        <is>
          <t xml:space="preserve"> - The nature and source of the data</t>
        </is>
      </c>
      <c r="E90" s="45" t="n"/>
      <c r="F90" s="45" t="n"/>
      <c r="G90" s="45" t="n"/>
      <c r="H90" s="45" t="n"/>
      <c r="I90" s="45" t="n"/>
      <c r="J90" s="45" t="n"/>
      <c r="K90" s="45" t="n"/>
      <c r="L90" s="45" t="n"/>
      <c r="M90" s="45" t="n"/>
      <c r="N90" s="49" t="n"/>
      <c r="O90" s="49" t="n"/>
      <c r="P90" s="48" t="n"/>
      <c r="Q90" s="19" t="n"/>
      <c r="R90" s="6" t="n"/>
      <c r="S90" s="6" t="n"/>
      <c r="T90" s="92" t="n"/>
      <c r="U90" s="6" t="n"/>
    </row>
    <row r="91">
      <c r="B91" s="19" t="n"/>
      <c r="C91" s="45" t="n"/>
      <c r="D91" s="45" t="inlineStr">
        <is>
          <t xml:space="preserve"> - How management evaluates whether data is appropriate</t>
        </is>
      </c>
      <c r="E91" s="45" t="n"/>
      <c r="F91" s="45" t="n"/>
      <c r="G91" s="45" t="n"/>
      <c r="H91" s="45" t="n"/>
      <c r="I91" s="45" t="n"/>
      <c r="J91" s="45" t="n"/>
      <c r="K91" s="45" t="n"/>
      <c r="L91" s="45" t="n"/>
      <c r="M91" s="45" t="n"/>
      <c r="N91" s="49" t="n"/>
      <c r="O91" s="49" t="n"/>
      <c r="P91" s="48" t="n"/>
      <c r="Q91" s="19" t="n"/>
      <c r="R91" s="6" t="n"/>
      <c r="S91" s="6" t="n"/>
      <c r="T91" s="92" t="n"/>
      <c r="U91" s="6" t="n"/>
    </row>
    <row r="92">
      <c r="B92" s="19" t="n"/>
      <c r="C92" s="45" t="n"/>
      <c r="D92" s="45" t="inlineStr">
        <is>
          <t xml:space="preserve"> - The accuracy and completeness of the data</t>
        </is>
      </c>
      <c r="E92" s="45" t="n"/>
      <c r="F92" s="45" t="n"/>
      <c r="G92" s="45" t="n"/>
      <c r="H92" s="45" t="n"/>
      <c r="I92" s="45" t="n"/>
      <c r="J92" s="45" t="n"/>
      <c r="K92" s="45" t="n"/>
      <c r="L92" s="45" t="n"/>
      <c r="M92" s="45" t="n"/>
      <c r="N92" s="49" t="n"/>
      <c r="O92" s="49" t="n"/>
      <c r="P92" s="48" t="n"/>
      <c r="Q92" s="19" t="n"/>
      <c r="R92" s="6" t="n"/>
      <c r="S92" s="6" t="n"/>
      <c r="T92" s="92" t="n"/>
      <c r="U92" s="6" t="n"/>
    </row>
    <row r="93">
      <c r="B93" s="19" t="n"/>
      <c r="C93" s="45" t="n"/>
      <c r="D93" s="45" t="inlineStr">
        <is>
          <t xml:space="preserve"> - The consistency of the data used with data used in previous periods</t>
        </is>
      </c>
      <c r="E93" s="45" t="n"/>
      <c r="F93" s="45" t="n"/>
      <c r="G93" s="45" t="n"/>
      <c r="H93" s="45" t="n"/>
      <c r="I93" s="45" t="n"/>
      <c r="J93" s="45" t="n"/>
      <c r="K93" s="45" t="n"/>
      <c r="L93" s="45" t="n"/>
      <c r="M93" s="45" t="n"/>
      <c r="N93" s="49" t="n"/>
      <c r="O93" s="49" t="n"/>
      <c r="P93" s="48" t="n"/>
      <c r="Q93" s="19" t="n"/>
      <c r="R93" s="6" t="n"/>
      <c r="S93" s="6" t="n"/>
      <c r="T93" s="92" t="n"/>
      <c r="U93" s="6" t="n"/>
    </row>
    <row r="94">
      <c r="B94" s="19" t="n"/>
      <c r="C94" s="45" t="n"/>
      <c r="D94" s="45" t="inlineStr">
        <is>
          <t xml:space="preserve"> - The complexity of the IT applications or other aspects of the entity's IT environment used to obtain and process the data</t>
        </is>
      </c>
      <c r="E94" s="45" t="n"/>
      <c r="F94" s="45" t="n"/>
      <c r="G94" s="45" t="n"/>
      <c r="H94" s="45" t="n"/>
      <c r="I94" s="45" t="n"/>
      <c r="J94" s="45" t="n"/>
      <c r="K94" s="45" t="n"/>
      <c r="L94" s="45" t="n"/>
      <c r="M94" s="45" t="n"/>
      <c r="N94" s="49" t="n"/>
      <c r="O94" s="49" t="n"/>
      <c r="P94" s="48" t="n"/>
      <c r="Q94" s="19" t="n"/>
      <c r="R94" s="6" t="n"/>
      <c r="S94" s="6" t="n"/>
      <c r="T94" s="92" t="n"/>
      <c r="U94" s="6" t="n"/>
    </row>
    <row r="95">
      <c r="B95" s="19" t="n"/>
      <c r="C95" s="45" t="n"/>
      <c r="D95" s="45" t="inlineStr">
        <is>
          <t xml:space="preserve"> - How data is obtained, transmitted and processed and how its integrity is maintained. </t>
        </is>
      </c>
      <c r="E95" s="45" t="n"/>
      <c r="F95" s="45" t="n"/>
      <c r="G95" s="45" t="n"/>
      <c r="H95" s="45" t="n"/>
      <c r="I95" s="45" t="n"/>
      <c r="J95" s="45" t="n"/>
      <c r="K95" s="45" t="n"/>
      <c r="L95" s="45" t="n"/>
      <c r="M95" s="45" t="n"/>
      <c r="N95" s="49" t="n"/>
      <c r="O95" s="49" t="n"/>
      <c r="P95" s="48" t="n"/>
      <c r="Q95" s="19" t="n"/>
      <c r="R95" s="6" t="n"/>
      <c r="S95" s="6" t="n"/>
      <c r="T95" s="92" t="n"/>
      <c r="U95" s="6" t="n"/>
    </row>
    <row r="96">
      <c r="B96" s="19" t="n"/>
      <c r="C96" s="370" t="inlineStr">
        <is>
          <t>Management's assessment of estimation uncertainty [ISA (revised) 540.13h b and c]</t>
        </is>
      </c>
      <c r="D96" s="68" t="n"/>
      <c r="E96" s="68" t="n"/>
      <c r="F96" s="68" t="n"/>
      <c r="G96" s="68" t="n"/>
      <c r="H96" s="68" t="n"/>
      <c r="I96" s="68" t="n"/>
      <c r="J96" s="68" t="n"/>
      <c r="K96" s="68" t="n"/>
      <c r="L96" s="68" t="n"/>
      <c r="M96" s="68" t="n"/>
      <c r="N96" s="68" t="n"/>
      <c r="O96" s="68" t="n"/>
      <c r="P96" s="68" t="n"/>
      <c r="Q96" s="19" t="n"/>
      <c r="R96" s="11" t="n"/>
      <c r="S96" s="11" t="n"/>
      <c r="T96" s="93" t="inlineStr">
        <is>
          <t>406.2.5</t>
        </is>
      </c>
      <c r="U96" s="11" t="n"/>
    </row>
    <row r="97" ht="15" customHeight="1">
      <c r="B97" s="19" t="n"/>
      <c r="C97" s="45" t="inlineStr">
        <is>
          <t>Matters we should consider include:</t>
        </is>
      </c>
      <c r="D97" s="45" t="n"/>
      <c r="E97" s="48" t="n"/>
      <c r="F97" s="48" t="n"/>
      <c r="G97" s="48" t="n"/>
      <c r="H97" s="48" t="n"/>
      <c r="I97" s="48" t="n"/>
      <c r="J97" s="48" t="n"/>
      <c r="K97" s="48" t="n"/>
      <c r="L97" s="48" t="n"/>
      <c r="M97" s="48" t="n"/>
      <c r="N97" s="48" t="n"/>
      <c r="O97" s="48" t="n"/>
      <c r="P97" s="48" t="n"/>
      <c r="Q97" s="19" t="n"/>
      <c r="R97" s="16" t="n"/>
      <c r="S97" s="16" t="n"/>
      <c r="T97" s="96" t="n"/>
      <c r="U97" s="16" t="n"/>
    </row>
    <row r="98">
      <c r="B98" s="19" t="n"/>
      <c r="C98" s="45" t="n"/>
      <c r="D98" s="45" t="inlineStr">
        <is>
          <t xml:space="preserve"> - whether and if so management has considered alternative outcomes by performing a sensitivity analysis</t>
        </is>
      </c>
      <c r="E98" s="48" t="n"/>
      <c r="F98" s="48" t="n"/>
      <c r="G98" s="48" t="n"/>
      <c r="H98" s="48" t="n"/>
      <c r="I98" s="48" t="n"/>
      <c r="J98" s="48" t="n"/>
      <c r="K98" s="48" t="n"/>
      <c r="L98" s="48" t="n"/>
      <c r="M98" s="48" t="n"/>
      <c r="N98" s="48" t="n"/>
      <c r="O98" s="48" t="n"/>
      <c r="P98" s="48" t="n"/>
      <c r="Q98" s="19" t="n"/>
      <c r="R98" s="16" t="n"/>
      <c r="S98" s="16" t="n"/>
      <c r="T98" s="96" t="n"/>
      <c r="U98" s="16" t="n"/>
    </row>
    <row r="99">
      <c r="B99" s="19" t="n"/>
      <c r="C99" s="45" t="n"/>
      <c r="D99" s="45" t="inlineStr">
        <is>
          <t xml:space="preserve"> - whether and if so management has identified alternative methods, significant assumptions or sources of data that are appropriate. </t>
        </is>
      </c>
      <c r="E99" s="48" t="n"/>
      <c r="F99" s="48" t="n"/>
      <c r="G99" s="48" t="n"/>
      <c r="H99" s="48" t="n"/>
      <c r="I99" s="48" t="n"/>
      <c r="J99" s="48" t="n"/>
      <c r="K99" s="48" t="n"/>
      <c r="L99" s="48" t="n"/>
      <c r="M99" s="48" t="n"/>
      <c r="N99" s="48" t="n"/>
      <c r="O99" s="48" t="n"/>
      <c r="P99" s="48" t="n"/>
      <c r="Q99" s="19" t="n"/>
      <c r="R99" s="6" t="n"/>
      <c r="S99" s="6" t="n"/>
      <c r="T99" s="92" t="n"/>
      <c r="U99" s="6" t="n"/>
    </row>
    <row r="100" ht="26.25" customHeight="1">
      <c r="B100" s="19" t="n"/>
      <c r="C100" s="370" t="inlineStr">
        <is>
          <t>Outcome or subsequent re-estimation in the current year of previous accounting estimates [ISA(revised) 540.13j and ISA (revised) 540.14]</t>
        </is>
      </c>
      <c r="D100" s="68" t="n"/>
      <c r="E100" s="68" t="n"/>
      <c r="F100" s="68" t="n"/>
      <c r="G100" s="68" t="n"/>
      <c r="H100" s="68" t="n"/>
      <c r="I100" s="68" t="n"/>
      <c r="J100" s="68" t="n"/>
      <c r="K100" s="68" t="n"/>
      <c r="L100" s="68" t="n"/>
      <c r="M100" s="68" t="n"/>
      <c r="N100" s="68" t="n"/>
      <c r="O100" s="68" t="n"/>
      <c r="P100" s="68" t="n"/>
      <c r="Q100" s="19" t="n"/>
      <c r="R100" s="7" t="n"/>
      <c r="S100" s="7" t="n"/>
      <c r="T100" s="93" t="inlineStr">
        <is>
          <t>406.2.7
406.3</t>
        </is>
      </c>
      <c r="U100" s="7" t="n"/>
    </row>
    <row r="101" ht="15" customHeight="1">
      <c r="B101" s="19" t="n"/>
      <c r="C101" s="45" t="inlineStr">
        <is>
          <t>We need to understand how management review the outcome of previous accounting estimates [from more than 1 prior period where appropriate] and how they respond to the results of that review</t>
        </is>
      </c>
      <c r="D101" s="45" t="n"/>
      <c r="E101" s="45" t="n"/>
      <c r="F101" s="45" t="n"/>
      <c r="G101" s="45" t="n"/>
      <c r="H101" s="45" t="n"/>
      <c r="I101" s="45" t="n"/>
      <c r="J101" s="45" t="n"/>
      <c r="K101" s="45" t="n"/>
      <c r="L101" s="45" t="n"/>
      <c r="M101" s="45" t="n"/>
      <c r="N101" s="45" t="n"/>
      <c r="O101" s="45" t="n"/>
      <c r="P101" s="45" t="n"/>
      <c r="Q101" s="19" t="n"/>
      <c r="R101" s="6" t="n"/>
      <c r="S101" s="6" t="n"/>
      <c r="T101" s="92" t="n"/>
      <c r="U101" s="6" t="n"/>
    </row>
    <row r="102">
      <c r="B102" s="19" t="n"/>
      <c r="C102" s="45" t="inlineStr">
        <is>
          <t xml:space="preserve">We also need to review the outcome of previous accounting estimates in order to identify and assess the risks of material misstatement in the current period. </t>
        </is>
      </c>
      <c r="D102" s="45" t="n"/>
      <c r="E102" s="45" t="n"/>
      <c r="F102" s="45" t="n"/>
      <c r="G102" s="45" t="n"/>
      <c r="H102" s="45" t="n"/>
      <c r="I102" s="45" t="n"/>
      <c r="J102" s="45" t="n"/>
      <c r="K102" s="45" t="n"/>
      <c r="L102" s="45" t="n"/>
      <c r="M102" s="45" t="n"/>
      <c r="N102" s="45" t="n"/>
      <c r="O102" s="45" t="n"/>
      <c r="P102" s="45" t="n"/>
      <c r="Q102" s="19" t="n"/>
      <c r="R102" s="12" t="n"/>
      <c r="S102" s="12" t="n"/>
      <c r="T102" s="95" t="n"/>
      <c r="U102" s="12" t="n"/>
    </row>
    <row r="103" ht="15" customHeight="1">
      <c r="B103" s="19" t="n"/>
      <c r="C103" s="363" t="inlineStr">
        <is>
          <t>This review is not intended to call into question the judgements made in prior periods that were based on information available at the time but assists in the consideration of management's competence in making such estimates.</t>
        </is>
      </c>
      <c r="Q103" s="19" t="n"/>
      <c r="R103" s="12" t="n"/>
      <c r="S103" s="12" t="n"/>
      <c r="T103" s="95" t="n"/>
      <c r="U103" s="12" t="n"/>
    </row>
    <row r="104">
      <c r="B104" s="19" t="n"/>
      <c r="Q104" s="19" t="n"/>
      <c r="R104" s="12" t="n"/>
      <c r="S104" s="12" t="n"/>
      <c r="T104" s="95" t="n"/>
      <c r="U104" s="12" t="n"/>
    </row>
    <row r="105" ht="15.75" customHeight="1">
      <c r="B105" s="19" t="n"/>
      <c r="C105" s="370" t="inlineStr">
        <is>
          <t>Identifying a need for management's expert [ISA(revised) 540.13f]</t>
        </is>
      </c>
      <c r="D105" s="68" t="n"/>
      <c r="E105" s="68" t="n"/>
      <c r="F105" s="68" t="n"/>
      <c r="G105" s="68" t="n"/>
      <c r="H105" s="68" t="n"/>
      <c r="I105" s="68" t="n"/>
      <c r="J105" s="68" t="n"/>
      <c r="K105" s="68" t="n"/>
      <c r="L105" s="68" t="n"/>
      <c r="M105" s="68" t="n"/>
      <c r="N105" s="68" t="n"/>
      <c r="O105" s="68" t="n"/>
      <c r="P105" s="68" t="n"/>
      <c r="Q105" s="19" t="n"/>
      <c r="R105" s="7" t="n"/>
      <c r="S105" s="7" t="n"/>
      <c r="T105" s="90" t="inlineStr">
        <is>
          <t>406.2.2</t>
        </is>
      </c>
      <c r="U105" s="7" t="n"/>
    </row>
    <row r="106" ht="15" customHeight="1">
      <c r="B106" s="19" t="n"/>
      <c r="C106" s="45" t="inlineStr">
        <is>
          <t>We should be aware that certain circumstances may increase the likelihood of management engaging an expert. These include:</t>
        </is>
      </c>
      <c r="D106" s="45" t="n"/>
      <c r="E106" s="48" t="n"/>
      <c r="F106" s="48" t="n"/>
      <c r="G106" s="48" t="n"/>
      <c r="H106" s="48" t="n"/>
      <c r="I106" s="48" t="n"/>
      <c r="J106" s="48" t="n"/>
      <c r="K106" s="48" t="n"/>
      <c r="L106" s="48" t="n"/>
      <c r="M106" s="48" t="n"/>
      <c r="N106" s="48" t="n"/>
      <c r="O106" s="48" t="n"/>
      <c r="P106" s="48" t="n"/>
      <c r="Q106" s="19" t="n"/>
      <c r="R106" s="6" t="n"/>
      <c r="S106" s="6" t="n"/>
      <c r="T106" s="92" t="n"/>
      <c r="U106" s="6" t="n"/>
    </row>
    <row r="107">
      <c r="B107" s="19" t="n"/>
      <c r="C107" s="45" t="n"/>
      <c r="D107" s="45" t="inlineStr">
        <is>
          <t xml:space="preserve"> - The specialised nature of the matter requiring estimation</t>
        </is>
      </c>
      <c r="E107" s="48" t="n"/>
      <c r="F107" s="48" t="n"/>
      <c r="G107" s="48" t="n"/>
      <c r="H107" s="48" t="n"/>
      <c r="I107" s="48" t="n"/>
      <c r="J107" s="48" t="n"/>
      <c r="K107" s="48" t="n"/>
      <c r="L107" s="48" t="n"/>
      <c r="M107" s="48" t="n"/>
      <c r="N107" s="48" t="n"/>
      <c r="O107" s="48" t="n"/>
      <c r="P107" s="48" t="n"/>
      <c r="Q107" s="19" t="n"/>
      <c r="R107" s="6" t="n"/>
      <c r="S107" s="6" t="n"/>
      <c r="T107" s="92" t="n"/>
      <c r="U107" s="6" t="n"/>
    </row>
    <row r="108">
      <c r="B108" s="19" t="n"/>
      <c r="C108" s="45" t="n"/>
      <c r="D108" s="45" t="inlineStr">
        <is>
          <t xml:space="preserve"> - the complex nature of the models required to apply the relevant requirements of the applicable financial reporting framework</t>
        </is>
      </c>
      <c r="E108" s="48" t="n"/>
      <c r="F108" s="48" t="n"/>
      <c r="G108" s="48" t="n"/>
      <c r="H108" s="48" t="n"/>
      <c r="I108" s="48" t="n"/>
      <c r="J108" s="48" t="n"/>
      <c r="K108" s="48" t="n"/>
      <c r="L108" s="48" t="n"/>
      <c r="M108" s="48" t="n"/>
      <c r="N108" s="48" t="n"/>
      <c r="O108" s="48" t="n"/>
      <c r="P108" s="48" t="n"/>
      <c r="Q108" s="19" t="n"/>
      <c r="R108" s="6" t="n"/>
      <c r="S108" s="6" t="n"/>
      <c r="T108" s="92" t="n"/>
      <c r="U108" s="6" t="n"/>
    </row>
    <row r="109">
      <c r="B109" s="19" t="n"/>
      <c r="C109" s="45" t="n"/>
      <c r="D109" s="45" t="inlineStr">
        <is>
          <t xml:space="preserve"> - The unusual or infrequent nature of the condition, transaction or event requiring an accounting estimate</t>
        </is>
      </c>
      <c r="E109" s="48" t="n"/>
      <c r="F109" s="48" t="n"/>
      <c r="G109" s="48" t="n"/>
      <c r="H109" s="48" t="n"/>
      <c r="I109" s="48" t="n"/>
      <c r="J109" s="48" t="n"/>
      <c r="K109" s="48" t="n"/>
      <c r="L109" s="48" t="n"/>
      <c r="M109" s="48" t="n"/>
      <c r="N109" s="48" t="n"/>
      <c r="O109" s="48" t="n"/>
      <c r="P109" s="48" t="n"/>
      <c r="Q109" s="19" t="n"/>
      <c r="R109" s="6" t="n"/>
      <c r="S109" s="6" t="n"/>
      <c r="T109" s="92" t="n"/>
      <c r="U109" s="6" t="n"/>
    </row>
    <row r="110">
      <c r="B110" s="19" t="n"/>
      <c r="C110" s="45" t="inlineStr">
        <is>
          <t xml:space="preserve">Have management used an expert? If so please document the details in the experts template within the audit file and cross reference to this template. </t>
        </is>
      </c>
      <c r="D110" s="45" t="n"/>
      <c r="E110" s="48" t="n"/>
      <c r="F110" s="48" t="n"/>
      <c r="G110" s="48" t="n"/>
      <c r="H110" s="48" t="n"/>
      <c r="I110" s="48" t="n"/>
      <c r="J110" s="48" t="n"/>
      <c r="K110" s="48" t="n"/>
      <c r="L110" s="48" t="n"/>
      <c r="M110" s="48" t="n"/>
      <c r="N110" s="48" t="n"/>
      <c r="O110" s="48" t="n"/>
      <c r="P110" s="48" t="n"/>
      <c r="Q110" s="19" t="n"/>
      <c r="R110" s="6" t="n"/>
      <c r="S110" s="6" t="n"/>
      <c r="T110" s="92" t="n"/>
      <c r="U110" s="6" t="n"/>
    </row>
    <row r="111">
      <c r="B111" s="19" t="n"/>
      <c r="C111" s="48" t="n"/>
      <c r="D111" s="48" t="n"/>
      <c r="E111" s="48" t="n"/>
      <c r="F111" s="48" t="n"/>
      <c r="G111" s="48" t="n"/>
      <c r="H111" s="48" t="n"/>
      <c r="I111" s="48" t="n"/>
      <c r="J111" s="48" t="n"/>
      <c r="K111" s="48" t="n"/>
      <c r="L111" s="48" t="n"/>
      <c r="M111" s="48" t="n"/>
      <c r="N111" s="48" t="n"/>
      <c r="O111" s="48" t="n"/>
      <c r="P111" s="48" t="n"/>
      <c r="Q111" s="19" t="n"/>
      <c r="R111" s="12" t="n"/>
      <c r="S111" s="12" t="n"/>
      <c r="T111" s="95" t="n"/>
      <c r="U111" s="12" t="n"/>
    </row>
    <row r="112">
      <c r="B112" s="19" t="n"/>
      <c r="C112" s="50" t="n"/>
      <c r="D112" s="50" t="n"/>
      <c r="E112" s="50" t="n"/>
      <c r="F112" s="50" t="n"/>
      <c r="G112" s="50" t="n"/>
      <c r="H112" s="50" t="n"/>
      <c r="I112" s="50" t="n"/>
      <c r="J112" s="50" t="n"/>
      <c r="K112" s="50" t="n"/>
      <c r="L112" s="50" t="n"/>
      <c r="M112" s="50" t="n"/>
      <c r="N112" s="50" t="n"/>
      <c r="O112" s="50" t="n"/>
      <c r="P112" s="50" t="n"/>
      <c r="Q112" s="19" t="n"/>
      <c r="R112" s="12" t="n"/>
      <c r="S112" s="12" t="n"/>
      <c r="T112" s="95" t="n"/>
      <c r="U112" s="12" t="n"/>
    </row>
    <row r="113" ht="21" customHeight="1">
      <c r="B113" s="19" t="n"/>
      <c r="C113" s="117" t="inlineStr">
        <is>
          <t>The audit team</t>
        </is>
      </c>
      <c r="D113" s="32" t="n"/>
      <c r="E113" s="32" t="n"/>
      <c r="F113" s="32" t="n"/>
      <c r="G113" s="32" t="n"/>
      <c r="H113" s="32" t="n"/>
      <c r="I113" s="32" t="n"/>
      <c r="J113" s="32" t="n"/>
      <c r="K113" s="32" t="n"/>
      <c r="L113" s="32" t="n"/>
      <c r="M113" s="32" t="n"/>
      <c r="N113" s="32" t="n"/>
      <c r="O113" s="32" t="n"/>
      <c r="P113" s="32" t="n"/>
      <c r="Q113" s="19" t="n"/>
      <c r="R113" s="12" t="n"/>
      <c r="S113" s="12" t="n"/>
      <c r="T113" s="95" t="n"/>
      <c r="U113" s="12" t="n"/>
    </row>
    <row r="114">
      <c r="B114" s="19" t="n"/>
      <c r="C114" s="370" t="inlineStr">
        <is>
          <t>Engagement team skills and knowledge [ISA (revised) 540.15]</t>
        </is>
      </c>
      <c r="D114" s="68" t="n"/>
      <c r="E114" s="68" t="n"/>
      <c r="F114" s="68" t="n"/>
      <c r="G114" s="68" t="n"/>
      <c r="H114" s="68" t="n"/>
      <c r="I114" s="68" t="n"/>
      <c r="J114" s="68" t="n"/>
      <c r="K114" s="68" t="n"/>
      <c r="L114" s="68" t="n"/>
      <c r="M114" s="68" t="n"/>
      <c r="N114" s="68" t="n"/>
      <c r="O114" s="68" t="n"/>
      <c r="P114" s="68" t="n"/>
      <c r="Q114" s="19" t="n"/>
      <c r="R114" s="11" t="n"/>
      <c r="S114" s="11" t="n"/>
      <c r="T114" s="97" t="inlineStr">
        <is>
          <t>406.4</t>
        </is>
      </c>
      <c r="U114" s="11" t="n"/>
    </row>
    <row r="115" ht="15" customHeight="1">
      <c r="B115" s="19" t="n"/>
      <c r="C115" s="45" t="inlineStr">
        <is>
          <t>Do we need specialised skills or knowledge within the team to be able to:</t>
        </is>
      </c>
      <c r="D115" s="45" t="n"/>
      <c r="E115" s="45" t="n"/>
      <c r="F115" s="45" t="n"/>
      <c r="G115" s="45" t="n"/>
      <c r="H115" s="45" t="n"/>
      <c r="I115" s="45" t="n"/>
      <c r="J115" s="45" t="n"/>
      <c r="K115" s="45" t="n"/>
      <c r="L115" s="45" t="n"/>
      <c r="M115" s="45" t="n"/>
      <c r="N115" s="45" t="n"/>
      <c r="O115" s="45" t="n"/>
      <c r="P115" s="45" t="n"/>
      <c r="Q115" s="19" t="n"/>
      <c r="R115" s="16" t="n"/>
      <c r="S115" s="16" t="n"/>
      <c r="T115" s="96" t="n"/>
      <c r="U115" s="16" t="n"/>
    </row>
    <row r="116">
      <c r="B116" s="19" t="n"/>
      <c r="C116" s="45" t="n"/>
      <c r="D116" s="45" t="inlineStr">
        <is>
          <t xml:space="preserve"> - perform risk assessment procedures of accounting estimates;</t>
        </is>
      </c>
      <c r="E116" s="45" t="n"/>
      <c r="F116" s="45" t="n"/>
      <c r="G116" s="45" t="n"/>
      <c r="H116" s="45" t="n"/>
      <c r="I116" s="45" t="n"/>
      <c r="J116" s="45" t="n"/>
      <c r="K116" s="45" t="n"/>
      <c r="L116" s="45" t="n"/>
      <c r="M116" s="45" t="n"/>
      <c r="N116" s="45" t="n"/>
      <c r="O116" s="45" t="n"/>
      <c r="P116" s="45" t="n"/>
      <c r="Q116" s="19" t="n"/>
      <c r="R116" s="6" t="n"/>
      <c r="S116" s="6" t="n"/>
      <c r="T116" s="92" t="n"/>
      <c r="U116" s="6" t="n"/>
    </row>
    <row r="117">
      <c r="B117" s="19" t="n"/>
      <c r="C117" s="45" t="n"/>
      <c r="D117" s="45" t="inlineStr">
        <is>
          <t xml:space="preserve"> - identify and assess the risks of material misstatements associated with accounting estimates;</t>
        </is>
      </c>
      <c r="E117" s="45" t="n"/>
      <c r="F117" s="45" t="n"/>
      <c r="G117" s="45" t="n"/>
      <c r="H117" s="45" t="n"/>
      <c r="I117" s="45" t="n"/>
      <c r="J117" s="45" t="n"/>
      <c r="K117" s="45" t="n"/>
      <c r="L117" s="45" t="n"/>
      <c r="M117" s="45" t="n"/>
      <c r="N117" s="45" t="n"/>
      <c r="O117" s="45" t="n"/>
      <c r="P117" s="45" t="n"/>
      <c r="Q117" s="19" t="n"/>
      <c r="R117" s="6" t="n"/>
      <c r="S117" s="6" t="n"/>
      <c r="T117" s="92" t="n"/>
      <c r="U117" s="6" t="n"/>
    </row>
    <row r="118">
      <c r="B118" s="19" t="n"/>
      <c r="C118" s="45" t="n"/>
      <c r="D118" s="45" t="inlineStr">
        <is>
          <t xml:space="preserve"> - design and perform audit procedures to respond to those risks; and</t>
        </is>
      </c>
      <c r="E118" s="45" t="n"/>
      <c r="F118" s="45" t="n"/>
      <c r="G118" s="45" t="n"/>
      <c r="H118" s="45" t="n"/>
      <c r="I118" s="45" t="n"/>
      <c r="J118" s="45" t="n"/>
      <c r="K118" s="45" t="n"/>
      <c r="L118" s="45" t="n"/>
      <c r="M118" s="45" t="n"/>
      <c r="N118" s="45" t="n"/>
      <c r="O118" s="45" t="n"/>
      <c r="P118" s="45" t="n"/>
      <c r="Q118" s="19" t="n"/>
      <c r="R118" s="6" t="n"/>
      <c r="S118" s="6" t="n"/>
      <c r="T118" s="92" t="n"/>
      <c r="U118" s="6" t="n"/>
    </row>
    <row r="119">
      <c r="B119" s="19" t="n"/>
      <c r="C119" s="45" t="n"/>
      <c r="D119" s="45" t="inlineStr">
        <is>
          <t xml:space="preserve"> - evaluate audit evidence obtained.</t>
        </is>
      </c>
      <c r="E119" s="45" t="n"/>
      <c r="F119" s="45" t="n"/>
      <c r="G119" s="45" t="n"/>
      <c r="H119" s="45" t="n"/>
      <c r="I119" s="45" t="n"/>
      <c r="J119" s="45" t="n"/>
      <c r="K119" s="45" t="n"/>
      <c r="L119" s="45" t="n"/>
      <c r="M119" s="45" t="n"/>
      <c r="N119" s="45" t="n"/>
      <c r="O119" s="45" t="n"/>
      <c r="P119" s="45" t="n"/>
      <c r="Q119" s="19" t="n"/>
      <c r="R119" s="6" t="n"/>
      <c r="S119" s="6" t="n"/>
      <c r="T119" s="92" t="n"/>
      <c r="U119" s="6" t="n"/>
    </row>
    <row r="120" ht="15" customHeight="1">
      <c r="B120" s="19" t="n"/>
      <c r="C120" s="363" t="inlineStr">
        <is>
          <t>MAM 302.5: There are numerous instances where engagement teams may require assistance to audit complex areas or issues arising on clients. In these instances, the engagement team may seek to rely on:</t>
        </is>
      </c>
      <c r="Q120" s="19" t="n"/>
      <c r="R120" s="6" t="n"/>
      <c r="S120" s="6" t="n"/>
      <c r="T120" s="92" t="n"/>
      <c r="U120" s="6" t="n"/>
    </row>
    <row r="121" ht="15" customHeight="1">
      <c r="B121" s="19" t="n"/>
      <c r="Q121" s="19" t="n"/>
      <c r="R121" s="6" t="n"/>
      <c r="S121" s="6" t="n"/>
      <c r="T121" s="92" t="n"/>
      <c r="U121" s="6" t="n"/>
    </row>
    <row r="122">
      <c r="B122" s="19" t="n"/>
      <c r="C122" s="45" t="n"/>
      <c r="D122" s="45" t="inlineStr">
        <is>
          <t xml:space="preserve"> - Consultations within the firm on specific topics (acceptance, financial reporting, methodology…);</t>
        </is>
      </c>
      <c r="E122" s="45" t="n"/>
      <c r="F122" s="45" t="n"/>
      <c r="G122" s="45" t="n"/>
      <c r="H122" s="45" t="n"/>
      <c r="I122" s="45" t="n"/>
      <c r="J122" s="45" t="n"/>
      <c r="K122" s="45" t="n"/>
      <c r="L122" s="45" t="n"/>
      <c r="M122" s="45" t="n"/>
      <c r="N122" s="45" t="n"/>
      <c r="O122" s="45" t="n"/>
      <c r="P122" s="45" t="n"/>
      <c r="Q122" s="19" t="n"/>
      <c r="R122" s="6" t="n"/>
      <c r="S122" s="6" t="n"/>
      <c r="T122" s="92" t="n"/>
      <c r="U122" s="6" t="n"/>
    </row>
    <row r="123">
      <c r="B123" s="19" t="n"/>
      <c r="C123" s="45" t="n"/>
      <c r="D123" s="45" t="inlineStr">
        <is>
          <t xml:space="preserve"> - The work of third parties (either internal or external to the firm), engaged by the engagement team (‘experts’) for example actuaries; and/or</t>
        </is>
      </c>
      <c r="E123" s="45" t="n"/>
      <c r="F123" s="45" t="n"/>
      <c r="G123" s="45" t="n"/>
      <c r="H123" s="45" t="n"/>
      <c r="I123" s="45" t="n"/>
      <c r="J123" s="45" t="n"/>
      <c r="K123" s="45" t="n"/>
      <c r="L123" s="45" t="n"/>
      <c r="M123" s="45" t="n"/>
      <c r="N123" s="45" t="n"/>
      <c r="O123" s="45" t="n"/>
      <c r="P123" s="45" t="n"/>
      <c r="Q123" s="19" t="n"/>
      <c r="R123" s="6" t="n"/>
      <c r="S123" s="6" t="n"/>
      <c r="T123" s="92" t="n"/>
      <c r="U123" s="6" t="n"/>
    </row>
    <row r="124">
      <c r="B124" s="19" t="n"/>
      <c r="C124" s="45" t="n"/>
      <c r="D124" s="45" t="inlineStr">
        <is>
          <t xml:space="preserve"> - Expertise within the engagement team (‘specialists’) for example IT auditors.</t>
        </is>
      </c>
      <c r="E124" s="45" t="n"/>
      <c r="F124" s="45" t="n"/>
      <c r="G124" s="45" t="n"/>
      <c r="H124" s="45" t="n"/>
      <c r="I124" s="45" t="n"/>
      <c r="J124" s="45" t="n"/>
      <c r="K124" s="45" t="n"/>
      <c r="L124" s="45" t="n"/>
      <c r="M124" s="45" t="n"/>
      <c r="N124" s="45" t="n"/>
      <c r="O124" s="45" t="n"/>
      <c r="P124" s="45" t="n"/>
      <c r="Q124" s="19" t="n"/>
      <c r="R124" s="6" t="n"/>
      <c r="S124" s="6" t="n"/>
      <c r="T124" s="92" t="n"/>
      <c r="U124" s="6" t="n"/>
    </row>
    <row r="125">
      <c r="B125" s="19" t="n"/>
      <c r="C125" s="45" t="inlineStr">
        <is>
          <t>We should note the following for each category of assistance:</t>
        </is>
      </c>
      <c r="D125" s="45" t="n"/>
      <c r="E125" s="45" t="n"/>
      <c r="F125" s="45" t="n"/>
      <c r="G125" s="45" t="n"/>
      <c r="H125" s="45" t="n"/>
      <c r="I125" s="45" t="n"/>
      <c r="J125" s="45" t="n"/>
      <c r="K125" s="45" t="n"/>
      <c r="L125" s="45" t="n"/>
      <c r="M125" s="45" t="n"/>
      <c r="N125" s="45" t="n"/>
      <c r="O125" s="45" t="n"/>
      <c r="P125" s="45" t="n"/>
      <c r="Q125" s="19" t="n"/>
      <c r="R125" s="6" t="n"/>
      <c r="S125" s="6" t="n"/>
      <c r="T125" s="92" t="n"/>
      <c r="U125" s="6" t="n"/>
    </row>
    <row r="126" ht="16.5" customHeight="1">
      <c r="B126" s="19" t="n"/>
      <c r="C126" s="45" t="n"/>
      <c r="D126" s="45" t="inlineStr">
        <is>
          <t xml:space="preserve"> - Consultations within the firm; queries and responses should be documented on the audit file. </t>
        </is>
      </c>
      <c r="E126" s="51" t="n"/>
      <c r="F126" s="51" t="n"/>
      <c r="G126" s="51" t="n"/>
      <c r="H126" s="51" t="n"/>
      <c r="I126" s="51" t="n"/>
      <c r="J126" s="51" t="n"/>
      <c r="K126" s="51" t="n"/>
      <c r="L126" s="51" t="n"/>
      <c r="M126" s="51" t="n"/>
      <c r="N126" s="51" t="n"/>
      <c r="O126" s="51" t="n"/>
      <c r="P126" s="51" t="n"/>
      <c r="Q126" s="19" t="n"/>
      <c r="R126" s="13" t="n"/>
      <c r="S126" s="13" t="n"/>
      <c r="T126" s="98" t="n"/>
      <c r="U126" s="13" t="n"/>
    </row>
    <row r="127" ht="15" customHeight="1">
      <c r="B127" s="19" t="n"/>
      <c r="C127" s="48" t="n"/>
      <c r="D127" s="45" t="inlineStr">
        <is>
          <t xml:space="preserve"> - Experts; we must follow ISA620 - Using the work of an auditor's expert. Please document the details within the experts template in the audit file. </t>
        </is>
      </c>
      <c r="E127" s="51" t="n"/>
      <c r="F127" s="51" t="n"/>
      <c r="G127" s="51" t="n"/>
      <c r="H127" s="51" t="n"/>
      <c r="I127" s="51" t="n"/>
      <c r="J127" s="51" t="n"/>
      <c r="K127" s="51" t="n"/>
      <c r="L127" s="51" t="n"/>
      <c r="M127" s="51" t="n"/>
      <c r="N127" s="51" t="n"/>
      <c r="O127" s="51" t="n"/>
      <c r="P127" s="51" t="n"/>
      <c r="Q127" s="19" t="n"/>
      <c r="R127" s="13" t="n"/>
      <c r="S127" s="13" t="n"/>
      <c r="T127" s="98" t="n"/>
      <c r="U127" s="13" t="n"/>
    </row>
    <row r="128" ht="15" customHeight="1">
      <c r="B128" s="19" t="n"/>
      <c r="C128" s="48" t="n"/>
      <c r="D128" s="363" t="inlineStr">
        <is>
          <t xml:space="preserve"> - Specialists; The firm’s policy is that specialists form part of the engagement team and thus must attend planning meetings and their detailed working papers must be part of the audit file. </t>
        </is>
      </c>
      <c r="Q128" s="19" t="n"/>
      <c r="R128" s="13" t="n"/>
      <c r="S128" s="13" t="n"/>
      <c r="T128" s="98" t="n"/>
      <c r="U128" s="13" t="n"/>
    </row>
    <row r="129" ht="15.75" customHeight="1">
      <c r="B129" s="19" t="n"/>
      <c r="C129" s="48" t="n"/>
      <c r="Q129" s="19" t="n"/>
      <c r="R129" s="13" t="n"/>
      <c r="S129" s="13" t="n"/>
      <c r="T129" s="98" t="n"/>
      <c r="U129" s="13" t="n"/>
    </row>
    <row r="130" ht="15" customHeight="1">
      <c r="B130" s="19" t="n"/>
      <c r="C130" s="19" t="n"/>
      <c r="D130" s="19" t="n"/>
      <c r="E130" s="19" t="n"/>
      <c r="F130" s="19" t="n"/>
      <c r="G130" s="19" t="n"/>
      <c r="H130" s="19" t="n"/>
      <c r="I130" s="19" t="n"/>
      <c r="J130" s="19" t="n"/>
      <c r="K130" s="19" t="n"/>
      <c r="L130" s="19" t="n"/>
      <c r="M130" s="19" t="n"/>
      <c r="N130" s="19" t="n"/>
      <c r="O130" s="19" t="n"/>
      <c r="P130" s="19" t="n"/>
      <c r="Q130" s="19" t="n"/>
      <c r="R130" s="13" t="n"/>
      <c r="S130" s="13" t="n"/>
      <c r="T130" s="98" t="n"/>
      <c r="U130" s="13" t="n"/>
    </row>
    <row r="131" ht="15" customHeight="1">
      <c r="R131" s="14" t="n"/>
      <c r="S131" s="14" t="n"/>
      <c r="T131" s="99" t="n"/>
      <c r="U131" s="14" t="n"/>
    </row>
    <row r="132" hidden="1" ht="26.25" customHeight="1">
      <c r="B132" s="366" t="inlineStr">
        <is>
          <t>GUIDANCE MATERIAL</t>
        </is>
      </c>
      <c r="R132" s="14" t="n"/>
      <c r="S132" s="14" t="n"/>
      <c r="T132" s="99" t="n"/>
      <c r="U132" s="14" t="n"/>
    </row>
    <row r="133" ht="23.25" customFormat="1" customHeight="1" s="120">
      <c r="B133" s="119" t="inlineStr">
        <is>
          <t>STEP 2:   IDENTIFYING AND ASSESSING THE RISKS OF MATERIAL MISSTATEMENT</t>
        </is>
      </c>
      <c r="T133" s="121" t="n"/>
    </row>
    <row r="134" ht="15" customHeight="1">
      <c r="B134" s="19" t="n"/>
      <c r="C134" s="19" t="n"/>
      <c r="D134" s="19" t="n"/>
      <c r="E134" s="19" t="n"/>
      <c r="F134" s="19" t="n"/>
      <c r="G134" s="19" t="n"/>
      <c r="H134" s="19" t="n"/>
      <c r="I134" s="19" t="n"/>
      <c r="J134" s="19" t="n"/>
      <c r="K134" s="19" t="n"/>
      <c r="L134" s="19" t="n"/>
      <c r="M134" s="19" t="n"/>
      <c r="N134" s="19" t="n"/>
      <c r="O134" s="19" t="n"/>
      <c r="P134" s="19" t="n"/>
      <c r="Q134" s="19" t="n"/>
      <c r="T134" s="90" t="n"/>
    </row>
    <row r="135" ht="21" customHeight="1">
      <c r="B135" s="19" t="n"/>
      <c r="C135" s="117" t="inlineStr">
        <is>
          <t>Inherent risk assessment</t>
        </is>
      </c>
      <c r="D135" s="32" t="n"/>
      <c r="E135" s="32" t="n"/>
      <c r="F135" s="32" t="n"/>
      <c r="G135" s="32" t="n"/>
      <c r="H135" s="32" t="n"/>
      <c r="I135" s="32" t="n"/>
      <c r="J135" s="32" t="n"/>
      <c r="K135" s="32" t="n"/>
      <c r="L135" s="32" t="n"/>
      <c r="M135" s="32" t="n"/>
      <c r="N135" s="32" t="n"/>
      <c r="O135" s="32" t="n"/>
      <c r="P135" s="32" t="n"/>
      <c r="Q135" s="19" t="n"/>
      <c r="R135" s="12" t="n"/>
      <c r="S135" s="12" t="n"/>
      <c r="T135" s="95" t="inlineStr">
        <is>
          <t>718.2</t>
        </is>
      </c>
      <c r="U135" s="12" t="n"/>
    </row>
    <row r="136" ht="31.5" customHeight="1">
      <c r="B136" s="19" t="n"/>
      <c r="C136" s="370" t="inlineStr">
        <is>
          <t>Identifying and assessing the risks of material misstatement relating to an accounting estimate and related disclosures at assertion level [ISA (revised) 540.16]</t>
        </is>
      </c>
      <c r="D136" s="68" t="n"/>
      <c r="E136" s="68" t="n"/>
      <c r="F136" s="68" t="n"/>
      <c r="G136" s="68" t="n"/>
      <c r="H136" s="68" t="n"/>
      <c r="I136" s="68" t="n"/>
      <c r="J136" s="68" t="n"/>
      <c r="K136" s="68" t="n"/>
      <c r="L136" s="68" t="n"/>
      <c r="M136" s="68" t="n"/>
      <c r="N136" s="68" t="n"/>
      <c r="O136" s="68" t="n"/>
      <c r="P136" s="68" t="n"/>
      <c r="Q136" s="19" t="n"/>
      <c r="R136" s="2" t="n"/>
      <c r="S136" s="2" t="n"/>
      <c r="T136" s="93" t="inlineStr">
        <is>
          <t>718.2</t>
        </is>
      </c>
      <c r="U136" s="2" t="n"/>
    </row>
    <row r="137" ht="15" customHeight="1">
      <c r="B137" s="19" t="n"/>
      <c r="C137" s="363" t="inlineStr">
        <is>
          <t xml:space="preserve">In identifying and assessing risks of material misstatement at the assertion level for an accounting estimate and related disclosures, we must consider inherent risk and control risk separately. We must consider the factors of estimation uncertainty, complexity, subjectivity and other inherent risk factors when considering the level of inherent risk. The below sections will help to guide you in determining to what degree your accounting estimate is subject to these factors. You will then form an overall assessment of the inherent and control risks associated with your accounting estimate. </t>
        </is>
      </c>
      <c r="Q137" s="19" t="n"/>
      <c r="R137" s="15" t="n"/>
      <c r="S137" s="15" t="n"/>
      <c r="T137" s="100" t="n"/>
      <c r="U137" s="15" t="n"/>
    </row>
    <row r="138" ht="15" customHeight="1">
      <c r="B138" s="19" t="n"/>
      <c r="Q138" s="19" t="n"/>
      <c r="R138" s="15" t="n"/>
      <c r="S138" s="15" t="n"/>
      <c r="T138" s="100" t="n"/>
      <c r="U138" s="15" t="n"/>
    </row>
    <row r="139" ht="15" customHeight="1">
      <c r="B139" s="19" t="n"/>
      <c r="Q139" s="19" t="n"/>
      <c r="R139" s="15" t="n"/>
      <c r="S139" s="15" t="n"/>
      <c r="T139" s="100" t="n"/>
      <c r="U139" s="15" t="n"/>
    </row>
    <row r="140" ht="15" customHeight="1">
      <c r="B140" s="19" t="n"/>
      <c r="Q140" s="19" t="n"/>
      <c r="R140" s="15" t="n"/>
      <c r="S140" s="15" t="n"/>
      <c r="T140" s="100" t="n"/>
      <c r="U140" s="15" t="n"/>
    </row>
    <row r="141" ht="15" customHeight="1">
      <c r="B141" s="19" t="n"/>
      <c r="C141" s="76" t="inlineStr">
        <is>
          <t>The degree to which the accounting estimate is subject to estimation uncertainty</t>
        </is>
      </c>
      <c r="D141" s="76" t="n"/>
      <c r="E141" s="76" t="n"/>
      <c r="F141" s="76" t="n"/>
      <c r="G141" s="76" t="n"/>
      <c r="H141" s="76" t="n"/>
      <c r="I141" s="76" t="n"/>
      <c r="J141" s="76" t="n"/>
      <c r="K141" s="76" t="n"/>
      <c r="L141" s="45" t="n"/>
      <c r="M141" s="45" t="n"/>
      <c r="N141" s="45" t="n"/>
      <c r="O141" s="45" t="n"/>
      <c r="P141" s="45" t="n"/>
      <c r="Q141" s="19" t="n"/>
      <c r="R141" s="16" t="n"/>
      <c r="S141" s="16" t="n"/>
      <c r="T141" s="90" t="inlineStr">
        <is>
          <t>718.2.1.1</t>
        </is>
      </c>
      <c r="U141" s="16" t="n"/>
    </row>
    <row r="142" ht="15" customHeight="1">
      <c r="B142" s="19" t="n"/>
      <c r="C142" s="45" t="inlineStr">
        <is>
          <t>Estimation uncertainty is the susceptibility to an inherent lack of precision in the measurement of an accounting estimate.</t>
        </is>
      </c>
      <c r="D142" s="45" t="n"/>
      <c r="E142" s="45" t="n"/>
      <c r="F142" s="45" t="n"/>
      <c r="G142" s="45" t="n"/>
      <c r="H142" s="45" t="n"/>
      <c r="I142" s="45" t="n"/>
      <c r="J142" s="45" t="n"/>
      <c r="K142" s="45" t="n"/>
      <c r="L142" s="45" t="n"/>
      <c r="M142" s="45" t="n"/>
      <c r="N142" s="45" t="n"/>
      <c r="O142" s="45" t="n"/>
      <c r="P142" s="45" t="n"/>
      <c r="Q142" s="19" t="n"/>
      <c r="R142" s="17" t="n"/>
      <c r="S142" s="17" t="n"/>
      <c r="T142" s="101" t="n"/>
      <c r="U142" s="17" t="n"/>
    </row>
    <row r="143" ht="15" customHeight="1">
      <c r="B143" s="19" t="n"/>
      <c r="C143" s="45" t="inlineStr">
        <is>
          <t>We may consider:</t>
        </is>
      </c>
      <c r="D143" s="51" t="n"/>
      <c r="E143" s="51" t="n"/>
      <c r="F143" s="51" t="n"/>
      <c r="G143" s="51" t="n"/>
      <c r="H143" s="51" t="n"/>
      <c r="I143" s="51" t="n"/>
      <c r="J143" s="51" t="n"/>
      <c r="K143" s="51" t="n"/>
      <c r="L143" s="51" t="n"/>
      <c r="M143" s="51" t="n"/>
      <c r="N143" s="51" t="n"/>
      <c r="O143" s="51" t="n"/>
      <c r="P143" s="51" t="n"/>
      <c r="Q143" s="19" t="n"/>
      <c r="R143" s="17" t="n"/>
      <c r="S143" s="17" t="n"/>
      <c r="T143" s="101" t="n"/>
      <c r="U143" s="17" t="n"/>
    </row>
    <row r="144" ht="15" customHeight="1">
      <c r="B144" s="19" t="n"/>
      <c r="C144" s="45" t="n"/>
      <c r="D144" s="45" t="inlineStr">
        <is>
          <t xml:space="preserve"> - Whether the applicable financial reporting framework requires the use of a method that inherently has a high degree of estimation uncertainty, the use of assumptions that inherently have a high degree of estimation uncertainty and disclosures about estimation uncertainty. </t>
        </is>
      </c>
      <c r="E144" s="51" t="n"/>
      <c r="F144" s="51" t="n"/>
      <c r="G144" s="51" t="n"/>
      <c r="H144" s="51" t="n"/>
      <c r="I144" s="51" t="n"/>
      <c r="J144" s="51" t="n"/>
      <c r="K144" s="51" t="n"/>
      <c r="L144" s="51" t="n"/>
      <c r="M144" s="51" t="n"/>
      <c r="N144" s="51" t="n"/>
      <c r="O144" s="51" t="n"/>
      <c r="P144" s="51" t="n"/>
      <c r="Q144" s="19" t="n"/>
      <c r="R144" s="17" t="n"/>
      <c r="S144" s="17" t="n"/>
      <c r="T144" s="101" t="n"/>
      <c r="U144" s="17" t="n"/>
    </row>
    <row r="145" ht="15" customHeight="1">
      <c r="B145" s="19" t="n"/>
      <c r="C145" s="45" t="n"/>
      <c r="D145" s="45" t="inlineStr">
        <is>
          <t xml:space="preserve"> - The business environment including the condition of the market it operates in. </t>
        </is>
      </c>
      <c r="E145" s="45" t="n"/>
      <c r="F145" s="45" t="n"/>
      <c r="G145" s="45" t="n"/>
      <c r="H145" s="45" t="n"/>
      <c r="I145" s="45" t="n"/>
      <c r="J145" s="45" t="n"/>
      <c r="K145" s="45" t="n"/>
      <c r="L145" s="45" t="n"/>
      <c r="M145" s="45" t="n"/>
      <c r="N145" s="45" t="n"/>
      <c r="O145" s="45" t="n"/>
      <c r="P145" s="45" t="n"/>
      <c r="Q145" s="19" t="n"/>
      <c r="R145" s="17" t="n"/>
      <c r="S145" s="17" t="n"/>
      <c r="T145" s="101" t="n"/>
      <c r="U145" s="17" t="n"/>
    </row>
    <row r="146" ht="15" customHeight="1">
      <c r="B146" s="19" t="n"/>
      <c r="C146" s="45" t="n"/>
      <c r="D146" s="45" t="inlineStr">
        <is>
          <t xml:space="preserve"> - Whether it is possible for management to make precise and reliable predictions about future events or conditions and to obtain precise and complete information about a present condition. </t>
        </is>
      </c>
      <c r="E146" s="51" t="n"/>
      <c r="F146" s="51" t="n"/>
      <c r="G146" s="51" t="n"/>
      <c r="H146" s="51" t="n"/>
      <c r="I146" s="51" t="n"/>
      <c r="J146" s="51" t="n"/>
      <c r="K146" s="51" t="n"/>
      <c r="L146" s="51" t="n"/>
      <c r="M146" s="51" t="n"/>
      <c r="N146" s="51" t="n"/>
      <c r="O146" s="51" t="n"/>
      <c r="P146" s="51" t="n"/>
      <c r="Q146" s="19" t="n"/>
      <c r="R146" s="17" t="n"/>
      <c r="S146" s="17" t="n"/>
      <c r="T146" s="101" t="n"/>
      <c r="U146" s="17" t="n"/>
    </row>
    <row r="147" ht="15" customHeight="1">
      <c r="B147" s="19" t="n"/>
      <c r="C147" s="45" t="n"/>
      <c r="D147" s="51" t="n"/>
      <c r="E147" s="51" t="n"/>
      <c r="F147" s="51" t="n"/>
      <c r="G147" s="51" t="n"/>
      <c r="H147" s="51" t="n"/>
      <c r="I147" s="51" t="n"/>
      <c r="J147" s="51" t="n"/>
      <c r="K147" s="51" t="n"/>
      <c r="L147" s="51" t="n"/>
      <c r="M147" s="51" t="n"/>
      <c r="N147" s="51" t="n"/>
      <c r="O147" s="51" t="n"/>
      <c r="P147" s="51" t="n"/>
      <c r="Q147" s="19" t="n"/>
      <c r="R147" s="17" t="n"/>
      <c r="S147" s="17" t="n"/>
      <c r="T147" s="101" t="n"/>
      <c r="U147" s="17" t="n"/>
    </row>
    <row r="148" ht="15" customHeight="1">
      <c r="B148" s="19" t="n"/>
      <c r="C148" s="370" t="inlineStr">
        <is>
          <t>The degree to which the selection and application of the method, assumptions and data in making the accounting estimate, or the selection of management's point estimate and related disclosures are affected by:</t>
        </is>
      </c>
      <c r="Q148" s="19" t="n"/>
      <c r="R148" s="16" t="n"/>
      <c r="S148" s="16" t="n"/>
      <c r="T148" s="96" t="n"/>
      <c r="U148" s="16" t="n"/>
    </row>
    <row r="149">
      <c r="B149" s="19" t="n"/>
      <c r="C149" s="48" t="n"/>
      <c r="D149" s="48" t="n"/>
      <c r="E149" s="48" t="n"/>
      <c r="F149" s="48" t="n"/>
      <c r="G149" s="48" t="n"/>
      <c r="H149" s="48" t="n"/>
      <c r="I149" s="48" t="n"/>
      <c r="J149" s="48" t="n"/>
      <c r="K149" s="48" t="n"/>
      <c r="L149" s="48" t="n"/>
      <c r="M149" s="48" t="n"/>
      <c r="N149" s="48" t="n"/>
      <c r="O149" s="48" t="n"/>
      <c r="P149" s="48" t="n"/>
      <c r="Q149" s="19" t="n"/>
      <c r="R149" s="16" t="n"/>
      <c r="S149" s="16" t="n"/>
      <c r="T149" s="96" t="n"/>
      <c r="U149" s="16" t="n"/>
    </row>
    <row r="150" ht="15" customHeight="1">
      <c r="B150" s="19" t="n"/>
      <c r="C150" s="48" t="n"/>
      <c r="D150" s="48" t="n"/>
      <c r="E150" s="48" t="n"/>
      <c r="F150" s="48" t="n"/>
      <c r="G150" s="48" t="n"/>
      <c r="H150" s="48" t="n"/>
      <c r="I150" s="48" t="n"/>
      <c r="J150" s="48" t="n"/>
      <c r="K150" s="48" t="n"/>
      <c r="L150" s="48" t="n"/>
      <c r="M150" s="48" t="n"/>
      <c r="N150" s="48" t="n"/>
      <c r="O150" s="48" t="n"/>
      <c r="P150" s="48" t="n"/>
      <c r="Q150" s="19" t="n"/>
      <c r="R150" s="16" t="n"/>
      <c r="S150" s="16" t="n"/>
      <c r="T150" s="96" t="n"/>
      <c r="U150" s="16" t="n"/>
    </row>
    <row r="151" ht="15" customHeight="1">
      <c r="B151" s="19" t="n"/>
      <c r="C151" s="76" t="inlineStr">
        <is>
          <t>Complexity</t>
        </is>
      </c>
      <c r="D151" s="76" t="n"/>
      <c r="E151" s="76" t="n"/>
      <c r="F151" s="76" t="n"/>
      <c r="G151" s="76" t="n"/>
      <c r="H151" s="76" t="n"/>
      <c r="I151" s="76" t="n"/>
      <c r="J151" s="76" t="n"/>
      <c r="K151" s="76" t="n"/>
      <c r="L151" s="38" t="n"/>
      <c r="M151" s="38" t="n"/>
      <c r="N151" s="38" t="n"/>
      <c r="O151" s="38" t="n"/>
      <c r="P151" s="38" t="n"/>
      <c r="Q151" s="19" t="n"/>
      <c r="R151" s="16" t="n"/>
      <c r="S151" s="16" t="n"/>
      <c r="T151" s="90" t="inlineStr">
        <is>
          <t>718.2.1.2</t>
        </is>
      </c>
      <c r="U151" s="16" t="n"/>
    </row>
    <row r="152" ht="15" customHeight="1">
      <c r="B152" s="19" t="n"/>
      <c r="C152" s="45" t="inlineStr">
        <is>
          <t>Complexity refers to the complexity inherent in the process of making an accounting estimate, such as when multiple data sets or assumptions are required or when complex models are used.</t>
        </is>
      </c>
      <c r="D152" s="45" t="n"/>
      <c r="E152" s="45" t="n"/>
      <c r="F152" s="45" t="n"/>
      <c r="G152" s="45" t="n"/>
      <c r="H152" s="45" t="n"/>
      <c r="I152" s="45" t="n"/>
      <c r="J152" s="45" t="n"/>
      <c r="K152" s="45" t="n"/>
      <c r="L152" s="45" t="n"/>
      <c r="M152" s="45" t="n"/>
      <c r="N152" s="45" t="n"/>
      <c r="O152" s="45" t="n"/>
      <c r="P152" s="45" t="n"/>
      <c r="Q152" s="19" t="n"/>
      <c r="R152" s="17" t="n"/>
      <c r="S152" s="17" t="n"/>
      <c r="T152" s="101" t="n"/>
      <c r="U152" s="17" t="n"/>
    </row>
    <row r="153" ht="15" customHeight="1">
      <c r="B153" s="19" t="n"/>
      <c r="C153" s="45" t="inlineStr">
        <is>
          <t>Points to consider when reviewing the selection and application of the method include:</t>
        </is>
      </c>
      <c r="E153" s="45" t="n"/>
      <c r="F153" s="45" t="n"/>
      <c r="G153" s="45" t="n"/>
      <c r="H153" s="45" t="n"/>
      <c r="I153" s="45" t="n"/>
      <c r="J153" s="45" t="n"/>
      <c r="K153" s="45" t="n"/>
      <c r="L153" s="45" t="n"/>
      <c r="M153" s="45" t="n"/>
      <c r="N153" s="45" t="n"/>
      <c r="O153" s="45" t="n"/>
      <c r="P153" s="45" t="n"/>
      <c r="Q153" s="19" t="n"/>
      <c r="R153" s="17" t="n"/>
      <c r="S153" s="17" t="n"/>
      <c r="T153" s="101" t="n"/>
      <c r="U153" s="17" t="n"/>
    </row>
    <row r="154" ht="15" customHeight="1">
      <c r="B154" s="19" t="n"/>
      <c r="C154" s="45" t="n"/>
      <c r="D154" s="45" t="inlineStr">
        <is>
          <t xml:space="preserve"> - The need for specialised skills or knowledge from management, including whether management has the experience of developing internal models. </t>
        </is>
      </c>
      <c r="E154" s="51" t="n"/>
      <c r="F154" s="51" t="n"/>
      <c r="G154" s="51" t="n"/>
      <c r="H154" s="51" t="n"/>
      <c r="I154" s="51" t="n"/>
      <c r="J154" s="51" t="n"/>
      <c r="K154" s="51" t="n"/>
      <c r="L154" s="51" t="n"/>
      <c r="M154" s="51" t="n"/>
      <c r="N154" s="51" t="n"/>
      <c r="O154" s="51" t="n"/>
      <c r="P154" s="51" t="n"/>
      <c r="Q154" s="19" t="n"/>
      <c r="R154" s="17" t="n"/>
      <c r="S154" s="17" t="n"/>
      <c r="T154" s="101" t="n"/>
      <c r="U154" s="17" t="n"/>
    </row>
    <row r="155" ht="15" customHeight="1">
      <c r="B155" s="19" t="n"/>
      <c r="C155" s="45" t="n"/>
      <c r="D155" s="45" t="inlineStr">
        <is>
          <t xml:space="preserve"> - The measurement basis required by the applicable financial reporting framework, including what sources of data and assumptions are used and the interrelationships between them. </t>
        </is>
      </c>
      <c r="E155" s="51" t="n"/>
      <c r="F155" s="51" t="n"/>
      <c r="G155" s="51" t="n"/>
      <c r="H155" s="51" t="n"/>
      <c r="I155" s="51" t="n"/>
      <c r="J155" s="51" t="n"/>
      <c r="K155" s="51" t="n"/>
      <c r="L155" s="51" t="n"/>
      <c r="M155" s="51" t="n"/>
      <c r="N155" s="51" t="n"/>
      <c r="O155" s="51" t="n"/>
      <c r="P155" s="51" t="n"/>
      <c r="Q155" s="19" t="n"/>
      <c r="R155" s="17" t="n"/>
      <c r="S155" s="17" t="n"/>
      <c r="T155" s="101" t="n"/>
      <c r="U155" s="17" t="n"/>
    </row>
    <row r="156" ht="15" customHeight="1">
      <c r="B156" s="19" t="n"/>
      <c r="C156" s="45" t="inlineStr">
        <is>
          <t>Points to consider when reviewing the selection and application of the data include:</t>
        </is>
      </c>
      <c r="D156" s="45" t="n"/>
      <c r="E156" s="45" t="n"/>
      <c r="F156" s="45" t="n"/>
      <c r="G156" s="45" t="n"/>
      <c r="H156" s="45" t="n"/>
      <c r="I156" s="45" t="n"/>
      <c r="J156" s="45" t="n"/>
      <c r="K156" s="45" t="n"/>
      <c r="L156" s="45" t="n"/>
      <c r="M156" s="45" t="n"/>
      <c r="N156" s="45" t="n"/>
      <c r="O156" s="45" t="n"/>
      <c r="P156" s="45" t="n"/>
      <c r="Q156" s="19" t="n"/>
      <c r="R156" s="17" t="n"/>
      <c r="S156" s="17" t="n"/>
      <c r="T156" s="101" t="n"/>
      <c r="U156" s="17" t="n"/>
    </row>
    <row r="157" ht="15" customHeight="1">
      <c r="B157" s="19" t="n"/>
      <c r="C157" s="45" t="n"/>
      <c r="D157" s="45" t="inlineStr">
        <is>
          <t xml:space="preserve"> - The complexity of the process to derive the data, taking into account the relevance and reliability of the data source. </t>
        </is>
      </c>
      <c r="E157" s="45" t="n"/>
      <c r="F157" s="45" t="n"/>
      <c r="G157" s="45" t="n"/>
      <c r="H157" s="45" t="n"/>
      <c r="I157" s="45" t="n"/>
      <c r="J157" s="45" t="n"/>
      <c r="K157" s="45" t="n"/>
      <c r="L157" s="45" t="n"/>
      <c r="M157" s="45" t="n"/>
      <c r="N157" s="45" t="n"/>
      <c r="O157" s="45" t="n"/>
      <c r="P157" s="45" t="n"/>
      <c r="Q157" s="19" t="n"/>
      <c r="R157" s="17" t="n"/>
      <c r="S157" s="17" t="n"/>
      <c r="T157" s="101" t="n"/>
      <c r="U157" s="17" t="n"/>
    </row>
    <row r="158" ht="15" customHeight="1">
      <c r="B158" s="19" t="n"/>
      <c r="C158" s="45" t="n"/>
      <c r="D158" s="45" t="inlineStr">
        <is>
          <t xml:space="preserve"> - The inherent complexity in maintaining the integrity of the data. </t>
        </is>
      </c>
      <c r="E158" s="45" t="n"/>
      <c r="F158" s="45" t="n"/>
      <c r="G158" s="45" t="n"/>
      <c r="H158" s="45" t="n"/>
      <c r="I158" s="45" t="n"/>
      <c r="J158" s="45" t="n"/>
      <c r="K158" s="45" t="n"/>
      <c r="L158" s="45" t="n"/>
      <c r="M158" s="45" t="n"/>
      <c r="N158" s="45" t="n"/>
      <c r="O158" s="45" t="n"/>
      <c r="P158" s="45" t="n"/>
      <c r="Q158" s="19" t="n"/>
      <c r="R158" s="17" t="n"/>
      <c r="S158" s="17" t="n"/>
      <c r="T158" s="101" t="n"/>
      <c r="U158" s="17" t="n"/>
    </row>
    <row r="159" ht="15" customHeight="1">
      <c r="B159" s="19" t="n"/>
      <c r="C159" s="45" t="n"/>
      <c r="D159" s="45" t="inlineStr">
        <is>
          <t xml:space="preserve"> - The need to interpret complex contractual terms. </t>
        </is>
      </c>
      <c r="E159" s="45" t="n"/>
      <c r="F159" s="45" t="n"/>
      <c r="G159" s="45" t="n"/>
      <c r="H159" s="45" t="n"/>
      <c r="I159" s="45" t="n"/>
      <c r="J159" s="45" t="n"/>
      <c r="K159" s="45" t="n"/>
      <c r="L159" s="45" t="n"/>
      <c r="M159" s="45" t="n"/>
      <c r="N159" s="45" t="n"/>
      <c r="O159" s="45" t="n"/>
      <c r="P159" s="45" t="n"/>
      <c r="Q159" s="19" t="n"/>
      <c r="R159" s="17" t="n"/>
      <c r="S159" s="17" t="n"/>
      <c r="T159" s="101" t="n"/>
      <c r="U159" s="17" t="n"/>
    </row>
    <row r="160" ht="15" customHeight="1">
      <c r="B160" s="19" t="n"/>
      <c r="C160" s="76" t="inlineStr">
        <is>
          <t>Subjectivity</t>
        </is>
      </c>
      <c r="D160" s="76" t="n"/>
      <c r="E160" s="76" t="n"/>
      <c r="F160" s="76" t="n"/>
      <c r="G160" s="76" t="n"/>
      <c r="H160" s="76" t="n"/>
      <c r="I160" s="76" t="n"/>
      <c r="J160" s="76" t="n"/>
      <c r="K160" s="76" t="n"/>
      <c r="L160" s="38" t="n"/>
      <c r="M160" s="38" t="n"/>
      <c r="N160" s="38" t="n"/>
      <c r="O160" s="38" t="n"/>
      <c r="P160" s="38" t="n"/>
      <c r="Q160" s="19" t="n"/>
      <c r="R160" s="16" t="n"/>
      <c r="S160" s="16" t="n"/>
      <c r="T160" s="90" t="inlineStr">
        <is>
          <t>718.2.1.3</t>
        </is>
      </c>
      <c r="U160" s="16" t="n"/>
    </row>
    <row r="161" ht="15" customHeight="1">
      <c r="B161" s="19" t="n"/>
      <c r="C161" s="363" t="inlineStr">
        <is>
          <t>Subjectivity arises from inherent limitations in the knowledge or data reasonably available about valuation attributes. 
Points to consider when reviewing the selection and application of the method, assumptions or data include:</t>
        </is>
      </c>
      <c r="L161" s="45" t="n"/>
      <c r="M161" s="45" t="n"/>
      <c r="N161" s="45" t="n"/>
      <c r="O161" s="45" t="n"/>
      <c r="P161" s="45" t="n"/>
      <c r="Q161" s="19" t="n"/>
      <c r="R161" s="16" t="n"/>
      <c r="S161" s="16" t="n"/>
      <c r="T161" s="96" t="n"/>
      <c r="U161" s="16" t="n"/>
    </row>
    <row r="162" ht="15" customHeight="1">
      <c r="B162" s="19" t="n"/>
      <c r="L162" s="51" t="n"/>
      <c r="M162" s="51" t="n"/>
      <c r="N162" s="51" t="n"/>
      <c r="O162" s="51" t="n"/>
      <c r="P162" s="51" t="n"/>
      <c r="Q162" s="19" t="n"/>
      <c r="R162" s="17" t="n"/>
      <c r="S162" s="17" t="n"/>
      <c r="T162" s="101" t="n"/>
      <c r="U162" s="17" t="n"/>
    </row>
    <row r="163">
      <c r="B163" s="19" t="n"/>
      <c r="C163" s="45" t="n"/>
      <c r="D163" s="45" t="inlineStr">
        <is>
          <t xml:space="preserve"> - The degree to which the applicable financial reporting framework does not specify the valuation approaches, concepts, techniques and factors to use in the estimation method. </t>
        </is>
      </c>
      <c r="E163" s="51" t="n"/>
      <c r="F163" s="51" t="n"/>
      <c r="G163" s="51" t="n"/>
      <c r="H163" s="51" t="n"/>
      <c r="I163" s="51" t="n"/>
      <c r="J163" s="51" t="n"/>
      <c r="K163" s="51" t="n"/>
      <c r="L163" s="51" t="n"/>
      <c r="M163" s="51" t="n"/>
      <c r="N163" s="51" t="n"/>
      <c r="O163" s="51" t="n"/>
      <c r="P163" s="51" t="n"/>
      <c r="Q163" s="19" t="n"/>
      <c r="R163" s="17" t="n"/>
      <c r="S163" s="17" t="n"/>
      <c r="T163" s="101" t="n"/>
      <c r="U163" s="17" t="n"/>
    </row>
    <row r="164">
      <c r="B164" s="19" t="n"/>
      <c r="C164" s="48" t="n"/>
      <c r="D164" s="45" t="inlineStr">
        <is>
          <t xml:space="preserve"> - The uncertainty regarding the amount or timing. </t>
        </is>
      </c>
      <c r="E164" s="48" t="n"/>
      <c r="F164" s="48" t="n"/>
      <c r="G164" s="48" t="n"/>
      <c r="H164" s="48" t="n"/>
      <c r="I164" s="48" t="n"/>
      <c r="J164" s="48" t="n"/>
      <c r="K164" s="48" t="n"/>
      <c r="L164" s="48" t="n"/>
      <c r="M164" s="48" t="n"/>
      <c r="N164" s="48" t="n"/>
      <c r="O164" s="48" t="n"/>
      <c r="P164" s="48" t="n"/>
      <c r="Q164" s="19" t="n"/>
      <c r="R164" s="17" t="n"/>
      <c r="S164" s="17" t="n"/>
      <c r="T164" s="101" t="n"/>
      <c r="U164" s="17" t="n"/>
    </row>
    <row r="165" ht="15" customHeight="1">
      <c r="B165" s="19" t="n"/>
      <c r="C165" s="370" t="inlineStr">
        <is>
          <t>Overall conclusion on inherent risk on the accounting estimate:</t>
        </is>
      </c>
      <c r="D165" s="68" t="n"/>
      <c r="E165" s="68" t="n"/>
      <c r="F165" s="68" t="n"/>
      <c r="G165" s="68" t="n"/>
      <c r="H165" s="68" t="n"/>
      <c r="I165" s="68" t="n"/>
      <c r="J165" s="68" t="n"/>
      <c r="K165" s="68" t="n"/>
      <c r="L165" s="68" t="n"/>
      <c r="M165" s="68" t="n"/>
      <c r="N165" s="68" t="n"/>
      <c r="O165" s="68" t="n"/>
      <c r="P165" s="66" t="n"/>
      <c r="Q165" s="19" t="n"/>
      <c r="R165" s="16" t="n"/>
      <c r="S165" s="16" t="n"/>
      <c r="T165" s="96" t="n"/>
      <c r="U165" s="16" t="n"/>
    </row>
    <row r="166" ht="15" customHeight="1">
      <c r="B166" s="19" t="n"/>
      <c r="C166" s="38" t="n"/>
      <c r="D166" s="38" t="n"/>
      <c r="E166" s="38" t="n"/>
      <c r="F166" s="38" t="n"/>
      <c r="G166" s="38" t="n"/>
      <c r="H166" s="38" t="n"/>
      <c r="I166" s="38" t="n"/>
      <c r="J166" s="38" t="n"/>
      <c r="K166" s="38" t="n"/>
      <c r="L166" s="38" t="n"/>
      <c r="M166" s="38" t="n"/>
      <c r="N166" s="38" t="n"/>
      <c r="O166" s="38" t="n"/>
      <c r="P166" s="38" t="n"/>
      <c r="Q166" s="19" t="n"/>
      <c r="R166" s="16" t="n"/>
      <c r="S166" s="16" t="n"/>
      <c r="T166" s="96" t="n"/>
      <c r="U166" s="16" t="n"/>
    </row>
    <row r="167" ht="15" customHeight="1">
      <c r="B167" s="19" t="n"/>
      <c r="C167" s="76" t="inlineStr">
        <is>
          <t>The calculated level of inherent risk associated with this accounting estimate is:</t>
        </is>
      </c>
      <c r="D167" s="76" t="n"/>
      <c r="E167" s="76" t="n"/>
      <c r="F167" s="76" t="n"/>
      <c r="G167" s="76" t="n"/>
      <c r="H167" s="76" t="n"/>
      <c r="I167" s="76" t="n"/>
      <c r="J167" s="76" t="n"/>
      <c r="K167" s="76" t="n"/>
      <c r="L167" s="38" t="n"/>
      <c r="M167" s="38" t="n"/>
      <c r="N167" s="38" t="n"/>
      <c r="O167" s="38" t="n"/>
      <c r="P167" s="38" t="n"/>
      <c r="Q167" s="19" t="n"/>
      <c r="R167" s="16" t="n"/>
      <c r="S167" s="16" t="n"/>
      <c r="T167" s="96" t="n"/>
      <c r="U167" s="16" t="n"/>
    </row>
    <row r="168" ht="15" customHeight="1">
      <c r="B168" s="19" t="n"/>
      <c r="C168" s="363" t="inlineStr">
        <is>
          <t xml:space="preserve">The level of inherent risk will be calculated depending on the risk indicators selected for estimation uncertainty, subjectivity and complexity above. Low=1point, Moderate=2points and High=3points. Low inherent risk is achieved with a score below 4points, Moderate inherent risk is achieved with points from 4-6 and Significant inherent risk is achieved with excess of 6points. Please note that this is an only an indication of inherent risk and as such the auditor has the opportunity below to change this level if they, using their professional judgement, believe there are other factors which modify the inherent risk level. Any changes to the calculated level of inherent risk must be clearly documented below. </t>
        </is>
      </c>
      <c r="Q168" s="19" t="n"/>
      <c r="R168" s="16" t="n"/>
      <c r="S168" s="16" t="n"/>
      <c r="T168" s="96" t="n"/>
      <c r="U168" s="16" t="n"/>
    </row>
    <row r="169" ht="15" customHeight="1">
      <c r="B169" s="19" t="n"/>
      <c r="Q169" s="19" t="n"/>
      <c r="R169" s="16" t="n"/>
      <c r="S169" s="16" t="n"/>
      <c r="T169" s="96" t="n"/>
      <c r="U169" s="16" t="n"/>
    </row>
    <row r="170" ht="15" customHeight="1">
      <c r="B170" s="19" t="n"/>
      <c r="Q170" s="19" t="n"/>
      <c r="R170" s="16" t="n"/>
      <c r="S170" s="16" t="n"/>
      <c r="T170" s="96" t="n"/>
      <c r="U170" s="16" t="n"/>
    </row>
    <row r="171" ht="15" customHeight="1">
      <c r="B171" s="19" t="n"/>
      <c r="C171" s="363" t="inlineStr">
        <is>
          <t xml:space="preserve">Please note that this can be revised if information events occurring after the date of the financial statements may provide additional relevant information to our assessment. The reason for the revision should be documented below. </t>
        </is>
      </c>
      <c r="Q171" s="19" t="n"/>
      <c r="R171" s="16" t="n"/>
      <c r="S171" s="16" t="n"/>
      <c r="T171" s="96" t="n"/>
      <c r="U171" s="16" t="n"/>
    </row>
    <row r="172" ht="15" customHeight="1">
      <c r="B172" s="19" t="n"/>
      <c r="Q172" s="19" t="n"/>
      <c r="R172" s="16" t="n"/>
      <c r="S172" s="16" t="n"/>
      <c r="T172" s="96" t="n"/>
      <c r="U172" s="16" t="n"/>
    </row>
    <row r="173" ht="15" customHeight="1">
      <c r="B173" s="19" t="n"/>
      <c r="C173" s="76" t="inlineStr">
        <is>
          <t>Other inherent risk factors</t>
        </is>
      </c>
      <c r="D173" s="76" t="n"/>
      <c r="E173" s="76" t="n"/>
      <c r="F173" s="76" t="n"/>
      <c r="G173" s="76" t="n"/>
      <c r="H173" s="76" t="n"/>
      <c r="I173" s="76" t="n"/>
      <c r="J173" s="76" t="n"/>
      <c r="K173" s="76" t="n"/>
      <c r="L173" s="38" t="n"/>
      <c r="M173" s="38" t="n"/>
      <c r="N173" s="38" t="n"/>
      <c r="O173" s="38" t="n"/>
      <c r="P173" s="38" t="n"/>
      <c r="Q173" s="19" t="n"/>
      <c r="R173" s="16" t="n"/>
      <c r="S173" s="16" t="n"/>
      <c r="T173" s="90" t="inlineStr">
        <is>
          <t>718.2.1.4</t>
        </is>
      </c>
      <c r="U173" s="16" t="n"/>
    </row>
    <row r="174" ht="15" customHeight="1">
      <c r="B174" s="19" t="n"/>
      <c r="C174" s="363" t="inlineStr">
        <is>
          <t xml:space="preserve">Any other inherent risk factors must be documented here. Please note that presence of other inherent risk factors is likely to cause a modification to the level of inherent risk. The reason for any change to the calculated level of inherent risk should be documented below. </t>
        </is>
      </c>
      <c r="Q174" s="19" t="n"/>
      <c r="R174" s="16" t="n"/>
      <c r="S174" s="16" t="n"/>
      <c r="T174" s="96" t="n"/>
      <c r="U174" s="16" t="n"/>
    </row>
    <row r="175" ht="15" customHeight="1">
      <c r="B175" s="19" t="n"/>
      <c r="Q175" s="19" t="n"/>
      <c r="R175" s="16" t="n"/>
      <c r="S175" s="16" t="n"/>
      <c r="T175" s="96" t="n"/>
      <c r="U175" s="16" t="n"/>
    </row>
    <row r="176" ht="21.6" customHeight="1">
      <c r="B176" s="19" t="n"/>
      <c r="C176" s="363" t="inlineStr">
        <is>
          <t xml:space="preserve">The degree of subjectivity associated with an accounting estimate influences the susceptibility of the accounting estimate to misstatement due to management bias or other fraud risk factors insofar as they affect inherent risk. </t>
        </is>
      </c>
      <c r="Q176" s="19" t="n"/>
      <c r="R176" s="16" t="n"/>
      <c r="S176" s="16" t="n"/>
      <c r="T176" s="96" t="n"/>
      <c r="U176" s="16" t="n"/>
    </row>
    <row r="177" ht="15" customHeight="1">
      <c r="B177" s="19" t="n"/>
      <c r="C177" s="363" t="inlineStr">
        <is>
          <t>We must consider whether we found indicators of possible management bias in preceding periods as this may influence the planning and risk assessment procedures in the current period.</t>
        </is>
      </c>
      <c r="Q177" s="19" t="n"/>
      <c r="R177" s="16" t="n"/>
      <c r="S177" s="16" t="n"/>
      <c r="T177" s="96" t="n"/>
      <c r="U177" s="16" t="n"/>
    </row>
    <row r="178">
      <c r="B178" s="19" t="n"/>
      <c r="C178" s="76" t="inlineStr">
        <is>
          <t>Auditor's selected level of inherent risk associated with this accounting estimate is:</t>
        </is>
      </c>
      <c r="D178" s="76" t="n"/>
      <c r="E178" s="76" t="n"/>
      <c r="F178" s="76" t="n"/>
      <c r="G178" s="76" t="n"/>
      <c r="H178" s="76" t="n"/>
      <c r="I178" s="76" t="n"/>
      <c r="J178" s="76" t="n"/>
      <c r="K178" s="76" t="n"/>
      <c r="L178" s="38" t="n"/>
      <c r="M178" s="38" t="n"/>
      <c r="N178" s="38" t="n"/>
      <c r="O178" s="38" t="n"/>
      <c r="P178" s="38" t="n"/>
      <c r="Q178" s="19" t="n"/>
      <c r="R178" s="15" t="n"/>
      <c r="S178" s="15" t="n"/>
      <c r="T178" s="100" t="n"/>
      <c r="U178" s="15" t="n"/>
    </row>
    <row r="179" ht="15" customHeight="1">
      <c r="B179" s="19" t="n"/>
      <c r="C179" s="363" t="inlineStr">
        <is>
          <t xml:space="preserve">Users should select the inherent risk from the dropdown menu that they believe represents the accounting estimate. Any changes to the calculated level of inherent risk above should be clearly explained and documented below.  </t>
        </is>
      </c>
      <c r="Q179" s="19" t="n"/>
      <c r="R179" s="15" t="n"/>
      <c r="S179" s="15" t="n"/>
      <c r="T179" s="100" t="n"/>
      <c r="U179" s="15" t="n"/>
    </row>
    <row r="180">
      <c r="B180" s="19" t="n"/>
      <c r="Q180" s="19" t="n"/>
      <c r="R180" s="15" t="n"/>
      <c r="S180" s="15" t="n"/>
      <c r="T180" s="100" t="n"/>
      <c r="U180" s="15" t="n"/>
    </row>
    <row r="181" ht="15" customHeight="1">
      <c r="B181" s="19" t="n"/>
      <c r="C181" s="363" t="inlineStr">
        <is>
          <t xml:space="preserve">Please note that the level of inherent risk can be revised if information from events occurring after the date of the financial statements provide additional relevant information to our assessment. The reason for the revision should be documented below. </t>
        </is>
      </c>
      <c r="Q181" s="19" t="n"/>
      <c r="R181" s="15" t="n"/>
      <c r="S181" s="15" t="n"/>
      <c r="T181" s="100" t="n"/>
      <c r="U181" s="15" t="n"/>
    </row>
    <row r="182">
      <c r="B182" s="19" t="n"/>
      <c r="Q182" s="19" t="n"/>
      <c r="R182" s="15" t="n"/>
      <c r="S182" s="15" t="n"/>
      <c r="T182" s="100" t="n"/>
      <c r="U182" s="15" t="n"/>
    </row>
    <row r="183">
      <c r="B183" s="19" t="n"/>
      <c r="C183" s="363" t="n"/>
      <c r="D183" s="363" t="n"/>
      <c r="E183" s="363" t="n"/>
      <c r="F183" s="363" t="n"/>
      <c r="G183" s="363" t="n"/>
      <c r="H183" s="363" t="n"/>
      <c r="I183" s="363" t="n"/>
      <c r="J183" s="363" t="n"/>
      <c r="K183" s="363" t="n"/>
      <c r="L183" s="363" t="n"/>
      <c r="M183" s="363" t="n"/>
      <c r="N183" s="363" t="n"/>
      <c r="O183" s="363" t="n"/>
      <c r="P183" s="363" t="n"/>
      <c r="Q183" s="19" t="n"/>
      <c r="R183" s="15" t="n"/>
      <c r="S183" s="15" t="n"/>
      <c r="T183" s="100" t="n"/>
      <c r="U183" s="15" t="n"/>
    </row>
    <row r="184" ht="24.75" customHeight="1">
      <c r="B184" s="19" t="n"/>
      <c r="C184" s="369" t="inlineStr">
        <is>
          <t>The risk levels are:</t>
        </is>
      </c>
      <c r="Q184" s="19" t="n"/>
      <c r="R184" s="15" t="n"/>
      <c r="S184" s="15" t="n"/>
      <c r="T184" s="100" t="n"/>
      <c r="U184" s="15" t="n"/>
    </row>
    <row r="185">
      <c r="B185" s="19" t="n"/>
      <c r="C185" s="108" t="inlineStr">
        <is>
          <t>Standard risk</t>
        </is>
      </c>
      <c r="D185" s="45" t="n"/>
      <c r="E185" s="45" t="n"/>
      <c r="F185" s="45" t="n"/>
      <c r="G185" s="45" t="n"/>
      <c r="H185" s="45" t="n"/>
      <c r="I185" s="45" t="n"/>
      <c r="J185" s="45" t="n"/>
      <c r="K185" s="45" t="n"/>
      <c r="L185" s="45" t="n"/>
      <c r="M185" s="45" t="n"/>
      <c r="N185" s="45" t="n"/>
      <c r="O185" s="45" t="n"/>
      <c r="P185" s="45" t="n"/>
      <c r="Q185" s="19" t="n"/>
      <c r="R185" s="15" t="n"/>
      <c r="S185" s="15" t="n"/>
      <c r="T185" s="100" t="n"/>
      <c r="U185" s="15" t="n"/>
    </row>
    <row r="186" ht="24" customHeight="1">
      <c r="B186" s="19" t="n"/>
      <c r="C186" s="363" t="inlineStr">
        <is>
          <t xml:space="preserve">For accounting estimates where this template is complete, only an accounting estimate with low complexity and low subjectivity and low estimation uncertainty can be classified as a standard inherent risk. </t>
        </is>
      </c>
      <c r="Q186" s="19" t="n"/>
      <c r="R186" s="15" t="n"/>
      <c r="S186" s="15" t="n"/>
      <c r="T186" s="100" t="n"/>
      <c r="U186" s="15" t="n"/>
    </row>
    <row r="187">
      <c r="B187" s="19" t="n"/>
      <c r="C187" s="108" t="inlineStr">
        <is>
          <t>Enhanced risk</t>
        </is>
      </c>
      <c r="D187" s="363" t="n"/>
      <c r="E187" s="363" t="n"/>
      <c r="F187" s="363" t="n"/>
      <c r="G187" s="363" t="n"/>
      <c r="H187" s="363" t="n"/>
      <c r="I187" s="363" t="n"/>
      <c r="J187" s="363" t="n"/>
      <c r="K187" s="363" t="n"/>
      <c r="L187" s="363" t="n"/>
      <c r="M187" s="363" t="n"/>
      <c r="N187" s="363" t="n"/>
      <c r="O187" s="363" t="n"/>
      <c r="P187" s="363" t="n"/>
      <c r="Q187" s="19" t="n"/>
      <c r="R187" s="15" t="n"/>
      <c r="S187" s="15" t="n"/>
      <c r="T187" s="100" t="n"/>
      <c r="U187" s="15" t="n"/>
    </row>
    <row r="188">
      <c r="B188" s="19" t="n"/>
      <c r="C188" s="363" t="inlineStr">
        <is>
          <t xml:space="preserve">The auditor should consider the risk from each of subjectivity, complexity, estimation uncertainty and any other inherent risk factors, and also the combination of the factors.  Please read the guidance under significant risk for impact on testing methods. </t>
        </is>
      </c>
      <c r="Q188" s="19" t="n"/>
      <c r="R188" s="15" t="n"/>
      <c r="S188" s="15" t="n"/>
      <c r="T188" s="100" t="n"/>
      <c r="U188" s="15" t="n"/>
    </row>
    <row r="189">
      <c r="B189" s="19" t="n"/>
      <c r="Q189" s="19" t="n"/>
      <c r="R189" s="15" t="n"/>
      <c r="S189" s="15" t="n"/>
      <c r="T189" s="100" t="n"/>
      <c r="U189" s="15" t="n"/>
    </row>
    <row r="190">
      <c r="B190" s="19" t="n"/>
      <c r="Q190" s="19" t="n"/>
      <c r="R190" s="15" t="n"/>
      <c r="S190" s="15" t="n"/>
      <c r="T190" s="100" t="n"/>
      <c r="U190" s="15" t="n"/>
    </row>
    <row r="191">
      <c r="B191" s="19" t="n"/>
      <c r="C191" s="108" t="inlineStr">
        <is>
          <t xml:space="preserve">Significant risk </t>
        </is>
      </c>
      <c r="D191" s="363" t="n"/>
      <c r="E191" s="363" t="n"/>
      <c r="F191" s="363" t="n"/>
      <c r="G191" s="363" t="n"/>
      <c r="H191" s="363" t="n"/>
      <c r="I191" s="363" t="n"/>
      <c r="J191" s="363" t="n"/>
      <c r="K191" s="363" t="n"/>
      <c r="L191" s="363" t="n"/>
      <c r="M191" s="363" t="n"/>
      <c r="N191" s="363" t="n"/>
      <c r="O191" s="363" t="n"/>
      <c r="P191" s="363" t="n"/>
      <c r="Q191" s="19" t="n"/>
      <c r="R191" s="15" t="n"/>
      <c r="S191" s="15" t="n"/>
      <c r="T191" s="100" t="n"/>
      <c r="U191" s="15" t="n"/>
    </row>
    <row r="192" ht="15" customHeight="1">
      <c r="B192" s="19" t="n"/>
      <c r="C192" s="363" t="inlineStr">
        <is>
          <t>When considering if the accounting estimate should be a significant risk [ISA (revised) 540.17] the auditor should review the definition provided in ISA 315 (Revised 2019).</t>
        </is>
      </c>
      <c r="Q192" s="19" t="n"/>
      <c r="R192" s="15" t="n"/>
      <c r="S192" s="15" t="n"/>
      <c r="T192" s="100" t="n"/>
      <c r="U192" s="15" t="n"/>
    </row>
    <row r="193" ht="15" customHeight="1">
      <c r="B193" s="19" t="n"/>
      <c r="C193" s="367" t="inlineStr">
        <is>
          <t>A significant risk is an identified risk of material misstatement for which the assessment of inherent risk is close to the upper end of the spectrum of inherent risk due to the degree to which inherent risk factors affect the combination of the likelihood of a misstatement occurring and the magnitude of the potential misstatement should that misstatement occur.</t>
        </is>
      </c>
      <c r="Q193" s="19" t="n"/>
      <c r="R193" s="15" t="n"/>
      <c r="S193" s="15" t="n"/>
      <c r="T193" s="100" t="n"/>
      <c r="U193" s="15" t="n"/>
    </row>
    <row r="194">
      <c r="B194" s="19" t="n"/>
      <c r="Q194" s="19" t="n"/>
      <c r="R194" s="15" t="n"/>
      <c r="S194" s="15" t="n"/>
      <c r="T194" s="100" t="n"/>
      <c r="U194" s="15" t="n"/>
    </row>
    <row r="195">
      <c r="B195" s="19" t="n"/>
      <c r="C195" s="368" t="inlineStr">
        <is>
          <t>A significant risk will also be identified in these particular circumstances:</t>
        </is>
      </c>
      <c r="Q195" s="19" t="n"/>
      <c r="R195" s="15" t="n"/>
      <c r="S195" s="15" t="n"/>
      <c r="T195" s="100" t="n"/>
      <c r="U195" s="15" t="n"/>
    </row>
    <row r="196">
      <c r="B196" s="19" t="n"/>
      <c r="C196" s="45" t="n"/>
      <c r="D196" s="52" t="inlineStr">
        <is>
          <t>-          Significant related party transactions outside the entity’s normal course of business.</t>
        </is>
      </c>
      <c r="E196" s="52" t="n"/>
      <c r="F196" s="52" t="n"/>
      <c r="G196" s="52" t="n"/>
      <c r="H196" s="52" t="n"/>
      <c r="I196" s="52" t="n"/>
      <c r="J196" s="52" t="n"/>
      <c r="K196" s="52" t="n"/>
      <c r="L196" s="52" t="n"/>
      <c r="M196" s="52" t="n"/>
      <c r="N196" s="52" t="n"/>
      <c r="O196" s="52" t="n"/>
      <c r="P196" s="52" t="n"/>
      <c r="Q196" s="19" t="n"/>
      <c r="R196" s="15" t="n"/>
      <c r="S196" s="15" t="n"/>
      <c r="T196" s="100" t="n"/>
      <c r="U196" s="15" t="n"/>
    </row>
    <row r="197">
      <c r="B197" s="19" t="n"/>
      <c r="C197" s="45" t="n"/>
      <c r="D197" s="52" t="inlineStr">
        <is>
          <t>-          Risks of material misstatement due to fraud.</t>
        </is>
      </c>
      <c r="E197" s="52" t="n"/>
      <c r="F197" s="52" t="n"/>
      <c r="G197" s="52" t="n"/>
      <c r="H197" s="52" t="n"/>
      <c r="I197" s="52" t="n"/>
      <c r="J197" s="52" t="n"/>
      <c r="K197" s="52" t="n"/>
      <c r="L197" s="52" t="n"/>
      <c r="M197" s="52" t="n"/>
      <c r="N197" s="52" t="n"/>
      <c r="O197" s="52" t="n"/>
      <c r="P197" s="52" t="n"/>
      <c r="Q197" s="19" t="n"/>
      <c r="R197" s="15" t="n"/>
      <c r="S197" s="15" t="n"/>
      <c r="T197" s="100" t="n"/>
      <c r="U197" s="15" t="n"/>
    </row>
    <row r="198">
      <c r="B198" s="19" t="n"/>
      <c r="C198" s="45" t="n"/>
      <c r="D198" s="52" t="n"/>
      <c r="E198" s="52" t="n"/>
      <c r="F198" s="52" t="n"/>
      <c r="G198" s="52" t="n"/>
      <c r="H198" s="52" t="n"/>
      <c r="I198" s="52" t="n"/>
      <c r="J198" s="52" t="n"/>
      <c r="K198" s="52" t="n"/>
      <c r="L198" s="52" t="n"/>
      <c r="M198" s="52" t="n"/>
      <c r="N198" s="52" t="n"/>
      <c r="O198" s="52" t="n"/>
      <c r="P198" s="52" t="n"/>
      <c r="Q198" s="19" t="n"/>
      <c r="R198" s="15" t="n"/>
      <c r="S198" s="15" t="n"/>
      <c r="T198" s="100" t="n"/>
      <c r="U198" s="15" t="n"/>
    </row>
    <row r="199">
      <c r="B199" s="19" t="n"/>
      <c r="C199" s="363" t="n"/>
      <c r="Q199" s="19" t="n"/>
      <c r="R199" s="15" t="n"/>
      <c r="S199" s="15" t="n"/>
      <c r="T199" s="100" t="n"/>
      <c r="U199" s="15" t="n"/>
    </row>
    <row r="200">
      <c r="B200" s="19" t="n"/>
      <c r="C200" s="45" t="n"/>
      <c r="D200" s="52" t="n"/>
      <c r="E200" s="52" t="n"/>
      <c r="F200" s="52" t="n"/>
      <c r="G200" s="52" t="n"/>
      <c r="H200" s="52" t="n"/>
      <c r="I200" s="52" t="n"/>
      <c r="J200" s="52" t="n"/>
      <c r="K200" s="52" t="n"/>
      <c r="L200" s="52" t="n"/>
      <c r="M200" s="52" t="n"/>
      <c r="N200" s="52" t="n"/>
      <c r="O200" s="52" t="n"/>
      <c r="P200" s="52" t="n"/>
      <c r="Q200" s="19" t="n"/>
      <c r="R200" s="15" t="n"/>
      <c r="S200" s="15" t="n"/>
      <c r="T200" s="100" t="n"/>
      <c r="U200" s="15" t="n"/>
    </row>
    <row r="201" ht="15" customHeight="1">
      <c r="B201" s="19" t="n"/>
      <c r="C201" s="76" t="inlineStr">
        <is>
          <t>The reason for the auditor's selected level of inherent risk is due to:</t>
        </is>
      </c>
      <c r="D201" s="76" t="n"/>
      <c r="E201" s="76" t="n"/>
      <c r="F201" s="76" t="n"/>
      <c r="G201" s="76" t="n"/>
      <c r="H201" s="76" t="n"/>
      <c r="I201" s="76" t="n"/>
      <c r="J201" s="76" t="n"/>
      <c r="K201" s="38" t="n"/>
      <c r="L201" s="38" t="n"/>
      <c r="M201" s="38" t="n"/>
      <c r="N201" s="38" t="n"/>
      <c r="O201" s="38" t="n"/>
      <c r="P201" s="38" t="n"/>
      <c r="Q201" s="19" t="n"/>
      <c r="R201" s="16" t="n"/>
      <c r="S201" s="16" t="n"/>
      <c r="T201" s="96" t="n"/>
      <c r="U201" s="16" t="n"/>
    </row>
    <row r="202" ht="15" customHeight="1">
      <c r="B202" s="19" t="n"/>
      <c r="C202" s="363" t="inlineStr">
        <is>
          <t xml:space="preserve">Users should conclude how they reached the conclusion on the level of inherent risk. This should include the reason for any differences between the calculated level of inherent risk and the auditor's selected level of inherent risk. 
Auditor's should also document here if the level of inherent risk has been revised from planning due to information from events occurring after the date of the financial statements providing additional relevant information for our assessment. </t>
        </is>
      </c>
      <c r="Q202" s="19" t="n"/>
      <c r="R202" s="16" t="n"/>
      <c r="S202" s="16" t="n"/>
      <c r="T202" s="96" t="n"/>
      <c r="U202" s="16" t="n"/>
    </row>
    <row r="203" ht="15" customHeight="1">
      <c r="B203" s="19" t="n"/>
      <c r="Q203" s="19" t="n"/>
      <c r="R203" s="16" t="n"/>
      <c r="S203" s="16" t="n"/>
      <c r="T203" s="96" t="n"/>
      <c r="U203" s="16" t="n"/>
    </row>
    <row r="204" ht="15" customHeight="1">
      <c r="B204" s="19" t="n"/>
      <c r="Q204" s="19" t="n"/>
      <c r="R204" s="16" t="n"/>
      <c r="S204" s="16" t="n"/>
      <c r="T204" s="96" t="n"/>
      <c r="U204" s="16" t="n"/>
    </row>
    <row r="205">
      <c r="B205" s="19" t="n"/>
      <c r="Q205" s="19" t="n"/>
      <c r="R205" s="16" t="n"/>
      <c r="S205" s="16" t="n"/>
      <c r="T205" s="96" t="n"/>
      <c r="U205" s="16" t="n"/>
    </row>
    <row r="206" ht="40.5" customHeight="1">
      <c r="B206" s="19" t="n"/>
      <c r="C206" s="50" t="n"/>
      <c r="D206" s="50" t="n"/>
      <c r="E206" s="50" t="n"/>
      <c r="F206" s="50" t="n"/>
      <c r="G206" s="50" t="n"/>
      <c r="H206" s="50" t="n"/>
      <c r="I206" s="50" t="n"/>
      <c r="J206" s="50" t="n"/>
      <c r="K206" s="50" t="n"/>
      <c r="L206" s="50" t="n"/>
      <c r="M206" s="50" t="n"/>
      <c r="N206" s="50" t="n"/>
      <c r="O206" s="50" t="n"/>
      <c r="P206" s="50" t="n"/>
      <c r="Q206" s="19" t="n"/>
      <c r="R206" s="11" t="n"/>
      <c r="S206" s="11" t="n"/>
      <c r="T206" s="97" t="n"/>
      <c r="U206" s="11" t="n"/>
    </row>
    <row r="207" ht="21" customHeight="1">
      <c r="B207" s="19" t="n"/>
      <c r="C207" s="117" t="inlineStr">
        <is>
          <t>Control risk assessment</t>
        </is>
      </c>
      <c r="D207" s="32" t="n"/>
      <c r="E207" s="32" t="n"/>
      <c r="F207" s="32" t="n"/>
      <c r="G207" s="32" t="n"/>
      <c r="H207" s="32" t="n"/>
      <c r="I207" s="32" t="n"/>
      <c r="J207" s="32" t="n"/>
      <c r="K207" s="32" t="n"/>
      <c r="L207" s="32" t="n"/>
      <c r="M207" s="32" t="n"/>
      <c r="N207" s="32" t="n"/>
      <c r="O207" s="32" t="n"/>
      <c r="P207" s="32" t="n"/>
      <c r="Q207" s="19" t="n"/>
      <c r="R207" s="12" t="n"/>
      <c r="S207" s="12" t="n"/>
      <c r="T207" s="95" t="inlineStr">
        <is>
          <t>718.2.2</t>
        </is>
      </c>
      <c r="U207" s="12" t="n"/>
    </row>
    <row r="208">
      <c r="B208" s="19" t="n"/>
      <c r="C208" s="70" t="inlineStr">
        <is>
          <t>Control Risk [ISA (revised) 540.16 and 17]</t>
        </is>
      </c>
      <c r="D208" s="71" t="n"/>
      <c r="E208" s="71" t="n"/>
      <c r="F208" s="71" t="n"/>
      <c r="G208" s="71" t="n"/>
      <c r="H208" s="71" t="n"/>
      <c r="I208" s="71" t="n"/>
      <c r="J208" s="71" t="n"/>
      <c r="K208" s="71" t="n"/>
      <c r="L208" s="71" t="n"/>
      <c r="M208" s="71" t="n"/>
      <c r="N208" s="71" t="n"/>
      <c r="O208" s="71" t="n"/>
      <c r="P208" s="71" t="n"/>
      <c r="Q208" s="19" t="n"/>
      <c r="R208" s="11" t="n"/>
      <c r="S208" s="11" t="n"/>
      <c r="T208" s="97" t="n"/>
      <c r="U208" s="11" t="n"/>
    </row>
    <row r="209">
      <c r="B209" s="19" t="n"/>
      <c r="C209" s="109" t="inlineStr">
        <is>
          <t>Control activities associated with accounting estimates</t>
        </is>
      </c>
      <c r="D209" s="48" t="n"/>
      <c r="E209" s="48" t="n"/>
      <c r="F209" s="48" t="n"/>
      <c r="G209" s="48" t="n"/>
      <c r="H209" s="48" t="n"/>
      <c r="I209" s="48" t="n"/>
      <c r="J209" s="48" t="n"/>
      <c r="K209" s="36" t="n"/>
      <c r="L209" s="36" t="n"/>
      <c r="M209" s="36" t="n"/>
      <c r="N209" s="36" t="n"/>
      <c r="O209" s="36" t="n"/>
      <c r="P209" s="36" t="n"/>
      <c r="Q209" s="19" t="n"/>
      <c r="R209" s="11" t="n"/>
      <c r="S209" s="11" t="n"/>
      <c r="T209" s="97" t="n"/>
      <c r="U209" s="11" t="n"/>
    </row>
    <row r="210">
      <c r="B210" s="19" t="n"/>
      <c r="C210" s="48" t="inlineStr">
        <is>
          <t>THIS INFORMATION IS COPIED FROM CELLS ABOVE</t>
        </is>
      </c>
      <c r="D210" s="48" t="n"/>
      <c r="E210" s="48" t="n"/>
      <c r="F210" s="48" t="n"/>
      <c r="G210" s="48" t="n"/>
      <c r="H210" s="48" t="n"/>
      <c r="I210" s="48" t="n"/>
      <c r="J210" s="48" t="n"/>
      <c r="K210" s="36" t="n"/>
      <c r="L210" s="36" t="n"/>
      <c r="M210" s="36" t="n"/>
      <c r="N210" s="36" t="n"/>
      <c r="O210" s="36" t="n"/>
      <c r="P210" s="36" t="n"/>
      <c r="Q210" s="19" t="n"/>
      <c r="R210" s="11" t="n"/>
      <c r="S210" s="11" t="n"/>
      <c r="T210" s="97" t="n"/>
      <c r="U210" s="11" t="n"/>
    </row>
    <row r="211">
      <c r="B211" s="19" t="n"/>
      <c r="C211" s="110" t="n"/>
      <c r="D211" s="48" t="n"/>
      <c r="E211" s="48" t="n"/>
      <c r="F211" s="48" t="n"/>
      <c r="G211" s="48" t="n"/>
      <c r="H211" s="48" t="n"/>
      <c r="I211" s="48" t="n"/>
      <c r="J211" s="48" t="n"/>
      <c r="K211" s="36" t="n"/>
      <c r="L211" s="36" t="n"/>
      <c r="M211" s="36" t="n"/>
      <c r="N211" s="36" t="n"/>
      <c r="O211" s="36" t="n"/>
      <c r="P211" s="36" t="n"/>
      <c r="Q211" s="19" t="n"/>
      <c r="R211" s="11" t="n"/>
      <c r="S211" s="11" t="n"/>
      <c r="T211" s="97" t="n"/>
      <c r="U211" s="11" t="n"/>
    </row>
    <row r="212">
      <c r="B212" s="19" t="n"/>
      <c r="C212" s="48" t="n"/>
      <c r="D212" s="48" t="n"/>
      <c r="E212" s="48" t="n"/>
      <c r="F212" s="48" t="n"/>
      <c r="G212" s="48" t="n"/>
      <c r="H212" s="48" t="n"/>
      <c r="I212" s="48" t="n"/>
      <c r="J212" s="48" t="n"/>
      <c r="K212" s="36" t="n"/>
      <c r="L212" s="36" t="n"/>
      <c r="M212" s="36" t="n"/>
      <c r="N212" s="36" t="n"/>
      <c r="O212" s="36" t="n"/>
      <c r="P212" s="36" t="n"/>
      <c r="Q212" s="19" t="n"/>
      <c r="R212" s="11" t="n"/>
      <c r="S212" s="11" t="n"/>
      <c r="T212" s="97" t="n"/>
      <c r="U212" s="11" t="n"/>
    </row>
    <row r="213">
      <c r="B213" s="19" t="n"/>
      <c r="C213" s="48" t="n"/>
      <c r="D213" s="48" t="n"/>
      <c r="E213" s="48" t="n"/>
      <c r="F213" s="48" t="n"/>
      <c r="G213" s="48" t="n"/>
      <c r="H213" s="48" t="n"/>
      <c r="I213" s="48" t="n"/>
      <c r="J213" s="48" t="n"/>
      <c r="K213" s="36" t="n"/>
      <c r="L213" s="36" t="n"/>
      <c r="M213" s="36" t="n"/>
      <c r="N213" s="36" t="n"/>
      <c r="O213" s="36" t="n"/>
      <c r="P213" s="36" t="n"/>
      <c r="Q213" s="19" t="n"/>
      <c r="R213" s="11" t="n"/>
      <c r="S213" s="11" t="n"/>
      <c r="T213" s="97" t="n"/>
      <c r="U213" s="11" t="n"/>
    </row>
    <row r="214">
      <c r="B214" s="19" t="n"/>
      <c r="C214" s="36" t="n"/>
      <c r="D214" s="36" t="n"/>
      <c r="E214" s="36" t="n"/>
      <c r="F214" s="36" t="n"/>
      <c r="G214" s="36" t="n"/>
      <c r="H214" s="36" t="n"/>
      <c r="I214" s="36" t="n"/>
      <c r="J214" s="36" t="n"/>
      <c r="K214" s="36" t="n"/>
      <c r="L214" s="36" t="n"/>
      <c r="M214" s="36" t="n"/>
      <c r="N214" s="36" t="n"/>
      <c r="O214" s="36" t="n"/>
      <c r="P214" s="36" t="n"/>
      <c r="Q214" s="19" t="n"/>
      <c r="R214" s="11" t="n"/>
      <c r="S214" s="11" t="n"/>
      <c r="T214" s="97" t="n"/>
      <c r="U214" s="11" t="n"/>
    </row>
    <row r="215">
      <c r="B215" s="19" t="n"/>
      <c r="C215" s="36" t="n"/>
      <c r="D215" s="36" t="n"/>
      <c r="E215" s="36" t="n"/>
      <c r="F215" s="36" t="n"/>
      <c r="G215" s="36" t="n"/>
      <c r="H215" s="36" t="n"/>
      <c r="I215" s="36" t="n"/>
      <c r="J215" s="36" t="n"/>
      <c r="K215" s="36" t="n"/>
      <c r="L215" s="36" t="n"/>
      <c r="M215" s="36" t="n"/>
      <c r="N215" s="36" t="n"/>
      <c r="O215" s="36" t="n"/>
      <c r="P215" s="36" t="n"/>
      <c r="Q215" s="19" t="n"/>
      <c r="R215" s="11" t="n"/>
      <c r="S215" s="11" t="n"/>
      <c r="T215" s="97" t="n"/>
      <c r="U215" s="11" t="n"/>
    </row>
    <row r="216" ht="15" customHeight="1">
      <c r="B216" s="19" t="n"/>
      <c r="C216" s="36" t="n"/>
      <c r="D216" s="36" t="n"/>
      <c r="E216" s="36" t="n"/>
      <c r="F216" s="36" t="n"/>
      <c r="G216" s="36" t="n"/>
      <c r="H216" s="36" t="n"/>
      <c r="I216" s="36" t="n"/>
      <c r="J216" s="36" t="n"/>
      <c r="K216" s="36" t="n"/>
      <c r="L216" s="36" t="n"/>
      <c r="M216" s="36" t="n"/>
      <c r="N216" s="36" t="n"/>
      <c r="O216" s="36" t="n"/>
      <c r="P216" s="36" t="n"/>
      <c r="Q216" s="19" t="n"/>
      <c r="T216" s="90" t="n"/>
    </row>
    <row r="217" ht="15" customHeight="1">
      <c r="B217" s="19" t="n"/>
      <c r="C217" s="72" t="inlineStr">
        <is>
          <t>Will we rely on the control operating effectively?</t>
        </is>
      </c>
      <c r="D217" s="34" t="n"/>
      <c r="E217" s="34" t="n"/>
      <c r="F217" s="34" t="n"/>
      <c r="G217" s="34" t="n"/>
      <c r="H217" s="35" t="n"/>
      <c r="I217" s="36" t="n"/>
      <c r="J217" s="36" t="n"/>
      <c r="K217" s="36" t="n"/>
      <c r="L217" s="36" t="n"/>
      <c r="M217" s="36" t="n"/>
      <c r="N217" s="36" t="n"/>
      <c r="O217" s="36" t="n"/>
      <c r="P217" s="36" t="n"/>
      <c r="Q217" s="19" t="n"/>
      <c r="R217" s="16" t="n"/>
      <c r="S217" s="16" t="n"/>
      <c r="T217" s="96" t="n"/>
      <c r="U217" s="16" t="n"/>
    </row>
    <row r="218" ht="15" customHeight="1">
      <c r="B218" s="19" t="n"/>
      <c r="C218" s="363" t="inlineStr">
        <is>
          <t>Please note where substantive procedures alone cannot provide sufficient appropriate audit evidence at the assertion level we require to test whether the controls are operating effectively. [ISA (revised) 540.19]</t>
        </is>
      </c>
      <c r="Q218" s="19" t="n"/>
      <c r="R218" s="18" t="n"/>
      <c r="S218" s="18" t="n"/>
      <c r="T218" s="102" t="n"/>
      <c r="U218" s="18" t="n"/>
    </row>
    <row r="219" ht="15" customHeight="1">
      <c r="B219" s="19" t="n"/>
      <c r="Q219" s="19" t="n"/>
      <c r="R219" s="18" t="n"/>
      <c r="S219" s="18" t="n"/>
      <c r="T219" s="102" t="n"/>
      <c r="U219" s="18" t="n"/>
    </row>
    <row r="220" ht="15.75" customHeight="1">
      <c r="B220" s="19" t="n"/>
      <c r="C220" s="363" t="inlineStr">
        <is>
          <t xml:space="preserve">For accounting estimates with a higher risk of inherent risk, specifically those with a high risk of complexity, we should consider whether testing controls would be an effective testing method.  ISA (revised) 540 A85. </t>
        </is>
      </c>
      <c r="Q220" s="19" t="n"/>
      <c r="R220" s="18" t="n"/>
      <c r="S220" s="18" t="n"/>
      <c r="T220" s="102" t="n"/>
      <c r="U220" s="18" t="n"/>
    </row>
    <row r="221" ht="15.75" customHeight="1">
      <c r="B221" s="19" t="n"/>
      <c r="Q221" s="19" t="n"/>
      <c r="R221" s="18" t="n"/>
      <c r="S221" s="18" t="n"/>
      <c r="T221" s="102" t="n"/>
      <c r="U221" s="18" t="n"/>
    </row>
    <row r="222" ht="15" customHeight="1">
      <c r="B222" s="19" t="n"/>
      <c r="C222" s="73" t="inlineStr">
        <is>
          <t>Planned control reliance:</t>
        </is>
      </c>
      <c r="D222" s="74" t="n"/>
      <c r="E222" s="32" t="n"/>
      <c r="F222" s="39" t="n"/>
      <c r="G222" s="39" t="n"/>
      <c r="H222" s="39" t="n"/>
      <c r="I222" s="39" t="n"/>
      <c r="J222" s="39" t="n"/>
      <c r="K222" s="39" t="n"/>
      <c r="L222" s="39" t="n"/>
      <c r="M222" s="39" t="n"/>
      <c r="N222" s="39" t="n"/>
      <c r="O222" s="39" t="n"/>
      <c r="P222" s="39" t="n"/>
      <c r="Q222" s="19" t="n"/>
      <c r="T222" s="90" t="n"/>
    </row>
    <row r="223" ht="15" customHeight="1">
      <c r="B223" s="19" t="n"/>
      <c r="C223" s="37" t="n"/>
      <c r="D223" s="37" t="n"/>
      <c r="E223" s="37" t="n"/>
      <c r="F223" s="37" t="n"/>
      <c r="G223" s="37" t="n"/>
      <c r="H223" s="37" t="n"/>
      <c r="I223" s="37" t="n"/>
      <c r="J223" s="37" t="n"/>
      <c r="K223" s="37" t="n"/>
      <c r="L223" s="37" t="n"/>
      <c r="M223" s="37" t="n"/>
      <c r="N223" s="37" t="n"/>
      <c r="O223" s="37" t="n"/>
      <c r="P223" s="37" t="n"/>
      <c r="Q223" s="19" t="n"/>
      <c r="T223" s="90" t="n"/>
    </row>
    <row r="224" ht="15" customHeight="1">
      <c r="B224" s="19" t="n"/>
      <c r="C224" s="37" t="n"/>
      <c r="D224" s="37" t="n"/>
      <c r="E224" s="37" t="n"/>
      <c r="F224" s="37" t="n"/>
      <c r="G224" s="37" t="n"/>
      <c r="H224" s="37" t="n"/>
      <c r="I224" s="37" t="n"/>
      <c r="J224" s="37" t="n"/>
      <c r="K224" s="37" t="n"/>
      <c r="L224" s="37" t="n"/>
      <c r="M224" s="37" t="n"/>
      <c r="N224" s="37" t="n"/>
      <c r="O224" s="37" t="n"/>
      <c r="P224" s="37" t="n"/>
      <c r="Q224" s="19" t="n"/>
      <c r="T224" s="90" t="n"/>
    </row>
    <row r="225" ht="15" customHeight="1">
      <c r="B225" s="19" t="n"/>
      <c r="C225" s="45" t="inlineStr">
        <is>
          <t xml:space="preserve">The template will then show what the control risk is dependent on the control reliance above. </t>
        </is>
      </c>
      <c r="D225" s="45" t="n"/>
      <c r="E225" s="45" t="n"/>
      <c r="F225" s="45" t="n"/>
      <c r="G225" s="45" t="n"/>
      <c r="H225" s="45" t="n"/>
      <c r="I225" s="45" t="n"/>
      <c r="J225" s="45" t="n"/>
      <c r="K225" s="45" t="n"/>
      <c r="L225" s="45" t="n"/>
      <c r="M225" s="45" t="n"/>
      <c r="N225" s="45" t="n"/>
      <c r="O225" s="45" t="n"/>
      <c r="P225" s="45" t="n"/>
      <c r="Q225" s="19" t="n"/>
      <c r="T225" s="90" t="n"/>
    </row>
    <row r="226" ht="15" customHeight="1">
      <c r="B226" s="19" t="n"/>
      <c r="C226" s="363" t="inlineStr">
        <is>
          <t xml:space="preserve">Where we plan to perform evaluation of design and implementation and effectiveness see ISA 330 and MAM 602 for full details on testing of controls. </t>
        </is>
      </c>
      <c r="Q226" s="19" t="n"/>
      <c r="T226" s="90" t="n"/>
    </row>
    <row r="227" ht="15" customHeight="1">
      <c r="B227" s="19" t="n"/>
      <c r="Q227" s="19" t="n"/>
      <c r="R227" s="18" t="n"/>
      <c r="S227" s="18" t="n"/>
      <c r="T227" s="102" t="n"/>
      <c r="U227" s="18" t="n"/>
    </row>
    <row r="228" ht="15" customHeight="1">
      <c r="B228" s="19" t="n"/>
      <c r="C228" s="73" t="inlineStr">
        <is>
          <t>Reason for assessment of control reliance:</t>
        </is>
      </c>
      <c r="D228" s="111" t="n"/>
      <c r="E228" s="111" t="n"/>
      <c r="F228" s="111" t="n"/>
      <c r="G228" s="111" t="n"/>
      <c r="H228" s="111" t="n"/>
      <c r="I228" s="38" t="n"/>
      <c r="J228" s="38" t="n"/>
      <c r="K228" s="38" t="n"/>
      <c r="L228" s="38" t="n"/>
      <c r="M228" s="38" t="n"/>
      <c r="N228" s="38" t="n"/>
      <c r="O228" s="38" t="n"/>
      <c r="P228" s="38" t="n"/>
      <c r="Q228" s="19" t="n"/>
      <c r="R228" s="18" t="n"/>
      <c r="S228" s="18" t="n"/>
      <c r="T228" s="102" t="n"/>
      <c r="U228" s="18" t="n"/>
    </row>
    <row r="229" ht="15" customHeight="1">
      <c r="B229" s="19" t="n"/>
      <c r="C229" s="45" t="inlineStr">
        <is>
          <t xml:space="preserve">The user should document how they reached their conclusion on the planned control reliance. </t>
        </is>
      </c>
      <c r="D229" s="48" t="n"/>
      <c r="E229" s="48" t="n"/>
      <c r="F229" s="48" t="n"/>
      <c r="G229" s="48" t="n"/>
      <c r="H229" s="48" t="n"/>
      <c r="I229" s="48" t="n"/>
      <c r="J229" s="48" t="n"/>
      <c r="K229" s="36" t="n"/>
      <c r="L229" s="36" t="n"/>
      <c r="M229" s="36" t="n"/>
      <c r="N229" s="36" t="n"/>
      <c r="O229" s="36" t="n"/>
      <c r="P229" s="36" t="n"/>
      <c r="Q229" s="19" t="n"/>
      <c r="R229" s="18" t="n"/>
      <c r="S229" s="18" t="n"/>
      <c r="T229" s="102" t="n"/>
      <c r="U229" s="18" t="n"/>
    </row>
    <row r="230" ht="15" customHeight="1">
      <c r="B230" s="19" t="n"/>
      <c r="C230" s="36" t="n"/>
      <c r="D230" s="36" t="n"/>
      <c r="E230" s="36" t="n"/>
      <c r="F230" s="36" t="n"/>
      <c r="G230" s="36" t="n"/>
      <c r="H230" s="36" t="n"/>
      <c r="I230" s="36" t="n"/>
      <c r="J230" s="36" t="n"/>
      <c r="K230" s="36" t="n"/>
      <c r="L230" s="36" t="n"/>
      <c r="M230" s="36" t="n"/>
      <c r="N230" s="36" t="n"/>
      <c r="O230" s="36" t="n"/>
      <c r="P230" s="36" t="n"/>
      <c r="Q230" s="19" t="n"/>
      <c r="R230" s="18" t="n"/>
      <c r="S230" s="18" t="n"/>
      <c r="T230" s="102" t="n"/>
      <c r="U230" s="18" t="n"/>
    </row>
    <row r="231" ht="15" customHeight="1">
      <c r="B231" s="19" t="n"/>
      <c r="C231" s="36" t="n"/>
      <c r="D231" s="36" t="n"/>
      <c r="E231" s="36" t="n"/>
      <c r="F231" s="36" t="n"/>
      <c r="G231" s="36" t="n"/>
      <c r="H231" s="36" t="n"/>
      <c r="I231" s="36" t="n"/>
      <c r="J231" s="36" t="n"/>
      <c r="K231" s="36" t="n"/>
      <c r="L231" s="36" t="n"/>
      <c r="M231" s="36" t="n"/>
      <c r="N231" s="36" t="n"/>
      <c r="O231" s="36" t="n"/>
      <c r="P231" s="36" t="n"/>
      <c r="Q231" s="19" t="n"/>
      <c r="T231" s="90" t="n"/>
    </row>
    <row r="232" ht="11.1" customHeight="1">
      <c r="B232" s="19" t="n"/>
      <c r="C232" s="19" t="n"/>
      <c r="D232" s="19" t="n"/>
      <c r="E232" s="19" t="n"/>
      <c r="F232" s="19" t="n"/>
      <c r="G232" s="19" t="n"/>
      <c r="H232" s="19" t="n"/>
      <c r="I232" s="19" t="n"/>
      <c r="J232" s="19" t="n"/>
      <c r="K232" s="19" t="n"/>
      <c r="L232" s="19" t="n"/>
      <c r="M232" s="19" t="n"/>
      <c r="N232" s="19" t="n"/>
      <c r="O232" s="19" t="n"/>
      <c r="P232" s="19" t="n"/>
      <c r="Q232" s="19" t="n"/>
      <c r="T232" s="90" t="n"/>
    </row>
    <row r="233" ht="15" customHeight="1">
      <c r="T233" s="90" t="n"/>
    </row>
    <row r="234" hidden="1" ht="26.25" customHeight="1">
      <c r="B234" s="366" t="inlineStr">
        <is>
          <t>GUIDANCE MATERIAL</t>
        </is>
      </c>
      <c r="T234" s="90" t="n"/>
    </row>
    <row r="235" ht="23.25" customFormat="1" customHeight="1" s="120">
      <c r="B235" s="119" t="inlineStr">
        <is>
          <t>STEP 3:   RESPONSES TO THE ASSESSED RISKS OF MATERIAL MISSTATEMENT</t>
        </is>
      </c>
      <c r="T235" s="121" t="n"/>
    </row>
    <row r="236" ht="15" customHeight="1">
      <c r="B236" s="19" t="n"/>
      <c r="C236" s="19" t="n"/>
      <c r="D236" s="19" t="n"/>
      <c r="E236" s="19" t="n"/>
      <c r="F236" s="19" t="n"/>
      <c r="G236" s="19" t="n"/>
      <c r="H236" s="19" t="n"/>
      <c r="I236" s="19" t="n"/>
      <c r="J236" s="19" t="n"/>
      <c r="K236" s="19" t="n"/>
      <c r="L236" s="19" t="n"/>
      <c r="M236" s="19" t="n"/>
      <c r="N236" s="19" t="n"/>
      <c r="O236" s="19" t="n"/>
      <c r="P236" s="19" t="n"/>
      <c r="Q236" s="19" t="n"/>
      <c r="T236" s="90" t="n"/>
    </row>
    <row r="237" ht="21" customHeight="1">
      <c r="B237" s="19" t="n"/>
      <c r="C237" s="117" t="inlineStr">
        <is>
          <t>Risk of material misstatement</t>
        </is>
      </c>
      <c r="D237" s="32" t="n"/>
      <c r="E237" s="32" t="n"/>
      <c r="F237" s="32" t="n"/>
      <c r="G237" s="32" t="n"/>
      <c r="H237" s="32" t="n"/>
      <c r="I237" s="32" t="n"/>
      <c r="J237" s="32" t="n"/>
      <c r="K237" s="32" t="n"/>
      <c r="L237" s="32" t="n"/>
      <c r="M237" s="32" t="n"/>
      <c r="N237" s="32" t="n"/>
      <c r="O237" s="32" t="n"/>
      <c r="P237" s="32" t="n"/>
      <c r="Q237" s="19" t="n"/>
      <c r="R237" s="12" t="n"/>
      <c r="S237" s="12" t="n"/>
      <c r="T237" s="95" t="n"/>
      <c r="U237" s="12" t="n"/>
    </row>
    <row r="238" ht="4.5" customHeight="1">
      <c r="B238" s="19" t="n"/>
      <c r="C238" s="112" t="n"/>
      <c r="D238" s="112" t="n"/>
      <c r="E238" s="112" t="n"/>
      <c r="F238" s="112" t="n"/>
      <c r="G238" s="112" t="n"/>
      <c r="H238" s="112" t="n"/>
      <c r="I238" s="112" t="n"/>
      <c r="J238" s="112" t="n"/>
      <c r="K238" s="112" t="n"/>
      <c r="L238" s="112" t="n"/>
      <c r="M238" s="112" t="n"/>
      <c r="N238" s="112" t="n"/>
      <c r="O238" s="112" t="n"/>
      <c r="P238" s="112" t="n"/>
      <c r="Q238" s="19" t="n"/>
      <c r="T238" s="90" t="n"/>
    </row>
    <row r="239" hidden="1" ht="15" customHeight="1">
      <c r="B239" s="19" t="n"/>
      <c r="C239" s="23" t="n"/>
      <c r="D239" s="23" t="n"/>
      <c r="E239" s="23" t="n"/>
      <c r="F239" s="23" t="n"/>
      <c r="G239" s="23" t="n"/>
      <c r="H239" s="23" t="n"/>
      <c r="I239" s="23" t="n"/>
      <c r="J239" s="23" t="n"/>
      <c r="K239" s="23" t="n"/>
      <c r="L239" s="23" t="n"/>
      <c r="M239" s="23" t="n"/>
      <c r="N239" s="23" t="n"/>
      <c r="O239" s="23" t="n"/>
      <c r="P239" s="23" t="n"/>
      <c r="Q239" s="19" t="n"/>
      <c r="T239" s="90" t="n"/>
    </row>
    <row r="240" ht="15" customHeight="1">
      <c r="B240" s="19" t="n"/>
      <c r="C240" s="33" t="inlineStr">
        <is>
          <t>The risk of material misstatement associated with the accounting estimate is:</t>
        </is>
      </c>
      <c r="D240" s="32" t="n"/>
      <c r="E240" s="32" t="n"/>
      <c r="F240" s="32" t="n"/>
      <c r="G240" s="32" t="n"/>
      <c r="H240" s="32" t="n"/>
      <c r="I240" s="32" t="n"/>
      <c r="J240" s="32" t="n"/>
      <c r="K240" s="32" t="n"/>
      <c r="L240" s="38" t="n"/>
      <c r="M240" s="38" t="n"/>
      <c r="N240" s="38" t="n"/>
      <c r="O240" s="38" t="n"/>
      <c r="P240" s="38" t="n"/>
      <c r="Q240" s="19" t="n"/>
      <c r="T240" s="90" t="inlineStr">
        <is>
          <t>718.3</t>
        </is>
      </c>
    </row>
    <row r="241" ht="3.75" customHeight="1">
      <c r="B241" s="19" t="n"/>
      <c r="C241" s="22" t="n"/>
      <c r="D241" s="22" t="n"/>
      <c r="E241" s="22" t="n"/>
      <c r="F241" s="22" t="n"/>
      <c r="G241" s="22" t="n"/>
      <c r="H241" s="22" t="n"/>
      <c r="I241" s="22" t="n"/>
      <c r="J241" s="22" t="n"/>
      <c r="K241" s="22" t="n"/>
      <c r="L241" s="22" t="n"/>
      <c r="M241" s="22" t="n"/>
      <c r="N241" s="22" t="n"/>
      <c r="O241" s="22" t="n"/>
      <c r="P241" s="22" t="n"/>
      <c r="Q241" s="19" t="n"/>
      <c r="T241" s="90" t="n"/>
    </row>
    <row r="242" ht="15" customHeight="1">
      <c r="B242" s="19" t="n"/>
      <c r="C242" s="45" t="inlineStr">
        <is>
          <t>Our further audit procedures should include one or more of the following approaches:</t>
        </is>
      </c>
      <c r="D242" s="45" t="n"/>
      <c r="E242" s="48" t="n"/>
      <c r="F242" s="48" t="n"/>
      <c r="G242" s="48" t="n"/>
      <c r="H242" s="48" t="n"/>
      <c r="I242" s="48" t="n"/>
      <c r="J242" s="48" t="n"/>
      <c r="K242" s="48" t="n"/>
      <c r="L242" s="48" t="n"/>
      <c r="M242" s="48" t="n"/>
      <c r="N242" s="48" t="n"/>
      <c r="O242" s="48" t="n"/>
      <c r="P242" s="48" t="n"/>
      <c r="Q242" s="19" t="n"/>
      <c r="R242" s="18" t="n"/>
      <c r="S242" s="18" t="n"/>
      <c r="T242" s="102" t="n"/>
      <c r="U242" s="18" t="n"/>
    </row>
    <row r="243" ht="15" customHeight="1">
      <c r="B243" s="19" t="n"/>
      <c r="C243" s="45" t="n"/>
      <c r="D243" s="45" t="inlineStr">
        <is>
          <t xml:space="preserve"> - Obtaining audit evidence from events occurring up to the date of the auditor's report; [ISA (revised) 540.21]</t>
        </is>
      </c>
      <c r="E243" s="48" t="n"/>
      <c r="F243" s="48" t="n"/>
      <c r="G243" s="48" t="n"/>
      <c r="H243" s="48" t="n"/>
      <c r="I243" s="48" t="n"/>
      <c r="J243" s="48" t="n"/>
      <c r="K243" s="48" t="n"/>
      <c r="L243" s="48" t="n"/>
      <c r="M243" s="48" t="n"/>
      <c r="N243" s="48" t="n"/>
      <c r="O243" s="48" t="n"/>
      <c r="P243" s="48" t="n"/>
      <c r="Q243" s="19" t="n"/>
      <c r="T243" s="90" t="n"/>
    </row>
    <row r="244" ht="15" customHeight="1">
      <c r="B244" s="19" t="n"/>
      <c r="C244" s="45" t="n"/>
      <c r="D244" s="45" t="inlineStr">
        <is>
          <t xml:space="preserve"> - Testing how management made the accounting estimate; or [ISA (revised) 540.22 - 27]</t>
        </is>
      </c>
      <c r="E244" s="48" t="n"/>
      <c r="F244" s="48" t="n"/>
      <c r="G244" s="48" t="n"/>
      <c r="H244" s="48" t="n"/>
      <c r="I244" s="48" t="n"/>
      <c r="J244" s="48" t="n"/>
      <c r="K244" s="48" t="n"/>
      <c r="L244" s="48" t="n"/>
      <c r="M244" s="48" t="n"/>
      <c r="N244" s="48" t="n"/>
      <c r="O244" s="48" t="n"/>
      <c r="P244" s="48" t="n"/>
      <c r="Q244" s="19" t="n"/>
      <c r="T244" s="90" t="n"/>
    </row>
    <row r="245" ht="15" customHeight="1">
      <c r="B245" s="19" t="n"/>
      <c r="C245" s="45" t="n"/>
      <c r="D245" s="45" t="inlineStr">
        <is>
          <t xml:space="preserve"> - Developing an auditor's point estimate or range [ ISA (revised) 540.28]</t>
        </is>
      </c>
      <c r="E245" s="48" t="n"/>
      <c r="F245" s="48" t="n"/>
      <c r="G245" s="48" t="n"/>
      <c r="H245" s="48" t="n"/>
      <c r="I245" s="48" t="n"/>
      <c r="J245" s="48" t="n"/>
      <c r="K245" s="48" t="n"/>
      <c r="L245" s="48" t="n"/>
      <c r="M245" s="48" t="n"/>
      <c r="N245" s="48" t="n"/>
      <c r="O245" s="48" t="n"/>
      <c r="P245" s="48" t="n"/>
      <c r="Q245" s="19" t="n"/>
      <c r="T245" s="90" t="n"/>
    </row>
    <row r="246" ht="25.5" customHeight="1">
      <c r="B246" s="19" t="n"/>
      <c r="C246" s="363" t="inlineStr">
        <is>
          <t xml:space="preserve">We shall design and perform further audit procedures in a manner that is not biased towards obtaining audit evidence that may be corroborative or towards excluding audit evidence that may be contradictory. </t>
        </is>
      </c>
      <c r="Q246" s="19" t="n"/>
      <c r="T246" s="90" t="n"/>
    </row>
    <row r="247" ht="43.5" customHeight="1">
      <c r="B247" s="19" t="n"/>
      <c r="C247" s="363" t="inlineStr">
        <is>
          <t xml:space="preserve">For accounting estimates with higher risk ratings [including significant and enhanced risk assessments], we should consider calculating our own range or point estimate in addition to testing management's estimate. We should also consider whether testing of controls is possible. Control testing may be especially well suited to accounting estimates that are inherently complex. </t>
        </is>
      </c>
      <c r="Q247" s="19" t="n"/>
      <c r="T247" s="90" t="n"/>
    </row>
    <row r="248" ht="25.5" customHeight="1">
      <c r="B248" s="19" t="n"/>
      <c r="C248" s="310" t="inlineStr">
        <is>
          <t>LINK TO IAASB FLOW CHART ON TESTING METHODS</t>
        </is>
      </c>
      <c r="D248" s="113" t="n"/>
      <c r="E248" s="113" t="n"/>
      <c r="F248" s="113" t="n"/>
      <c r="G248" s="113" t="n"/>
      <c r="H248" s="113" t="n"/>
      <c r="I248" s="113" t="n"/>
      <c r="J248" s="113" t="n"/>
      <c r="K248" s="113" t="n"/>
      <c r="L248" s="113" t="n"/>
      <c r="M248" s="113" t="n"/>
      <c r="N248" s="113" t="n"/>
      <c r="O248" s="113" t="n"/>
      <c r="P248" s="113" t="n"/>
      <c r="Q248" s="19" t="n"/>
      <c r="T248" s="90" t="n"/>
    </row>
    <row r="249" ht="15" customHeight="1">
      <c r="B249" s="19" t="n"/>
      <c r="C249" s="33" t="inlineStr">
        <is>
          <t>Planned responses [ISA (revised) 540.18]</t>
        </is>
      </c>
      <c r="D249" s="111" t="n"/>
      <c r="E249" s="111" t="n"/>
      <c r="F249" s="111" t="n"/>
      <c r="G249" s="111" t="n"/>
      <c r="H249" s="111" t="n"/>
      <c r="I249" s="111" t="n"/>
      <c r="J249" s="111" t="n"/>
      <c r="K249" s="111" t="n"/>
      <c r="L249" s="111" t="n"/>
      <c r="M249" s="111" t="n"/>
      <c r="N249" s="111" t="n"/>
      <c r="O249" s="111" t="n"/>
      <c r="P249" s="111" t="n"/>
      <c r="Q249" s="19" t="n"/>
      <c r="T249" s="90" t="n"/>
    </row>
    <row r="250" ht="15" customHeight="1">
      <c r="B250" s="19" t="n"/>
      <c r="C250" s="114" t="inlineStr">
        <is>
          <t xml:space="preserve"> Obtaining audit evidence from events occurring up to the date of the auditor's report; [ISA (revised) 540.21]</t>
        </is>
      </c>
      <c r="D250" s="45" t="n"/>
      <c r="E250" s="45" t="n"/>
      <c r="F250" s="45" t="n"/>
      <c r="G250" s="45" t="n"/>
      <c r="H250" s="45" t="n"/>
      <c r="I250" s="45" t="n"/>
      <c r="J250" s="45" t="n"/>
      <c r="K250" s="45" t="n"/>
      <c r="L250" s="45" t="n"/>
      <c r="M250" s="45" t="n"/>
      <c r="N250" s="45" t="n"/>
      <c r="O250" s="45" t="n"/>
      <c r="P250" s="45" t="n"/>
      <c r="Q250" s="19" t="n"/>
      <c r="T250" s="90" t="n"/>
    </row>
    <row r="251" ht="15" customHeight="1">
      <c r="B251" s="19" t="n"/>
      <c r="C251" s="363" t="inlineStr">
        <is>
          <t xml:space="preserve">Auditors should we aware that due to the measurement objective of fair value accounting estimates, information after the period-end may not reflect the vents or conditions existing at the balance sheet date and therefore may not be relevant to the measurement of the fair value accounting estimate. </t>
        </is>
      </c>
      <c r="Q251" s="19" t="n"/>
      <c r="T251" s="90" t="n"/>
    </row>
    <row r="252" ht="15" customHeight="1">
      <c r="B252" s="19" t="n"/>
      <c r="Q252" s="19" t="n"/>
      <c r="T252" s="90" t="n"/>
    </row>
    <row r="253" ht="15" customHeight="1">
      <c r="B253" s="19" t="n"/>
      <c r="C253" s="363" t="inlineStr">
        <is>
          <t xml:space="preserve">Even if this approach is not selected, we need to comply with ISA 560 by performing audit procedures in order to obtain sufficient appropriate audit evidence that all events occurring between the date of the financial statements and the date of the auditor's report that require adjustment of, or disclosure in, the financial statements have been identified and appropriately reflected in the financial statements. </t>
        </is>
      </c>
      <c r="Q253" s="19" t="n"/>
      <c r="T253" s="90" t="n"/>
    </row>
    <row r="254" ht="15" customHeight="1">
      <c r="B254" s="19" t="n"/>
      <c r="Q254" s="19" t="n"/>
      <c r="T254" s="90" t="n"/>
    </row>
    <row r="255" ht="15" customHeight="1">
      <c r="B255" s="19" t="n"/>
      <c r="Q255" s="19" t="n"/>
      <c r="T255" s="90" t="n"/>
    </row>
    <row r="256" ht="15" customHeight="1">
      <c r="B256" s="19" t="n"/>
      <c r="C256" s="45" t="n"/>
      <c r="D256" s="45" t="n"/>
      <c r="E256" s="45" t="n"/>
      <c r="F256" s="45" t="n"/>
      <c r="G256" s="45" t="n"/>
      <c r="H256" s="45" t="n"/>
      <c r="I256" s="45" t="n"/>
      <c r="J256" s="45" t="n"/>
      <c r="K256" s="45" t="n"/>
      <c r="L256" s="45" t="n"/>
      <c r="M256" s="45" t="n"/>
      <c r="N256" s="45" t="n"/>
      <c r="O256" s="45" t="n"/>
      <c r="P256" s="45" t="n"/>
      <c r="Q256" s="19" t="n"/>
      <c r="T256" s="90" t="n"/>
    </row>
    <row r="257" ht="15" customHeight="1">
      <c r="B257" s="19" t="n"/>
      <c r="C257" s="114" t="inlineStr">
        <is>
          <t xml:space="preserve"> Testing how management made the accounting estimate; or [ISA (revised) 540.22 - 27]</t>
        </is>
      </c>
      <c r="D257" s="45" t="n"/>
      <c r="E257" s="45" t="n"/>
      <c r="F257" s="45" t="n"/>
      <c r="G257" s="45" t="n"/>
      <c r="H257" s="45" t="n"/>
      <c r="I257" s="45" t="n"/>
      <c r="J257" s="45" t="n"/>
      <c r="K257" s="45" t="n"/>
      <c r="L257" s="45" t="n"/>
      <c r="M257" s="45" t="n"/>
      <c r="N257" s="45" t="n"/>
      <c r="O257" s="45" t="n"/>
      <c r="P257" s="45" t="n"/>
      <c r="Q257" s="19" t="n"/>
      <c r="T257" s="90" t="n"/>
    </row>
    <row r="258" ht="15" customHeight="1">
      <c r="B258" s="19" t="n"/>
      <c r="C258" s="45" t="inlineStr">
        <is>
          <t>This may be an appropriate response when:</t>
        </is>
      </c>
      <c r="D258" s="45" t="n"/>
      <c r="E258" s="45" t="n"/>
      <c r="F258" s="45" t="n"/>
      <c r="G258" s="45" t="n"/>
      <c r="H258" s="45" t="n"/>
      <c r="I258" s="45" t="n"/>
      <c r="J258" s="45" t="n"/>
      <c r="K258" s="45" t="n"/>
      <c r="L258" s="45" t="n"/>
      <c r="M258" s="45" t="n"/>
      <c r="N258" s="45" t="n"/>
      <c r="O258" s="45" t="n"/>
      <c r="P258" s="45" t="n"/>
      <c r="Q258" s="19" t="n"/>
      <c r="T258" s="90" t="n"/>
    </row>
    <row r="259" ht="15" customHeight="1">
      <c r="B259" s="19" t="n"/>
      <c r="C259" s="45" t="n"/>
      <c r="D259" s="45" t="inlineStr">
        <is>
          <t xml:space="preserve"> - Our review of similar accounting estimates made in the prior period financial statements suggests that management's current period process is appropriate. </t>
        </is>
      </c>
      <c r="E259" s="45" t="n"/>
      <c r="F259" s="45" t="n"/>
      <c r="G259" s="45" t="n"/>
      <c r="H259" s="45" t="n"/>
      <c r="I259" s="45" t="n"/>
      <c r="J259" s="45" t="n"/>
      <c r="K259" s="45" t="n"/>
      <c r="L259" s="45" t="n"/>
      <c r="M259" s="45" t="n"/>
      <c r="N259" s="45" t="n"/>
      <c r="O259" s="45" t="n"/>
      <c r="P259" s="45" t="n"/>
      <c r="Q259" s="19" t="n"/>
      <c r="T259" s="90" t="n"/>
    </row>
    <row r="260" ht="15" customHeight="1">
      <c r="B260" s="19" t="n"/>
      <c r="C260" s="45" t="n"/>
      <c r="D260" s="45" t="inlineStr">
        <is>
          <t xml:space="preserve"> - The accounting estimate is based on a large population of items of a similar nature that individually are not significant. </t>
        </is>
      </c>
      <c r="E260" s="45" t="n"/>
      <c r="F260" s="45" t="n"/>
      <c r="G260" s="45" t="n"/>
      <c r="H260" s="45" t="n"/>
      <c r="I260" s="45" t="n"/>
      <c r="J260" s="45" t="n"/>
      <c r="K260" s="45" t="n"/>
      <c r="L260" s="45" t="n"/>
      <c r="M260" s="45" t="n"/>
      <c r="N260" s="45" t="n"/>
      <c r="O260" s="45" t="n"/>
      <c r="P260" s="45" t="n"/>
      <c r="Q260" s="19" t="n"/>
      <c r="T260" s="90" t="n"/>
    </row>
    <row r="261" ht="15" customHeight="1">
      <c r="B261" s="19" t="n"/>
      <c r="C261" s="45" t="n"/>
      <c r="D261" s="45" t="inlineStr">
        <is>
          <t xml:space="preserve"> - The applicable financial reporting framework specifies how management is expected to make the accounting estimate. </t>
        </is>
      </c>
      <c r="E261" s="45" t="n"/>
      <c r="F261" s="45" t="n"/>
      <c r="G261" s="45" t="n"/>
      <c r="H261" s="45" t="n"/>
      <c r="I261" s="45" t="n"/>
      <c r="J261" s="45" t="n"/>
      <c r="K261" s="45" t="n"/>
      <c r="L261" s="45" t="n"/>
      <c r="M261" s="45" t="n"/>
      <c r="N261" s="45" t="n"/>
      <c r="O261" s="45" t="n"/>
      <c r="P261" s="45" t="n"/>
      <c r="Q261" s="19" t="n"/>
      <c r="T261" s="90" t="n"/>
    </row>
    <row r="262" ht="15" customHeight="1">
      <c r="B262" s="19" t="n"/>
      <c r="C262" s="45" t="n"/>
      <c r="D262" s="45" t="inlineStr">
        <is>
          <t xml:space="preserve"> - The accounting estimate is derived from the routine processing of data. </t>
        </is>
      </c>
      <c r="E262" s="45" t="n"/>
      <c r="F262" s="45" t="n"/>
      <c r="G262" s="45" t="n"/>
      <c r="H262" s="45" t="n"/>
      <c r="I262" s="45" t="n"/>
      <c r="J262" s="45" t="n"/>
      <c r="K262" s="45" t="n"/>
      <c r="L262" s="45" t="n"/>
      <c r="M262" s="45" t="n"/>
      <c r="N262" s="45" t="n"/>
      <c r="O262" s="45" t="n"/>
      <c r="P262" s="45" t="n"/>
      <c r="Q262" s="19" t="n"/>
      <c r="T262" s="90" t="n"/>
    </row>
    <row r="263" ht="15" customHeight="1">
      <c r="B263" s="19" t="n"/>
      <c r="C263" s="45" t="n"/>
      <c r="D263" s="363" t="inlineStr">
        <is>
          <t xml:space="preserve"> - When neither of the other testing approaches is practical to perform, or may be an appropriate approach in combination with one of the other testing approaches. </t>
        </is>
      </c>
      <c r="Q263" s="19" t="n"/>
      <c r="T263" s="90" t="n"/>
    </row>
    <row r="264" ht="15" customHeight="1">
      <c r="B264" s="19" t="n"/>
      <c r="C264" s="48" t="n"/>
      <c r="D264" s="48" t="n"/>
      <c r="E264" s="48" t="n"/>
      <c r="F264" s="48" t="n"/>
      <c r="G264" s="48" t="n"/>
      <c r="H264" s="48" t="n"/>
      <c r="I264" s="48" t="n"/>
      <c r="J264" s="48" t="n"/>
      <c r="K264" s="48" t="n"/>
      <c r="L264" s="48" t="n"/>
      <c r="M264" s="48" t="n"/>
      <c r="N264" s="48" t="n"/>
      <c r="O264" s="48" t="n"/>
      <c r="P264" s="48" t="n"/>
      <c r="Q264" s="19" t="n"/>
      <c r="T264" s="90" t="n"/>
    </row>
    <row r="265" ht="15" customHeight="1">
      <c r="B265" s="19" t="n"/>
      <c r="C265" s="364" t="inlineStr">
        <is>
          <t xml:space="preserve">For accounting estimates with a higher inherent risk profile we should consider whether it is possible to develop our own point estimate or range as well as testing how management made the accounting estimate. </t>
        </is>
      </c>
      <c r="Q265" s="19" t="n"/>
      <c r="T265" s="90" t="n"/>
    </row>
    <row r="266" ht="15" customHeight="1">
      <c r="B266" s="19" t="n"/>
      <c r="Q266" s="19" t="n"/>
      <c r="T266" s="90" t="n"/>
    </row>
    <row r="267" ht="15" customHeight="1">
      <c r="B267" s="19" t="n"/>
      <c r="C267" s="363" t="inlineStr">
        <is>
          <t>When using this method our procedures should be designed and performed in order to obtain sufficient appropriate audit evidence regarding the risks of material misstatement relating to:</t>
        </is>
      </c>
      <c r="Q267" s="19" t="n"/>
      <c r="T267" s="90" t="n"/>
    </row>
    <row r="268" ht="15" customHeight="1">
      <c r="B268" s="19" t="n"/>
      <c r="C268" s="48" t="n"/>
      <c r="D268" s="45" t="inlineStr">
        <is>
          <t xml:space="preserve"> - The selection and application of the methods, significant assumptions and the data used by management in making the accounting estimate; and</t>
        </is>
      </c>
      <c r="E268" s="51" t="n"/>
      <c r="F268" s="51" t="n"/>
      <c r="G268" s="51" t="n"/>
      <c r="H268" s="51" t="n"/>
      <c r="I268" s="51" t="n"/>
      <c r="J268" s="51" t="n"/>
      <c r="K268" s="51" t="n"/>
      <c r="L268" s="51" t="n"/>
      <c r="M268" s="51" t="n"/>
      <c r="N268" s="51" t="n"/>
      <c r="O268" s="51" t="n"/>
      <c r="P268" s="51" t="n"/>
      <c r="Q268" s="19" t="n"/>
      <c r="T268" s="90" t="n"/>
    </row>
    <row r="269" ht="15" customHeight="1">
      <c r="B269" s="19" t="n"/>
      <c r="C269" s="51" t="n"/>
      <c r="D269" s="45" t="inlineStr">
        <is>
          <t xml:space="preserve"> - How management selected the point estimate and developed related disclosures about estimation uncertainty.</t>
        </is>
      </c>
      <c r="E269" s="51" t="n"/>
      <c r="F269" s="51" t="n"/>
      <c r="G269" s="51" t="n"/>
      <c r="H269" s="51" t="n"/>
      <c r="I269" s="51" t="n"/>
      <c r="J269" s="51" t="n"/>
      <c r="K269" s="51" t="n"/>
      <c r="L269" s="51" t="n"/>
      <c r="M269" s="51" t="n"/>
      <c r="N269" s="51" t="n"/>
      <c r="O269" s="51" t="n"/>
      <c r="P269" s="51" t="n"/>
      <c r="Q269" s="19" t="n"/>
      <c r="T269" s="90" t="n"/>
    </row>
    <row r="270" ht="15" customHeight="1">
      <c r="B270" s="19" t="n"/>
      <c r="C270" s="114" t="n"/>
      <c r="D270" s="48" t="n"/>
      <c r="E270" s="45" t="n"/>
      <c r="F270" s="45" t="n"/>
      <c r="G270" s="45" t="n"/>
      <c r="H270" s="45" t="n"/>
      <c r="I270" s="45" t="n"/>
      <c r="J270" s="45" t="n"/>
      <c r="K270" s="45" t="n"/>
      <c r="L270" s="45" t="n"/>
      <c r="M270" s="45" t="n"/>
      <c r="N270" s="45" t="n"/>
      <c r="O270" s="45" t="n"/>
      <c r="P270" s="45" t="n"/>
      <c r="Q270" s="19" t="n"/>
      <c r="T270" s="90" t="n"/>
    </row>
    <row r="271" ht="15" customHeight="1">
      <c r="B271" s="19" t="n"/>
      <c r="C271" s="114" t="inlineStr">
        <is>
          <t>Methods - procedures should address:</t>
        </is>
      </c>
      <c r="D271" s="48" t="n"/>
      <c r="E271" s="45" t="n"/>
      <c r="F271" s="45" t="n"/>
      <c r="G271" s="45" t="n"/>
      <c r="H271" s="45" t="n"/>
      <c r="I271" s="45" t="n"/>
      <c r="J271" s="45" t="n"/>
      <c r="K271" s="45" t="n"/>
      <c r="L271" s="45" t="n"/>
      <c r="M271" s="45" t="n"/>
      <c r="N271" s="45" t="n"/>
      <c r="O271" s="45" t="n"/>
      <c r="P271" s="45" t="n"/>
      <c r="Q271" s="19" t="n"/>
      <c r="T271" s="90" t="n"/>
    </row>
    <row r="272" ht="15" customHeight="1">
      <c r="B272" s="19" t="n"/>
      <c r="C272" s="48" t="n"/>
      <c r="D272" s="363" t="inlineStr">
        <is>
          <t xml:space="preserve"> - Whether the method selected is appropriate in the context of the applicable financial reporting framework, and, if applicable, changes from the method used in prior periods are appropriate;</t>
        </is>
      </c>
      <c r="Q272" s="19" t="n"/>
      <c r="T272" s="90" t="n"/>
    </row>
    <row r="273" ht="15" customHeight="1">
      <c r="B273" s="19" t="n"/>
      <c r="C273" s="48" t="n"/>
      <c r="Q273" s="19" t="n"/>
      <c r="T273" s="90" t="n"/>
    </row>
    <row r="274" ht="15" customHeight="1">
      <c r="B274" s="19" t="n"/>
      <c r="C274" s="48" t="n"/>
      <c r="D274" s="45" t="inlineStr">
        <is>
          <t xml:space="preserve"> - Whether judgement made in selecting the method give rise to indicators of possible management bias;</t>
        </is>
      </c>
      <c r="E274" s="45" t="n"/>
      <c r="F274" s="48" t="n"/>
      <c r="G274" s="48" t="n"/>
      <c r="H274" s="48" t="n"/>
      <c r="I274" s="48" t="n"/>
      <c r="J274" s="48" t="n"/>
      <c r="K274" s="48" t="n"/>
      <c r="L274" s="48" t="n"/>
      <c r="M274" s="48" t="n"/>
      <c r="N274" s="48" t="n"/>
      <c r="O274" s="48" t="n"/>
      <c r="P274" s="48" t="n"/>
      <c r="Q274" s="19" t="n"/>
      <c r="T274" s="90" t="n"/>
    </row>
    <row r="275" ht="15" customHeight="1">
      <c r="B275" s="19" t="n"/>
      <c r="C275" s="48" t="n"/>
      <c r="D275" s="45" t="inlineStr">
        <is>
          <t xml:space="preserve"> - Whether the calculations are applied in accordance with the method and are mathematically accurate;</t>
        </is>
      </c>
      <c r="E275" s="45" t="n"/>
      <c r="F275" s="48" t="n"/>
      <c r="G275" s="48" t="n"/>
      <c r="H275" s="48" t="n"/>
      <c r="I275" s="48" t="n"/>
      <c r="J275" s="48" t="n"/>
      <c r="K275" s="48" t="n"/>
      <c r="L275" s="48" t="n"/>
      <c r="M275" s="48" t="n"/>
      <c r="N275" s="48" t="n"/>
      <c r="O275" s="48" t="n"/>
      <c r="P275" s="48" t="n"/>
      <c r="Q275" s="19" t="n"/>
      <c r="T275" s="90" t="n"/>
    </row>
    <row r="276" ht="15" customHeight="1">
      <c r="B276" s="19" t="n"/>
      <c r="C276" s="48" t="n"/>
      <c r="D276" s="45" t="inlineStr">
        <is>
          <t xml:space="preserve"> - When management's application of the method involved complex modelling, whether, judgements have been applied consistently and whether, when applicable:</t>
        </is>
      </c>
      <c r="E276" s="45" t="n"/>
      <c r="F276" s="48" t="n"/>
      <c r="G276" s="48" t="n"/>
      <c r="H276" s="48" t="n"/>
      <c r="I276" s="48" t="n"/>
      <c r="J276" s="48" t="n"/>
      <c r="K276" s="48" t="n"/>
      <c r="L276" s="48" t="n"/>
      <c r="M276" s="48" t="n"/>
      <c r="N276" s="48" t="n"/>
      <c r="O276" s="48" t="n"/>
      <c r="P276" s="48" t="n"/>
      <c r="Q276" s="19" t="n"/>
      <c r="T276" s="90" t="n"/>
    </row>
    <row r="277" ht="15" customHeight="1">
      <c r="B277" s="19" t="n"/>
      <c r="C277" s="48" t="n"/>
      <c r="D277" s="45" t="inlineStr">
        <is>
          <t> </t>
        </is>
      </c>
      <c r="E277" s="363" t="inlineStr">
        <is>
          <t xml:space="preserve"> - The design of the model meets the measurement objective of the applicable financial reporting framework, is appropriate in the circumstances, an, if applicable, changes from the prior period's model are appropriate in the circumstances; and</t>
        </is>
      </c>
      <c r="Q277" s="19" t="n"/>
      <c r="T277" s="90" t="n"/>
    </row>
    <row r="278" ht="15" customHeight="1">
      <c r="B278" s="19" t="n"/>
      <c r="C278" s="48" t="n"/>
      <c r="D278" s="45" t="n"/>
      <c r="Q278" s="19" t="n"/>
      <c r="T278" s="90" t="n"/>
    </row>
    <row r="279" ht="15" customHeight="1">
      <c r="B279" s="19" t="n"/>
      <c r="C279" s="48" t="n"/>
      <c r="D279" s="45" t="n"/>
      <c r="E279" s="363" t="inlineStr">
        <is>
          <t xml:space="preserve"> - adjustments to the output of the model are consistent with the measurement objective of the applicable financial reporting framework and are appropriate in the circumstances; and</t>
        </is>
      </c>
      <c r="Q279" s="19" t="n"/>
      <c r="T279" s="90" t="n"/>
    </row>
    <row r="280" ht="15" customHeight="1">
      <c r="B280" s="19" t="n"/>
      <c r="C280" s="48" t="n"/>
      <c r="D280" s="45" t="n"/>
      <c r="Q280" s="19" t="n"/>
      <c r="T280" s="90" t="n"/>
    </row>
    <row r="281" ht="15" customHeight="1">
      <c r="B281" s="19" t="n"/>
      <c r="C281" s="48" t="n"/>
      <c r="D281" s="45" t="inlineStr">
        <is>
          <t xml:space="preserve"> - Whether the integrity of the significant assumptions and the data has been maintained in applying the method. </t>
        </is>
      </c>
      <c r="E281" s="45" t="n"/>
      <c r="F281" s="48" t="n"/>
      <c r="G281" s="48" t="n"/>
      <c r="H281" s="48" t="n"/>
      <c r="I281" s="48" t="n"/>
      <c r="J281" s="48" t="n"/>
      <c r="K281" s="48" t="n"/>
      <c r="L281" s="48" t="n"/>
      <c r="M281" s="48" t="n"/>
      <c r="N281" s="48" t="n"/>
      <c r="O281" s="48" t="n"/>
      <c r="P281" s="48" t="n"/>
      <c r="Q281" s="19" t="n"/>
      <c r="T281" s="90" t="n"/>
    </row>
    <row r="282" ht="15" customHeight="1">
      <c r="B282" s="19" t="n"/>
      <c r="C282" s="48" t="n"/>
      <c r="D282" s="48" t="n"/>
      <c r="E282" s="48" t="n"/>
      <c r="F282" s="48" t="n"/>
      <c r="G282" s="48" t="n"/>
      <c r="H282" s="48" t="n"/>
      <c r="I282" s="48" t="n"/>
      <c r="J282" s="48" t="n"/>
      <c r="K282" s="48" t="n"/>
      <c r="L282" s="48" t="n"/>
      <c r="M282" s="48" t="n"/>
      <c r="N282" s="48" t="n"/>
      <c r="O282" s="48" t="n"/>
      <c r="P282" s="48" t="n"/>
      <c r="Q282" s="19" t="n"/>
      <c r="T282" s="90" t="n"/>
    </row>
    <row r="283" ht="15" customHeight="1">
      <c r="B283" s="19" t="n"/>
      <c r="C283" s="114" t="inlineStr">
        <is>
          <t>Significant assumptions- procedures should address:</t>
        </is>
      </c>
      <c r="D283" s="45" t="n"/>
      <c r="E283" s="45" t="n"/>
      <c r="F283" s="45" t="n"/>
      <c r="G283" s="45" t="n"/>
      <c r="H283" s="45" t="n"/>
      <c r="I283" s="45" t="n"/>
      <c r="J283" s="45" t="n"/>
      <c r="K283" s="45" t="n"/>
      <c r="L283" s="45" t="n"/>
      <c r="M283" s="45" t="n"/>
      <c r="N283" s="45" t="n"/>
      <c r="O283" s="45" t="n"/>
      <c r="P283" s="45" t="n"/>
      <c r="Q283" s="19" t="n"/>
      <c r="T283" s="90" t="n"/>
    </row>
    <row r="284" ht="25.5" customHeight="1">
      <c r="B284" s="19" t="n"/>
      <c r="C284" s="45" t="n"/>
      <c r="D284" s="363" t="inlineStr">
        <is>
          <t xml:space="preserve"> - Whether the significant assumptions are appropriate in the context of the applicable financial reporting framework, and, if applicable, changes from prior periods are appropriate;</t>
        </is>
      </c>
      <c r="Q284" s="19" t="n"/>
      <c r="T284" s="90" t="n"/>
    </row>
    <row r="285" ht="15" customHeight="1">
      <c r="B285" s="19" t="n"/>
      <c r="C285" s="45" t="n"/>
      <c r="D285" s="45" t="inlineStr">
        <is>
          <t xml:space="preserve"> - Whether judgements made in selecting the significant assumptions give rise to indicators of possible management bias; </t>
        </is>
      </c>
      <c r="E285" s="45" t="n"/>
      <c r="F285" s="45" t="n"/>
      <c r="G285" s="45" t="n"/>
      <c r="H285" s="45" t="n"/>
      <c r="I285" s="45" t="n"/>
      <c r="J285" s="45" t="n"/>
      <c r="K285" s="45" t="n"/>
      <c r="L285" s="45" t="n"/>
      <c r="M285" s="45" t="n"/>
      <c r="N285" s="45" t="n"/>
      <c r="O285" s="45" t="n"/>
      <c r="P285" s="45" t="n"/>
      <c r="Q285" s="19" t="n"/>
      <c r="T285" s="90" t="n"/>
    </row>
    <row r="286" ht="15" customHeight="1">
      <c r="B286" s="19" t="n"/>
      <c r="C286" s="45" t="n"/>
      <c r="D286" s="363" t="inlineStr">
        <is>
          <t xml:space="preserve"> - Whether the significant assumptions are consistent with each other and with those used in other accounting estimates, or with related assumptions used in other areas of the entity's business activities, based on the auditor's knowledge obtained in the audit; and</t>
        </is>
      </c>
      <c r="Q286" s="19" t="n"/>
      <c r="T286" s="90" t="n"/>
    </row>
    <row r="287" ht="15" customHeight="1">
      <c r="B287" s="19" t="n"/>
      <c r="C287" s="45" t="n"/>
      <c r="Q287" s="19" t="n"/>
      <c r="T287" s="90" t="n"/>
    </row>
    <row r="288" ht="15" customHeight="1">
      <c r="B288" s="19" t="n"/>
      <c r="C288" s="45" t="n"/>
      <c r="D288" s="45" t="inlineStr">
        <is>
          <t xml:space="preserve"> - When applicable, whether management has the intent to carry out specific courses of action and has the ability to do so. </t>
        </is>
      </c>
      <c r="E288" s="45" t="n"/>
      <c r="F288" s="45" t="n"/>
      <c r="G288" s="45" t="n"/>
      <c r="H288" s="45" t="n"/>
      <c r="I288" s="45" t="n"/>
      <c r="J288" s="45" t="n"/>
      <c r="K288" s="45" t="n"/>
      <c r="L288" s="45" t="n"/>
      <c r="M288" s="45" t="n"/>
      <c r="N288" s="45" t="n"/>
      <c r="O288" s="45" t="n"/>
      <c r="P288" s="45" t="n"/>
      <c r="Q288" s="19" t="n"/>
      <c r="T288" s="90" t="n"/>
    </row>
    <row r="289" ht="15" customHeight="1">
      <c r="B289" s="19" t="n"/>
      <c r="C289" s="48" t="n"/>
      <c r="D289" s="48" t="n"/>
      <c r="E289" s="48" t="n"/>
      <c r="F289" s="48" t="n"/>
      <c r="G289" s="48" t="n"/>
      <c r="H289" s="48" t="n"/>
      <c r="I289" s="48" t="n"/>
      <c r="J289" s="48" t="n"/>
      <c r="K289" s="48" t="n"/>
      <c r="L289" s="48" t="n"/>
      <c r="M289" s="48" t="n"/>
      <c r="N289" s="48" t="n"/>
      <c r="O289" s="48" t="n"/>
      <c r="P289" s="48" t="n"/>
      <c r="Q289" s="19" t="n"/>
      <c r="T289" s="90" t="n"/>
    </row>
    <row r="290" ht="15" customHeight="1">
      <c r="B290" s="19" t="n"/>
      <c r="C290" s="114" t="inlineStr">
        <is>
          <t>Data- procedures should address:</t>
        </is>
      </c>
      <c r="D290" s="45" t="n"/>
      <c r="E290" s="45" t="n"/>
      <c r="F290" s="45" t="n"/>
      <c r="G290" s="45" t="n"/>
      <c r="H290" s="45" t="n"/>
      <c r="I290" s="45" t="n"/>
      <c r="J290" s="45" t="n"/>
      <c r="K290" s="45" t="n"/>
      <c r="L290" s="45" t="n"/>
      <c r="M290" s="45" t="n"/>
      <c r="N290" s="45" t="n"/>
      <c r="O290" s="45" t="n"/>
      <c r="P290" s="45" t="n"/>
      <c r="Q290" s="19" t="n"/>
      <c r="T290" s="90" t="n"/>
    </row>
    <row r="291" ht="15" customHeight="1">
      <c r="B291" s="19" t="n"/>
      <c r="C291" s="45" t="n"/>
      <c r="D291" s="363" t="inlineStr">
        <is>
          <t xml:space="preserve"> - Whether the data is appropriate in the context of the applicable financial reporting framework, and, if applicable, changes from prior periods are appropriate;</t>
        </is>
      </c>
      <c r="Q291" s="19" t="n"/>
      <c r="T291" s="90" t="n"/>
    </row>
    <row r="292" ht="15" customHeight="1">
      <c r="B292" s="19" t="n"/>
      <c r="C292" s="45" t="n"/>
      <c r="D292" s="45" t="inlineStr">
        <is>
          <t xml:space="preserve"> - Whether judgements made in selecting the data give rise to indicators of possible management bias; </t>
        </is>
      </c>
      <c r="E292" s="45" t="n"/>
      <c r="F292" s="45" t="n"/>
      <c r="G292" s="45" t="n"/>
      <c r="H292" s="45" t="n"/>
      <c r="I292" s="45" t="n"/>
      <c r="J292" s="45" t="n"/>
      <c r="K292" s="45" t="n"/>
      <c r="L292" s="45" t="n"/>
      <c r="M292" s="45" t="n"/>
      <c r="N292" s="45" t="n"/>
      <c r="O292" s="45" t="n"/>
      <c r="P292" s="45" t="n"/>
      <c r="Q292" s="19" t="n"/>
      <c r="T292" s="90" t="n"/>
    </row>
    <row r="293" ht="15" customHeight="1">
      <c r="B293" s="19" t="n"/>
      <c r="C293" s="45" t="n"/>
      <c r="D293" s="45" t="inlineStr">
        <is>
          <t xml:space="preserve"> - Whether the data is relevant and reliable in the circumstances; and</t>
        </is>
      </c>
      <c r="E293" s="45" t="n"/>
      <c r="F293" s="45" t="n"/>
      <c r="G293" s="45" t="n"/>
      <c r="H293" s="45" t="n"/>
      <c r="I293" s="45" t="n"/>
      <c r="J293" s="45" t="n"/>
      <c r="K293" s="45" t="n"/>
      <c r="L293" s="45" t="n"/>
      <c r="M293" s="45" t="n"/>
      <c r="N293" s="45" t="n"/>
      <c r="O293" s="45" t="n"/>
      <c r="P293" s="45" t="n"/>
      <c r="Q293" s="19" t="n"/>
      <c r="T293" s="90" t="n"/>
    </row>
    <row r="294" ht="15" customHeight="1">
      <c r="B294" s="19" t="n"/>
      <c r="C294" s="45" t="n"/>
      <c r="D294" s="45" t="inlineStr">
        <is>
          <t xml:space="preserve"> - Whether the data has been appropriately understood or interpreted by management, including with respect to contractual terms. </t>
        </is>
      </c>
      <c r="E294" s="45" t="n"/>
      <c r="F294" s="45" t="n"/>
      <c r="G294" s="45" t="n"/>
      <c r="H294" s="45" t="n"/>
      <c r="I294" s="45" t="n"/>
      <c r="J294" s="45" t="n"/>
      <c r="K294" s="45" t="n"/>
      <c r="L294" s="45" t="n"/>
      <c r="M294" s="45" t="n"/>
      <c r="N294" s="45" t="n"/>
      <c r="O294" s="45" t="n"/>
      <c r="P294" s="45" t="n"/>
      <c r="Q294" s="19" t="n"/>
      <c r="T294" s="90" t="n"/>
    </row>
    <row r="295" ht="15" customHeight="1">
      <c r="B295" s="19" t="n"/>
      <c r="C295" s="48" t="n"/>
      <c r="D295" s="48" t="n"/>
      <c r="E295" s="48" t="n"/>
      <c r="F295" s="48" t="n"/>
      <c r="G295" s="48" t="n"/>
      <c r="H295" s="48" t="n"/>
      <c r="I295" s="48" t="n"/>
      <c r="J295" s="48" t="n"/>
      <c r="K295" s="48" t="n"/>
      <c r="L295" s="48" t="n"/>
      <c r="M295" s="48" t="n"/>
      <c r="N295" s="48" t="n"/>
      <c r="O295" s="48" t="n"/>
      <c r="P295" s="48" t="n"/>
      <c r="Q295" s="19" t="n"/>
      <c r="T295" s="90" t="n"/>
    </row>
    <row r="296" ht="15" customHeight="1">
      <c r="B296" s="19" t="n"/>
      <c r="C296" s="45" t="inlineStr">
        <is>
          <t>Management's selection of point estimate- should address whether management has taken appropriate steps to:</t>
        </is>
      </c>
      <c r="D296" s="45" t="n"/>
      <c r="E296" s="45" t="n"/>
      <c r="F296" s="45" t="n"/>
      <c r="G296" s="45" t="n"/>
      <c r="H296" s="45" t="n"/>
      <c r="I296" s="45" t="n"/>
      <c r="J296" s="45" t="n"/>
      <c r="K296" s="45" t="n"/>
      <c r="L296" s="45" t="n"/>
      <c r="M296" s="45" t="n"/>
      <c r="N296" s="45" t="n"/>
      <c r="O296" s="45" t="n"/>
      <c r="P296" s="45" t="n"/>
      <c r="Q296" s="19" t="n"/>
      <c r="T296" s="90" t="n"/>
    </row>
    <row r="297" ht="15" customHeight="1">
      <c r="B297" s="19" t="n"/>
      <c r="C297" s="45" t="n"/>
      <c r="D297" s="45" t="inlineStr">
        <is>
          <t xml:space="preserve"> - understand estimation uncertainty; and</t>
        </is>
      </c>
      <c r="E297" s="45" t="n"/>
      <c r="F297" s="45" t="n"/>
      <c r="G297" s="45" t="n"/>
      <c r="H297" s="45" t="n"/>
      <c r="I297" s="45" t="n"/>
      <c r="J297" s="45" t="n"/>
      <c r="K297" s="45" t="n"/>
      <c r="L297" s="45" t="n"/>
      <c r="M297" s="45" t="n"/>
      <c r="N297" s="45" t="n"/>
      <c r="O297" s="45" t="n"/>
      <c r="P297" s="45" t="n"/>
      <c r="Q297" s="19" t="n"/>
      <c r="T297" s="90" t="n"/>
    </row>
    <row r="298" ht="15" customHeight="1">
      <c r="B298" s="19" t="n"/>
      <c r="C298" s="45" t="n"/>
      <c r="D298" s="45" t="inlineStr">
        <is>
          <t xml:space="preserve"> - address estimation uncertainty by selecting an appropriate point estimate and by developing related disclosures about estimation uncertainty. </t>
        </is>
      </c>
      <c r="E298" s="45" t="n"/>
      <c r="F298" s="45" t="n"/>
      <c r="G298" s="45" t="n"/>
      <c r="H298" s="45" t="n"/>
      <c r="I298" s="45" t="n"/>
      <c r="J298" s="45" t="n"/>
      <c r="K298" s="45" t="n"/>
      <c r="L298" s="45" t="n"/>
      <c r="M298" s="45" t="n"/>
      <c r="N298" s="45" t="n"/>
      <c r="O298" s="45" t="n"/>
      <c r="P298" s="45" t="n"/>
      <c r="Q298" s="19" t="n"/>
      <c r="T298" s="90" t="n"/>
    </row>
    <row r="299" ht="15" customHeight="1">
      <c r="B299" s="19" t="n"/>
      <c r="C299" s="45" t="n"/>
      <c r="D299" s="45" t="n"/>
      <c r="E299" s="45" t="n"/>
      <c r="F299" s="45" t="n"/>
      <c r="G299" s="45" t="n"/>
      <c r="H299" s="45" t="n"/>
      <c r="I299" s="45" t="n"/>
      <c r="J299" s="45" t="n"/>
      <c r="K299" s="45" t="n"/>
      <c r="L299" s="45" t="n"/>
      <c r="M299" s="45" t="n"/>
      <c r="N299" s="45" t="n"/>
      <c r="O299" s="45" t="n"/>
      <c r="P299" s="45" t="n"/>
      <c r="Q299" s="19" t="n"/>
      <c r="T299" s="90" t="n"/>
    </row>
    <row r="300" ht="15" customHeight="1">
      <c r="B300" s="19" t="n"/>
      <c r="C300" s="114" t="inlineStr">
        <is>
          <t xml:space="preserve"> Developing an auditor's point estimate or range [ ISA (revised) 540.28]</t>
        </is>
      </c>
      <c r="D300" s="45" t="n"/>
      <c r="E300" s="45" t="n"/>
      <c r="F300" s="45" t="n"/>
      <c r="G300" s="45" t="n"/>
      <c r="H300" s="45" t="n"/>
      <c r="I300" s="45" t="n"/>
      <c r="J300" s="45" t="n"/>
      <c r="K300" s="45" t="n"/>
      <c r="L300" s="45" t="n"/>
      <c r="M300" s="45" t="n"/>
      <c r="N300" s="45" t="n"/>
      <c r="O300" s="45" t="n"/>
      <c r="P300" s="45" t="n"/>
      <c r="Q300" s="19" t="n"/>
      <c r="T300" s="90" t="n"/>
    </row>
    <row r="301" ht="15" customHeight="1">
      <c r="B301" s="19" t="n"/>
      <c r="C301" s="45" t="inlineStr">
        <is>
          <t>This may be an appropriate approach when:</t>
        </is>
      </c>
      <c r="D301" s="45" t="n"/>
      <c r="E301" s="45" t="n"/>
      <c r="F301" s="45" t="n"/>
      <c r="G301" s="45" t="n"/>
      <c r="H301" s="45" t="n"/>
      <c r="I301" s="45" t="n"/>
      <c r="J301" s="45" t="n"/>
      <c r="K301" s="45" t="n"/>
      <c r="L301" s="45" t="n"/>
      <c r="M301" s="45" t="n"/>
      <c r="N301" s="45" t="n"/>
      <c r="O301" s="45" t="n"/>
      <c r="P301" s="45" t="n"/>
      <c r="Q301" s="19" t="n"/>
      <c r="T301" s="90" t="n"/>
    </row>
    <row r="302" ht="15" customHeight="1">
      <c r="B302" s="19" t="n"/>
      <c r="C302" s="114" t="n"/>
      <c r="D302" s="363" t="inlineStr">
        <is>
          <t xml:space="preserve"> - Our review of similar accounting estimates made in the prior period financial statements suggests that management's current period process is not expected to be effective. </t>
        </is>
      </c>
      <c r="Q302" s="19" t="n"/>
      <c r="T302" s="90" t="n"/>
    </row>
    <row r="303" ht="15" customHeight="1">
      <c r="B303" s="19" t="n"/>
      <c r="C303" s="114" t="n"/>
      <c r="D303" s="45" t="inlineStr">
        <is>
          <t xml:space="preserve"> - The entity's controls within and over management's process for making accounting estimates are not well designed or properly implemented. </t>
        </is>
      </c>
      <c r="E303" s="45" t="n"/>
      <c r="F303" s="45" t="n"/>
      <c r="G303" s="45" t="n"/>
      <c r="H303" s="45" t="n"/>
      <c r="I303" s="45" t="n"/>
      <c r="J303" s="45" t="n"/>
      <c r="K303" s="45" t="n"/>
      <c r="L303" s="45" t="n"/>
      <c r="M303" s="45" t="n"/>
      <c r="N303" s="45" t="n"/>
      <c r="O303" s="45" t="n"/>
      <c r="P303" s="45" t="n"/>
      <c r="Q303" s="19" t="n"/>
      <c r="T303" s="90" t="n"/>
    </row>
    <row r="304" ht="15" customHeight="1">
      <c r="B304" s="19" t="n"/>
      <c r="C304" s="114" t="n"/>
      <c r="D304" s="363" t="inlineStr">
        <is>
          <t xml:space="preserve"> - Events or transactions between the period end and the date of the auditor's report have not been properly taken into account, when it is appropriate for management to do so, and such events or transactions appear to contradict management's point estimate. </t>
        </is>
      </c>
      <c r="Q304" s="19" t="n"/>
      <c r="T304" s="90" t="n"/>
    </row>
    <row r="305" ht="15" customHeight="1">
      <c r="B305" s="19" t="n"/>
      <c r="C305" s="114" t="n"/>
      <c r="Q305" s="19" t="n"/>
      <c r="T305" s="90" t="n"/>
    </row>
    <row r="306" ht="15" customHeight="1">
      <c r="B306" s="19" t="n"/>
      <c r="C306" s="114" t="n"/>
      <c r="D306" s="45" t="inlineStr">
        <is>
          <t xml:space="preserve"> - There are appropriate alternative assumptions or sources of relevant data that can be used in developing an auditor's point estimate or a range. </t>
        </is>
      </c>
      <c r="E306" s="45" t="n"/>
      <c r="F306" s="45" t="n"/>
      <c r="G306" s="45" t="n"/>
      <c r="H306" s="45" t="n"/>
      <c r="I306" s="45" t="n"/>
      <c r="J306" s="45" t="n"/>
      <c r="K306" s="45" t="n"/>
      <c r="L306" s="45" t="n"/>
      <c r="M306" s="45" t="n"/>
      <c r="N306" s="45" t="n"/>
      <c r="O306" s="45" t="n"/>
      <c r="P306" s="45" t="n"/>
      <c r="Q306" s="19" t="n"/>
      <c r="T306" s="90" t="n"/>
    </row>
    <row r="307" ht="15" customHeight="1">
      <c r="B307" s="19" t="n"/>
      <c r="C307" s="114" t="n"/>
      <c r="D307" s="45" t="inlineStr">
        <is>
          <t xml:space="preserve"> - Management has not taken appropriate steps to understand or address the estimation uncertainty. </t>
        </is>
      </c>
      <c r="E307" s="45" t="n"/>
      <c r="F307" s="45" t="n"/>
      <c r="G307" s="45" t="n"/>
      <c r="H307" s="45" t="n"/>
      <c r="I307" s="45" t="n"/>
      <c r="J307" s="45" t="n"/>
      <c r="K307" s="45" t="n"/>
      <c r="L307" s="45" t="n"/>
      <c r="M307" s="45" t="n"/>
      <c r="N307" s="45" t="n"/>
      <c r="O307" s="45" t="n"/>
      <c r="P307" s="45" t="n"/>
      <c r="Q307" s="19" t="n"/>
      <c r="T307" s="90" t="n"/>
    </row>
    <row r="308" ht="15" customHeight="1">
      <c r="B308" s="19" t="n"/>
      <c r="C308" s="114" t="n"/>
      <c r="D308" s="45" t="inlineStr">
        <is>
          <t xml:space="preserve"> - It may be influenced by the applicable financial reporting framework</t>
        </is>
      </c>
      <c r="E308" s="45" t="n"/>
      <c r="F308" s="45" t="n"/>
      <c r="G308" s="45" t="n"/>
      <c r="H308" s="45" t="n"/>
      <c r="I308" s="45" t="n"/>
      <c r="J308" s="45" t="n"/>
      <c r="K308" s="45" t="n"/>
      <c r="L308" s="45" t="n"/>
      <c r="M308" s="45" t="n"/>
      <c r="N308" s="45" t="n"/>
      <c r="O308" s="45" t="n"/>
      <c r="P308" s="45" t="n"/>
      <c r="Q308" s="19" t="n"/>
      <c r="T308" s="90" t="n"/>
    </row>
    <row r="309" ht="15" customHeight="1">
      <c r="B309" s="19" t="n"/>
      <c r="C309" s="114" t="n"/>
      <c r="D309" s="45" t="n"/>
      <c r="E309" s="45" t="n"/>
      <c r="F309" s="45" t="n"/>
      <c r="G309" s="45" t="n"/>
      <c r="H309" s="45" t="n"/>
      <c r="I309" s="45" t="n"/>
      <c r="J309" s="45" t="n"/>
      <c r="K309" s="45" t="n"/>
      <c r="L309" s="45" t="n"/>
      <c r="M309" s="45" t="n"/>
      <c r="N309" s="45" t="n"/>
      <c r="O309" s="45" t="n"/>
      <c r="P309" s="45" t="n"/>
      <c r="Q309" s="19" t="n"/>
      <c r="T309" s="90" t="n"/>
    </row>
    <row r="310" ht="15" customHeight="1">
      <c r="B310" s="19" t="n"/>
      <c r="C310" s="364" t="inlineStr">
        <is>
          <t xml:space="preserve">For accounting estimates with a higher inherent risk profile we should consider whether it is possible to develop our own point estimate or range as well as testing how management made the accounting estimate. </t>
        </is>
      </c>
      <c r="Q310" s="19" t="n"/>
      <c r="T310" s="90" t="n"/>
    </row>
    <row r="311" ht="15" customHeight="1">
      <c r="B311" s="19" t="n"/>
      <c r="Q311" s="19" t="n"/>
      <c r="T311" s="90" t="n"/>
    </row>
    <row r="312" ht="15" customHeight="1">
      <c r="B312" s="19" t="n"/>
      <c r="C312" s="363" t="n"/>
      <c r="D312" s="363" t="n"/>
      <c r="E312" s="363" t="n"/>
      <c r="F312" s="363" t="n"/>
      <c r="G312" s="363" t="n"/>
      <c r="H312" s="363" t="n"/>
      <c r="I312" s="363" t="n"/>
      <c r="J312" s="363" t="n"/>
      <c r="K312" s="363" t="n"/>
      <c r="L312" s="363" t="n"/>
      <c r="M312" s="363" t="n"/>
      <c r="N312" s="363" t="n"/>
      <c r="O312" s="363" t="n"/>
      <c r="P312" s="363" t="n"/>
      <c r="Q312" s="19" t="n"/>
      <c r="T312" s="90" t="n"/>
    </row>
    <row r="313" ht="15" customHeight="1">
      <c r="B313" s="19" t="n"/>
      <c r="C313" s="45" t="inlineStr">
        <is>
          <t xml:space="preserve">Whether we develop an point estimate or a range depends on the nature of the estimate and our judgement in the circumstances. </t>
        </is>
      </c>
      <c r="D313" s="45" t="n"/>
      <c r="E313" s="45" t="n"/>
      <c r="F313" s="45" t="n"/>
      <c r="G313" s="45" t="n"/>
      <c r="H313" s="45" t="n"/>
      <c r="I313" s="45" t="n"/>
      <c r="J313" s="45" t="n"/>
      <c r="K313" s="45" t="n"/>
      <c r="L313" s="45" t="n"/>
      <c r="M313" s="45" t="n"/>
      <c r="N313" s="45" t="n"/>
      <c r="O313" s="45" t="n"/>
      <c r="P313" s="45" t="n"/>
      <c r="Q313" s="19" t="n"/>
      <c r="T313" s="90" t="n"/>
    </row>
    <row r="314" ht="15" customHeight="1">
      <c r="B314" s="19" t="n"/>
      <c r="C314" s="45" t="n"/>
      <c r="D314" s="45" t="n"/>
      <c r="E314" s="45" t="n"/>
      <c r="F314" s="45" t="n"/>
      <c r="G314" s="45" t="n"/>
      <c r="H314" s="45" t="n"/>
      <c r="I314" s="45" t="n"/>
      <c r="J314" s="45" t="n"/>
      <c r="K314" s="45" t="n"/>
      <c r="L314" s="45" t="n"/>
      <c r="M314" s="45" t="n"/>
      <c r="N314" s="45" t="n"/>
      <c r="O314" s="45" t="n"/>
      <c r="P314" s="45" t="n"/>
      <c r="Q314" s="19" t="n"/>
      <c r="T314" s="90" t="n"/>
    </row>
    <row r="315" ht="15" customHeight="1">
      <c r="B315" s="19" t="n"/>
      <c r="C315" s="45" t="inlineStr">
        <is>
          <t>We shall:</t>
        </is>
      </c>
      <c r="D315" s="45" t="n"/>
      <c r="E315" s="45" t="n"/>
      <c r="F315" s="45" t="n"/>
      <c r="G315" s="45" t="n"/>
      <c r="H315" s="45" t="n"/>
      <c r="I315" s="45" t="n"/>
      <c r="J315" s="45" t="n"/>
      <c r="K315" s="45" t="n"/>
      <c r="L315" s="45" t="n"/>
      <c r="M315" s="45" t="n"/>
      <c r="N315" s="45" t="n"/>
      <c r="O315" s="45" t="n"/>
      <c r="P315" s="45" t="n"/>
      <c r="Q315" s="19" t="n"/>
      <c r="T315" s="90" t="n"/>
    </row>
    <row r="316" ht="15" customHeight="1">
      <c r="B316" s="19" t="n"/>
      <c r="C316" s="45" t="n"/>
      <c r="D316" s="363" t="inlineStr">
        <is>
          <t xml:space="preserve"> - Determine that the range includes only amounts that are supported by sufficient appropriate audit evidence and have been evaluated by the auditor to be reasonable in the context of the measurement objectives and other requirements of the applicable financial reporting framework; and</t>
        </is>
      </c>
      <c r="Q316" s="19" t="n"/>
      <c r="T316" s="90" t="n"/>
    </row>
    <row r="317" ht="15" customHeight="1">
      <c r="B317" s="19" t="n"/>
      <c r="C317" s="45" t="n"/>
      <c r="Q317" s="19" t="n"/>
      <c r="T317" s="90" t="n"/>
    </row>
    <row r="318" ht="15" customHeight="1">
      <c r="B318" s="19" t="n"/>
      <c r="C318" s="45" t="n"/>
      <c r="D318" s="363" t="inlineStr">
        <is>
          <t xml:space="preserve"> - Design and perform further audit procedures to obtain sufficient appropriate audit evidence regarding the assessed risks of material misstatement relating to the disclosures in the financial statements that describe the estimation uncertainty.</t>
        </is>
      </c>
      <c r="Q318" s="19" t="n"/>
      <c r="T318" s="90" t="n"/>
    </row>
    <row r="319" ht="15" customHeight="1">
      <c r="B319" s="19" t="n"/>
      <c r="C319" s="45" t="n"/>
      <c r="Q319" s="19" t="n"/>
      <c r="T319" s="90" t="n"/>
    </row>
    <row r="320" ht="15" customHeight="1">
      <c r="B320" s="19" t="n"/>
      <c r="C320" s="45" t="n"/>
      <c r="D320" s="45" t="n"/>
      <c r="E320" s="45" t="n"/>
      <c r="F320" s="45" t="n"/>
      <c r="G320" s="45" t="n"/>
      <c r="H320" s="45" t="n"/>
      <c r="I320" s="45" t="n"/>
      <c r="J320" s="45" t="n"/>
      <c r="K320" s="45" t="n"/>
      <c r="L320" s="45" t="n"/>
      <c r="M320" s="45" t="n"/>
      <c r="N320" s="45" t="n"/>
      <c r="O320" s="45" t="n"/>
      <c r="P320" s="45" t="n"/>
      <c r="Q320" s="19" t="n"/>
      <c r="T320" s="90" t="n"/>
    </row>
    <row r="321" ht="15" customHeight="1">
      <c r="B321" s="19" t="n"/>
      <c r="C321" s="45" t="n"/>
      <c r="D321" s="51" t="n"/>
      <c r="E321" s="51" t="n"/>
      <c r="F321" s="51" t="n"/>
      <c r="G321" s="51" t="n"/>
      <c r="H321" s="51" t="n"/>
      <c r="I321" s="51" t="n"/>
      <c r="J321" s="51" t="n"/>
      <c r="K321" s="51" t="n"/>
      <c r="L321" s="51" t="n"/>
      <c r="M321" s="51" t="n"/>
      <c r="N321" s="51" t="n"/>
      <c r="O321" s="51" t="n"/>
      <c r="P321" s="51" t="n"/>
      <c r="Q321" s="19" t="n"/>
      <c r="T321" s="90" t="n"/>
    </row>
    <row r="322" ht="27" customHeight="1">
      <c r="B322" s="19" t="n"/>
      <c r="C322" s="24" t="n"/>
      <c r="D322" s="25" t="n"/>
      <c r="E322" s="25" t="n"/>
      <c r="F322" s="25" t="n"/>
      <c r="G322" s="25" t="n"/>
      <c r="H322" s="25" t="n"/>
      <c r="I322" s="25" t="n"/>
      <c r="J322" s="25" t="n"/>
      <c r="K322" s="25" t="n"/>
      <c r="L322" s="25" t="n"/>
      <c r="M322" s="25" t="n"/>
      <c r="N322" s="25" t="n"/>
      <c r="O322" s="25" t="n"/>
      <c r="P322" s="25" t="n"/>
      <c r="Q322" s="19" t="n"/>
      <c r="T322" s="90" t="n"/>
    </row>
    <row r="323" ht="21" customHeight="1">
      <c r="B323" s="19" t="n"/>
      <c r="C323" s="117" t="inlineStr">
        <is>
          <t>General implications</t>
        </is>
      </c>
      <c r="D323" s="32" t="n"/>
      <c r="E323" s="32" t="n"/>
      <c r="F323" s="32" t="n"/>
      <c r="G323" s="32" t="n"/>
      <c r="H323" s="32" t="n"/>
      <c r="I323" s="32" t="n"/>
      <c r="J323" s="32" t="n"/>
      <c r="K323" s="32" t="n"/>
      <c r="L323" s="32" t="n"/>
      <c r="M323" s="32" t="n"/>
      <c r="N323" s="32" t="n"/>
      <c r="O323" s="32" t="n"/>
      <c r="P323" s="32" t="n"/>
      <c r="Q323" s="19" t="n"/>
      <c r="R323" s="12" t="n"/>
      <c r="S323" s="12" t="n"/>
      <c r="T323" s="95" t="inlineStr">
        <is>
          <t>718.3</t>
        </is>
      </c>
      <c r="U323" s="12" t="n"/>
    </row>
    <row r="324" ht="15" customHeight="1">
      <c r="B324" s="19" t="n"/>
      <c r="C324" s="107" t="inlineStr">
        <is>
          <t>Further considerations where the accounting estimate is at the higher end of the inherent risk spectrum</t>
        </is>
      </c>
      <c r="D324" s="115" t="n"/>
      <c r="E324" s="115" t="n"/>
      <c r="F324" s="115" t="n"/>
      <c r="G324" s="115" t="n"/>
      <c r="H324" s="115" t="n"/>
      <c r="I324" s="115" t="n"/>
      <c r="J324" s="115" t="n"/>
      <c r="K324" s="115" t="n"/>
      <c r="L324" s="115" t="n"/>
      <c r="M324" s="115" t="n"/>
      <c r="N324" s="115" t="n"/>
      <c r="O324" s="115" t="n"/>
      <c r="P324" s="115" t="n"/>
      <c r="Q324" s="19" t="n"/>
      <c r="T324" s="90" t="n"/>
    </row>
    <row r="325" ht="15" customHeight="1">
      <c r="B325" s="19" t="n"/>
      <c r="C325" s="45" t="inlineStr">
        <is>
          <t xml:space="preserve">The below should be considered for all accounting estimates, however there should be particular focus for those that have significant or enhanced inherent risk. </t>
        </is>
      </c>
      <c r="D325" s="48" t="n"/>
      <c r="E325" s="48" t="n"/>
      <c r="F325" s="48" t="n"/>
      <c r="G325" s="48" t="n"/>
      <c r="H325" s="48" t="n"/>
      <c r="I325" s="48" t="n"/>
      <c r="J325" s="48" t="n"/>
      <c r="K325" s="48" t="n"/>
      <c r="L325" s="48" t="n"/>
      <c r="M325" s="48" t="n"/>
      <c r="N325" s="48" t="n"/>
      <c r="O325" s="48" t="n"/>
      <c r="P325" s="48" t="n"/>
      <c r="Q325" s="19" t="n"/>
      <c r="T325" s="90" t="n"/>
    </row>
    <row r="326" ht="15" customHeight="1">
      <c r="B326" s="19" t="n"/>
      <c r="C326" s="365" t="inlineStr">
        <is>
          <t>Increased professional scepticism:</t>
        </is>
      </c>
      <c r="I326" s="38" t="n"/>
      <c r="J326" s="38" t="n"/>
      <c r="K326" s="38" t="n"/>
      <c r="L326" s="38" t="n"/>
      <c r="M326" s="38" t="n"/>
      <c r="N326" s="38" t="n"/>
      <c r="O326" s="38" t="n"/>
      <c r="P326" s="38" t="n"/>
      <c r="Q326" s="19" t="n"/>
      <c r="T326" s="90" t="n"/>
    </row>
    <row r="327" ht="15" customHeight="1">
      <c r="B327" s="19" t="n"/>
      <c r="C327" s="363" t="inlineStr">
        <is>
          <t>When the inherent risk associated with accounting estimates is at the higher end of the spectrum we will need to be very aware of our professional scepticism. We can help ensure that we are using it by:</t>
        </is>
      </c>
      <c r="Q327" s="19" t="n"/>
      <c r="T327" s="90" t="n"/>
    </row>
    <row r="328" ht="15" customHeight="1">
      <c r="B328" s="19" t="n"/>
      <c r="Q328" s="19" t="n"/>
      <c r="T328" s="90" t="n"/>
    </row>
    <row r="329" ht="15" customHeight="1">
      <c r="B329" s="19" t="n"/>
      <c r="C329" s="45" t="n"/>
      <c r="D329" s="45" t="inlineStr">
        <is>
          <t xml:space="preserve"> - Increasing sensitivity in the selection of the nature and extent of documentation to be examined in support of material transactions; and</t>
        </is>
      </c>
      <c r="E329" s="45" t="n"/>
      <c r="F329" s="45" t="n"/>
      <c r="G329" s="45" t="n"/>
      <c r="H329" s="45" t="n"/>
      <c r="I329" s="45" t="n"/>
      <c r="J329" s="45" t="n"/>
      <c r="K329" s="45" t="n"/>
      <c r="L329" s="45" t="n"/>
      <c r="M329" s="45" t="n"/>
      <c r="N329" s="45" t="n"/>
      <c r="O329" s="45" t="n"/>
      <c r="P329" s="45" t="n"/>
      <c r="Q329" s="19" t="n"/>
      <c r="T329" s="90" t="n"/>
    </row>
    <row r="330" ht="15" customHeight="1">
      <c r="B330" s="19" t="n"/>
      <c r="C330" s="45" t="n"/>
      <c r="D330" s="45" t="inlineStr">
        <is>
          <t xml:space="preserve"> - Increasing recognition of the need to corroborate management explanations or representations concerning material matters (such as agreeing to third party evidence).</t>
        </is>
      </c>
      <c r="E330" s="45" t="n"/>
      <c r="F330" s="45" t="n"/>
      <c r="G330" s="45" t="n"/>
      <c r="H330" s="45" t="n"/>
      <c r="I330" s="45" t="n"/>
      <c r="J330" s="45" t="n"/>
      <c r="K330" s="45" t="n"/>
      <c r="L330" s="45" t="n"/>
      <c r="M330" s="45" t="n"/>
      <c r="N330" s="45" t="n"/>
      <c r="O330" s="45" t="n"/>
      <c r="P330" s="45" t="n"/>
      <c r="Q330" s="19" t="n"/>
      <c r="T330" s="90" t="n"/>
    </row>
    <row r="331" ht="15" customHeight="1">
      <c r="B331" s="19" t="n"/>
      <c r="C331" s="45" t="n"/>
      <c r="D331" s="45" t="inlineStr">
        <is>
          <t xml:space="preserve"> - Seeking out alternative sources of evidence</t>
        </is>
      </c>
      <c r="E331" s="45" t="n"/>
      <c r="F331" s="45" t="n"/>
      <c r="G331" s="45" t="n"/>
      <c r="H331" s="45" t="n"/>
      <c r="I331" s="45" t="n"/>
      <c r="J331" s="45" t="n"/>
      <c r="K331" s="45" t="n"/>
      <c r="L331" s="45" t="n"/>
      <c r="M331" s="45" t="n"/>
      <c r="N331" s="45" t="n"/>
      <c r="O331" s="45" t="n"/>
      <c r="P331" s="45" t="n"/>
      <c r="Q331" s="19" t="n"/>
      <c r="T331" s="90" t="n"/>
    </row>
    <row r="332" ht="15" customHeight="1">
      <c r="B332" s="19" t="n"/>
      <c r="C332" s="45" t="inlineStr">
        <is>
          <t xml:space="preserve">Please read the MAM application guidance on professional scepticism for further guidance. </t>
        </is>
      </c>
      <c r="D332" s="45" t="n"/>
      <c r="E332" s="45" t="n"/>
      <c r="F332" s="45" t="n"/>
      <c r="G332" s="45" t="n"/>
      <c r="H332" s="45" t="n"/>
      <c r="I332" s="45" t="n"/>
      <c r="J332" s="45" t="n"/>
      <c r="K332" s="45" t="n"/>
      <c r="L332" s="45" t="n"/>
      <c r="M332" s="45" t="n"/>
      <c r="N332" s="45" t="n"/>
      <c r="O332" s="45" t="n"/>
      <c r="P332" s="45" t="n"/>
      <c r="Q332" s="19" t="n"/>
      <c r="T332" s="90" t="n"/>
    </row>
    <row r="333" ht="15" customHeight="1">
      <c r="B333" s="19" t="n"/>
      <c r="C333" s="365" t="inlineStr">
        <is>
          <t>Consideration of method of testing</t>
        </is>
      </c>
      <c r="I333" s="38" t="n"/>
      <c r="J333" s="38" t="n"/>
      <c r="K333" s="38" t="n"/>
      <c r="L333" s="38" t="n"/>
      <c r="M333" s="38" t="n"/>
      <c r="N333" s="38" t="n"/>
      <c r="O333" s="38" t="n"/>
      <c r="P333" s="38" t="n"/>
      <c r="Q333" s="19" t="n"/>
      <c r="T333" s="90" t="n"/>
    </row>
    <row r="334" ht="15" customHeight="1">
      <c r="B334" s="19" t="n"/>
      <c r="C334" s="45" t="inlineStr">
        <is>
          <t xml:space="preserve">Please consider whether you require to form your own point estimate or range that is independent from management's estimate. </t>
        </is>
      </c>
      <c r="D334" s="48" t="n"/>
      <c r="E334" s="48" t="n"/>
      <c r="F334" s="48" t="n"/>
      <c r="G334" s="48" t="n"/>
      <c r="H334" s="48" t="n"/>
      <c r="I334" s="48" t="n"/>
      <c r="J334" s="48" t="n"/>
      <c r="K334" s="48" t="n"/>
      <c r="L334" s="48" t="n"/>
      <c r="M334" s="48" t="n"/>
      <c r="N334" s="36" t="n"/>
      <c r="O334" s="36" t="n"/>
      <c r="P334" s="36" t="n"/>
      <c r="Q334" s="19" t="n"/>
      <c r="T334" s="90" t="n"/>
    </row>
    <row r="335" ht="15" customHeight="1">
      <c r="B335" s="19" t="n"/>
      <c r="C335" s="45" t="inlineStr">
        <is>
          <t xml:space="preserve">If the accounting estimate is on the higher end of the spectrum of risk, the more persuasive the audit evidence is required to be. </t>
        </is>
      </c>
      <c r="D335" s="48" t="n"/>
      <c r="E335" s="48" t="n"/>
      <c r="F335" s="48" t="n"/>
      <c r="G335" s="48" t="n"/>
      <c r="H335" s="48" t="n"/>
      <c r="I335" s="48" t="n"/>
      <c r="J335" s="48" t="n"/>
      <c r="K335" s="48" t="n"/>
      <c r="L335" s="48" t="n"/>
      <c r="M335" s="48" t="n"/>
      <c r="N335" s="36" t="n"/>
      <c r="O335" s="36" t="n"/>
      <c r="P335" s="36" t="n"/>
      <c r="Q335" s="19" t="n"/>
      <c r="T335" s="90" t="n"/>
    </row>
    <row r="336" ht="15" customHeight="1">
      <c r="B336" s="19" t="n"/>
      <c r="C336" s="36" t="n"/>
      <c r="D336" s="36" t="n"/>
      <c r="E336" s="36" t="n"/>
      <c r="F336" s="36" t="n"/>
      <c r="G336" s="36" t="n"/>
      <c r="H336" s="36" t="n"/>
      <c r="I336" s="36" t="n"/>
      <c r="J336" s="36" t="n"/>
      <c r="K336" s="36" t="n"/>
      <c r="L336" s="36" t="n"/>
      <c r="M336" s="36" t="n"/>
      <c r="N336" s="36" t="n"/>
      <c r="O336" s="36" t="n"/>
      <c r="P336" s="36" t="n"/>
      <c r="Q336" s="19" t="n"/>
      <c r="T336" s="90" t="n"/>
    </row>
    <row r="337" ht="15" customHeight="1">
      <c r="B337" s="19" t="n"/>
      <c r="C337" s="365" t="inlineStr">
        <is>
          <t>Engagement team appropriate resourcing:</t>
        </is>
      </c>
      <c r="I337" s="38" t="n"/>
      <c r="J337" s="38" t="n"/>
      <c r="K337" s="38" t="n"/>
      <c r="L337" s="38" t="n"/>
      <c r="M337" s="38" t="n"/>
      <c r="N337" s="38" t="n"/>
      <c r="O337" s="38" t="n"/>
      <c r="P337" s="38" t="n"/>
      <c r="Q337" s="19" t="n"/>
      <c r="T337" s="90" t="n"/>
    </row>
    <row r="338" ht="15" customHeight="1">
      <c r="B338" s="19" t="n"/>
      <c r="C338" s="363" t="inlineStr">
        <is>
          <t>We should consider whether more experienced staff are required, or staff with special skills (specialists) or experts</t>
        </is>
      </c>
      <c r="Q338" s="19" t="n"/>
      <c r="T338" s="90" t="n"/>
    </row>
    <row r="339" ht="15" customHeight="1">
      <c r="B339" s="19" t="n"/>
      <c r="C339" s="45" t="inlineStr">
        <is>
          <t xml:space="preserve">If an auditor's expert is required please document this above and in the experts template within the audit file. </t>
        </is>
      </c>
      <c r="D339" s="45" t="n"/>
      <c r="E339" s="45" t="n"/>
      <c r="F339" s="45" t="n"/>
      <c r="G339" s="45" t="n"/>
      <c r="H339" s="45" t="n"/>
      <c r="I339" s="45" t="n"/>
      <c r="J339" s="45" t="n"/>
      <c r="K339" s="45" t="n"/>
      <c r="L339" s="45" t="n"/>
      <c r="M339" s="45" t="n"/>
      <c r="N339" s="45" t="n"/>
      <c r="O339" s="45" t="n"/>
      <c r="P339" s="45" t="n"/>
      <c r="Q339" s="19" t="n"/>
      <c r="T339" s="90" t="n"/>
    </row>
    <row r="340" ht="15" customHeight="1">
      <c r="B340" s="19" t="n"/>
      <c r="C340" s="36" t="n"/>
      <c r="D340" s="36" t="n"/>
      <c r="E340" s="36" t="n"/>
      <c r="F340" s="36" t="n"/>
      <c r="G340" s="36" t="n"/>
      <c r="H340" s="36" t="n"/>
      <c r="I340" s="36" t="n"/>
      <c r="J340" s="36" t="n"/>
      <c r="K340" s="36" t="n"/>
      <c r="L340" s="36" t="n"/>
      <c r="M340" s="36" t="n"/>
      <c r="N340" s="36" t="n"/>
      <c r="O340" s="36" t="n"/>
      <c r="P340" s="36" t="n"/>
      <c r="Q340" s="19" t="n"/>
      <c r="T340" s="90" t="n"/>
    </row>
    <row r="341" ht="15" customHeight="1">
      <c r="B341" s="19" t="n"/>
      <c r="C341" s="365" t="inlineStr">
        <is>
          <t>Additional supervision:</t>
        </is>
      </c>
      <c r="I341" s="38" t="n"/>
      <c r="J341" s="38" t="n"/>
      <c r="K341" s="38" t="n"/>
      <c r="L341" s="38" t="n"/>
      <c r="M341" s="38" t="n"/>
      <c r="N341" s="38" t="n"/>
      <c r="O341" s="38" t="n"/>
      <c r="P341" s="38" t="n"/>
      <c r="Q341" s="19" t="n"/>
      <c r="T341" s="90" t="n"/>
    </row>
    <row r="342" ht="15" customHeight="1">
      <c r="B342" s="19" t="n"/>
      <c r="C342" s="363" t="inlineStr">
        <is>
          <t xml:space="preserve">We should consider whether additional supervision is required within the team. This could also include on site reviews by manager/partner. </t>
        </is>
      </c>
      <c r="Q342" s="19" t="n"/>
      <c r="T342" s="90" t="n"/>
    </row>
    <row r="343" ht="15" customHeight="1">
      <c r="B343" s="19" t="n"/>
      <c r="C343" s="36" t="n"/>
      <c r="D343" s="36" t="n"/>
      <c r="E343" s="36" t="n"/>
      <c r="F343" s="36" t="n"/>
      <c r="G343" s="36" t="n"/>
      <c r="H343" s="36" t="n"/>
      <c r="I343" s="36" t="n"/>
      <c r="J343" s="36" t="n"/>
      <c r="K343" s="36" t="n"/>
      <c r="L343" s="36" t="n"/>
      <c r="M343" s="36" t="n"/>
      <c r="N343" s="36" t="n"/>
      <c r="O343" s="36" t="n"/>
      <c r="P343" s="36" t="n"/>
      <c r="Q343" s="19" t="n"/>
      <c r="T343" s="90" t="n"/>
    </row>
    <row r="344" ht="15" customHeight="1">
      <c r="B344" s="19" t="n"/>
      <c r="C344" s="36" t="n"/>
      <c r="D344" s="36" t="n"/>
      <c r="E344" s="36" t="n"/>
      <c r="F344" s="36" t="n"/>
      <c r="G344" s="36" t="n"/>
      <c r="H344" s="36" t="n"/>
      <c r="I344" s="36" t="n"/>
      <c r="J344" s="36" t="n"/>
      <c r="K344" s="36" t="n"/>
      <c r="L344" s="36" t="n"/>
      <c r="M344" s="36" t="n"/>
      <c r="N344" s="36" t="n"/>
      <c r="O344" s="36" t="n"/>
      <c r="P344" s="36" t="n"/>
      <c r="Q344" s="19" t="n"/>
      <c r="T344" s="90" t="n"/>
    </row>
    <row r="345">
      <c r="B345" s="19" t="n"/>
      <c r="C345" s="19" t="n"/>
      <c r="D345" s="19" t="n"/>
      <c r="E345" s="19" t="n"/>
      <c r="F345" s="19" t="n"/>
      <c r="G345" s="19" t="n"/>
      <c r="H345" s="19" t="n"/>
      <c r="I345" s="19" t="n"/>
      <c r="J345" s="19" t="n"/>
      <c r="K345" s="19" t="n"/>
      <c r="L345" s="19" t="n"/>
      <c r="M345" s="19" t="n"/>
      <c r="N345" s="19" t="n"/>
      <c r="O345" s="19" t="n"/>
      <c r="P345" s="19" t="n"/>
      <c r="Q345" s="19" t="n"/>
      <c r="R345" s="16" t="n"/>
      <c r="S345" s="16" t="n"/>
      <c r="T345" s="96" t="n"/>
      <c r="U345" s="16" t="n"/>
    </row>
    <row r="346" hidden="1">
      <c r="R346" s="16" t="n"/>
      <c r="S346" s="16" t="n"/>
      <c r="T346" s="103" t="n"/>
      <c r="U346" s="16" t="n"/>
    </row>
    <row r="350" hidden="1">
      <c r="R350" s="16" t="n"/>
      <c r="S350" s="16" t="n"/>
      <c r="T350" s="16" t="n"/>
      <c r="U350" s="16" t="n"/>
    </row>
    <row r="351" hidden="1">
      <c r="R351" s="16" t="n"/>
      <c r="S351" s="16" t="n"/>
      <c r="T351" s="16" t="n"/>
      <c r="U351" s="16" t="n"/>
    </row>
    <row r="353" hidden="1">
      <c r="R353" s="16" t="n"/>
      <c r="S353" s="16" t="n"/>
      <c r="T353" s="16" t="n"/>
      <c r="U353" s="16" t="n"/>
    </row>
    <row r="354" hidden="1">
      <c r="R354" s="16" t="n"/>
      <c r="S354" s="16" t="n"/>
      <c r="T354" s="16" t="n"/>
      <c r="U354" s="16" t="n"/>
    </row>
    <row r="355" hidden="1">
      <c r="R355" s="16" t="n"/>
      <c r="S355" s="16" t="n"/>
      <c r="T355" s="16" t="n"/>
      <c r="U355" s="16" t="n"/>
    </row>
    <row r="356" hidden="1">
      <c r="R356" s="16" t="n"/>
      <c r="S356" s="16" t="n"/>
      <c r="T356" s="16" t="n"/>
      <c r="U356" s="16" t="n"/>
    </row>
    <row r="358" hidden="1">
      <c r="R358" s="16" t="n"/>
      <c r="S358" s="16" t="n"/>
      <c r="T358" s="16" t="n"/>
      <c r="U358" s="16" t="n"/>
    </row>
    <row r="359" hidden="1">
      <c r="R359" s="16" t="n"/>
      <c r="S359" s="16" t="n"/>
      <c r="T359" s="16" t="n"/>
      <c r="U359" s="16" t="n"/>
    </row>
    <row r="360" hidden="1">
      <c r="R360" s="16" t="n"/>
      <c r="S360" s="16" t="n"/>
      <c r="T360" s="16" t="n"/>
      <c r="U360" s="16" t="n"/>
    </row>
    <row r="361" hidden="1">
      <c r="R361" s="16" t="n"/>
      <c r="S361" s="16" t="n"/>
      <c r="T361" s="16" t="n"/>
      <c r="U361" s="16" t="n"/>
    </row>
    <row r="363" hidden="1">
      <c r="R363" s="16" t="n"/>
      <c r="S363" s="16" t="n"/>
      <c r="T363" s="16" t="n"/>
      <c r="U363" s="16" t="n"/>
    </row>
    <row r="364" hidden="1">
      <c r="R364" s="16" t="n"/>
      <c r="S364" s="16" t="n"/>
      <c r="T364" s="16" t="n"/>
      <c r="U364" s="16" t="n"/>
    </row>
    <row r="365" hidden="1">
      <c r="R365" s="16" t="n"/>
      <c r="S365" s="16" t="n"/>
      <c r="T365" s="16" t="n"/>
      <c r="U365" s="16" t="n"/>
    </row>
    <row r="366" hidden="1">
      <c r="R366" s="16" t="n"/>
      <c r="S366" s="16" t="n"/>
      <c r="T366" s="16" t="n"/>
      <c r="U366" s="16" t="n"/>
    </row>
    <row r="367" hidden="1">
      <c r="R367" s="16" t="n"/>
      <c r="S367" s="16" t="n"/>
      <c r="T367" s="16" t="n"/>
      <c r="U367" s="16" t="n"/>
    </row>
    <row r="369" hidden="1">
      <c r="R369" s="16" t="n"/>
      <c r="S369" s="16" t="n"/>
      <c r="T369" s="16" t="n"/>
      <c r="U369" s="16" t="n"/>
    </row>
    <row r="370" hidden="1">
      <c r="R370" s="16" t="n"/>
      <c r="S370" s="16" t="n"/>
      <c r="T370" s="16" t="n"/>
      <c r="U370" s="16" t="n"/>
    </row>
    <row r="371" hidden="1">
      <c r="R371" s="16" t="n"/>
      <c r="S371" s="16" t="n"/>
      <c r="T371" s="16" t="n"/>
      <c r="U371" s="16" t="n"/>
    </row>
  </sheetData>
  <sheetProtection selectLockedCells="0" selectUnlockedCells="0" algorithmName="SHA-512" sheet="1" objects="0" insertRows="0" insertHyperlinks="0" autoFilter="0" scenarios="0" formatColumns="0" deleteColumns="0" insertColumns="0" pivotTables="0" deleteRows="0" formatCells="0" saltValue="RQyE0xSl4J10GkqhAsQKRw==" formatRows="0" sort="0" spinCount="100000" hashValue="OxT97BsOpMIqtwoAKKE9+D9Y2wSP6e1ASLweL/5J017xPgwj7GGj4d7PLIgxy+r4elIu7Qcrjjx5xWwEpu9PrA=="/>
  <mergeCells count="67">
    <mergeCell ref="C342:P342"/>
    <mergeCell ref="C193:P194"/>
    <mergeCell ref="D35:P36"/>
    <mergeCell ref="C137:P140"/>
    <mergeCell ref="C202:P205"/>
    <mergeCell ref="C251:P252"/>
    <mergeCell ref="D44:P45"/>
    <mergeCell ref="D128:P129"/>
    <mergeCell ref="D286:P287"/>
    <mergeCell ref="C338:P338"/>
    <mergeCell ref="C41:P42"/>
    <mergeCell ref="C21:P22"/>
    <mergeCell ref="C267:P267"/>
    <mergeCell ref="C226:P227"/>
    <mergeCell ref="C195:P195"/>
    <mergeCell ref="E277:P278"/>
    <mergeCell ref="D316:P317"/>
    <mergeCell ref="D68:P68"/>
    <mergeCell ref="C120:P121"/>
    <mergeCell ref="C341:H341"/>
    <mergeCell ref="D17:P18"/>
    <mergeCell ref="C161:K162"/>
    <mergeCell ref="D67:P67"/>
    <mergeCell ref="C184:P184"/>
    <mergeCell ref="D32:P33"/>
    <mergeCell ref="C8:P9"/>
    <mergeCell ref="C246:P246"/>
    <mergeCell ref="D272:P273"/>
    <mergeCell ref="C171:P172"/>
    <mergeCell ref="C177:P177"/>
    <mergeCell ref="C181:P182"/>
    <mergeCell ref="C337:H337"/>
    <mergeCell ref="C81:P82"/>
    <mergeCell ref="D302:P302"/>
    <mergeCell ref="D19:P19"/>
    <mergeCell ref="C168:P170"/>
    <mergeCell ref="C327:P328"/>
    <mergeCell ref="C176:P176"/>
    <mergeCell ref="C56:P56"/>
    <mergeCell ref="C247:P247"/>
    <mergeCell ref="C174:P175"/>
    <mergeCell ref="C148:P148"/>
    <mergeCell ref="C192:P192"/>
    <mergeCell ref="C326:H326"/>
    <mergeCell ref="D291:P291"/>
    <mergeCell ref="C310:P311"/>
    <mergeCell ref="C2:P2"/>
    <mergeCell ref="C179:P180"/>
    <mergeCell ref="C188:P190"/>
    <mergeCell ref="C220:P221"/>
    <mergeCell ref="C265:P266"/>
    <mergeCell ref="C103:P104"/>
    <mergeCell ref="C14:P15"/>
    <mergeCell ref="E279:P280"/>
    <mergeCell ref="D304:P305"/>
    <mergeCell ref="D318:P319"/>
    <mergeCell ref="D263:P263"/>
    <mergeCell ref="B132:Q132"/>
    <mergeCell ref="C253:P255"/>
    <mergeCell ref="C218:P219"/>
    <mergeCell ref="D38:P39"/>
    <mergeCell ref="D26:P27"/>
    <mergeCell ref="C199:P199"/>
    <mergeCell ref="C333:H333"/>
    <mergeCell ref="D284:P284"/>
    <mergeCell ref="C186:P186"/>
    <mergeCell ref="B234:Q234"/>
  </mergeCells>
  <hyperlinks>
    <hyperlink ref="C248" location="'IAASB flowchart (Do not delete)'!A1" display="LINK TO IAASB FLOW CHART ON TESTING METHODS"/>
  </hyperlinks>
  <pageMargins left="0.7" right="0.7" top="0.75" bottom="0.75" header="0.3" footer="0.3"/>
  <pageSetup orientation="portrait" paperSize="9"/>
</worksheet>
</file>

<file path=xl/worksheets/sheet7.xml><?xml version="1.0" encoding="utf-8"?>
<worksheet xmlns="http://schemas.openxmlformats.org/spreadsheetml/2006/main">
  <sheetPr codeName="Sheet3">
    <tabColor rgb="FF464B4B"/>
    <outlinePr summaryBelow="1" summaryRight="1"/>
    <pageSetUpPr/>
  </sheetPr>
  <dimension ref="A1:A1"/>
  <sheetViews>
    <sheetView showGridLines="0" zoomScaleNormal="100" workbookViewId="0">
      <selection activeCell="A1" sqref="A1"/>
    </sheetView>
  </sheetViews>
  <sheetFormatPr baseColWidth="8" defaultColWidth="0" defaultRowHeight="16.5" zeroHeight="1"/>
  <cols>
    <col width="9.125" customWidth="1" min="1" max="1"/>
    <col width="11.375" customWidth="1" min="2" max="15"/>
    <col width="7.875" customWidth="1" min="16" max="16"/>
    <col hidden="1" width="11.375" customWidth="1" min="17" max="254"/>
    <col hidden="1" width="3.125" customWidth="1" min="255" max="255"/>
    <col hidden="1" width="11.625" customWidth="1" min="256" max="256"/>
    <col hidden="1" width="9.125" customWidth="1" min="257" max="16384"/>
  </cols>
  <sheetData/>
  <sheetProtection selectLockedCells="0" selectUnlockedCells="0" algorithmName="SHA-512" sheet="1" objects="0" insertRows="0" insertHyperlinks="0" autoFilter="0" scenarios="0" formatColumns="0" deleteColumns="0" insertColumns="0" pivotTables="0" deleteRows="0" formatCells="0" saltValue="rfen/TcBHhYFkrgWq1qhFA==" formatRows="0" sort="0" spinCount="100000" hashValue="098+/VUIAg1+pK30g0rtLP6PxwjEZOkblU/cXTvAFySQxRvICLfCm9jOQszC8lN6yRf+y83ZgC/s/iNG7Tj5yA=="/>
  <pageMargins left="0.7" right="0.7" top="0.75" bottom="0.75" header="0.3" footer="0.3"/>
  <pageSetup orientation="portrait" paperSize="9"/>
</worksheet>
</file>

<file path=xl/worksheets/sheet8.xml><?xml version="1.0" encoding="utf-8"?>
<worksheet xmlns="http://schemas.openxmlformats.org/spreadsheetml/2006/main">
  <sheetPr codeName="Sheet4">
    <outlinePr summaryBelow="1" summaryRight="1"/>
    <pageSetUpPr/>
  </sheetPr>
  <dimension ref="O5:O5"/>
  <sheetViews>
    <sheetView workbookViewId="0">
      <selection activeCell="O5" sqref="O5"/>
    </sheetView>
  </sheetViews>
  <sheetFormatPr baseColWidth="8" defaultColWidth="9.125" defaultRowHeight="16.5"/>
  <sheetData>
    <row r="4" ht="23.25" customHeight="1"/>
    <row r="5">
      <c r="O5" s="43" t="n"/>
    </row>
    <row r="11" ht="31.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Mazars</dc:creator>
  <dcterms:created xsi:type="dcterms:W3CDTF">2012-04-12T10:18:33Z</dcterms:created>
  <dcterms:modified xsi:type="dcterms:W3CDTF">2026-07-21T05:48:26Z</dcterms:modified>
  <cp:lastModifiedBy>Se-Hoon Han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0x01010077C2AE7274C7214EA9C6749E3B848957</vt:lpwstr>
  </property>
  <property name="MSIP_Label_ae8fab06-504b-4325-93a9-50ca85e66f06_Enabled" fmtid="{D5CDD505-2E9C-101B-9397-08002B2CF9AE}" pid="3">
    <vt:lpwstr>true</vt:lpwstr>
  </property>
  <property name="MSIP_Label_ae8fab06-504b-4325-93a9-50ca85e66f06_SetDate" fmtid="{D5CDD505-2E9C-101B-9397-08002B2CF9AE}" pid="4">
    <vt:lpwstr>2022-05-19T13:24:42Z</vt:lpwstr>
  </property>
  <property name="MSIP_Label_ae8fab06-504b-4325-93a9-50ca85e66f06_Method" fmtid="{D5CDD505-2E9C-101B-9397-08002B2CF9AE}" pid="5">
    <vt:lpwstr>Standard</vt:lpwstr>
  </property>
  <property name="MSIP_Label_ae8fab06-504b-4325-93a9-50ca85e66f06_Name" fmtid="{D5CDD505-2E9C-101B-9397-08002B2CF9AE}" pid="6">
    <vt:lpwstr>C-Confidentiel</vt:lpwstr>
  </property>
  <property name="MSIP_Label_ae8fab06-504b-4325-93a9-50ca85e66f06_SiteId" fmtid="{D5CDD505-2E9C-101B-9397-08002B2CF9AE}" pid="7">
    <vt:lpwstr>41d9a388-7aef-420d-976c-d046beab641f</vt:lpwstr>
  </property>
  <property name="MSIP_Label_ae8fab06-504b-4325-93a9-50ca85e66f06_ActionId" fmtid="{D5CDD505-2E9C-101B-9397-08002B2CF9AE}" pid="8">
    <vt:lpwstr>5d903d53-085a-47c1-8757-db89975259d8</vt:lpwstr>
  </property>
  <property name="MSIP_Label_ae8fab06-504b-4325-93a9-50ca85e66f06_ContentBits" fmtid="{D5CDD505-2E9C-101B-9397-08002B2CF9AE}" pid="9">
    <vt:lpwstr>0</vt:lpwstr>
  </property>
  <property name="Order" fmtid="{D5CDD505-2E9C-101B-9397-08002B2CF9AE}" pid="10">
    <vt:r8>720600</vt:r8>
  </property>
  <property name="_ExtendedDescription" fmtid="{D5CDD505-2E9C-101B-9397-08002B2CF9AE}" pid="11">
    <vt:lpwstr/>
  </property>
  <property name="MediaServiceImageTags" fmtid="{D5CDD505-2E9C-101B-9397-08002B2CF9AE}" pid="12">
    <vt:lpwstr/>
  </property>
</Properties>
</file>