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요약" sheetId="1" state="visible" r:id="rId3"/>
    <sheet name="회차별계산" sheetId="2" state="visible" r:id="rId4"/>
    <sheet name="2024 OHK제외" sheetId="3" state="visible" r:id="rId5"/>
    <sheet name="2026 GL대사" sheetId="4" state="visible" r:id="rId6"/>
    <sheet name="과거분추정" sheetId="5" state="visible" r:id="rId7"/>
    <sheet name="범위 및 제약사항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<sst xmlns="http://schemas.openxmlformats.org/spreadsheetml/2006/main" count="184" uniqueCount="163">
  <si>
    <t xml:space="preserve">Action share 주식기준보상 검토 요약 (일반기업회계기준 제19장)</t>
  </si>
  <si>
    <t xml:space="preserve">사노피-아벤티스 코리아 / 2026년 9월 중간감사 / 금액 단위: 원</t>
  </si>
  <si>
    <t xml:space="preserve">근거</t>
  </si>
  <si>
    <t xml:space="preserve">19.3: 지배기업이 자기 주식으로 종속기업 종업원에게 보상하는 거래도 적용. 19.A60·사례 14: 종속기업은 보상원가 전액을 비용으로, 같은 금액을 지배기업 출자(자본잉여금)로 인식. 19.12: 즉시 가득 시 부여일에 전액 인식. 19.18: 가득 후 환입하지 않음.</t>
  </si>
  <si>
    <t xml:space="preserve">회차</t>
  </si>
  <si>
    <t xml:space="preserve">부여일(추정)</t>
  </si>
  <si>
    <t xml:space="preserve">보상원가</t>
  </si>
  <si>
    <t xml:space="preserve">감사 기간</t>
  </si>
  <si>
    <t xml:space="preserve">현재 처리</t>
  </si>
  <si>
    <t xml:space="preserve">제안 처리</t>
  </si>
  <si>
    <t xml:space="preserve">비고</t>
  </si>
  <si>
    <t xml:space="preserve">2024</t>
  </si>
  <si>
    <t xml:space="preserve">당 감사인 (FY2024)</t>
  </si>
  <si>
    <t xml:space="preserve">미인식</t>
  </si>
  <si>
    <t xml:space="preserve">미수정사항 (전기오류, 중요하지 않음)</t>
  </si>
  <si>
    <t xml:space="preserve">OHK 12명 제외</t>
  </si>
  <si>
    <t xml:space="preserve">2025</t>
  </si>
  <si>
    <t xml:space="preserve">당 감사인 (FY2025)</t>
  </si>
  <si>
    <t xml:space="preserve">2026</t>
  </si>
  <si>
    <t xml:space="preserve">당 감사인 (FY2026)</t>
  </si>
  <si>
    <t xml:space="preserve">수정 제안 (당기 비용)</t>
  </si>
  <si>
    <t xml:space="preserve">CTM 초과, PM 미달</t>
  </si>
  <si>
    <t xml:space="preserve">2013~2023</t>
  </si>
  <si>
    <t xml:space="preserve">-</t>
  </si>
  <si>
    <t xml:space="preserve">전임감사인</t>
  </si>
  <si>
    <t xml:space="preserve">조정 없음 (자본 내 분류, 추정)</t>
  </si>
  <si>
    <t xml:space="preserve">범위 = 과거분추정 시트</t>
  </si>
  <si>
    <t xml:space="preserve">누적 (추정)</t>
  </si>
  <si>
    <t xml:space="preserve">수정 제안 (2026.9)</t>
  </si>
  <si>
    <t xml:space="preserve">차/대</t>
  </si>
  <si>
    <t xml:space="preserve">계정</t>
  </si>
  <si>
    <t xml:space="preserve">금액</t>
  </si>
  <si>
    <t xml:space="preserve">손익 영향</t>
  </si>
  <si>
    <t xml:space="preserve">차변</t>
  </si>
  <si>
    <t xml:space="preserve">급여 (주식보상비용, 판관비)</t>
  </si>
  <si>
    <t xml:space="preserve">세전이익 감소</t>
  </si>
  <si>
    <t xml:space="preserve">대변</t>
  </si>
  <si>
    <t xml:space="preserve">기타자본잉여금 (지배기업 출자)</t>
  </si>
  <si>
    <t xml:space="preserve">자본 총계 영향 없음</t>
  </si>
  <si>
    <t xml:space="preserve">중요성</t>
  </si>
  <si>
    <t xml:space="preserve">PM 5,170,000,000 / CTM 194,000,000 (2026 감사계획 기준)</t>
  </si>
  <si>
    <t xml:space="preserve">세무</t>
  </si>
  <si>
    <t xml:space="preserve">SAK가 실제 부담하지 않는 비용이므로 손금불산입(기타). 법인세 효과 없음.</t>
  </si>
  <si>
    <t xml:space="preserve">제약사항</t>
  </si>
  <si>
    <t xml:space="preserve">'범위 및 제약사항' 시트 참조. 핵심: 참고가격을 공정가치 대용으로 사용, 처분제한 할인 미반영, 2023년 이전은 외삽 추정.</t>
  </si>
  <si>
    <t xml:space="preserve">Action share 회차별 보상원가 계산 (SAK, 회사코드 1616)</t>
  </si>
  <si>
    <t xml:space="preserve">출처: 회사 제공 Workday 청약 명세(Action 2024/2025/2026, Sanofi_Extract_INTER). 노란색 = 원천자료 입력값, 나머지 = 수식. 금액 단위: 원</t>
  </si>
  <si>
    <t xml:space="preserve">항목</t>
  </si>
  <si>
    <t xml:space="preserve">2024 회차</t>
  </si>
  <si>
    <t xml:space="preserve">2025 회차</t>
  </si>
  <si>
    <t xml:space="preserve">2026 회차</t>
  </si>
  <si>
    <t xml:space="preserve">산식 / 비고</t>
  </si>
  <si>
    <t xml:space="preserve">청약 기간</t>
  </si>
  <si>
    <t xml:space="preserve">2024.6.4~6.24</t>
  </si>
  <si>
    <t xml:space="preserve">2025.6.10~7.1</t>
  </si>
  <si>
    <t xml:space="preserve">2026.6.9~6.29</t>
  </si>
  <si>
    <t xml:space="preserve">명세상 청약 생성일 범위</t>
  </si>
  <si>
    <t xml:space="preserve">부여일(추정)</t>
  </si>
  <si>
    <t xml:space="preserve">2024.6.24</t>
  </si>
  <si>
    <t xml:space="preserve">2025.7.1</t>
  </si>
  <si>
    <t xml:space="preserve">2026.6.29</t>
  </si>
  <si>
    <t xml:space="preserve">청약기간 종료일(취소 불가 시점) 가정</t>
  </si>
  <si>
    <t xml:space="preserve">귀속 회계연도</t>
  </si>
  <si>
    <t xml:space="preserve">즉시 가득 → 부여일이 속한 연도 전액 인식(19.12)</t>
  </si>
  <si>
    <t xml:space="preserve">참여 인원(SAK)</t>
  </si>
  <si>
    <t xml:space="preserve">2024는 OHK 12명 제외 후 인원 미집계</t>
  </si>
  <si>
    <t xml:space="preserve">청약가격 (주당)</t>
  </si>
  <si>
    <t xml:space="preserve">명세 Subscription price (Local currency)</t>
  </si>
  <si>
    <t xml:space="preserve">할인율</t>
  </si>
  <si>
    <t xml:space="preserve">안내서: 참고가격 대비 20% 할인 (2024·2025는 같은 조건 가정)</t>
  </si>
  <si>
    <t xml:space="preserve">총 주식수 (무상주 포함)</t>
  </si>
  <si>
    <t xml:space="preserve">명세 Shares</t>
  </si>
  <si>
    <t xml:space="preserve">무상주</t>
  </si>
  <si>
    <t xml:space="preserve">명세 Free Shares</t>
  </si>
  <si>
    <t xml:space="preserve">납입액 (원)</t>
  </si>
  <si>
    <t xml:space="preserve">명세 Amount (Local Currency)</t>
  </si>
  <si>
    <t xml:space="preserve">납입 주식수</t>
  </si>
  <si>
    <t xml:space="preserve">총 주식수 - 무상주</t>
  </si>
  <si>
    <t xml:space="preserve">검증: 납입 주식수 × 청약가격</t>
  </si>
  <si>
    <t xml:space="preserve">검증 차이</t>
  </si>
  <si>
    <t xml:space="preserve">0이면 명세 금액과 일치</t>
  </si>
  <si>
    <t xml:space="preserve">참고가격 (주당)</t>
  </si>
  <si>
    <t xml:space="preserve">청약가격 ÷ (1 - 할인율). 부여일 공정가치의 대용치</t>
  </si>
  <si>
    <t xml:space="preserve">① 할인분</t>
  </si>
  <si>
    <t xml:space="preserve">납입액 ÷ (1 - 할인율) × 할인율</t>
  </si>
  <si>
    <t xml:space="preserve">② 무상주 공정가치</t>
  </si>
  <si>
    <t xml:space="preserve">무상주 × 참고가격</t>
  </si>
  <si>
    <t xml:space="preserve">보상원가 합계 (① + ②)</t>
  </si>
  <si>
    <t xml:space="preserve">(차) 급여(주식보상비용) / (대) 기타자본잉여금</t>
  </si>
  <si>
    <t xml:space="preserve">민감도: 부여일 주가 ±10%</t>
  </si>
  <si>
    <t xml:space="preserve">총 주식수 × 참고가격 × 10%</t>
  </si>
  <si>
    <t xml:space="preserve">3개 회차 합계</t>
  </si>
  <si>
    <t xml:space="preserve">2024 회차: Opella Healthcare Korea(1275) 직원분 제외</t>
  </si>
  <si>
    <t xml:space="preserve">OHK는 2024.6월 매각된 별도 법인으로, 그 직원의 근무용역 대가는 SAK 비용이 아님. 개인별 명세는 조서에 남기지 않고 집계값만 기재</t>
  </si>
  <si>
    <t xml:space="preserve">명세 Grand Total</t>
  </si>
  <si>
    <t xml:space="preserve">OHK(1275) 12명 합계</t>
  </si>
  <si>
    <t xml:space="preserve">SAK(1616)</t>
  </si>
  <si>
    <t xml:space="preserve">인원</t>
  </si>
  <si>
    <t xml:space="preserve">검증: 납입 주식수 × 107,964</t>
  </si>
  <si>
    <t xml:space="preserve">납입액과 일치 확인</t>
  </si>
  <si>
    <t xml:space="preserve">2026 회차 명세 vs GL 대사</t>
  </si>
  <si>
    <t xml:space="preserve">GL: 전표 830000156(2026.7.9) 그룹 지급 채무 42050000, 선수금 42911000, 미수금 26550450</t>
  </si>
  <si>
    <t xml:space="preserve">명세 (원)</t>
  </si>
  <si>
    <t xml:space="preserve">GL (원)</t>
  </si>
  <si>
    <t xml:space="preserve">차이</t>
  </si>
  <si>
    <t xml:space="preserve">원인</t>
  </si>
  <si>
    <t xml:space="preserve">그룹 지급 채무 (청약 총액)</t>
  </si>
  <si>
    <t xml:space="preserve">GL은 EUR 592,174.17 × 7월 환율 1,761.71로 기표. 직원 납입액은 그룹 고정환율(약 1,769원/EUR) 기준 원화로 확정</t>
  </si>
  <si>
    <t xml:space="preserve">일시납 (선수금 입금)</t>
  </si>
  <si>
    <t xml:space="preserve">초과 납입 2,148,808원을 외환이익(74110000)으로 처리. 직원 반환 부채인지 확인 필요</t>
  </si>
  <si>
    <t xml:space="preserve">급여공제 미수금</t>
  </si>
  <si>
    <t xml:space="preserve">미수금이 직원 부담액보다 과소. 급여공제로 회수할 금액은 명세 기준</t>
  </si>
  <si>
    <t xml:space="preserve">보상원가(할인·무상주)는 GL에 없음 → 회차별계산 시트의 금액이 미계상분</t>
  </si>
  <si>
    <t xml:space="preserve">2013~2023 회차 누적 보상원가 추정 (자료 없음)</t>
  </si>
  <si>
    <t xml:space="preserve">2024~2026 회차 계산값을 연평균으로 외삽. 참여 인원·주가·조직(2024 SPK 합병, OHK 분리) 변화로 불확실성 큼</t>
  </si>
  <si>
    <t xml:space="preserve">금액 (원)</t>
  </si>
  <si>
    <t xml:space="preserve">2024~2026 연평균</t>
  </si>
  <si>
    <t xml:space="preserve">2024~2026 최소</t>
  </si>
  <si>
    <t xml:space="preserve">2024~2026 최대</t>
  </si>
  <si>
    <t xml:space="preserve">추정 대상 연수 (2013~2023)</t>
  </si>
  <si>
    <t xml:space="preserve">프로그램 2013년 시작</t>
  </si>
  <si>
    <t xml:space="preserve">추정 누적 - 기준</t>
  </si>
  <si>
    <t xml:space="preserve">연평균 × 11년</t>
  </si>
  <si>
    <t xml:space="preserve">추정 누적 - 하한</t>
  </si>
  <si>
    <t xml:space="preserve">최소 × 11년</t>
  </si>
  <si>
    <t xml:space="preserve">추정 누적 - 상한</t>
  </si>
  <si>
    <t xml:space="preserve">최대 × 11년</t>
  </si>
  <si>
    <t xml:space="preserve">2024~2025 계산값 (전기 누락)</t>
  </si>
  <si>
    <t xml:space="preserve">감사인 감사기간 전기분</t>
  </si>
  <si>
    <t xml:space="preserve">2026 계산값 (당기)</t>
  </si>
  <si>
    <t xml:space="preserve">2013~2026 누적 - 기준</t>
  </si>
  <si>
    <t xml:space="preserve">자본잉여금 과소·이익잉여금 과대 추정액 (자본 총계 영향 없음)</t>
  </si>
  <si>
    <t xml:space="preserve">검토 범위의 논리와 금액 산출 시 제약사항</t>
  </si>
  <si>
    <t xml:space="preserve">구분</t>
  </si>
  <si>
    <t xml:space="preserve">내용</t>
  </si>
  <si>
    <t xml:space="preserve">영향 방향</t>
  </si>
  <si>
    <t xml:space="preserve">범위</t>
  </si>
  <si>
    <t xml:space="preserve">정량 검토는 당 감사인이 감사한 회계연도(2024~)와 자료 입수가 가능한 회차(2024·2025·2026)로 한정함. 2023년 이전은 전임감사인(EY한영) 감사기간이며 회사도 명세를 보유하지 않음.</t>
  </si>
  <si>
    <t xml:space="preserve">단, 2023년 이전 누락분도 2026년말 자본(이익잉여금·자본잉여금) 잔액에 남아 있으므로 기초잔액 관련 감사기준(감사기준서 510)상 영향 평가는 필요함. 추정(과거분추정 시트)과 성격(자본 내 분류, 자본 총계·손익 영향 없음)으로 중요성을 판단함.</t>
  </si>
  <si>
    <t xml:space="preserve">2024·2025 회차는 당 감사인이 감사한 전기 재무제표의 누락(전기오류). 중요하지 않으므로 재발행·재작성 대상 아님. 미수정사항으로 기록.</t>
  </si>
  <si>
    <t xml:space="preserve">제약 1</t>
  </si>
  <si>
    <t xml:space="preserve">공정가치 대용치: 부여일 주가 대신 참고가격(청약가격 ÷ 0.8)을 사용함. 부여일(청약 종료일) 실제 주가가 다르면 금액이 달라짐(민감도: 주가 ±10%).</t>
  </si>
  <si>
    <t xml:space="preserve">±</t>
  </si>
  <si>
    <t xml:space="preserve">제약 2</t>
  </si>
  <si>
    <t xml:space="preserve">처분제한(약 3년) 할인 미반영(19.A4). 반영하면 금액이 줄어듦.</t>
  </si>
  <si>
    <t xml:space="preserve">과대 가능</t>
  </si>
  <si>
    <t xml:space="preserve">제약 3</t>
  </si>
  <si>
    <t xml:space="preserve">할인율 20%: 2026 안내서로만 확인. 2024·2025는 같은 조건으로 가정.</t>
  </si>
  <si>
    <t xml:space="preserve">제약 4</t>
  </si>
  <si>
    <t xml:space="preserve">부여일: 청약기간 종료일로 가정. 개인별 청약일 또는 교부일(7월 하순) 기준과는 주가가 다를 수 있음. 모두 같은 회계연도이므로 귀속연도는 영향 없음.</t>
  </si>
  <si>
    <t xml:space="preserve">제약 5</t>
  </si>
  <si>
    <t xml:space="preserve">가득조건: 할인·무상주 모두 근무조건 없는 즉시 가득으로 가정(퇴사 시에도 주식 보유, 고용 종료는 조기처분 사유). 근무조건이 있으면 기간 배분 필요. 2024·2025 플랜 규정은 미입수.</t>
  </si>
  <si>
    <t xml:space="preserve">시점</t>
  </si>
  <si>
    <t xml:space="preserve">제약 6</t>
  </si>
  <si>
    <t xml:space="preserve">명세 완전성: 회사 제공 Workday 추출본 기준. 2026만 GL과 대사함. 청약 후 취소·한도초과 감액 등은 반영되지 않았을 수 있음.</t>
  </si>
  <si>
    <t xml:space="preserve">제약 7</t>
  </si>
  <si>
    <t xml:space="preserve">환율: 원화 청약가격 기준으로 계산함(그룹 고정환율 내재). 그룹 IFRS 2 금액(EUR)과는 환산 차이가 있을 수 있음.</t>
  </si>
  <si>
    <t xml:space="preserve">제약 8</t>
  </si>
  <si>
    <t xml:space="preserve">2023년 이전: 연평균 외삽으로 추정. 참여 인원(합병·분할), 주가, 할인·무상주 조건 변화를 반영하지 못함.</t>
  </si>
  <si>
    <t xml:space="preserve">제외 항목</t>
  </si>
  <si>
    <t xml:space="preserve">사용자 부담 사회보험료, 근로소득 원천징수, 무이자 분할납부 인정이자는 별도 사항으로 이 계산에 포함하지 않음. 법인세는 손금불산입(기타)으로 영향 없음.</t>
  </si>
  <si>
    <t xml:space="preserve">보완 방안</t>
  </si>
  <si>
    <t xml:space="preserve">그룹(HQ)에 회차별 IFRS 2 한국 귀속액(부여일 주가, 처분제한 할인 포함)을 요청하면 제약 1·2·7·8을 해소할 수 있음.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</si>
</sst>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맑은 고딕"/>
      <family val="0"/>
      <charset val="1"/>
    </font>
    <font>
      <b val="true"/>
      <sz val="13"/>
      <color rgb="FF000000"/>
      <name val="맑은 고딕"/>
      <family val="3"/>
    </font>
    <font>
      <sz val="9"/>
      <color rgb="FF595959"/>
      <name val="맑은 고딕"/>
      <family val="3"/>
    </font>
    <font>
      <sz val="9"/>
      <color rgb="FF595959"/>
      <name val="맑은 고딕"/>
      <family val="0"/>
      <charset val="1"/>
    </font>
    <font>
      <b val="true"/>
      <sz val="10"/>
      <color rgb="FF000000"/>
      <name val="맑은 고딕"/>
      <family val="3"/>
    </font>
    <font>
      <sz val="10"/>
      <color rgb="FF000000"/>
      <name val="맑은 고딕"/>
      <family val="0"/>
      <charset val="1"/>
    </font>
    <font>
      <sz val="10"/>
      <color rgb="FF000000"/>
      <name val="맑은 고딕"/>
      <family val="3"/>
    </font>
    <font>
      <b val="true"/>
      <sz val="10"/>
      <color rgb="FFFFFFFF"/>
      <name val="맑은 고딕"/>
      <family val="3"/>
    </font>
    <font>
      <b val="true"/>
      <sz val="10"/>
      <color rgb="FFFFFFFF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72CE"/>
        <bgColor rgb="FF008080"/>
      </patternFill>
    </fill>
    <fill>
      <patternFill patternType="solid">
        <fgColor rgb="FFDCE9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1B3B3"/>
      </left>
      <right style="thin">
        <color rgb="FFB1B3B3"/>
      </right>
      <top style="thin">
        <color rgb="FFB1B3B3"/>
      </top>
      <bottom style="thin">
        <color rgb="FFB1B3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1B3B3"/>
      <rgbColor rgb="FF808080"/>
      <rgbColor rgb="FF9999FF"/>
      <rgbColor rgb="FF993366"/>
      <rgbColor rgb="FFFFF2CC"/>
      <rgbColor rgb="FFDCE9F7"/>
      <rgbColor rgb="FF660066"/>
      <rgbColor rgb="FFFF8080"/>
      <rgbColor rgb="FF0072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2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customFormat="false" ht="26.85" hidden="false" customHeight="false" outlineLevel="0" collapsed="false">
      <c r="A7" s="6" t="s">
        <v>11</v>
      </c>
      <c r="B7" s="6" t="str">
        <f aca="false">회차별계산!B6</f>
        <v>2024.6.24</v>
      </c>
      <c r="C7" s="7" t="n">
        <f aca="false">회차별계산!B20</f>
        <v>413745039</v>
      </c>
      <c r="D7" s="8" t="s">
        <v>12</v>
      </c>
      <c r="E7" s="8" t="s">
        <v>13</v>
      </c>
      <c r="F7" s="9" t="s">
        <v>14</v>
      </c>
      <c r="G7" s="4" t="s">
        <v>15</v>
      </c>
    </row>
    <row r="8" customFormat="false" ht="26.85" hidden="false" customHeight="false" outlineLevel="0" collapsed="false">
      <c r="A8" s="6" t="s">
        <v>16</v>
      </c>
      <c r="B8" s="6" t="str">
        <f aca="false">회차별계산!C6</f>
        <v>2025.7.1</v>
      </c>
      <c r="C8" s="7" t="n">
        <f aca="false">회차별계산!C20</f>
        <v>515808864</v>
      </c>
      <c r="D8" s="8" t="s">
        <v>17</v>
      </c>
      <c r="E8" s="8" t="s">
        <v>13</v>
      </c>
      <c r="F8" s="9" t="s">
        <v>14</v>
      </c>
      <c r="G8" s="4"/>
    </row>
    <row r="9" customFormat="false" ht="15" hidden="false" customHeight="false" outlineLevel="0" collapsed="false">
      <c r="A9" s="6" t="s">
        <v>18</v>
      </c>
      <c r="B9" s="6" t="str">
        <f aca="false">회차별계산!D6</f>
        <v>2026.6.29</v>
      </c>
      <c r="C9" s="7" t="n">
        <f aca="false">회차별계산!D20</f>
        <v>316532214</v>
      </c>
      <c r="D9" s="8" t="s">
        <v>19</v>
      </c>
      <c r="E9" s="8" t="s">
        <v>13</v>
      </c>
      <c r="F9" s="9" t="s">
        <v>20</v>
      </c>
      <c r="G9" s="4" t="s">
        <v>21</v>
      </c>
    </row>
    <row r="10" customFormat="false" ht="15" hidden="false" customHeight="false" outlineLevel="0" collapsed="false">
      <c r="A10" s="6" t="s">
        <v>22</v>
      </c>
      <c r="B10" s="6" t="s">
        <v>23</v>
      </c>
      <c r="C10" s="7" t="n">
        <f aca="false">과거분추정!B9</f>
        <v>4568982429</v>
      </c>
      <c r="D10" s="8" t="s">
        <v>24</v>
      </c>
      <c r="E10" s="8" t="s">
        <v>13</v>
      </c>
      <c r="F10" s="9" t="s">
        <v>25</v>
      </c>
      <c r="G10" s="9" t="s">
        <v>26</v>
      </c>
    </row>
    <row r="11" customFormat="false" ht="15" hidden="false" customHeight="false" outlineLevel="0" collapsed="false">
      <c r="A11" s="10" t="s">
        <v>27</v>
      </c>
      <c r="B11" s="11"/>
      <c r="C11" s="12" t="n">
        <f aca="false">SUM(C7:C10)</f>
        <v>5815068546</v>
      </c>
      <c r="D11" s="11"/>
      <c r="E11" s="11"/>
      <c r="F11" s="11"/>
      <c r="G11" s="11"/>
    </row>
    <row r="13" customFormat="false" ht="15" hidden="false" customHeight="false" outlineLevel="0" collapsed="false">
      <c r="A13" s="3" t="s">
        <v>28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5" t="s">
        <v>31</v>
      </c>
      <c r="D14" s="5" t="s">
        <v>32</v>
      </c>
      <c r="E14" s="5"/>
      <c r="F14" s="5"/>
      <c r="G14" s="5"/>
    </row>
    <row r="15" customFormat="false" ht="15" hidden="false" customHeight="false" outlineLevel="0" collapsed="false">
      <c r="A15" s="8" t="s">
        <v>33</v>
      </c>
      <c r="B15" s="8" t="s">
        <v>34</v>
      </c>
      <c r="C15" s="7" t="n">
        <f aca="false">회차별계산!D20</f>
        <v>316532214</v>
      </c>
      <c r="D15" s="8" t="s">
        <v>35</v>
      </c>
    </row>
    <row r="16" customFormat="false" ht="15" hidden="false" customHeight="false" outlineLevel="0" collapsed="false">
      <c r="A16" s="8" t="s">
        <v>36</v>
      </c>
      <c r="B16" s="8" t="s">
        <v>37</v>
      </c>
      <c r="C16" s="7" t="n">
        <f aca="false">회차별계산!D20</f>
        <v>316532214</v>
      </c>
      <c r="D16" s="8" t="s">
        <v>38</v>
      </c>
    </row>
    <row r="18" customFormat="false" ht="15" hidden="false" customHeight="true" outlineLevel="0" collapsed="false">
      <c r="A18" s="3" t="s">
        <v>39</v>
      </c>
      <c r="B18" s="4" t="s">
        <v>40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A19" s="3" t="s">
        <v>41</v>
      </c>
      <c r="B19" s="4" t="s">
        <v>42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A20" s="3" t="s">
        <v>43</v>
      </c>
      <c r="B20" s="4" t="s">
        <v>44</v>
      </c>
      <c r="C20" s="4"/>
      <c r="D20" s="4"/>
      <c r="E20" s="4"/>
      <c r="F20" s="4"/>
      <c r="G20" s="4"/>
    </row>
  </sheetData>
  <mergeCells count="4">
    <mergeCell ref="B4:G4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  <col collapsed="false" customWidth="true" hidden="false" outlineLevel="0" max="5" min="5" style="0" width="58"/>
  </cols>
  <sheetData>
    <row r="1" customFormat="false" ht="17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5" t="s">
        <v>47</v>
      </c>
      <c r="B4" s="13" t="s">
        <v>48</v>
      </c>
      <c r="C4" s="13" t="s">
        <v>49</v>
      </c>
      <c r="D4" s="13" t="s">
        <v>50</v>
      </c>
      <c r="E4" s="5" t="s">
        <v>51</v>
      </c>
    </row>
    <row r="5" customFormat="false" ht="15" hidden="false" customHeight="false" outlineLevel="0" collapsed="false">
      <c r="A5" s="3" t="s">
        <v>52</v>
      </c>
      <c r="B5" s="14" t="s">
        <v>53</v>
      </c>
      <c r="C5" s="14" t="s">
        <v>54</v>
      </c>
      <c r="D5" s="14" t="s">
        <v>55</v>
      </c>
      <c r="E5" s="9" t="s">
        <v>56</v>
      </c>
    </row>
    <row r="6" customFormat="false" ht="15" hidden="false" customHeight="false" outlineLevel="0" collapsed="false">
      <c r="A6" s="3" t="s">
        <v>57</v>
      </c>
      <c r="B6" s="14" t="s">
        <v>58</v>
      </c>
      <c r="C6" s="14" t="s">
        <v>59</v>
      </c>
      <c r="D6" s="14" t="s">
        <v>60</v>
      </c>
      <c r="E6" s="9" t="s">
        <v>61</v>
      </c>
    </row>
    <row r="7" customFormat="false" ht="15" hidden="false" customHeight="false" outlineLevel="0" collapsed="false">
      <c r="A7" s="3" t="s">
        <v>62</v>
      </c>
      <c r="B7" s="15" t="n">
        <v>2024</v>
      </c>
      <c r="C7" s="15" t="n">
        <v>2025</v>
      </c>
      <c r="D7" s="15" t="n">
        <v>2026</v>
      </c>
      <c r="E7" s="9" t="s">
        <v>63</v>
      </c>
    </row>
    <row r="8" customFormat="false" ht="15" hidden="false" customHeight="false" outlineLevel="0" collapsed="false">
      <c r="A8" s="3" t="s">
        <v>64</v>
      </c>
      <c r="B8" s="16"/>
      <c r="C8" s="17" t="n">
        <v>163</v>
      </c>
      <c r="D8" s="17" t="n">
        <v>105</v>
      </c>
      <c r="E8" s="4" t="s">
        <v>65</v>
      </c>
    </row>
    <row r="9" customFormat="false" ht="15" hidden="false" customHeight="false" outlineLevel="0" collapsed="false">
      <c r="A9" s="3" t="s">
        <v>66</v>
      </c>
      <c r="B9" s="17" t="n">
        <v>107964</v>
      </c>
      <c r="C9" s="17" t="n">
        <v>114707</v>
      </c>
      <c r="D9" s="17" t="n">
        <v>105899</v>
      </c>
      <c r="E9" s="9" t="s">
        <v>67</v>
      </c>
    </row>
    <row r="10" customFormat="false" ht="15" hidden="false" customHeight="false" outlineLevel="0" collapsed="false">
      <c r="A10" s="3" t="s">
        <v>68</v>
      </c>
      <c r="B10" s="18" t="n">
        <v>0.2</v>
      </c>
      <c r="C10" s="18" t="n">
        <v>0.2</v>
      </c>
      <c r="D10" s="18" t="n">
        <v>0.2</v>
      </c>
      <c r="E10" s="9" t="s">
        <v>69</v>
      </c>
    </row>
    <row r="11" customFormat="false" ht="15" hidden="false" customHeight="false" outlineLevel="0" collapsed="false">
      <c r="A11" s="3" t="s">
        <v>70</v>
      </c>
      <c r="B11" s="7" t="n">
        <f aca="false">'2024 OHK제외'!D8</f>
        <v>13249</v>
      </c>
      <c r="C11" s="17" t="n">
        <v>15395</v>
      </c>
      <c r="D11" s="17" t="n">
        <v>10304</v>
      </c>
      <c r="E11" s="9" t="s">
        <v>71</v>
      </c>
    </row>
    <row r="12" customFormat="false" ht="15" hidden="false" customHeight="false" outlineLevel="0" collapsed="false">
      <c r="A12" s="3" t="s">
        <v>72</v>
      </c>
      <c r="B12" s="7" t="n">
        <f aca="false">'2024 OHK제외'!D9</f>
        <v>520</v>
      </c>
      <c r="C12" s="17" t="n">
        <v>648</v>
      </c>
      <c r="D12" s="17" t="n">
        <v>413</v>
      </c>
      <c r="E12" s="9" t="s">
        <v>73</v>
      </c>
    </row>
    <row r="13" customFormat="false" ht="15" hidden="false" customHeight="false" outlineLevel="0" collapsed="false">
      <c r="A13" s="3" t="s">
        <v>74</v>
      </c>
      <c r="B13" s="7" t="n">
        <f aca="false">'2024 OHK제외'!D10</f>
        <v>1374273756</v>
      </c>
      <c r="C13" s="17" t="n">
        <v>1691584129</v>
      </c>
      <c r="D13" s="17" t="n">
        <v>1047447009</v>
      </c>
      <c r="E13" s="9" t="s">
        <v>75</v>
      </c>
    </row>
    <row r="14" customFormat="false" ht="15" hidden="false" customHeight="false" outlineLevel="0" collapsed="false">
      <c r="A14" s="3" t="s">
        <v>76</v>
      </c>
      <c r="B14" s="7" t="n">
        <f aca="false">B11-B12</f>
        <v>12729</v>
      </c>
      <c r="C14" s="7" t="n">
        <f aca="false">C11-C12</f>
        <v>14747</v>
      </c>
      <c r="D14" s="7" t="n">
        <f aca="false">D11-D12</f>
        <v>9891</v>
      </c>
      <c r="E14" s="9" t="s">
        <v>77</v>
      </c>
    </row>
    <row r="15" customFormat="false" ht="15" hidden="false" customHeight="false" outlineLevel="0" collapsed="false">
      <c r="A15" s="3" t="s">
        <v>78</v>
      </c>
      <c r="B15" s="7" t="n">
        <f aca="false">B14*B9</f>
        <v>1374273756</v>
      </c>
      <c r="C15" s="7" t="n">
        <f aca="false">C14*C9</f>
        <v>1691584129</v>
      </c>
      <c r="D15" s="7" t="n">
        <f aca="false">D14*D9</f>
        <v>1047447009</v>
      </c>
      <c r="E15" s="4"/>
    </row>
    <row r="16" customFormat="false" ht="15" hidden="false" customHeight="false" outlineLevel="0" collapsed="false">
      <c r="A16" s="3" t="s">
        <v>79</v>
      </c>
      <c r="B16" s="7" t="n">
        <f aca="false">B13-B15</f>
        <v>0</v>
      </c>
      <c r="C16" s="7" t="n">
        <f aca="false">C13-C15</f>
        <v>0</v>
      </c>
      <c r="D16" s="7" t="n">
        <f aca="false">D13-D15</f>
        <v>0</v>
      </c>
      <c r="E16" s="4" t="s">
        <v>80</v>
      </c>
    </row>
    <row r="17" customFormat="false" ht="15" hidden="false" customHeight="false" outlineLevel="0" collapsed="false">
      <c r="A17" s="3" t="s">
        <v>81</v>
      </c>
      <c r="B17" s="7" t="n">
        <f aca="false">ROUND(B9/(1-B10),0)</f>
        <v>134955</v>
      </c>
      <c r="C17" s="7" t="n">
        <f aca="false">ROUND(C9/(1-C10),0)</f>
        <v>143384</v>
      </c>
      <c r="D17" s="7" t="n">
        <f aca="false">ROUND(D9/(1-D10),0)</f>
        <v>132374</v>
      </c>
      <c r="E17" s="9" t="s">
        <v>82</v>
      </c>
    </row>
    <row r="18" customFormat="false" ht="15" hidden="false" customHeight="false" outlineLevel="0" collapsed="false">
      <c r="A18" s="3" t="s">
        <v>83</v>
      </c>
      <c r="B18" s="7" t="n">
        <f aca="false">ROUND(B13/(1-B10)*B10,0)</f>
        <v>343568439</v>
      </c>
      <c r="C18" s="7" t="n">
        <f aca="false">ROUND(C13/(1-C10)*C10,0)</f>
        <v>422896032</v>
      </c>
      <c r="D18" s="7" t="n">
        <f aca="false">ROUND(D13/(1-D10)*D10,0)</f>
        <v>261861752</v>
      </c>
      <c r="E18" s="9" t="s">
        <v>84</v>
      </c>
    </row>
    <row r="19" customFormat="false" ht="15" hidden="false" customHeight="false" outlineLevel="0" collapsed="false">
      <c r="A19" s="3" t="s">
        <v>85</v>
      </c>
      <c r="B19" s="7" t="n">
        <f aca="false">B12*B17</f>
        <v>70176600</v>
      </c>
      <c r="C19" s="7" t="n">
        <f aca="false">C12*C17</f>
        <v>92912832</v>
      </c>
      <c r="D19" s="7" t="n">
        <f aca="false">D12*D17</f>
        <v>54670462</v>
      </c>
      <c r="E19" s="9" t="s">
        <v>86</v>
      </c>
    </row>
    <row r="20" customFormat="false" ht="15" hidden="false" customHeight="false" outlineLevel="0" collapsed="false">
      <c r="A20" s="10" t="s">
        <v>87</v>
      </c>
      <c r="B20" s="12" t="n">
        <f aca="false">B18+B19</f>
        <v>413745039</v>
      </c>
      <c r="C20" s="12" t="n">
        <f aca="false">C18+C19</f>
        <v>515808864</v>
      </c>
      <c r="D20" s="12" t="n">
        <f aca="false">D18+D19</f>
        <v>316532214</v>
      </c>
      <c r="E20" s="4" t="s">
        <v>88</v>
      </c>
    </row>
    <row r="21" customFormat="false" ht="15" hidden="false" customHeight="false" outlineLevel="0" collapsed="false">
      <c r="A21" s="3" t="s">
        <v>89</v>
      </c>
      <c r="B21" s="7" t="n">
        <f aca="false">ROUND(B11*B17*0.1,0)</f>
        <v>178801880</v>
      </c>
      <c r="C21" s="7" t="n">
        <f aca="false">ROUND(C11*C17*0.1,0)</f>
        <v>220739668</v>
      </c>
      <c r="D21" s="7" t="n">
        <f aca="false">ROUND(D11*D17*0.1,0)</f>
        <v>136398170</v>
      </c>
      <c r="E21" s="9" t="s">
        <v>90</v>
      </c>
    </row>
    <row r="23" customFormat="false" ht="15" hidden="false" customHeight="false" outlineLevel="0" collapsed="false">
      <c r="A23" s="19" t="s">
        <v>91</v>
      </c>
      <c r="B23" s="20" t="n">
        <f aca="false">SUM(B20:D20)</f>
        <v>1246086117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1" t="s">
        <v>92</v>
      </c>
    </row>
    <row r="2" customFormat="false" ht="15" hidden="false" customHeight="false" outlineLevel="0" collapsed="false">
      <c r="A2" s="21" t="s">
        <v>93</v>
      </c>
    </row>
    <row r="4" customFormat="false" ht="15" hidden="false" customHeight="false" outlineLevel="0" collapsed="false">
      <c r="A4" s="5" t="s">
        <v>47</v>
      </c>
      <c r="B4" s="5" t="s">
        <v>94</v>
      </c>
      <c r="C4" s="13" t="s">
        <v>95</v>
      </c>
      <c r="D4" s="13" t="s">
        <v>96</v>
      </c>
      <c r="E4" s="5" t="s">
        <v>10</v>
      </c>
    </row>
    <row r="7" customFormat="false" ht="15" hidden="false" customHeight="false" outlineLevel="0" collapsed="false">
      <c r="A7" s="3" t="s">
        <v>97</v>
      </c>
      <c r="B7" s="7"/>
      <c r="C7" s="17" t="n">
        <v>12</v>
      </c>
      <c r="D7" s="7"/>
      <c r="E7" s="6"/>
    </row>
    <row r="8" customFormat="false" ht="15" hidden="false" customHeight="false" outlineLevel="0" collapsed="false">
      <c r="A8" s="3" t="s">
        <v>70</v>
      </c>
      <c r="B8" s="17" t="n">
        <v>14024</v>
      </c>
      <c r="C8" s="17" t="n">
        <v>775</v>
      </c>
      <c r="D8" s="7" t="n">
        <f aca="false">B8-C8</f>
        <v>13249</v>
      </c>
      <c r="E8" s="6"/>
    </row>
    <row r="9" customFormat="false" ht="15" hidden="false" customHeight="false" outlineLevel="0" collapsed="false">
      <c r="A9" s="3" t="s">
        <v>72</v>
      </c>
      <c r="B9" s="17" t="n">
        <v>568</v>
      </c>
      <c r="C9" s="17" t="n">
        <v>48</v>
      </c>
      <c r="D9" s="7" t="n">
        <f aca="false">B9-C9</f>
        <v>520</v>
      </c>
      <c r="E9" s="6"/>
    </row>
    <row r="10" customFormat="false" ht="15" hidden="false" customHeight="false" outlineLevel="0" collapsed="false">
      <c r="A10" s="3" t="s">
        <v>74</v>
      </c>
      <c r="B10" s="17" t="n">
        <v>1452763584</v>
      </c>
      <c r="C10" s="17" t="n">
        <v>78489828</v>
      </c>
      <c r="D10" s="7" t="n">
        <f aca="false">B10-C10</f>
        <v>1374273756</v>
      </c>
      <c r="E10" s="6"/>
    </row>
    <row r="11" customFormat="false" ht="15" hidden="false" customHeight="false" outlineLevel="0" collapsed="false">
      <c r="A11" s="3" t="s">
        <v>76</v>
      </c>
      <c r="B11" s="7" t="n">
        <f aca="false">B8-B9</f>
        <v>13456</v>
      </c>
      <c r="C11" s="7" t="n">
        <f aca="false">C8-C9</f>
        <v>727</v>
      </c>
      <c r="D11" s="7" t="n">
        <f aca="false">D8-D9</f>
        <v>12729</v>
      </c>
      <c r="E11" s="6"/>
    </row>
    <row r="12" customFormat="false" ht="15" hidden="false" customHeight="false" outlineLevel="0" collapsed="false">
      <c r="A12" s="3" t="s">
        <v>98</v>
      </c>
      <c r="B12" s="7" t="n">
        <f aca="false">B11*107964</f>
        <v>1452763584</v>
      </c>
      <c r="C12" s="7" t="n">
        <f aca="false">C11*107964</f>
        <v>78489828</v>
      </c>
      <c r="D12" s="7" t="n">
        <f aca="false">D11*107964</f>
        <v>1374273756</v>
      </c>
      <c r="E12" s="8" t="s">
        <v>99</v>
      </c>
    </row>
    <row r="13" customFormat="false" ht="15" hidden="false" customHeight="false" outlineLevel="0" collapsed="false">
      <c r="A13" s="3" t="s">
        <v>79</v>
      </c>
      <c r="B13" s="7" t="n">
        <f aca="false">B10-B12</f>
        <v>0</v>
      </c>
      <c r="C13" s="7" t="n">
        <f aca="false">C10-C12</f>
        <v>0</v>
      </c>
      <c r="D13" s="7" t="n">
        <f aca="false">D10-D12</f>
        <v>0</v>
      </c>
      <c r="E1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1" t="s">
        <v>101</v>
      </c>
    </row>
    <row r="4" customFormat="false" ht="15" hidden="false" customHeight="false" outlineLevel="0" collapsed="false">
      <c r="A4" s="5" t="s">
        <v>47</v>
      </c>
      <c r="B4" s="5" t="s">
        <v>102</v>
      </c>
      <c r="C4" s="13" t="s">
        <v>103</v>
      </c>
      <c r="D4" s="5" t="s">
        <v>104</v>
      </c>
      <c r="E4" s="5" t="s">
        <v>105</v>
      </c>
    </row>
    <row r="5" customFormat="false" ht="26.85" hidden="false" customHeight="false" outlineLevel="0" collapsed="false">
      <c r="A5" s="3" t="s">
        <v>106</v>
      </c>
      <c r="B5" s="7" t="n">
        <f aca="false">회차별계산!D13</f>
        <v>1047447009</v>
      </c>
      <c r="C5" s="17" t="n">
        <v>1043239157</v>
      </c>
      <c r="D5" s="7" t="n">
        <f aca="false">B5-C5</f>
        <v>4207852</v>
      </c>
      <c r="E5" s="4" t="s">
        <v>107</v>
      </c>
    </row>
    <row r="6" customFormat="false" ht="26.85" hidden="false" customHeight="false" outlineLevel="0" collapsed="false">
      <c r="A6" s="3" t="s">
        <v>108</v>
      </c>
      <c r="B6" s="17" t="n">
        <v>534895849</v>
      </c>
      <c r="C6" s="17" t="n">
        <v>532747041</v>
      </c>
      <c r="D6" s="7" t="n">
        <f aca="false">B6-C6</f>
        <v>2148808</v>
      </c>
      <c r="E6" s="9" t="s">
        <v>109</v>
      </c>
    </row>
    <row r="7" customFormat="false" ht="15" hidden="false" customHeight="false" outlineLevel="0" collapsed="false">
      <c r="A7" s="3" t="s">
        <v>110</v>
      </c>
      <c r="B7" s="17" t="n">
        <v>512551160</v>
      </c>
      <c r="C7" s="17" t="n">
        <v>510492116</v>
      </c>
      <c r="D7" s="7" t="n">
        <f aca="false">B7-C7</f>
        <v>2059044</v>
      </c>
      <c r="E7" s="9" t="s">
        <v>111</v>
      </c>
    </row>
    <row r="9" customFormat="false" ht="15" hidden="false" customHeight="false" outlineLevel="0" collapsed="false">
      <c r="A9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7.1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1" t="s">
        <v>114</v>
      </c>
    </row>
    <row r="4" customFormat="false" ht="15" hidden="false" customHeight="false" outlineLevel="0" collapsed="false">
      <c r="A4" s="5" t="s">
        <v>47</v>
      </c>
      <c r="B4" s="5" t="s">
        <v>115</v>
      </c>
      <c r="C4" s="5" t="s">
        <v>51</v>
      </c>
    </row>
    <row r="5" customFormat="false" ht="15" hidden="false" customHeight="false" outlineLevel="0" collapsed="false">
      <c r="A5" s="22" t="s">
        <v>116</v>
      </c>
      <c r="B5" s="7" t="n">
        <f aca="false">AVERAGE(회차별계산!B20:D20)</f>
        <v>415362039</v>
      </c>
      <c r="C5" s="4"/>
    </row>
    <row r="6" customFormat="false" ht="15" hidden="false" customHeight="false" outlineLevel="0" collapsed="false">
      <c r="A6" s="22" t="s">
        <v>117</v>
      </c>
      <c r="B6" s="7" t="n">
        <f aca="false">MIN(회차별계산!B20:D20)</f>
        <v>316532214</v>
      </c>
      <c r="C6" s="4"/>
    </row>
    <row r="7" customFormat="false" ht="15" hidden="false" customHeight="false" outlineLevel="0" collapsed="false">
      <c r="A7" s="22" t="s">
        <v>118</v>
      </c>
      <c r="B7" s="7" t="n">
        <f aca="false">MAX(회차별계산!B20:D20)</f>
        <v>515808864</v>
      </c>
      <c r="C7" s="4"/>
    </row>
    <row r="8" customFormat="false" ht="15" hidden="false" customHeight="false" outlineLevel="0" collapsed="false">
      <c r="A8" s="3" t="s">
        <v>119</v>
      </c>
      <c r="B8" s="15" t="n">
        <v>11</v>
      </c>
      <c r="C8" s="9" t="s">
        <v>120</v>
      </c>
    </row>
    <row r="9" customFormat="false" ht="15" hidden="false" customHeight="false" outlineLevel="0" collapsed="false">
      <c r="A9" s="10" t="s">
        <v>121</v>
      </c>
      <c r="B9" s="23" t="n">
        <f aca="false">B5*B8</f>
        <v>4568982429</v>
      </c>
      <c r="C9" s="9" t="s">
        <v>122</v>
      </c>
    </row>
    <row r="10" customFormat="false" ht="15" hidden="false" customHeight="false" outlineLevel="0" collapsed="false">
      <c r="A10" s="3" t="s">
        <v>123</v>
      </c>
      <c r="B10" s="7" t="n">
        <f aca="false">B6*B8</f>
        <v>3481854354</v>
      </c>
      <c r="C10" s="9" t="s">
        <v>124</v>
      </c>
    </row>
    <row r="11" customFormat="false" ht="15" hidden="false" customHeight="false" outlineLevel="0" collapsed="false">
      <c r="A11" s="3" t="s">
        <v>125</v>
      </c>
      <c r="B11" s="7" t="n">
        <f aca="false">B7*B8</f>
        <v>5673897504</v>
      </c>
      <c r="C11" s="9" t="s">
        <v>126</v>
      </c>
    </row>
    <row r="12" customFormat="false" ht="15" hidden="false" customHeight="false" outlineLevel="0" collapsed="false">
      <c r="A12" s="22" t="s">
        <v>127</v>
      </c>
      <c r="B12" s="7" t="n">
        <f aca="false">회차별계산!B20+회차별계산!C20</f>
        <v>929553903</v>
      </c>
      <c r="C12" s="9" t="s">
        <v>128</v>
      </c>
    </row>
    <row r="13" customFormat="false" ht="15" hidden="false" customHeight="false" outlineLevel="0" collapsed="false">
      <c r="A13" s="22" t="s">
        <v>129</v>
      </c>
      <c r="B13" s="7" t="n">
        <f aca="false">회차별계산!D20</f>
        <v>316532214</v>
      </c>
      <c r="C13" s="4"/>
    </row>
    <row r="14" customFormat="false" ht="15" hidden="false" customHeight="false" outlineLevel="0" collapsed="false">
      <c r="A14" s="19" t="s">
        <v>130</v>
      </c>
      <c r="B14" s="23" t="n">
        <f aca="false">B9+B12+B13</f>
        <v>5815068546</v>
      </c>
      <c r="C14" s="9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24" t="s">
        <v>132</v>
      </c>
    </row>
    <row r="3" customFormat="false" ht="15" hidden="false" customHeight="false" outlineLevel="0" collapsed="false">
      <c r="A3" s="5" t="s">
        <v>133</v>
      </c>
      <c r="B3" s="5" t="s">
        <v>134</v>
      </c>
      <c r="C3" s="5" t="s">
        <v>135</v>
      </c>
    </row>
    <row r="4" customFormat="false" ht="48" hidden="false" customHeight="true" outlineLevel="0" collapsed="false">
      <c r="A4" s="3" t="s">
        <v>136</v>
      </c>
      <c r="B4" s="9" t="s">
        <v>137</v>
      </c>
      <c r="C4" s="25"/>
    </row>
    <row r="5" customFormat="false" ht="48" hidden="false" customHeight="true" outlineLevel="0" collapsed="false">
      <c r="A5" s="3" t="s">
        <v>136</v>
      </c>
      <c r="B5" s="9" t="s">
        <v>138</v>
      </c>
      <c r="C5" s="25"/>
    </row>
    <row r="6" customFormat="false" ht="48" hidden="false" customHeight="true" outlineLevel="0" collapsed="false">
      <c r="A6" s="3" t="s">
        <v>136</v>
      </c>
      <c r="B6" s="4" t="s">
        <v>139</v>
      </c>
      <c r="C6" s="25"/>
    </row>
    <row r="7" customFormat="false" ht="48" hidden="false" customHeight="true" outlineLevel="0" collapsed="false">
      <c r="A7" s="3" t="s">
        <v>140</v>
      </c>
      <c r="B7" s="9" t="s">
        <v>141</v>
      </c>
      <c r="C7" s="25" t="s">
        <v>142</v>
      </c>
    </row>
    <row r="8" customFormat="false" ht="48" hidden="false" customHeight="true" outlineLevel="0" collapsed="false">
      <c r="A8" s="3" t="s">
        <v>143</v>
      </c>
      <c r="B8" s="9" t="s">
        <v>144</v>
      </c>
      <c r="C8" s="26" t="s">
        <v>145</v>
      </c>
    </row>
    <row r="9" customFormat="false" ht="48" hidden="false" customHeight="true" outlineLevel="0" collapsed="false">
      <c r="A9" s="3" t="s">
        <v>146</v>
      </c>
      <c r="B9" s="9" t="s">
        <v>147</v>
      </c>
      <c r="C9" s="25" t="s">
        <v>142</v>
      </c>
    </row>
    <row r="10" customFormat="false" ht="48" hidden="false" customHeight="true" outlineLevel="0" collapsed="false">
      <c r="A10" s="3" t="s">
        <v>148</v>
      </c>
      <c r="B10" s="9" t="s">
        <v>149</v>
      </c>
      <c r="C10" s="25" t="s">
        <v>142</v>
      </c>
    </row>
    <row r="11" customFormat="false" ht="48" hidden="false" customHeight="true" outlineLevel="0" collapsed="false">
      <c r="A11" s="3" t="s">
        <v>150</v>
      </c>
      <c r="B11" s="9" t="s">
        <v>151</v>
      </c>
      <c r="C11" s="26" t="s">
        <v>152</v>
      </c>
    </row>
    <row r="12" customFormat="false" ht="48" hidden="false" customHeight="true" outlineLevel="0" collapsed="false">
      <c r="A12" s="3" t="s">
        <v>153</v>
      </c>
      <c r="B12" s="9" t="s">
        <v>154</v>
      </c>
      <c r="C12" s="25" t="s">
        <v>142</v>
      </c>
    </row>
    <row r="13" customFormat="false" ht="48" hidden="false" customHeight="true" outlineLevel="0" collapsed="false">
      <c r="A13" s="3" t="s">
        <v>155</v>
      </c>
      <c r="B13" s="9" t="s">
        <v>156</v>
      </c>
      <c r="C13" s="25" t="s">
        <v>142</v>
      </c>
    </row>
    <row r="14" customFormat="false" ht="48" hidden="false" customHeight="true" outlineLevel="0" collapsed="false">
      <c r="A14" s="3" t="s">
        <v>157</v>
      </c>
      <c r="B14" s="4" t="s">
        <v>158</v>
      </c>
      <c r="C14" s="25" t="s">
        <v>142</v>
      </c>
    </row>
    <row r="15" customFormat="false" ht="48" hidden="false" customHeight="true" outlineLevel="0" collapsed="false">
      <c r="A15" s="3" t="s">
        <v>159</v>
      </c>
      <c r="B15" s="9" t="s">
        <v>160</v>
      </c>
      <c r="C15" s="25"/>
    </row>
    <row r="16" customFormat="false" ht="48" hidden="false" customHeight="true" outlineLevel="0" collapsed="false">
      <c r="A16" s="3" t="s">
        <v>161</v>
      </c>
      <c r="B16" s="9" t="s">
        <v>162</v>
      </c>
      <c r="C16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2026-10-27T00:39:25Z</dcterms:created>
  <dc:creator>openpyxl</dc:creator>
  <dc:description/>
  <dc:language>en-US</dc:language>
  <cp:lastModifiedBy/>
  <dcterms:modified xsi:type="dcterms:W3CDTF">2026-10-27T00:39:25Z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