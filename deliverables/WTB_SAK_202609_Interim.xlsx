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S_KO" sheetId="1" state="visible" r:id="rId3"/>
    <sheet name="P&amp;L_KO" sheetId="2" state="visible" r:id="rId4"/>
    <sheet name="검토사항_작성기준" sheetId="3" state="visible" r:id="rId5"/>
    <sheet name="FS_map" sheetId="4" state="visible" r:id="rId6"/>
    <sheet name="statutory adj_2026 조정분개" sheetId="5" state="visible" r:id="rId7"/>
    <sheet name="BSPL2026" sheetId="6" state="visible" r:id="rId8"/>
    <sheet name="BS_DEC 2026" sheetId="7" state="visible" r:id="rId9"/>
    <sheet name="PL_DEC.2026" sheetId="8" state="visible" r:id="rId10"/>
    <sheet name="WBS_2025YE" sheetId="9" state="visible" r:id="rId11"/>
    <sheet name="WPL_2025YE" sheetId="10" state="visible" r:id="rId12"/>
  </sheets>
  <definedNames>
    <definedName function="false" hidden="true" localSheetId="3" name="_xlnm._FilterDatabase" vbProcedure="false">FS_map!$D$2:$T$444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9" authorId="0">
      <text>
        <r>
          <rPr>
            <sz val="10"/>
            <rFont val="Arial"/>
            <family val="2"/>
          </rPr>
          <t xml:space="preserve">YM Choi:
</t>
        </r>
        <r>
          <rPr>
            <sz val="10"/>
            <rFont val="WenQuanYi Zen Hei"/>
            <family val="2"/>
          </rPr>
          <t xml:space="preserve">반품충당전입액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불만재고</t>
        </r>
      </text>
    </comment>
    <comment ref="D21" authorId="0">
      <text>
        <r>
          <rPr>
            <sz val="10"/>
            <rFont val="Arial"/>
            <family val="2"/>
          </rPr>
          <t xml:space="preserve">YM Choi:
</t>
        </r>
        <r>
          <rPr>
            <sz val="10"/>
            <rFont val="WenQuanYi Zen Hei"/>
            <family val="2"/>
          </rPr>
          <t xml:space="preserve">기부금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견본품</t>
        </r>
      </text>
    </comment>
    <comment ref="R14" authorId="0">
      <text>
        <r>
          <rPr>
            <sz val="10"/>
            <rFont val="Arial"/>
            <family val="2"/>
          </rPr>
          <t xml:space="preserve">Kim, Ranyoung /MY:
</t>
        </r>
        <r>
          <rPr>
            <sz val="10"/>
            <rFont val="WenQuanYi Zen Hei"/>
            <family val="2"/>
          </rPr>
          <t xml:space="preserve">상품수불부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WenQuanYi Zen Hei"/>
            <family val="2"/>
          </rPr>
          <t xml:space="preserve">기초</t>
        </r>
        <r>
          <rPr>
            <sz val="10"/>
            <rFont val="Arial"/>
            <family val="2"/>
          </rPr>
          <t xml:space="preserve">: Opening-Amount total
</t>
        </r>
        <r>
          <rPr>
            <sz val="10"/>
            <rFont val="WenQuanYi Zen Hei"/>
            <family val="2"/>
          </rPr>
          <t xml:space="preserve">상품매입</t>
        </r>
        <r>
          <rPr>
            <sz val="10"/>
            <rFont val="Arial"/>
            <family val="2"/>
          </rPr>
          <t xml:space="preserve">:Incoming-Amount total
</t>
        </r>
        <r>
          <rPr>
            <sz val="10"/>
            <rFont val="WenQuanYi Zen Hei"/>
            <family val="2"/>
          </rPr>
          <t xml:space="preserve">타계정</t>
        </r>
        <r>
          <rPr>
            <sz val="10"/>
            <rFont val="Arial"/>
            <family val="2"/>
          </rPr>
          <t xml:space="preserve">:Incoming Transfer-Amount(WAM)
</t>
        </r>
        <r>
          <rPr>
            <sz val="10"/>
            <rFont val="WenQuanYi Zen Hei"/>
            <family val="2"/>
          </rPr>
          <t xml:space="preserve">매출원가</t>
        </r>
        <r>
          <rPr>
            <sz val="10"/>
            <rFont val="Arial"/>
            <family val="2"/>
          </rPr>
          <t xml:space="preserve">:Outgoing-Amount(WAM)
</t>
        </r>
        <r>
          <rPr>
            <sz val="10"/>
            <rFont val="WenQuanYi Zen Hei"/>
            <family val="2"/>
          </rPr>
          <t xml:space="preserve">타계정</t>
        </r>
        <r>
          <rPr>
            <sz val="10"/>
            <rFont val="Arial"/>
            <family val="2"/>
          </rPr>
          <t xml:space="preserve">:Outgoing Transfer-Amount(WAM)
</t>
        </r>
        <r>
          <rPr>
            <sz val="10"/>
            <rFont val="WenQuanYi Zen Hei"/>
            <family val="2"/>
          </rPr>
          <t xml:space="preserve">기말</t>
        </r>
        <r>
          <rPr>
            <sz val="10"/>
            <rFont val="Arial"/>
            <family val="2"/>
          </rPr>
          <t xml:space="preserve">:Ending-Amount(WAM)
</t>
        </r>
        <r>
          <rPr>
            <sz val="10"/>
            <rFont val="WenQuanYi Zen Hei"/>
            <family val="2"/>
          </rPr>
          <t xml:space="preserve">만약 상품수불부랑 금액 차이가 나는 경우 차이분은 타계정에서 조정해준다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기초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매입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매출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기말재고들은 절대 건드리면 안됨</t>
        </r>
      </text>
    </comment>
  </commentList>
</comments>
</file>

<file path=xl/sharedStrings.xml><?xml version="1.0" encoding="utf-8"?>
<sst xmlns="http://schemas.openxmlformats.org/spreadsheetml/2006/main" count="10760" uniqueCount="2631">
  <si>
    <t xml:space="preserve">대차대조표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</si>
  <si>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맑은 고딕"/>
        <family val="3"/>
        <charset val="129"/>
      </rPr>
      <t xml:space="preserve">37(</t>
    </r>
    <r>
      <rPr>
        <b val="true"/>
        <sz val="10"/>
        <rFont val="WenQuanYi Zen Hei"/>
        <family val="2"/>
      </rPr>
      <t xml:space="preserve">당</t>
    </r>
    <r>
      <rPr>
        <b val="true"/>
        <sz val="10"/>
        <rFont val="맑은 고딕"/>
        <family val="3"/>
        <charset val="129"/>
      </rPr>
      <t xml:space="preserve">)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맑은 고딕"/>
        <family val="3"/>
        <charset val="129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</si>
  <si>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OM (2%)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</si>
  <si>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맑은 고딕"/>
        <family val="3"/>
        <charset val="129"/>
      </rPr>
      <t xml:space="preserve">36(</t>
    </r>
    <r>
      <rPr>
        <b val="true"/>
        <sz val="10"/>
        <rFont val="WenQuanYi Zen Hei"/>
        <family val="2"/>
      </rPr>
      <t xml:space="preserve">전</t>
    </r>
    <r>
      <rPr>
        <b val="true"/>
        <sz val="10"/>
        <rFont val="맑은 고딕"/>
        <family val="3"/>
        <charset val="129"/>
      </rPr>
      <t xml:space="preserve">)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맑은 고딕"/>
        <family val="3"/>
        <charset val="129"/>
      </rPr>
      <t xml:space="preserve">2025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</si>
  <si>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PM (70%)</t>
  </si>
  <si>
    <t xml:space="preserve">CTT (3%)</t>
  </si>
  <si>
    <r>
      <rPr>
        <sz val="10"/>
        <rFont val="WenQuanYi Zen Hei"/>
        <family val="2"/>
      </rPr>
      <t xml:space="preserve">주식회사 사노피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아벤티스코리아</t>
    </r>
  </si>
  <si>
    <t xml:space="preserve">과목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</si>
  <si>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F/S </t>
    </r>
    <r>
      <rPr>
        <b val="true"/>
        <sz val="10"/>
        <rFont val="WenQuanYi Zen Hei"/>
        <family val="2"/>
      </rPr>
      <t xml:space="preserve">대사 </t>
    </r>
    <r>
      <rPr>
        <b val="true"/>
        <sz val="10"/>
        <rFont val="맑은 고딕"/>
        <family val="0"/>
        <charset val="1"/>
      </rPr>
      <t xml:space="preserve">(BS_DEC 2026)</t>
    </r>
  </si>
  <si>
    <t xml:space="preserve">수정전</t>
  </si>
  <si>
    <t xml:space="preserve">수정후</t>
  </si>
  <si>
    <t xml:space="preserve">금액</t>
  </si>
  <si>
    <t xml:space="preserve">Var. </t>
  </si>
  <si>
    <t xml:space="preserve">Var. %</t>
  </si>
  <si>
    <r>
      <rPr>
        <b val="true"/>
        <sz val="10"/>
        <rFont val="WenQuanYi Zen Hei"/>
        <family val="2"/>
      </rPr>
      <t xml:space="preserve">증감분석여부</t>
    </r>
    <r>
      <rPr>
        <b val="true"/>
        <sz val="10"/>
        <rFont val="맑은 고딕"/>
        <family val="3"/>
        <charset val="129"/>
      </rPr>
      <t xml:space="preserve">?</t>
    </r>
  </si>
  <si>
    <t xml:space="preserve">증감분석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</si>
  <si>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SAP(E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</si>
  <si>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(E-N)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</si>
  <si>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Statutory(K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</si>
  <si>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(F-P)</t>
  </si>
  <si>
    <t xml:space="preserve">자    산</t>
  </si>
  <si>
    <t xml:space="preserve">I. Current assets.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</si>
  <si>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유동자산</t>
    </r>
  </si>
  <si>
    <t xml:space="preserve">(1) Current assets.</t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</si>
  <si>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당좌자산</t>
    </r>
  </si>
  <si>
    <t xml:space="preserve">1. Cash and cash equivalents.</t>
  </si>
  <si>
    <t xml:space="preserve">1.</t>
  </si>
  <si>
    <t xml:space="preserve">현금및현금등가물</t>
  </si>
  <si>
    <t xml:space="preserve">2. Accounts receivable.</t>
  </si>
  <si>
    <t xml:space="preserve">2.</t>
  </si>
  <si>
    <t xml:space="preserve">매출채권</t>
  </si>
  <si>
    <t xml:space="preserve">3. Provision for bad debts.</t>
  </si>
  <si>
    <t xml:space="preserve">3.</t>
  </si>
  <si>
    <t xml:space="preserve">대손충당금</t>
  </si>
  <si>
    <t xml:space="preserve">4. Unpaid money.</t>
  </si>
  <si>
    <t xml:space="preserve">4.</t>
  </si>
  <si>
    <t xml:space="preserve">미수금</t>
  </si>
  <si>
    <t xml:space="preserve">5. Value-added tax not collected.</t>
  </si>
  <si>
    <t xml:space="preserve">5.</t>
  </si>
  <si>
    <t xml:space="preserve">부가가치세미수금</t>
  </si>
  <si>
    <t xml:space="preserve">6. Minus profit.</t>
  </si>
  <si>
    <t xml:space="preserve">6.</t>
  </si>
  <si>
    <t xml:space="preserve">미수수익</t>
  </si>
  <si>
    <t xml:space="preserve">7. Advance payment.</t>
  </si>
  <si>
    <t xml:space="preserve">7.</t>
  </si>
  <si>
    <t xml:space="preserve">선급금</t>
  </si>
  <si>
    <t xml:space="preserve">8. Provisional payment.</t>
  </si>
  <si>
    <t xml:space="preserve">8.</t>
  </si>
  <si>
    <t xml:space="preserve">가지급금</t>
  </si>
  <si>
    <t xml:space="preserve">9. Loan.</t>
  </si>
  <si>
    <t xml:space="preserve">9.</t>
  </si>
  <si>
    <t xml:space="preserve">대여금</t>
  </si>
  <si>
    <t xml:space="preserve">10. Advance payment.</t>
  </si>
  <si>
    <t xml:space="preserve">10.</t>
  </si>
  <si>
    <t xml:space="preserve">선급비용</t>
  </si>
  <si>
    <t xml:space="preserve">11. Liquidity Annual Tax Assets</t>
  </si>
  <si>
    <t xml:space="preserve">11.</t>
  </si>
  <si>
    <t xml:space="preserve">유동성이연법인세자산</t>
  </si>
  <si>
    <t xml:space="preserve">12. National Pension Conversion Assets</t>
  </si>
  <si>
    <t xml:space="preserve">12.</t>
  </si>
  <si>
    <t xml:space="preserve">국민연금전환금자산</t>
  </si>
  <si>
    <t xml:space="preserve">13</t>
  </si>
  <si>
    <t xml:space="preserve">유동성보증금</t>
  </si>
  <si>
    <t xml:space="preserve">(2) Inventory assets.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</si>
  <si>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재고자산</t>
    </r>
  </si>
  <si>
    <t xml:space="preserve">1. Prize.</t>
  </si>
  <si>
    <t xml:space="preserve">상품</t>
  </si>
  <si>
    <t xml:space="preserve">Evaluation allowance - product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</si>
  <si>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</si>
  <si>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2. Product.</t>
  </si>
  <si>
    <t xml:space="preserve">제품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</si>
  <si>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</si>
  <si>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t xml:space="preserve">3. Reproduct.</t>
  </si>
  <si>
    <t xml:space="preserve">재공품</t>
  </si>
  <si>
    <t xml:space="preserve">4. Raw materials.</t>
  </si>
  <si>
    <t xml:space="preserve">원재료</t>
  </si>
  <si>
    <t xml:space="preserve">Evaluation allowance - raw material.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</si>
  <si>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원재료</t>
    </r>
  </si>
  <si>
    <t xml:space="preserve">5. Packaging ingredients.</t>
  </si>
  <si>
    <t xml:space="preserve">포장재료</t>
  </si>
  <si>
    <t xml:space="preserve">Evaluation allowance - Packaging material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</si>
  <si>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포장재료</t>
    </r>
  </si>
  <si>
    <t xml:space="preserve">6. Not received.</t>
  </si>
  <si>
    <t xml:space="preserve">미착품</t>
  </si>
  <si>
    <t xml:space="preserve">II. Fixed assets.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</si>
  <si>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고정자산</t>
    </r>
  </si>
  <si>
    <t xml:space="preserve">(1) Investment assets.</t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</si>
  <si>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투자자산</t>
    </r>
  </si>
  <si>
    <t xml:space="preserve">1. Long-term financial instruments.</t>
  </si>
  <si>
    <t xml:space="preserve">장기금융상품</t>
  </si>
  <si>
    <t xml:space="preserve">지분법적용투자주식</t>
  </si>
  <si>
    <t xml:space="preserve">2. Other investment assets.</t>
  </si>
  <si>
    <t xml:space="preserve">기타의 투자자산</t>
  </si>
  <si>
    <r>
      <rPr>
        <sz val="10"/>
        <rFont val="WenQuanYi Zen Hei"/>
        <family val="2"/>
      </rPr>
      <t xml:space="preserve">서울클럽회원권 </t>
    </r>
    <r>
      <rPr>
        <sz val="10"/>
        <rFont val="맑은 고딕"/>
        <family val="3"/>
        <charset val="129"/>
      </rPr>
      <t xml:space="preserve">30,000,000</t>
    </r>
    <r>
      <rPr>
        <sz val="10"/>
        <rFont val="WenQuanYi Zen Hei"/>
        <family val="2"/>
      </rPr>
      <t xml:space="preserve">원</t>
    </r>
  </si>
  <si>
    <t xml:space="preserve">(2) Tangible assets.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</si>
  <si>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유형자산</t>
    </r>
  </si>
  <si>
    <t xml:space="preserve">1. Land.</t>
  </si>
  <si>
    <t xml:space="preserve">토지</t>
  </si>
  <si>
    <t xml:space="preserve">2. Building.</t>
  </si>
  <si>
    <t xml:space="preserve">건물</t>
  </si>
  <si>
    <t xml:space="preserve">Accumulated depreciation - Building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</si>
  <si>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건물</t>
    </r>
  </si>
  <si>
    <t xml:space="preserve">3. Construction.</t>
  </si>
  <si>
    <t xml:space="preserve">구축물</t>
  </si>
  <si>
    <t xml:space="preserve">Accumulated depreciation - Construction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</si>
  <si>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구축물</t>
    </r>
  </si>
  <si>
    <t xml:space="preserve">4. Mechanical equipment.</t>
  </si>
  <si>
    <t xml:space="preserve">기계장치</t>
  </si>
  <si>
    <t xml:space="preserve">Accumulated depreciation - Machinery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</si>
  <si>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기계장치</t>
    </r>
  </si>
  <si>
    <t xml:space="preserve">5. Carrier.</t>
  </si>
  <si>
    <t xml:space="preserve">차량운반구</t>
  </si>
  <si>
    <t xml:space="preserve">Accumulated Depreciation Amount - Carrier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</si>
  <si>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차량운반구</t>
    </r>
  </si>
  <si>
    <t xml:space="preserve">6. Tools and equipment.</t>
  </si>
  <si>
    <t xml:space="preserve">공구와기구</t>
  </si>
  <si>
    <t xml:space="preserve">Accumulated depreciation - tools and equipment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</si>
  <si>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공구와기구</t>
    </r>
  </si>
  <si>
    <t xml:space="preserve">7. Furniture.</t>
  </si>
  <si>
    <t xml:space="preserve">집기비품</t>
  </si>
  <si>
    <t xml:space="preserve">Accumulated Depreciation Amount - Furniture Equipment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</si>
  <si>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집기비품</t>
    </r>
  </si>
  <si>
    <t xml:space="preserve">(3) Intangible assets.</t>
  </si>
  <si>
    <r>
      <rPr>
        <sz val="10"/>
        <rFont val="맑은 고딕"/>
        <family val="3"/>
        <charset val="129"/>
      </rPr>
      <t xml:space="preserve">(3) </t>
    </r>
    <r>
      <rPr>
        <sz val="10"/>
        <rFont val="WenQuanYi Zen Hei"/>
        <family val="2"/>
      </rPr>
      <t xml:space="preserve">무형자산</t>
    </r>
  </si>
  <si>
    <t xml:space="preserve">1. Software.</t>
  </si>
  <si>
    <t xml:space="preserve">소프트웨어</t>
  </si>
  <si>
    <t xml:space="preserve">Accumulated depreciation - Software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</si>
  <si>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소프트웨어</t>
    </r>
  </si>
  <si>
    <t xml:space="preserve">2. Trademark rights.</t>
  </si>
  <si>
    <t xml:space="preserve">상표권</t>
  </si>
  <si>
    <t xml:space="preserve">Accumulated amortization of trademark rights.</t>
  </si>
  <si>
    <t xml:space="preserve">상표권상각누계액</t>
  </si>
  <si>
    <t xml:space="preserve">Provision for loss reduction of intangible assets</t>
  </si>
  <si>
    <t xml:space="preserve">무형자산감액손실충당금</t>
  </si>
  <si>
    <t xml:space="preserve">3. Business right.</t>
  </si>
  <si>
    <t xml:space="preserve">영업권</t>
  </si>
  <si>
    <t xml:space="preserve">Accumulated amortization of goodwill.</t>
  </si>
  <si>
    <t xml:space="preserve">영업권상각누계액</t>
  </si>
  <si>
    <t xml:space="preserve">(4) Other non-current assets.</t>
  </si>
  <si>
    <r>
      <rPr>
        <sz val="10"/>
        <rFont val="맑은 고딕"/>
        <family val="3"/>
        <charset val="129"/>
      </rPr>
      <t xml:space="preserve">(4) </t>
    </r>
    <r>
      <rPr>
        <sz val="10"/>
        <rFont val="WenQuanYi Zen Hei"/>
        <family val="2"/>
      </rPr>
      <t xml:space="preserve">기타의 비유동자산</t>
    </r>
  </si>
  <si>
    <t xml:space="preserve">1. Deposit.</t>
  </si>
  <si>
    <t xml:space="preserve">보증금</t>
  </si>
  <si>
    <t xml:space="preserve">2. Long-term advance payment cost.</t>
  </si>
  <si>
    <t xml:space="preserve">장기선급비용</t>
  </si>
  <si>
    <t xml:space="preserve">3. Deferred corporate tax assets.</t>
  </si>
  <si>
    <t xml:space="preserve">이연법인세자산</t>
  </si>
  <si>
    <t xml:space="preserve">4. Prepaid corporate tax.</t>
  </si>
  <si>
    <t xml:space="preserve">선급법인세</t>
  </si>
  <si>
    <t xml:space="preserve">5</t>
  </si>
  <si>
    <t xml:space="preserve">장기미수금</t>
  </si>
  <si>
    <t xml:space="preserve">6</t>
  </si>
  <si>
    <r>
      <rPr>
        <sz val="10"/>
        <rFont val="WenQuanYi Zen Hei"/>
        <family val="2"/>
      </rPr>
      <t xml:space="preserve">대손충당금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비유동</t>
    </r>
    <r>
      <rPr>
        <sz val="10"/>
        <rFont val="맑은 고딕"/>
        <family val="3"/>
        <charset val="129"/>
      </rPr>
      <t xml:space="preserve">)</t>
    </r>
  </si>
  <si>
    <t xml:space="preserve">(5) Assets under construction.</t>
  </si>
  <si>
    <t xml:space="preserve">(5)</t>
  </si>
  <si>
    <t xml:space="preserve">건설중인자산</t>
  </si>
  <si>
    <t xml:space="preserve">Total assets.</t>
  </si>
  <si>
    <t xml:space="preserve">자산총계</t>
  </si>
  <si>
    <t xml:space="preserve">부채</t>
  </si>
  <si>
    <t xml:space="preserve">I. Current liabilities.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</si>
  <si>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유동부채</t>
    </r>
  </si>
  <si>
    <t xml:space="preserve">1. Purchase obligation.</t>
  </si>
  <si>
    <t xml:space="preserve">매입채무</t>
  </si>
  <si>
    <t xml:space="preserve">2. Short-term loans.</t>
  </si>
  <si>
    <t xml:space="preserve">단기차입금</t>
  </si>
  <si>
    <t xml:space="preserve">3. Outstanding payments.</t>
  </si>
  <si>
    <t xml:space="preserve">미지급금</t>
  </si>
  <si>
    <t xml:space="preserve">4. Advance payment.</t>
  </si>
  <si>
    <t xml:space="preserve">선수금</t>
  </si>
  <si>
    <t xml:space="preserve">5. Deposit.</t>
  </si>
  <si>
    <t xml:space="preserve">예수금</t>
  </si>
  <si>
    <t xml:space="preserve">6. Outstanding expenses.</t>
  </si>
  <si>
    <t xml:space="preserve">미지급비용</t>
  </si>
  <si>
    <t xml:space="preserve">7. Value-added tax deposit.</t>
  </si>
  <si>
    <t xml:space="preserve">부가가치세예수금</t>
  </si>
  <si>
    <t xml:space="preserve">9. Unpaid corporate tax.</t>
  </si>
  <si>
    <t xml:space="preserve">미지급법인세</t>
  </si>
  <si>
    <t xml:space="preserve">10. The unpaid currency line.</t>
  </si>
  <si>
    <t xml:space="preserve">미지급통화선도</t>
  </si>
  <si>
    <t xml:space="preserve">11. Liquidity bonds.</t>
  </si>
  <si>
    <t xml:space="preserve">유동성사채</t>
  </si>
  <si>
    <t xml:space="preserve">12. Rental deposit.</t>
  </si>
  <si>
    <t xml:space="preserve">임대보증금</t>
  </si>
  <si>
    <t xml:space="preserve">13.</t>
  </si>
  <si>
    <t xml:space="preserve">반품충당금유동</t>
  </si>
  <si>
    <t xml:space="preserve">II. Fixed debt.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</si>
  <si>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고 정 부 채</t>
    </r>
  </si>
  <si>
    <t xml:space="preserve">1. Allowance for retirement benefits.</t>
  </si>
  <si>
    <t xml:space="preserve">퇴직급여충당금</t>
  </si>
  <si>
    <t xml:space="preserve">Retirement insurance deposit.</t>
  </si>
  <si>
    <t xml:space="preserve">퇴직보험예치금</t>
  </si>
  <si>
    <t xml:space="preserve">National pension conversion fund.</t>
  </si>
  <si>
    <t xml:space="preserve">국민연금전환금</t>
  </si>
  <si>
    <t xml:space="preserve">2. Allowance for returns.</t>
  </si>
  <si>
    <t xml:space="preserve">반품충당금</t>
  </si>
  <si>
    <t xml:space="preserve">복구충당부채</t>
  </si>
  <si>
    <t xml:space="preserve">이연법인세부채</t>
  </si>
  <si>
    <t xml:space="preserve">소송충당부채</t>
  </si>
  <si>
    <t xml:space="preserve">Total amount of fans.</t>
  </si>
  <si>
    <t xml:space="preserve">부채총계</t>
  </si>
  <si>
    <t xml:space="preserve">negative debt</t>
  </si>
  <si>
    <t xml:space="preserve">자본</t>
  </si>
  <si>
    <t xml:space="preserve">I. Capital gold.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</si>
  <si>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자 본 금</t>
    </r>
  </si>
  <si>
    <t xml:space="preserve">1. Capital of common stock.</t>
  </si>
  <si>
    <t xml:space="preserve">보통주자본금</t>
  </si>
  <si>
    <t xml:space="preserve">II. Capital surplus.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</si>
  <si>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자본잉여금</t>
    </r>
  </si>
  <si>
    <t xml:space="preserve">Stock issuance surcharge.</t>
  </si>
  <si>
    <t xml:space="preserve">주식발행초과금</t>
  </si>
  <si>
    <t xml:space="preserve">Other capital surplus.</t>
  </si>
  <si>
    <t xml:space="preserve">기타자본잉여금</t>
  </si>
  <si>
    <r>
      <rPr>
        <sz val="10"/>
        <rFont val="맑은 고딕"/>
        <family val="3"/>
        <charset val="129"/>
      </rPr>
      <t xml:space="preserve">III. </t>
    </r>
    <r>
      <rPr>
        <sz val="10"/>
        <rFont val="WenQuanYi Zen Hei"/>
        <family val="2"/>
      </rPr>
      <t xml:space="preserve">기타포괄손익</t>
    </r>
  </si>
  <si>
    <t xml:space="preserve">지분법자본변동</t>
  </si>
  <si>
    <t xml:space="preserve">III. Retained earnings (or deficits)</t>
  </si>
  <si>
    <r>
      <rPr>
        <sz val="10"/>
        <rFont val="맑은 고딕"/>
        <family val="3"/>
        <charset val="129"/>
      </rPr>
      <t xml:space="preserve">Ⅳ. </t>
    </r>
    <r>
      <rPr>
        <sz val="10"/>
        <rFont val="WenQuanYi Zen Hei"/>
        <family val="2"/>
      </rPr>
      <t xml:space="preserve">이익잉여금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또는 결손금</t>
    </r>
    <r>
      <rPr>
        <sz val="10"/>
        <rFont val="맑은 고딕"/>
        <family val="3"/>
        <charset val="129"/>
      </rPr>
      <t xml:space="preserve">)</t>
    </r>
  </si>
  <si>
    <t xml:space="preserve">1. Profit reserves.</t>
  </si>
  <si>
    <t xml:space="preserve">이익준비금</t>
  </si>
  <si>
    <t xml:space="preserve">2. Retained earnings before disposal.</t>
  </si>
  <si>
    <t xml:space="preserve">처분전 이익잉여금</t>
  </si>
  <si>
    <t xml:space="preserve">Retained earnings.</t>
  </si>
  <si>
    <t xml:space="preserve">이익잉여금</t>
  </si>
  <si>
    <t xml:space="preserve">Net profit for the term.</t>
  </si>
  <si>
    <t xml:space="preserve">당기순이익</t>
  </si>
  <si>
    <t xml:space="preserve">자본총계</t>
  </si>
  <si>
    <t xml:space="preserve">부채와자본총계</t>
  </si>
  <si>
    <t xml:space="preserve">손익계산서</t>
  </si>
  <si>
    <t xml:space="preserve">OM (1%)</t>
  </si>
  <si>
    <t xml:space="preserve">PM (80%)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</si>
  <si>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F/S </t>
    </r>
    <r>
      <rPr>
        <b val="true"/>
        <sz val="10"/>
        <rFont val="WenQuanYi Zen Hei"/>
        <family val="2"/>
      </rPr>
      <t xml:space="preserve">대사 </t>
    </r>
    <r>
      <rPr>
        <b val="true"/>
        <sz val="10"/>
        <rFont val="맑은 고딕"/>
        <family val="0"/>
        <charset val="1"/>
      </rPr>
      <t xml:space="preserve">(PL_DEC.2026)</t>
    </r>
  </si>
  <si>
    <t xml:space="preserve">연환산</t>
  </si>
  <si>
    <t xml:space="preserve">Var.</t>
  </si>
  <si>
    <t xml:space="preserve">Diff (E-U)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</si>
  <si>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Statutory(L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</si>
  <si>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(F-W)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</si>
  <si>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매출액</t>
    </r>
  </si>
  <si>
    <t xml:space="preserve">매출액</t>
  </si>
  <si>
    <t xml:space="preserve">용역수익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</si>
  <si>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매출원가</t>
    </r>
  </si>
  <si>
    <r>
      <rPr>
        <sz val="10"/>
        <rFont val="맑은 고딕"/>
        <family val="3"/>
        <charset val="129"/>
      </rPr>
      <t xml:space="preserve">&lt;</t>
    </r>
    <r>
      <rPr>
        <sz val="10"/>
        <rFont val="WenQuanYi Zen Hei"/>
        <family val="2"/>
      </rPr>
      <t xml:space="preserve">상품수불부</t>
    </r>
    <r>
      <rPr>
        <sz val="10"/>
        <rFont val="맑은 고딕"/>
        <family val="3"/>
        <charset val="129"/>
      </rPr>
      <t xml:space="preserve">&gt;</t>
    </r>
  </si>
  <si>
    <t xml:space="preserve">(1)</t>
  </si>
  <si>
    <t xml:space="preserve">상품매출원가</t>
  </si>
  <si>
    <r>
      <rPr>
        <sz val="10"/>
        <color theme="1"/>
        <rFont val="맑은 고딕"/>
        <family val="3"/>
        <charset val="129"/>
      </rPr>
      <t xml:space="preserve">← 0</t>
    </r>
    <r>
      <rPr>
        <sz val="10"/>
        <color theme="1"/>
        <rFont val="WenQuanYi Zen Hei"/>
        <family val="2"/>
      </rPr>
      <t xml:space="preserve">이어야 함 </t>
    </r>
    <r>
      <rPr>
        <sz val="10"/>
        <color theme="1"/>
        <rFont val="맑은 고딕"/>
        <family val="3"/>
        <charset val="129"/>
      </rPr>
      <t xml:space="preserve">(SAP </t>
    </r>
    <r>
      <rPr>
        <sz val="10"/>
        <color theme="1"/>
        <rFont val="WenQuanYi Zen Hei"/>
        <family val="2"/>
      </rPr>
      <t xml:space="preserve">상품매출원가 </t>
    </r>
    <r>
      <rPr>
        <sz val="10"/>
        <color theme="1"/>
        <rFont val="맑은 고딕"/>
        <family val="3"/>
        <charset val="129"/>
      </rPr>
      <t xml:space="preserve">= </t>
    </r>
    <r>
      <rPr>
        <sz val="10"/>
        <color theme="1"/>
        <rFont val="WenQuanYi Zen Hei"/>
        <family val="2"/>
      </rPr>
      <t xml:space="preserve">수불부 매출원가 </t>
    </r>
    <r>
      <rPr>
        <sz val="10"/>
        <color theme="1"/>
        <rFont val="맑은 고딕"/>
        <family val="3"/>
        <charset val="129"/>
      </rPr>
      <t xml:space="preserve">+ 86000800 P16 reversal)</t>
    </r>
  </si>
  <si>
    <t xml:space="preserve">구분</t>
  </si>
  <si>
    <r>
      <rPr>
        <b val="true"/>
        <sz val="10"/>
        <rFont val="맑은 고딕"/>
        <family val="3"/>
        <charset val="129"/>
      </rPr>
      <t xml:space="preserve">&lt;'26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9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맑은 고딕"/>
        <family val="3"/>
        <charset val="129"/>
      </rPr>
      <t xml:space="preserve">&gt;</t>
    </r>
  </si>
  <si>
    <t xml:space="preserve">기초상품재고액</t>
  </si>
  <si>
    <t xml:space="preserve">기초</t>
  </si>
  <si>
    <t xml:space="preserve">합병으로인한전입액</t>
  </si>
  <si>
    <t xml:space="preserve">입고</t>
  </si>
  <si>
    <t xml:space="preserve">당기상품매입액</t>
  </si>
  <si>
    <t xml:space="preserve">   상품매입</t>
  </si>
  <si>
    <t xml:space="preserve">Q</t>
  </si>
  <si>
    <t xml:space="preserve">관세환급금</t>
  </si>
  <si>
    <r>
      <rPr>
        <sz val="10"/>
        <rFont val="WenQuanYi Zen Hei"/>
        <family val="2"/>
      </rPr>
      <t xml:space="preserve">   타계정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3"/>
        <charset val="129"/>
      </rPr>
      <t xml:space="preserve">)</t>
    </r>
  </si>
  <si>
    <t xml:space="preserve">T</t>
  </si>
  <si>
    <r>
      <rPr>
        <sz val="10"/>
        <rFont val="WenQuanYi Zen Hei"/>
        <family val="2"/>
      </rPr>
      <t xml:space="preserve">타계정에서대체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</si>
  <si>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출고</t>
  </si>
  <si>
    <t xml:space="preserve">계</t>
  </si>
  <si>
    <t xml:space="preserve">   매출원가</t>
  </si>
  <si>
    <t xml:space="preserve">AA</t>
  </si>
  <si>
    <r>
      <rPr>
        <sz val="10"/>
        <rFont val="WenQuanYi Zen Hei"/>
        <family val="2"/>
      </rPr>
      <t xml:space="preserve">타계정으로대체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</si>
  <si>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   타계정</t>
  </si>
  <si>
    <t xml:space="preserve">AD -sampling</t>
  </si>
  <si>
    <t xml:space="preserve">기말상품재고액</t>
  </si>
  <si>
    <t xml:space="preserve">기말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</si>
  <si>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제품매출원가</t>
    </r>
  </si>
  <si>
    <t xml:space="preserve">기초제품재고액</t>
  </si>
  <si>
    <t xml:space="preserve">당기제품제조원가</t>
  </si>
  <si>
    <r>
      <rPr>
        <sz val="10"/>
        <rFont val="WenQuanYi Zen Hei"/>
        <family val="2"/>
      </rPr>
      <t xml:space="preserve">타계정에서대체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</si>
  <si>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r>
      <rPr>
        <sz val="10"/>
        <rFont val="WenQuanYi Zen Hei"/>
        <family val="2"/>
      </rPr>
      <t xml:space="preserve">타계정으로대체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</si>
  <si>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t xml:space="preserve">기말제품재고액</t>
  </si>
  <si>
    <t xml:space="preserve">(3)</t>
  </si>
  <si>
    <t xml:space="preserve">용역원가</t>
  </si>
  <si>
    <r>
      <rPr>
        <sz val="10"/>
        <rFont val="맑은 고딕"/>
        <family val="3"/>
        <charset val="129"/>
      </rPr>
      <t xml:space="preserve">III. </t>
    </r>
    <r>
      <rPr>
        <sz val="10"/>
        <rFont val="WenQuanYi Zen Hei"/>
        <family val="2"/>
      </rPr>
      <t xml:space="preserve">매출총이익</t>
    </r>
  </si>
  <si>
    <r>
      <rPr>
        <sz val="10"/>
        <rFont val="맑은 고딕"/>
        <family val="3"/>
        <charset val="129"/>
      </rPr>
      <t xml:space="preserve">IV. </t>
    </r>
    <r>
      <rPr>
        <sz val="10"/>
        <rFont val="WenQuanYi Zen Hei"/>
        <family val="2"/>
      </rPr>
      <t xml:space="preserve">판매비와일반관리비</t>
    </r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</si>
  <si>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판매직접비</t>
    </r>
  </si>
  <si>
    <t xml:space="preserve">판매수당</t>
  </si>
  <si>
    <t xml:space="preserve">판매촉진비</t>
  </si>
  <si>
    <t xml:space="preserve">하조및운임</t>
  </si>
  <si>
    <t xml:space="preserve">시장개척비</t>
  </si>
  <si>
    <t xml:space="preserve">광고선전비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</si>
  <si>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인건비</t>
    </r>
  </si>
  <si>
    <t xml:space="preserve">임원급여</t>
  </si>
  <si>
    <t xml:space="preserve">급여</t>
  </si>
  <si>
    <t xml:space="preserve">상여와수당</t>
  </si>
  <si>
    <t xml:space="preserve">성과급여</t>
  </si>
  <si>
    <t xml:space="preserve">퇴직급여</t>
  </si>
  <si>
    <t xml:space="preserve">명예퇴직금</t>
  </si>
  <si>
    <t xml:space="preserve">잡급</t>
  </si>
  <si>
    <r>
      <rPr>
        <sz val="10"/>
        <rFont val="맑은 고딕"/>
        <family val="3"/>
        <charset val="129"/>
      </rPr>
      <t xml:space="preserve">(3) </t>
    </r>
    <r>
      <rPr>
        <sz val="10"/>
        <rFont val="WenQuanYi Zen Hei"/>
        <family val="2"/>
      </rPr>
      <t xml:space="preserve">경비</t>
    </r>
  </si>
  <si>
    <t xml:space="preserve">복리후생비</t>
  </si>
  <si>
    <t xml:space="preserve">여비교통비</t>
  </si>
  <si>
    <t xml:space="preserve">통신비</t>
  </si>
  <si>
    <t xml:space="preserve">소모품비</t>
  </si>
  <si>
    <t xml:space="preserve">도서인쇄비</t>
  </si>
  <si>
    <t xml:space="preserve">임차료</t>
  </si>
  <si>
    <t xml:space="preserve">리스료</t>
  </si>
  <si>
    <t xml:space="preserve">수선비</t>
  </si>
  <si>
    <t xml:space="preserve">수도광열비</t>
  </si>
  <si>
    <t xml:space="preserve">회의비</t>
  </si>
  <si>
    <t xml:space="preserve">지급수수료</t>
  </si>
  <si>
    <t xml:space="preserve">제세공과</t>
  </si>
  <si>
    <t xml:space="preserve">접대비</t>
  </si>
  <si>
    <t xml:space="preserve">14.</t>
  </si>
  <si>
    <t xml:space="preserve">운반및보관료</t>
  </si>
  <si>
    <t xml:space="preserve">15.</t>
  </si>
  <si>
    <t xml:space="preserve">차량비</t>
  </si>
  <si>
    <t xml:space="preserve">16.</t>
  </si>
  <si>
    <t xml:space="preserve">임상증례조사비</t>
  </si>
  <si>
    <t xml:space="preserve">17.</t>
  </si>
  <si>
    <t xml:space="preserve">감가상각비</t>
  </si>
  <si>
    <t xml:space="preserve">18.</t>
  </si>
  <si>
    <t xml:space="preserve">보험료</t>
  </si>
  <si>
    <t xml:space="preserve">19.</t>
  </si>
  <si>
    <t xml:space="preserve">교육훈련비</t>
  </si>
  <si>
    <t xml:space="preserve">20.</t>
  </si>
  <si>
    <t xml:space="preserve">학술비</t>
  </si>
  <si>
    <t xml:space="preserve">21.</t>
  </si>
  <si>
    <t xml:space="preserve">무형자산상각비</t>
  </si>
  <si>
    <t xml:space="preserve">22.</t>
  </si>
  <si>
    <t xml:space="preserve">품질관리비</t>
  </si>
  <si>
    <t xml:space="preserve">23.</t>
  </si>
  <si>
    <t xml:space="preserve">인력채용비</t>
  </si>
  <si>
    <t xml:space="preserve">24.</t>
  </si>
  <si>
    <t xml:space="preserve">대손상각비</t>
  </si>
  <si>
    <t xml:space="preserve">25.</t>
  </si>
  <si>
    <t xml:space="preserve">잡비</t>
  </si>
  <si>
    <r>
      <rPr>
        <sz val="10"/>
        <rFont val="맑은 고딕"/>
        <family val="3"/>
        <charset val="129"/>
      </rPr>
      <t xml:space="preserve">(5) </t>
    </r>
    <r>
      <rPr>
        <sz val="10"/>
        <rFont val="WenQuanYi Zen Hei"/>
        <family val="2"/>
      </rPr>
      <t xml:space="preserve">판매관리비타계정대체</t>
    </r>
  </si>
  <si>
    <r>
      <rPr>
        <sz val="10"/>
        <rFont val="맑은 고딕"/>
        <family val="3"/>
        <charset val="129"/>
      </rPr>
      <t xml:space="preserve">V. </t>
    </r>
    <r>
      <rPr>
        <sz val="10"/>
        <rFont val="WenQuanYi Zen Hei"/>
        <family val="2"/>
      </rPr>
      <t xml:space="preserve">영업이익</t>
    </r>
  </si>
  <si>
    <r>
      <rPr>
        <sz val="10"/>
        <rFont val="맑은 고딕"/>
        <family val="3"/>
        <charset val="129"/>
      </rPr>
      <t xml:space="preserve">VI. </t>
    </r>
    <r>
      <rPr>
        <sz val="10"/>
        <rFont val="WenQuanYi Zen Hei"/>
        <family val="2"/>
      </rPr>
      <t xml:space="preserve">영업외수익</t>
    </r>
  </si>
  <si>
    <t xml:space="preserve">이자수익</t>
  </si>
  <si>
    <t xml:space="preserve">외환차익</t>
  </si>
  <si>
    <t xml:space="preserve">외화환산이익</t>
  </si>
  <si>
    <t xml:space="preserve">투자자산처분이익</t>
  </si>
  <si>
    <t xml:space="preserve">유형자산처분이익</t>
  </si>
  <si>
    <t xml:space="preserve">통화선도거래이익</t>
  </si>
  <si>
    <t xml:space="preserve">기타수입수수료</t>
  </si>
  <si>
    <t xml:space="preserve">대손충당금환입</t>
  </si>
  <si>
    <t xml:space="preserve">법인세환급액</t>
  </si>
  <si>
    <t xml:space="preserve">마케팅지원금</t>
  </si>
  <si>
    <t xml:space="preserve">잡이익</t>
  </si>
  <si>
    <t xml:space="preserve">지분법이익</t>
  </si>
  <si>
    <t xml:space="preserve">복구공사이익</t>
  </si>
  <si>
    <t xml:space="preserve">14</t>
  </si>
  <si>
    <t xml:space="preserve">배당금수익</t>
  </si>
  <si>
    <r>
      <rPr>
        <sz val="10"/>
        <rFont val="맑은 고딕"/>
        <family val="3"/>
        <charset val="129"/>
      </rPr>
      <t xml:space="preserve">VII. </t>
    </r>
    <r>
      <rPr>
        <sz val="10"/>
        <rFont val="WenQuanYi Zen Hei"/>
        <family val="2"/>
      </rPr>
      <t xml:space="preserve">영업외비용</t>
    </r>
  </si>
  <si>
    <t xml:space="preserve">이자비용</t>
  </si>
  <si>
    <t xml:space="preserve">매출채권매각손실</t>
  </si>
  <si>
    <t xml:space="preserve">외환차손</t>
  </si>
  <si>
    <t xml:space="preserve">외화환산손실</t>
  </si>
  <si>
    <t xml:space="preserve">기부금</t>
  </si>
  <si>
    <t xml:space="preserve">퇴직위로금</t>
  </si>
  <si>
    <t xml:space="preserve">투자자산처분손실</t>
  </si>
  <si>
    <t xml:space="preserve">유형자산처분손실</t>
  </si>
  <si>
    <t xml:space="preserve">무형자산감액손실</t>
  </si>
  <si>
    <t xml:space="preserve">무형자산처분손실</t>
  </si>
  <si>
    <t xml:space="preserve">법인세추납액</t>
  </si>
  <si>
    <t xml:space="preserve">통화선도거래손실</t>
  </si>
  <si>
    <t xml:space="preserve">수익조정보전손실</t>
  </si>
  <si>
    <t xml:space="preserve">통화선도평가손실</t>
  </si>
  <si>
    <t xml:space="preserve">지분법손실</t>
  </si>
  <si>
    <t xml:space="preserve">잡손실</t>
  </si>
  <si>
    <r>
      <rPr>
        <sz val="10"/>
        <rFont val="맑은 고딕"/>
        <family val="3"/>
        <charset val="129"/>
      </rPr>
      <t xml:space="preserve">VIII. </t>
    </r>
    <r>
      <rPr>
        <sz val="10"/>
        <rFont val="WenQuanYi Zen Hei"/>
        <family val="2"/>
      </rPr>
      <t xml:space="preserve">경상이익</t>
    </r>
  </si>
  <si>
    <t xml:space="preserve">IX. </t>
  </si>
  <si>
    <t xml:space="preserve">특별이익</t>
  </si>
  <si>
    <t xml:space="preserve">X. </t>
  </si>
  <si>
    <t xml:space="preserve">특별손실</t>
  </si>
  <si>
    <r>
      <rPr>
        <sz val="10"/>
        <rFont val="맑은 고딕"/>
        <family val="3"/>
        <charset val="129"/>
      </rPr>
      <t xml:space="preserve">XI.  </t>
    </r>
    <r>
      <rPr>
        <sz val="10"/>
        <rFont val="WenQuanYi Zen Hei"/>
        <family val="2"/>
      </rPr>
      <t xml:space="preserve">법인세차감전순이익</t>
    </r>
  </si>
  <si>
    <t xml:space="preserve">XII.</t>
  </si>
  <si>
    <t xml:space="preserve">법인세비용</t>
  </si>
  <si>
    <r>
      <rPr>
        <sz val="10"/>
        <rFont val="맑은 고딕"/>
        <family val="3"/>
        <charset val="129"/>
      </rPr>
      <t xml:space="preserve">XIII. </t>
    </r>
    <r>
      <rPr>
        <sz val="10"/>
        <rFont val="WenQuanYi Zen Hei"/>
        <family val="2"/>
      </rPr>
      <t xml:space="preserve">당기순이익</t>
    </r>
  </si>
  <si>
    <r>
      <rPr>
        <b val="true"/>
        <sz val="13"/>
        <rFont val="WenQuanYi Zen Hei"/>
        <family val="2"/>
      </rPr>
      <t xml:space="preserve">사노피</t>
    </r>
    <r>
      <rPr>
        <b val="true"/>
        <sz val="13"/>
        <rFont val="맑은 고딕"/>
        <family val="0"/>
        <charset val="1"/>
      </rPr>
      <t xml:space="preserve">-</t>
    </r>
    <r>
      <rPr>
        <b val="true"/>
        <sz val="13"/>
        <rFont val="WenQuanYi Zen Hei"/>
        <family val="2"/>
      </rPr>
      <t xml:space="preserve">아벤티스코리아 </t>
    </r>
    <r>
      <rPr>
        <b val="true"/>
        <sz val="13"/>
        <rFont val="맑은 고딕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년 중간감사</t>
    </r>
    <r>
      <rPr>
        <b val="true"/>
        <sz val="13"/>
        <rFont val="맑은 고딕"/>
        <family val="0"/>
        <charset val="1"/>
      </rPr>
      <t xml:space="preserve">(2026.09) </t>
    </r>
    <r>
      <rPr>
        <b val="true"/>
        <sz val="13"/>
        <rFont val="WenQuanYi Zen Hei"/>
        <family val="2"/>
      </rPr>
      <t xml:space="preserve">정산표 – 작성기준 및 검토사항</t>
    </r>
  </si>
  <si>
    <r>
      <rPr>
        <b val="true"/>
        <sz val="10"/>
        <rFont val="맑은 고딕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작성기준</t>
    </r>
  </si>
  <si>
    <t xml:space="preserve">항목</t>
  </si>
  <si>
    <t xml:space="preserve">내용</t>
  </si>
  <si>
    <r>
      <rPr>
        <b val="true"/>
        <sz val="10"/>
        <rFont val="WenQuanYi Zen Hei"/>
        <family val="2"/>
      </rPr>
      <t xml:space="preserve">금액</t>
    </r>
    <r>
      <rPr>
        <b val="true"/>
        <sz val="10"/>
        <rFont val="맑은 고딕"/>
        <family val="0"/>
        <charset val="1"/>
      </rPr>
      <t xml:space="preserve">/check</t>
    </r>
  </si>
  <si>
    <t xml:space="preserve">금액 설명</t>
  </si>
  <si>
    <t xml:space="preserve">양식</t>
  </si>
  <si>
    <r>
      <rPr>
        <sz val="10"/>
        <rFont val="WenQuanYi Zen Hei"/>
        <family val="2"/>
      </rPr>
      <t xml:space="preserve">전기 중간감사 정산표</t>
    </r>
    <r>
      <rPr>
        <sz val="10"/>
        <rFont val="맑은 고딕"/>
        <family val="0"/>
        <charset val="1"/>
      </rPr>
      <t xml:space="preserve">(WTB_SAK_202509_Interim_1022) BS_KO / P&amp;L_KO / FS_map </t>
    </r>
    <r>
      <rPr>
        <sz val="10"/>
        <rFont val="WenQuanYi Zen Hei"/>
        <family val="2"/>
      </rPr>
      <t xml:space="preserve">양식 동일 적용</t>
    </r>
  </si>
  <si>
    <r>
      <rPr>
        <b val="true"/>
        <sz val="10"/>
        <rFont val="맑은 고딕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열 수정전</t>
    </r>
  </si>
  <si>
    <r>
      <rPr>
        <sz val="10"/>
        <rFont val="맑은 고딕"/>
        <family val="0"/>
        <charset val="1"/>
      </rPr>
      <t xml:space="preserve">FS_map M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BSPL2026 YTD Sep 2026(Z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SAP + P16 Stat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) –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BS_DEC 2026 / PL_DEC.2026 "All SAP activities"(E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대사</t>
    </r>
  </si>
  <si>
    <r>
      <rPr>
        <sz val="10"/>
        <rFont val="맑은 고딕"/>
        <family val="0"/>
        <charset val="1"/>
      </rPr>
      <t xml:space="preserve">E</t>
    </r>
    <r>
      <rPr>
        <sz val="10"/>
        <rFont val="WenQuanYi Zen Hei"/>
        <family val="2"/>
      </rPr>
      <t xml:space="preserve">열 대사차이 합계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수불부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plug </t>
    </r>
    <r>
      <rPr>
        <sz val="10"/>
        <rFont val="WenQuanYi Zen Hei"/>
        <family val="2"/>
      </rPr>
      <t xml:space="preserve">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</si>
  <si>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열 수정후</t>
    </r>
  </si>
  <si>
    <r>
      <rPr>
        <sz val="10"/>
        <rFont val="맑은 고딕"/>
        <family val="0"/>
        <charset val="1"/>
      </rPr>
      <t xml:space="preserve">FS_map P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수정전 </t>
    </r>
    <r>
      <rPr>
        <sz val="10"/>
        <rFont val="맑은 고딕"/>
        <family val="0"/>
        <charset val="1"/>
      </rPr>
      <t xml:space="preserve">+ 'statutory adj_2026 </t>
    </r>
    <r>
      <rPr>
        <sz val="10"/>
        <rFont val="WenQuanYi Zen Hei"/>
        <family val="2"/>
      </rPr>
      <t xml:space="preserve">조정분개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미기표분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조정분개 </t>
    </r>
    <r>
      <rPr>
        <sz val="10"/>
        <rFont val="맑은 고딕"/>
        <family val="0"/>
        <charset val="1"/>
      </rPr>
      <t xml:space="preserve">S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(FS_map </t>
    </r>
    <r>
      <rPr>
        <sz val="10"/>
        <rFont val="WenQuanYi Zen Hei"/>
        <family val="2"/>
      </rPr>
      <t xml:space="preserve">연결 </t>
    </r>
    <r>
      <rPr>
        <sz val="10"/>
        <rFont val="맑은 고딕"/>
        <family val="0"/>
        <charset val="1"/>
      </rPr>
      <t xml:space="preserve">GL)</t>
    </r>
    <r>
      <rPr>
        <sz val="10"/>
        <rFont val="WenQuanYi Zen Hei"/>
        <family val="2"/>
      </rPr>
      <t xml:space="preserve">로 계정 연결 </t>
    </r>
    <r>
      <rPr>
        <sz val="10"/>
        <rFont val="맑은 고딕"/>
        <family val="0"/>
        <charset val="1"/>
      </rPr>
      <t xml:space="preserve">(SAP GL </t>
    </r>
    <r>
      <rPr>
        <sz val="10"/>
        <rFont val="WenQuanYi Zen Hei"/>
        <family val="2"/>
      </rPr>
      <t xml:space="preserve">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미존재 시 </t>
    </r>
    <r>
      <rPr>
        <sz val="10"/>
        <rFont val="맑은 고딕"/>
        <family val="0"/>
        <charset val="1"/>
      </rPr>
      <t xml:space="preserve">P16 GL)</t>
    </r>
  </si>
  <si>
    <r>
      <rPr>
        <sz val="10"/>
        <rFont val="WenQuanYi Zen Hei"/>
        <family val="2"/>
      </rPr>
      <t xml:space="preserve">연결 누락 </t>
    </r>
    <r>
      <rPr>
        <sz val="10"/>
        <rFont val="맑은 고딕"/>
        <family val="0"/>
        <charset val="1"/>
      </rPr>
      <t xml:space="preserve">check (0)</t>
    </r>
  </si>
  <si>
    <t xml:space="preserve">전기 금액</t>
  </si>
  <si>
    <r>
      <rPr>
        <sz val="10"/>
        <rFont val="맑은 고딕"/>
        <family val="0"/>
        <charset val="1"/>
      </rPr>
      <t xml:space="preserve">BS_KO G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WBS_2025YE K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P&amp;L_KO H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WPL_2025YE AI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전기말 최종 정산표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과목명 </t>
    </r>
    <r>
      <rPr>
        <sz val="10"/>
        <rFont val="맑은 고딕"/>
        <family val="0"/>
        <charset val="1"/>
      </rPr>
      <t xml:space="preserve">SUMIF)</t>
    </r>
  </si>
  <si>
    <r>
      <rPr>
        <sz val="10"/>
        <rFont val="WenQuanYi Zen Hei"/>
        <family val="2"/>
      </rPr>
      <t xml:space="preserve">전기말 자산총계 대사 </t>
    </r>
    <r>
      <rPr>
        <sz val="10"/>
        <rFont val="맑은 고딕"/>
        <family val="0"/>
        <charset val="1"/>
      </rPr>
      <t xml:space="preserve">(0)</t>
    </r>
  </si>
  <si>
    <t xml:space="preserve">상품수불부</t>
  </si>
  <si>
    <r>
      <rPr>
        <sz val="10"/>
        <rFont val="맑은 고딕"/>
        <family val="0"/>
        <charset val="1"/>
      </rPr>
      <t xml:space="preserve">P&amp;L_KO R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'PL_DEC.2026' R5(</t>
    </r>
    <r>
      <rPr>
        <sz val="10"/>
        <rFont val="WenQuanYi Zen Hei"/>
        <family val="2"/>
      </rPr>
      <t xml:space="preserve">상품매입</t>
    </r>
    <r>
      <rPr>
        <sz val="10"/>
        <rFont val="맑은 고딕"/>
        <family val="0"/>
        <charset val="1"/>
      </rPr>
      <t xml:space="preserve">), R6(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0"/>
        <charset val="1"/>
      </rPr>
      <t xml:space="preserve">), R8(</t>
    </r>
    <r>
      <rPr>
        <sz val="10"/>
        <rFont val="WenQuanYi Zen Hei"/>
        <family val="2"/>
      </rPr>
      <t xml:space="preserve">매출원가</t>
    </r>
    <r>
      <rPr>
        <sz val="10"/>
        <rFont val="맑은 고딕"/>
        <family val="0"/>
        <charset val="1"/>
      </rPr>
      <t xml:space="preserve">), R9(</t>
    </r>
    <r>
      <rPr>
        <sz val="10"/>
        <rFont val="WenQuanYi Zen Hei"/>
        <family val="2"/>
      </rPr>
      <t xml:space="preserve">견본품 타계정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링크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당기상품매입액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상품매입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매입가격차이</t>
    </r>
  </si>
  <si>
    <r>
      <rPr>
        <sz val="10"/>
        <rFont val="WenQuanYi Zen Hei"/>
        <family val="2"/>
      </rPr>
      <t xml:space="preserve">기말재고 대사 </t>
    </r>
    <r>
      <rPr>
        <sz val="10"/>
        <rFont val="맑은 고딕"/>
        <family val="0"/>
        <charset val="1"/>
      </rPr>
      <t xml:space="preserve">(0)</t>
    </r>
  </si>
  <si>
    <r>
      <rPr>
        <b val="true"/>
        <sz val="10"/>
        <rFont val="WenQuanYi Zen Hei"/>
        <family val="2"/>
      </rPr>
      <t xml:space="preserve">연환산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증감분석</t>
    </r>
  </si>
  <si>
    <r>
      <rPr>
        <sz val="10"/>
        <rFont val="맑은 고딕"/>
        <family val="0"/>
        <charset val="1"/>
      </rPr>
      <t xml:space="preserve">P&amp;L_KO G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× 12/9 (</t>
    </r>
    <r>
      <rPr>
        <sz val="10"/>
        <rFont val="WenQuanYi Zen Hei"/>
        <family val="2"/>
      </rPr>
      <t xml:space="preserve">기초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기말재고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증감분석 대상</t>
    </r>
    <r>
      <rPr>
        <sz val="10"/>
        <rFont val="맑은 고딕"/>
        <family val="0"/>
        <charset val="1"/>
      </rPr>
      <t xml:space="preserve">(O) = |</t>
    </r>
    <r>
      <rPr>
        <sz val="10"/>
        <rFont val="WenQuanYi Zen Hei"/>
        <family val="2"/>
      </rPr>
      <t xml:space="preserve">증감</t>
    </r>
    <r>
      <rPr>
        <sz val="10"/>
        <rFont val="맑은 고딕"/>
        <family val="0"/>
        <charset val="1"/>
      </rPr>
      <t xml:space="preserve">| &gt; PM &amp; |</t>
    </r>
    <r>
      <rPr>
        <sz val="10"/>
        <rFont val="WenQuanYi Zen Hei"/>
        <family val="2"/>
      </rPr>
      <t xml:space="preserve">증감률</t>
    </r>
    <r>
      <rPr>
        <sz val="10"/>
        <rFont val="맑은 고딕"/>
        <family val="0"/>
        <charset val="1"/>
      </rPr>
      <t xml:space="preserve">| &gt; 5%. </t>
    </r>
    <r>
      <rPr>
        <sz val="10"/>
        <rFont val="WenQuanYi Zen Hei"/>
        <family val="2"/>
      </rPr>
      <t xml:space="preserve">전기 증감분석 코멘트</t>
    </r>
    <r>
      <rPr>
        <sz val="10"/>
        <rFont val="맑은 고딕"/>
        <family val="0"/>
        <charset val="1"/>
      </rPr>
      <t xml:space="preserve">(BS_KO K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P&amp;L_KO L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삭제 – 당기 분석 기재 필요</t>
    </r>
  </si>
  <si>
    <t xml:space="preserve">매핑</t>
  </si>
  <si>
    <r>
      <rPr>
        <sz val="10"/>
        <rFont val="맑은 고딕"/>
        <family val="0"/>
        <charset val="1"/>
      </rPr>
      <t xml:space="preserve">FS_map H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매핑</t>
    </r>
    <r>
      <rPr>
        <sz val="10"/>
        <rFont val="맑은 고딕"/>
        <family val="0"/>
        <charset val="1"/>
      </rPr>
      <t xml:space="preserve">(BSPL2026 M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적용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매핑 없는 무잔액 계정은 전기 </t>
    </r>
    <r>
      <rPr>
        <sz val="10"/>
        <rFont val="맑은 고딕"/>
        <family val="0"/>
        <charset val="1"/>
      </rPr>
      <t xml:space="preserve">FS_map </t>
    </r>
    <r>
      <rPr>
        <sz val="10"/>
        <rFont val="WenQuanYi Zen Hei"/>
        <family val="2"/>
      </rPr>
      <t xml:space="preserve">매핑</t>
    </r>
    <r>
      <rPr>
        <sz val="10"/>
        <rFont val="맑은 고딕"/>
        <family val="0"/>
        <charset val="1"/>
      </rPr>
      <t xml:space="preserve">, CRU rebilling </t>
    </r>
    <r>
      <rPr>
        <sz val="10"/>
        <rFont val="WenQuanYi Zen Hei"/>
        <family val="2"/>
      </rPr>
      <t xml:space="preserve">대체에 사용된 </t>
    </r>
    <r>
      <rPr>
        <sz val="10"/>
        <rFont val="맑은 고딕"/>
        <family val="0"/>
        <charset val="1"/>
      </rPr>
      <t xml:space="preserve">P16 </t>
    </r>
    <r>
      <rPr>
        <sz val="10"/>
        <rFont val="WenQuanYi Zen Hei"/>
        <family val="2"/>
      </rPr>
      <t xml:space="preserve">계정은 조정분개상 계정과목 적용</t>
    </r>
    <r>
      <rPr>
        <sz val="10"/>
        <rFont val="맑은 고딕"/>
        <family val="0"/>
        <charset val="1"/>
      </rPr>
      <t xml:space="preserve">. S/T</t>
    </r>
    <r>
      <rPr>
        <sz val="10"/>
        <rFont val="WenQuanYi Zen Hei"/>
        <family val="2"/>
      </rPr>
      <t xml:space="preserve">열에 회사 매핑과 비교</t>
    </r>
  </si>
  <si>
    <r>
      <rPr>
        <sz val="10"/>
        <rFont val="WenQuanYi Zen Hei"/>
        <family val="2"/>
      </rPr>
      <t xml:space="preserve">매핑차이 건수 </t>
    </r>
    <r>
      <rPr>
        <sz val="10"/>
        <rFont val="맑은 고딕"/>
        <family val="0"/>
        <charset val="1"/>
      </rPr>
      <t xml:space="preserve">(86290000 1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II-10)</t>
    </r>
  </si>
  <si>
    <t xml:space="preserve">원본 오류값</t>
  </si>
  <si>
    <r>
      <rPr>
        <sz val="10"/>
        <rFont val="WenQuanYi Zen Hei"/>
        <family val="2"/>
      </rPr>
      <t xml:space="preserve">회사 원본</t>
    </r>
    <r>
      <rPr>
        <sz val="10"/>
        <rFont val="맑은 고딕"/>
        <family val="0"/>
        <charset val="1"/>
      </rPr>
      <t xml:space="preserve">(BSPL2026, WBS)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N/A·REF·DIV/0 </t>
    </r>
    <r>
      <rPr>
        <sz val="10"/>
        <rFont val="WenQuanYi Zen Hei"/>
        <family val="2"/>
      </rPr>
      <t xml:space="preserve">오류 캐시값은 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원본오류 …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텍스트로 표시</t>
    </r>
    <r>
      <rPr>
        <sz val="10"/>
        <rFont val="맑은 고딕"/>
        <family val="0"/>
        <charset val="1"/>
      </rPr>
      <t xml:space="preserve">, BSPL2026 AR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VLOOKUP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IFERROR </t>
    </r>
    <r>
      <rPr>
        <sz val="10"/>
        <rFont val="WenQuanYi Zen Hei"/>
        <family val="2"/>
      </rPr>
      <t xml:space="preserve">처리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영향 없음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</si>
  <si>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II. </t>
    </r>
    <r>
      <rPr>
        <b val="true"/>
        <sz val="10"/>
        <rFont val="WenQuanYi Zen Hei"/>
        <family val="2"/>
      </rPr>
      <t xml:space="preserve">회사 재무제표 대사 결과 및 검토 필요사항</t>
    </r>
  </si>
  <si>
    <t xml:space="preserve">잡이익 – 회사 산식 오류</t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</si>
  <si>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PL_DEC.2026 L76 = E76+G76−J76+K76 </t>
    </r>
    <r>
      <rPr>
        <sz val="10"/>
        <rFont val="WenQuanYi Zen Hei"/>
        <family val="2"/>
      </rPr>
      <t xml:space="preserve">이며 </t>
    </r>
    <r>
      <rPr>
        <sz val="10"/>
        <rFont val="맑은 고딕"/>
        <family val="0"/>
        <charset val="1"/>
      </rPr>
      <t xml:space="preserve">K76</t>
    </r>
    <r>
      <rPr>
        <sz val="10"/>
        <rFont val="WenQuanYi Zen Hei"/>
        <family val="2"/>
      </rPr>
      <t xml:space="preserve">은 조정분개 </t>
    </r>
    <r>
      <rPr>
        <sz val="10"/>
        <rFont val="맑은 고딕"/>
        <family val="0"/>
        <charset val="1"/>
      </rPr>
      <t xml:space="preserve">P26(</t>
    </r>
    <r>
      <rPr>
        <sz val="10"/>
        <rFont val="WenQuanYi Zen Hei"/>
        <family val="2"/>
      </rPr>
      <t xml:space="preserve">잡이익 대변 </t>
    </r>
    <r>
      <rPr>
        <sz val="10"/>
        <rFont val="맑은 고딕"/>
        <family val="0"/>
        <charset val="1"/>
      </rPr>
      <t xml:space="preserve">50,606,130, </t>
    </r>
    <r>
      <rPr>
        <sz val="10"/>
        <rFont val="WenQuanYi Zen Hei"/>
        <family val="2"/>
      </rPr>
      <t xml:space="preserve">부호 −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그대로 더함 → 대변 조정이 차감 처리되어 회사 </t>
    </r>
    <r>
      <rPr>
        <sz val="10"/>
        <rFont val="맑은 고딕"/>
        <family val="0"/>
        <charset val="1"/>
      </rPr>
      <t xml:space="preserve">statutory </t>
    </r>
    <r>
      <rPr>
        <sz val="10"/>
        <rFont val="WenQuanYi Zen Hei"/>
        <family val="2"/>
      </rPr>
      <t xml:space="preserve">잡이익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순이익이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(101,212,260) </t>
    </r>
    <r>
      <rPr>
        <sz val="10"/>
        <rFont val="WenQuanYi Zen Hei"/>
        <family val="2"/>
      </rPr>
      <t xml:space="preserve">과소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정산표는 조정분개 차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대변 기준 반영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조정분개는 손익 중립 → 수정후 순이익 </t>
    </r>
    <r>
      <rPr>
        <sz val="10"/>
        <rFont val="맑은 고딕"/>
        <family val="0"/>
        <charset val="1"/>
      </rPr>
      <t xml:space="preserve">= SAP </t>
    </r>
    <r>
      <rPr>
        <sz val="10"/>
        <rFont val="WenQuanYi Zen Hei"/>
        <family val="2"/>
      </rPr>
      <t xml:space="preserve">순이익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</si>
  <si>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정산표 − 회사 </t>
    </r>
    <r>
      <rPr>
        <sz val="10"/>
        <rFont val="맑은 고딕"/>
        <family val="0"/>
        <charset val="1"/>
      </rPr>
      <t xml:space="preserve">statutory</t>
    </r>
  </si>
  <si>
    <t xml:space="preserve">상품매출원가 – 기준 불일치</t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</si>
  <si>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PL_DEC.2026 </t>
    </r>
    <r>
      <rPr>
        <sz val="10"/>
        <rFont val="WenQuanYi Zen Hei"/>
        <family val="2"/>
      </rPr>
      <t xml:space="preserve">상세</t>
    </r>
    <r>
      <rPr>
        <sz val="10"/>
        <rFont val="맑은 고딕"/>
        <family val="0"/>
        <charset val="1"/>
      </rPr>
      <t xml:space="preserve">(L15)</t>
    </r>
    <r>
      <rPr>
        <sz val="10"/>
        <rFont val="WenQuanYi Zen Hei"/>
        <family val="2"/>
      </rPr>
      <t xml:space="preserve">는 상품수불부 기준</t>
    </r>
    <r>
      <rPr>
        <sz val="10"/>
        <rFont val="맑은 고딕"/>
        <family val="0"/>
        <charset val="1"/>
      </rPr>
      <t xml:space="preserve">(+25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plug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합계</t>
    </r>
    <r>
      <rPr>
        <sz val="10"/>
        <rFont val="맑은 고딕"/>
        <family val="0"/>
        <charset val="1"/>
      </rPr>
      <t xml:space="preserve">(M14)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기준으로 내부 불일치</t>
    </r>
    <r>
      <rPr>
        <sz val="10"/>
        <rFont val="맑은 고딕"/>
        <family val="0"/>
        <charset val="1"/>
      </rPr>
      <t xml:space="preserve">. SAP </t>
    </r>
    <r>
      <rPr>
        <sz val="10"/>
        <rFont val="WenQuanYi Zen Hei"/>
        <family val="2"/>
      </rPr>
      <t xml:space="preserve">상품매출원가에는 </t>
    </r>
    <r>
      <rPr>
        <sz val="10"/>
        <rFont val="맑은 고딕"/>
        <family val="0"/>
        <charset val="1"/>
      </rPr>
      <t xml:space="preserve">86000800 Cost of Goods Sold-Local adj(P16,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TP</t>
    </r>
    <r>
      <rPr>
        <sz val="10"/>
        <rFont val="WenQuanYi Zen Hei"/>
        <family val="2"/>
      </rPr>
      <t xml:space="preserve">조정 </t>
    </r>
    <r>
      <rPr>
        <sz val="10"/>
        <rFont val="맑은 고딕"/>
        <family val="0"/>
        <charset val="1"/>
      </rPr>
      <t xml:space="preserve">reversal) −408,043,000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정산표는 전기 양식대로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(F14) </t>
    </r>
    <r>
      <rPr>
        <sz val="10"/>
        <rFont val="WenQuanYi Zen Hei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수불부와 대사</t>
    </r>
    <r>
      <rPr>
        <sz val="10"/>
        <rFont val="맑은 고딕"/>
        <family val="0"/>
        <charset val="1"/>
      </rPr>
      <t xml:space="preserve">(P&amp;L_KO N14 = 0)</t>
    </r>
  </si>
  <si>
    <r>
      <rPr>
        <sz val="10"/>
        <rFont val="WenQuanYi Zen Hei"/>
        <family val="2"/>
      </rPr>
      <t xml:space="preserve">정산표 − 회사 상세</t>
    </r>
    <r>
      <rPr>
        <sz val="10"/>
        <rFont val="맑은 고딕"/>
        <family val="0"/>
        <charset val="1"/>
      </rPr>
      <t xml:space="preserve">(L15)</t>
    </r>
  </si>
  <si>
    <t xml:space="preserve">상품수불부 타계정</t>
  </si>
  <si>
    <r>
      <rPr>
        <sz val="10"/>
        <rFont val="맑은 고딕"/>
        <family val="0"/>
        <charset val="1"/>
      </rPr>
      <t xml:space="preserve">PL_DEC.2026 R6(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산식에 −</t>
    </r>
    <r>
      <rPr>
        <sz val="10"/>
        <rFont val="맑은 고딕"/>
        <family val="0"/>
        <charset val="1"/>
      </rPr>
      <t xml:space="preserve">517,516,755 </t>
    </r>
    <r>
      <rPr>
        <sz val="10"/>
        <rFont val="WenQuanYi Zen Hei"/>
        <family val="2"/>
      </rPr>
      <t xml:space="preserve">포함 – 회사 메모 </t>
    </r>
    <r>
      <rPr>
        <sz val="10"/>
        <rFont val="맑은 고딕"/>
        <family val="0"/>
        <charset val="1"/>
      </rPr>
      <t xml:space="preserve">"formula error. Will fix in Oct'26". 10</t>
    </r>
    <r>
      <rPr>
        <sz val="10"/>
        <rFont val="WenQuanYi Zen Hei"/>
        <family val="2"/>
      </rPr>
      <t xml:space="preserve">월 수정 내역 및 기말재고 영향 확인 필요</t>
    </r>
  </si>
  <si>
    <t xml:space="preserve">회사 메모상 오류금액</t>
  </si>
  <si>
    <r>
      <rPr>
        <b val="true"/>
        <sz val="10"/>
        <rFont val="WenQuanYi Zen Hei"/>
        <family val="2"/>
      </rPr>
      <t xml:space="preserve">미지급금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BS </t>
    </r>
    <r>
      <rPr>
        <b val="true"/>
        <sz val="10"/>
        <rFont val="WenQuanYi Zen Hei"/>
        <family val="2"/>
      </rPr>
      <t xml:space="preserve">불일치</t>
    </r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</si>
  <si>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BS_DEC 2026 K78 </t>
    </r>
    <r>
      <rPr>
        <sz val="10"/>
        <rFont val="WenQuanYi Zen Hei"/>
        <family val="2"/>
      </rPr>
      <t xml:space="preserve">산식에 </t>
    </r>
    <r>
      <rPr>
        <sz val="10"/>
        <rFont val="맑은 고딕"/>
        <family val="0"/>
        <charset val="1"/>
      </rPr>
      <t xml:space="preserve">'+78' </t>
    </r>
    <r>
      <rPr>
        <sz val="10"/>
        <rFont val="WenQuanYi Zen Hei"/>
        <family val="2"/>
      </rPr>
      <t xml:space="preserve">하드코딩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WBS K76</t>
    </r>
    <r>
      <rPr>
        <sz val="10"/>
        <rFont val="WenQuanYi Zen Hei"/>
        <family val="2"/>
      </rPr>
      <t xml:space="preserve">에서 이월된 오류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및 당기순이익 </t>
    </r>
    <r>
      <rPr>
        <sz val="10"/>
        <rFont val="맑은 고딕"/>
        <family val="0"/>
        <charset val="1"/>
      </rPr>
      <t xml:space="preserve">H107 −2 plug →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statutory BS </t>
    </r>
    <r>
      <rPr>
        <sz val="10"/>
        <rFont val="WenQuanYi Zen Hei"/>
        <family val="2"/>
      </rPr>
      <t xml:space="preserve">대차 </t>
    </r>
    <r>
      <rPr>
        <sz val="10"/>
        <rFont val="맑은 고딕"/>
        <family val="0"/>
        <charset val="1"/>
      </rPr>
      <t xml:space="preserve">76</t>
    </r>
    <r>
      <rPr>
        <sz val="10"/>
        <rFont val="WenQuanYi Zen Hei"/>
        <family val="2"/>
      </rPr>
      <t xml:space="preserve">원 불일치</t>
    </r>
    <r>
      <rPr>
        <sz val="10"/>
        <rFont val="맑은 고딕"/>
        <family val="0"/>
        <charset val="1"/>
      </rPr>
      <t xml:space="preserve">(L112). </t>
    </r>
    <r>
      <rPr>
        <sz val="10"/>
        <rFont val="WenQuanYi Zen Hei"/>
        <family val="2"/>
      </rPr>
      <t xml:space="preserve">정산표는 대차 일치</t>
    </r>
  </si>
  <si>
    <r>
      <rPr>
        <sz val="10"/>
        <rFont val="WenQuanYi Zen Hei"/>
        <family val="2"/>
      </rPr>
      <t xml:space="preserve">정산표 − 회사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부채와자본총계</t>
    </r>
    <r>
      <rPr>
        <sz val="10"/>
        <rFont val="맑은 고딕"/>
        <family val="0"/>
        <charset val="1"/>
      </rPr>
      <t xml:space="preserve">)</t>
    </r>
  </si>
  <si>
    <t xml:space="preserve">보험료 음수</t>
  </si>
  <si>
    <r>
      <rPr>
        <sz val="10"/>
        <rFont val="맑은 고딕"/>
        <family val="0"/>
        <charset val="1"/>
      </rPr>
      <t xml:space="preserve">CRU rebilling </t>
    </r>
    <r>
      <rPr>
        <sz val="10"/>
        <rFont val="WenQuanYi Zen Hei"/>
        <family val="2"/>
      </rPr>
      <t xml:space="preserve">비용차감 대체 중 보험료 대변 </t>
    </r>
    <r>
      <rPr>
        <sz val="10"/>
        <rFont val="맑은 고딕"/>
        <family val="0"/>
        <charset val="1"/>
      </rPr>
      <t xml:space="preserve">3,977,948,983</t>
    </r>
    <r>
      <rPr>
        <sz val="10"/>
        <rFont val="WenQuanYi Zen Hei"/>
        <family val="2"/>
      </rPr>
      <t xml:space="preserve">이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보험료</t>
    </r>
    <r>
      <rPr>
        <sz val="10"/>
        <rFont val="맑은 고딕"/>
        <family val="0"/>
        <charset val="1"/>
      </rPr>
      <t xml:space="preserve">(943,115,504)</t>
    </r>
    <r>
      <rPr>
        <sz val="10"/>
        <rFont val="WenQuanYi Zen Hei"/>
        <family val="2"/>
      </rPr>
      <t xml:space="preserve">를 초과 → 수정후 보험료 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인건비성 항목 간 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</si>
  <si>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수정후 보험료</t>
  </si>
  <si>
    <t xml:space="preserve">외환차손 음수</t>
  </si>
  <si>
    <r>
      <rPr>
        <sz val="10"/>
        <rFont val="맑은 고딕"/>
        <family val="0"/>
        <charset val="1"/>
      </rPr>
      <t xml:space="preserve">74100000 FX gain </t>
    </r>
    <r>
      <rPr>
        <sz val="10"/>
        <rFont val="WenQuanYi Zen Hei"/>
        <family val="2"/>
      </rPr>
      <t xml:space="preserve">계정이 외환차손으로 매핑되어 외환차손이 음수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순이익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전기에는 외환차손→외환차익 </t>
    </r>
    <r>
      <rPr>
        <sz val="10"/>
        <rFont val="맑은 고딕"/>
        <family val="0"/>
        <charset val="1"/>
      </rPr>
      <t xml:space="preserve">netting </t>
    </r>
    <r>
      <rPr>
        <sz val="10"/>
        <rFont val="WenQuanYi Zen Hei"/>
        <family val="2"/>
      </rPr>
      <t xml:space="preserve">재분류 조정이 있었음 → 당기도 외환차익 재분류 검토</t>
    </r>
  </si>
  <si>
    <t xml:space="preserve">수정후 외환차손</t>
  </si>
  <si>
    <t xml:space="preserve">무형자산 처분손익</t>
  </si>
  <si>
    <r>
      <rPr>
        <sz val="10"/>
        <rFont val="맑은 고딕"/>
        <family val="0"/>
        <charset val="1"/>
      </rPr>
      <t xml:space="preserve">77030700(Sale proceeds −1,874,497,219)·75520700(NBV 3,246,854,862)</t>
    </r>
    <r>
      <rPr>
        <sz val="10"/>
        <rFont val="WenQuanYi Zen Hei"/>
        <family val="2"/>
      </rPr>
      <t xml:space="preserve">을 회사가 투자자산처분손실로 매핑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상표권 전기말 순장부금액은 </t>
    </r>
    <r>
      <rPr>
        <sz val="10"/>
        <rFont val="맑은 고딕"/>
        <family val="0"/>
        <charset val="1"/>
      </rPr>
      <t xml:space="preserve">0(</t>
    </r>
    <r>
      <rPr>
        <sz val="10"/>
        <rFont val="WenQuanYi Zen Hei"/>
        <family val="2"/>
      </rPr>
      <t xml:space="preserve">취득원가 </t>
    </r>
    <r>
      <rPr>
        <sz val="10"/>
        <rFont val="맑은 고딕"/>
        <family val="0"/>
        <charset val="1"/>
      </rPr>
      <t xml:space="preserve">3,706,860,500 − </t>
    </r>
    <r>
      <rPr>
        <sz val="10"/>
        <rFont val="WenQuanYi Zen Hei"/>
        <family val="2"/>
      </rPr>
      <t xml:space="preserve">상각누계 </t>
    </r>
    <r>
      <rPr>
        <sz val="10"/>
        <rFont val="맑은 고딕"/>
        <family val="0"/>
        <charset val="1"/>
      </rPr>
      <t xml:space="preserve">3,111,195,178 − </t>
    </r>
    <r>
      <rPr>
        <sz val="10"/>
        <rFont val="WenQuanYi Zen Hei"/>
        <family val="2"/>
      </rPr>
      <t xml:space="preserve">손상 </t>
    </r>
    <r>
      <rPr>
        <sz val="10"/>
        <rFont val="맑은 고딕"/>
        <family val="0"/>
        <charset val="1"/>
      </rPr>
      <t xml:space="preserve">595,665,322)</t>
    </r>
    <r>
      <rPr>
        <sz val="10"/>
        <rFont val="WenQuanYi Zen Hei"/>
        <family val="2"/>
      </rPr>
      <t xml:space="preserve">이었으므로 </t>
    </r>
    <r>
      <rPr>
        <sz val="10"/>
        <rFont val="맑은 고딕"/>
        <family val="0"/>
        <charset val="1"/>
      </rPr>
      <t xml:space="preserve">NBV </t>
    </r>
    <r>
      <rPr>
        <sz val="10"/>
        <rFont val="WenQuanYi Zen Hei"/>
        <family val="2"/>
      </rPr>
      <t xml:space="preserve">비용 인식 근거 및 계정분류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무형자산처분손익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</si>
  <si>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수정후 투자자산처분손실</t>
  </si>
  <si>
    <t xml:space="preserve">대손상각비 음수</t>
  </si>
  <si>
    <t xml:space="preserve">대손충당금 환입으로 대손상각비 음수 표시 → 표시 방법 검토</t>
  </si>
  <si>
    <t xml:space="preserve">수정후 대손상각비</t>
  </si>
  <si>
    <r>
      <rPr>
        <b val="true"/>
        <sz val="10"/>
        <rFont val="WenQuanYi Zen Hei"/>
        <family val="2"/>
      </rPr>
      <t xml:space="preserve">부가가치세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원 조정</t>
    </r>
  </si>
  <si>
    <r>
      <rPr>
        <sz val="10"/>
        <rFont val="WenQuanYi Zen Hei"/>
        <family val="2"/>
      </rPr>
      <t xml:space="preserve">조정분개 </t>
    </r>
    <r>
      <rPr>
        <sz val="10"/>
        <rFont val="맑은 고딕"/>
        <family val="0"/>
        <charset val="1"/>
      </rPr>
      <t xml:space="preserve">#11(</t>
    </r>
    <r>
      <rPr>
        <sz val="10"/>
        <rFont val="WenQuanYi Zen Hei"/>
        <family val="2"/>
      </rPr>
      <t xml:space="preserve">부가세미수금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예수금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당기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회사 </t>
    </r>
    <r>
      <rPr>
        <sz val="10"/>
        <rFont val="맑은 고딕"/>
        <family val="0"/>
        <charset val="1"/>
      </rPr>
      <t xml:space="preserve">BS</t>
    </r>
    <r>
      <rPr>
        <sz val="10"/>
        <rFont val="WenQuanYi Zen Hei"/>
        <family val="2"/>
      </rPr>
      <t xml:space="preserve">에 미반영 → 정산표도 미반영 </t>
    </r>
    <r>
      <rPr>
        <sz val="10"/>
        <rFont val="맑은 고딕"/>
        <family val="0"/>
        <charset val="1"/>
      </rPr>
      <t xml:space="preserve">(FS_map </t>
    </r>
    <r>
      <rPr>
        <sz val="10"/>
        <rFont val="WenQuanYi Zen Hei"/>
        <family val="2"/>
      </rPr>
      <t xml:space="preserve">조정 합계와 조정분개 합계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 차이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</si>
  <si>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FS_map − </t>
    </r>
    <r>
      <rPr>
        <sz val="10"/>
        <rFont val="WenQuanYi Zen Hei"/>
        <family val="2"/>
      </rPr>
      <t xml:space="preserve">조정분개 합계</t>
    </r>
  </si>
  <si>
    <r>
      <rPr>
        <b val="true"/>
        <sz val="10"/>
        <rFont val="맑은 고딕"/>
        <family val="0"/>
        <charset val="1"/>
      </rPr>
      <t xml:space="preserve">P16 </t>
    </r>
    <r>
      <rPr>
        <b val="true"/>
        <sz val="10"/>
        <rFont val="WenQuanYi Zen Hei"/>
        <family val="2"/>
      </rPr>
      <t xml:space="preserve">계정 매핑</t>
    </r>
  </si>
  <si>
    <r>
      <rPr>
        <sz val="10"/>
        <rFont val="맑은 고딕"/>
        <family val="0"/>
        <charset val="1"/>
      </rPr>
      <t xml:space="preserve">86290000 Other Fees-Local Adj: </t>
    </r>
    <r>
      <rPr>
        <sz val="10"/>
        <rFont val="WenQuanYi Zen Hei"/>
        <family val="2"/>
      </rPr>
      <t xml:space="preserve">회사 매핑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하조및운임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이나 조정분개상 지급수수료 대체 계정 → 지급수수료로 매핑</t>
    </r>
    <r>
      <rPr>
        <sz val="10"/>
        <rFont val="맑은 고딕"/>
        <family val="0"/>
        <charset val="1"/>
      </rPr>
      <t xml:space="preserve">. 86900000·86590050</t>
    </r>
    <r>
      <rPr>
        <sz val="10"/>
        <rFont val="WenQuanYi Zen Hei"/>
        <family val="2"/>
      </rPr>
      <t xml:space="preserve">은 조정분개 계정명 기준 통신비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도서인쇄비 매핑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FS_map: </t>
    </r>
    <r>
      <rPr>
        <sz val="10"/>
        <rFont val="WenQuanYi Zen Hei"/>
        <family val="2"/>
      </rPr>
      <t xml:space="preserve">지급수수료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제세공과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</si>
  <si>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86290000 </t>
    </r>
    <r>
      <rPr>
        <sz val="10"/>
        <rFont val="WenQuanYi Zen Hei"/>
        <family val="2"/>
      </rPr>
      <t xml:space="preserve">수정후</t>
    </r>
  </si>
  <si>
    <r>
      <rPr>
        <b val="true"/>
        <sz val="10"/>
        <rFont val="맑은 고딕"/>
        <family val="0"/>
        <charset val="1"/>
      </rPr>
      <t xml:space="preserve">III. </t>
    </r>
    <r>
      <rPr>
        <b val="true"/>
        <sz val="10"/>
        <rFont val="WenQuanYi Zen Hei"/>
        <family val="2"/>
      </rPr>
      <t xml:space="preserve">전기 </t>
    </r>
    <r>
      <rPr>
        <b val="true"/>
        <sz val="10"/>
        <rFont val="맑은 고딕"/>
        <family val="0"/>
        <charset val="1"/>
      </rPr>
      <t xml:space="preserve">FS_map </t>
    </r>
    <r>
      <rPr>
        <b val="true"/>
        <sz val="10"/>
        <rFont val="WenQuanYi Zen Hei"/>
        <family val="2"/>
      </rPr>
      <t xml:space="preserve">대비 매핑 변경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매핑 적용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당기 잔액 있는 계정</t>
    </r>
    <r>
      <rPr>
        <b val="true"/>
        <sz val="10"/>
        <rFont val="맑은 고딕"/>
        <family val="0"/>
        <charset val="1"/>
      </rPr>
      <t xml:space="preserve">)</t>
    </r>
  </si>
  <si>
    <t xml:space="preserve">GL</t>
  </si>
  <si>
    <t xml:space="preserve">Description</t>
  </si>
  <si>
    <r>
      <rPr>
        <b val="true"/>
        <sz val="10"/>
        <rFont val="WenQuanYi Zen Hei"/>
        <family val="2"/>
      </rPr>
      <t xml:space="preserve">전기 </t>
    </r>
    <r>
      <rPr>
        <b val="true"/>
        <sz val="10"/>
        <rFont val="맑은 고딕"/>
        <family val="0"/>
        <charset val="1"/>
      </rPr>
      <t xml:space="preserve">FS_map → </t>
    </r>
    <r>
      <rPr>
        <b val="true"/>
        <sz val="10"/>
        <rFont val="WenQuanYi Zen Hei"/>
        <family val="2"/>
      </rPr>
      <t xml:space="preserve">당기 매핑</t>
    </r>
  </si>
  <si>
    <t xml:space="preserve">2026.09 SAP</t>
  </si>
  <si>
    <t xml:space="preserve">비고</t>
  </si>
  <si>
    <t xml:space="preserve">40000850</t>
  </si>
  <si>
    <t xml:space="preserve">AP Accrual OneCASA Clinical Studies</t>
  </si>
  <si>
    <t xml:space="preserve">매입채무 → 미지급비용</t>
  </si>
  <si>
    <r>
      <rPr>
        <sz val="10"/>
        <rFont val="WenQuanYi Zen Hei"/>
        <family val="2"/>
      </rPr>
      <t xml:space="preserve">전기말 비교 시 매입채무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미지급비용 증감에 유의</t>
    </r>
  </si>
  <si>
    <t xml:space="preserve">42980000</t>
  </si>
  <si>
    <t xml:space="preserve">Provision for reinstatement cost</t>
  </si>
  <si>
    <t xml:space="preserve">미지급비용 → 복구충당부채</t>
  </si>
  <si>
    <t xml:space="preserve">전기 감사 코멘트에 따른 재분류</t>
  </si>
  <si>
    <t xml:space="preserve">74100000</t>
  </si>
  <si>
    <t xml:space="preserve">FX gain opg. 3rd pty</t>
  </si>
  <si>
    <t xml:space="preserve">외환차익 → 외환차손</t>
  </si>
  <si>
    <r>
      <rPr>
        <sz val="10"/>
        <rFont val="맑은 고딕"/>
        <family val="0"/>
        <charset val="1"/>
      </rPr>
      <t xml:space="preserve">II-6 </t>
    </r>
    <r>
      <rPr>
        <sz val="10"/>
        <rFont val="WenQuanYi Zen Hei"/>
        <family val="2"/>
      </rPr>
      <t xml:space="preserve">참조</t>
    </r>
  </si>
  <si>
    <t xml:space="preserve">74120000</t>
  </si>
  <si>
    <t xml:space="preserve">Foreign Exchange Loss-Unrealized</t>
  </si>
  <si>
    <t xml:space="preserve">외화환산손실 → 외화환산이익</t>
  </si>
  <si>
    <t xml:space="preserve">78250000</t>
  </si>
  <si>
    <t xml:space="preserve">Other Tax Based on Income</t>
  </si>
  <si>
    <t xml:space="preserve">법인세추납액 → 법인세비용</t>
  </si>
  <si>
    <t xml:space="preserve">77030700</t>
  </si>
  <si>
    <t xml:space="preserve">Sale proceeds of Intangible fixed asset</t>
  </si>
  <si>
    <t xml:space="preserve">유형자산처분이익 → 투자자산처분손실</t>
  </si>
  <si>
    <r>
      <rPr>
        <sz val="10"/>
        <rFont val="맑은 고딕"/>
        <family val="0"/>
        <charset val="1"/>
      </rPr>
      <t xml:space="preserve">II-7 </t>
    </r>
    <r>
      <rPr>
        <sz val="10"/>
        <rFont val="WenQuanYi Zen Hei"/>
        <family val="2"/>
      </rPr>
      <t xml:space="preserve">참조</t>
    </r>
  </si>
  <si>
    <t xml:space="preserve">86322007</t>
  </si>
  <si>
    <t xml:space="preserve">Other reserves</t>
  </si>
  <si>
    <t xml:space="preserve">이익잉여금 → 이익준비금</t>
  </si>
  <si>
    <t xml:space="preserve">68225200</t>
  </si>
  <si>
    <t xml:space="preserve">Office and site relocation services</t>
  </si>
  <si>
    <t xml:space="preserve">지급수수료 → 복리후생비</t>
  </si>
  <si>
    <r>
      <rPr>
        <b val="true"/>
        <sz val="10"/>
        <rFont val="맑은 고딕"/>
        <family val="0"/>
        <charset val="1"/>
      </rPr>
      <t xml:space="preserve">IV. </t>
    </r>
    <r>
      <rPr>
        <b val="true"/>
        <sz val="10"/>
        <rFont val="WenQuanYi Zen Hei"/>
        <family val="2"/>
      </rPr>
      <t xml:space="preserve">이익잉여금 변동 대사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전기말 확정 → </t>
    </r>
    <r>
      <rPr>
        <b val="true"/>
        <sz val="10"/>
        <rFont val="맑은 고딕"/>
        <family val="0"/>
        <charset val="1"/>
      </rPr>
      <t xml:space="preserve">2026.09 </t>
    </r>
    <r>
      <rPr>
        <b val="true"/>
        <sz val="10"/>
        <rFont val="WenQuanYi Zen Hei"/>
        <family val="2"/>
      </rPr>
      <t xml:space="preserve">수정후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</si>
  <si>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기초 이익잉여금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전기말 확정</t>
    </r>
    <r>
      <rPr>
        <sz val="10"/>
        <rFont val="맑은 고딕"/>
        <family val="0"/>
        <charset val="1"/>
      </rPr>
      <t xml:space="preserve">, WBS_2025YE)</t>
    </r>
  </si>
  <si>
    <r>
      <rPr>
        <sz val="10"/>
        <rFont val="WenQuanYi Zen Hei"/>
        <family val="2"/>
      </rPr>
      <t xml:space="preserve">이익준비금 </t>
    </r>
    <r>
      <rPr>
        <sz val="10"/>
        <rFont val="맑은 고딕"/>
        <family val="0"/>
        <charset val="1"/>
      </rPr>
      <t xml:space="preserve">1,861,200,000 + </t>
    </r>
    <r>
      <rPr>
        <sz val="10"/>
        <rFont val="WenQuanYi Zen Hei"/>
        <family val="2"/>
      </rPr>
      <t xml:space="preserve">처분전이익잉여금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전기순이익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</si>
  <si>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(+) </t>
    </r>
    <r>
      <rPr>
        <sz val="10"/>
        <rFont val="WenQuanYi Zen Hei"/>
        <family val="2"/>
      </rPr>
      <t xml:space="preserve">당기순이익 </t>
    </r>
    <r>
      <rPr>
        <sz val="10"/>
        <rFont val="맑은 고딕"/>
        <family val="0"/>
        <charset val="1"/>
      </rPr>
      <t xml:space="preserve">(2026.09 </t>
    </r>
    <r>
      <rPr>
        <sz val="10"/>
        <rFont val="WenQuanYi Zen Hei"/>
        <family val="2"/>
      </rPr>
      <t xml:space="preserve">수정후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</si>
  <si>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(−) </t>
    </r>
    <r>
      <rPr>
        <sz val="10"/>
        <rFont val="WenQuanYi Zen Hei"/>
        <family val="2"/>
      </rPr>
      <t xml:space="preserve">배당금 지급 </t>
    </r>
    <r>
      <rPr>
        <sz val="10"/>
        <rFont val="맑은 고딕"/>
        <family val="0"/>
        <charset val="1"/>
      </rPr>
      <t xml:space="preserve">(SAP 32200001 </t>
    </r>
    <r>
      <rPr>
        <sz val="10"/>
        <rFont val="WenQuanYi Zen Hei"/>
        <family val="2"/>
      </rPr>
      <t xml:space="preserve">당기 증가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</si>
  <si>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결의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</t>
    </r>
    <r>
      <rPr>
        <sz val="10"/>
        <rFont val="맑은 고딕"/>
        <family val="0"/>
        <charset val="1"/>
      </rPr>
      <t xml:space="preserve">520</t>
    </r>
    <r>
      <rPr>
        <sz val="10"/>
        <rFont val="WenQuanYi Zen Hei"/>
        <family val="2"/>
      </rPr>
      <t xml:space="preserve">억원</t>
    </r>
  </si>
  <si>
    <r>
      <rPr>
        <sz val="10"/>
        <rFont val="맑은 고딕"/>
        <family val="0"/>
        <charset val="1"/>
      </rPr>
      <t xml:space="preserve">(±) </t>
    </r>
    <r>
      <rPr>
        <sz val="10"/>
        <rFont val="WenQuanYi Zen Hei"/>
        <family val="2"/>
      </rPr>
      <t xml:space="preserve">이익준비금 적립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이익잉여금 → 이익준비금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</si>
  <si>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282,390,000 </t>
    </r>
    <r>
      <rPr>
        <sz val="10"/>
        <rFont val="WenQuanYi Zen Hei"/>
        <family val="2"/>
      </rPr>
      <t xml:space="preserve">대체 – 잉여금 합계 영향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자본금 </t>
    </r>
    <r>
      <rPr>
        <sz val="10"/>
        <rFont val="맑은 고딕"/>
        <family val="0"/>
        <charset val="1"/>
      </rPr>
      <t xml:space="preserve">1/2 </t>
    </r>
    <r>
      <rPr>
        <sz val="10"/>
        <rFont val="WenQuanYi Zen Hei"/>
        <family val="2"/>
      </rPr>
      <t xml:space="preserve">한도 </t>
    </r>
    <r>
      <rPr>
        <sz val="10"/>
        <rFont val="맑은 고딕"/>
        <family val="0"/>
        <charset val="1"/>
      </rPr>
      <t xml:space="preserve">2,143,590,000 </t>
    </r>
    <r>
      <rPr>
        <sz val="10"/>
        <rFont val="WenQuanYi Zen Hei"/>
        <family val="2"/>
      </rPr>
      <t xml:space="preserve">도달</t>
    </r>
    <r>
      <rPr>
        <sz val="10"/>
        <rFont val="맑은 고딕"/>
        <family val="0"/>
        <charset val="1"/>
      </rPr>
      <t xml:space="preserve">)</t>
    </r>
  </si>
  <si>
    <t xml:space="preserve">예상 기말 이익잉여금</t>
  </si>
  <si>
    <r>
      <rPr>
        <sz val="10"/>
        <rFont val="맑은 고딕"/>
        <family val="0"/>
        <charset val="1"/>
      </rPr>
      <t xml:space="preserve">BS_KO </t>
    </r>
    <r>
      <rPr>
        <sz val="10"/>
        <rFont val="WenQuanYi Zen Hei"/>
        <family val="2"/>
      </rPr>
      <t xml:space="preserve">기말 이익잉여금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수정후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</si>
  <si>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맑은 고딕"/>
        <family val="0"/>
        <charset val="1"/>
      </rPr>
      <t xml:space="preserve">(BS_KO − </t>
    </r>
    <r>
      <rPr>
        <b val="true"/>
        <sz val="10"/>
        <rFont val="WenQuanYi Zen Hei"/>
        <family val="2"/>
      </rPr>
      <t xml:space="preserve">예상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</si>
  <si>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  ① 86322000 Retained Earnings(P16) </t>
    </r>
    <r>
      <rPr>
        <sz val="10"/>
        <rFont val="WenQuanYi Zen Hei"/>
        <family val="2"/>
      </rPr>
      <t xml:space="preserve">당기 직접 차감</t>
    </r>
  </si>
  <si>
    <r>
      <rPr>
        <sz val="10"/>
        <rFont val="WenQuanYi Zen Hei"/>
        <family val="2"/>
      </rPr>
      <t xml:space="preserve">손익을 거치지 않고 이익잉여금에 직접 차기된 </t>
    </r>
    <r>
      <rPr>
        <sz val="10"/>
        <rFont val="맑은 고딕"/>
        <family val="0"/>
        <charset val="1"/>
      </rPr>
      <t xml:space="preserve">P16 </t>
    </r>
    <r>
      <rPr>
        <sz val="10"/>
        <rFont val="WenQuanYi Zen Hei"/>
        <family val="2"/>
      </rPr>
      <t xml:space="preserve">분개 – 상대계정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근거 확인 필요</t>
    </r>
  </si>
  <si>
    <r>
      <rPr>
        <sz val="10"/>
        <rFont val="WenQuanYi Zen Hei"/>
        <family val="2"/>
      </rPr>
      <t xml:space="preserve">  ② 잔여 차이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</si>
  <si>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전기말 확정 금액 소수점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순이익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원 등 단수차이</t>
    </r>
  </si>
  <si>
    <r>
      <rPr>
        <sz val="10"/>
        <rFont val="WenQuanYi Zen Hei"/>
        <family val="2"/>
      </rPr>
      <t xml:space="preserve">설명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차이는 전액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중 </t>
    </r>
    <r>
      <rPr>
        <sz val="10"/>
        <rFont val="맑은 고딕"/>
        <family val="0"/>
        <charset val="1"/>
      </rPr>
      <t xml:space="preserve">P16 </t>
    </r>
    <r>
      <rPr>
        <sz val="10"/>
        <rFont val="WenQuanYi Zen Hei"/>
        <family val="2"/>
      </rPr>
      <t xml:space="preserve">계정 </t>
    </r>
    <r>
      <rPr>
        <sz val="10"/>
        <rFont val="맑은 고딕"/>
        <family val="0"/>
        <charset val="1"/>
      </rPr>
      <t xml:space="preserve">86322000(Retained Earnings-Local)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0"/>
        <charset val="1"/>
      </rPr>
      <t xml:space="preserve">1,132,939,909</t>
    </r>
    <r>
      <rPr>
        <sz val="10"/>
        <rFont val="WenQuanYi Zen Hei"/>
        <family val="2"/>
      </rPr>
      <t xml:space="preserve">원이 손익을 거치지 않고 직접 차기된 데 기인함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SAP(P16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기초 이익잉여금이 전기말 감사 확정 이익잉여금보다 </t>
    </r>
    <r>
      <rPr>
        <sz val="10"/>
        <rFont val="맑은 고딕"/>
        <family val="0"/>
        <charset val="1"/>
      </rPr>
      <t xml:space="preserve">1,132,939,909</t>
    </r>
    <r>
      <rPr>
        <sz val="10"/>
        <rFont val="WenQuanYi Zen Hei"/>
        <family val="2"/>
      </rPr>
      <t xml:space="preserve">원 작게 이월됨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</si>
  <si>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 금액은 전기 중간감사</t>
    </r>
    <r>
      <rPr>
        <sz val="10"/>
        <rFont val="맑은 고딕"/>
        <family val="0"/>
        <charset val="1"/>
      </rPr>
      <t xml:space="preserve">(2025.09) FS_map</t>
    </r>
    <r>
      <rPr>
        <sz val="10"/>
        <rFont val="WenQuanYi Zen Hei"/>
        <family val="2"/>
      </rPr>
      <t xml:space="preserve">상 </t>
    </r>
    <r>
      <rPr>
        <sz val="10"/>
        <rFont val="맑은 고딕"/>
        <family val="0"/>
        <charset val="1"/>
      </rPr>
      <t xml:space="preserve">86429307 Local Adj Income Tax Payable </t>
    </r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(1,132,939,909)</t>
    </r>
    <r>
      <rPr>
        <sz val="10"/>
        <rFont val="WenQuanYi Zen Hei"/>
        <family val="2"/>
      </rPr>
      <t xml:space="preserve">과 일치하며</t>
    </r>
    <r>
      <rPr>
        <sz val="10"/>
        <rFont val="맑은 고딕"/>
        <family val="0"/>
        <charset val="1"/>
      </rPr>
      <t xml:space="preserve">, 86429307</t>
    </r>
    <r>
      <rPr>
        <sz val="10"/>
        <rFont val="WenQuanYi Zen Hei"/>
        <family val="2"/>
      </rPr>
      <t xml:space="preserve">은 당기 중 </t>
    </r>
    <r>
      <rPr>
        <sz val="10"/>
        <rFont val="맑은 고딕"/>
        <family val="0"/>
        <charset val="1"/>
      </rPr>
      <t xml:space="preserve">3,589,508,933 → 0</t>
    </r>
    <r>
      <rPr>
        <sz val="10"/>
        <rFont val="WenQuanYi Zen Hei"/>
        <family val="2"/>
      </rPr>
      <t xml:space="preserve">으로 정리됨 → 전기 법인세 관련 </t>
    </r>
    <r>
      <rPr>
        <sz val="10"/>
        <rFont val="맑은 고딕"/>
        <family val="0"/>
        <charset val="1"/>
      </rPr>
      <t xml:space="preserve">P16 </t>
    </r>
    <r>
      <rPr>
        <sz val="10"/>
        <rFont val="WenQuanYi Zen Hei"/>
        <family val="2"/>
      </rPr>
      <t xml:space="preserve">조정의 이월</t>
    </r>
    <r>
      <rPr>
        <sz val="10"/>
        <rFont val="맑은 고딕"/>
        <family val="0"/>
        <charset val="1"/>
      </rPr>
      <t xml:space="preserve">(reversal) </t>
    </r>
    <r>
      <rPr>
        <sz val="10"/>
        <rFont val="WenQuanYi Zen Hei"/>
        <family val="2"/>
      </rPr>
      <t xml:space="preserve">분개 오류 또는 전기오류수정의 이익잉여금 직접 반영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분개장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근거 확인 후 손익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전기오류수정손익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처리 또는 기초 이월 수정 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</si>
  <si>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BS_DEC 2026 I119:J125 </t>
    </r>
    <r>
      <rPr>
        <sz val="10"/>
        <rFont val="WenQuanYi Zen Hei"/>
        <family val="2"/>
      </rPr>
      <t xml:space="preserve">잉여금 대사표는 배당금을 전기 배당</t>
    </r>
    <r>
      <rPr>
        <sz val="10"/>
        <rFont val="맑은 고딕"/>
        <family val="0"/>
        <charset val="1"/>
      </rPr>
      <t xml:space="preserve">(−6,453,000,000)</t>
    </r>
    <r>
      <rPr>
        <sz val="10"/>
        <rFont val="WenQuanYi Zen Hei"/>
        <family val="2"/>
      </rPr>
      <t xml:space="preserve">으로 사용하여 </t>
    </r>
    <r>
      <rPr>
        <sz val="10"/>
        <rFont val="맑은 고딕"/>
        <family val="0"/>
        <charset val="1"/>
      </rPr>
      <t xml:space="preserve">DIFF 46,679,939,915 </t>
    </r>
    <r>
      <rPr>
        <sz val="10"/>
        <rFont val="WenQuanYi Zen Hei"/>
        <family val="2"/>
      </rPr>
      <t xml:space="preserve">발생 → 당기 배당 </t>
    </r>
    <r>
      <rPr>
        <sz val="10"/>
        <rFont val="맑은 고딕"/>
        <family val="0"/>
        <charset val="1"/>
      </rPr>
      <t xml:space="preserve">520</t>
    </r>
    <r>
      <rPr>
        <sz val="10"/>
        <rFont val="WenQuanYi Zen Hei"/>
        <family val="2"/>
      </rPr>
      <t xml:space="preserve">억원으로 수정 시 회사 표 차이도 위 ①</t>
    </r>
    <r>
      <rPr>
        <sz val="10"/>
        <rFont val="맑은 고딕"/>
        <family val="0"/>
        <charset val="1"/>
      </rPr>
      <t xml:space="preserve">+② </t>
    </r>
    <r>
      <rPr>
        <sz val="10"/>
        <rFont val="WenQuanYi Zen Hei"/>
        <family val="2"/>
      </rPr>
      <t xml:space="preserve">수준으로 축소됨</t>
    </r>
    <r>
      <rPr>
        <sz val="10"/>
        <rFont val="맑은 고딕"/>
        <family val="0"/>
        <charset val="1"/>
      </rPr>
      <t xml:space="preserve">.</t>
    </r>
  </si>
  <si>
    <t xml:space="preserve">SAP GL</t>
  </si>
  <si>
    <t xml:space="preserve">Type</t>
  </si>
  <si>
    <r>
      <rPr>
        <b val="true"/>
        <sz val="10"/>
        <rFont val="맑은 고딕"/>
        <family val="2"/>
        <charset val="1"/>
      </rPr>
      <t xml:space="preserve">Local Class(</t>
    </r>
    <r>
      <rPr>
        <b val="true"/>
        <sz val="10"/>
        <rFont val="WenQuanYi Zen Hei"/>
        <family val="2"/>
      </rPr>
      <t xml:space="preserve">결산보고서</t>
    </r>
    <r>
      <rPr>
        <b val="true"/>
        <sz val="10"/>
        <rFont val="맑은 고딕"/>
        <family val="2"/>
        <charset val="1"/>
      </rPr>
      <t xml:space="preserve">)</t>
    </r>
  </si>
  <si>
    <t xml:space="preserve">English</t>
  </si>
  <si>
    <t xml:space="preserve">(01.2026-09.2026)
SAP</t>
  </si>
  <si>
    <t xml:space="preserve">Debit</t>
  </si>
  <si>
    <t xml:space="preserve">Credit</t>
  </si>
  <si>
    <t xml:space="preserve">2025.12
SAP(YTD)</t>
  </si>
  <si>
    <t xml:space="preserve">Source</t>
  </si>
  <si>
    <r>
      <rPr>
        <b val="true"/>
        <sz val="10"/>
        <rFont val="WenQuanYi Zen Hei"/>
        <family val="2"/>
      </rPr>
      <t xml:space="preserve">회사 매핑
</t>
    </r>
    <r>
      <rPr>
        <b val="true"/>
        <sz val="10"/>
        <rFont val="맑은 고딕"/>
        <family val="2"/>
        <charset val="1"/>
      </rPr>
      <t xml:space="preserve">(BSPL2026 M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</si>
  <si>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매핑 </t>
    </r>
    <r>
      <rPr>
        <b val="true"/>
        <sz val="10"/>
        <rFont val="맑은 고딕"/>
        <family val="2"/>
        <charset val="1"/>
      </rPr>
      <t xml:space="preserve">check</t>
    </r>
  </si>
  <si>
    <t xml:space="preserve">10100082</t>
  </si>
  <si>
    <t xml:space="preserve">Lands and Buildings -Right of Use -Man</t>
  </si>
  <si>
    <t xml:space="preserve">BS</t>
  </si>
  <si>
    <t xml:space="preserve">자산</t>
  </si>
  <si>
    <t xml:space="preserve">Lands and Buildings -Right of use (Man)</t>
  </si>
  <si>
    <t xml:space="preserve">from BSPL2026</t>
  </si>
  <si>
    <t xml:space="preserve">10100083</t>
  </si>
  <si>
    <t xml:space="preserve">Depreciation Land and Build -Right of Use -Man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</si>
  <si>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구축물</t>
    </r>
  </si>
  <si>
    <t xml:space="preserve">Acc.dep.Land and Build.-Right (Man)</t>
  </si>
  <si>
    <t xml:space="preserve">10100850</t>
  </si>
  <si>
    <t xml:space="preserve">Buildings -(A) Rec</t>
  </si>
  <si>
    <t xml:space="preserve">Structures</t>
  </si>
  <si>
    <t xml:space="preserve">10150000</t>
  </si>
  <si>
    <t xml:space="preserve">Buildings -Leasehold Improvements -(A) Rec</t>
  </si>
  <si>
    <t xml:space="preserve">Depreciation Buildings -Leasehold Improve -(A) Rec</t>
  </si>
  <si>
    <t xml:space="preserve">10200000</t>
  </si>
  <si>
    <t xml:space="preserve">Machinery and Equipment -(A) Rec</t>
  </si>
  <si>
    <t xml:space="preserve">Plant &amp; Machinery</t>
  </si>
  <si>
    <t xml:space="preserve">10200921</t>
  </si>
  <si>
    <t xml:space="preserve">Samples -Manual</t>
  </si>
  <si>
    <t xml:space="preserve">10300000</t>
  </si>
  <si>
    <t xml:space="preserve">Other FA -Furniture Fixtures &amp; Office Equ -(A) Rec</t>
  </si>
  <si>
    <t xml:space="preserve">Furniture/Fittings/Office Equipment</t>
  </si>
  <si>
    <t xml:space="preserve">10300850</t>
  </si>
  <si>
    <t xml:space="preserve">Other Fixed Assets -(A) Rec</t>
  </si>
  <si>
    <t xml:space="preserve">Other Tools and Furniture</t>
  </si>
  <si>
    <t xml:space="preserve">10350000</t>
  </si>
  <si>
    <t xml:space="preserve">Other FA -IT Equipment -(A) Rec</t>
  </si>
  <si>
    <t xml:space="preserve">EDP Equipment</t>
  </si>
  <si>
    <t xml:space="preserve">10350303</t>
  </si>
  <si>
    <t xml:space="preserve">Depreciation Other Fixed Assets -(A) Rec</t>
  </si>
  <si>
    <t xml:space="preserve">10550400</t>
  </si>
  <si>
    <t xml:space="preserve">In Progress -Other -IT Equipment -(A)</t>
  </si>
  <si>
    <t xml:space="preserve">10550900</t>
  </si>
  <si>
    <t xml:space="preserve">In Progress -Buildings -(A) Rec</t>
  </si>
  <si>
    <t xml:space="preserve">Const.in Process</t>
  </si>
  <si>
    <t xml:space="preserve">11100850</t>
  </si>
  <si>
    <t xml:space="preserve">Depreciation Buildings -(A) Rec</t>
  </si>
  <si>
    <t xml:space="preserve">Accumulated depreciation-structures</t>
  </si>
  <si>
    <t xml:space="preserve">11150000</t>
  </si>
  <si>
    <t xml:space="preserve">11200000</t>
  </si>
  <si>
    <t xml:space="preserve">Depreciation Machinery &amp; Equip-(A)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</si>
  <si>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기계장치</t>
    </r>
  </si>
  <si>
    <t xml:space="preserve">Acc.Depn.Plant/Machinery</t>
  </si>
  <si>
    <t xml:space="preserve">11300000</t>
  </si>
  <si>
    <t xml:space="preserve">Depreciation Other FA -Furn Fixture Off Equ-(A)Rec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</si>
  <si>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집기비품</t>
    </r>
  </si>
  <si>
    <t xml:space="preserve">Acc.Depr.Furn/Fittings/Office Equipment</t>
  </si>
  <si>
    <t xml:space="preserve">11300850</t>
  </si>
  <si>
    <t xml:space="preserve">Depreciation Other FA -IT Equipment 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</si>
  <si>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공구와기구</t>
    </r>
  </si>
  <si>
    <t xml:space="preserve">Accum.depreciation Oth.Tools &amp; Furniture</t>
  </si>
  <si>
    <t xml:space="preserve">11350000</t>
  </si>
  <si>
    <t xml:space="preserve">Acc.Depr.EDP Equipment</t>
  </si>
  <si>
    <t xml:space="preserve">11350303</t>
  </si>
  <si>
    <t xml:space="preserve">Samples - Non stocked purchases</t>
  </si>
  <si>
    <t xml:space="preserve">13100000</t>
  </si>
  <si>
    <t xml:space="preserve">Intangibles -Software Bought -(A) Rec</t>
  </si>
  <si>
    <t xml:space="preserve">Software At Cost</t>
  </si>
  <si>
    <t xml:space="preserve">13600000</t>
  </si>
  <si>
    <t xml:space="preserve">Intang Asset Acq in CA Asset Deal-TradeN -(A) Rec</t>
  </si>
  <si>
    <t xml:space="preserve">Intang Acquired in CA &amp; R&amp;D Asset deals-Trademarks</t>
  </si>
  <si>
    <t xml:space="preserve">14000000</t>
  </si>
  <si>
    <t xml:space="preserve">Amortization Intang -Software Bought 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</si>
  <si>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소프트웨어</t>
    </r>
  </si>
  <si>
    <t xml:space="preserve">Accum.Amortis.Software</t>
  </si>
  <si>
    <t xml:space="preserve">14300000</t>
  </si>
  <si>
    <t xml:space="preserve">Amortization Intang Acq CA -Tradenames-(A) Rec</t>
  </si>
  <si>
    <t xml:space="preserve">Acc.Am.IntangibleAcq.CA-AD-Tra (Auto)</t>
  </si>
  <si>
    <t xml:space="preserve">14300701</t>
  </si>
  <si>
    <t xml:space="preserve">Impair -Intangibles Acq in CA -Other -Man</t>
  </si>
  <si>
    <t xml:space="preserve">Impairment of intangible asset-Co-Promotion</t>
  </si>
  <si>
    <t xml:space="preserve">14400030</t>
  </si>
  <si>
    <t xml:space="preserve">Amortization Intang Acq CA -Other -Man</t>
  </si>
  <si>
    <t xml:space="preserve">Acc.Am.IntangibleAcq.CA-AD-Oth (Auto)</t>
  </si>
  <si>
    <t xml:space="preserve">15800853</t>
  </si>
  <si>
    <t xml:space="preserve">SPPI amortized cost-NC-all but collateral given</t>
  </si>
  <si>
    <t xml:space="preserve">16350702</t>
  </si>
  <si>
    <t xml:space="preserve">Other receivables for employees</t>
  </si>
  <si>
    <t xml:space="preserve">16750000</t>
  </si>
  <si>
    <t xml:space="preserve">Long Term Deposits -Manual</t>
  </si>
  <si>
    <t xml:space="preserve">20000001</t>
  </si>
  <si>
    <t xml:space="preserve">Trading Goods -(MM)</t>
  </si>
  <si>
    <t xml:space="preserve">Trading Goods</t>
  </si>
  <si>
    <t xml:space="preserve">20000002</t>
  </si>
  <si>
    <t xml:space="preserve">Samples -(MM)</t>
  </si>
  <si>
    <t xml:space="preserve">Trading Goods - Samples</t>
  </si>
  <si>
    <t xml:space="preserve">20000030</t>
  </si>
  <si>
    <t xml:space="preserve">Capitalisation of Variances -Trading Goods -Manual</t>
  </si>
  <si>
    <t xml:space="preserve">20000851</t>
  </si>
  <si>
    <t xml:space="preserve">Trading Goods -Manual</t>
  </si>
  <si>
    <t xml:space="preserve">Trading goods Manual</t>
  </si>
  <si>
    <t xml:space="preserve">20100003</t>
  </si>
  <si>
    <t xml:space="preserve">Provision on Trading Goods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</si>
  <si>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상품</t>
    </r>
  </si>
  <si>
    <t xml:space="preserve">Allowance on Trading goods</t>
  </si>
  <si>
    <t xml:space="preserve">22150702</t>
  </si>
  <si>
    <t xml:space="preserve">Finished Goods -Stock in Transit  -Manual</t>
  </si>
  <si>
    <t xml:space="preserve">22500000</t>
  </si>
  <si>
    <t xml:space="preserve">Capitalisation of Variances -Finished Goods-Manual</t>
  </si>
  <si>
    <t xml:space="preserve">24000000</t>
  </si>
  <si>
    <t xml:space="preserve">Accts Rec. Trade. S/Term.</t>
  </si>
  <si>
    <t xml:space="preserve">24000001</t>
  </si>
  <si>
    <t xml:space="preserve">Exch.Rate Adj Trade Debts.</t>
  </si>
  <si>
    <t xml:space="preserve">24000004</t>
  </si>
  <si>
    <t xml:space="preserve">AR-D Trade 3rd ST</t>
  </si>
  <si>
    <t xml:space="preserve">24000009</t>
  </si>
  <si>
    <t xml:space="preserve">AR Provision Trade 3rd Party -Manual</t>
  </si>
  <si>
    <t xml:space="preserve">24000030</t>
  </si>
  <si>
    <t xml:space="preserve">Accts Rec. Trade. S/Term for Clinic</t>
  </si>
  <si>
    <t xml:space="preserve">24000812</t>
  </si>
  <si>
    <t xml:space="preserve">AR( D) Receivable on fixed assets</t>
  </si>
  <si>
    <t xml:space="preserve">24050000</t>
  </si>
  <si>
    <t xml:space="preserve">AR-D Trade ICO</t>
  </si>
  <si>
    <t xml:space="preserve"> AR-D Trade ICO</t>
  </si>
  <si>
    <t xml:space="preserve">24050051</t>
  </si>
  <si>
    <t xml:space="preserve">AR Trade ICO  MANUAL</t>
  </si>
  <si>
    <t xml:space="preserve">24100002</t>
  </si>
  <si>
    <t xml:space="preserve">AR (D) SGLI -Provision Bad Debt Trade 3rd Party</t>
  </si>
  <si>
    <t xml:space="preserve">26000000</t>
  </si>
  <si>
    <t xml:space="preserve">Other receivable</t>
  </si>
  <si>
    <t xml:space="preserve">26000015</t>
  </si>
  <si>
    <t xml:space="preserve">Other Receivables - manual</t>
  </si>
  <si>
    <t xml:space="preserve">26000033</t>
  </si>
  <si>
    <t xml:space="preserve">Other partners relationship - Assets</t>
  </si>
  <si>
    <t xml:space="preserve">26000200</t>
  </si>
  <si>
    <t xml:space="preserve">AP Prepaid OneCASA Clinical Studies -Man</t>
  </si>
  <si>
    <t xml:space="preserve">26000810</t>
  </si>
  <si>
    <t xml:space="preserve">Payroll deductions</t>
  </si>
  <si>
    <t xml:space="preserve">26030000</t>
  </si>
  <si>
    <t xml:space="preserve">Allowances on other accounts receivable</t>
  </si>
  <si>
    <t xml:space="preserve">26050000</t>
  </si>
  <si>
    <t xml:space="preserve">AR-D Other non-trade ICO</t>
  </si>
  <si>
    <t xml:space="preserve">26220000</t>
  </si>
  <si>
    <t xml:space="preserve">S/T Loans Rec Group.Comp</t>
  </si>
  <si>
    <t xml:space="preserve">26220101</t>
  </si>
  <si>
    <t xml:space="preserve">Other accrued liabilities - ICO - Manual</t>
  </si>
  <si>
    <t xml:space="preserve">26530000</t>
  </si>
  <si>
    <t xml:space="preserve">GST/VAT paid to Vendors</t>
  </si>
  <si>
    <t xml:space="preserve">26550000</t>
  </si>
  <si>
    <t xml:space="preserve">Prepaid - Expenses</t>
  </si>
  <si>
    <t xml:space="preserve">26550001</t>
  </si>
  <si>
    <t xml:space="preserve">Prep.Exp.Insurance Premiums</t>
  </si>
  <si>
    <t xml:space="preserve">26550002</t>
  </si>
  <si>
    <t xml:space="preserve">Prepaid Rental</t>
  </si>
  <si>
    <t xml:space="preserve">26550303</t>
  </si>
  <si>
    <t xml:space="preserve">Prepaid expenses / Other</t>
  </si>
  <si>
    <t xml:space="preserve">26550450</t>
  </si>
  <si>
    <t xml:space="preserve">SPPI amortized costs-curr-all but collateral given</t>
  </si>
  <si>
    <t xml:space="preserve">26650000</t>
  </si>
  <si>
    <t xml:space="preserve">Advance payments</t>
  </si>
  <si>
    <t xml:space="preserve">26650851</t>
  </si>
  <si>
    <t xml:space="preserve">Advance Payments-Foreign currency adj. acct.</t>
  </si>
  <si>
    <t xml:space="preserve">26650852</t>
  </si>
  <si>
    <t xml:space="preserve">Sundry - Ot</t>
  </si>
  <si>
    <t xml:space="preserve">26650854</t>
  </si>
  <si>
    <t xml:space="preserve">Local VAT Refund  asked</t>
  </si>
  <si>
    <t xml:space="preserve">28100821</t>
  </si>
  <si>
    <t xml:space="preserve">Deutsche Bank Money Market Deposit Account</t>
  </si>
  <si>
    <t xml:space="preserve">28100861</t>
  </si>
  <si>
    <t xml:space="preserve">KEB HANA Bank SA KRW Main</t>
  </si>
  <si>
    <t xml:space="preserve">28101193</t>
  </si>
  <si>
    <t xml:space="preserve">Bank of Tokyo - Mitsubishi UFJ KRW Main</t>
  </si>
  <si>
    <t xml:space="preserve">28330000</t>
  </si>
  <si>
    <t xml:space="preserve">HSBC - Main Bank Account EUR</t>
  </si>
  <si>
    <t xml:space="preserve">28330001</t>
  </si>
  <si>
    <t xml:space="preserve">HSBC - Automatic Payment Clearing EUR</t>
  </si>
  <si>
    <t xml:space="preserve">28330002</t>
  </si>
  <si>
    <t xml:space="preserve">HSBC - Automatic Receipt Clearing EUR</t>
  </si>
  <si>
    <t xml:space="preserve">28330010</t>
  </si>
  <si>
    <t xml:space="preserve">HSBC - Main Bank Account USD</t>
  </si>
  <si>
    <t xml:space="preserve">28330011</t>
  </si>
  <si>
    <t xml:space="preserve">HSBC - Automatic Payment Clearing USD</t>
  </si>
  <si>
    <t xml:space="preserve">28330990</t>
  </si>
  <si>
    <t xml:space="preserve">HSBC - Main Bank GL Code - Local Curr</t>
  </si>
  <si>
    <t xml:space="preserve">29100000</t>
  </si>
  <si>
    <t xml:space="preserve">Def.Tax Asset(due&lt;=1 year) - If Net Asset</t>
  </si>
  <si>
    <t xml:space="preserve">29150000</t>
  </si>
  <si>
    <t xml:space="preserve">Deferred Tax Asset - Gross</t>
  </si>
  <si>
    <t xml:space="preserve">30000000</t>
  </si>
  <si>
    <t xml:space="preserve">Ordinary shares issued and uncalled</t>
  </si>
  <si>
    <t xml:space="preserve">30000100</t>
  </si>
  <si>
    <t xml:space="preserve">Share premium Equity sec</t>
  </si>
  <si>
    <t xml:space="preserve">31000001</t>
  </si>
  <si>
    <t xml:space="preserve">Capital contribution premium</t>
  </si>
  <si>
    <t xml:space="preserve">Capital contribution premium </t>
  </si>
  <si>
    <t xml:space="preserve">32100000</t>
  </si>
  <si>
    <t xml:space="preserve">Revaluation reserve</t>
  </si>
  <si>
    <t xml:space="preserve">32200000</t>
  </si>
  <si>
    <t xml:space="preserve">Retained earnings (R/E)</t>
  </si>
  <si>
    <t xml:space="preserve">32200001</t>
  </si>
  <si>
    <t xml:space="preserve">Dividends paid to subsidiaries</t>
  </si>
  <si>
    <t xml:space="preserve">32300000</t>
  </si>
  <si>
    <t xml:space="preserve">Surplus from merger operations</t>
  </si>
  <si>
    <t xml:space="preserve">32900000</t>
  </si>
  <si>
    <t xml:space="preserve">Pensions -  Actuarial  gain &amp; losses</t>
  </si>
  <si>
    <t xml:space="preserve">32910000</t>
  </si>
  <si>
    <t xml:space="preserve">Deferred tax on pensions - Actuarial  gain &amp; losse</t>
  </si>
  <si>
    <t xml:space="preserve">38010000</t>
  </si>
  <si>
    <t xml:space="preserve">Provision for Sales Returns -Manual</t>
  </si>
  <si>
    <t xml:space="preserve">Provision for sales return</t>
  </si>
  <si>
    <t xml:space="preserve">38100001</t>
  </si>
  <si>
    <t xml:space="preserve">Provision for settl./damages of litigation &gt;1 year</t>
  </si>
  <si>
    <t xml:space="preserve">38160000</t>
  </si>
  <si>
    <t xml:space="preserve">Prov.restr.costs  -  term.benefits ST</t>
  </si>
  <si>
    <t xml:space="preserve">38170010</t>
  </si>
  <si>
    <t xml:space="preserve">Provision for vacation</t>
  </si>
  <si>
    <t xml:space="preserve">39070851</t>
  </si>
  <si>
    <t xml:space="preserve">LT tranfert titres</t>
  </si>
  <si>
    <t xml:space="preserve">39200800</t>
  </si>
  <si>
    <t xml:space="preserve">Long Term lease liability</t>
  </si>
  <si>
    <t xml:space="preserve">40000000</t>
  </si>
  <si>
    <t xml:space="preserve">Accts.Pay.Trade Short term</t>
  </si>
  <si>
    <t xml:space="preserve">40000001</t>
  </si>
  <si>
    <t xml:space="preserve">AP Trade 3rd ST Reeval.</t>
  </si>
  <si>
    <t xml:space="preserve">AP Trade 3rd ST Reeval</t>
  </si>
  <si>
    <t xml:space="preserve">40000003</t>
  </si>
  <si>
    <t xml:space="preserve">Exch.Rate adj.Non-Trade Creditors</t>
  </si>
  <si>
    <t xml:space="preserve">40000004</t>
  </si>
  <si>
    <t xml:space="preserve">AP Trade ICO ST Reeval.</t>
  </si>
  <si>
    <t xml:space="preserve">40000005</t>
  </si>
  <si>
    <t xml:space="preserve">Exch.Rate adj.NonTrade Creditors Group</t>
  </si>
  <si>
    <t xml:space="preserve">40000012</t>
  </si>
  <si>
    <t xml:space="preserve">AP Trade other</t>
  </si>
  <si>
    <t xml:space="preserve">AP Accrual OneCASA Clinical Studies -Man</t>
  </si>
  <si>
    <t xml:space="preserve">AP Trade 3rd ST Reclass.</t>
  </si>
  <si>
    <t xml:space="preserve">40000851</t>
  </si>
  <si>
    <t xml:space="preserve">AP Royalties 3rd Party Accrued Liabilities -Manual</t>
  </si>
  <si>
    <t xml:space="preserve">40000852</t>
  </si>
  <si>
    <t xml:space="preserve">A/P Trade (Manual Adjust)</t>
  </si>
  <si>
    <t xml:space="preserve">40100000</t>
  </si>
  <si>
    <t xml:space="preserve">AP-K Trade ICO Import Short Term</t>
  </si>
  <si>
    <t xml:space="preserve">40100856</t>
  </si>
  <si>
    <t xml:space="preserve">Exch.Rate adj.Trade Creditors-Group</t>
  </si>
  <si>
    <t xml:space="preserve">40500000</t>
  </si>
  <si>
    <t xml:space="preserve">GR/IR A/C Inventory</t>
  </si>
  <si>
    <t xml:space="preserve">가계정</t>
  </si>
  <si>
    <t xml:space="preserve">40500001</t>
  </si>
  <si>
    <t xml:space="preserve">GR/IR Invoice Clearing Inventory</t>
  </si>
  <si>
    <t xml:space="preserve">40500002</t>
  </si>
  <si>
    <t xml:space="preserve">GR/IR Delivery Clearing Inventory</t>
  </si>
  <si>
    <t xml:space="preserve">40500003</t>
  </si>
  <si>
    <t xml:space="preserve">GR/IR Analysis Account Inventory</t>
  </si>
  <si>
    <t xml:space="preserve">40500004</t>
  </si>
  <si>
    <t xml:space="preserve">Plan Delv Csts</t>
  </si>
  <si>
    <t xml:space="preserve">40500005</t>
  </si>
  <si>
    <t xml:space="preserve">GR/IR A/C Non-Inventory</t>
  </si>
  <si>
    <t xml:space="preserve">40500006</t>
  </si>
  <si>
    <t xml:space="preserve">GR/IR Invoice Clearing Non-Inventory</t>
  </si>
  <si>
    <t xml:space="preserve">40500007</t>
  </si>
  <si>
    <t xml:space="preserve">GR/IR Delivery Clearing Non-Inventory</t>
  </si>
  <si>
    <t xml:space="preserve">40500008</t>
  </si>
  <si>
    <t xml:space="preserve">GR/IR Analysis Account Non-Inventory</t>
  </si>
  <si>
    <t xml:space="preserve">40500009</t>
  </si>
  <si>
    <t xml:space="preserve">Plan Delv Csts - Freight</t>
  </si>
  <si>
    <t xml:space="preserve">40500017</t>
  </si>
  <si>
    <t xml:space="preserve">Goods Received or Invoice Rec -GR/IR -COGS -Manual</t>
  </si>
  <si>
    <t xml:space="preserve"> Goods Received or Invoice Rec -GR/IR -COGS -Manual</t>
  </si>
  <si>
    <t xml:space="preserve">40500018</t>
  </si>
  <si>
    <t xml:space="preserve">Goods Rec or Invoice Rec -GR/IR -COGS ICO -Manual</t>
  </si>
  <si>
    <t xml:space="preserve">42000007</t>
  </si>
  <si>
    <t xml:space="preserve">Other partners relationship – Liabilities</t>
  </si>
  <si>
    <t xml:space="preserve">42000705</t>
  </si>
  <si>
    <t xml:space="preserve">Other Accrued Liabilities</t>
  </si>
  <si>
    <t xml:space="preserve">42000851</t>
  </si>
  <si>
    <t xml:space="preserve">Other A/P in foreign currency-tangible assets adj.</t>
  </si>
  <si>
    <t xml:space="preserve">42000852</t>
  </si>
  <si>
    <t xml:space="preserve">AP-K Employee expenses</t>
  </si>
  <si>
    <t xml:space="preserve">42000856</t>
  </si>
  <si>
    <t xml:space="preserve">AP-K Rec Royalties &amp; research ICO</t>
  </si>
  <si>
    <t xml:space="preserve">42050000</t>
  </si>
  <si>
    <t xml:space="preserve">Liabilities due to customers - ICO</t>
  </si>
  <si>
    <t xml:space="preserve">42400000</t>
  </si>
  <si>
    <t xml:space="preserve">Liab. from Payroll Accounting</t>
  </si>
  <si>
    <t xml:space="preserve">42400700</t>
  </si>
  <si>
    <t xml:space="preserve">Liabilities from payroll due to employees</t>
  </si>
  <si>
    <t xml:space="preserve">42400702</t>
  </si>
  <si>
    <t xml:space="preserve">Provision for bonus</t>
  </si>
  <si>
    <t xml:space="preserve">42400800</t>
  </si>
  <si>
    <t xml:space="preserve">Provision for Ots charges</t>
  </si>
  <si>
    <t xml:space="preserve">Provision for Ots charges </t>
  </si>
  <si>
    <t xml:space="preserve">42420000</t>
  </si>
  <si>
    <t xml:space="preserve">Social Security Liabilities</t>
  </si>
  <si>
    <t xml:space="preserve">42420851</t>
  </si>
  <si>
    <t xml:space="preserve">Withholding tax-medical insurance</t>
  </si>
  <si>
    <t xml:space="preserve">42420852</t>
  </si>
  <si>
    <t xml:space="preserve">Withholding tax-vocational training tax</t>
  </si>
  <si>
    <t xml:space="preserve">42440000</t>
  </si>
  <si>
    <t xml:space="preserve">Accr.Incentive Compensation</t>
  </si>
  <si>
    <t xml:space="preserve">42490000</t>
  </si>
  <si>
    <t xml:space="preserve">Accrued interest payable</t>
  </si>
  <si>
    <t xml:space="preserve">42490100</t>
  </si>
  <si>
    <t xml:space="preserve">Accrued interest on I/C borrowings</t>
  </si>
  <si>
    <t xml:space="preserve">42490240</t>
  </si>
  <si>
    <t xml:space="preserve">Payroll taxes withheld and deduction on salary</t>
  </si>
  <si>
    <t xml:space="preserve">42490336</t>
  </si>
  <si>
    <t xml:space="preserve">Accrual for extraordinary salaries to pay</t>
  </si>
  <si>
    <t xml:space="preserve">42570000</t>
  </si>
  <si>
    <t xml:space="preserve">Dividends Payable 3rd</t>
  </si>
  <si>
    <t xml:space="preserve">42910000</t>
  </si>
  <si>
    <t xml:space="preserve">42910012</t>
  </si>
  <si>
    <t xml:space="preserve">Municipal and Other taxes</t>
  </si>
  <si>
    <t xml:space="preserve">42910018</t>
  </si>
  <si>
    <t xml:space="preserve">42910102</t>
  </si>
  <si>
    <t xml:space="preserve">Provision for Rebate</t>
  </si>
  <si>
    <t xml:space="preserve">42910311</t>
  </si>
  <si>
    <t xml:space="preserve">Prov.restr.pers.costs w/o term.ben.&lt;= 1 year</t>
  </si>
  <si>
    <t xml:space="preserve">42910850</t>
  </si>
  <si>
    <t xml:space="preserve">Accrued Rebate</t>
  </si>
  <si>
    <t xml:space="preserve">42910851</t>
  </si>
  <si>
    <t xml:space="preserve">AP Non COGS Non-PO Accrual</t>
  </si>
  <si>
    <t xml:space="preserve">42910852</t>
  </si>
  <si>
    <t xml:space="preserve">Sales deduction- accrual for Pharma</t>
  </si>
  <si>
    <t xml:space="preserve">42910853</t>
  </si>
  <si>
    <t xml:space="preserve">Accrued Expenses-accrued rebate</t>
  </si>
  <si>
    <t xml:space="preserve">42910854</t>
  </si>
  <si>
    <t xml:space="preserve">Sales deduction- accrual for CHC</t>
  </si>
  <si>
    <t xml:space="preserve">42910909</t>
  </si>
  <si>
    <t xml:space="preserve">Other deductions</t>
  </si>
  <si>
    <t xml:space="preserve">42911000</t>
  </si>
  <si>
    <t xml:space="preserve">AR-D Advance payments rec 3rd</t>
  </si>
  <si>
    <t xml:space="preserve">42911100</t>
  </si>
  <si>
    <t xml:space="preserve">Short-term lease liability</t>
  </si>
  <si>
    <t xml:space="preserve">42911101</t>
  </si>
  <si>
    <t xml:space="preserve">Accrued interest - Short-term lease liability</t>
  </si>
  <si>
    <t xml:space="preserve">42920000</t>
  </si>
  <si>
    <t xml:space="preserve">GST/VAT Billed to Customers</t>
  </si>
  <si>
    <t xml:space="preserve">42930000</t>
  </si>
  <si>
    <t xml:space="preserve">Income Tax payable - current year (Federal)</t>
  </si>
  <si>
    <t xml:space="preserve">42930850</t>
  </si>
  <si>
    <t xml:space="preserve">Advance payment of Income Tax</t>
  </si>
  <si>
    <t xml:space="preserve">42930851</t>
  </si>
  <si>
    <t xml:space="preserve">Prepaid Income tax-withholdings</t>
  </si>
  <si>
    <t xml:space="preserve">42940003</t>
  </si>
  <si>
    <t xml:space="preserve">Withholding tax - Royalties</t>
  </si>
  <si>
    <t xml:space="preserve">42940854</t>
  </si>
  <si>
    <t xml:space="preserve">Withholding tax-dividend income(resident tax)</t>
  </si>
  <si>
    <t xml:space="preserve">42940855</t>
  </si>
  <si>
    <t xml:space="preserve">Withholding tax-business income</t>
  </si>
  <si>
    <t xml:space="preserve">42940856</t>
  </si>
  <si>
    <t xml:space="preserve">Withholding tax-other income</t>
  </si>
  <si>
    <t xml:space="preserve">42940857</t>
  </si>
  <si>
    <t xml:space="preserve">Withholding tax-corporate interest income</t>
  </si>
  <si>
    <t xml:space="preserve">42940861</t>
  </si>
  <si>
    <t xml:space="preserve">Withholding tax-other income(resident)</t>
  </si>
  <si>
    <t xml:space="preserve">42940863</t>
  </si>
  <si>
    <t xml:space="preserve">Withholding tax-dividend income</t>
  </si>
  <si>
    <t xml:space="preserve">50000000</t>
  </si>
  <si>
    <t xml:space="preserve">Gross Product Sales Local</t>
  </si>
  <si>
    <t xml:space="preserve">PL</t>
  </si>
  <si>
    <t xml:space="preserve">매출</t>
  </si>
  <si>
    <t xml:space="preserve">50000102</t>
  </si>
  <si>
    <t xml:space="preserve">Gross sales - FG Man Adj 3rd P</t>
  </si>
  <si>
    <t xml:space="preserve">50000851</t>
  </si>
  <si>
    <t xml:space="preserve">Sales of Merchandise-domestic</t>
  </si>
  <si>
    <t xml:space="preserve">50000854</t>
  </si>
  <si>
    <t xml:space="preserve">Other Commercial Incentives</t>
  </si>
  <si>
    <t xml:space="preserve">50100799</t>
  </si>
  <si>
    <t xml:space="preserve">Gross Sales - FG Man adj - ICO</t>
  </si>
  <si>
    <t xml:space="preserve">50200001</t>
  </si>
  <si>
    <t xml:space="preserve">Pharma Cont - TG Man Adj 3rd P</t>
  </si>
  <si>
    <t xml:space="preserve">51000850</t>
  </si>
  <si>
    <t xml:space="preserve">Sales of merchandise returned</t>
  </si>
  <si>
    <t xml:space="preserve">51300011</t>
  </si>
  <si>
    <t xml:space="preserve">Price Red./Reb.Loc Sales (manual posting)</t>
  </si>
  <si>
    <t xml:space="preserve">51300015</t>
  </si>
  <si>
    <t xml:space="preserve">Returns &amp; corr.- FG Man Adj 3rd P</t>
  </si>
  <si>
    <t xml:space="preserve">51300026</t>
  </si>
  <si>
    <t xml:space="preserve">Sales Discount-Negotiated terms-TG Domestic 3P 1</t>
  </si>
  <si>
    <t xml:space="preserve">51300450</t>
  </si>
  <si>
    <t xml:space="preserve">Price Red./Reb.Local Sales - Trading Goods</t>
  </si>
  <si>
    <t xml:space="preserve">51300502</t>
  </si>
  <si>
    <t xml:space="preserve">Discount - Accrual 3rd P</t>
  </si>
  <si>
    <t xml:space="preserve">51300799</t>
  </si>
  <si>
    <t xml:space="preserve">Sales Discount-Negotiated terms-Man Adj 3rd P</t>
  </si>
  <si>
    <t xml:space="preserve">51650053</t>
  </si>
  <si>
    <t xml:space="preserve">Institut Price equaliz (Tender) post-inv-TG D 3P</t>
  </si>
  <si>
    <t xml:space="preserve">51650102</t>
  </si>
  <si>
    <t xml:space="preserve">Price Equalization - TG Man Adj 3rd P.</t>
  </si>
  <si>
    <t xml:space="preserve">51660001</t>
  </si>
  <si>
    <t xml:space="preserve">53000005</t>
  </si>
  <si>
    <t xml:space="preserve">Standard COGS .Trading Goods</t>
  </si>
  <si>
    <t xml:space="preserve">매출원가</t>
  </si>
  <si>
    <t xml:space="preserve">53000850</t>
  </si>
  <si>
    <t xml:space="preserve">Yield Semi-finished 3P/ICO</t>
  </si>
  <si>
    <t xml:space="preserve">53000853</t>
  </si>
  <si>
    <t xml:space="preserve">Purchase Trading Goods 3rd</t>
  </si>
  <si>
    <t xml:space="preserve">53000858</t>
  </si>
  <si>
    <t xml:space="preserve">Prov - Inventories - revalorization</t>
  </si>
  <si>
    <t xml:space="preserve">54000008</t>
  </si>
  <si>
    <t xml:space="preserve">Mat.Prc.Var.Trading Goods</t>
  </si>
  <si>
    <t xml:space="preserve">54000033</t>
  </si>
  <si>
    <t xml:space="preserve">PPV Price Samples ICO</t>
  </si>
  <si>
    <t xml:space="preserve">54200018</t>
  </si>
  <si>
    <t xml:space="preserve">Oth.Prd.Var.Mfg.Spend.Prod.Related</t>
  </si>
  <si>
    <t xml:space="preserve">54000070</t>
  </si>
  <si>
    <t xml:space="preserve">Manual price purchase SF 3P</t>
  </si>
  <si>
    <t xml:space="preserve">54000080</t>
  </si>
  <si>
    <t xml:space="preserve">Manual Price outsourcing purchase 3P</t>
  </si>
  <si>
    <t xml:space="preserve">PPV Price Active Ingredient ICO</t>
  </si>
  <si>
    <t xml:space="preserve">54000700</t>
  </si>
  <si>
    <t xml:space="preserve">PPV Price Semi Finished 3rd</t>
  </si>
  <si>
    <t xml:space="preserve">54000851</t>
  </si>
  <si>
    <t xml:space="preserve">Good issue on Dev Packaging Purch 3P</t>
  </si>
  <si>
    <t xml:space="preserve">54001201</t>
  </si>
  <si>
    <t xml:space="preserve">Merchandise Purchase Price Variance-Bulk (Group)</t>
  </si>
  <si>
    <t xml:space="preserve">55010002</t>
  </si>
  <si>
    <t xml:space="preserve">Added Value Var Indirect</t>
  </si>
  <si>
    <t xml:space="preserve">55050000</t>
  </si>
  <si>
    <t xml:space="preserve">Reval.Invent.New Std/Act.Cost - Semifinished and F</t>
  </si>
  <si>
    <t xml:space="preserve">55050001</t>
  </si>
  <si>
    <t xml:space="preserve">Reval.Invent.New Std/Act.Cost - Primary Product</t>
  </si>
  <si>
    <t xml:space="preserve">55050850</t>
  </si>
  <si>
    <t xml:space="preserve">Reval.Invent.New Std/Act.Cost-merchadise</t>
  </si>
  <si>
    <t xml:space="preserve">55090002</t>
  </si>
  <si>
    <t xml:space="preserve">Destruct.Of Inventories - Merchandise</t>
  </si>
  <si>
    <t xml:space="preserve">55100008</t>
  </si>
  <si>
    <t xml:space="preserve">Oth.Invent.Adj.Trad.Goods</t>
  </si>
  <si>
    <t xml:space="preserve">55150000</t>
  </si>
  <si>
    <t xml:space="preserve">Other Cost of sales - Royalty - 3rd pty</t>
  </si>
  <si>
    <t xml:space="preserve">비용</t>
  </si>
  <si>
    <t xml:space="preserve">55210003</t>
  </si>
  <si>
    <t xml:space="preserve">Purchase Samples 3rd</t>
  </si>
  <si>
    <t xml:space="preserve">Oth variances &amp; non-ISC costs Packaging</t>
  </si>
  <si>
    <t xml:space="preserve">55300001</t>
  </si>
  <si>
    <t xml:space="preserve">Revaluation Packaging Purch ICO</t>
  </si>
  <si>
    <t xml:space="preserve">59000000</t>
  </si>
  <si>
    <t xml:space="preserve">Royalties from 3rd party - outside EEC</t>
  </si>
  <si>
    <t xml:space="preserve">영업외수익</t>
  </si>
  <si>
    <t xml:space="preserve">61000400</t>
  </si>
  <si>
    <t xml:space="preserve">Training to employees</t>
  </si>
  <si>
    <t xml:space="preserve">61000870</t>
  </si>
  <si>
    <t xml:space="preserve">Site facility management &amp; Services</t>
  </si>
  <si>
    <t xml:space="preserve">61001160</t>
  </si>
  <si>
    <t xml:space="preserve">Bank charges</t>
  </si>
  <si>
    <t xml:space="preserve">61001200</t>
  </si>
  <si>
    <t xml:space="preserve">Depreciation</t>
  </si>
  <si>
    <t xml:space="preserve">Depreciation - Leasehold Improvement</t>
  </si>
  <si>
    <t xml:space="preserve">62000005</t>
  </si>
  <si>
    <t xml:space="preserve">Vacation paid - local specificities</t>
  </si>
  <si>
    <t xml:space="preserve">62000007</t>
  </si>
  <si>
    <t xml:space="preserve">Employees exps paid by company</t>
  </si>
  <si>
    <t xml:space="preserve">62000010</t>
  </si>
  <si>
    <t xml:space="preserve">Overtime and extra months</t>
  </si>
  <si>
    <t xml:space="preserve">62000300</t>
  </si>
  <si>
    <t xml:space="preserve">Salaries &amp; wages</t>
  </si>
  <si>
    <t xml:space="preserve">62000376</t>
  </si>
  <si>
    <t xml:space="preserve">Expatriate staff - Salaries &amp; wages</t>
  </si>
  <si>
    <t xml:space="preserve">62000410</t>
  </si>
  <si>
    <t xml:space="preserve">Provision bonus</t>
  </si>
  <si>
    <t xml:space="preserve">62000502</t>
  </si>
  <si>
    <t xml:space="preserve">Daily allowance</t>
  </si>
  <si>
    <t xml:space="preserve">62000600</t>
  </si>
  <si>
    <t xml:space="preserve">Bonus</t>
  </si>
  <si>
    <t xml:space="preserve">62000717</t>
  </si>
  <si>
    <t xml:space="preserve">62000744</t>
  </si>
  <si>
    <t xml:space="preserve">Ot compensations</t>
  </si>
  <si>
    <t xml:space="preserve">62100702</t>
  </si>
  <si>
    <t xml:space="preserve">Contribution to Pension &amp; life insurance fund</t>
  </si>
  <si>
    <t xml:space="preserve">62100747</t>
  </si>
  <si>
    <t xml:space="preserve">Pension cost - Defined contribution Plan</t>
  </si>
  <si>
    <t xml:space="preserve">62100925</t>
  </si>
  <si>
    <t xml:space="preserve">Social security on Salaries &amp; wages</t>
  </si>
  <si>
    <t xml:space="preserve">62200400</t>
  </si>
  <si>
    <t xml:space="preserve">Employer sponsored benefits for staff</t>
  </si>
  <si>
    <t xml:space="preserve">62200930</t>
  </si>
  <si>
    <t xml:space="preserve">Sal works - occupational medicine</t>
  </si>
  <si>
    <t xml:space="preserve">62200940</t>
  </si>
  <si>
    <t xml:space="preserve">Canteen employer contribution</t>
  </si>
  <si>
    <t xml:space="preserve">62200945</t>
  </si>
  <si>
    <t xml:space="preserve">Staff relocation costs</t>
  </si>
  <si>
    <t xml:space="preserve">62400006</t>
  </si>
  <si>
    <t xml:space="preserve">Provision Incentive Compensation &amp; bonuses</t>
  </si>
  <si>
    <t xml:space="preserve">62400910</t>
  </si>
  <si>
    <t xml:space="preserve">Incentive Compensation &amp; bonuses paid</t>
  </si>
  <si>
    <t xml:space="preserve">62400915</t>
  </si>
  <si>
    <t xml:space="preserve">Vacation paid</t>
  </si>
  <si>
    <t xml:space="preserve">62500800</t>
  </si>
  <si>
    <t xml:space="preserve">Training - Materials</t>
  </si>
  <si>
    <t xml:space="preserve">63300005</t>
  </si>
  <si>
    <t xml:space="preserve">Clinical trial - Monitoring Fees</t>
  </si>
  <si>
    <t xml:space="preserve">63420201</t>
  </si>
  <si>
    <t xml:space="preserve">Clinical trial - Ethics Committee Rev.</t>
  </si>
  <si>
    <t xml:space="preserve">63450101</t>
  </si>
  <si>
    <t xml:space="preserve">Accr.- Studies</t>
  </si>
  <si>
    <t xml:space="preserve">63430101</t>
  </si>
  <si>
    <t xml:space="preserve">Outsourcing Prospective RWE -Primary data collect</t>
  </si>
  <si>
    <t xml:space="preserve">64000010</t>
  </si>
  <si>
    <t xml:space="preserve">T&amp;E - Transport Domestic</t>
  </si>
  <si>
    <t xml:space="preserve">64000012</t>
  </si>
  <si>
    <t xml:space="preserve">T&amp;E - Meals Domestic</t>
  </si>
  <si>
    <t xml:space="preserve">64000020</t>
  </si>
  <si>
    <t xml:space="preserve">T&amp;E - Transport Foreign</t>
  </si>
  <si>
    <t xml:space="preserve">64000021</t>
  </si>
  <si>
    <t xml:space="preserve">T&amp;E  Accommodation Foreign</t>
  </si>
  <si>
    <t xml:space="preserve">64000030</t>
  </si>
  <si>
    <t xml:space="preserve">T&amp;E - Accommodation Domestic</t>
  </si>
  <si>
    <t xml:space="preserve">64000040</t>
  </si>
  <si>
    <t xml:space="preserve">Business Meals</t>
  </si>
  <si>
    <t xml:space="preserve">64000710</t>
  </si>
  <si>
    <t xml:space="preserve">T&amp;E - Meals Foreign</t>
  </si>
  <si>
    <t xml:space="preserve">64000915</t>
  </si>
  <si>
    <t xml:space="preserve">Sundry business exps - ND</t>
  </si>
  <si>
    <t xml:space="preserve">Travel/Entert.Lodging/Meals</t>
  </si>
  <si>
    <t xml:space="preserve">64110000</t>
  </si>
  <si>
    <t xml:space="preserve">Temporary agency Labor</t>
  </si>
  <si>
    <t xml:space="preserve">64200000</t>
  </si>
  <si>
    <t xml:space="preserve">Audit fees</t>
  </si>
  <si>
    <t xml:space="preserve">64200700</t>
  </si>
  <si>
    <t xml:space="preserve">Tax advisory fees</t>
  </si>
  <si>
    <t xml:space="preserve">64200800</t>
  </si>
  <si>
    <t xml:space="preserve">IT Maintanence Managed services</t>
  </si>
  <si>
    <t xml:space="preserve">IT Maintenance Individual contractors</t>
  </si>
  <si>
    <t xml:space="preserve">64200801</t>
  </si>
  <si>
    <t xml:space="preserve">IT Projects Managed services</t>
  </si>
  <si>
    <t xml:space="preserve">IT Projects Individual contractors</t>
  </si>
  <si>
    <t xml:space="preserve">64200802</t>
  </si>
  <si>
    <t xml:space="preserve">Managed services</t>
  </si>
  <si>
    <t xml:space="preserve">64212171</t>
  </si>
  <si>
    <t xml:space="preserve">Business Process outsourced</t>
  </si>
  <si>
    <t xml:space="preserve">64212450</t>
  </si>
  <si>
    <t xml:space="preserve">Purchases of food services</t>
  </si>
  <si>
    <t xml:space="preserve">64290000</t>
  </si>
  <si>
    <t xml:space="preserve">Other Fees</t>
  </si>
  <si>
    <t xml:space="preserve">64290090</t>
  </si>
  <si>
    <t xml:space="preserve">IT projects consultant fees</t>
  </si>
  <si>
    <t xml:space="preserve">64290150</t>
  </si>
  <si>
    <t xml:space="preserve">Solicitors/lawyers &amp; legal fees</t>
  </si>
  <si>
    <t xml:space="preserve">64290601</t>
  </si>
  <si>
    <t xml:space="preserve">Strategic and Management consulting fees</t>
  </si>
  <si>
    <t xml:space="preserve">64514001</t>
  </si>
  <si>
    <t xml:space="preserve">Promotional materials</t>
  </si>
  <si>
    <t xml:space="preserve">64516004</t>
  </si>
  <si>
    <t xml:space="preserve">Events - Travel &amp; Accomodation - Guests</t>
  </si>
  <si>
    <t xml:space="preserve">64550000</t>
  </si>
  <si>
    <t xml:space="preserve">Samples</t>
  </si>
  <si>
    <t xml:space="preserve">64570000</t>
  </si>
  <si>
    <t xml:space="preserve">Advertising &amp; communication agency costs</t>
  </si>
  <si>
    <t xml:space="preserve">64570654</t>
  </si>
  <si>
    <t xml:space="preserve">Public relation exps</t>
  </si>
  <si>
    <t xml:space="preserve">64590000</t>
  </si>
  <si>
    <t xml:space="preserve">Congresses Other expenses</t>
  </si>
  <si>
    <t xml:space="preserve">64590017</t>
  </si>
  <si>
    <t xml:space="preserve">Medical consult.exps</t>
  </si>
  <si>
    <t xml:space="preserve">64590020</t>
  </si>
  <si>
    <t xml:space="preserve">Advertising space - Television &amp; Radio</t>
  </si>
  <si>
    <t xml:space="preserve">64590050</t>
  </si>
  <si>
    <t xml:space="preserve">Subscriptions fees to professional organiz.</t>
  </si>
  <si>
    <t xml:space="preserve">64590052</t>
  </si>
  <si>
    <t xml:space="preserve">Patient Support Program Exps</t>
  </si>
  <si>
    <t xml:space="preserve">64590063</t>
  </si>
  <si>
    <t xml:space="preserve">A&amp;P sponsorship Exps</t>
  </si>
  <si>
    <t xml:space="preserve">64590719</t>
  </si>
  <si>
    <t xml:space="preserve">Speaker Fees</t>
  </si>
  <si>
    <t xml:space="preserve">64591000</t>
  </si>
  <si>
    <t xml:space="preserve">Advertising space - Internet</t>
  </si>
  <si>
    <t xml:space="preserve">64591002</t>
  </si>
  <si>
    <t xml:space="preserve">Advertising space - Press &amp; Billboard</t>
  </si>
  <si>
    <t xml:space="preserve">64591006</t>
  </si>
  <si>
    <t xml:space="preserve">Sponsorship (HCO/MSA)</t>
  </si>
  <si>
    <t xml:space="preserve">64591012</t>
  </si>
  <si>
    <t xml:space="preserve">Clinical Trial - Ot costs</t>
  </si>
  <si>
    <t xml:space="preserve">64591013</t>
  </si>
  <si>
    <t xml:space="preserve">External events (meetings,congress,symposium)</t>
  </si>
  <si>
    <t xml:space="preserve">64591023</t>
  </si>
  <si>
    <t xml:space="preserve">Clinical trial - Investigator fees</t>
  </si>
  <si>
    <t xml:space="preserve">64591062</t>
  </si>
  <si>
    <t xml:space="preserve">Patient support materials</t>
  </si>
  <si>
    <t xml:space="preserve">64591075</t>
  </si>
  <si>
    <t xml:space="preserve">Clinical trial - Drugs supplies</t>
  </si>
  <si>
    <t xml:space="preserve">64591076</t>
  </si>
  <si>
    <t xml:space="preserve">Translation fees</t>
  </si>
  <si>
    <t xml:space="preserve">64591078</t>
  </si>
  <si>
    <t xml:space="preserve">External archiving</t>
  </si>
  <si>
    <t xml:space="preserve">64600005</t>
  </si>
  <si>
    <t xml:space="preserve">Commission &amp; brokerage fees 3rd pty</t>
  </si>
  <si>
    <t xml:space="preserve">64600030</t>
  </si>
  <si>
    <t xml:space="preserve">Mail &amp; express delivery</t>
  </si>
  <si>
    <t xml:space="preserve">64600050</t>
  </si>
  <si>
    <t xml:space="preserve">Distribution &amp; external storage costs</t>
  </si>
  <si>
    <t xml:space="preserve">64600060</t>
  </si>
  <si>
    <t xml:space="preserve">Market research</t>
  </si>
  <si>
    <t xml:space="preserve">64600077</t>
  </si>
  <si>
    <t xml:space="preserve">External salesforce</t>
  </si>
  <si>
    <t xml:space="preserve">64600111</t>
  </si>
  <si>
    <t xml:space="preserve">Recruitment costs</t>
  </si>
  <si>
    <t xml:space="preserve">64650047</t>
  </si>
  <si>
    <t xml:space="preserve">Internal event - off site</t>
  </si>
  <si>
    <t xml:space="preserve">64700600</t>
  </si>
  <si>
    <t xml:space="preserve">Software - not capitalized</t>
  </si>
  <si>
    <t xml:space="preserve">64800050</t>
  </si>
  <si>
    <t xml:space="preserve">Regulatory Authority fees</t>
  </si>
  <si>
    <t xml:space="preserve">Registration Fees</t>
  </si>
  <si>
    <t xml:space="preserve">65000000</t>
  </si>
  <si>
    <t xml:space="preserve">Real estate rentals exps</t>
  </si>
  <si>
    <t xml:space="preserve">65000001</t>
  </si>
  <si>
    <t xml:space="preserve">IFRS16 clearing a/c-rental exp-Land and Buildings</t>
  </si>
  <si>
    <t xml:space="preserve">65200000</t>
  </si>
  <si>
    <t xml:space="preserve">Electricity</t>
  </si>
  <si>
    <t xml:space="preserve">65300000</t>
  </si>
  <si>
    <t xml:space="preserve">Telecommunication costs</t>
  </si>
  <si>
    <t xml:space="preserve">65300020</t>
  </si>
  <si>
    <t xml:space="preserve">Mobile telecom costs</t>
  </si>
  <si>
    <t xml:space="preserve">65300050</t>
  </si>
  <si>
    <t xml:space="preserve">Software maintenance</t>
  </si>
  <si>
    <t xml:space="preserve">65300510</t>
  </si>
  <si>
    <t xml:space="preserve">IT equipment not capitalized &amp; supplies</t>
  </si>
  <si>
    <t xml:space="preserve">65550003</t>
  </si>
  <si>
    <t xml:space="preserve">Depreciation - EDP</t>
  </si>
  <si>
    <t xml:space="preserve">65550004</t>
  </si>
  <si>
    <t xml:space="preserve">Depreciation on Furniture/Fittings/Office Equipmet</t>
  </si>
  <si>
    <t xml:space="preserve">65550008</t>
  </si>
  <si>
    <t xml:space="preserve">Depriciation - Leasehold Improvement</t>
  </si>
  <si>
    <t xml:space="preserve">65550012</t>
  </si>
  <si>
    <t xml:space="preserve">Dep.Exp.M&amp;E-Machin&amp;Equip (Auto)</t>
  </si>
  <si>
    <t xml:space="preserve">65600000</t>
  </si>
  <si>
    <t xml:space="preserve">Site &amp; building maintenance</t>
  </si>
  <si>
    <t xml:space="preserve">65600040</t>
  </si>
  <si>
    <t xml:space="preserve">IT equipment maintenance</t>
  </si>
  <si>
    <t xml:space="preserve">65650700</t>
  </si>
  <si>
    <t xml:space="preserve">Car maintenance &amp; Fleet administration</t>
  </si>
  <si>
    <t xml:space="preserve">66000000</t>
  </si>
  <si>
    <t xml:space="preserve">Office equipment supplies</t>
  </si>
  <si>
    <t xml:space="preserve">66000703</t>
  </si>
  <si>
    <t xml:space="preserve">Laboratory Chemicals</t>
  </si>
  <si>
    <t xml:space="preserve">66000004</t>
  </si>
  <si>
    <t xml:space="preserve">Other employee expenses</t>
  </si>
  <si>
    <t xml:space="preserve">66000060</t>
  </si>
  <si>
    <t xml:space="preserve">Journal/ magazines &amp; on line subscription</t>
  </si>
  <si>
    <t xml:space="preserve">66000650</t>
  </si>
  <si>
    <t xml:space="preserve">Printing Services</t>
  </si>
  <si>
    <t xml:space="preserve">66100020</t>
  </si>
  <si>
    <t xml:space="preserve">Insurance - Multirisk &amp; Damage</t>
  </si>
  <si>
    <t xml:space="preserve">66100707</t>
  </si>
  <si>
    <t xml:space="preserve">Ot insurance for employees</t>
  </si>
  <si>
    <t xml:space="preserve">66200700</t>
  </si>
  <si>
    <t xml:space="preserve">Freight costs on sales</t>
  </si>
  <si>
    <t xml:space="preserve">66300005</t>
  </si>
  <si>
    <t xml:space="preserve">Freight primary costs</t>
  </si>
  <si>
    <t xml:space="preserve">Freight Inwards</t>
  </si>
  <si>
    <t xml:space="preserve">66300915</t>
  </si>
  <si>
    <t xml:space="preserve">Duties &amp; Customs</t>
  </si>
  <si>
    <t xml:space="preserve">66500401</t>
  </si>
  <si>
    <t xml:space="preserve">Fringe benefits</t>
  </si>
  <si>
    <t xml:space="preserve">66600000</t>
  </si>
  <si>
    <t xml:space="preserve">Scientific Documentation</t>
  </si>
  <si>
    <t xml:space="preserve">66900000</t>
  </si>
  <si>
    <t xml:space="preserve">Miscellaneous operating expenses</t>
  </si>
  <si>
    <t xml:space="preserve">영업외비용</t>
  </si>
  <si>
    <t xml:space="preserve">66900039</t>
  </si>
  <si>
    <t xml:space="preserve">Healthcare contribution</t>
  </si>
  <si>
    <t xml:space="preserve">Sponsorship</t>
  </si>
  <si>
    <t xml:space="preserve">66900040</t>
  </si>
  <si>
    <t xml:space="preserve">Philanthropic Donations - Tax eligible</t>
  </si>
  <si>
    <t xml:space="preserve">Donations for NGO (non HCP)</t>
  </si>
  <si>
    <t xml:space="preserve">66900044</t>
  </si>
  <si>
    <t xml:space="preserve">Medical contribution</t>
  </si>
  <si>
    <t xml:space="preserve">66900505</t>
  </si>
  <si>
    <t xml:space="preserve">Cleaning expenses</t>
  </si>
  <si>
    <t xml:space="preserve">66900707</t>
  </si>
  <si>
    <t xml:space="preserve">Other expenses - ND</t>
  </si>
  <si>
    <t xml:space="preserve">66900905</t>
  </si>
  <si>
    <t xml:space="preserve">External collaboration outsourcing cost</t>
  </si>
  <si>
    <t xml:space="preserve">67100028</t>
  </si>
  <si>
    <t xml:space="preserve">Off/Ent.QI.Sample TrdGds.</t>
  </si>
  <si>
    <t xml:space="preserve">68011600</t>
  </si>
  <si>
    <t xml:space="preserve">Salaries &amp; Wages Not Taxable</t>
  </si>
  <si>
    <t xml:space="preserve">67100700</t>
  </si>
  <si>
    <t xml:space="preserve">Subcontracting / Ext.Serv.ND</t>
  </si>
  <si>
    <t xml:space="preserve">68014600</t>
  </si>
  <si>
    <t xml:space="preserve">Social security - unemployment</t>
  </si>
  <si>
    <t xml:space="preserve">68015600</t>
  </si>
  <si>
    <t xml:space="preserve">Personnel exps - ND</t>
  </si>
  <si>
    <t xml:space="preserve">68031400</t>
  </si>
  <si>
    <t xml:space="preserve">T&amp;E - Employee Mileage (employee veh.)</t>
  </si>
  <si>
    <t xml:space="preserve">68033200</t>
  </si>
  <si>
    <t xml:space="preserve">Travel agencies fees</t>
  </si>
  <si>
    <t xml:space="preserve">68063200</t>
  </si>
  <si>
    <t xml:space="preserve">Outplacement services</t>
  </si>
  <si>
    <t xml:space="preserve">68075100</t>
  </si>
  <si>
    <t xml:space="preserve">external collaboration insourcing cost</t>
  </si>
  <si>
    <t xml:space="preserve">68132000</t>
  </si>
  <si>
    <t xml:space="preserve">68141100</t>
  </si>
  <si>
    <t xml:space="preserve">Depreciation of Buildings</t>
  </si>
  <si>
    <t xml:space="preserve">68142100</t>
  </si>
  <si>
    <t xml:space="preserve">Depreciation of Furniture</t>
  </si>
  <si>
    <t xml:space="preserve">68142200</t>
  </si>
  <si>
    <t xml:space="preserve">Depreciation of Machinery and Equipment</t>
  </si>
  <si>
    <t xml:space="preserve">68142300</t>
  </si>
  <si>
    <t xml:space="preserve">Depreciation of Office Equipment</t>
  </si>
  <si>
    <t xml:space="preserve">68144000</t>
  </si>
  <si>
    <t xml:space="preserve">Dep.Exp.Land and Build.-Right (Auto)</t>
  </si>
  <si>
    <t xml:space="preserve">68163301</t>
  </si>
  <si>
    <t xml:space="preserve">GMAO spare parts - indirect consumption</t>
  </si>
  <si>
    <t xml:space="preserve">68212100</t>
  </si>
  <si>
    <t xml:space="preserve">Tax-Property &amp; Business taxes</t>
  </si>
  <si>
    <t xml:space="preserve">68212500</t>
  </si>
  <si>
    <t xml:space="preserve">Tax-Others</t>
  </si>
  <si>
    <t xml:space="preserve">68224300</t>
  </si>
  <si>
    <t xml:space="preserve">Packaging design</t>
  </si>
  <si>
    <t xml:space="preserve">68225600</t>
  </si>
  <si>
    <t xml:space="preserve">Educational mail</t>
  </si>
  <si>
    <t xml:space="preserve">68231100</t>
  </si>
  <si>
    <t xml:space="preserve">Commercial Samples</t>
  </si>
  <si>
    <t xml:space="preserve">68231300</t>
  </si>
  <si>
    <t xml:space="preserve">Local Medical Sample</t>
  </si>
  <si>
    <t xml:space="preserve">68261700</t>
  </si>
  <si>
    <t xml:space="preserve">Rebilling  G&amp;A  inc.</t>
  </si>
  <si>
    <t xml:space="preserve">판매 및 일반관리비 대체</t>
  </si>
  <si>
    <t xml:space="preserve">70020150</t>
  </si>
  <si>
    <t xml:space="preserve">Provision for risks on receivables</t>
  </si>
  <si>
    <t xml:space="preserve">70051000</t>
  </si>
  <si>
    <t xml:space="preserve">Prov.for restructuring - Personnel</t>
  </si>
  <si>
    <t xml:space="preserve">FXgain opg.- set - 3rd pty rec.s &amp; pay.</t>
  </si>
  <si>
    <t xml:space="preserve">74110000</t>
  </si>
  <si>
    <t xml:space="preserve">FXlosses opg.-set-3rd pty rec.s&amp;pay.</t>
  </si>
  <si>
    <t xml:space="preserve">74115000</t>
  </si>
  <si>
    <t xml:space="preserve">Foreign Exchange Gain-Unrealized</t>
  </si>
  <si>
    <t xml:space="preserve">74200001</t>
  </si>
  <si>
    <t xml:space="preserve">Miscellaneous operating income</t>
  </si>
  <si>
    <t xml:space="preserve">74250001</t>
  </si>
  <si>
    <t xml:space="preserve">R&amp;D   Clinical studies  ICO  inc.</t>
  </si>
  <si>
    <t xml:space="preserve">74259900</t>
  </si>
  <si>
    <t xml:space="preserve">Other current operating income (Man)</t>
  </si>
  <si>
    <t xml:space="preserve">74260000</t>
  </si>
  <si>
    <t xml:space="preserve">Miscellaneous - Other Expenses</t>
  </si>
  <si>
    <t xml:space="preserve">74260010</t>
  </si>
  <si>
    <t xml:space="preserve">Misc.Exp.Bank Charges - Operations</t>
  </si>
  <si>
    <t xml:space="preserve">74260023</t>
  </si>
  <si>
    <t xml:space="preserve">Global General Services Expenses -ICO</t>
  </si>
  <si>
    <t xml:space="preserve">74260024</t>
  </si>
  <si>
    <t xml:space="preserve">Grants and Market Support Expenses -ICO</t>
  </si>
  <si>
    <t xml:space="preserve">74260026</t>
  </si>
  <si>
    <t xml:space="preserve">Transfer Price Adjustment -Expense -PY</t>
  </si>
  <si>
    <t xml:space="preserve">TP Adj Expense -PY</t>
  </si>
  <si>
    <t xml:space="preserve">74260030</t>
  </si>
  <si>
    <t xml:space="preserve">Expenses related to other partners</t>
  </si>
  <si>
    <t xml:space="preserve">75000850</t>
  </si>
  <si>
    <t xml:space="preserve">Fi.charges-reval.-Credit Lines-int.s</t>
  </si>
  <si>
    <t xml:space="preserve">75001500</t>
  </si>
  <si>
    <t xml:space="preserve">Ints. Costs on Unwinding Disc of LT Asset and Prov</t>
  </si>
  <si>
    <t xml:space="preserve">75250110</t>
  </si>
  <si>
    <t xml:space="preserve">Interest expense on lease liabilities - below BNI</t>
  </si>
  <si>
    <t xml:space="preserve">Interest expense on lease liabilities – below BNI</t>
  </si>
  <si>
    <t xml:space="preserve">75300850</t>
  </si>
  <si>
    <t xml:space="preserve">Fi.inc.- set - Bank accounts - Interests</t>
  </si>
  <si>
    <t xml:space="preserve">75500000</t>
  </si>
  <si>
    <t xml:space="preserve">Other interest income</t>
  </si>
  <si>
    <t xml:space="preserve">77000851</t>
  </si>
  <si>
    <t xml:space="preserve">Gain from sales of investment  ICO</t>
  </si>
  <si>
    <t xml:space="preserve">77900001</t>
  </si>
  <si>
    <t xml:space="preserve">Indirect Tax Expense</t>
  </si>
  <si>
    <t xml:space="preserve">78000000</t>
  </si>
  <si>
    <t xml:space="preserve">Current Income Taxes - WHT 944010</t>
  </si>
  <si>
    <t xml:space="preserve">78000103</t>
  </si>
  <si>
    <t xml:space="preserve">Taxes on gain/losses on disposals of assets</t>
  </si>
  <si>
    <t xml:space="preserve">78000600</t>
  </si>
  <si>
    <t xml:space="preserve">Previous Year Income Taxes</t>
  </si>
  <si>
    <t xml:space="preserve">Current income taxes - previous year. </t>
  </si>
  <si>
    <t xml:space="preserve">78200000</t>
  </si>
  <si>
    <t xml:space="preserve">Deferred income taxes</t>
  </si>
  <si>
    <t xml:space="preserve">79000100</t>
  </si>
  <si>
    <t xml:space="preserve">Other current operating expenses Manual</t>
  </si>
  <si>
    <t xml:space="preserve">75520700</t>
  </si>
  <si>
    <t xml:space="preserve">Net book value - Intangible Fixed Asset disposal</t>
  </si>
  <si>
    <t xml:space="preserve">83142000</t>
  </si>
  <si>
    <t xml:space="preserve">Local PCoA-Accum.Amortis.Licenses</t>
  </si>
  <si>
    <t xml:space="preserve">83201000</t>
  </si>
  <si>
    <t xml:space="preserve">Local PCoA-Allowance on Fin.Goods</t>
  </si>
  <si>
    <t xml:space="preserve">83260000</t>
  </si>
  <si>
    <t xml:space="preserve">Local PCoA-Accrued Income</t>
  </si>
  <si>
    <t xml:space="preserve">84429100</t>
  </si>
  <si>
    <t xml:space="preserve">Local PCoA-Other payable-others</t>
  </si>
  <si>
    <t xml:space="preserve">84429300</t>
  </si>
  <si>
    <t xml:space="preserve">Local PCoA-Accr.Income Taxes Payable</t>
  </si>
  <si>
    <t xml:space="preserve">86100082</t>
  </si>
  <si>
    <t xml:space="preserve">Asset right of use (Manual)</t>
  </si>
  <si>
    <t xml:space="preserve">86100083</t>
  </si>
  <si>
    <t xml:space="preserve">Acc.dep.Asset right of use (Manual)</t>
  </si>
  <si>
    <t xml:space="preserve">86101000</t>
  </si>
  <si>
    <t xml:space="preserve">Buildings</t>
  </si>
  <si>
    <t xml:space="preserve">86101010</t>
  </si>
  <si>
    <t xml:space="preserve">Buildings -Fittings and Facilities-Local Adj</t>
  </si>
  <si>
    <t xml:space="preserve">86102007</t>
  </si>
  <si>
    <t xml:space="preserve">M&amp;E-Machinery and Equipment (Man)</t>
  </si>
  <si>
    <t xml:space="preserve">86104100</t>
  </si>
  <si>
    <t xml:space="preserve">A Oth.FA-Fu.fix.Off Eq (Man)</t>
  </si>
  <si>
    <t xml:space="preserve">86111000</t>
  </si>
  <si>
    <t xml:space="preserve">Accumulated Depreciation-Buildings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</si>
  <si>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건물</t>
    </r>
  </si>
  <si>
    <t xml:space="preserve">86111010</t>
  </si>
  <si>
    <t xml:space="preserve">Depreciation Buildings -Fittings &amp; Facilities-Loca</t>
  </si>
  <si>
    <t xml:space="preserve">86111500</t>
  </si>
  <si>
    <t xml:space="preserve">Acc.dep.Oth.FA-Fu.fix.Off Eq (Man)</t>
  </si>
  <si>
    <t xml:space="preserve">86112007</t>
  </si>
  <si>
    <t xml:space="preserve">Acc.dep.M&amp;E-Techn.Facilities (Man)</t>
  </si>
  <si>
    <t xml:space="preserve">86150001</t>
  </si>
  <si>
    <t xml:space="preserve">Investments in Subsidiaries-Local Adj</t>
  </si>
  <si>
    <t xml:space="preserve">Investments in Subsidiaries</t>
  </si>
  <si>
    <t xml:space="preserve">86158008</t>
  </si>
  <si>
    <t xml:space="preserve">SPPI amortized cost-NC-all but collateral given-L</t>
  </si>
  <si>
    <t xml:space="preserve">DO NOT USE-Investment - membership</t>
  </si>
  <si>
    <t xml:space="preserve">86159000</t>
  </si>
  <si>
    <t xml:space="preserve">SPPI FV(Variatn fr HV)noncurr-all but coll given-L</t>
  </si>
  <si>
    <t xml:space="preserve">Capital changes of equtiy method</t>
  </si>
  <si>
    <t xml:space="preserve">86200800</t>
  </si>
  <si>
    <t xml:space="preserve">Long-term lease liability</t>
  </si>
  <si>
    <t xml:space="preserve">86240007</t>
  </si>
  <si>
    <t xml:space="preserve">AR Trade 3rd Party Short Term -Manual-Local Adj</t>
  </si>
  <si>
    <t xml:space="preserve">86260000</t>
  </si>
  <si>
    <t xml:space="preserve">Other receivable- Local adj</t>
  </si>
  <si>
    <t xml:space="preserve">86260008</t>
  </si>
  <si>
    <t xml:space="preserve">Payroll deductions-Local Adj</t>
  </si>
  <si>
    <t xml:space="preserve">86260033</t>
  </si>
  <si>
    <t xml:space="preserve">Other partners relationship - Assets-Local Adj</t>
  </si>
  <si>
    <t xml:space="preserve">86265300</t>
  </si>
  <si>
    <t xml:space="preserve">Local Input VAT Standard -Goods-Local Adj</t>
  </si>
  <si>
    <t xml:space="preserve">86266003</t>
  </si>
  <si>
    <t xml:space="preserve">Local -Income Tax Receivable -Current Year -Fed</t>
  </si>
  <si>
    <t xml:space="preserve">86266554</t>
  </si>
  <si>
    <t xml:space="preserve">Local VAT Refund asked-Local Adj</t>
  </si>
  <si>
    <t xml:space="preserve">86291000</t>
  </si>
  <si>
    <t xml:space="preserve">Local Adjust -Deferred Tax Asset -Gross -Manual</t>
  </si>
  <si>
    <t xml:space="preserve">86291502</t>
  </si>
  <si>
    <t xml:space="preserve">Local Adjust-Deferred Tax Asse -Gross-Manual &lt;12M</t>
  </si>
  <si>
    <t xml:space="preserve">86300001</t>
  </si>
  <si>
    <t xml:space="preserve">Share premium- Local</t>
  </si>
  <si>
    <t xml:space="preserve">86310000</t>
  </si>
  <si>
    <t xml:space="preserve">Capital contribution premium-LocalAdj</t>
  </si>
  <si>
    <t xml:space="preserve">86322000</t>
  </si>
  <si>
    <t xml:space="preserve">Retained Earnings</t>
  </si>
  <si>
    <t xml:space="preserve">Retained earnings B/Balance</t>
  </si>
  <si>
    <t xml:space="preserve">86322100</t>
  </si>
  <si>
    <t xml:space="preserve">Tax on Pensions-Actuarial Gains &amp; Losses (Local)</t>
  </si>
  <si>
    <t xml:space="preserve">86329000</t>
  </si>
  <si>
    <t xml:space="preserve">Pensions -  Actuarial  gain &amp; losses (Local)</t>
  </si>
  <si>
    <t xml:space="preserve">86424000</t>
  </si>
  <si>
    <t xml:space="preserve">Liabilities from Payroll Due to Employees-LocalAdj</t>
  </si>
  <si>
    <t xml:space="preserve">86424001</t>
  </si>
  <si>
    <t xml:space="preserve">Employees Other Payroll Liabilities-Local adj</t>
  </si>
  <si>
    <t xml:space="preserve">86429100</t>
  </si>
  <si>
    <t xml:space="preserve">Other payable-others</t>
  </si>
  <si>
    <t xml:space="preserve">86429108</t>
  </si>
  <si>
    <t xml:space="preserve">Commercial Incentives -Provision-Local Adj</t>
  </si>
  <si>
    <t xml:space="preserve">86429208</t>
  </si>
  <si>
    <t xml:space="preserve">Local Output VAT Standard (Goods) -Manual</t>
  </si>
  <si>
    <t xml:space="preserve">86429307</t>
  </si>
  <si>
    <t xml:space="preserve">Local Adj Income Tax Payable -Current Year -Fed</t>
  </si>
  <si>
    <t xml:space="preserve">86429700</t>
  </si>
  <si>
    <t xml:space="preserve">Local -Deferred Tax Liability</t>
  </si>
  <si>
    <t xml:space="preserve">Def.Tax Liab (due &gt;1 year) - If Net Ass</t>
  </si>
  <si>
    <t xml:space="preserve">86429901</t>
  </si>
  <si>
    <t xml:space="preserve">Sundry accrued liabilities- Local adj</t>
  </si>
  <si>
    <t xml:space="preserve">86911100</t>
  </si>
  <si>
    <t xml:space="preserve">86911101</t>
  </si>
  <si>
    <t xml:space="preserve">95532200</t>
  </si>
  <si>
    <t xml:space="preserve">Retained earnings Local GAAP</t>
  </si>
  <si>
    <t xml:space="preserve">86000000</t>
  </si>
  <si>
    <t xml:space="preserve">Current Income Taxes</t>
  </si>
  <si>
    <t xml:space="preserve">86000001</t>
  </si>
  <si>
    <t xml:space="preserve">Deferred income taxes- Local adj</t>
  </si>
  <si>
    <t xml:space="preserve">Local PCoA-Deferred Income Taxes</t>
  </si>
  <si>
    <t xml:space="preserve">86000004</t>
  </si>
  <si>
    <t xml:space="preserve">Other employee expenses-Local Adj</t>
  </si>
  <si>
    <t xml:space="preserve">Transport costs reimbursed to employee</t>
  </si>
  <si>
    <t xml:space="preserve">86000006</t>
  </si>
  <si>
    <t xml:space="preserve">Travel expenses-Local Adj</t>
  </si>
  <si>
    <t xml:space="preserve">86000300</t>
  </si>
  <si>
    <t xml:space="preserve">Salaries &amp; wages-Local Adj</t>
  </si>
  <si>
    <t xml:space="preserve">86000400</t>
  </si>
  <si>
    <t xml:space="preserve">Training to employees-Local Adj</t>
  </si>
  <si>
    <t xml:space="preserve">86000800</t>
  </si>
  <si>
    <t xml:space="preserve">Cost Of Goods Sold- Local adj</t>
  </si>
  <si>
    <t xml:space="preserve">86030002</t>
  </si>
  <si>
    <t xml:space="preserve">Non operating expenses</t>
  </si>
  <si>
    <t xml:space="preserve">86073501</t>
  </si>
  <si>
    <t xml:space="preserve">Local PCoA-Clinical Trial - other costs</t>
  </si>
  <si>
    <t xml:space="preserve">86100747</t>
  </si>
  <si>
    <t xml:space="preserve">Pension cost - Defined contribution Plan-Local Adj</t>
  </si>
  <si>
    <t xml:space="preserve">86100925</t>
  </si>
  <si>
    <t xml:space="preserve">Social security on Salaries &amp; wages-Local Adj</t>
  </si>
  <si>
    <t xml:space="preserve">86132000</t>
  </si>
  <si>
    <t xml:space="preserve">IFRS16 rental expenses-Asset right of use</t>
  </si>
  <si>
    <t xml:space="preserve">86144000</t>
  </si>
  <si>
    <t xml:space="preserve">Dep.Asset right of use (Manual)</t>
  </si>
  <si>
    <t xml:space="preserve">86150000</t>
  </si>
  <si>
    <t xml:space="preserve">Exp ICO-set  Loans&amp; borrowings-Interests-Local Adj</t>
  </si>
  <si>
    <t xml:space="preserve">86200001</t>
  </si>
  <si>
    <t xml:space="preserve">Equity method gains</t>
  </si>
  <si>
    <t xml:space="preserve">86200400</t>
  </si>
  <si>
    <t xml:space="preserve">Non operating income</t>
  </si>
  <si>
    <t xml:space="preserve">Miscellaneous income</t>
  </si>
  <si>
    <t xml:space="preserve">86200702</t>
  </si>
  <si>
    <t xml:space="preserve">Selling expenses- Local Adj</t>
  </si>
  <si>
    <t xml:space="preserve">86250030</t>
  </si>
  <si>
    <t xml:space="preserve">Intercompany fees- Minor Expenses- local adj</t>
  </si>
  <si>
    <t xml:space="preserve">86250110</t>
  </si>
  <si>
    <t xml:space="preserve">Interest Expense on lease liabilities</t>
  </si>
  <si>
    <t xml:space="preserve">86260023</t>
  </si>
  <si>
    <t xml:space="preserve">Intercompany fees- Major Expenses</t>
  </si>
  <si>
    <t xml:space="preserve">86260025</t>
  </si>
  <si>
    <t xml:space="preserve">Transfer Price Adjustment -Expense</t>
  </si>
  <si>
    <t xml:space="preserve">86290000</t>
  </si>
  <si>
    <t xml:space="preserve">Other Fees-Local Adj</t>
  </si>
  <si>
    <t xml:space="preserve">86290150</t>
  </si>
  <si>
    <t xml:space="preserve">Solicitors/lawyers &amp; legal fees-Local Adj</t>
  </si>
  <si>
    <t xml:space="preserve">86300510</t>
  </si>
  <si>
    <t xml:space="preserve">IT equipment not capitalized &amp; supplies-Loc Adj</t>
  </si>
  <si>
    <t xml:space="preserve">86300850</t>
  </si>
  <si>
    <t xml:space="preserve">Fi.inc.- set - Bank accounts - Interests-Local Adj</t>
  </si>
  <si>
    <t xml:space="preserve">86400910</t>
  </si>
  <si>
    <t xml:space="preserve">Incentive Compensation &amp; bonuses paid-Local Adj</t>
  </si>
  <si>
    <t xml:space="preserve">86514001</t>
  </si>
  <si>
    <t xml:space="preserve">Promotional materials-Local Adj</t>
  </si>
  <si>
    <t xml:space="preserve">86590050</t>
  </si>
  <si>
    <t xml:space="preserve">Subscriptions fees to professional organiz-Loc Adj</t>
  </si>
  <si>
    <t xml:space="preserve">86591013</t>
  </si>
  <si>
    <t xml:space="preserve">External events (meetings,congress,symposium)-Loc</t>
  </si>
  <si>
    <t xml:space="preserve">86600000</t>
  </si>
  <si>
    <t xml:space="preserve">Site &amp; building maintenance-Local Adj</t>
  </si>
  <si>
    <t xml:space="preserve">86900000</t>
  </si>
  <si>
    <t xml:space="preserve">87530008</t>
  </si>
  <si>
    <t xml:space="preserve">Local PCOA-Revaluation-Merchadise</t>
  </si>
  <si>
    <t xml:space="preserve">89710500</t>
  </si>
  <si>
    <t xml:space="preserve">Local PCoA-Amortis.Intangible Assets</t>
  </si>
  <si>
    <t xml:space="preserve">89782000</t>
  </si>
  <si>
    <t xml:space="preserve">반품충당금비유동</t>
  </si>
  <si>
    <r>
      <rPr>
        <sz val="10"/>
        <rFont val="WenQuanYi Zen Hei"/>
        <family val="2"/>
      </rPr>
      <t xml:space="preserve">반품충당금</t>
    </r>
    <r>
      <rPr>
        <sz val="10"/>
        <rFont val="맑은 고딕"/>
        <family val="2"/>
        <charset val="1"/>
      </rPr>
      <t xml:space="preserve">(</t>
    </r>
    <r>
      <rPr>
        <sz val="10"/>
        <rFont val="WenQuanYi Zen Hei"/>
        <family val="2"/>
      </rPr>
      <t xml:space="preserve">비유동</t>
    </r>
    <r>
      <rPr>
        <sz val="10"/>
        <rFont val="맑은 고딕"/>
        <family val="2"/>
        <charset val="1"/>
      </rPr>
      <t xml:space="preserve">) - statutory reclass </t>
    </r>
    <r>
      <rPr>
        <sz val="10"/>
        <rFont val="WenQuanYi Zen Hei"/>
        <family val="2"/>
      </rPr>
      <t xml:space="preserve">가상계정</t>
    </r>
  </si>
  <si>
    <t xml:space="preserve">Provision for sales return (Non-current)</t>
  </si>
  <si>
    <t xml:space="preserve">manual (statutory adj #3)</t>
  </si>
  <si>
    <t xml:space="preserve">Total</t>
  </si>
  <si>
    <r>
      <rPr>
        <sz val="10"/>
        <rFont val="맑은 고딕"/>
        <family val="2"/>
        <charset val="1"/>
      </rPr>
      <t xml:space="preserve">check: </t>
    </r>
    <r>
      <rPr>
        <sz val="10"/>
        <rFont val="WenQuanYi Zen Hei"/>
        <family val="2"/>
      </rPr>
      <t xml:space="preserve">조정분개 반영대상 합계</t>
    </r>
    <r>
      <rPr>
        <sz val="10"/>
        <rFont val="맑은 고딕"/>
        <family val="2"/>
        <charset val="1"/>
      </rPr>
      <t xml:space="preserve">(S</t>
    </r>
    <r>
      <rPr>
        <sz val="10"/>
        <rFont val="WenQuanYi Zen Hei"/>
        <family val="2"/>
      </rPr>
      <t xml:space="preserve">열 연결분</t>
    </r>
    <r>
      <rPr>
        <sz val="10"/>
        <rFont val="맑은 고딕"/>
        <family val="2"/>
        <charset val="1"/>
      </rPr>
      <t xml:space="preserve">)</t>
    </r>
  </si>
  <si>
    <r>
      <rPr>
        <sz val="10"/>
        <rFont val="맑은 고딕"/>
        <family val="2"/>
        <charset val="1"/>
      </rPr>
      <t xml:space="preserve">check: </t>
    </r>
    <r>
      <rPr>
        <sz val="10"/>
        <rFont val="WenQuanYi Zen Hei"/>
        <family val="2"/>
      </rPr>
      <t xml:space="preserve">조정분개 전체 합계 대비</t>
    </r>
    <r>
      <rPr>
        <sz val="10"/>
        <rFont val="맑은 고딕"/>
        <family val="2"/>
        <charset val="1"/>
      </rPr>
      <t xml:space="preserve">(</t>
    </r>
    <r>
      <rPr>
        <sz val="10"/>
        <rFont val="WenQuanYi Zen Hei"/>
        <family val="2"/>
      </rPr>
      <t xml:space="preserve">부가세 </t>
    </r>
    <r>
      <rPr>
        <sz val="10"/>
        <rFont val="맑은 고딕"/>
        <family val="2"/>
        <charset val="1"/>
      </rPr>
      <t xml:space="preserve">9</t>
    </r>
    <r>
      <rPr>
        <sz val="10"/>
        <rFont val="WenQuanYi Zen Hei"/>
        <family val="2"/>
      </rPr>
      <t xml:space="preserve">원 미반영분</t>
    </r>
    <r>
      <rPr>
        <sz val="10"/>
        <rFont val="맑은 고딕"/>
        <family val="2"/>
        <charset val="1"/>
      </rPr>
      <t xml:space="preserve">)</t>
    </r>
  </si>
  <si>
    <t xml:space="preserve">매핑차이 건수</t>
  </si>
  <si>
    <r>
      <rPr>
        <sz val="10"/>
        <rFont val="WenQuanYi Zen Hei"/>
        <family val="2"/>
      </rPr>
      <t xml:space="preserve">가계정</t>
    </r>
    <r>
      <rPr>
        <sz val="10"/>
        <rFont val="맑은 고딕"/>
        <family val="2"/>
        <charset val="1"/>
      </rPr>
      <t xml:space="preserve">(GR/IR) </t>
    </r>
    <r>
      <rPr>
        <sz val="10"/>
        <rFont val="WenQuanYi Zen Hei"/>
        <family val="2"/>
      </rPr>
      <t xml:space="preserve">잔액 – </t>
    </r>
    <r>
      <rPr>
        <sz val="10"/>
        <rFont val="맑은 고딕"/>
        <family val="2"/>
        <charset val="1"/>
      </rPr>
      <t xml:space="preserve">0</t>
    </r>
    <r>
      <rPr>
        <sz val="10"/>
        <rFont val="WenQuanYi Zen Hei"/>
        <family val="2"/>
      </rPr>
      <t xml:space="preserve">이어야 함</t>
    </r>
  </si>
  <si>
    <r>
      <rPr>
        <sz val="10"/>
        <rFont val="맑은 고딕"/>
        <family val="2"/>
        <charset val="1"/>
      </rPr>
      <t xml:space="preserve">BS_KO/P&amp;L_KO </t>
    </r>
    <r>
      <rPr>
        <sz val="10"/>
        <rFont val="WenQuanYi Zen Hei"/>
        <family val="2"/>
      </rPr>
      <t xml:space="preserve">미집계 </t>
    </r>
    <r>
      <rPr>
        <sz val="10"/>
        <rFont val="맑은 고딕"/>
        <family val="2"/>
        <charset val="1"/>
      </rPr>
      <t xml:space="preserve">FS</t>
    </r>
    <r>
      <rPr>
        <sz val="10"/>
        <rFont val="WenQuanYi Zen Hei"/>
        <family val="2"/>
      </rPr>
      <t xml:space="preserve">과목 건수 – </t>
    </r>
    <r>
      <rPr>
        <sz val="10"/>
        <rFont val="맑은 고딕"/>
        <family val="2"/>
        <charset val="1"/>
      </rPr>
      <t xml:space="preserve">0</t>
    </r>
    <r>
      <rPr>
        <sz val="10"/>
        <rFont val="WenQuanYi Zen Hei"/>
        <family val="2"/>
      </rPr>
      <t xml:space="preserve">이어야 함</t>
    </r>
  </si>
  <si>
    <t xml:space="preserve">계정대체</t>
  </si>
  <si>
    <t xml:space="preserve">Summary of Statutory adjustment (2026)</t>
  </si>
  <si>
    <r>
      <rPr>
        <sz val="10"/>
        <rFont val="Arial Narrow"/>
        <family val="2"/>
        <charset val="1"/>
      </rPr>
      <t xml:space="preserve">- </t>
    </r>
    <r>
      <rPr>
        <sz val="10"/>
        <rFont val="WenQuanYi Zen Hei"/>
        <family val="2"/>
      </rPr>
      <t xml:space="preserve">이익 </t>
    </r>
    <r>
      <rPr>
        <sz val="10"/>
        <rFont val="Arial Narrow"/>
        <family val="2"/>
        <charset val="1"/>
      </rPr>
      <t xml:space="preserve">/ + </t>
    </r>
    <r>
      <rPr>
        <sz val="10"/>
        <rFont val="WenQuanYi Zen Hei"/>
        <family val="2"/>
      </rPr>
      <t xml:space="preserve">손실</t>
    </r>
  </si>
  <si>
    <t xml:space="preserve">Current year effect adjustment - NOT BOOKED</t>
  </si>
  <si>
    <t xml:space="preserve">P16 ADJ</t>
  </si>
  <si>
    <t xml:space="preserve">SAP BOOKED? 2025.16</t>
  </si>
  <si>
    <t xml:space="preserve">Reversal</t>
  </si>
  <si>
    <t xml:space="preserve">BSPL</t>
  </si>
  <si>
    <t xml:space="preserve">GL account</t>
  </si>
  <si>
    <t xml:space="preserve">DR</t>
  </si>
  <si>
    <t xml:space="preserve">CR</t>
  </si>
  <si>
    <t xml:space="preserve">Asset</t>
  </si>
  <si>
    <t xml:space="preserve">Liability</t>
  </si>
  <si>
    <t xml:space="preserve">Equity</t>
  </si>
  <si>
    <t xml:space="preserve">P&amp;L</t>
  </si>
  <si>
    <r>
      <rPr>
        <b val="true"/>
        <sz val="10"/>
        <rFont val="맑은 고딕"/>
        <family val="0"/>
        <charset val="1"/>
      </rPr>
      <t xml:space="preserve">FS_map </t>
    </r>
    <r>
      <rPr>
        <b val="true"/>
        <sz val="10"/>
        <rFont val="WenQuanYi Zen Hei"/>
        <family val="2"/>
      </rPr>
      <t xml:space="preserve">연결 </t>
    </r>
    <r>
      <rPr>
        <b val="true"/>
        <sz val="10"/>
        <rFont val="맑은 고딕"/>
        <family val="0"/>
        <charset val="1"/>
      </rPr>
      <t xml:space="preserve">GL</t>
    </r>
  </si>
  <si>
    <r>
      <rPr>
        <b val="true"/>
        <sz val="10"/>
        <rFont val="WenQuanYi Zen Hei"/>
        <family val="2"/>
      </rPr>
      <t xml:space="preserve">비고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정산표 반영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</si>
  <si>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8"/>
        <rFont val="Arial Narrow"/>
        <family val="2"/>
        <charset val="1"/>
      </rPr>
      <t xml:space="preserve">GL reclassification (</t>
    </r>
    <r>
      <rPr>
        <sz val="8"/>
        <rFont val="WenQuanYi Zen Hei"/>
        <family val="2"/>
      </rPr>
      <t xml:space="preserve">보증금 중 회원권 구분 대체</t>
    </r>
    <r>
      <rPr>
        <sz val="8"/>
        <rFont val="Arial Narrow"/>
        <family val="2"/>
        <charset val="1"/>
      </rPr>
      <t xml:space="preserve">)</t>
    </r>
  </si>
  <si>
    <t xml:space="preserve">기타투자자산</t>
  </si>
  <si>
    <r>
      <rPr>
        <sz val="11"/>
        <color theme="1"/>
        <rFont val="맑은 고딕"/>
        <family val="2"/>
        <charset val="129"/>
      </rPr>
      <t xml:space="preserve">SAP GL 15800870 </t>
    </r>
    <r>
      <rPr>
        <sz val="11"/>
        <color theme="1"/>
        <rFont val="WenQuanYi Zen Hei"/>
        <family val="2"/>
      </rPr>
      <t xml:space="preserve">미존재 → </t>
    </r>
    <r>
      <rPr>
        <sz val="11"/>
        <color theme="1"/>
        <rFont val="맑은 고딕"/>
        <family val="2"/>
        <charset val="129"/>
      </rPr>
      <t xml:space="preserve">P16 GL 86158008(</t>
    </r>
    <r>
      <rPr>
        <sz val="11"/>
        <color theme="1"/>
        <rFont val="WenQuanYi Zen Hei"/>
        <family val="2"/>
      </rPr>
      <t xml:space="preserve">기타의 투자자산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사용</t>
    </r>
  </si>
  <si>
    <r>
      <rPr>
        <sz val="8"/>
        <rFont val="Arial Narrow"/>
        <family val="2"/>
        <charset val="1"/>
      </rPr>
      <t xml:space="preserve">GL reclassification (CRU rebilling </t>
    </r>
    <r>
      <rPr>
        <sz val="8"/>
        <rFont val="WenQuanYi Zen Hei"/>
        <family val="2"/>
      </rPr>
      <t xml:space="preserve">비용차감대체</t>
    </r>
    <r>
      <rPr>
        <sz val="8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</si>
  <si>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반품충당금  유동</t>
    </r>
    <r>
      <rPr>
        <sz val="8"/>
        <color theme="1"/>
        <rFont val="Arial Narrow"/>
        <family val="2"/>
        <charset val="1"/>
      </rPr>
      <t xml:space="preserve">-&gt;</t>
    </r>
    <r>
      <rPr>
        <sz val="8"/>
        <color theme="1"/>
        <rFont val="WenQuanYi Zen Hei"/>
        <family val="2"/>
      </rPr>
      <t xml:space="preserve">비 유동대체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</si>
  <si>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FS_map </t>
    </r>
    <r>
      <rPr>
        <sz val="11"/>
        <color theme="1"/>
        <rFont val="WenQuanYi Zen Hei"/>
        <family val="2"/>
      </rPr>
      <t xml:space="preserve">가상계정 </t>
    </r>
    <r>
      <rPr>
        <sz val="11"/>
        <color theme="1"/>
        <rFont val="맑은 고딕"/>
        <family val="2"/>
        <charset val="129"/>
      </rPr>
      <t xml:space="preserve">"</t>
    </r>
    <r>
      <rPr>
        <sz val="11"/>
        <color theme="1"/>
        <rFont val="WenQuanYi Zen Hei"/>
        <family val="2"/>
      </rPr>
      <t xml:space="preserve">반품충당금비유동</t>
    </r>
    <r>
      <rPr>
        <sz val="11"/>
        <color theme="1"/>
        <rFont val="맑은 고딕"/>
        <family val="2"/>
        <charset val="129"/>
      </rPr>
      <t xml:space="preserve">" </t>
    </r>
    <r>
      <rPr>
        <sz val="11"/>
        <color theme="1"/>
        <rFont val="WenQuanYi Zen Hei"/>
        <family val="2"/>
      </rPr>
      <t xml:space="preserve">사용</t>
    </r>
  </si>
  <si>
    <r>
      <rPr>
        <sz val="8"/>
        <color theme="1"/>
        <rFont val="Arial Narrow"/>
        <family val="2"/>
        <charset val="1"/>
      </rPr>
      <t xml:space="preserve">GL reclass GTN </t>
    </r>
    <r>
      <rPr>
        <sz val="8"/>
        <color theme="1"/>
        <rFont val="WenQuanYi Zen Hei"/>
        <family val="2"/>
      </rPr>
      <t xml:space="preserve">미지급비용 부채계상에서 매출채권에서 직접차감</t>
    </r>
  </si>
  <si>
    <r>
      <rPr>
        <sz val="8"/>
        <color theme="1"/>
        <rFont val="WenQuanYi Zen Hei"/>
        <family val="2"/>
      </rPr>
      <t xml:space="preserve">미지급비용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미지급에누리</t>
    </r>
  </si>
  <si>
    <r>
      <rPr>
        <sz val="8"/>
        <color theme="1"/>
        <rFont val="WenQuanYi Zen Hei"/>
        <family val="2"/>
      </rPr>
      <t xml:space="preserve">외상매출금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내수일반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</si>
  <si>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국민연금전환금 미수금 → 선급금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</si>
  <si>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Calibri"/>
        <family val="3"/>
        <charset val="129"/>
      </rPr>
      <t xml:space="preserve">GL reclassification (</t>
    </r>
    <r>
      <rPr>
        <sz val="8"/>
        <color theme="1"/>
        <rFont val="WenQuanYi Zen Hei"/>
        <family val="2"/>
      </rPr>
      <t xml:space="preserve">기계장치 → 공기구비품</t>
    </r>
    <r>
      <rPr>
        <sz val="8"/>
        <color theme="1"/>
        <rFont val="Calibri"/>
        <family val="3"/>
        <charset val="129"/>
      </rPr>
      <t xml:space="preserve">_</t>
    </r>
    <r>
      <rPr>
        <sz val="8"/>
        <color theme="1"/>
        <rFont val="WenQuanYi Zen Hei"/>
        <family val="2"/>
      </rPr>
      <t xml:space="preserve">집기비품 대체</t>
    </r>
    <r>
      <rPr>
        <sz val="8"/>
        <color theme="1"/>
        <rFont val="Calibri"/>
        <family val="3"/>
        <charset val="129"/>
      </rPr>
      <t xml:space="preserve">)</t>
    </r>
  </si>
  <si>
    <r>
      <rPr>
        <sz val="8"/>
        <color theme="1"/>
        <rFont val="WenQuanYi Zen Hei"/>
        <family val="2"/>
      </rPr>
      <t xml:space="preserve">감가상각누계액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기계장치</t>
    </r>
  </si>
  <si>
    <r>
      <rPr>
        <sz val="8"/>
        <color theme="1"/>
        <rFont val="WenQuanYi Zen Hei"/>
        <family val="2"/>
      </rPr>
      <t xml:space="preserve">감가상각누계액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공구와기구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</si>
  <si>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미지급비용 → 예수금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</si>
  <si>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social security liab - </t>
    </r>
    <r>
      <rPr>
        <sz val="8"/>
        <color theme="1"/>
        <rFont val="WenQuanYi Zen Hei"/>
        <family val="2"/>
      </rPr>
      <t xml:space="preserve">그룹리포팅과 </t>
    </r>
    <r>
      <rPr>
        <sz val="8"/>
        <color theme="1"/>
        <rFont val="Arial Narrow"/>
        <family val="2"/>
        <charset val="1"/>
      </rPr>
      <t xml:space="preserve">SAP </t>
    </r>
    <r>
      <rPr>
        <sz val="8"/>
        <color theme="1"/>
        <rFont val="WenQuanYi Zen Hei"/>
        <family val="2"/>
      </rPr>
      <t xml:space="preserve">매핑차이로 인한 월말 </t>
    </r>
    <r>
      <rPr>
        <sz val="8"/>
        <color theme="1"/>
        <rFont val="Arial Narrow"/>
        <family val="2"/>
        <charset val="1"/>
      </rPr>
      <t xml:space="preserve">reclass</t>
    </r>
  </si>
  <si>
    <t xml:space="preserve">BOOKED P16</t>
  </si>
  <si>
    <r>
      <rPr>
        <sz val="8"/>
        <color theme="1"/>
        <rFont val="Arial Narrow"/>
        <family val="2"/>
        <charset val="1"/>
      </rPr>
      <t xml:space="preserve">205</t>
    </r>
    <r>
      <rPr>
        <sz val="8"/>
        <color theme="1"/>
        <rFont val="WenQuanYi Zen Hei"/>
        <family val="2"/>
      </rPr>
      <t xml:space="preserve">년 </t>
    </r>
    <r>
      <rPr>
        <sz val="8"/>
        <color theme="1"/>
        <rFont val="Arial Narrow"/>
        <family val="2"/>
        <charset val="1"/>
      </rPr>
      <t xml:space="preserve">CRU rebilling True-up (2</t>
    </r>
    <r>
      <rPr>
        <sz val="8"/>
        <color theme="1"/>
        <rFont val="WenQuanYi Zen Hei"/>
        <family val="2"/>
      </rPr>
      <t xml:space="preserve">월에 확정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</si>
  <si>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25</t>
    </r>
    <r>
      <rPr>
        <sz val="8"/>
        <color theme="1"/>
        <rFont val="WenQuanYi Zen Hei"/>
        <family val="2"/>
      </rPr>
      <t xml:space="preserve">년 </t>
    </r>
    <r>
      <rPr>
        <sz val="8"/>
        <color theme="1"/>
        <rFont val="Arial Narrow"/>
        <family val="2"/>
        <charset val="1"/>
      </rPr>
      <t xml:space="preserve">TP Adjustment (2</t>
    </r>
    <r>
      <rPr>
        <sz val="8"/>
        <color theme="1"/>
        <rFont val="WenQuanYi Zen Hei"/>
        <family val="2"/>
      </rPr>
      <t xml:space="preserve">월 확정 금액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</si>
  <si>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2025.12 invoice/credit </t>
    </r>
    <r>
      <rPr>
        <sz val="8"/>
        <color theme="1"/>
        <rFont val="WenQuanYi Zen Hei"/>
        <family val="2"/>
      </rPr>
      <t xml:space="preserve">홀딩됨</t>
    </r>
  </si>
  <si>
    <r>
      <rPr>
        <sz val="8"/>
        <color theme="1"/>
        <rFont val="Arial Narrow"/>
        <family val="2"/>
        <charset val="1"/>
      </rPr>
      <t xml:space="preserve">Statutory: </t>
    </r>
    <r>
      <rPr>
        <sz val="8"/>
        <color theme="1"/>
        <rFont val="WenQuanYi Zen Hei"/>
        <family val="2"/>
      </rPr>
      <t xml:space="preserve">매출원가로 인식</t>
    </r>
  </si>
  <si>
    <r>
      <rPr>
        <sz val="8"/>
        <color theme="1"/>
        <rFont val="Arial Narrow"/>
        <family val="2"/>
        <charset val="1"/>
      </rPr>
      <t xml:space="preserve">Internal: </t>
    </r>
    <r>
      <rPr>
        <sz val="8"/>
        <color theme="1"/>
        <rFont val="WenQuanYi Zen Hei"/>
        <family val="2"/>
      </rPr>
      <t xml:space="preserve">잡손실</t>
    </r>
    <r>
      <rPr>
        <sz val="8"/>
        <color theme="1"/>
        <rFont val="Arial Narrow"/>
        <family val="2"/>
        <charset val="1"/>
      </rPr>
      <t xml:space="preserve">/</t>
    </r>
    <r>
      <rPr>
        <sz val="8"/>
        <color theme="1"/>
        <rFont val="WenQuanYi Zen Hei"/>
        <family val="2"/>
      </rPr>
      <t xml:space="preserve">잡이익</t>
    </r>
  </si>
  <si>
    <r>
      <rPr>
        <sz val="8"/>
        <color theme="1"/>
        <rFont val="맑은 고딕"/>
        <family val="2"/>
        <charset val="129"/>
      </rPr>
      <t xml:space="preserve">GL reclassficiation_</t>
    </r>
    <r>
      <rPr>
        <sz val="8"/>
        <color theme="1"/>
        <rFont val="WenQuanYi Zen Hei"/>
        <family val="2"/>
      </rPr>
      <t xml:space="preserve">부가세미수금 잔액 오류 수정</t>
    </r>
  </si>
  <si>
    <r>
      <rPr>
        <sz val="11"/>
        <color theme="1"/>
        <rFont val="WenQuanYi Zen Hei"/>
        <family val="2"/>
      </rPr>
      <t xml:space="preserve">회사 </t>
    </r>
    <r>
      <rPr>
        <sz val="11"/>
        <color theme="1"/>
        <rFont val="맑은 고딕"/>
        <family val="2"/>
        <charset val="129"/>
      </rPr>
      <t xml:space="preserve">BS_DEC 2026 </t>
    </r>
    <r>
      <rPr>
        <sz val="11"/>
        <color theme="1"/>
        <rFont val="WenQuanYi Zen Hei"/>
        <family val="2"/>
      </rPr>
      <t xml:space="preserve">미반영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당기 </t>
    </r>
    <r>
      <rPr>
        <sz val="11"/>
        <color theme="1"/>
        <rFont val="맑은 고딕"/>
        <family val="2"/>
        <charset val="129"/>
      </rPr>
      <t xml:space="preserve">SAP</t>
    </r>
    <r>
      <rPr>
        <sz val="11"/>
        <color theme="1"/>
        <rFont val="WenQuanYi Zen Hei"/>
        <family val="2"/>
      </rPr>
      <t xml:space="preserve">잔액 </t>
    </r>
    <r>
      <rPr>
        <sz val="11"/>
        <color theme="1"/>
        <rFont val="맑은 고딕"/>
        <family val="2"/>
        <charset val="129"/>
      </rPr>
      <t xml:space="preserve">0) → </t>
    </r>
    <r>
      <rPr>
        <sz val="11"/>
        <color theme="1"/>
        <rFont val="WenQuanYi Zen Hei"/>
        <family val="2"/>
      </rPr>
      <t xml:space="preserve">정산표 미반영</t>
    </r>
  </si>
  <si>
    <r>
      <rPr>
        <sz val="8"/>
        <color theme="1"/>
        <rFont val="Arial Narrow"/>
        <family val="2"/>
        <charset val="1"/>
      </rPr>
      <t xml:space="preserve">GL reclassification_OHK </t>
    </r>
    <r>
      <rPr>
        <sz val="8"/>
        <color theme="1"/>
        <rFont val="WenQuanYi Zen Hei"/>
        <family val="2"/>
      </rPr>
      <t xml:space="preserve">투자자산처분이익 계정재분류 </t>
    </r>
  </si>
  <si>
    <r>
      <rPr>
        <sz val="8"/>
        <color theme="1"/>
        <rFont val="Arial Narrow"/>
        <family val="2"/>
        <charset val="1"/>
      </rPr>
      <t xml:space="preserve">OHK </t>
    </r>
    <r>
      <rPr>
        <sz val="8"/>
        <color theme="1"/>
        <rFont val="WenQuanYi Zen Hei"/>
        <family val="2"/>
      </rPr>
      <t xml:space="preserve">투자주식은 전기에 처분 완료되어 당기에  영업외이익 잡이익 계정으로 재분류</t>
    </r>
  </si>
  <si>
    <r>
      <rPr>
        <sz val="8"/>
        <color theme="1"/>
        <rFont val="WenQuanYi Zen Hei"/>
        <family val="2"/>
      </rPr>
      <t xml:space="preserve">전기오류수정이익 </t>
    </r>
    <r>
      <rPr>
        <sz val="8"/>
        <color theme="1"/>
        <rFont val="Arial Narrow"/>
        <family val="2"/>
        <charset val="1"/>
      </rPr>
      <t xml:space="preserve">( </t>
    </r>
    <r>
      <rPr>
        <sz val="8"/>
        <color theme="1"/>
        <rFont val="WenQuanYi Zen Hei"/>
        <family val="2"/>
      </rPr>
      <t xml:space="preserve">한미약품 세금계산서 </t>
    </r>
    <r>
      <rPr>
        <sz val="8"/>
        <color theme="1"/>
        <rFont val="Arial Narrow"/>
        <family val="2"/>
        <charset val="1"/>
      </rPr>
      <t xml:space="preserve">posting </t>
    </r>
    <r>
      <rPr>
        <sz val="8"/>
        <color theme="1"/>
        <rFont val="WenQuanYi Zen Hei"/>
        <family val="2"/>
      </rPr>
      <t xml:space="preserve">누락</t>
    </r>
    <r>
      <rPr>
        <sz val="8"/>
        <color theme="1"/>
        <rFont val="Arial Narrow"/>
        <family val="2"/>
        <charset val="1"/>
      </rPr>
      <t xml:space="preserve">)</t>
    </r>
  </si>
  <si>
    <t xml:space="preserve">FY 21</t>
  </si>
  <si>
    <t xml:space="preserve">FY 23</t>
  </si>
  <si>
    <r>
      <rPr>
        <sz val="8"/>
        <color theme="1"/>
        <rFont val="WenQuanYi Zen Hei"/>
        <family val="2"/>
      </rPr>
      <t xml:space="preserve">법인세조정 </t>
    </r>
    <r>
      <rPr>
        <sz val="8"/>
        <color theme="1"/>
        <rFont val="Arial Narrow"/>
        <family val="2"/>
        <charset val="1"/>
      </rPr>
      <t xml:space="preserve">(</t>
    </r>
    <r>
      <rPr>
        <sz val="8"/>
        <color theme="1"/>
        <rFont val="WenQuanYi Zen Hei"/>
        <family val="2"/>
      </rPr>
      <t xml:space="preserve">세무조정</t>
    </r>
    <r>
      <rPr>
        <sz val="8"/>
        <color theme="1"/>
        <rFont val="Arial Narrow"/>
        <family val="2"/>
        <charset val="1"/>
      </rPr>
      <t xml:space="preserve">)</t>
    </r>
  </si>
  <si>
    <t xml:space="preserve">유동이연법인세자산</t>
  </si>
  <si>
    <t xml:space="preserve">비유동이연법인세자산</t>
  </si>
  <si>
    <t xml:space="preserve">Total Impact</t>
  </si>
  <si>
    <t xml:space="preserve">Vlookup</t>
  </si>
  <si>
    <t xml:space="preserve">SAP</t>
  </si>
  <si>
    <t xml:space="preserve">2025.12</t>
  </si>
  <si>
    <t xml:space="preserve">2026.01</t>
  </si>
  <si>
    <t xml:space="preserve">2026.02</t>
  </si>
  <si>
    <t xml:space="preserve">2026.03</t>
  </si>
  <si>
    <t xml:space="preserve">2026.04</t>
  </si>
  <si>
    <t xml:space="preserve">2026.05</t>
  </si>
  <si>
    <t xml:space="preserve">2026.06</t>
  </si>
  <si>
    <t xml:space="preserve">2026.07</t>
  </si>
  <si>
    <t xml:space="preserve">2026.08</t>
  </si>
  <si>
    <t xml:space="preserve">2026.09</t>
  </si>
  <si>
    <t xml:space="preserve">2025.10</t>
  </si>
  <si>
    <t xml:space="preserve">2025.11</t>
  </si>
  <si>
    <t xml:space="preserve">BS/PL</t>
  </si>
  <si>
    <t xml:space="preserve">Account Number</t>
  </si>
  <si>
    <t xml:space="preserve">Text for B/S P&amp;L item</t>
  </si>
  <si>
    <t xml:space="preserve">SAP Description</t>
  </si>
  <si>
    <t xml:space="preserve">SAP Description 2</t>
  </si>
  <si>
    <t xml:space="preserve">Account Group</t>
  </si>
  <si>
    <t xml:space="preserve">Company Code</t>
  </si>
  <si>
    <t xml:space="preserve">Group account number</t>
  </si>
  <si>
    <t xml:space="preserve">CC driven</t>
  </si>
  <si>
    <t xml:space="preserve">Group account description</t>
  </si>
  <si>
    <r>
      <rPr>
        <b val="true"/>
        <sz val="11.5"/>
        <rFont val="WenQuanYi Zen Hei"/>
        <family val="2"/>
      </rPr>
      <t xml:space="preserve">감사보고서 과목 </t>
    </r>
    <r>
      <rPr>
        <b val="true"/>
        <sz val="11.5"/>
        <rFont val="Arial Narrow"/>
        <family val="2"/>
        <charset val="1"/>
      </rPr>
      <t xml:space="preserve">1</t>
    </r>
  </si>
  <si>
    <r>
      <rPr>
        <b val="true"/>
        <sz val="11.5"/>
        <rFont val="WenQuanYi Zen Hei"/>
        <family val="2"/>
      </rPr>
      <t xml:space="preserve">감사보고서 과목 </t>
    </r>
    <r>
      <rPr>
        <b val="true"/>
        <sz val="11.5"/>
        <rFont val="Arial Narrow"/>
        <family val="2"/>
        <charset val="1"/>
      </rPr>
      <t xml:space="preserve">2</t>
    </r>
  </si>
  <si>
    <r>
      <rPr>
        <b val="true"/>
        <sz val="11.5"/>
        <rFont val="Arial Narrow"/>
        <family val="2"/>
        <charset val="1"/>
      </rPr>
      <t xml:space="preserve">Internal BookKR  </t>
    </r>
    <r>
      <rPr>
        <b val="true"/>
        <sz val="11.5"/>
        <rFont val="WenQuanYi Zen Hei"/>
        <family val="2"/>
      </rPr>
      <t xml:space="preserve">구분</t>
    </r>
  </si>
  <si>
    <r>
      <rPr>
        <b val="true"/>
        <sz val="11.5"/>
        <rFont val="Arial Narrow"/>
        <family val="2"/>
        <charset val="1"/>
      </rPr>
      <t xml:space="preserve">Internal Book KR </t>
    </r>
    <r>
      <rPr>
        <b val="true"/>
        <sz val="11.5"/>
        <rFont val="WenQuanYi Zen Hei"/>
        <family val="2"/>
      </rPr>
      <t xml:space="preserve">구분</t>
    </r>
  </si>
  <si>
    <t xml:space="preserve">YTD Dec 2025</t>
  </si>
  <si>
    <t xml:space="preserve">YTD Jan 2026</t>
  </si>
  <si>
    <t xml:space="preserve">YTD Feb 2026</t>
  </si>
  <si>
    <t xml:space="preserve">YTD Mar 2026</t>
  </si>
  <si>
    <t xml:space="preserve">YTD April 2026</t>
  </si>
  <si>
    <t xml:space="preserve">YTD May 2026</t>
  </si>
  <si>
    <t xml:space="preserve">YTD June 2026</t>
  </si>
  <si>
    <t xml:space="preserve">YTD July 2026</t>
  </si>
  <si>
    <t xml:space="preserve">YTD Aug 2026</t>
  </si>
  <si>
    <t xml:space="preserve">YTD Sep 2026</t>
  </si>
  <si>
    <t xml:space="preserve">YTD Oct 2026</t>
  </si>
  <si>
    <t xml:space="preserve">YTD Nov 2026</t>
  </si>
  <si>
    <t xml:space="preserve">YTD Dec 2026</t>
  </si>
  <si>
    <t xml:space="preserve">MTD Jan 2026</t>
  </si>
  <si>
    <t xml:space="preserve">MTD Feb 2026</t>
  </si>
  <si>
    <t xml:space="preserve">MTD Mar 2025</t>
  </si>
  <si>
    <t xml:space="preserve">MTD Apr 2025</t>
  </si>
  <si>
    <t xml:space="preserve">MTD May 2025</t>
  </si>
  <si>
    <t xml:space="preserve">MTD June 2025</t>
  </si>
  <si>
    <t xml:space="preserve">MTD July 2025</t>
  </si>
  <si>
    <t xml:space="preserve">MTD Aug 2025</t>
  </si>
  <si>
    <t xml:space="preserve">MTD Sep 2025</t>
  </si>
  <si>
    <t xml:space="preserve">MTD Oct 2025</t>
  </si>
  <si>
    <t xml:space="preserve">MTD Nov 2025</t>
  </si>
  <si>
    <t xml:space="preserve">MTD Dec 2025</t>
  </si>
  <si>
    <t xml:space="preserve">+</t>
  </si>
  <si>
    <t xml:space="preserve">10100082 Lands and Buildings -Right of Use -Man</t>
  </si>
  <si>
    <t xml:space="preserve">¥±. NON-CURRENT ASSETS</t>
  </si>
  <si>
    <t xml:space="preserve">(2) Tangible assets</t>
  </si>
  <si>
    <t xml:space="preserve">2. Buildings</t>
  </si>
  <si>
    <t xml:space="preserve">01. NCA - Non Current Assets</t>
  </si>
  <si>
    <t xml:space="preserve">1616</t>
  </si>
  <si>
    <t xml:space="preserve">10035</t>
  </si>
  <si>
    <t xml:space="preserve">Lands and buildings - Right of use</t>
  </si>
  <si>
    <t xml:space="preserve">비유동자산</t>
  </si>
  <si>
    <t xml:space="preserve">10100083 Depreciation Land and Build -Right of Use -Man</t>
  </si>
  <si>
    <t xml:space="preserve">Accumulated depreciation</t>
  </si>
  <si>
    <t xml:space="preserve">10115</t>
  </si>
  <si>
    <t xml:space="preserve">Depreciation - Lands and buildings - Right of use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</si>
  <si>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구축물</t>
    </r>
  </si>
  <si>
    <t xml:space="preserve">10100850 Buildings -(A) Rec</t>
  </si>
  <si>
    <t xml:space="preserve">3. Structures</t>
  </si>
  <si>
    <t xml:space="preserve">10005</t>
  </si>
  <si>
    <t xml:space="preserve">10150000 Buildings -Leasehold Improvements -(A) Rec</t>
  </si>
  <si>
    <t xml:space="preserve">10200000 Machinery and Equipment -(A) Rec</t>
  </si>
  <si>
    <t xml:space="preserve">4. Machinery and equipment</t>
  </si>
  <si>
    <t xml:space="preserve">10010</t>
  </si>
  <si>
    <t xml:space="preserve">Machinery and equipment</t>
  </si>
  <si>
    <t xml:space="preserve">10200921 Samples -Manual</t>
  </si>
  <si>
    <t xml:space="preserve">¥°. CURRENT ASSETS</t>
  </si>
  <si>
    <t xml:space="preserve">(2) Inventories</t>
  </si>
  <si>
    <t xml:space="preserve">6. Supplies</t>
  </si>
  <si>
    <t xml:space="preserve">02. CUA - Current Assets</t>
  </si>
  <si>
    <t xml:space="preserve">20015</t>
  </si>
  <si>
    <t xml:space="preserve">Inventories - Samples</t>
  </si>
  <si>
    <t xml:space="preserve">유동자산</t>
  </si>
  <si>
    <t xml:space="preserve">저장품</t>
  </si>
  <si>
    <t xml:space="preserve">10300000 Other FA -Furniture Fixtures &amp; Office Equ -(A) Rec</t>
  </si>
  <si>
    <t xml:space="preserve">6. Tools and furniture</t>
  </si>
  <si>
    <t xml:space="preserve">10015</t>
  </si>
  <si>
    <t xml:space="preserve">Other fixed assets</t>
  </si>
  <si>
    <t xml:space="preserve">10300850 Other Fixed Assets -(A) Rec</t>
  </si>
  <si>
    <t xml:space="preserve">10350000 Other FA -IT Equipment -(A) Rec</t>
  </si>
  <si>
    <t xml:space="preserve">10350303 Other Fixed Assets -(A) Rec</t>
  </si>
  <si>
    <t xml:space="preserve">10550400 In Progress -Other -IT Equipment -(A)</t>
  </si>
  <si>
    <t xml:space="preserve">(3) Intangible assets</t>
  </si>
  <si>
    <t xml:space="preserve">4. Software</t>
  </si>
  <si>
    <t xml:space="preserve">13028</t>
  </si>
  <si>
    <t xml:space="preserve">Softwares - Bought</t>
  </si>
  <si>
    <t xml:space="preserve">10550900 In Progress -Buildings -(A) Rec</t>
  </si>
  <si>
    <t xml:space="preserve">7. Construction in-progress</t>
  </si>
  <si>
    <t xml:space="preserve">10020</t>
  </si>
  <si>
    <t xml:space="preserve">In progress - Buildings</t>
  </si>
  <si>
    <t xml:space="preserve">11100850 Depreciation Buildings -(A) Rec</t>
  </si>
  <si>
    <t xml:space="preserve">10100</t>
  </si>
  <si>
    <t xml:space="preserve">Depreciation - Buildings</t>
  </si>
  <si>
    <t xml:space="preserve">11150000 Depreciation Buildings -Leasehold Improve -(A) Rec</t>
  </si>
  <si>
    <t xml:space="preserve">11200000 Depreciation Machinery &amp; Equip-(A) Rec</t>
  </si>
  <si>
    <t xml:space="preserve">10105</t>
  </si>
  <si>
    <t xml:space="preserve">Depreciation - Machinery and equipment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</si>
  <si>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기계장치</t>
    </r>
  </si>
  <si>
    <t xml:space="preserve">11300000 Depreciation Other FA -Furn Fixture Off Equ-(A)Rec</t>
  </si>
  <si>
    <t xml:space="preserve">10110</t>
  </si>
  <si>
    <t xml:space="preserve">Depreciation - Other fixed assets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</si>
  <si>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집기비품</t>
    </r>
  </si>
  <si>
    <t xml:space="preserve">11300850 Depreciation Other FA -IT Equipment -(A) Rec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</si>
  <si>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공구와기구</t>
    </r>
  </si>
  <si>
    <t xml:space="preserve">11350000 Depreciation Other FA -IT Equipment -(A) Rec</t>
  </si>
  <si>
    <t xml:space="preserve">11350303 Depreciation Other Fixed Assets -(A) Rec</t>
  </si>
  <si>
    <t xml:space="preserve">13100000 Intangibles -Software Bought -(A) Rec</t>
  </si>
  <si>
    <t xml:space="preserve">13600000 Intang Asset Acq in CA Asset Deal-TradeN -(A) Rec</t>
  </si>
  <si>
    <t xml:space="preserve">2. Intellectual proprietary rights</t>
  </si>
  <si>
    <t xml:space="preserve">13018</t>
  </si>
  <si>
    <t xml:space="preserve">Intangibles acq in collab agreements &amp; R&amp;D A deals</t>
  </si>
  <si>
    <t xml:space="preserve">14000000 Amortization Intang -Software Bought -(A) Rec</t>
  </si>
  <si>
    <t xml:space="preserve">13130</t>
  </si>
  <si>
    <t xml:space="preserve">Amortization - Softwares bought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</si>
  <si>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소프트웨어</t>
    </r>
  </si>
  <si>
    <t xml:space="preserve">14300000 Amortization Intang Acq CA -Tradenames-(A) Rec</t>
  </si>
  <si>
    <t xml:space="preserve">13105</t>
  </si>
  <si>
    <t xml:space="preserve">Amor-Intang acq in collab agreements &amp; R&amp;D A deals</t>
  </si>
  <si>
    <t xml:space="preserve">14300701 Impair -Intangibles Acq in CA -Other -Man</t>
  </si>
  <si>
    <t xml:space="preserve">13218</t>
  </si>
  <si>
    <t xml:space="preserve">Imp-Intang acq-collab agreements &amp; R&amp;D A deals</t>
  </si>
  <si>
    <t xml:space="preserve">14400030 Amortization Intang Acq CA -Other -Man</t>
  </si>
  <si>
    <t xml:space="preserve">15800853 SPPI amortized cost-NC-all but collateral given</t>
  </si>
  <si>
    <t xml:space="preserve">(1) Investments</t>
  </si>
  <si>
    <t xml:space="preserve">3. Gurantee deposits</t>
  </si>
  <si>
    <t xml:space="preserve">17008</t>
  </si>
  <si>
    <t xml:space="preserve">SPPI amortized cost - non current</t>
  </si>
  <si>
    <t xml:space="preserve">16350702 Other receivables for employees</t>
  </si>
  <si>
    <t xml:space="preserve">LIABILITIES</t>
  </si>
  <si>
    <t xml:space="preserve">¥±. LONG-TERM LIABILITIES</t>
  </si>
  <si>
    <t xml:space="preserve">Contribution to nation pension fund</t>
  </si>
  <si>
    <t xml:space="preserve">17032</t>
  </si>
  <si>
    <t xml:space="preserve">Other receivables - NC assets</t>
  </si>
  <si>
    <t xml:space="preserve">비유동부채</t>
  </si>
  <si>
    <t xml:space="preserve">16750000 Long Term Deposits -Manual</t>
  </si>
  <si>
    <t xml:space="preserve">20000001 Trading Goods -(MM)</t>
  </si>
  <si>
    <t xml:space="preserve">1. Merchandise</t>
  </si>
  <si>
    <t xml:space="preserve">20010</t>
  </si>
  <si>
    <t xml:space="preserve">Inventories - Finished goods</t>
  </si>
  <si>
    <t xml:space="preserve">20000002 Samples -(MM)</t>
  </si>
  <si>
    <t xml:space="preserve">20000030 Capitalisation of Variances -Trading Goods -Manual</t>
  </si>
  <si>
    <t xml:space="preserve">20030</t>
  </si>
  <si>
    <t xml:space="preserve">Inventories - Cap of var &amp; reval.</t>
  </si>
  <si>
    <t xml:space="preserve">20000851 Trading Goods -Manual</t>
  </si>
  <si>
    <t xml:space="preserve">20100003 Provision on Trading Goods</t>
  </si>
  <si>
    <t xml:space="preserve">20210</t>
  </si>
  <si>
    <t xml:space="preserve">Prov - Inventories - Finished goods</t>
  </si>
  <si>
    <r>
      <rPr>
        <sz val="11.5"/>
        <rFont val="WenQuanYi Zen Hei"/>
        <family val="2"/>
      </rPr>
      <t xml:space="preserve">평가충당금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상품</t>
    </r>
  </si>
  <si>
    <t xml:space="preserve">22150702 Finished Goods -Stock in Transit  -Manual</t>
  </si>
  <si>
    <t xml:space="preserve">2. Finished goods</t>
  </si>
  <si>
    <t xml:space="preserve">22500000 Capitalisation of Variances -Finished Goods-Manual</t>
  </si>
  <si>
    <t xml:space="preserve">24000000 Accts Rec. Trade. S/Term.</t>
  </si>
  <si>
    <t xml:space="preserve">(1) Quick assets</t>
  </si>
  <si>
    <t xml:space="preserve">4. Trade receivables</t>
  </si>
  <si>
    <t xml:space="preserve">22005</t>
  </si>
  <si>
    <t xml:space="preserve">Others accounts receivable</t>
  </si>
  <si>
    <t xml:space="preserve">외상매출금</t>
  </si>
  <si>
    <t xml:space="preserve">24000001 Exch.Rate Adj Trade Debts.</t>
  </si>
  <si>
    <t xml:space="preserve">24000004 AR-D Trade 3rd ST</t>
  </si>
  <si>
    <t xml:space="preserve">24000009 AR Provision Trade 3rd Party -Manual</t>
  </si>
  <si>
    <t xml:space="preserve">22200</t>
  </si>
  <si>
    <t xml:space="preserve">Prov - Accounts &amp; notes receivable</t>
  </si>
  <si>
    <t xml:space="preserve">24000030 Accts Rec. Trade. S/Term for Clinic</t>
  </si>
  <si>
    <t xml:space="preserve">24000812 AR( D) Receivable on fixed assets</t>
  </si>
  <si>
    <t xml:space="preserve">1. Cash and cash equivalence</t>
  </si>
  <si>
    <t xml:space="preserve">04. CAS - Cash &amp; Cash Equivalents</t>
  </si>
  <si>
    <t xml:space="preserve">266</t>
  </si>
  <si>
    <t xml:space="preserve">Cash in reporting currency</t>
  </si>
  <si>
    <t xml:space="preserve">24050000 AR-D Trade ICO</t>
  </si>
  <si>
    <t xml:space="preserve">03. ICA - Intercompany Assets</t>
  </si>
  <si>
    <t xml:space="preserve">24905</t>
  </si>
  <si>
    <t xml:space="preserve">Current assets - Conso comp</t>
  </si>
  <si>
    <t xml:space="preserve">24050051 AR Trade ICO  MANUAL</t>
  </si>
  <si>
    <t xml:space="preserve">24100002 AR (D) SGLI -Provision Bad Debt Trade 3rd Party</t>
  </si>
  <si>
    <t xml:space="preserve">26000000 Other receivable</t>
  </si>
  <si>
    <t xml:space="preserve">24032</t>
  </si>
  <si>
    <t xml:space="preserve">Sundry current assets (excluding restructuring)</t>
  </si>
  <si>
    <t xml:space="preserve">26000015 Other Receivables - manual</t>
  </si>
  <si>
    <t xml:space="preserve">7. Accrued income</t>
  </si>
  <si>
    <t xml:space="preserve">26000033 Other partners relationship - Assets</t>
  </si>
  <si>
    <t xml:space="preserve">6. Other receivables</t>
  </si>
  <si>
    <t xml:space="preserve">24028</t>
  </si>
  <si>
    <t xml:space="preserve">26000200 AP Prepaid OneCASA Clinical Studies -Man</t>
  </si>
  <si>
    <t xml:space="preserve">10. Prepaid expenses</t>
  </si>
  <si>
    <t xml:space="preserve">24016</t>
  </si>
  <si>
    <t xml:space="preserve">Prepaid expenses - C. assets</t>
  </si>
  <si>
    <t xml:space="preserve">26000810 Payroll deductions</t>
  </si>
  <si>
    <t xml:space="preserve">24002</t>
  </si>
  <si>
    <t xml:space="preserve">Employees</t>
  </si>
  <si>
    <t xml:space="preserve">26030000 Allowances on other accounts receivable</t>
  </si>
  <si>
    <t xml:space="preserve">24205</t>
  </si>
  <si>
    <t xml:space="preserve">Prov - Other current assets</t>
  </si>
  <si>
    <t xml:space="preserve">26050000 AR-D Other non-trade ICO</t>
  </si>
  <si>
    <t xml:space="preserve">26220000 S/T Loans Rec Group.Comp</t>
  </si>
  <si>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원본오류 </t>
    </r>
    <r>
      <rPr>
        <sz val="11.5"/>
        <rFont val="Arial Narrow"/>
        <family val="2"/>
        <charset val="1"/>
      </rPr>
      <t xml:space="preserve">N/A)</t>
    </r>
  </si>
  <si>
    <t xml:space="preserve">26220101 Other accrued liabilities - ICO - Manual</t>
  </si>
  <si>
    <t xml:space="preserve">¥°. CURRENT LIABILITIES</t>
  </si>
  <si>
    <t xml:space="preserve">5. Accrued expenses</t>
  </si>
  <si>
    <t xml:space="preserve">07. CUL - Current Liabilities</t>
  </si>
  <si>
    <t xml:space="preserve">42905</t>
  </si>
  <si>
    <t xml:space="preserve">Current liabilities - Conso comp</t>
  </si>
  <si>
    <t xml:space="preserve">유동부채</t>
  </si>
  <si>
    <t xml:space="preserve">26530000 GST/VAT paid to Vendors</t>
  </si>
  <si>
    <t xml:space="preserve">4. Withholdings</t>
  </si>
  <si>
    <t xml:space="preserve">24006</t>
  </si>
  <si>
    <t xml:space="preserve">Taxes - Local VAT recoverable</t>
  </si>
  <si>
    <t xml:space="preserve">통관부가세 납부</t>
  </si>
  <si>
    <t xml:space="preserve">26550000 Prepaid - Expenses</t>
  </si>
  <si>
    <t xml:space="preserve">26550001 Prep.Exp.Insurance Premiums</t>
  </si>
  <si>
    <t xml:space="preserve">26550002 Prepaid Rental</t>
  </si>
  <si>
    <t xml:space="preserve">26550303 Prepaid expenses / Other</t>
  </si>
  <si>
    <t xml:space="preserve">26550450 SPPI amortized costs-curr-all but collateral given</t>
  </si>
  <si>
    <t xml:space="preserve">24042</t>
  </si>
  <si>
    <t xml:space="preserve">SPPI amortized costs - current</t>
  </si>
  <si>
    <t xml:space="preserve">26650000 Advance payments</t>
  </si>
  <si>
    <t xml:space="preserve">9. Advance payments</t>
  </si>
  <si>
    <t xml:space="preserve">24018</t>
  </si>
  <si>
    <t xml:space="preserve">Advance payments to suppliers &amp; agents</t>
  </si>
  <si>
    <t xml:space="preserve">26650851 Advance Payments-Foreign currency adj. acct.</t>
  </si>
  <si>
    <t xml:space="preserve">26650852 Sundry - Ot</t>
  </si>
  <si>
    <t xml:space="preserve">26650854 Local VAT Refund  asked</t>
  </si>
  <si>
    <t xml:space="preserve">28100821 Deutsche Bank Money Market Deposit Account</t>
  </si>
  <si>
    <t xml:space="preserve">262</t>
  </si>
  <si>
    <t xml:space="preserve">Cash equivalents - Money Market Mutual funds</t>
  </si>
  <si>
    <t xml:space="preserve">28100861 KEB HANA Bank SA KRW Main</t>
  </si>
  <si>
    <t xml:space="preserve">28101193 Bank of Tokyo - Mitsubishi UFJ KRW Main</t>
  </si>
  <si>
    <t xml:space="preserve">28330000 HSBC - Main Bank Account EUR</t>
  </si>
  <si>
    <t xml:space="preserve">267</t>
  </si>
  <si>
    <t xml:space="preserve">Cash in foreign currencies</t>
  </si>
  <si>
    <t xml:space="preserve">28330001 HSBC - Automatic Payment Clearing EUR</t>
  </si>
  <si>
    <t xml:space="preserve">28330002 HSBC - Automatic Receipt Clearing EUR</t>
  </si>
  <si>
    <t xml:space="preserve">28330010 HSBC - Main Bank Account USD</t>
  </si>
  <si>
    <t xml:space="preserve">28330011 HSBC - Automatic Payment Clearing USD</t>
  </si>
  <si>
    <t xml:space="preserve">28330990 HSBC - Main Bank GL Code - Local Curr</t>
  </si>
  <si>
    <t xml:space="preserve">29100000 Def.Tax Asset(due&lt;=1 year) - If Net Asset</t>
  </si>
  <si>
    <t xml:space="preserve">15. Def.Tax Asset(due&lt;=1 year)</t>
  </si>
  <si>
    <t xml:space="preserve">19000</t>
  </si>
  <si>
    <t xml:space="preserve">Deferred tax assets</t>
  </si>
  <si>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원본오류 </t>
    </r>
    <r>
      <rPr>
        <sz val="11.5"/>
        <rFont val="Arial Narrow"/>
        <family val="2"/>
        <charset val="1"/>
      </rPr>
      <t xml:space="preserve">REF)</t>
    </r>
  </si>
  <si>
    <t xml:space="preserve">29150000 Deferred Tax Asset - Gross</t>
  </si>
  <si>
    <t xml:space="preserve">30000000 Ordinary shares issued and uncalled</t>
  </si>
  <si>
    <t xml:space="preserve">STOCKHOLDERS' EQUITY</t>
  </si>
  <si>
    <t xml:space="preserve">¥°. CAPITAL STOCK</t>
  </si>
  <si>
    <t xml:space="preserve">05. EQU - Equity</t>
  </si>
  <si>
    <t xml:space="preserve">30000</t>
  </si>
  <si>
    <t xml:space="preserve">Share capital</t>
  </si>
  <si>
    <t xml:space="preserve">자본금</t>
  </si>
  <si>
    <t xml:space="preserve">30000100 Share premium Equity sec</t>
  </si>
  <si>
    <t xml:space="preserve">¥±. CAPITAL SURPLUS</t>
  </si>
  <si>
    <t xml:space="preserve">(1) Capital reserves</t>
  </si>
  <si>
    <t xml:space="preserve">30005</t>
  </si>
  <si>
    <t xml:space="preserve">Share premium</t>
  </si>
  <si>
    <t xml:space="preserve">자본잉여금</t>
  </si>
  <si>
    <t xml:space="preserve">31000001 Capital contribution premium</t>
  </si>
  <si>
    <t xml:space="preserve">32100000 Revaluation reserve</t>
  </si>
  <si>
    <t xml:space="preserve">¥². RETAINED EARNINGS</t>
  </si>
  <si>
    <t xml:space="preserve">1. Legal reserve</t>
  </si>
  <si>
    <t xml:space="preserve">30010</t>
  </si>
  <si>
    <t xml:space="preserve">Reserves &amp; retained earnings</t>
  </si>
  <si>
    <t xml:space="preserve">32200000 Retained earnings (R/E)</t>
  </si>
  <si>
    <t xml:space="preserve">10.Unappropriated retained earnings</t>
  </si>
  <si>
    <t xml:space="preserve">전기이월이익잉여금</t>
  </si>
  <si>
    <t xml:space="preserve">32200001 Dividends paid to subsidiaries</t>
  </si>
  <si>
    <t xml:space="preserve">32300000 Surplus from merger operations</t>
  </si>
  <si>
    <t xml:space="preserve">¥³. CAPITAL ADJUSTMENTS</t>
  </si>
  <si>
    <t xml:space="preserve">자본조정</t>
  </si>
  <si>
    <t xml:space="preserve">32900000 Pensions -  Actuarial  gain &amp; losses</t>
  </si>
  <si>
    <t xml:space="preserve">30525</t>
  </si>
  <si>
    <t xml:space="preserve">Pensions - Actuarial gains and losses - OCI</t>
  </si>
  <si>
    <t xml:space="preserve">32910000 Deferred tax on pensions - Actuarial  gain &amp; losse</t>
  </si>
  <si>
    <t xml:space="preserve">30530</t>
  </si>
  <si>
    <t xml:space="preserve">Tax on pensions - Actuarial gains and losses - OCI</t>
  </si>
  <si>
    <t xml:space="preserve">38010000 Provision for Sales Returns -Manual</t>
  </si>
  <si>
    <t xml:space="preserve">7. Allow sales return</t>
  </si>
  <si>
    <t xml:space="preserve">42230</t>
  </si>
  <si>
    <t xml:space="preserve">Prov - Return</t>
  </si>
  <si>
    <t xml:space="preserve">38100001 Provision for settl./damages of litigation &gt;1 year</t>
  </si>
  <si>
    <t xml:space="preserve">06. NCL - Non Current Liabilities</t>
  </si>
  <si>
    <t xml:space="preserve">36200</t>
  </si>
  <si>
    <t xml:space="preserve">Prov-Risk,litigation,penalties&amp;fines-Non current</t>
  </si>
  <si>
    <t xml:space="preserve">38160000 Prov.restr.costs  -  term.benefits ST</t>
  </si>
  <si>
    <t xml:space="preserve">42215</t>
  </si>
  <si>
    <t xml:space="preserve">Prov-Restructuring costs–termination benefits - CL</t>
  </si>
  <si>
    <t xml:space="preserve">38170010 Provision for vacation</t>
  </si>
  <si>
    <t xml:space="preserve">42002</t>
  </si>
  <si>
    <t xml:space="preserve">Employee - Prov paid holiday/premium</t>
  </si>
  <si>
    <t xml:space="preserve">39070851 LT tranfert titres</t>
  </si>
  <si>
    <t xml:space="preserve">4. Long-term lease deposits</t>
  </si>
  <si>
    <t xml:space="preserve">36915</t>
  </si>
  <si>
    <t xml:space="preserve">Payables to conso comp</t>
  </si>
  <si>
    <t xml:space="preserve">39200800 Long Term lease liability</t>
  </si>
  <si>
    <t xml:space="preserve">33000</t>
  </si>
  <si>
    <t xml:space="preserve">40000000 Accts.Pay.Trade Short term</t>
  </si>
  <si>
    <t xml:space="preserve">1. Trade payables</t>
  </si>
  <si>
    <t xml:space="preserve">40000</t>
  </si>
  <si>
    <t xml:space="preserve">Accounts and notes payable</t>
  </si>
  <si>
    <t xml:space="preserve">외상매입금</t>
  </si>
  <si>
    <t xml:space="preserve">40000001 AP Trade 3rd ST Reeval.</t>
  </si>
  <si>
    <t xml:space="preserve">40000003 Exch.Rate adj.Non-Trade Creditors</t>
  </si>
  <si>
    <t xml:space="preserve">40000004 AP Trade ICO ST Reeval.</t>
  </si>
  <si>
    <t xml:space="preserve">40000005 Exch.Rate adj.NonTrade Creditors Group</t>
  </si>
  <si>
    <t xml:space="preserve">40000012 AP Trade other</t>
  </si>
  <si>
    <t xml:space="preserve">3. Other account payable</t>
  </si>
  <si>
    <t xml:space="preserve">40000850 AP Accrual OneCASA Clinical Studies -Man</t>
  </si>
  <si>
    <t xml:space="preserve">40000851 AP Royalties 3rd Party Accrued Liabilities -Manual</t>
  </si>
  <si>
    <t xml:space="preserve">N/A</t>
  </si>
  <si>
    <t xml:space="preserve">40000852 A/P Trade (Manual Adjust)</t>
  </si>
  <si>
    <t xml:space="preserve">40100000 AP-K Trade ICO Import Short Term</t>
  </si>
  <si>
    <t xml:space="preserve">40100856 Exch.Rate adj.Trade Creditors-Group</t>
  </si>
  <si>
    <t xml:space="preserve">40500000 GR/IR A/C Inventory</t>
  </si>
  <si>
    <t xml:space="preserve">7. Goods Rcvd/Invoice Rcvd</t>
  </si>
  <si>
    <t xml:space="preserve">40500001 GR/IR Invoice Clearing Inventory</t>
  </si>
  <si>
    <t xml:space="preserve">40500002 GR/IR Delivery Clearing Inventory</t>
  </si>
  <si>
    <t xml:space="preserve">40500003 GR/IR Analysis Account Inventory</t>
  </si>
  <si>
    <t xml:space="preserve">40500004 Plan Delv Csts</t>
  </si>
  <si>
    <t xml:space="preserve">40500005 GR/IR A/C Non-Inventory</t>
  </si>
  <si>
    <t xml:space="preserve">40500006 GR/IR Invoice Clearing Non-Inventory</t>
  </si>
  <si>
    <t xml:space="preserve">40500007 GR/IR Delivery Clearing Non-Inventory</t>
  </si>
  <si>
    <t xml:space="preserve">40500008 GR/IR Analysis Account Non-Inventory</t>
  </si>
  <si>
    <t xml:space="preserve">40500009 Plan Delv Csts - Freight</t>
  </si>
  <si>
    <t xml:space="preserve">40500017 Goods Received or Invoice Rec -GR/IR -COGS -Manual</t>
  </si>
  <si>
    <t xml:space="preserve">40500018 Goods Rec or Invoice Rec -GR/IR -COGS ICO -Manual</t>
  </si>
  <si>
    <t xml:space="preserve">42000007 Other partners relationship – Liabilities</t>
  </si>
  <si>
    <t xml:space="preserve">42000705 Other Accrued Liabilities</t>
  </si>
  <si>
    <t xml:space="preserve">42000851 Other A/P in foreign currency-tangible assets adj.</t>
  </si>
  <si>
    <t xml:space="preserve">42000852 AP-K Employee expenses</t>
  </si>
  <si>
    <t xml:space="preserve">42006</t>
  </si>
  <si>
    <t xml:space="preserve">Employees - Other current liabilities</t>
  </si>
  <si>
    <t xml:space="preserve">42000856 AP-K Rec Royalties &amp; research ICO</t>
  </si>
  <si>
    <t xml:space="preserve">42050000 Liabilities due to customers - ICO</t>
  </si>
  <si>
    <t xml:space="preserve">42400000 Liab. from Payroll Accounting</t>
  </si>
  <si>
    <t xml:space="preserve">42400700 Liabilities from payroll due to employees</t>
  </si>
  <si>
    <t xml:space="preserve">42400702 Provision for bonus</t>
  </si>
  <si>
    <t xml:space="preserve">6. Accr.Incentive Compensation</t>
  </si>
  <si>
    <t xml:space="preserve">성과급여충당금</t>
  </si>
  <si>
    <t xml:space="preserve">42400800 Provision for Ots charges</t>
  </si>
  <si>
    <t xml:space="preserve">36228</t>
  </si>
  <si>
    <t xml:space="preserve">Prov - Other risks &amp; charges</t>
  </si>
  <si>
    <t xml:space="preserve">42420000 Social Security Liabilities</t>
  </si>
  <si>
    <t xml:space="preserve">42014</t>
  </si>
  <si>
    <t xml:space="preserve">Social securities liabilities</t>
  </si>
  <si>
    <t xml:space="preserve">42420851 Withholding tax-medical insurance</t>
  </si>
  <si>
    <t xml:space="preserve">42420852 Withholding tax-vocational training tax</t>
  </si>
  <si>
    <t xml:space="preserve">42440000 Accr.Incentive Compensation</t>
  </si>
  <si>
    <t xml:space="preserve">42490000 Accrued interest payable</t>
  </si>
  <si>
    <t xml:space="preserve">46025</t>
  </si>
  <si>
    <t xml:space="preserve">Accrued interests payable</t>
  </si>
  <si>
    <t xml:space="preserve">42490100 Accrued interest on I/C borrowings</t>
  </si>
  <si>
    <t xml:space="preserve">42490240 Payroll taxes withheld and deduction on salary</t>
  </si>
  <si>
    <t xml:space="preserve">42490336 Accrual for extraordinary salaries to pay</t>
  </si>
  <si>
    <t xml:space="preserve">42570000 Dividends Payable 3rd</t>
  </si>
  <si>
    <t xml:space="preserve">42020</t>
  </si>
  <si>
    <t xml:space="preserve">Dividends payable - Third party</t>
  </si>
  <si>
    <t xml:space="preserve">42910000 AP Trade other</t>
  </si>
  <si>
    <t xml:space="preserve">42910012 Municipal and Other taxes</t>
  </si>
  <si>
    <t xml:space="preserve">42012</t>
  </si>
  <si>
    <t xml:space="preserve">Taxes - Others</t>
  </si>
  <si>
    <t xml:space="preserve">42910018 Other Accrued Liabilities</t>
  </si>
  <si>
    <t xml:space="preserve">42910102 Provision for Rebate</t>
  </si>
  <si>
    <t xml:space="preserve">42240</t>
  </si>
  <si>
    <t xml:space="preserve">Prov -Rebates, chargebacks, other sales deductions</t>
  </si>
  <si>
    <t xml:space="preserve">42910311 Prov.restr.pers.costs w/o term.ben.&lt;= 1 year</t>
  </si>
  <si>
    <t xml:space="preserve">42205</t>
  </si>
  <si>
    <t xml:space="preserve">Prov-Restr costs oth than termination benefits-CL</t>
  </si>
  <si>
    <t xml:space="preserve">42910850 Accrued Rebate</t>
  </si>
  <si>
    <t xml:space="preserve">42910851 AP Non COGS Non-PO Accrual</t>
  </si>
  <si>
    <t xml:space="preserve">4000</t>
  </si>
  <si>
    <t xml:space="preserve">42910852 Sales deduction- accrual for Pharma</t>
  </si>
  <si>
    <t xml:space="preserve">42910853 Accrued Expenses-accrued rebate</t>
  </si>
  <si>
    <t xml:space="preserve">42910854 Sales deduction- accrual for CHC</t>
  </si>
  <si>
    <t xml:space="preserve">42910909 Other deductions</t>
  </si>
  <si>
    <t xml:space="preserve">14. Other current liabilities</t>
  </si>
  <si>
    <t xml:space="preserve">42034</t>
  </si>
  <si>
    <t xml:space="preserve">Sundry current liabilities (ex restructuring)</t>
  </si>
  <si>
    <t xml:space="preserve">기타유동부채</t>
  </si>
  <si>
    <t xml:space="preserve">42911000 AR-D Advance payments rec 3rd</t>
  </si>
  <si>
    <t xml:space="preserve">42911100 Short-term lease liability</t>
  </si>
  <si>
    <t xml:space="preserve">43000</t>
  </si>
  <si>
    <t xml:space="preserve">Short-term lease liability</t>
  </si>
  <si>
    <t xml:space="preserve">42911101 Accrued interest - Short-term lease liability</t>
  </si>
  <si>
    <t xml:space="preserve">43005</t>
  </si>
  <si>
    <t xml:space="preserve">42920000 GST/VAT Billed to Customers</t>
  </si>
  <si>
    <t xml:space="preserve">42010</t>
  </si>
  <si>
    <t xml:space="preserve">Taxes - VAT</t>
  </si>
  <si>
    <t xml:space="preserve">42930000 Income Tax payable - current year (Federal)</t>
  </si>
  <si>
    <t xml:space="preserve">10. Accrued income taxes</t>
  </si>
  <si>
    <t xml:space="preserve">45005</t>
  </si>
  <si>
    <t xml:space="preserve">Income taxes liabilities</t>
  </si>
  <si>
    <t xml:space="preserve">42930850 Advance payment of Income Tax</t>
  </si>
  <si>
    <t xml:space="preserve">11. Prepaid Income tax</t>
  </si>
  <si>
    <t xml:space="preserve">25000</t>
  </si>
  <si>
    <t xml:space="preserve">Taxes - Advanced of payments of income taxes</t>
  </si>
  <si>
    <t xml:space="preserve">42930851 Prepaid Income tax-withholdings</t>
  </si>
  <si>
    <t xml:space="preserve">42940003 Withholding tax - Royalties</t>
  </si>
  <si>
    <t xml:space="preserve">42940854 Withholding tax-dividend income(resident tax)</t>
  </si>
  <si>
    <t xml:space="preserve">42940855 Withholding tax-business income</t>
  </si>
  <si>
    <t xml:space="preserve">42940856 Withholding tax-other income</t>
  </si>
  <si>
    <t xml:space="preserve">42940857 Withholding tax-corporate interest income</t>
  </si>
  <si>
    <t xml:space="preserve">42940861 Withholding tax-other income(resident)</t>
  </si>
  <si>
    <t xml:space="preserve">42940863 Withholding tax-dividend income</t>
  </si>
  <si>
    <t xml:space="preserve">42980000 Provision for reinstatement cost</t>
  </si>
  <si>
    <t xml:space="preserve">50000000 Gross Product Sales Local</t>
  </si>
  <si>
    <t xml:space="preserve">¥°. SALES</t>
  </si>
  <si>
    <t xml:space="preserve">1. Sales of finished goods</t>
  </si>
  <si>
    <t xml:space="preserve">Domestic sales of finished goods</t>
  </si>
  <si>
    <t xml:space="preserve">09. NRV - Net Revenue</t>
  </si>
  <si>
    <t xml:space="preserve">51100</t>
  </si>
  <si>
    <t xml:space="preserve">Gross Sales</t>
  </si>
  <si>
    <t xml:space="preserve">50000102 Gross sales - FG Man Adj 3rd P</t>
  </si>
  <si>
    <t xml:space="preserve">50000851 Sales of Merchandise-domestic</t>
  </si>
  <si>
    <t xml:space="preserve">2. Sales of merchandise</t>
  </si>
  <si>
    <t xml:space="preserve">Domestic sales of merchandise</t>
  </si>
  <si>
    <t xml:space="preserve">50000854 Other Commercial Incentives</t>
  </si>
  <si>
    <t xml:space="preserve">51135</t>
  </si>
  <si>
    <t xml:space="preserve">Commercial incentives on off invoice</t>
  </si>
  <si>
    <t xml:space="preserve">50100799 Gross Sales - FG Man adj - ICO</t>
  </si>
  <si>
    <t xml:space="preserve">50200001 Pharma Cont - TG Man Adj 3rd P</t>
  </si>
  <si>
    <t xml:space="preserve">5. Sales allowancw and return</t>
  </si>
  <si>
    <t xml:space="preserve">51110</t>
  </si>
  <si>
    <t xml:space="preserve">Statutory Terms</t>
  </si>
  <si>
    <t xml:space="preserve">매출에누리와환입</t>
  </si>
  <si>
    <t xml:space="preserve">51000850 Sales of merchandise returned</t>
  </si>
  <si>
    <t xml:space="preserve">51105</t>
  </si>
  <si>
    <t xml:space="preserve">Returns</t>
  </si>
  <si>
    <t xml:space="preserve">51300011 Price Red./Reb.Loc Sales (manual posting)</t>
  </si>
  <si>
    <t xml:space="preserve">51300015 Returns &amp; corr.- FG Man Adj 3rd P</t>
  </si>
  <si>
    <t xml:space="preserve">51300026 Sales Discount-Negotiated terms-TG Domestic 3P 1</t>
  </si>
  <si>
    <t xml:space="preserve">51115</t>
  </si>
  <si>
    <t xml:space="preserve">Market access terms</t>
  </si>
  <si>
    <t xml:space="preserve">51300450 Price Red./Reb.Local Sales - Trading Goods</t>
  </si>
  <si>
    <t xml:space="preserve">51300502 Discount - Accrual 3rd P</t>
  </si>
  <si>
    <t xml:space="preserve">51300799 Sales Discount-Negotiated terms-Man Adj 3rd P</t>
  </si>
  <si>
    <t xml:space="preserve">51650053 Institut Price equaliz (Tender) post-inv-TG D 3P</t>
  </si>
  <si>
    <t xml:space="preserve">51125</t>
  </si>
  <si>
    <t xml:space="preserve">Tender and Price adjustment on off invoice</t>
  </si>
  <si>
    <t xml:space="preserve">51650102 Price Equalization - TG Man Adj 3rd P.</t>
  </si>
  <si>
    <t xml:space="preserve">51660001 Sales deduction- accrual for Pharma</t>
  </si>
  <si>
    <t xml:space="preserve">53000005 Standard COGS .Trading Goods</t>
  </si>
  <si>
    <t xml:space="preserve">¥±. COSTS AND EXPENSES</t>
  </si>
  <si>
    <t xml:space="preserve">(1) Cost of sales</t>
  </si>
  <si>
    <t xml:space="preserve">2. Cost of merchandise sold</t>
  </si>
  <si>
    <t xml:space="preserve">10. COG - Cost of Goods Sold</t>
  </si>
  <si>
    <t xml:space="preserve">52200</t>
  </si>
  <si>
    <t xml:space="preserve">Industrial standard costs (ISC)</t>
  </si>
  <si>
    <t xml:space="preserve">53000850 Yield Semi-finished 3P/ICO</t>
  </si>
  <si>
    <t xml:space="preserve">52225</t>
  </si>
  <si>
    <t xml:space="preserve">Yield/ substitution variance</t>
  </si>
  <si>
    <t xml:space="preserve">53000853 Purchase Trading Goods 3rd</t>
  </si>
  <si>
    <t xml:space="preserve">52265</t>
  </si>
  <si>
    <t xml:space="preserve">Other ISC variances</t>
  </si>
  <si>
    <t xml:space="preserve">53000858 Prov - Inventories - revalorization</t>
  </si>
  <si>
    <t xml:space="preserve">52250</t>
  </si>
  <si>
    <t xml:space="preserve">Inventory write-down</t>
  </si>
  <si>
    <t xml:space="preserve">54000008 Mat.Prc.Var.Trading Goods</t>
  </si>
  <si>
    <t xml:space="preserve">54000033 PPV Price Samples ICO</t>
  </si>
  <si>
    <t xml:space="preserve">52260</t>
  </si>
  <si>
    <t xml:space="preserve">Variances of interco transfer prices</t>
  </si>
  <si>
    <t xml:space="preserve">54200018 Oth.Prd.Var.Mfg.Spend.Prod.Related</t>
  </si>
  <si>
    <t xml:space="preserve">54000070 Manual price purchase SF 3P</t>
  </si>
  <si>
    <t xml:space="preserve">54000080 Manual Price outsourcing purchase 3P</t>
  </si>
  <si>
    <t xml:space="preserve">54000700 PPV Price Semi Finished 3rd</t>
  </si>
  <si>
    <t xml:space="preserve">54000851 Good issue on Dev Packaging Purch 3P</t>
  </si>
  <si>
    <t xml:space="preserve">1. Cost of finished goods sold</t>
  </si>
  <si>
    <t xml:space="preserve">52270</t>
  </si>
  <si>
    <t xml:space="preserve">Costs not included in ISC</t>
  </si>
  <si>
    <t xml:space="preserve">품질검사</t>
  </si>
  <si>
    <t xml:space="preserve">54001201 Merchandise Purchase Price Variance-Bulk (Group)</t>
  </si>
  <si>
    <t xml:space="preserve">55010002 Added Value Var Indirect</t>
  </si>
  <si>
    <t xml:space="preserve">55050000 Reval.Invent.New Std/Act.Cost - Semifinished and F</t>
  </si>
  <si>
    <t xml:space="preserve">52275</t>
  </si>
  <si>
    <t xml:space="preserve">Reval. invent. due to transfer price changes</t>
  </si>
  <si>
    <t xml:space="preserve">55050001 Reval.Invent.New Std/Act.Cost - Primary Product</t>
  </si>
  <si>
    <t xml:space="preserve">(2) Materials consumed</t>
  </si>
  <si>
    <t xml:space="preserve">2. Packing materials</t>
  </si>
  <si>
    <t xml:space="preserve">포장재료표준원가변경차이</t>
  </si>
  <si>
    <t xml:space="preserve">55050850 Reval.Invent.New Std/Act.Cost-merchadise</t>
  </si>
  <si>
    <t xml:space="preserve">52280</t>
  </si>
  <si>
    <t xml:space="preserve">Reval of invent not due to transfer price changes</t>
  </si>
  <si>
    <t xml:space="preserve">55090002 Destruct.Of Inventories - Merchandise</t>
  </si>
  <si>
    <t xml:space="preserve">52240</t>
  </si>
  <si>
    <t xml:space="preserve">Adjustments of inventory volumes</t>
  </si>
  <si>
    <t xml:space="preserve">55100008 Oth.Invent.Adj.Trad.Goods</t>
  </si>
  <si>
    <t xml:space="preserve">55150000 Other Cost of sales - Royalty - 3rd pty</t>
  </si>
  <si>
    <t xml:space="preserve">(7) Ind. selling &amp; admin./Mfg. overhead</t>
  </si>
  <si>
    <t xml:space="preserve">16.Commissions and fees</t>
  </si>
  <si>
    <t xml:space="preserve">11. OPE - Operating Expenses</t>
  </si>
  <si>
    <t xml:space="preserve">52100</t>
  </si>
  <si>
    <t xml:space="preserve">Royalties expenses</t>
  </si>
  <si>
    <t xml:space="preserve">판매비와일반관리비</t>
  </si>
  <si>
    <t xml:space="preserve">55210003 Purchase Samples 3rd</t>
  </si>
  <si>
    <t xml:space="preserve">14.Post marketing surveillance expenses</t>
  </si>
  <si>
    <t xml:space="preserve">임사증례조사비</t>
  </si>
  <si>
    <t xml:space="preserve">55300001 Revaluation Packaging Purch ICO</t>
  </si>
  <si>
    <t xml:space="preserve">59000000 Royalties from 3rd party - outside EEC</t>
  </si>
  <si>
    <t xml:space="preserve">(9) Non-operating income</t>
  </si>
  <si>
    <t xml:space="preserve">19.Miscellaneous income</t>
  </si>
  <si>
    <t xml:space="preserve">51200</t>
  </si>
  <si>
    <t xml:space="preserve">Royalties income</t>
  </si>
  <si>
    <t xml:space="preserve">61000400 Training to employees</t>
  </si>
  <si>
    <t xml:space="preserve">22.Education and training</t>
  </si>
  <si>
    <t xml:space="preserve">99997</t>
  </si>
  <si>
    <t xml:space="preserve">Cost Collector Driven</t>
  </si>
  <si>
    <t xml:space="preserve">61000870 Site facility management &amp; Services</t>
  </si>
  <si>
    <t xml:space="preserve">61001160 Bank charges</t>
  </si>
  <si>
    <t xml:space="preserve">12. NOE - Non-Operating Expenses/Income</t>
  </si>
  <si>
    <t xml:space="preserve">61001200 Depreciation</t>
  </si>
  <si>
    <t xml:space="preserve">8. Depreciation</t>
  </si>
  <si>
    <t xml:space="preserve">62000005 Vacation paid - local specificities</t>
  </si>
  <si>
    <t xml:space="preserve">(6) Personnel expenses/Labor cost</t>
  </si>
  <si>
    <t xml:space="preserve">1. Salaries</t>
  </si>
  <si>
    <t xml:space="preserve">62000007 Employees exps paid by company</t>
  </si>
  <si>
    <t xml:space="preserve">62000010 Overtime and extra months</t>
  </si>
  <si>
    <t xml:space="preserve">62000300 Salaries &amp; wages</t>
  </si>
  <si>
    <t xml:space="preserve">62000376 Expatriate staff - Salaries &amp; wages</t>
  </si>
  <si>
    <t xml:space="preserve">62000410 Provision bonus</t>
  </si>
  <si>
    <t xml:space="preserve">62000502 Daily allowance</t>
  </si>
  <si>
    <t xml:space="preserve">2. Travel expenses</t>
  </si>
  <si>
    <t xml:space="preserve">62000600 Bonus</t>
  </si>
  <si>
    <t xml:space="preserve">(5) Direct selling expenses</t>
  </si>
  <si>
    <t xml:space="preserve">1. Sales bonus</t>
  </si>
  <si>
    <t xml:space="preserve">판매직접비</t>
  </si>
  <si>
    <t xml:space="preserve">62000717 Provision for vacation</t>
  </si>
  <si>
    <t xml:space="preserve">62000744 Ot compensations</t>
  </si>
  <si>
    <t xml:space="preserve">62100702 Contribution to Pension &amp; life insurance fund</t>
  </si>
  <si>
    <t xml:space="preserve">6. Taxes and dues</t>
  </si>
  <si>
    <t xml:space="preserve">세금과공과</t>
  </si>
  <si>
    <t xml:space="preserve">62100747 Pension cost - Defined contribution Plan</t>
  </si>
  <si>
    <t xml:space="preserve">2. Retirement allowances</t>
  </si>
  <si>
    <t xml:space="preserve">62100925 Social security on Salaries &amp; wages</t>
  </si>
  <si>
    <t xml:space="preserve">1. Other employee benefits</t>
  </si>
  <si>
    <t xml:space="preserve">62200400 Employer sponsored benefits for staff</t>
  </si>
  <si>
    <t xml:space="preserve">62200930 Sal works - occupational medicine</t>
  </si>
  <si>
    <t xml:space="preserve">62200940 Canteen employer contribution</t>
  </si>
  <si>
    <t xml:space="preserve">62200945 Staff relocation costs</t>
  </si>
  <si>
    <t xml:space="preserve">62400006 Provision Incentive Compensation &amp; bonuses</t>
  </si>
  <si>
    <t xml:space="preserve">62400910 Incentive Compensation &amp; bonuses paid</t>
  </si>
  <si>
    <t xml:space="preserve">62400915 Vacation paid</t>
  </si>
  <si>
    <t xml:space="preserve">62500800 Training - Materials</t>
  </si>
  <si>
    <t xml:space="preserve">63300005 Clinical trial - Monitoring Fees</t>
  </si>
  <si>
    <t xml:space="preserve">63420201 Clinical trial - Ethics Committee Rev.</t>
  </si>
  <si>
    <t xml:space="preserve">63450101 Accr.- Studies</t>
  </si>
  <si>
    <t xml:space="preserve">63430101 Outsourcing Prospective RWE -Primary data collect</t>
  </si>
  <si>
    <t xml:space="preserve">64000010 T&amp;E - Transport Domestic</t>
  </si>
  <si>
    <t xml:space="preserve">64000012 T&amp;E - Meals Domestic</t>
  </si>
  <si>
    <t xml:space="preserve">64000020 T&amp;E - Transport Foreign</t>
  </si>
  <si>
    <t xml:space="preserve">64000021 T&amp;E  Accommodation Foreign</t>
  </si>
  <si>
    <t xml:space="preserve">64000030 T&amp;E - Accommodation Domestic</t>
  </si>
  <si>
    <t xml:space="preserve">64000040 Business Meals</t>
  </si>
  <si>
    <t xml:space="preserve">11.Entertainment</t>
  </si>
  <si>
    <t xml:space="preserve">64000710 T&amp;E - Meals Foreign</t>
  </si>
  <si>
    <t xml:space="preserve">64000915 Sundry business exps - ND</t>
  </si>
  <si>
    <t xml:space="preserve">64110000 Temporary agency Labor</t>
  </si>
  <si>
    <t xml:space="preserve">64200000 Audit fees</t>
  </si>
  <si>
    <t xml:space="preserve">64200700 Tax advisory fees</t>
  </si>
  <si>
    <t xml:space="preserve">64200800 IT Maintanence Managed services</t>
  </si>
  <si>
    <t xml:space="preserve">64200801 IT Projects Managed services</t>
  </si>
  <si>
    <t xml:space="preserve">64200802 Managed services</t>
  </si>
  <si>
    <t xml:space="preserve">64212171 Business Process outsourced</t>
  </si>
  <si>
    <t xml:space="preserve">64212450 Purchases of food services</t>
  </si>
  <si>
    <t xml:space="preserve">64290000 Other Fees</t>
  </si>
  <si>
    <t xml:space="preserve">64290090 IT projects consultant fees</t>
  </si>
  <si>
    <t xml:space="preserve">64290150 Solicitors/lawyers &amp; legal fees</t>
  </si>
  <si>
    <t xml:space="preserve">64290601 Strategic and Management consulting fees</t>
  </si>
  <si>
    <t xml:space="preserve">64514001 Promotional materials</t>
  </si>
  <si>
    <t xml:space="preserve">4. Advertising</t>
  </si>
  <si>
    <t xml:space="preserve">64516004 Events - Travel &amp; Accomodation - Guests</t>
  </si>
  <si>
    <t xml:space="preserve">17.Conference expenses</t>
  </si>
  <si>
    <t xml:space="preserve">64550000 Samples</t>
  </si>
  <si>
    <t xml:space="preserve">53240</t>
  </si>
  <si>
    <t xml:space="preserve">64570000 Advertising &amp; communication agency costs</t>
  </si>
  <si>
    <t xml:space="preserve">64570654 Public relation exps</t>
  </si>
  <si>
    <t xml:space="preserve">64590000 Congresses Other expenses</t>
  </si>
  <si>
    <t xml:space="preserve">2. Sales promotion</t>
  </si>
  <si>
    <t xml:space="preserve">64590017 Medical consult.exps</t>
  </si>
  <si>
    <t xml:space="preserve">64590020 Advertising space - Television &amp; Radio</t>
  </si>
  <si>
    <t xml:space="preserve">64590050 Subscriptions fees to professional organiz.</t>
  </si>
  <si>
    <t xml:space="preserve">64590052 Patient Support Program Exps</t>
  </si>
  <si>
    <t xml:space="preserve">64590063 A&amp;P sponsorship Exps</t>
  </si>
  <si>
    <t xml:space="preserve">64590719 Speaker Fees</t>
  </si>
  <si>
    <t xml:space="preserve">24.Scientific expenses</t>
  </si>
  <si>
    <t xml:space="preserve">64591000 Advertising space - Internet</t>
  </si>
  <si>
    <t xml:space="preserve">64591002 Advertising space - Press &amp; Billboard</t>
  </si>
  <si>
    <t xml:space="preserve">64591006 Sponsorship (HCO/MSA)</t>
  </si>
  <si>
    <t xml:space="preserve">64591012 Clinical Trial - Ot costs</t>
  </si>
  <si>
    <t xml:space="preserve">64591013 External events (meetings,congress,symposium)</t>
  </si>
  <si>
    <t xml:space="preserve">64591023 Clinical trial - Investigator fees</t>
  </si>
  <si>
    <t xml:space="preserve">64591062 Patient support materials</t>
  </si>
  <si>
    <t xml:space="preserve">64591075 Clinical trial - Drugs supplies</t>
  </si>
  <si>
    <t xml:space="preserve">18.Consumables</t>
  </si>
  <si>
    <t xml:space="preserve">64591076 Translation fees</t>
  </si>
  <si>
    <t xml:space="preserve">64591078 External archiving</t>
  </si>
  <si>
    <t xml:space="preserve">64600005 Commission &amp; brokerage fees 3rd pty</t>
  </si>
  <si>
    <t xml:space="preserve">53220</t>
  </si>
  <si>
    <t xml:space="preserve">Sales commissions to third parties</t>
  </si>
  <si>
    <t xml:space="preserve">64600030 Mail &amp; express delivery</t>
  </si>
  <si>
    <t xml:space="preserve">4. Communications</t>
  </si>
  <si>
    <t xml:space="preserve">64600050 Distribution &amp; external storage costs</t>
  </si>
  <si>
    <t xml:space="preserve">12.Transportation and warehousing expenses</t>
  </si>
  <si>
    <t xml:space="preserve">64600060 Market research</t>
  </si>
  <si>
    <t xml:space="preserve">64600077 External salesforce</t>
  </si>
  <si>
    <t xml:space="preserve">64600111 Recruitment costs</t>
  </si>
  <si>
    <t xml:space="preserve">64650047 Internal event - off site</t>
  </si>
  <si>
    <t xml:space="preserve">64700600 Software - not capitalized</t>
  </si>
  <si>
    <t xml:space="preserve">64800050 Regulatory Authority fees</t>
  </si>
  <si>
    <t xml:space="preserve">65000000 Real estate rentals exps</t>
  </si>
  <si>
    <t xml:space="preserve">7. Rent</t>
  </si>
  <si>
    <t xml:space="preserve">65000001 IFRS16 clearing a/c-rental exp-Land and Buildings</t>
  </si>
  <si>
    <t xml:space="preserve">65200000 Electricity</t>
  </si>
  <si>
    <t xml:space="preserve">5. Electricity and water</t>
  </si>
  <si>
    <t xml:space="preserve">65300000 Telecommunication costs</t>
  </si>
  <si>
    <t xml:space="preserve">65300020 Mobile telecom costs</t>
  </si>
  <si>
    <t xml:space="preserve">65300050 Software maintenance</t>
  </si>
  <si>
    <t xml:space="preserve">9. Repairs</t>
  </si>
  <si>
    <t xml:space="preserve">65300510 IT equipment not capitalized &amp; supplies</t>
  </si>
  <si>
    <t xml:space="preserve">65550003 Depreciation - EDP</t>
  </si>
  <si>
    <t xml:space="preserve">65550004 Depreciation on Furniture/Fittings/Office Equipmet</t>
  </si>
  <si>
    <t xml:space="preserve">65550008 Depreciation - Leasehold Improvement</t>
  </si>
  <si>
    <t xml:space="preserve">65550012 Dep.Exp.M&amp;E-Machin&amp;Equip (Auto)</t>
  </si>
  <si>
    <t xml:space="preserve">65600000 Site &amp; building maintenance</t>
  </si>
  <si>
    <t xml:space="preserve">65600040 IT equipment maintenance</t>
  </si>
  <si>
    <t xml:space="preserve">65650700 Car maintenance &amp; Fleet administration</t>
  </si>
  <si>
    <t xml:space="preserve">13.Vehicle maintenance</t>
  </si>
  <si>
    <t xml:space="preserve">66000000 Office equipment supplies</t>
  </si>
  <si>
    <t xml:space="preserve">66000703 Laboratory Chemicals</t>
  </si>
  <si>
    <t xml:space="preserve">66000004 Other employee expenses</t>
  </si>
  <si>
    <t xml:space="preserve">66000060 Journal/ magazines &amp; on line subscription</t>
  </si>
  <si>
    <t xml:space="preserve">19.Periodicals and printings</t>
  </si>
  <si>
    <t xml:space="preserve">66000650 Printing Services</t>
  </si>
  <si>
    <t xml:space="preserve">66100020 Insurance - Multirisk &amp; Damage</t>
  </si>
  <si>
    <t xml:space="preserve">10.Insurance</t>
  </si>
  <si>
    <t xml:space="preserve">66100707 Ot insurance for employees</t>
  </si>
  <si>
    <t xml:space="preserve">66200700 Freight costs on sales</t>
  </si>
  <si>
    <t xml:space="preserve">3. Delivery</t>
  </si>
  <si>
    <t xml:space="preserve">66300005 Freight primary costs</t>
  </si>
  <si>
    <t xml:space="preserve">66300915 Duties &amp; Customs</t>
  </si>
  <si>
    <t xml:space="preserve">66500401 Fringe benefits</t>
  </si>
  <si>
    <t xml:space="preserve">66600000 Scientific Documentation</t>
  </si>
  <si>
    <t xml:space="preserve">66900000 Miscellaneous operating expenses</t>
  </si>
  <si>
    <t xml:space="preserve">(10) Non-operating expense</t>
  </si>
  <si>
    <t xml:space="preserve">17.Miscellaneous expense</t>
  </si>
  <si>
    <t xml:space="preserve">66900039 Healthcare contribution</t>
  </si>
  <si>
    <t xml:space="preserve">9. Donations</t>
  </si>
  <si>
    <t xml:space="preserve">영업외판매비와일반관리비</t>
  </si>
  <si>
    <t xml:space="preserve">66900040 Philanthropic Donations - Tax eligible</t>
  </si>
  <si>
    <t xml:space="preserve">66900044 Medical contribution</t>
  </si>
  <si>
    <t xml:space="preserve">66900505 Cleaning expenses</t>
  </si>
  <si>
    <t xml:space="preserve">66900707 Other expenses - ND</t>
  </si>
  <si>
    <t xml:space="preserve">66900905 External collaboration outsourcing cost</t>
  </si>
  <si>
    <t xml:space="preserve">67100028 Off/Ent.QI.Sample TrdGds.</t>
  </si>
  <si>
    <t xml:space="preserve">26.Quality control expenses</t>
  </si>
  <si>
    <t xml:space="preserve">68011600 Salaries &amp; Wages Not Taxable</t>
  </si>
  <si>
    <t xml:space="preserve">67100700 Subcontracting / Ext.Serv.ND</t>
  </si>
  <si>
    <t xml:space="preserve">68014600 Social security - unemployment</t>
  </si>
  <si>
    <t xml:space="preserve">68015600 Personnel exps - ND</t>
  </si>
  <si>
    <t xml:space="preserve">68031400 T&amp;E - Employee Mileage (employee veh.)</t>
  </si>
  <si>
    <t xml:space="preserve">68033200 Travel agencies fees</t>
  </si>
  <si>
    <t xml:space="preserve">68063200 Outplacement services</t>
  </si>
  <si>
    <t xml:space="preserve">68075100 external collaboration insourcing cost</t>
  </si>
  <si>
    <t xml:space="preserve">68132000 IFRS16 clearing a/c-rental exp-Land and Buildings</t>
  </si>
  <si>
    <t xml:space="preserve">68141100 Depreciation of Buildings</t>
  </si>
  <si>
    <t xml:space="preserve">68142100 Depreciation of Furniture</t>
  </si>
  <si>
    <t xml:space="preserve">68142200 Depreciation of Machinery and Equipment</t>
  </si>
  <si>
    <t xml:space="preserve">68142300 Depreciation of Office Equipment</t>
  </si>
  <si>
    <t xml:space="preserve">68144000 Dep.Exp.Land and Build.-Right (Auto)</t>
  </si>
  <si>
    <t xml:space="preserve">68163301 GMAO spare parts - indirect consumption</t>
  </si>
  <si>
    <t xml:space="preserve">68212100 Tax-Property &amp; Business taxes</t>
  </si>
  <si>
    <t xml:space="preserve">68212500 Tax-Others</t>
  </si>
  <si>
    <t xml:space="preserve">68224300 Packaging design</t>
  </si>
  <si>
    <t xml:space="preserve">68225600 Educational mail</t>
  </si>
  <si>
    <t xml:space="preserve">68231100 Commercial Samples</t>
  </si>
  <si>
    <t xml:space="preserve">68231300 Local Medical Sample</t>
  </si>
  <si>
    <t xml:space="preserve">53115</t>
  </si>
  <si>
    <t xml:space="preserve">Samples for local clinical studies</t>
  </si>
  <si>
    <t xml:space="preserve">68225200 Office and site relocation services</t>
  </si>
  <si>
    <t xml:space="preserve">68261700 Rebilling  G&amp;A  inc.</t>
  </si>
  <si>
    <t xml:space="preserve">29.G&amp;A Transfer to Cost of Service</t>
  </si>
  <si>
    <t xml:space="preserve">판관비타계정 출고</t>
  </si>
  <si>
    <t xml:space="preserve">70020150 Provision for risks on receivables</t>
  </si>
  <si>
    <t xml:space="preserve">20.Bad debt expenses</t>
  </si>
  <si>
    <t xml:space="preserve">53280</t>
  </si>
  <si>
    <t xml:space="preserve">Doubtful debts</t>
  </si>
  <si>
    <t xml:space="preserve">70051000 Prov.for restructuring - Personnel</t>
  </si>
  <si>
    <t xml:space="preserve">64000</t>
  </si>
  <si>
    <t xml:space="preserve">Restructuring costs (major events)</t>
  </si>
  <si>
    <t xml:space="preserve">74100000 FXgain opg.- set - 3rd pty rec.s &amp; pay.</t>
  </si>
  <si>
    <t xml:space="preserve">5. Gain on foreign currency transactions</t>
  </si>
  <si>
    <t xml:space="preserve">54200</t>
  </si>
  <si>
    <t xml:space="preserve">Realised forex gains and losses on operations</t>
  </si>
  <si>
    <t xml:space="preserve">74110000 FXlosses opg.-set-3rd pty rec.s&amp;pay.</t>
  </si>
  <si>
    <t xml:space="preserve">5. Loss on foreign currency transactions</t>
  </si>
  <si>
    <t xml:space="preserve">74115000 Foreign Exchange Gain-Unrealized</t>
  </si>
  <si>
    <t xml:space="preserve">7. Gain on foreign currency transalation</t>
  </si>
  <si>
    <t xml:space="preserve">54205</t>
  </si>
  <si>
    <t xml:space="preserve">Unrealised forex gains and losses on operations</t>
  </si>
  <si>
    <t xml:space="preserve">74120000 Foreign Exchange Loss-Unrealized</t>
  </si>
  <si>
    <t xml:space="preserve">7. Loss on foreign currency translation</t>
  </si>
  <si>
    <t xml:space="preserve">74200001 Miscellaneous operating income</t>
  </si>
  <si>
    <t xml:space="preserve">74250001 R&amp;D   Clinical studies  ICO  inc.</t>
  </si>
  <si>
    <t xml:space="preserve">76310</t>
  </si>
  <si>
    <t xml:space="preserve">Intercompany research &amp; development profits</t>
  </si>
  <si>
    <t xml:space="preserve">R&amp;D true-up</t>
  </si>
  <si>
    <t xml:space="preserve">74259900 Other current operating income (Man)</t>
  </si>
  <si>
    <t xml:space="preserve">54415</t>
  </si>
  <si>
    <t xml:space="preserve">74260000 Miscellaneous - Other Expenses</t>
  </si>
  <si>
    <t xml:space="preserve">74260010 Misc.Exp.Bank Charges - Operations</t>
  </si>
  <si>
    <t xml:space="preserve">74260023 Global General Services Expenses -ICO</t>
  </si>
  <si>
    <t xml:space="preserve">76426</t>
  </si>
  <si>
    <t xml:space="preserve">Intercompany Global General Services expenses</t>
  </si>
  <si>
    <t xml:space="preserve">74260024 Grants and Market Support Expenses -ICO</t>
  </si>
  <si>
    <t xml:space="preserve">76431</t>
  </si>
  <si>
    <t xml:space="preserve">Intercompany Grants &amp; Market Support expenses</t>
  </si>
  <si>
    <t xml:space="preserve">&gt;TP adjustment credit</t>
  </si>
  <si>
    <t xml:space="preserve">74260026 Transfer Price Adjustment -Expense -PY</t>
  </si>
  <si>
    <t xml:space="preserve">76437</t>
  </si>
  <si>
    <t xml:space="preserve">TP Adjustments - Previous Year</t>
  </si>
  <si>
    <t xml:space="preserve">74260030 Expenses related to other partners</t>
  </si>
  <si>
    <t xml:space="preserve">54510</t>
  </si>
  <si>
    <t xml:space="preserve">75000850 Fi.charges-reval.-Credit Lines-int.s</t>
  </si>
  <si>
    <t xml:space="preserve">1. Interest expense</t>
  </si>
  <si>
    <t xml:space="preserve">56100</t>
  </si>
  <si>
    <t xml:space="preserve">Interests on loan</t>
  </si>
  <si>
    <t xml:space="preserve">75001500 Ints. Costs on Unwinding Disc of LT Asset and Prov</t>
  </si>
  <si>
    <t xml:space="preserve">56130</t>
  </si>
  <si>
    <t xml:space="preserve">Int. costs on unwinding of discount of LT A &amp; prov</t>
  </si>
  <si>
    <t xml:space="preserve">75250110 Interest expense on lease liabilities - below BNI</t>
  </si>
  <si>
    <t xml:space="preserve">56140</t>
  </si>
  <si>
    <t xml:space="preserve">75300850 Fi.inc.- set - Bank accounts - Interests</t>
  </si>
  <si>
    <t xml:space="preserve">1. Interest income</t>
  </si>
  <si>
    <t xml:space="preserve">56200</t>
  </si>
  <si>
    <t xml:space="preserve">Interest income</t>
  </si>
  <si>
    <t xml:space="preserve">75500000 Other interest income</t>
  </si>
  <si>
    <t xml:space="preserve">77000851 Gain from sales of investment  ICO</t>
  </si>
  <si>
    <t xml:space="preserve">3. Gain on disposition of marketable securiti</t>
  </si>
  <si>
    <t xml:space="preserve">76555</t>
  </si>
  <si>
    <t xml:space="preserve">유가증권처분이익</t>
  </si>
  <si>
    <t xml:space="preserve">77900001 Indirect Tax Expense</t>
  </si>
  <si>
    <t xml:space="preserve">(13) Income tax expense</t>
  </si>
  <si>
    <t xml:space="preserve">78000000 Current Income Taxes - WHT 944010</t>
  </si>
  <si>
    <t xml:space="preserve">67100</t>
  </si>
  <si>
    <t xml:space="preserve">Current income taxes (without account 67105)</t>
  </si>
  <si>
    <t xml:space="preserve">법인세판매비와일반관리비</t>
  </si>
  <si>
    <t xml:space="preserve">78000103 Taxes on gain/losses on disposals of assets</t>
  </si>
  <si>
    <t xml:space="preserve">67105</t>
  </si>
  <si>
    <t xml:space="preserve">Current income taxes on G/L on disposal of assets</t>
  </si>
  <si>
    <t xml:space="preserve">78000600 Previous Year Income Taxes</t>
  </si>
  <si>
    <t xml:space="preserve">78200000 Deferred income taxes</t>
  </si>
  <si>
    <t xml:space="preserve">67200</t>
  </si>
  <si>
    <t xml:space="preserve">Deferred Tax ex taxes on G/L on disposal of assets</t>
  </si>
  <si>
    <t xml:space="preserve">78250000 Other Tax Based on Income</t>
  </si>
  <si>
    <t xml:space="preserve">16.Supplementary payment of income tax</t>
  </si>
  <si>
    <t xml:space="preserve">79000100 Other current operating expenses Manual</t>
  </si>
  <si>
    <t xml:space="preserve">54515</t>
  </si>
  <si>
    <t xml:space="preserve">Other current operating expenses</t>
  </si>
  <si>
    <t xml:space="preserve">54320</t>
  </si>
  <si>
    <r>
      <rPr>
        <sz val="11.5"/>
        <rFont val="WenQuanYi Zen Hei"/>
        <family val="2"/>
      </rPr>
      <t xml:space="preserve">투자자산처분이익</t>
    </r>
    <r>
      <rPr>
        <sz val="11.5"/>
        <rFont val="Arial Narrow"/>
        <family val="2"/>
        <charset val="1"/>
      </rPr>
      <t xml:space="preserve">/</t>
    </r>
    <r>
      <rPr>
        <sz val="11.5"/>
        <rFont val="WenQuanYi Zen Hei"/>
        <family val="2"/>
      </rPr>
      <t xml:space="preserve">손실</t>
    </r>
  </si>
  <si>
    <t xml:space="preserve">75520700 Net book value - Intangible Fixed Asset disposal</t>
  </si>
  <si>
    <t xml:space="preserve">54305</t>
  </si>
  <si>
    <t xml:space="preserve">chk</t>
  </si>
  <si>
    <r>
      <rPr>
        <sz val="11.5"/>
        <rFont val="WenQuanYi Zen Hei"/>
        <family val="2"/>
      </rPr>
      <t xml:space="preserve">기말 </t>
    </r>
    <r>
      <rPr>
        <sz val="11.5"/>
        <rFont val="Arial Narrow"/>
        <family val="2"/>
        <charset val="1"/>
      </rPr>
      <t xml:space="preserve">statutory </t>
    </r>
    <r>
      <rPr>
        <sz val="11.5"/>
        <rFont val="WenQuanYi Zen Hei"/>
        <family val="2"/>
      </rPr>
      <t xml:space="preserve">는 </t>
    </r>
    <r>
      <rPr>
        <sz val="11.5"/>
        <rFont val="Arial Narrow"/>
        <family val="2"/>
        <charset val="1"/>
      </rPr>
      <t xml:space="preserve">P16</t>
    </r>
    <r>
      <rPr>
        <sz val="11.5"/>
        <rFont val="WenQuanYi Zen Hei"/>
        <family val="2"/>
      </rPr>
      <t xml:space="preserve">으로 봐야함</t>
    </r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</si>
  <si>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</si>
  <si>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</si>
  <si>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</si>
  <si>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</si>
  <si>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</si>
  <si>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</si>
  <si>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</si>
  <si>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</si>
  <si>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P16</t>
  </si>
  <si>
    <t xml:space="preserve">2026-09</t>
  </si>
  <si>
    <t xml:space="preserve">26000850 Guarantees-customers(Received)</t>
  </si>
  <si>
    <t xml:space="preserve">26000851 Guarantee clearing-customers</t>
  </si>
  <si>
    <t xml:space="preserve">40200850 Payment Guarantees-Vendor</t>
  </si>
  <si>
    <t xml:space="preserve">40200851 Guarantee clearing-vendors</t>
  </si>
  <si>
    <t xml:space="preserve">Stat BS</t>
  </si>
  <si>
    <t xml:space="preserve">83142000 Local PCoA-Accum.Amortis.Licenses</t>
  </si>
  <si>
    <t xml:space="preserve">83201000 Local PCoA-Allowance on Fin.Goods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</si>
  <si>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상품재고액차이 </t>
    </r>
    <r>
      <rPr>
        <sz val="11.5"/>
        <rFont val="Arial Narrow"/>
        <family val="2"/>
        <charset val="1"/>
      </rPr>
      <t xml:space="preserve">(Sample)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</si>
  <si>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평가충당금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상품</t>
    </r>
  </si>
  <si>
    <t xml:space="preserve">83260000 Local PCoA-Accrued Income</t>
  </si>
  <si>
    <t xml:space="preserve">84429100 Local PCoA-Other payable-others</t>
  </si>
  <si>
    <t xml:space="preserve">84429300 Local PCoA-Accr.Income Taxes Payable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</si>
  <si>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미지급법인세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</si>
  <si>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미지급법인세</t>
    </r>
  </si>
  <si>
    <t xml:space="preserve">86100082 Asset right of use (Manual)</t>
  </si>
  <si>
    <t xml:space="preserve">GAAP diff -Restoration fee &amp; IFRS16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</si>
  <si>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구축물</t>
    </r>
  </si>
  <si>
    <t xml:space="preserve">86100083 Acc.dep.Asset right of use (Manual)</t>
  </si>
  <si>
    <t xml:space="preserve">GAAP diff -Restoration fee&amp;IFRS16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</si>
  <si>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구축물</t>
    </r>
  </si>
  <si>
    <t xml:space="preserve">86101000 Buildings</t>
  </si>
  <si>
    <t xml:space="preserve">86101010 Buildings -Fittings and Facilities-Local Adj</t>
  </si>
  <si>
    <t xml:space="preserve">86102007 M&amp;E-Machinery and Equipment (Man)</t>
  </si>
  <si>
    <t xml:space="preserve">86104100 A Oth.FA-Fu.fix.Off Eq (Man)</t>
  </si>
  <si>
    <t xml:space="preserve">86111000 Accumulated Depreciation-Buildings</t>
  </si>
  <si>
    <t xml:space="preserve">86111010 Depreciation Buildings -Fittings &amp; Facilities-Loca</t>
  </si>
  <si>
    <t xml:space="preserve">86111500 Acc.dep.Oth.FA-Fu.fix.Off Eq (Man)</t>
  </si>
  <si>
    <t xml:space="preserve">86112007 Acc.dep.M&amp;E-Techn.Facilities (Man)</t>
  </si>
  <si>
    <t xml:space="preserve">86150001 Investments in Subsidiaries-Local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</si>
  <si>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지분법적용투자주식</t>
    </r>
  </si>
  <si>
    <t xml:space="preserve">86158008 SPPI amortized cost-NC-all but collateral given-L</t>
  </si>
  <si>
    <t xml:space="preserve">86159000 SPPI FV(Variatn fr HV)noncurr-all but coll given-L</t>
  </si>
  <si>
    <t xml:space="preserve">86200800 Long-term lease liability</t>
  </si>
  <si>
    <t xml:space="preserve">86240007 AR Trade 3rd Party Short Term -Manual-Local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</si>
  <si>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매출채권</t>
    </r>
  </si>
  <si>
    <t xml:space="preserve">86260000 Other receivable- Local adj</t>
  </si>
  <si>
    <t xml:space="preserve">86260008 Payroll deductions-Local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</si>
  <si>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선급금</t>
    </r>
  </si>
  <si>
    <t xml:space="preserve">86260033 Other partners relationship - Assets-Local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</si>
  <si>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미수금</t>
    </r>
  </si>
  <si>
    <t xml:space="preserve">86265300 Local Input VAT Standard -Goods-Local Adj</t>
  </si>
  <si>
    <t xml:space="preserve">86266003 Local -Income Tax Receivable -Current Year -Fed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</si>
  <si>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선급법인세</t>
    </r>
  </si>
  <si>
    <t xml:space="preserve">86266554 Local VAT Refund asked-Local Adj</t>
  </si>
  <si>
    <t xml:space="preserve">86291000 Local Adjust -Deferred Tax Asset -Gross -Manual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</si>
  <si>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유동성이연법인세자산</t>
    </r>
  </si>
  <si>
    <t xml:space="preserve">86291502 Local Adjust-Deferred Tax Asse -Gross-Manual &lt;12M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</si>
  <si>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이연법인세자산</t>
    </r>
  </si>
  <si>
    <t xml:space="preserve">86300001 Share premium- Local</t>
  </si>
  <si>
    <t xml:space="preserve">합병회계처리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</si>
  <si>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주식발행초과금</t>
    </r>
  </si>
  <si>
    <t xml:space="preserve">86310000 Capital contribution premium-LocalAdj</t>
  </si>
  <si>
    <t xml:space="preserve">합병회계처리 조정분개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</si>
  <si>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기타자본잉여금</t>
    </r>
  </si>
  <si>
    <t xml:space="preserve">86322000 Retained Earnings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</si>
  <si>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이익잉여금</t>
    </r>
  </si>
  <si>
    <t xml:space="preserve">86322007 Other reserves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</si>
  <si>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이익준비금</t>
    </r>
  </si>
  <si>
    <t xml:space="preserve">86322100 Tax on Pensions-Actuarial Gains &amp; Losses (Local)</t>
  </si>
  <si>
    <t xml:space="preserve">86329000 Pensions -  Actuarial  gain &amp; losses (Local)</t>
  </si>
  <si>
    <t xml:space="preserve">86424000 Liabilities from Payroll Due to Employees-LocalAdj</t>
  </si>
  <si>
    <t xml:space="preserve">86424001 Employees Other Payroll Liabilities-Local adj</t>
  </si>
  <si>
    <t xml:space="preserve">86429100 Other payable-others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</si>
  <si>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매입채무</t>
    </r>
  </si>
  <si>
    <t xml:space="preserve">86429108 Commercial Incentives -Provision-Local Adj</t>
  </si>
  <si>
    <t xml:space="preserve">86429208 Local Output VAT Standard (Goods) -Manual</t>
  </si>
  <si>
    <t xml:space="preserve">86429307 Local Adj Income Tax Payable -Current Year -Fed</t>
  </si>
  <si>
    <t xml:space="preserve">86429700 Local -Deferred Tax Liability</t>
  </si>
  <si>
    <t xml:space="preserve">86429901 Sundry accrued liabilities- Local adj</t>
  </si>
  <si>
    <t xml:space="preserve">86911100 Short-term lease liability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</si>
  <si>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미지급비용</t>
    </r>
  </si>
  <si>
    <t xml:space="preserve">86911101 Accrued interest - Short-term lease liability</t>
  </si>
  <si>
    <t xml:space="preserve">95532200 Retained earnings Local GAAP</t>
  </si>
  <si>
    <t xml:space="preserve">Stat PL</t>
  </si>
  <si>
    <t xml:space="preserve">86000000 Current Income Taxes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</si>
  <si>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법인세비용</t>
    </r>
  </si>
  <si>
    <t xml:space="preserve">86000001 Deferred income taxes- Local adj</t>
  </si>
  <si>
    <t xml:space="preserve">86000004 Other employee expenses-Local Adj</t>
  </si>
  <si>
    <t xml:space="preserve">86000006 Travel expenses-Local Adj</t>
  </si>
  <si>
    <t xml:space="preserve">86000300 Salaries &amp; wages-Local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</si>
  <si>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급여</t>
    </r>
  </si>
  <si>
    <t xml:space="preserve">86000400 Training to employees-Local Adj</t>
  </si>
  <si>
    <t xml:space="preserve">86000800 Cost Of Goods Sold- 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</si>
  <si>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매출원가</t>
    </r>
  </si>
  <si>
    <t xml:space="preserve">86030002 Non operating expenses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</si>
  <si>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법인세추납액</t>
    </r>
  </si>
  <si>
    <t xml:space="preserve">86073501 Local PCoA-Clinical Trial - other costs</t>
  </si>
  <si>
    <t xml:space="preserve">86100747 Pension cost - Defined contribution Plan-Local Adj</t>
  </si>
  <si>
    <t xml:space="preserve">86100925 Social security on Salaries &amp; wages-Local Adj</t>
  </si>
  <si>
    <t xml:space="preserve">86132000 IFRS16 rental expenses-Asset right of use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</si>
  <si>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임차료</t>
    </r>
  </si>
  <si>
    <t xml:space="preserve">86144000 Dep.Asset right of use (Manual)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</si>
  <si>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감가상각비</t>
    </r>
  </si>
  <si>
    <t xml:space="preserve">86150000 Exp ICO-set  Loans&amp; borrowings-Interests-Local Adj</t>
  </si>
  <si>
    <t xml:space="preserve">86200001 Miscellaneous operating income</t>
  </si>
  <si>
    <t xml:space="preserve">86200400 Non operating income</t>
  </si>
  <si>
    <t xml:space="preserve">timing GAAP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</si>
  <si>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잡이익</t>
    </r>
  </si>
  <si>
    <t xml:space="preserve">86200702 Selling expenses- Local Adj</t>
  </si>
  <si>
    <t xml:space="preserve">86250030 Intercompany fees- Minor Expenses- local adj</t>
  </si>
  <si>
    <t xml:space="preserve">86250110 Interest Expense on lease liabilities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</si>
  <si>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이자비용</t>
    </r>
  </si>
  <si>
    <t xml:space="preserve">86260023 Intercompany fees- Major Expenses</t>
  </si>
  <si>
    <t xml:space="preserve">86260025 Transfer Price Adjustment -Expense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</si>
  <si>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잡손실</t>
    </r>
  </si>
  <si>
    <t xml:space="preserve">86290000 Other Fees-Local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</si>
  <si>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지급수수료</t>
    </r>
  </si>
  <si>
    <t xml:space="preserve">86290150 Solicitors/lawyers &amp; legal fees-Local Adj</t>
  </si>
  <si>
    <t xml:space="preserve">86300510 IT equipment not capitalized &amp; supplies-Loc Adj</t>
  </si>
  <si>
    <t xml:space="preserve">86300850 Fi.inc.- set - Bank accounts - Interests-Local Adj</t>
  </si>
  <si>
    <t xml:space="preserve">86400910 Incentive Compensation &amp; bonuses paid-Local Adj</t>
  </si>
  <si>
    <t xml:space="preserve">86514001 Promotional materials-Local Adj</t>
  </si>
  <si>
    <t xml:space="preserve">86590050 Subscriptions fees to professional organiz-Loc Adj</t>
  </si>
  <si>
    <t xml:space="preserve">86591013 External events (meetings,congress,symposium)-Loc</t>
  </si>
  <si>
    <t xml:space="preserve">86600000 Site &amp; building maintenance-Local Adj</t>
  </si>
  <si>
    <t xml:space="preserve">86900000 Miscellaneous operating expenses</t>
  </si>
  <si>
    <t xml:space="preserve">87530008 Local PCOA-Revaluation-Merchadise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</si>
  <si>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상품매출원가</t>
    </r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상품평가손실</t>
    </r>
    <r>
      <rPr>
        <sz val="11.5"/>
        <rFont val="Arial Narrow"/>
        <family val="2"/>
        <charset val="1"/>
      </rPr>
      <t xml:space="preserve">- Sample)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</si>
  <si>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상품매출원가</t>
    </r>
  </si>
  <si>
    <t xml:space="preserve">89710500 Local PCoA-Amortis.Intangible Assets</t>
  </si>
  <si>
    <t xml:space="preserve">89782000 Local PCoA-Deferred Income Taxes</t>
  </si>
  <si>
    <r>
      <rPr>
        <sz val="11.5"/>
        <rFont val="Arial Narrow"/>
        <family val="2"/>
        <charset val="1"/>
      </rPr>
      <t xml:space="preserve">KGAAP-</t>
    </r>
    <r>
      <rPr>
        <sz val="11.5"/>
        <rFont val="WenQuanYi Zen Hei"/>
        <family val="2"/>
      </rPr>
      <t xml:space="preserve">법인세비용</t>
    </r>
  </si>
  <si>
    <t xml:space="preserve">FINAL</t>
  </si>
  <si>
    <t xml:space="preserve">대 차 대 조 표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</si>
  <si>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Calibri"/>
        <family val="3"/>
        <charset val="129"/>
      </rPr>
      <t xml:space="preserve">37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Calibri"/>
        <family val="3"/>
        <charset val="129"/>
      </rPr>
      <t xml:space="preserve">2026</t>
    </r>
    <r>
      <rPr>
        <b val="true"/>
        <sz val="10"/>
        <rFont val="WenQuanYi Zen Hei"/>
        <family val="2"/>
      </rPr>
      <t xml:space="preserve">년  </t>
    </r>
    <r>
      <rPr>
        <b val="true"/>
        <sz val="10"/>
        <rFont val="Calibri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Calibri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</si>
  <si>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Calibri"/>
        <family val="3"/>
        <charset val="129"/>
      </rPr>
      <t xml:space="preserve">36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Calibri"/>
        <family val="3"/>
        <charset val="129"/>
      </rPr>
      <t xml:space="preserve">2025</t>
    </r>
    <r>
      <rPr>
        <b val="true"/>
        <sz val="10"/>
        <rFont val="WenQuanYi Zen Hei"/>
        <family val="2"/>
      </rPr>
      <t xml:space="preserve">년  </t>
    </r>
    <r>
      <rPr>
        <b val="true"/>
        <sz val="10"/>
        <rFont val="Calibri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Calibri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</si>
  <si>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All SAP- activities </t>
  </si>
  <si>
    <t xml:space="preserve">Current Year </t>
  </si>
  <si>
    <t xml:space="preserve">구      분</t>
  </si>
  <si>
    <t xml:space="preserve">Statutory </t>
  </si>
  <si>
    <t xml:space="preserve">Prior year</t>
  </si>
  <si>
    <t xml:space="preserve">Statutory</t>
  </si>
  <si>
    <t xml:space="preserve">reversal</t>
  </si>
  <si>
    <t xml:space="preserve">Adjustment</t>
  </si>
  <si>
    <t xml:space="preserve">자                    산</t>
  </si>
  <si>
    <t xml:space="preserve">Ⅰ.</t>
  </si>
  <si>
    <t xml:space="preserve">유  동  자  산</t>
  </si>
  <si>
    <t xml:space="preserve">당좌자산</t>
  </si>
  <si>
    <t xml:space="preserve"> </t>
  </si>
  <si>
    <t xml:space="preserve">재고자산</t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</si>
  <si>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상품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</si>
  <si>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제품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</si>
  <si>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원재료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</si>
  <si>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포장재료</t>
    </r>
  </si>
  <si>
    <t xml:space="preserve">Ⅱ.</t>
  </si>
  <si>
    <t xml:space="preserve">비 유 동 자 산</t>
  </si>
  <si>
    <t xml:space="preserve">투자자산</t>
  </si>
  <si>
    <t xml:space="preserve">유형자산</t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</si>
  <si>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건물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</si>
  <si>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구축물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</si>
  <si>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기계장치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</si>
  <si>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차량운반구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</si>
  <si>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공구와기구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</si>
  <si>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집기비품</t>
    </r>
  </si>
  <si>
    <r>
      <rPr>
        <b val="true"/>
        <sz val="11"/>
        <rFont val="Calibri"/>
        <family val="3"/>
        <charset val="129"/>
      </rPr>
      <t xml:space="preserve">(3) </t>
    </r>
    <r>
      <rPr>
        <b val="true"/>
        <sz val="11"/>
        <rFont val="WenQuanYi Zen Hei"/>
        <family val="2"/>
      </rPr>
      <t xml:space="preserve">무형자산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</si>
  <si>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소프트웨어</t>
    </r>
  </si>
  <si>
    <r>
      <rPr>
        <b val="true"/>
        <sz val="11"/>
        <rFont val="Calibri"/>
        <family val="3"/>
        <charset val="129"/>
      </rPr>
      <t xml:space="preserve">(4) </t>
    </r>
    <r>
      <rPr>
        <b val="true"/>
        <sz val="11"/>
        <rFont val="WenQuanYi Zen Hei"/>
        <family val="2"/>
      </rPr>
      <t xml:space="preserve">기타비유동자산</t>
    </r>
  </si>
  <si>
    <r>
      <rPr>
        <sz val="11"/>
        <rFont val="WenQuanYi Zen Hei"/>
        <family val="2"/>
      </rPr>
      <t xml:space="preserve">대손충당금</t>
    </r>
    <r>
      <rPr>
        <sz val="11"/>
        <rFont val="Calibri"/>
        <family val="3"/>
        <charset val="129"/>
      </rPr>
      <t xml:space="preserve">(</t>
    </r>
    <r>
      <rPr>
        <sz val="11"/>
        <rFont val="WenQuanYi Zen Hei"/>
        <family val="2"/>
      </rPr>
      <t xml:space="preserve">비유동</t>
    </r>
    <r>
      <rPr>
        <sz val="11"/>
        <rFont val="Calibri"/>
        <family val="3"/>
        <charset val="129"/>
      </rPr>
      <t xml:space="preserve">)</t>
    </r>
  </si>
  <si>
    <t xml:space="preserve">자    산    총    계</t>
  </si>
  <si>
    <t xml:space="preserve">부                    채</t>
  </si>
  <si>
    <t xml:space="preserve">유   동   부   채</t>
  </si>
  <si>
    <t xml:space="preserve">유동</t>
  </si>
  <si>
    <t xml:space="preserve">고정 부 채</t>
  </si>
  <si>
    <t xml:space="preserve">비유동</t>
  </si>
  <si>
    <t xml:space="preserve">부    채    총    계</t>
  </si>
  <si>
    <t xml:space="preserve">자                  본</t>
  </si>
  <si>
    <t xml:space="preserve">자 본 금</t>
  </si>
  <si>
    <r>
      <rPr>
        <b val="true"/>
        <sz val="11"/>
        <rFont val="WenQuanYi Zen Hei"/>
        <family val="2"/>
      </rPr>
      <t xml:space="preserve">이익잉여금</t>
    </r>
    <r>
      <rPr>
        <b val="true"/>
        <sz val="11"/>
        <rFont val="Calibri"/>
        <family val="3"/>
        <charset val="129"/>
      </rPr>
      <t xml:space="preserve">(</t>
    </r>
    <r>
      <rPr>
        <b val="true"/>
        <sz val="11"/>
        <rFont val="WenQuanYi Zen Hei"/>
        <family val="2"/>
      </rPr>
      <t xml:space="preserve">결손금</t>
    </r>
    <r>
      <rPr>
        <b val="true"/>
        <sz val="11"/>
        <rFont val="Calibri"/>
        <family val="3"/>
        <charset val="129"/>
      </rPr>
      <t xml:space="preserve">)</t>
    </r>
  </si>
  <si>
    <t xml:space="preserve">자    본    총    계</t>
  </si>
  <si>
    <t xml:space="preserve">부 채 와 자 본 총 계</t>
  </si>
  <si>
    <t xml:space="preserve">s/b zero</t>
  </si>
  <si>
    <t xml:space="preserve">check</t>
  </si>
  <si>
    <t xml:space="preserve">&gt;SAP (incl. P16 statutory booking)</t>
  </si>
  <si>
    <t xml:space="preserve">Beginning</t>
  </si>
  <si>
    <r>
      <rPr>
        <sz val="11"/>
        <rFont val="WenQuanYi Zen Hei"/>
        <family val="2"/>
      </rPr>
      <t xml:space="preserve">배당금 </t>
    </r>
    <r>
      <rPr>
        <sz val="11"/>
        <rFont val="Calibri"/>
        <family val="3"/>
        <charset val="129"/>
      </rPr>
      <t xml:space="preserve">paid 2025</t>
    </r>
  </si>
  <si>
    <r>
      <rPr>
        <sz val="11"/>
        <rFont val="WenQuanYi Zen Hei"/>
        <family val="2"/>
      </rPr>
      <t xml:space="preserve">이익잉여금</t>
    </r>
    <r>
      <rPr>
        <sz val="11"/>
        <rFont val="Calibri"/>
        <family val="3"/>
        <charset val="129"/>
      </rPr>
      <t xml:space="preserve">(</t>
    </r>
    <r>
      <rPr>
        <sz val="11"/>
        <rFont val="WenQuanYi Zen Hei"/>
        <family val="2"/>
      </rPr>
      <t xml:space="preserve">결손금</t>
    </r>
    <r>
      <rPr>
        <sz val="11"/>
        <rFont val="Calibri"/>
        <family val="3"/>
        <charset val="129"/>
      </rPr>
      <t xml:space="preserve">)</t>
    </r>
  </si>
  <si>
    <t xml:space="preserve">DIFF</t>
  </si>
  <si>
    <r>
      <rPr>
        <sz val="11"/>
        <rFont val="Calibri"/>
        <family val="3"/>
        <charset val="129"/>
      </rPr>
      <t xml:space="preserve">PL Impact_FY2024</t>
    </r>
    <r>
      <rPr>
        <sz val="11"/>
        <rFont val="WenQuanYi Zen Hei"/>
        <family val="2"/>
      </rPr>
      <t xml:space="preserve">년도 조정분</t>
    </r>
  </si>
  <si>
    <r>
      <rPr>
        <sz val="11"/>
        <rFont val="Calibri"/>
        <family val="3"/>
        <charset val="129"/>
      </rPr>
      <t xml:space="preserve">reversal of FY2024</t>
    </r>
    <r>
      <rPr>
        <sz val="11"/>
        <rFont val="WenQuanYi Zen Hei"/>
        <family val="2"/>
      </rPr>
      <t xml:space="preserve">조정분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</si>
  <si>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법인세비용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</si>
  <si>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급여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</si>
  <si>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법인세추납액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</si>
  <si>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지급수수료</t>
    </r>
  </si>
  <si>
    <r>
      <rPr>
        <sz val="12"/>
        <rFont val="Calibri"/>
        <family val="2"/>
        <charset val="1"/>
      </rPr>
      <t xml:space="preserve">2024 </t>
    </r>
    <r>
      <rPr>
        <sz val="12"/>
        <rFont val="WenQuanYi Zen Hei"/>
        <family val="2"/>
      </rPr>
      <t xml:space="preserve">법인세 세무조정분 </t>
    </r>
  </si>
  <si>
    <t xml:space="preserve">이연법인세 자산부채 </t>
  </si>
  <si>
    <r>
      <rPr>
        <sz val="12"/>
        <color theme="1"/>
        <rFont val="Calibri"/>
        <family val="2"/>
        <charset val="1"/>
      </rPr>
      <t xml:space="preserve">GL reclassification (</t>
    </r>
    <r>
      <rPr>
        <sz val="12"/>
        <color theme="1"/>
        <rFont val="WenQuanYi Zen Hei"/>
        <family val="2"/>
      </rPr>
      <t xml:space="preserve">영업외비용 → 법인세 비용 대체</t>
    </r>
    <r>
      <rPr>
        <sz val="12"/>
        <color theme="1"/>
        <rFont val="Calibri"/>
        <family val="2"/>
        <charset val="1"/>
      </rPr>
      <t xml:space="preserve">)</t>
    </r>
  </si>
  <si>
    <r>
      <rPr>
        <sz val="11"/>
        <rFont val="Calibri"/>
        <family val="3"/>
        <charset val="129"/>
      </rPr>
      <t xml:space="preserve">Employee litigation </t>
    </r>
    <r>
      <rPr>
        <sz val="11"/>
        <rFont val="WenQuanYi Zen Hei"/>
        <family val="2"/>
      </rPr>
      <t xml:space="preserve">잔액 </t>
    </r>
    <r>
      <rPr>
        <sz val="11"/>
        <rFont val="Calibri"/>
        <family val="3"/>
        <charset val="129"/>
      </rPr>
      <t xml:space="preserve">reverse</t>
    </r>
  </si>
  <si>
    <r>
      <rPr>
        <sz val="11"/>
        <rFont val="WenQuanYi Zen Hei"/>
        <family val="2"/>
      </rPr>
      <t xml:space="preserve">매입부가세 </t>
    </r>
    <r>
      <rPr>
        <sz val="11"/>
        <rFont val="Calibri"/>
        <family val="3"/>
        <charset val="129"/>
      </rPr>
      <t xml:space="preserve">adjustment (</t>
    </r>
    <r>
      <rPr>
        <sz val="11"/>
        <rFont val="WenQuanYi Zen Hei"/>
        <family val="2"/>
      </rPr>
      <t xml:space="preserve">계정 기재 오류</t>
    </r>
    <r>
      <rPr>
        <sz val="11"/>
        <rFont val="Calibri"/>
        <family val="3"/>
        <charset val="129"/>
      </rPr>
      <t xml:space="preserve">) </t>
    </r>
  </si>
  <si>
    <r>
      <rPr>
        <sz val="10"/>
        <rFont val="Arial"/>
        <family val="2"/>
        <charset val="1"/>
      </rPr>
      <t xml:space="preserve">&lt;</t>
    </r>
    <r>
      <rPr>
        <sz val="10"/>
        <rFont val="WenQuanYi Zen Hei"/>
        <family val="2"/>
      </rPr>
      <t xml:space="preserve">상품수불부</t>
    </r>
    <r>
      <rPr>
        <sz val="10"/>
        <rFont val="Arial"/>
        <family val="2"/>
        <charset val="1"/>
      </rPr>
      <t xml:space="preserve">&gt;</t>
    </r>
  </si>
  <si>
    <r>
      <rPr>
        <b val="true"/>
        <sz val="10"/>
        <rFont val="Arial"/>
        <family val="2"/>
        <charset val="1"/>
      </rPr>
      <t xml:space="preserve">&lt;'26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Arial"/>
        <family val="2"/>
        <charset val="1"/>
      </rPr>
      <t xml:space="preserve">9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Arial"/>
        <family val="2"/>
        <charset val="1"/>
      </rPr>
      <t xml:space="preserve">&gt;</t>
    </r>
  </si>
  <si>
    <r>
      <rPr>
        <b val="true"/>
        <sz val="10"/>
        <rFont val="Arial"/>
        <family val="2"/>
        <charset val="1"/>
      </rPr>
      <t xml:space="preserve">&lt;'25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Arial"/>
        <family val="2"/>
        <charset val="1"/>
      </rPr>
      <t xml:space="preserve">12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Arial"/>
        <family val="2"/>
        <charset val="1"/>
      </rPr>
      <t xml:space="preserve">&gt;</t>
    </r>
  </si>
  <si>
    <t xml:space="preserve">손 익 계 산 서</t>
  </si>
  <si>
    <t xml:space="preserve">견본품비</t>
  </si>
  <si>
    <r>
      <rPr>
        <b val="true"/>
        <sz val="11"/>
        <rFont val="WenQuanYi Zen Hei"/>
        <family val="2"/>
      </rPr>
      <t xml:space="preserve">견본품비</t>
    </r>
    <r>
      <rPr>
        <b val="true"/>
        <sz val="11"/>
        <rFont val="Calibri"/>
        <family val="3"/>
        <charset val="129"/>
      </rPr>
      <t xml:space="preserve">-Commercial samples</t>
    </r>
  </si>
  <si>
    <r>
      <rPr>
        <sz val="10"/>
        <rFont val="WenQuanYi Zen Hei"/>
        <family val="2"/>
      </rPr>
      <t xml:space="preserve">제 </t>
    </r>
    <r>
      <rPr>
        <sz val="10"/>
        <rFont val="Calibri"/>
        <family val="2"/>
        <charset val="1"/>
      </rPr>
      <t xml:space="preserve">37(</t>
    </r>
    <r>
      <rPr>
        <sz val="10"/>
        <rFont val="WenQuanYi Zen Hei"/>
        <family val="2"/>
      </rPr>
      <t xml:space="preserve">당</t>
    </r>
    <r>
      <rPr>
        <sz val="10"/>
        <rFont val="Calibri"/>
        <family val="2"/>
        <charset val="1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Calibri"/>
        <family val="2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Calibri"/>
        <family val="2"/>
        <charset val="1"/>
      </rPr>
      <t xml:space="preserve">~ 2026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-12</t>
    </r>
    <r>
      <rPr>
        <sz val="10"/>
        <rFont val="WenQuanYi Zen Hei"/>
        <family val="2"/>
      </rPr>
      <t xml:space="preserve">월</t>
    </r>
    <r>
      <rPr>
        <sz val="10"/>
        <rFont val="Calibri"/>
        <family val="2"/>
        <charset val="1"/>
      </rPr>
      <t xml:space="preserve">31</t>
    </r>
    <r>
      <rPr>
        <sz val="10"/>
        <rFont val="WenQuanYi Zen Hei"/>
        <family val="2"/>
      </rPr>
      <t xml:space="preserve">일</t>
    </r>
  </si>
  <si>
    <t xml:space="preserve">PPV tab</t>
  </si>
  <si>
    <r>
      <rPr>
        <sz val="10"/>
        <rFont val="WenQuanYi Zen Hei"/>
        <family val="2"/>
      </rPr>
      <t xml:space="preserve">제 </t>
    </r>
    <r>
      <rPr>
        <sz val="10"/>
        <rFont val="Calibri"/>
        <family val="2"/>
        <charset val="1"/>
      </rPr>
      <t xml:space="preserve">36(</t>
    </r>
    <r>
      <rPr>
        <sz val="10"/>
        <rFont val="WenQuanYi Zen Hei"/>
        <family val="2"/>
      </rPr>
      <t xml:space="preserve">전</t>
    </r>
    <r>
      <rPr>
        <sz val="10"/>
        <rFont val="Calibri"/>
        <family val="2"/>
        <charset val="1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Calibri"/>
        <family val="2"/>
        <charset val="1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Calibri"/>
        <family val="2"/>
        <charset val="1"/>
      </rPr>
      <t xml:space="preserve">~ 2025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Calibri"/>
        <family val="2"/>
        <charset val="1"/>
      </rPr>
      <t xml:space="preserve">31</t>
    </r>
    <r>
      <rPr>
        <sz val="10"/>
        <rFont val="WenQuanYi Zen Hei"/>
        <family val="2"/>
      </rPr>
      <t xml:space="preserve">일</t>
    </r>
  </si>
  <si>
    <t xml:space="preserve">매입가격차이</t>
  </si>
  <si>
    <t xml:space="preserve">수불부 파일</t>
  </si>
  <si>
    <t xml:space="preserve">Current Year (not booked in SAP)</t>
  </si>
  <si>
    <r>
      <rPr>
        <b val="true"/>
        <sz val="11"/>
        <color rgb="FFFFFFFF"/>
        <rFont val="WenQuanYi Zen Hei"/>
        <family val="2"/>
      </rPr>
      <t xml:space="preserve">제     </t>
    </r>
    <r>
      <rPr>
        <b val="true"/>
        <sz val="11"/>
        <color rgb="FFFFFFFF"/>
        <rFont val="Calibri"/>
        <family val="3"/>
        <charset val="129"/>
      </rPr>
      <t xml:space="preserve">37 (</t>
    </r>
    <r>
      <rPr>
        <b val="true"/>
        <sz val="11"/>
        <color rgb="FFFFFFFF"/>
        <rFont val="WenQuanYi Zen Hei"/>
        <family val="2"/>
      </rPr>
      <t xml:space="preserve">당</t>
    </r>
    <r>
      <rPr>
        <b val="true"/>
        <sz val="11"/>
        <color rgb="FFFFFFFF"/>
        <rFont val="Calibri"/>
        <family val="3"/>
        <charset val="129"/>
      </rPr>
      <t xml:space="preserve">)    </t>
    </r>
    <r>
      <rPr>
        <b val="true"/>
        <sz val="11"/>
        <color rgb="FFFFFFFF"/>
        <rFont val="WenQuanYi Zen Hei"/>
        <family val="2"/>
      </rPr>
      <t xml:space="preserve">기
</t>
    </r>
    <r>
      <rPr>
        <b val="true"/>
        <sz val="11"/>
        <color rgb="FFFFFFFF"/>
        <rFont val="Calibri"/>
        <family val="3"/>
        <charset val="129"/>
      </rPr>
      <t xml:space="preserve">Dec 2026</t>
    </r>
  </si>
  <si>
    <r>
      <rPr>
        <b val="true"/>
        <sz val="11"/>
        <color rgb="FFFFFFFF"/>
        <rFont val="WenQuanYi Zen Hei"/>
        <family val="2"/>
      </rPr>
      <t xml:space="preserve">제    </t>
    </r>
    <r>
      <rPr>
        <b val="true"/>
        <sz val="11"/>
        <color rgb="FFFFFFFF"/>
        <rFont val="Calibri"/>
        <family val="3"/>
        <charset val="129"/>
      </rPr>
      <t xml:space="preserve">36  (</t>
    </r>
    <r>
      <rPr>
        <b val="true"/>
        <sz val="11"/>
        <color rgb="FFFFFFFF"/>
        <rFont val="WenQuanYi Zen Hei"/>
        <family val="2"/>
      </rPr>
      <t xml:space="preserve">전</t>
    </r>
    <r>
      <rPr>
        <b val="true"/>
        <sz val="11"/>
        <color rgb="FFFFFFFF"/>
        <rFont val="Calibri"/>
        <family val="3"/>
        <charset val="129"/>
      </rPr>
      <t xml:space="preserve">)    </t>
    </r>
    <r>
      <rPr>
        <b val="true"/>
        <sz val="11"/>
        <color rgb="FFFFFFFF"/>
        <rFont val="WenQuanYi Zen Hei"/>
        <family val="2"/>
      </rPr>
      <t xml:space="preserve">기
</t>
    </r>
    <r>
      <rPr>
        <b val="true"/>
        <sz val="11"/>
        <color rgb="FFFFFFFF"/>
        <rFont val="Calibri"/>
        <family val="3"/>
        <charset val="129"/>
      </rPr>
      <t xml:space="preserve">Dec 2025</t>
    </r>
  </si>
  <si>
    <t xml:space="preserve">Main tab</t>
  </si>
  <si>
    <t xml:space="preserve">&gt;formula error. Will fix in Oct'26</t>
  </si>
  <si>
    <t xml:space="preserve">참고</t>
  </si>
  <si>
    <r>
      <rPr>
        <b val="true"/>
        <sz val="11"/>
        <rFont val="Calibri"/>
        <family val="3"/>
        <charset val="129"/>
      </rPr>
      <t xml:space="preserve">should be </t>
    </r>
    <r>
      <rPr>
        <b val="true"/>
        <sz val="11"/>
        <rFont val="WenQuanYi Zen Hei"/>
        <family val="2"/>
      </rPr>
      <t xml:space="preserve">수불부 </t>
    </r>
    <r>
      <rPr>
        <b val="true"/>
        <sz val="11"/>
        <rFont val="Calibri"/>
        <family val="3"/>
        <charset val="129"/>
      </rPr>
      <t xml:space="preserve">file</t>
    </r>
  </si>
  <si>
    <r>
      <rPr>
        <b val="true"/>
        <sz val="11"/>
        <rFont val="Calibri"/>
        <family val="3"/>
        <charset val="129"/>
      </rPr>
      <t xml:space="preserve">Wrong _</t>
    </r>
    <r>
      <rPr>
        <b val="true"/>
        <sz val="11"/>
        <rFont val="WenQuanYi Zen Hei"/>
        <family val="2"/>
      </rPr>
      <t xml:space="preserve">잘못 계산함</t>
    </r>
    <r>
      <rPr>
        <b val="true"/>
        <sz val="11"/>
        <rFont val="Calibri"/>
        <family val="3"/>
        <charset val="129"/>
      </rPr>
      <t xml:space="preserve">. 9</t>
    </r>
    <r>
      <rPr>
        <b val="true"/>
        <sz val="11"/>
        <rFont val="WenQuanYi Zen Hei"/>
        <family val="2"/>
      </rPr>
      <t xml:space="preserve">월 </t>
    </r>
    <r>
      <rPr>
        <b val="true"/>
        <sz val="11"/>
        <rFont val="Calibri"/>
        <family val="3"/>
        <charset val="129"/>
      </rPr>
      <t xml:space="preserve">wrong booking_will fix in Oct'26</t>
    </r>
  </si>
  <si>
    <r>
      <rPr>
        <sz val="10"/>
        <rFont val="WenQuanYi Zen Hei"/>
        <family val="2"/>
      </rPr>
      <t xml:space="preserve">타계정으로대체</t>
    </r>
    <r>
      <rPr>
        <sz val="10"/>
        <rFont val="돋움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</si>
  <si>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Ⅲ.</t>
  </si>
  <si>
    <t xml:space="preserve">Ⅳ.</t>
  </si>
  <si>
    <t xml:space="preserve">매출총이익</t>
  </si>
  <si>
    <t xml:space="preserve">판매와관리비</t>
  </si>
  <si>
    <t xml:space="preserve">1)</t>
  </si>
  <si>
    <t xml:space="preserve">판매관리비</t>
  </si>
  <si>
    <t xml:space="preserve">2)</t>
  </si>
  <si>
    <t xml:space="preserve">인건비</t>
  </si>
  <si>
    <t xml:space="preserve">3)</t>
  </si>
  <si>
    <t xml:space="preserve">경비</t>
  </si>
  <si>
    <t xml:space="preserve">4)</t>
  </si>
  <si>
    <t xml:space="preserve">판매관리비 타계정대체</t>
  </si>
  <si>
    <t xml:space="preserve">V.</t>
  </si>
  <si>
    <t xml:space="preserve">영업이익</t>
  </si>
  <si>
    <t xml:space="preserve">VI.</t>
  </si>
  <si>
    <t xml:space="preserve">VII.</t>
  </si>
  <si>
    <t xml:space="preserve">VIII.</t>
  </si>
  <si>
    <r>
      <rPr>
        <b val="true"/>
        <sz val="11"/>
        <rFont val="WenQuanYi Zen Hei"/>
        <family val="2"/>
      </rPr>
      <t xml:space="preserve">법인세비용차감전순이익</t>
    </r>
    <r>
      <rPr>
        <b val="true"/>
        <sz val="11"/>
        <rFont val="Calibri"/>
        <family val="3"/>
        <charset val="129"/>
      </rPr>
      <t xml:space="preserve">(</t>
    </r>
    <r>
      <rPr>
        <b val="true"/>
        <sz val="11"/>
        <rFont val="WenQuanYi Zen Hei"/>
        <family val="2"/>
      </rPr>
      <t xml:space="preserve">손실</t>
    </r>
    <r>
      <rPr>
        <b val="true"/>
        <sz val="11"/>
        <rFont val="Calibri"/>
        <family val="3"/>
        <charset val="129"/>
      </rPr>
      <t xml:space="preserve">)</t>
    </r>
  </si>
  <si>
    <t xml:space="preserve">Ⅸ.</t>
  </si>
  <si>
    <t xml:space="preserve">Ⅹ.</t>
  </si>
  <si>
    <t xml:space="preserve">&gt;SAP Net income + P16 statutory booking</t>
  </si>
  <si>
    <r>
      <rPr>
        <b val="true"/>
        <sz val="9"/>
        <color rgb="FF0000FF"/>
        <rFont val="WenQuanYi Zen Hei"/>
        <family val="2"/>
      </rPr>
      <t xml:space="preserve">출처</t>
    </r>
    <r>
      <rPr>
        <b val="true"/>
        <sz val="9"/>
        <color rgb="FF0000FF"/>
        <rFont val="맑은 고딕"/>
        <family val="0"/>
        <charset val="1"/>
      </rPr>
      <t xml:space="preserve">: WTB_SAK_2025YE_V5.xlsx (</t>
    </r>
    <r>
      <rPr>
        <b val="true"/>
        <sz val="9"/>
        <color rgb="FF0000FF"/>
        <rFont val="WenQuanYi Zen Hei"/>
        <family val="2"/>
      </rPr>
      <t xml:space="preserve">전기말 최종 정산표</t>
    </r>
    <r>
      <rPr>
        <b val="true"/>
        <sz val="9"/>
        <color rgb="FF0000FF"/>
        <rFont val="맑은 고딕"/>
        <family val="0"/>
        <charset val="1"/>
      </rPr>
      <t xml:space="preserve">) – </t>
    </r>
    <r>
      <rPr>
        <b val="true"/>
        <sz val="9"/>
        <color rgb="FF0000FF"/>
        <rFont val="WenQuanYi Zen Hei"/>
        <family val="2"/>
      </rPr>
      <t xml:space="preserve">값 복사본</t>
    </r>
  </si>
  <si>
    <t xml:space="preserve">OM</t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</si>
  <si>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36 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 현재</t>
    </r>
  </si>
  <si>
    <t xml:space="preserve">PM</t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</si>
  <si>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35 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2024</t>
    </r>
    <r>
      <rPr>
        <sz val="10"/>
        <rFont val="WenQuanYi Zen Hei"/>
        <family val="2"/>
      </rPr>
      <t xml:space="preserve">년 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 현재</t>
    </r>
  </si>
  <si>
    <t xml:space="preserve">CTT</t>
  </si>
  <si>
    <r>
      <rPr>
        <b val="true"/>
        <sz val="10"/>
        <color rgb="FFFFFFFF"/>
        <rFont val="WenQuanYi Zen Hei"/>
        <family val="2"/>
      </rPr>
      <t xml:space="preserve">제     </t>
    </r>
    <r>
      <rPr>
        <b val="true"/>
        <sz val="10"/>
        <color rgb="FFFFFFFF"/>
        <rFont val="맑은 고딕"/>
        <family val="3"/>
        <charset val="129"/>
      </rPr>
      <t xml:space="preserve">36 (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3"/>
        <charset val="129"/>
      </rPr>
      <t xml:space="preserve">)    </t>
    </r>
    <r>
      <rPr>
        <b val="true"/>
        <sz val="10"/>
        <color rgb="FFFFFFFF"/>
        <rFont val="WenQuanYi Zen Hei"/>
        <family val="2"/>
      </rPr>
      <t xml:space="preserve">기
</t>
    </r>
    <r>
      <rPr>
        <b val="true"/>
        <sz val="10"/>
        <color rgb="FFFFFFFF"/>
        <rFont val="맑은 고딕"/>
        <family val="3"/>
        <charset val="129"/>
      </rPr>
      <t xml:space="preserve">Dec 2025</t>
    </r>
  </si>
  <si>
    <r>
      <rPr>
        <b val="true"/>
        <sz val="10"/>
        <color rgb="FFFFFFFF"/>
        <rFont val="WenQuanYi Zen Hei"/>
        <family val="2"/>
      </rPr>
      <t xml:space="preserve">제    </t>
    </r>
    <r>
      <rPr>
        <b val="true"/>
        <sz val="10"/>
        <color rgb="FFFFFFFF"/>
        <rFont val="맑은 고딕"/>
        <family val="3"/>
        <charset val="129"/>
      </rPr>
      <t xml:space="preserve">35  (</t>
    </r>
    <r>
      <rPr>
        <b val="true"/>
        <sz val="10"/>
        <color rgb="FFFFFFFF"/>
        <rFont val="WenQuanYi Zen Hei"/>
        <family val="2"/>
      </rPr>
      <t xml:space="preserve">전</t>
    </r>
    <r>
      <rPr>
        <b val="true"/>
        <sz val="10"/>
        <color rgb="FFFFFFFF"/>
        <rFont val="맑은 고딕"/>
        <family val="3"/>
        <charset val="129"/>
      </rPr>
      <t xml:space="preserve">)    </t>
    </r>
    <r>
      <rPr>
        <b val="true"/>
        <sz val="10"/>
        <color rgb="FFFFFFFF"/>
        <rFont val="WenQuanYi Zen Hei"/>
        <family val="2"/>
      </rPr>
      <t xml:space="preserve">기
</t>
    </r>
    <r>
      <rPr>
        <b val="true"/>
        <sz val="10"/>
        <color rgb="FFFFFFFF"/>
        <rFont val="맑은 고딕"/>
        <family val="3"/>
        <charset val="129"/>
      </rPr>
      <t xml:space="preserve">Dec 2024</t>
    </r>
  </si>
  <si>
    <t xml:space="preserve">증감</t>
  </si>
  <si>
    <r>
      <rPr>
        <b val="true"/>
        <sz val="10"/>
        <color rgb="FFFFFFFF"/>
        <rFont val="WenQuanYi Zen Hei"/>
        <family val="2"/>
      </rPr>
      <t xml:space="preserve">증감분석대상</t>
    </r>
    <r>
      <rPr>
        <b val="true"/>
        <sz val="10"/>
        <color rgb="FFFFFFFF"/>
        <rFont val="맑은 고딕"/>
        <family val="3"/>
        <charset val="129"/>
      </rPr>
      <t xml:space="preserve">?</t>
    </r>
  </si>
  <si>
    <t xml:space="preserve">Assign</t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</si>
  <si>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(2025.12.31)</t>
    </r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</si>
  <si>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(2025.09.30)</t>
    </r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</si>
  <si>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(2024.12.31)</t>
    </r>
  </si>
  <si>
    <r>
      <rPr>
        <b val="true"/>
        <sz val="10"/>
        <color rgb="FFFFFFFF"/>
        <rFont val="WenQuanYi Zen Hei"/>
        <family val="2"/>
      </rPr>
      <t xml:space="preserve">비율</t>
    </r>
    <r>
      <rPr>
        <b val="true"/>
        <sz val="10"/>
        <color rgb="FFFFFFFF"/>
        <rFont val="맑은 고딕"/>
        <family val="3"/>
        <charset val="129"/>
      </rPr>
      <t xml:space="preserve">(%)</t>
    </r>
  </si>
  <si>
    <t xml:space="preserve">O</t>
  </si>
  <si>
    <t xml:space="preserve">조영욱</t>
  </si>
  <si>
    <r>
      <rPr>
        <sz val="10"/>
        <rFont val="WenQuanYi Zen Hei"/>
        <family val="2"/>
      </rPr>
      <t xml:space="preserve">매년 기말에는 그룹에 대한 채무 등을 대량 지급하여 예금 잔액을 적게 가져가고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기중에는 </t>
    </r>
    <r>
      <rPr>
        <sz val="10"/>
        <rFont val="맑은 고딕"/>
        <family val="3"/>
        <charset val="129"/>
      </rPr>
      <t xml:space="preserve">100</t>
    </r>
    <r>
      <rPr>
        <sz val="10"/>
        <rFont val="WenQuanYi Zen Hei"/>
        <family val="2"/>
      </rPr>
      <t xml:space="preserve">억원 내외의 잔액을 보유하고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</si>
  <si>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영업활동으로 인한 현금흐름 </t>
    </r>
    <r>
      <rPr>
        <sz val="10"/>
        <rFont val="맑은 고딕"/>
        <family val="3"/>
        <charset val="129"/>
      </rPr>
      <t xml:space="preserve">208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주로 당기순이익영향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투자활동으로 인한 현금흐름 </t>
    </r>
    <r>
      <rPr>
        <sz val="10"/>
        <rFont val="맑은 고딕"/>
        <family val="3"/>
        <charset val="129"/>
      </rPr>
      <t xml:space="preserve">(-)5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유형자산취득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보증금 증가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</t>
    </r>
    <r>
      <rPr>
        <sz val="10"/>
        <rFont val="WenQuanYi Zen Hei"/>
        <family val="2"/>
      </rPr>
      <t xml:space="preserve">재무활동으로 인한 현금흐름 </t>
    </r>
    <r>
      <rPr>
        <sz val="10"/>
        <rFont val="맑은 고딕"/>
        <family val="3"/>
        <charset val="129"/>
      </rPr>
      <t xml:space="preserve">(-)267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차입금 상환 </t>
    </r>
    <r>
      <rPr>
        <sz val="10"/>
        <rFont val="맑은 고딕"/>
        <family val="3"/>
        <charset val="129"/>
      </rPr>
      <t xml:space="preserve">(-)280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배당금수익 </t>
    </r>
    <r>
      <rPr>
        <sz val="10"/>
        <rFont val="맑은 고딕"/>
        <family val="3"/>
        <charset val="129"/>
      </rPr>
      <t xml:space="preserve">13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합병으로 인한 현금의 증가 </t>
    </r>
    <r>
      <rPr>
        <sz val="10"/>
        <rFont val="맑은 고딕"/>
        <family val="3"/>
        <charset val="129"/>
      </rPr>
      <t xml:space="preserve">95</t>
    </r>
    <r>
      <rPr>
        <sz val="10"/>
        <rFont val="WenQuanYi Zen Hei"/>
        <family val="2"/>
      </rPr>
      <t xml:space="preserve">억원 영향</t>
    </r>
  </si>
  <si>
    <t xml:space="preserve">배효정</t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</si>
  <si>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거래처별 증감분석
</t>
    </r>
    <r>
      <rPr>
        <sz val="10"/>
        <rFont val="맑은 고딕"/>
        <family val="3"/>
        <charset val="129"/>
      </rPr>
      <t xml:space="preserve">1) </t>
    </r>
    <r>
      <rPr>
        <sz val="10"/>
        <rFont val="WenQuanYi Zen Hei"/>
        <family val="2"/>
      </rPr>
      <t xml:space="preserve">수수료율 인상에 따라 쥴릭파마코리아와의 거래가 당기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이후 중단되어 쥴릭파마에 대한 매출채권이 당기말 현재 존재하지 않음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전기말 매출채권 </t>
    </r>
    <r>
      <rPr>
        <sz val="10"/>
        <rFont val="맑은 고딕"/>
        <family val="3"/>
        <charset val="129"/>
      </rPr>
      <t xml:space="preserve">256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쥴릭파마의 물량은 기존의 도매업체 물량 증가로 이어졌음</t>
    </r>
    <r>
      <rPr>
        <sz val="10"/>
        <rFont val="맑은 고딕"/>
        <family val="3"/>
        <charset val="129"/>
      </rPr>
      <t xml:space="preserve">.
2) </t>
    </r>
    <r>
      <rPr>
        <sz val="10"/>
        <rFont val="WenQuanYi Zen Hei"/>
        <family val="2"/>
      </rPr>
      <t xml:space="preserve">엠제이팜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한독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부림약품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녹십자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이엔팜 등 일부 거래처의 매출채권은 전기말 대비 감소하였으나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이외 대부분의 거래처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남양약품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비아다빈치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안연케어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지오영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서울유니온약품</t>
    </r>
    <r>
      <rPr>
        <sz val="10"/>
        <rFont val="맑은 고딕"/>
        <family val="3"/>
        <charset val="129"/>
      </rPr>
      <t xml:space="preserve">, SK</t>
    </r>
    <r>
      <rPr>
        <sz val="10"/>
        <rFont val="WenQuanYi Zen Hei"/>
        <family val="2"/>
      </rPr>
      <t xml:space="preserve">바이오사이언스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동원아이팜 등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매출채권은 전기 대비 매출 증가에 따라 증가하였음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상품군별 증감분석
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분기에 독감백신 판매가 증가함에 따라 관련 매출채권이 전기말 대비 </t>
    </r>
    <r>
      <rPr>
        <sz val="10"/>
        <rFont val="맑은 고딕"/>
        <family val="3"/>
        <charset val="129"/>
      </rPr>
      <t xml:space="preserve">450</t>
    </r>
    <r>
      <rPr>
        <sz val="10"/>
        <rFont val="WenQuanYi Zen Hei"/>
        <family val="2"/>
      </rPr>
      <t xml:space="preserve">억원 이상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</si>
  <si>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거래처별 증감분석
</t>
    </r>
    <r>
      <rPr>
        <sz val="10"/>
        <rFont val="맑은 고딕"/>
        <family val="3"/>
        <charset val="129"/>
      </rPr>
      <t xml:space="preserve">1) </t>
    </r>
    <r>
      <rPr>
        <sz val="10"/>
        <rFont val="WenQuanYi Zen Hei"/>
        <family val="2"/>
      </rPr>
      <t xml:space="preserve">수수료율 인상에 따라 쥴릭파마코리아와의 거래가 당기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이후 중단되어 쥴릭파마에 대한 매출채권이 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현재 존재하지 않음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전기말 매출채권 </t>
    </r>
    <r>
      <rPr>
        <sz val="10"/>
        <rFont val="맑은 고딕"/>
        <family val="3"/>
        <charset val="129"/>
      </rPr>
      <t xml:space="preserve">256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쥴릭파마의 물량은 기존의 도매업체 물량 증가로 이어졌으며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일부 신규 도매업체</t>
    </r>
    <r>
      <rPr>
        <sz val="10"/>
        <rFont val="맑은 고딕"/>
        <family val="3"/>
        <charset val="129"/>
      </rPr>
      <t xml:space="preserve">(7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와의 거래가 추가되었음</t>
    </r>
    <r>
      <rPr>
        <sz val="10"/>
        <rFont val="맑은 고딕"/>
        <family val="3"/>
        <charset val="129"/>
      </rPr>
      <t xml:space="preserve">.
2) </t>
    </r>
    <r>
      <rPr>
        <sz val="10"/>
        <rFont val="WenQuanYi Zen Hei"/>
        <family val="2"/>
      </rPr>
      <t xml:space="preserve">기존 주요 거래처인 ㈜한독 매출채권 전기말 </t>
    </r>
    <r>
      <rPr>
        <sz val="10"/>
        <rFont val="맑은 고딕"/>
        <family val="3"/>
        <charset val="129"/>
      </rPr>
      <t xml:space="preserve">117</t>
    </r>
    <r>
      <rPr>
        <sz val="10"/>
        <rFont val="WenQuanYi Zen Hei"/>
        <family val="2"/>
      </rPr>
      <t xml:space="preserve">억원에서 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260</t>
    </r>
    <r>
      <rPr>
        <sz val="10"/>
        <rFont val="WenQuanYi Zen Hei"/>
        <family val="2"/>
      </rPr>
      <t xml:space="preserve">억원으로 크게 증가하였음</t>
    </r>
    <r>
      <rPr>
        <sz val="10"/>
        <rFont val="맑은 고딕"/>
        <family val="3"/>
        <charset val="129"/>
      </rPr>
      <t xml:space="preserve">.
3) </t>
    </r>
    <r>
      <rPr>
        <sz val="10"/>
        <rFont val="WenQuanYi Zen Hei"/>
        <family val="2"/>
      </rPr>
      <t xml:space="preserve">그 외 전기 대비 매출 증대로 인해 남양약품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안연케어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부림약품대구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에스케이바이오사이언스 등 기존 주요 거래처에 대한 매출채권이 비례적으로 증가하였음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상품군별 증감분석
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분기에 독감백신 판매가 증가함에 따라 관련 매출채권이 전기말 대비 </t>
    </r>
    <r>
      <rPr>
        <sz val="10"/>
        <rFont val="맑은 고딕"/>
        <family val="3"/>
        <charset val="129"/>
      </rPr>
      <t xml:space="preserve">450</t>
    </r>
    <r>
      <rPr>
        <sz val="10"/>
        <rFont val="WenQuanYi Zen Hei"/>
        <family val="2"/>
      </rPr>
      <t xml:space="preserve">억원 이상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</si>
  <si>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당기말 기준 클리닉 관련 매출채권은 </t>
    </r>
    <r>
      <rPr>
        <sz val="10"/>
        <rFont val="맑은 고딕"/>
        <family val="3"/>
        <charset val="129"/>
      </rPr>
      <t xml:space="preserve">1.2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모두 회수기일로부터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년이상 경과되어 전액 대손충당금을 설정하고 있음</t>
    </r>
    <r>
      <rPr>
        <sz val="10"/>
        <rFont val="맑은 고딕"/>
        <family val="3"/>
        <charset val="129"/>
      </rPr>
      <t xml:space="preserve">. 
1</t>
    </r>
    <r>
      <rPr>
        <sz val="10"/>
        <rFont val="WenQuanYi Zen Hei"/>
        <family val="2"/>
      </rPr>
      <t xml:space="preserve">년 이내 연체 채권에 대한 충당금 설정 로직은 없음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현재 거래처는 대부분 담보나 신용보증에 가입되어 있으며</t>
    </r>
    <r>
      <rPr>
        <sz val="10"/>
        <rFont val="맑은 고딕"/>
        <family val="3"/>
        <charset val="129"/>
      </rPr>
      <t xml:space="preserve">, overdue </t>
    </r>
    <r>
      <rPr>
        <sz val="10"/>
        <rFont val="WenQuanYi Zen Hei"/>
        <family val="2"/>
      </rPr>
      <t xml:space="preserve">채권 없음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</si>
  <si>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 전 파스퇴르의 대손충당금은 클리닉에 대한 설정이었으며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합병 후 클리닉과의 추가 거래 없이 대금 회수만 있었음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당기말 기준 클리닉 관련 매출채권은 </t>
    </r>
    <r>
      <rPr>
        <sz val="10"/>
        <rFont val="맑은 고딕"/>
        <family val="3"/>
        <charset val="129"/>
      </rPr>
      <t xml:space="preserve">1.7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중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년을 초과한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천만원에 대하여 전액 대손충당금을 설정하고 있음</t>
    </r>
    <r>
      <rPr>
        <sz val="10"/>
        <rFont val="맑은 고딕"/>
        <family val="3"/>
        <charset val="129"/>
      </rPr>
      <t xml:space="preserve">. 
1</t>
    </r>
    <r>
      <rPr>
        <sz val="10"/>
        <rFont val="WenQuanYi Zen Hei"/>
        <family val="2"/>
      </rPr>
      <t xml:space="preserve">년 이내 연체 채권에 대한 충당금 설정 로직은 없음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현재 거래처는 대부분 담보나 신용보증에 가입되어 있으며</t>
    </r>
    <r>
      <rPr>
        <sz val="10"/>
        <rFont val="맑은 고딕"/>
        <family val="3"/>
        <charset val="129"/>
      </rPr>
      <t xml:space="preserve">, overdue </t>
    </r>
    <r>
      <rPr>
        <sz val="10"/>
        <rFont val="WenQuanYi Zen Hei"/>
        <family val="2"/>
      </rPr>
      <t xml:space="preserve">채권 없음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</si>
  <si>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대부분 관계사 미수금이며</t>
    </r>
    <r>
      <rPr>
        <sz val="10"/>
        <rFont val="맑은 고딕"/>
        <family val="3"/>
        <charset val="129"/>
      </rPr>
      <t xml:space="preserve">, SANOFI SA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3Q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4Q R&amp;D cost rebilling </t>
    </r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3"/>
        <charset val="129"/>
      </rPr>
      <t xml:space="preserve">165.1</t>
    </r>
    <r>
      <rPr>
        <sz val="10"/>
        <rFont val="WenQuanYi Zen Hei"/>
        <family val="2"/>
      </rPr>
      <t xml:space="preserve">억원으로 대부분을 차지함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그외 임직원의 본사 주식 취득시 발생한 미수금 </t>
    </r>
    <r>
      <rPr>
        <sz val="10"/>
        <rFont val="맑은 고딕"/>
        <family val="3"/>
        <charset val="129"/>
      </rPr>
      <t xml:space="preserve">3.1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3.2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)(</t>
    </r>
    <r>
      <rPr>
        <sz val="10"/>
        <rFont val="WenQuanYi Zen Hei"/>
        <family val="2"/>
      </rPr>
      <t xml:space="preserve">급여에서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차감</t>
    </r>
    <r>
      <rPr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</si>
  <si>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대부분 관계사 미수금으로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주로 </t>
    </r>
    <r>
      <rPr>
        <sz val="10"/>
        <rFont val="맑은 고딕"/>
        <family val="3"/>
        <charset val="129"/>
      </rPr>
      <t xml:space="preserve">R&amp;D rebilling 63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Pre-launching marketing fee </t>
    </r>
    <r>
      <rPr>
        <sz val="10"/>
        <rFont val="WenQuanYi Zen Hei"/>
        <family val="2"/>
      </rPr>
      <t xml:space="preserve">보전 비용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억원으로 구성됨</t>
    </r>
    <r>
      <rPr>
        <sz val="10"/>
        <rFont val="맑은 고딕"/>
        <family val="3"/>
        <charset val="129"/>
      </rPr>
      <t xml:space="preserve">.  
- R&amp;D rebilling: </t>
    </r>
    <r>
      <rPr>
        <sz val="10"/>
        <rFont val="WenQuanYi Zen Hei"/>
        <family val="2"/>
      </rPr>
      <t xml:space="preserve">전기에는 진행하다가 중단된 건들이 많아서 </t>
    </r>
    <r>
      <rPr>
        <sz val="10"/>
        <rFont val="맑은 고딕"/>
        <family val="3"/>
        <charset val="129"/>
      </rPr>
      <t xml:space="preserve">R&amp;D rebilling </t>
    </r>
    <r>
      <rPr>
        <sz val="10"/>
        <rFont val="WenQuanYi Zen Hei"/>
        <family val="2"/>
      </rPr>
      <t xml:space="preserve">금액이 작았으며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전기말 잔액은 </t>
    </r>
    <r>
      <rPr>
        <sz val="10"/>
        <rFont val="맑은 고딕"/>
        <family val="3"/>
        <charset val="129"/>
      </rPr>
      <t xml:space="preserve">5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
- Pre-launching marketing fee: </t>
    </r>
    <r>
      <rPr>
        <sz val="10"/>
        <rFont val="WenQuanYi Zen Hei"/>
        <family val="2"/>
      </rPr>
      <t xml:space="preserve">당기에 </t>
    </r>
    <r>
      <rPr>
        <sz val="10"/>
        <rFont val="맑은 고딕"/>
        <family val="3"/>
        <charset val="129"/>
      </rPr>
      <t xml:space="preserve">launching</t>
    </r>
    <r>
      <rPr>
        <sz val="10"/>
        <rFont val="WenQuanYi Zen Hei"/>
        <family val="2"/>
      </rPr>
      <t xml:space="preserve">된 제품에 대한 전기 </t>
    </r>
    <r>
      <rPr>
        <sz val="10"/>
        <rFont val="맑은 고딕"/>
        <family val="3"/>
        <charset val="129"/>
      </rPr>
      <t xml:space="preserve">pre-launch cost </t>
    </r>
    <r>
      <rPr>
        <sz val="10"/>
        <rFont val="WenQuanYi Zen Hei"/>
        <family val="2"/>
      </rPr>
      <t xml:space="preserve">보전비용으로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전기말 잔액은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 </t>
    </r>
  </si>
  <si>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accrual </t>
    </r>
    <r>
      <rPr>
        <sz val="10"/>
        <rFont val="WenQuanYi Zen Hei"/>
        <family val="2"/>
      </rPr>
      <t xml:space="preserve">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및 전기 주요 내역은 다음과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</t>
    </r>
    <r>
      <rPr>
        <sz val="10"/>
        <rFont val="맑은 고딕"/>
        <family val="3"/>
        <charset val="129"/>
      </rPr>
      <t xml:space="preserve">: Aprovasc </t>
    </r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943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3"/>
        <charset val="129"/>
      </rPr>
      <t xml:space="preserve">)(=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13%),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
2. </t>
    </r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알보젠 로열티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(=MIN(77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</t>
    </r>
  </si>
  <si>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accrual </t>
    </r>
    <r>
      <rPr>
        <sz val="10"/>
        <rFont val="WenQuanYi Zen Hei"/>
        <family val="2"/>
      </rPr>
      <t xml:space="preserve">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및 전기 주요 내역은 다음과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</t>
    </r>
    <r>
      <rPr>
        <sz val="10"/>
        <rFont val="맑은 고딕"/>
        <family val="3"/>
        <charset val="129"/>
      </rPr>
      <t xml:space="preserve">: Aprovasc </t>
    </r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6.5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백만원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알보젠 로열티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(=MIN(77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</t>
    </r>
  </si>
  <si>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Dupixent selfpay </t>
    </r>
    <r>
      <rPr>
        <sz val="10"/>
        <rFont val="WenQuanYi Zen Hei"/>
        <family val="2"/>
      </rPr>
      <t xml:space="preserve">선급금 </t>
    </r>
    <r>
      <rPr>
        <sz val="10"/>
        <rFont val="맑은 고딕"/>
        <family val="3"/>
        <charset val="129"/>
      </rPr>
      <t xml:space="preserve">(MMK) 349</t>
    </r>
    <r>
      <rPr>
        <sz val="10"/>
        <rFont val="WenQuanYi Zen Hei"/>
        <family val="2"/>
      </rPr>
      <t xml:space="preserve">백만원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건강보험 미적용 환자 중 일정조건을 충족하는 환자의 신청에 의하여 환급해주고 있으며 해당 업무는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커뮤니케이션에서 대리 수행함</t>
    </r>
    <r>
      <rPr>
        <sz val="10"/>
        <rFont val="맑은 고딕"/>
        <family val="3"/>
        <charset val="129"/>
      </rPr>
      <t xml:space="preserve">.
- MMK</t>
    </r>
    <r>
      <rPr>
        <sz val="10"/>
        <rFont val="WenQuanYi Zen Hei"/>
        <family val="2"/>
      </rPr>
      <t xml:space="preserve">는 건강보험 미적용 환자 신청내역을 취합하여 매월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청구함</t>
    </r>
    <r>
      <rPr>
        <sz val="10"/>
        <rFont val="맑은 고딕"/>
        <family val="3"/>
        <charset val="129"/>
      </rPr>
      <t xml:space="preserve">. SAK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에 일정금액을 선급금으로 지급하고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차감하고 있음</t>
    </r>
    <r>
      <rPr>
        <sz val="10"/>
        <rFont val="맑은 고딕"/>
        <family val="3"/>
        <charset val="129"/>
      </rPr>
      <t xml:space="preserve">.
- </t>
    </r>
    <r>
      <rPr>
        <sz val="10"/>
        <rFont val="WenQuanYi Zen Hei"/>
        <family val="2"/>
      </rPr>
      <t xml:space="preserve">당기에는 정산 완료되어 기말 관련 선급금 잔액 없음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</si>
  <si>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Dupixent selfpay </t>
    </r>
    <r>
      <rPr>
        <sz val="10"/>
        <rFont val="WenQuanYi Zen Hei"/>
        <family val="2"/>
      </rPr>
      <t xml:space="preserve">선급금 </t>
    </r>
    <r>
      <rPr>
        <sz val="10"/>
        <rFont val="맑은 고딕"/>
        <family val="3"/>
        <charset val="129"/>
      </rPr>
      <t xml:space="preserve">(MMK) 349</t>
    </r>
    <r>
      <rPr>
        <sz val="10"/>
        <rFont val="WenQuanYi Zen Hei"/>
        <family val="2"/>
      </rPr>
      <t xml:space="preserve">백만원
건강보험 미적용 환자 중 일정조건을 충족하는 환자의 신청에 의하여 환급해주고 있으며 해당 업무는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커뮤니케이션에서 대리 수행함</t>
    </r>
    <r>
      <rPr>
        <sz val="10"/>
        <rFont val="맑은 고딕"/>
        <family val="3"/>
        <charset val="129"/>
      </rPr>
      <t xml:space="preserve">.
MMK</t>
    </r>
    <r>
      <rPr>
        <sz val="10"/>
        <rFont val="WenQuanYi Zen Hei"/>
        <family val="2"/>
      </rPr>
      <t xml:space="preserve">는 건강보험 미적용 환자 신청내역을 취합하여 매월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청구함</t>
    </r>
    <r>
      <rPr>
        <sz val="10"/>
        <rFont val="맑은 고딕"/>
        <family val="3"/>
        <charset val="129"/>
      </rPr>
      <t xml:space="preserve">. SAK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에 일정금액을 선급금으로 지급하고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차감하고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</si>
  <si>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건강보험 적용 비대상 환자 중 일정조건을 충족하는 환자 중 신청에 의하여 환급해주는 경우도 있는데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업무는 엠엠케이커뮤니케이션에서 대리업무를 해주고 있음</t>
    </r>
    <r>
      <rPr>
        <sz val="10"/>
        <rFont val="맑은 고딕"/>
        <family val="3"/>
        <charset val="129"/>
      </rPr>
      <t xml:space="preserve">.</t>
    </r>
    <r>
      <rPr>
        <sz val="10"/>
        <rFont val="WenQuanYi Zen Hei"/>
        <family val="2"/>
      </rPr>
      <t xml:space="preserve">엠엠케이커뮤니케이션은 건강보험미적용 환자 신청에 대하여 취합하여 매월마다 사노피에 </t>
    </r>
    <r>
      <rPr>
        <sz val="10"/>
        <rFont val="맑은 고딕"/>
        <family val="3"/>
        <charset val="129"/>
      </rPr>
      <t xml:space="preserve">invoice </t>
    </r>
    <r>
      <rPr>
        <sz val="10"/>
        <rFont val="WenQuanYi Zen Hei"/>
        <family val="2"/>
      </rPr>
      <t xml:space="preserve">청구함</t>
    </r>
    <r>
      <rPr>
        <sz val="10"/>
        <rFont val="맑은 고딕"/>
        <family val="3"/>
        <charset val="129"/>
      </rPr>
      <t xml:space="preserve">.</t>
    </r>
    <r>
      <rPr>
        <sz val="10"/>
        <rFont val="WenQuanYi Zen Hei"/>
        <family val="2"/>
      </rPr>
      <t xml:space="preserve">사노피는 엠엠케이커뮤니케이션에 일정금액 선급금을 지불하고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사노피는 엠엠케이커뮤니케이션에 일정금액 선급금을 지불하고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차감함</t>
    </r>
    <r>
      <rPr>
        <sz val="10"/>
        <rFont val="맑은 고딕"/>
        <family val="3"/>
        <charset val="129"/>
      </rPr>
      <t xml:space="preserve">.</t>
    </r>
  </si>
  <si>
    <r>
      <rPr>
        <i val="true"/>
        <sz val="10"/>
        <rFont val="맑은 고딕"/>
        <family val="3"/>
        <charset val="129"/>
      </rPr>
      <t xml:space="preserve">(</t>
    </r>
    <r>
      <rPr>
        <i val="true"/>
        <sz val="10"/>
        <rFont val="WenQuanYi Zen Hei"/>
        <family val="2"/>
      </rPr>
      <t xml:space="preserve">원본오류 </t>
    </r>
    <r>
      <rPr>
        <i val="true"/>
        <sz val="10"/>
        <rFont val="맑은 고딕"/>
        <family val="3"/>
        <charset val="129"/>
      </rPr>
      <t xml:space="preserve">DIV/0)</t>
    </r>
  </si>
  <si>
    <t xml:space="preserve">한세훈</t>
  </si>
  <si>
    <t xml:space="preserve">김도연</t>
  </si>
  <si>
    <r>
      <rPr>
        <sz val="10"/>
        <rFont val="WenQuanYi Zen Hei"/>
        <family val="2"/>
      </rPr>
      <t xml:space="preserve">전기말 생산방식 변경으로 인해 신규로 제품 허가가 필요하여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허가가 진행되는 기간 동안 발생할 수 있는 공급 차질을 예방하기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분기까지의 수요 재고를 미리 매입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확보하여 전기말 재고가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그에 따라 당기 매출이 증대되었음에도 불구하고 전기말 대비 기말재고는 감소하였음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 주요 신규 출시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재고는 </t>
    </r>
    <r>
      <rPr>
        <sz val="10"/>
        <rFont val="맑은 고딕"/>
        <family val="3"/>
        <charset val="129"/>
      </rPr>
      <t xml:space="preserve">Beyfortus(</t>
    </r>
    <r>
      <rPr>
        <sz val="10"/>
        <rFont val="WenQuanYi Zen Hei"/>
        <family val="2"/>
      </rPr>
      <t xml:space="preserve">영유아백신</t>
    </r>
    <r>
      <rPr>
        <sz val="10"/>
        <rFont val="맑은 고딕"/>
        <family val="3"/>
        <charset val="129"/>
      </rPr>
      <t xml:space="preserve">) 199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MENQUADFI </t>
    </r>
    <r>
      <rPr>
        <sz val="10"/>
        <rFont val="WenQuanYi Zen Hei"/>
        <family val="2"/>
      </rPr>
      <t xml:space="preserve">백신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억원 등이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</si>
  <si>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2023</t>
    </r>
    <r>
      <rPr>
        <sz val="10"/>
        <rFont val="WenQuanYi Zen Hei"/>
        <family val="2"/>
      </rPr>
      <t xml:space="preserve">년 말부터 선박 운송을 중심으로 재고를 들여오고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긴급한 공급이 필요한 경우에만 항공 운송을 활용하고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선박 운송은 리드타임이 길어질 수 있기 때문에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물량 부족</t>
    </r>
    <r>
      <rPr>
        <sz val="10"/>
        <rFont val="맑은 고딕"/>
        <family val="3"/>
        <charset val="129"/>
      </rPr>
      <t xml:space="preserve">(Short) </t>
    </r>
    <r>
      <rPr>
        <sz val="10"/>
        <rFont val="WenQuanYi Zen Hei"/>
        <family val="2"/>
      </rPr>
      <t xml:space="preserve">위험을 줄이기 위해 재고를 충분히 확보할 필요가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이에 따라 전체 재고 규모가 증가하면서 회전율이 낮아짐</t>
    </r>
    <r>
      <rPr>
        <sz val="10"/>
        <rFont val="맑은 고딕"/>
        <family val="3"/>
        <charset val="129"/>
      </rPr>
      <t xml:space="preserve">.(</t>
    </r>
    <r>
      <rPr>
        <sz val="10"/>
        <rFont val="WenQuanYi Zen Hei"/>
        <family val="2"/>
      </rPr>
      <t xml:space="preserve">재고회전기간 </t>
    </r>
    <r>
      <rPr>
        <sz val="10"/>
        <rFont val="맑은 고딕"/>
        <family val="3"/>
        <charset val="129"/>
      </rPr>
      <t xml:space="preserve">2022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92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-&gt; 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107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-&gt;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) 
</t>
    </r>
    <r>
      <rPr>
        <sz val="10"/>
        <rFont val="WenQuanYi Zen Hei"/>
        <family val="2"/>
      </rPr>
      <t xml:space="preserve">또한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올해 새롭게 매입한 감기 백신의 매출이 예상보다 부진하면서 재고가 더 늘어난 것으로 판단됨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</si>
  <si>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상품의 유효기간이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이내로 남은 경우와 반품된 재고는 전액 충당금 설정하며 이 외에도 예측 수요수량을 확인한 후 그에 비해 재고레벨이 높은 브랜드나 제품 중 판매가능성이 떨어지는 재고는 충당금 설정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당기말 현재 평가충당금이 인식된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
1) PENTAXIM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28.3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초과재고</t>
    </r>
    <r>
      <rPr>
        <sz val="10"/>
        <rFont val="맑은 고딕"/>
        <family val="3"/>
        <charset val="129"/>
      </rPr>
      <t xml:space="preserve">)
2) EFLUELDA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10.8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유효기간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3"/>
        <charset val="129"/>
      </rPr>
      <t xml:space="preserve">)
3) VAXIGRIP 0.5ML 10D(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유효기간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3"/>
        <charset val="129"/>
      </rPr>
      <t xml:space="preserve">)
</t>
    </r>
    <r>
      <rPr>
        <sz val="10"/>
        <rFont val="WenQuanYi Zen Hei"/>
        <family val="2"/>
      </rPr>
      <t xml:space="preserve">전기말 대비 충당금이 크게 감소한 것은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전기말에 유효기간이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상반기에 도래하는 백신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평가충당금이 크게 인식되었으나 당기중 해당 재고의 대량 폐기가 발생하여 수량이 감소한 효과임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해당하는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MENACTRA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7.4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2) EFLUELDA TETRA 0.7ML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17.4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3) VAXIGRIP TETRA 0.5ML 10D(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5.6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</si>
  <si>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현재 평가충당금이 인식된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
1) DUPIXENT 200MG/+ INJ AI2 KR_Pen (351402):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1,440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1,438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초과재고
</t>
    </r>
    <r>
      <rPr>
        <sz val="10"/>
        <rFont val="맑은 고딕"/>
        <family val="3"/>
        <charset val="129"/>
      </rPr>
      <t xml:space="preserve">2) MENACTRA 0.5ML 1D INJSU VL1 KR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/354277):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442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미설정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잔여 유통기간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미만
</t>
    </r>
    <r>
      <rPr>
        <sz val="10"/>
        <rFont val="맑은 고딕"/>
        <family val="3"/>
        <charset val="129"/>
      </rPr>
      <t xml:space="preserve">3) ELOCTATE 250IU SUBLY VL1+PS1 M48 KR (353256):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269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232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초과재고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전기말 대비 충당금이 크게 감소한 것은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전기말에 유효기간이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상반기에 도래하는 백신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평가충당금이 크게 인식되었으나 당기중 해당 재고의 대량 폐기가 발생하여 수량이 감소한 효과임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해당하는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MENACTRA 0.5ML 1D INJSU VL1 KR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/348127):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743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2) EFLUELDA TETRA 0.7ML 1D INJ PS1+1N 25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/354654):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1,738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3) VAXIGRIP TETRA 0.5ML 10D INJSU PS10 K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/354344):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558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재고없음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</t>
    </r>
  </si>
  <si>
    <r>
      <rPr>
        <sz val="10"/>
        <rFont val="WenQuanYi Zen Hei"/>
        <family val="2"/>
      </rPr>
      <t xml:space="preserve">상품의 유효기간이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이내로 남은 경우와 반품된 재고는 전액 충당금 설정하며 이 외에도 예측 수요수량을 확인한 후 그에 비해 재고레벨이 높은 브랜드나 제품 중 판매가능성이 떨어지는 재고는 충당금 설정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당기에는 계획 대비 실제 판매가 저조한 제품</t>
    </r>
    <r>
      <rPr>
        <sz val="10"/>
        <rFont val="맑은 고딕"/>
        <family val="3"/>
        <charset val="129"/>
      </rPr>
      <t xml:space="preserve">(DUPIXENT 200MG/+ INJ AI2 KR_Pen 14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EFLUELDA TETRA 0.7ML 1D INJ PS1+1N 25 17</t>
    </r>
    <r>
      <rPr>
        <sz val="10"/>
        <rFont val="WenQuanYi Zen Hei"/>
        <family val="2"/>
      </rPr>
      <t xml:space="preserve">억 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이 많아 해당 제품들의 충당금 설정이 많아짐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</si>
  <si>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월말 이후 인보이스된 매입 재고 중 미착분으로 구성됨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모두 </t>
    </r>
    <r>
      <rPr>
        <sz val="10"/>
        <rFont val="맑은 고딕"/>
        <family val="3"/>
        <charset val="129"/>
      </rPr>
      <t xml:space="preserve">SANOFI-AVENTIS SINGAPORE PTE</t>
    </r>
    <r>
      <rPr>
        <sz val="10"/>
        <rFont val="WenQuanYi Zen Hei"/>
        <family val="2"/>
      </rPr>
      <t xml:space="preserve">에 대한 매입분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 단위로 대량 발주하는데 전기말에 대량 발주시기에 걸려 미착품이 크게 존재하였음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</si>
  <si>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운송방식이 항공운송에서 선박운송으로 변경되면서 미착품이 증가하였고 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개월마다 수입주문을 넣는데 올 연말에 주문이 들어가면서 미착품 증가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</si>
  <si>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관련 이연법인세 부분으로 기말 </t>
    </r>
    <r>
      <rPr>
        <sz val="10"/>
        <rFont val="맑은 고딕"/>
        <family val="3"/>
        <charset val="129"/>
      </rPr>
      <t xml:space="preserve">clear </t>
    </r>
    <r>
      <rPr>
        <sz val="10"/>
        <rFont val="WenQuanYi Zen Hei"/>
        <family val="2"/>
      </rPr>
      <t xml:space="preserve">필요
</t>
    </r>
  </si>
  <si>
    <t xml:space="preserve">오펠라 지분 매각</t>
  </si>
  <si>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월에 취득한 구축물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건으로 인하여 감가상각비 금액이 </t>
    </r>
    <r>
      <rPr>
        <sz val="10"/>
        <rFont val="맑은 고딕"/>
        <family val="3"/>
        <charset val="129"/>
      </rPr>
      <t xml:space="preserve">136</t>
    </r>
    <r>
      <rPr>
        <sz val="10"/>
        <rFont val="WenQuanYi Zen Hei"/>
        <family val="2"/>
      </rPr>
      <t xml:space="preserve">백만원 가량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</si>
  <si>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합병으로 취득한 기계장치 취득원가  </t>
    </r>
    <r>
      <rPr>
        <sz val="10"/>
        <rFont val="맑은 고딕"/>
        <family val="3"/>
        <charset val="129"/>
      </rPr>
      <t xml:space="preserve">620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기중 취득한 유형자산 </t>
    </r>
    <r>
      <rPr>
        <sz val="10"/>
        <rFont val="맑은 고딕"/>
        <family val="3"/>
        <charset val="129"/>
      </rPr>
      <t xml:space="preserve">169</t>
    </r>
    <r>
      <rPr>
        <sz val="10"/>
        <rFont val="WenQuanYi Zen Hei"/>
        <family val="2"/>
      </rPr>
      <t xml:space="preserve">백만원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</si>
  <si>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합병으로 취득한 기계장치의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월말 기준 감가상각누계액 </t>
    </r>
    <r>
      <rPr>
        <sz val="10"/>
        <rFont val="맑은 고딕"/>
        <family val="3"/>
        <charset val="129"/>
      </rPr>
      <t xml:space="preserve">228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원이 더해진 효과로 크게 증가함</t>
    </r>
  </si>
  <si>
    <r>
      <rPr>
        <sz val="10"/>
        <rFont val="WenQuanYi Zen Hei"/>
        <family val="2"/>
      </rPr>
      <t xml:space="preserve">당기 취득한 집기비품 중 </t>
    </r>
    <r>
      <rPr>
        <sz val="10"/>
        <rFont val="맑은 고딕"/>
        <family val="3"/>
        <charset val="129"/>
      </rPr>
      <t xml:space="preserve">IT </t>
    </r>
    <r>
      <rPr>
        <sz val="10"/>
        <rFont val="WenQuanYi Zen Hei"/>
        <family val="2"/>
      </rPr>
      <t xml:space="preserve">기구의 내용연수를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년으로 잡아 상각된 금액 </t>
    </r>
    <r>
      <rPr>
        <sz val="10"/>
        <rFont val="맑은 고딕"/>
        <family val="3"/>
        <charset val="129"/>
      </rPr>
      <t xml:space="preserve">128</t>
    </r>
    <r>
      <rPr>
        <sz val="10"/>
        <rFont val="WenQuanYi Zen Hei"/>
        <family val="2"/>
      </rPr>
      <t xml:space="preserve">백만원으로 인해 전기 대비 감가상각누계액의 증가효과가 큼</t>
    </r>
  </si>
  <si>
    <r>
      <rPr>
        <b val="true"/>
        <sz val="10"/>
        <rFont val="맑은 고딕"/>
        <family val="3"/>
        <charset val="129"/>
      </rPr>
      <t xml:space="preserve">(3) </t>
    </r>
    <r>
      <rPr>
        <b val="true"/>
        <sz val="10"/>
        <rFont val="WenQuanYi Zen Hei"/>
        <family val="2"/>
      </rPr>
      <t xml:space="preserve">무형자산</t>
    </r>
  </si>
  <si>
    <r>
      <rPr>
        <b val="true"/>
        <sz val="10"/>
        <rFont val="맑은 고딕"/>
        <family val="3"/>
        <charset val="129"/>
      </rPr>
      <t xml:space="preserve">(4) </t>
    </r>
    <r>
      <rPr>
        <b val="true"/>
        <sz val="10"/>
        <rFont val="WenQuanYi Zen Hei"/>
        <family val="2"/>
      </rPr>
      <t xml:space="preserve">기타비유동자산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</si>
  <si>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따라 법원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억원을 회수하였음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기말 보증금 잔액은 반포 사무실 임차보증금에 해당함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</si>
  <si>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따라 법원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억원을 회수하였음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</si>
  <si>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제미글로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원금</t>
    </r>
    <r>
      <rPr>
        <sz val="10"/>
        <rFont val="맑은 고딕"/>
        <family val="3"/>
        <charset val="129"/>
      </rPr>
      <t xml:space="preserve">+</t>
    </r>
    <r>
      <rPr>
        <sz val="10"/>
        <rFont val="WenQuanYi Zen Hei"/>
        <family val="2"/>
      </rPr>
      <t xml:space="preserve">경과이자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반포사무실보증금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VIE</t>
    </r>
    <r>
      <rPr>
        <sz val="10"/>
        <rFont val="WenQuanYi Zen Hei"/>
        <family val="2"/>
      </rPr>
      <t xml:space="preserve">임차보증금 </t>
    </r>
    <r>
      <rPr>
        <sz val="10"/>
        <rFont val="맑은 고딕"/>
        <family val="3"/>
        <charset val="129"/>
      </rPr>
      <t xml:space="preserve">20</t>
    </r>
    <r>
      <rPr>
        <sz val="10"/>
        <rFont val="WenQuanYi Zen Hei"/>
        <family val="2"/>
      </rPr>
      <t xml:space="preserve">백만원으로 구성됨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</si>
  <si>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따르면 회사의 손해배상청구소송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본소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및 엘지화학의 부당이득금반환소송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반소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반소에 대한 회사의 항소 모두가 기각되어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회사는 피고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엘지화학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대웅제약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의 소송비용만을 부담하고 공탁금을 회수할 뿐 더 수취하거나 지급할 금액이 없음에 따라 관련 미수금과 대손충당금을 상계 제거하였음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</si>
  <si>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1. 2014</t>
    </r>
    <r>
      <rPr>
        <sz val="10"/>
        <rFont val="WenQuanYi Zen Hei"/>
        <family val="2"/>
      </rPr>
      <t xml:space="preserve">년부터 발생한 제미글로 관련 </t>
    </r>
    <r>
      <rPr>
        <sz val="10"/>
        <rFont val="맑은 고딕"/>
        <family val="3"/>
        <charset val="129"/>
      </rPr>
      <t xml:space="preserve">promotion </t>
    </r>
    <r>
      <rPr>
        <sz val="10"/>
        <rFont val="WenQuanYi Zen Hei"/>
        <family val="2"/>
      </rPr>
      <t xml:space="preserve">미수금으로</t>
    </r>
    <r>
      <rPr>
        <sz val="10"/>
        <rFont val="맑은 고딕"/>
        <family val="3"/>
        <charset val="129"/>
      </rPr>
      <t xml:space="preserve">, LG</t>
    </r>
    <r>
      <rPr>
        <sz val="10"/>
        <rFont val="WenQuanYi Zen Hei"/>
        <family val="2"/>
      </rPr>
      <t xml:space="preserve">생활과학 제미글로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제미메트 </t>
    </r>
    <r>
      <rPr>
        <sz val="10"/>
        <rFont val="맑은 고딕"/>
        <family val="3"/>
        <charset val="129"/>
      </rPr>
      <t xml:space="preserve">Co-promotion </t>
    </r>
    <r>
      <rPr>
        <sz val="10"/>
        <rFont val="WenQuanYi Zen Hei"/>
        <family val="2"/>
      </rPr>
      <t xml:space="preserve">계약해지에 따른 대손충당금 설정 </t>
    </r>
    <r>
      <rPr>
        <sz val="10"/>
        <rFont val="맑은 고딕"/>
        <family val="3"/>
        <charset val="129"/>
      </rPr>
      <t xml:space="preserve">(2015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생활과학의 통보로 계약 해지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계약해지전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발생한 프로모션 수수료를 수취하여 못하여 해당 미수금 </t>
    </r>
    <r>
      <rPr>
        <sz val="10"/>
        <rFont val="맑은 고딕"/>
        <family val="3"/>
        <charset val="129"/>
      </rPr>
      <t xml:space="preserve">100% </t>
    </r>
    <r>
      <rPr>
        <sz val="10"/>
        <rFont val="WenQuanYi Zen Hei"/>
        <family val="2"/>
      </rPr>
      <t xml:space="preserve">대손 설정함</t>
    </r>
    <r>
      <rPr>
        <sz val="10"/>
        <rFont val="맑은 고딕"/>
        <family val="3"/>
        <charset val="129"/>
      </rPr>
      <t xml:space="preserve">.(</t>
    </r>
    <r>
      <rPr>
        <sz val="10"/>
        <rFont val="WenQuanYi Zen Hei"/>
        <family val="2"/>
      </rPr>
      <t xml:space="preserve">제미글로 </t>
    </r>
    <r>
      <rPr>
        <sz val="10"/>
        <rFont val="맑은 고딕"/>
        <family val="3"/>
        <charset val="129"/>
      </rPr>
      <t xml:space="preserve">sheet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감사보고서일전 판결 나는 경우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수정을 요하는 보고기간 후 사건이므로 재무제표 반영 필요하나 상고가 예상되므로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내용 주석사항으로 기재함</t>
    </r>
    <r>
      <rPr>
        <sz val="10"/>
        <rFont val="맑은 고딕"/>
        <family val="3"/>
        <charset val="129"/>
      </rPr>
      <t xml:space="preserve">. </t>
    </r>
  </si>
  <si>
    <t xml:space="preserve">상기 코멘트 참조</t>
  </si>
  <si>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 제미글로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제미메트 </t>
    </r>
    <r>
      <rPr>
        <sz val="10"/>
        <rFont val="맑은 고딕"/>
        <family val="3"/>
        <charset val="129"/>
      </rPr>
      <t xml:space="preserve">Co-promotion </t>
    </r>
    <r>
      <rPr>
        <sz val="10"/>
        <rFont val="WenQuanYi Zen Hei"/>
        <family val="2"/>
      </rPr>
      <t xml:space="preserve">계약해지에 따른 대손충당금 설정 </t>
    </r>
    <r>
      <rPr>
        <sz val="10"/>
        <rFont val="맑은 고딕"/>
        <family val="3"/>
        <charset val="129"/>
      </rPr>
      <t xml:space="preserve">(2015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생활과학의 통보로 계약 해지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계약해지전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발생한 프로모션 수수료를 수취하여 못하여 해당 미수금 </t>
    </r>
    <r>
      <rPr>
        <sz val="10"/>
        <rFont val="맑은 고딕"/>
        <family val="3"/>
        <charset val="129"/>
      </rPr>
      <t xml:space="preserve">100% </t>
    </r>
    <r>
      <rPr>
        <sz val="10"/>
        <rFont val="WenQuanYi Zen Hei"/>
        <family val="2"/>
      </rPr>
      <t xml:space="preserve">대손 설정함</t>
    </r>
    <r>
      <rPr>
        <sz val="10"/>
        <rFont val="맑은 고딕"/>
        <family val="3"/>
        <charset val="129"/>
      </rPr>
      <t xml:space="preserve">. (68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&gt; </t>
    </r>
    <r>
      <rPr>
        <sz val="10"/>
        <rFont val="WenQuanYi Zen Hei"/>
        <family val="2"/>
      </rPr>
      <t xml:space="preserve">전기와 동일</t>
    </r>
  </si>
  <si>
    <r>
      <rPr>
        <sz val="10"/>
        <rFont val="WenQuanYi Zen Hei"/>
        <family val="2"/>
      </rPr>
      <t xml:space="preserve">당기말 잔액은 한독약품 </t>
    </r>
    <r>
      <rPr>
        <sz val="10"/>
        <rFont val="맑은 고딕"/>
        <family val="3"/>
        <charset val="129"/>
      </rPr>
      <t xml:space="preserve">117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한미약품 </t>
    </r>
    <r>
      <rPr>
        <sz val="10"/>
        <rFont val="맑은 고딕"/>
        <family val="3"/>
        <charset val="129"/>
      </rPr>
      <t xml:space="preserve">18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관계사 매입채무 잔액은 모두 지급</t>
    </r>
    <r>
      <rPr>
        <sz val="10"/>
        <rFont val="맑은 고딕"/>
        <family val="3"/>
        <charset val="129"/>
      </rPr>
      <t xml:space="preserve">(early payment)</t>
    </r>
    <r>
      <rPr>
        <sz val="10"/>
        <rFont val="WenQuanYi Zen Hei"/>
        <family val="2"/>
      </rPr>
      <t xml:space="preserve">되었음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</si>
  <si>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잔액은 다음과 같이 구성됨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관계사</t>
    </r>
    <r>
      <rPr>
        <sz val="10"/>
        <rFont val="맑은 고딕"/>
        <family val="3"/>
        <charset val="129"/>
      </rPr>
      <t xml:space="preserve">: Sanofi-Aventis Singapore Pte Ltd 482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390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, Sanofi Pasteur Inc 22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(82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그외 전기말 존재하였던 </t>
    </r>
    <r>
      <rPr>
        <sz val="10"/>
        <rFont val="맑은 고딕"/>
        <family val="3"/>
        <charset val="129"/>
      </rPr>
      <t xml:space="preserve">Sanofi Pasteur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202</t>
    </r>
    <r>
      <rPr>
        <sz val="10"/>
        <rFont val="WenQuanYi Zen Hei"/>
        <family val="2"/>
      </rPr>
      <t xml:space="preserve">억원은 당기 지급되었고 신규 거래 발생 없음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국내업체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한독약품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한미약품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</t>
    </r>
  </si>
  <si>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개월마다 수입주문을 넣는데 올해 연말에 주문이 증가하여 기말기준 매입채무 잔액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</si>
  <si>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주로 아래 업체에 대한 미지급금이 전기말 대비 증가하였음</t>
    </r>
    <r>
      <rPr>
        <sz val="10"/>
        <rFont val="맑은 고딕"/>
        <family val="3"/>
        <charset val="129"/>
      </rPr>
      <t xml:space="preserve">.
1. ICON CLINICAL RESEARCH KOREA LIMITE 21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17.1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마콜컨설팅그룹 주식회사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3.9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LG Chem, Ltd. 7.6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잔액없음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시네오스헬스코리아 유한회사 </t>
    </r>
    <r>
      <rPr>
        <sz val="10"/>
        <rFont val="맑은 고딕"/>
        <family val="3"/>
        <charset val="129"/>
      </rPr>
      <t xml:space="preserve">6.1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잔액없음</t>
    </r>
    <r>
      <rPr>
        <sz val="10"/>
        <rFont val="맑은 고딕"/>
        <family val="3"/>
        <charset val="129"/>
      </rPr>
      <t xml:space="preserve">)
5. </t>
    </r>
    <r>
      <rPr>
        <sz val="10"/>
        <rFont val="WenQuanYi Zen Hei"/>
        <family val="2"/>
      </rPr>
      <t xml:space="preserve">에이치에이치글로벌코리아 유한회사 </t>
    </r>
    <r>
      <rPr>
        <sz val="10"/>
        <rFont val="맑은 고딕"/>
        <family val="3"/>
        <charset val="129"/>
      </rPr>
      <t xml:space="preserve">5.4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</t>
    </r>
  </si>
  <si>
    <t xml:space="preserve">합병으로 인한 효과</t>
  </si>
  <si>
    <r>
      <rPr>
        <sz val="10"/>
        <rFont val="WenQuanYi Zen Hei"/>
        <family val="2"/>
      </rPr>
      <t xml:space="preserve">당기 예수금 항목</t>
    </r>
    <r>
      <rPr>
        <sz val="10"/>
        <rFont val="맑은 고딕"/>
        <family val="3"/>
        <charset val="129"/>
      </rPr>
      <t xml:space="preserve">(social security)</t>
    </r>
    <r>
      <rPr>
        <sz val="10"/>
        <rFont val="WenQuanYi Zen Hei"/>
        <family val="2"/>
      </rPr>
      <t xml:space="preserve">을 미지급금으로 잘못분류한 금액이 </t>
    </r>
    <r>
      <rPr>
        <sz val="10"/>
        <rFont val="맑은 고딕"/>
        <family val="3"/>
        <charset val="129"/>
      </rPr>
      <t xml:space="preserve">584,741,120</t>
    </r>
    <r>
      <rPr>
        <sz val="10"/>
        <rFont val="WenQuanYi Zen Hei"/>
        <family val="2"/>
      </rPr>
      <t xml:space="preserve">원임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회사 수정함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</si>
  <si>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당기말 주요 잔액 구성은 아래와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구조조정비용 </t>
    </r>
    <r>
      <rPr>
        <sz val="10"/>
        <rFont val="맑은 고딕"/>
        <family val="3"/>
        <charset val="129"/>
      </rPr>
      <t xml:space="preserve">accrual: 170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). 90</t>
    </r>
    <r>
      <rPr>
        <sz val="10"/>
        <rFont val="WenQuanYi Zen Hei"/>
        <family val="2"/>
      </rPr>
      <t xml:space="preserve">억원은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월초 지급될 예정이며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잔여 </t>
    </r>
    <r>
      <rPr>
        <sz val="10"/>
        <rFont val="맑은 고딕"/>
        <family val="3"/>
        <charset val="129"/>
      </rPr>
      <t xml:space="preserve">accrual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3"/>
        <charset val="129"/>
      </rPr>
      <t xml:space="preserve">26</t>
    </r>
    <r>
      <rPr>
        <sz val="10"/>
        <rFont val="WenQuanYi Zen Hei"/>
        <family val="2"/>
      </rPr>
      <t xml:space="preserve">년중에 소진 계획임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성과급</t>
    </r>
    <r>
      <rPr>
        <sz val="10"/>
        <rFont val="맑은 고딕"/>
        <family val="3"/>
        <charset val="129"/>
      </rPr>
      <t xml:space="preserve">(STI) accrual 44.5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38.4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Sales incentive &amp; YWC accrual 14.2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15.8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연차수당미지급비용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9.4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5. </t>
    </r>
    <r>
      <rPr>
        <sz val="10"/>
        <rFont val="WenQuanYi Zen Hei"/>
        <family val="2"/>
      </rPr>
      <t xml:space="preserve">리베이트 </t>
    </r>
    <r>
      <rPr>
        <sz val="10"/>
        <rFont val="맑은 고딕"/>
        <family val="3"/>
        <charset val="129"/>
      </rPr>
      <t xml:space="preserve">provision 572.3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488.1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6. R&amp;D(CASA) </t>
    </r>
    <r>
      <rPr>
        <sz val="10"/>
        <rFont val="WenQuanYi Zen Hei"/>
        <family val="2"/>
      </rPr>
      <t xml:space="preserve">미지급비용 </t>
    </r>
    <r>
      <rPr>
        <sz val="10"/>
        <rFont val="맑은 고딕"/>
        <family val="3"/>
        <charset val="129"/>
      </rPr>
      <t xml:space="preserve">95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69.2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</si>
  <si>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미지급비용 주요 증감사유는 다음과 같음</t>
    </r>
    <r>
      <rPr>
        <sz val="10"/>
        <rFont val="맑은 고딕"/>
        <family val="3"/>
        <charset val="129"/>
      </rPr>
      <t xml:space="preserve">. 
- </t>
    </r>
    <r>
      <rPr>
        <sz val="10"/>
        <rFont val="WenQuanYi Zen Hei"/>
        <family val="2"/>
      </rPr>
      <t xml:space="preserve">듀피젠트 매출 증가에 따른 </t>
    </r>
    <r>
      <rPr>
        <sz val="10"/>
        <rFont val="맑은 고딕"/>
        <family val="3"/>
        <charset val="129"/>
      </rPr>
      <t xml:space="preserve">RSA </t>
    </r>
    <r>
      <rPr>
        <sz val="10"/>
        <rFont val="WenQuanYi Zen Hei"/>
        <family val="2"/>
      </rPr>
      <t xml:space="preserve">지급액 </t>
    </r>
    <r>
      <rPr>
        <sz val="10"/>
        <rFont val="맑은 고딕"/>
        <family val="3"/>
        <charset val="129"/>
      </rPr>
      <t xml:space="preserve">163</t>
    </r>
    <r>
      <rPr>
        <sz val="10"/>
        <rFont val="WenQuanYi Zen Hei"/>
        <family val="2"/>
      </rPr>
      <t xml:space="preserve">억원 증가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미착품 관련 </t>
    </r>
    <r>
      <rPr>
        <sz val="10"/>
        <rFont val="맑은 고딕"/>
        <family val="3"/>
        <charset val="129"/>
      </rPr>
      <t xml:space="preserve">174</t>
    </r>
    <r>
      <rPr>
        <sz val="10"/>
        <rFont val="WenQuanYi Zen Hei"/>
        <family val="2"/>
      </rPr>
      <t xml:space="preserve">억원 증가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오류</t>
    </r>
    <r>
      <rPr>
        <sz val="10"/>
        <rFont val="맑은 고딕"/>
        <family val="3"/>
        <charset val="129"/>
      </rPr>
      <t xml:space="preserve">) &gt; </t>
    </r>
    <r>
      <rPr>
        <sz val="10"/>
        <rFont val="WenQuanYi Zen Hei"/>
        <family val="2"/>
      </rPr>
      <t xml:space="preserve">매입채무로 수정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연구비 관련 미지급비용 </t>
    </r>
    <r>
      <rPr>
        <sz val="10"/>
        <rFont val="맑은 고딕"/>
        <family val="3"/>
        <charset val="129"/>
      </rPr>
      <t xml:space="preserve">94</t>
    </r>
    <r>
      <rPr>
        <sz val="10"/>
        <rFont val="WenQuanYi Zen Hei"/>
        <family val="2"/>
      </rPr>
      <t xml:space="preserve">억원 감소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임상증례조사비 관련하여 회사가 과다하게 본사로 보전금을 지급받아 돌려줘야하는 미지급비용 </t>
    </r>
    <r>
      <rPr>
        <sz val="10"/>
        <rFont val="맑은 고딕"/>
        <family val="3"/>
        <charset val="129"/>
      </rPr>
      <t xml:space="preserve">58</t>
    </r>
    <r>
      <rPr>
        <sz val="10"/>
        <rFont val="WenQuanYi Zen Hei"/>
        <family val="2"/>
      </rPr>
      <t xml:space="preserve">억원 포함</t>
    </r>
    <r>
      <rPr>
        <sz val="10"/>
        <rFont val="맑은 고딕"/>
        <family val="3"/>
        <charset val="129"/>
      </rPr>
      <t xml:space="preserve">)</t>
    </r>
  </si>
  <si>
    <t xml:space="preserve">매출 증가에 따라 부가셰예수금 증가</t>
  </si>
  <si>
    <r>
      <rPr>
        <sz val="10"/>
        <rFont val="WenQuanYi Zen Hei"/>
        <family val="2"/>
      </rPr>
      <t xml:space="preserve">반품충당부채 중 </t>
    </r>
    <r>
      <rPr>
        <sz val="10"/>
        <rFont val="맑은 고딕"/>
        <family val="3"/>
        <charset val="129"/>
      </rPr>
      <t xml:space="preserve">Pharma</t>
    </r>
    <r>
      <rPr>
        <sz val="10"/>
        <rFont val="WenQuanYi Zen Hei"/>
        <family val="2"/>
      </rPr>
      <t xml:space="preserve">는 유통기한이 </t>
    </r>
    <r>
      <rPr>
        <sz val="10"/>
        <rFont val="맑은 고딕"/>
        <family val="3"/>
        <charset val="129"/>
      </rPr>
      <t xml:space="preserve">2-3</t>
    </r>
    <r>
      <rPr>
        <sz val="10"/>
        <rFont val="WenQuanYi Zen Hei"/>
        <family val="2"/>
      </rPr>
      <t xml:space="preserve">년 정도로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 발생으로부터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 내에 충당부채를 환입하고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3"/>
        <charset val="129"/>
      </rPr>
      <t xml:space="preserve">Pharma </t>
    </r>
    <r>
      <rPr>
        <sz val="10"/>
        <rFont val="WenQuanYi Zen Hei"/>
        <family val="2"/>
      </rPr>
      <t xml:space="preserve">반풍충당부채는 설정시점에 </t>
    </r>
    <r>
      <rPr>
        <sz val="10"/>
        <rFont val="맑은 고딕"/>
        <family val="3"/>
        <charset val="129"/>
      </rPr>
      <t xml:space="preserve">50% </t>
    </r>
    <r>
      <rPr>
        <sz val="10"/>
        <rFont val="WenQuanYi Zen Hei"/>
        <family val="2"/>
      </rPr>
      <t xml:space="preserve">유동</t>
    </r>
    <r>
      <rPr>
        <sz val="10"/>
        <rFont val="맑은 고딕"/>
        <family val="3"/>
        <charset val="129"/>
      </rPr>
      <t xml:space="preserve">, 50% </t>
    </r>
    <r>
      <rPr>
        <sz val="10"/>
        <rFont val="WenQuanYi Zen Hei"/>
        <family val="2"/>
      </rPr>
      <t xml:space="preserve">비유동으로 분류함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 외 백신은 유통기한이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 이내이므로 모두 유동으로 분류됨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</si>
  <si>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반품충당부채 중 </t>
    </r>
    <r>
      <rPr>
        <sz val="10"/>
        <rFont val="맑은 고딕"/>
        <family val="3"/>
        <charset val="129"/>
      </rPr>
      <t xml:space="preserve">Pharma</t>
    </r>
    <r>
      <rPr>
        <sz val="10"/>
        <rFont val="WenQuanYi Zen Hei"/>
        <family val="2"/>
      </rPr>
      <t xml:space="preserve">는 유통기한이 </t>
    </r>
    <r>
      <rPr>
        <sz val="10"/>
        <rFont val="맑은 고딕"/>
        <family val="3"/>
        <charset val="129"/>
      </rPr>
      <t xml:space="preserve">2-3</t>
    </r>
    <r>
      <rPr>
        <sz val="10"/>
        <rFont val="WenQuanYi Zen Hei"/>
        <family val="2"/>
      </rPr>
      <t xml:space="preserve">년 정도로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 발생으로부터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 내에 충당부채를 환입하고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3"/>
        <charset val="129"/>
      </rPr>
      <t xml:space="preserve">Pharma </t>
    </r>
    <r>
      <rPr>
        <sz val="10"/>
        <rFont val="WenQuanYi Zen Hei"/>
        <family val="2"/>
      </rPr>
      <t xml:space="preserve">반풍충당부채는 설정시점에 </t>
    </r>
    <r>
      <rPr>
        <sz val="10"/>
        <rFont val="맑은 고딕"/>
        <family val="3"/>
        <charset val="129"/>
      </rPr>
      <t xml:space="preserve">50% </t>
    </r>
    <r>
      <rPr>
        <sz val="10"/>
        <rFont val="WenQuanYi Zen Hei"/>
        <family val="2"/>
      </rPr>
      <t xml:space="preserve">유동</t>
    </r>
    <r>
      <rPr>
        <sz val="10"/>
        <rFont val="맑은 고딕"/>
        <family val="3"/>
        <charset val="129"/>
      </rPr>
      <t xml:space="preserve">, 50% </t>
    </r>
    <r>
      <rPr>
        <sz val="10"/>
        <rFont val="WenQuanYi Zen Hei"/>
        <family val="2"/>
      </rPr>
      <t xml:space="preserve">비유동으로 분류함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 외 백신은 유통기한이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 이내이므로 모두 유동으로 분류됨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유동충당부채 비율이 비유동에 비해 커야 하나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reclass </t>
    </r>
    <r>
      <rPr>
        <sz val="10"/>
        <rFont val="WenQuanYi Zen Hei"/>
        <family val="2"/>
      </rPr>
      <t xml:space="preserve">상 오류가 있어 비유동 비율이 더 크게 분류됨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총액 기준으로는 전기 </t>
    </r>
    <r>
      <rPr>
        <sz val="10"/>
        <rFont val="맑은 고딕"/>
        <family val="3"/>
        <charset val="129"/>
      </rPr>
      <t xml:space="preserve">43.5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56.1</t>
    </r>
    <r>
      <rPr>
        <sz val="10"/>
        <rFont val="WenQuanYi Zen Hei"/>
        <family val="2"/>
      </rPr>
      <t xml:space="preserve">억원으로 신제품 판매 및 매출 증가에 따라 증가한 것으로 파악됨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</si>
  <si>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파스퇴르와의 합병으로 인해 반품충당부채 증가함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백신을 제외한 </t>
    </r>
    <r>
      <rPr>
        <sz val="10"/>
        <rFont val="맑은 고딕"/>
        <family val="3"/>
        <charset val="129"/>
      </rPr>
      <t xml:space="preserve">Gen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3"/>
        <charset val="129"/>
      </rPr>
      <t xml:space="preserve">SPC BU</t>
    </r>
    <r>
      <rPr>
        <sz val="10"/>
        <rFont val="WenQuanYi Zen Hei"/>
        <family val="2"/>
      </rPr>
      <t xml:space="preserve">의 충당부채 설정은 전기와 비슷한 수준을 유지하고 있음</t>
    </r>
    <r>
      <rPr>
        <sz val="10"/>
        <rFont val="맑은 고딕"/>
        <family val="3"/>
        <charset val="129"/>
      </rPr>
      <t xml:space="preserve">. GEN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3"/>
        <charset val="129"/>
      </rPr>
      <t xml:space="preserve">SPC</t>
    </r>
    <r>
      <rPr>
        <sz val="10"/>
        <rFont val="WenQuanYi Zen Hei"/>
        <family val="2"/>
      </rPr>
      <t xml:space="preserve">의 경우 유통기한이 </t>
    </r>
    <r>
      <rPr>
        <sz val="10"/>
        <rFont val="맑은 고딕"/>
        <family val="3"/>
        <charset val="129"/>
      </rPr>
      <t xml:space="preserve">2~3</t>
    </r>
    <r>
      <rPr>
        <sz val="10"/>
        <rFont val="WenQuanYi Zen Hei"/>
        <family val="2"/>
      </rPr>
      <t xml:space="preserve">년이며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반품비율은 판매한 해에 </t>
    </r>
    <r>
      <rPr>
        <sz val="10"/>
        <rFont val="맑은 고딕"/>
        <family val="3"/>
        <charset val="129"/>
      </rPr>
      <t xml:space="preserve">20%, 1</t>
    </r>
    <r>
      <rPr>
        <sz val="10"/>
        <rFont val="WenQuanYi Zen Hei"/>
        <family val="2"/>
      </rPr>
      <t xml:space="preserve">년내에 </t>
    </r>
    <r>
      <rPr>
        <sz val="10"/>
        <rFont val="맑은 고딕"/>
        <family val="3"/>
        <charset val="129"/>
      </rPr>
      <t xml:space="preserve">40%, 2</t>
    </r>
    <r>
      <rPr>
        <sz val="10"/>
        <rFont val="WenQuanYi Zen Hei"/>
        <family val="2"/>
      </rPr>
      <t xml:space="preserve">년내 </t>
    </r>
    <r>
      <rPr>
        <sz val="10"/>
        <rFont val="맑은 고딕"/>
        <family val="3"/>
        <charset val="129"/>
      </rPr>
      <t xml:space="preserve">40% </t>
    </r>
    <r>
      <rPr>
        <sz val="10"/>
        <rFont val="WenQuanYi Zen Hei"/>
        <family val="2"/>
      </rPr>
      <t xml:space="preserve">정도임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기말 기준으로 </t>
    </r>
    <r>
      <rPr>
        <sz val="10"/>
        <rFont val="맑은 고딕"/>
        <family val="3"/>
        <charset val="129"/>
      </rPr>
      <t xml:space="preserve">80%</t>
    </r>
    <r>
      <rPr>
        <sz val="10"/>
        <rFont val="WenQuanYi Zen Hei"/>
        <family val="2"/>
      </rPr>
      <t xml:space="preserve">에 해당하는 금액을 반품충당부채로 설정하고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중 </t>
    </r>
    <r>
      <rPr>
        <sz val="10"/>
        <rFont val="맑은 고딕"/>
        <family val="3"/>
        <charset val="129"/>
      </rPr>
      <t xml:space="preserve">50%</t>
    </r>
    <r>
      <rPr>
        <sz val="10"/>
        <rFont val="WenQuanYi Zen Hei"/>
        <family val="2"/>
      </rPr>
      <t xml:space="preserve">는 유동부채로 분류하고 있음</t>
    </r>
    <r>
      <rPr>
        <sz val="10"/>
        <rFont val="맑은 고딕"/>
        <family val="3"/>
        <charset val="129"/>
      </rPr>
      <t xml:space="preserve">. </t>
    </r>
  </si>
  <si>
    <t xml:space="preserve">상기 반품충당금유동 계정 코멘트 참조
</t>
  </si>
  <si>
    <r>
      <rPr>
        <sz val="10"/>
        <rFont val="WenQuanYi Zen Hei"/>
        <family val="2"/>
      </rPr>
      <t xml:space="preserve">제미글로 소송 관련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및 상대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피고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소송비용 </t>
    </r>
    <r>
      <rPr>
        <sz val="10"/>
        <rFont val="맑은 고딕"/>
        <family val="3"/>
        <charset val="129"/>
      </rPr>
      <t xml:space="preserve">8</t>
    </r>
    <r>
      <rPr>
        <sz val="10"/>
        <rFont val="WenQuanYi Zen Hei"/>
        <family val="2"/>
      </rPr>
      <t xml:space="preserve">억원을 소송충당부채로 인식해왔으나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해당 소송 승소에 따라 법원공탁금은 회수하였고 상대방 소송비용은 부담하지 않게되어 소송충당부채를 전액 환입하였음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</si>
  <si>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WenQuanYi Zen Hei"/>
        <family val="2"/>
      </rPr>
      <t xml:space="preserve">감사보고서일전 판결 나는 경우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수정을 요하는 보고기간 후 사건이므로 재무제표 반영 필요하나 상고가 예상되므로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주석사항으로 기재 예정임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</si>
  <si>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증가</t>
    </r>
  </si>
  <si>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감소</t>
    </r>
  </si>
  <si>
    <r>
      <rPr>
        <b val="true"/>
        <sz val="10"/>
        <rFont val="WenQuanYi Zen Hei"/>
        <family val="2"/>
      </rPr>
      <t xml:space="preserve">이익잉여금</t>
    </r>
    <r>
      <rPr>
        <b val="true"/>
        <sz val="10"/>
        <rFont val="맑은 고딕"/>
        <family val="3"/>
        <charset val="129"/>
      </rPr>
      <t xml:space="preserve">(</t>
    </r>
    <r>
      <rPr>
        <b val="true"/>
        <sz val="10"/>
        <rFont val="WenQuanYi Zen Hei"/>
        <family val="2"/>
      </rPr>
      <t xml:space="preserve">결손금</t>
    </r>
    <r>
      <rPr>
        <b val="true"/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</si>
  <si>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일자로 중간배당이 결의되어 </t>
    </r>
    <r>
      <rPr>
        <sz val="10"/>
        <rFont val="맑은 고딕"/>
        <family val="3"/>
        <charset val="129"/>
      </rPr>
      <t xml:space="preserve">64.5</t>
    </r>
    <r>
      <rPr>
        <sz val="10"/>
        <rFont val="WenQuanYi Zen Hei"/>
        <family val="2"/>
      </rPr>
      <t xml:space="preserve">억원의 중간배당금을 지급하였음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기초잉여금 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중간배당액 </t>
    </r>
    <r>
      <rPr>
        <sz val="10"/>
        <rFont val="맑은 고딕"/>
        <family val="3"/>
        <charset val="129"/>
      </rPr>
      <t xml:space="preserve">+ </t>
    </r>
    <r>
      <rPr>
        <sz val="10"/>
        <rFont val="WenQuanYi Zen Hei"/>
        <family val="2"/>
      </rPr>
      <t xml:space="preserve">당기순이익은 기말잉여금과 일치함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</si>
  <si>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일자로 중간배당이 결의되어 </t>
    </r>
    <r>
      <rPr>
        <sz val="10"/>
        <rFont val="맑은 고딕"/>
        <family val="3"/>
        <charset val="129"/>
      </rPr>
      <t xml:space="preserve">64.5</t>
    </r>
    <r>
      <rPr>
        <sz val="10"/>
        <rFont val="WenQuanYi Zen Hei"/>
        <family val="2"/>
      </rPr>
      <t xml:space="preserve">억원의 중간배당금을 지급하였음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</si>
  <si>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맑은 고딕"/>
        <family val="3"/>
        <charset val="129"/>
      </rPr>
      <t xml:space="preserve">PL </t>
    </r>
    <r>
      <rPr>
        <sz val="10"/>
        <rFont val="WenQuanYi Zen Hei"/>
        <family val="2"/>
      </rPr>
      <t xml:space="preserve">당기순이익과 일치</t>
    </r>
  </si>
  <si>
    <t xml:space="preserve">&lt;Conclusion&gt;</t>
  </si>
  <si>
    <r>
      <rPr>
        <sz val="10"/>
        <rFont val="WenQuanYi Zen Hei"/>
        <family val="2"/>
      </rPr>
      <t xml:space="preserve">감사 결론 형성을 위한 최종 분석적검토 결과 특이사항 없음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</si>
  <si>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36(</t>
    </r>
    <r>
      <rPr>
        <sz val="10"/>
        <rFont val="WenQuanYi Zen Hei"/>
        <family val="2"/>
      </rPr>
      <t xml:space="preserve">당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~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-12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</si>
  <si>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35(</t>
    </r>
    <r>
      <rPr>
        <sz val="10"/>
        <rFont val="WenQuanYi Zen Hei"/>
        <family val="2"/>
      </rPr>
      <t xml:space="preserve">전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~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</t>
    </r>
  </si>
  <si>
    <t xml:space="preserve">Current Year</t>
  </si>
  <si>
    <t xml:space="preserve">The 31st period </t>
  </si>
  <si>
    <t xml:space="preserve">Dec 2025 (MTD)</t>
  </si>
  <si>
    <t xml:space="preserve">Nov 2025 (MTD)</t>
  </si>
  <si>
    <t xml:space="preserve">Oct 2025 (MTD)</t>
  </si>
  <si>
    <t xml:space="preserve">Sep 2025 (MTD)</t>
  </si>
  <si>
    <t xml:space="preserve">Aug 2025 (MTD)</t>
  </si>
  <si>
    <t xml:space="preserve">July 2025 (MTD)</t>
  </si>
  <si>
    <t xml:space="preserve">June 2025 (MTD)</t>
  </si>
  <si>
    <t xml:space="preserve">May 2025 (MTD)</t>
  </si>
  <si>
    <t xml:space="preserve">Apr 2025 (MTD)</t>
  </si>
  <si>
    <t xml:space="preserve">Mar 2025 (MTD)</t>
  </si>
  <si>
    <t xml:space="preserve">Feb 2025 (MTD)</t>
  </si>
  <si>
    <t xml:space="preserve">Jan 2025 (MTD)</t>
  </si>
  <si>
    <r>
      <rPr>
        <sz val="10"/>
        <rFont val="맑은 고딕"/>
        <family val="3"/>
        <charset val="129"/>
      </rPr>
      <t xml:space="preserve">1. Pharma +19,621M: Aprovel, Fabrazyme, Dupixent </t>
    </r>
    <r>
      <rPr>
        <sz val="10"/>
        <rFont val="WenQuanYi Zen Hei"/>
        <family val="2"/>
      </rPr>
      <t xml:space="preserve">판매 성장
</t>
    </r>
    <r>
      <rPr>
        <sz val="10"/>
        <rFont val="맑은 고딕"/>
        <family val="3"/>
        <charset val="129"/>
      </rPr>
      <t xml:space="preserve">2. Global Genmed -965M
3. Vaccines +21,421M
1) </t>
    </r>
    <r>
      <rPr>
        <sz val="10"/>
        <rFont val="WenQuanYi Zen Hei"/>
        <family val="2"/>
      </rPr>
      <t xml:space="preserve">상승 요인</t>
    </r>
    <r>
      <rPr>
        <sz val="10"/>
        <rFont val="맑은 고딕"/>
        <family val="3"/>
        <charset val="129"/>
      </rPr>
      <t xml:space="preserve">: Beyfortus +26,835M (</t>
    </r>
    <r>
      <rPr>
        <sz val="10"/>
        <rFont val="WenQuanYi Zen Hei"/>
        <family val="2"/>
      </rPr>
      <t xml:space="preserve">출생 코호트 증가에 따른 물량 이연 및 판매 증가</t>
    </r>
    <r>
      <rPr>
        <sz val="10"/>
        <rFont val="맑은 고딕"/>
        <family val="3"/>
        <charset val="129"/>
      </rPr>
      <t xml:space="preserve">), Tetraxim, Avaxim &amp; Hexaxim +13,505M (</t>
    </r>
    <r>
      <rPr>
        <sz val="10"/>
        <rFont val="WenQuanYi Zen Hei"/>
        <family val="2"/>
      </rPr>
      <t xml:space="preserve">조기 주문에 따른 물량 이연</t>
    </r>
    <r>
      <rPr>
        <sz val="10"/>
        <rFont val="맑은 고딕"/>
        <family val="3"/>
        <charset val="129"/>
      </rPr>
      <t xml:space="preserve">)
2) </t>
    </r>
    <r>
      <rPr>
        <sz val="10"/>
        <rFont val="WenQuanYi Zen Hei"/>
        <family val="2"/>
      </rPr>
      <t xml:space="preserve">하락 요인</t>
    </r>
    <r>
      <rPr>
        <sz val="10"/>
        <rFont val="맑은 고딕"/>
        <family val="3"/>
        <charset val="129"/>
      </rPr>
      <t xml:space="preserve">: Pentaxim -9,340M, Vaxigrip -3,726M (TTM </t>
    </r>
    <r>
      <rPr>
        <sz val="10"/>
        <rFont val="WenQuanYi Zen Hei"/>
        <family val="2"/>
      </rPr>
      <t xml:space="preserve">및 경쟁 심화</t>
    </r>
    <r>
      <rPr>
        <sz val="10"/>
        <rFont val="맑은 고딕"/>
        <family val="3"/>
        <charset val="129"/>
      </rPr>
      <t xml:space="preserve">), Menactra -5,652M (</t>
    </r>
    <r>
      <rPr>
        <sz val="10"/>
        <rFont val="WenQuanYi Zen Hei"/>
        <family val="2"/>
      </rPr>
      <t xml:space="preserve">군납 주문 지연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제품 믹스 </t>
    </r>
    <r>
      <rPr>
        <sz val="10"/>
        <rFont val="맑은 고딕"/>
        <family val="3"/>
        <charset val="129"/>
      </rPr>
      <t xml:space="preserve">-201M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</si>
  <si>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주요 상품군별 증감내역은 다음과 같음</t>
    </r>
    <r>
      <rPr>
        <sz val="10"/>
        <rFont val="맑은 고딕"/>
        <family val="3"/>
        <charset val="129"/>
      </rPr>
      <t xml:space="preserve">.
1) Pharma (+9,040M): Aprovel, Fabrazyme, Nexviazyme </t>
    </r>
    <r>
      <rPr>
        <sz val="10"/>
        <rFont val="WenQuanYi Zen Hei"/>
        <family val="2"/>
      </rPr>
      <t xml:space="preserve">판매호조</t>
    </r>
    <r>
      <rPr>
        <sz val="10"/>
        <rFont val="맑은 고딕"/>
        <family val="3"/>
        <charset val="129"/>
      </rPr>
      <t xml:space="preserve">.
2) Dupixent (+10,481M): AD, Asthma </t>
    </r>
    <r>
      <rPr>
        <sz val="10"/>
        <rFont val="WenQuanYi Zen Hei"/>
        <family val="2"/>
      </rPr>
      <t xml:space="preserve">매출 성장 지속</t>
    </r>
    <r>
      <rPr>
        <sz val="10"/>
        <rFont val="맑은 고딕"/>
        <family val="3"/>
        <charset val="129"/>
      </rPr>
      <t xml:space="preserve">.
3) Vaccines (+6,457M):
- </t>
    </r>
    <r>
      <rPr>
        <sz val="10"/>
        <rFont val="WenQuanYi Zen Hei"/>
        <family val="2"/>
      </rPr>
      <t xml:space="preserve">상승요인</t>
    </r>
    <r>
      <rPr>
        <sz val="10"/>
        <rFont val="맑은 고딕"/>
        <family val="3"/>
        <charset val="129"/>
      </rPr>
      <t xml:space="preserve">: Beyfortus </t>
    </r>
    <r>
      <rPr>
        <sz val="10"/>
        <rFont val="WenQuanYi Zen Hei"/>
        <family val="2"/>
      </rPr>
      <t xml:space="preserve">신규 런칭</t>
    </r>
    <r>
      <rPr>
        <sz val="10"/>
        <rFont val="맑은 고딕"/>
        <family val="3"/>
        <charset val="129"/>
      </rPr>
      <t xml:space="preserve">(+9,537M), Tetraxim/Avaxim/Hexaxim </t>
    </r>
    <r>
      <rPr>
        <sz val="10"/>
        <rFont val="WenQuanYi Zen Hei"/>
        <family val="2"/>
      </rPr>
      <t xml:space="preserve">단계적 매출</t>
    </r>
    <r>
      <rPr>
        <sz val="10"/>
        <rFont val="맑은 고딕"/>
        <family val="3"/>
        <charset val="129"/>
      </rPr>
      <t xml:space="preserve">(+10,924M)
- </t>
    </r>
    <r>
      <rPr>
        <sz val="10"/>
        <rFont val="WenQuanYi Zen Hei"/>
        <family val="2"/>
      </rPr>
      <t xml:space="preserve">하락요인</t>
    </r>
    <r>
      <rPr>
        <sz val="10"/>
        <rFont val="맑은 고딕"/>
        <family val="3"/>
        <charset val="129"/>
      </rPr>
      <t xml:space="preserve">: Pentaxim(-5,609M), Vaxigrip(-3,765M), Menactra(-3,585M), Product mix(-1,045M)
2. </t>
    </r>
    <r>
      <rPr>
        <sz val="10"/>
        <rFont val="WenQuanYi Zen Hei"/>
        <family val="2"/>
      </rPr>
      <t xml:space="preserve">개별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별 주요 상품 내역 중 전기</t>
    </r>
    <r>
      <rPr>
        <sz val="10"/>
        <rFont val="맑은 고딕"/>
        <family val="3"/>
        <charset val="129"/>
      </rPr>
      <t xml:space="preserve">(9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대비 매출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총액기준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변동이 큰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</t>
    </r>
    <r>
      <rPr>
        <sz val="10"/>
        <rFont val="WenQuanYi Zen Hei"/>
        <family val="2"/>
      </rPr>
      <t xml:space="preserve">매출 증가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듀피젠트프리필드펜 </t>
    </r>
    <r>
      <rPr>
        <sz val="10"/>
        <rFont val="맑은 고딕"/>
        <family val="3"/>
        <charset val="129"/>
      </rPr>
      <t xml:space="preserve">300MG (351401):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373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570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박씨그리프주 </t>
    </r>
    <r>
      <rPr>
        <sz val="10"/>
        <rFont val="맑은 고딕"/>
        <family val="3"/>
        <charset val="129"/>
      </rPr>
      <t xml:space="preserve">0.5ML 10</t>
    </r>
    <r>
      <rPr>
        <sz val="10"/>
        <rFont val="WenQuanYi Zen Hei"/>
        <family val="2"/>
      </rPr>
      <t xml:space="preserve">시린지 </t>
    </r>
    <r>
      <rPr>
        <sz val="10"/>
        <rFont val="맑은 고딕"/>
        <family val="3"/>
        <charset val="129"/>
      </rPr>
      <t xml:space="preserve">(355515):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500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아다셀주 </t>
    </r>
    <r>
      <rPr>
        <sz val="10"/>
        <rFont val="맑은 고딕"/>
        <family val="3"/>
        <charset val="129"/>
      </rPr>
      <t xml:space="preserve">(354278):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150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펜탁심주 </t>
    </r>
    <r>
      <rPr>
        <sz val="10"/>
        <rFont val="맑은 고딕"/>
        <family val="3"/>
        <charset val="129"/>
      </rPr>
      <t xml:space="preserve">(354273):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15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111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헥사심프리필드시린지주 </t>
    </r>
    <r>
      <rPr>
        <sz val="10"/>
        <rFont val="맑은 고딕"/>
        <family val="3"/>
        <charset val="129"/>
      </rPr>
      <t xml:space="preserve">(354279):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2) </t>
    </r>
    <r>
      <rPr>
        <sz val="10"/>
        <rFont val="WenQuanYi Zen Hei"/>
        <family val="2"/>
      </rPr>
      <t xml:space="preserve">매출 감소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듀피젠트프리필드주 </t>
    </r>
    <r>
      <rPr>
        <sz val="10"/>
        <rFont val="맑은 고딕"/>
        <family val="3"/>
        <charset val="129"/>
      </rPr>
      <t xml:space="preserve">300MG (344866):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713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608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박씨그리프테트라 </t>
    </r>
    <r>
      <rPr>
        <sz val="10"/>
        <rFont val="맑은 고딕"/>
        <family val="3"/>
        <charset val="129"/>
      </rPr>
      <t xml:space="preserve">0.5ML 10</t>
    </r>
    <r>
      <rPr>
        <sz val="10"/>
        <rFont val="WenQuanYi Zen Hei"/>
        <family val="2"/>
      </rPr>
      <t xml:space="preserve">시린지 </t>
    </r>
    <r>
      <rPr>
        <sz val="10"/>
        <rFont val="맑은 고딕"/>
        <family val="3"/>
        <charset val="129"/>
      </rPr>
      <t xml:space="preserve">(354344):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574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억원
탁소텔</t>
    </r>
    <r>
      <rPr>
        <sz val="10"/>
        <rFont val="맑은 고딕"/>
        <family val="3"/>
        <charset val="129"/>
      </rPr>
      <t xml:space="preserve">(TAXOTERE) </t>
    </r>
    <r>
      <rPr>
        <sz val="10"/>
        <rFont val="WenQuanYi Zen Hei"/>
        <family val="2"/>
      </rPr>
      <t xml:space="preserve">사업권이 그룹 차원에서 보령제약으로 이전될 예정임에 따라 관련 매출 및 재고 감소가 예상되며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인원의 구조조정이 예상됨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영유아 대상 신상품의 신규 매출 증대가 예상됨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</si>
  <si>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파마 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매출 </t>
    </r>
    <r>
      <rPr>
        <sz val="10"/>
        <rFont val="맑은 고딕"/>
        <family val="3"/>
        <charset val="129"/>
      </rPr>
      <t xml:space="preserve">5,018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총 매출액은 </t>
    </r>
    <r>
      <rPr>
        <sz val="10"/>
        <rFont val="맑은 고딕"/>
        <family val="3"/>
        <charset val="129"/>
      </rPr>
      <t xml:space="preserve">6,399</t>
    </r>
    <r>
      <rPr>
        <sz val="10"/>
        <rFont val="WenQuanYi Zen Hei"/>
        <family val="2"/>
      </rPr>
      <t xml:space="preserve">억원으로 전기 대비 증가함</t>
    </r>
    <r>
      <rPr>
        <sz val="10"/>
        <rFont val="맑은 고딕"/>
        <family val="3"/>
        <charset val="129"/>
      </rPr>
      <t xml:space="preserve">. 20</t>
    </r>
    <r>
      <rPr>
        <sz val="10"/>
        <rFont val="WenQuanYi Zen Hei"/>
        <family val="2"/>
      </rPr>
      <t xml:space="preserve">년도에 허가된 신약인 듀피젠트의 매출액이 </t>
    </r>
    <r>
      <rPr>
        <sz val="10"/>
        <rFont val="맑은 고딕"/>
        <family val="3"/>
        <charset val="129"/>
      </rPr>
      <t xml:space="preserve">339</t>
    </r>
    <r>
      <rPr>
        <sz val="10"/>
        <rFont val="WenQuanYi Zen Hei"/>
        <family val="2"/>
      </rPr>
      <t xml:space="preserve">억 가량 증가함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아토피 치료에 독보적인 위치임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또한 다른 분야에서도 적용 가능하도록 허가가 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특허가 만료된 플라빅스는 </t>
    </r>
    <r>
      <rPr>
        <sz val="10"/>
        <rFont val="맑은 고딕"/>
        <family val="3"/>
        <charset val="129"/>
      </rPr>
      <t xml:space="preserve">41</t>
    </r>
    <r>
      <rPr>
        <sz val="10"/>
        <rFont val="WenQuanYi Zen Hei"/>
        <family val="2"/>
      </rPr>
      <t xml:space="preserve">억 가량 매출 증가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백신 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매출 </t>
    </r>
    <r>
      <rPr>
        <sz val="10"/>
        <rFont val="맑은 고딕"/>
        <family val="3"/>
        <charset val="129"/>
      </rPr>
      <t xml:space="preserve">983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총 매출액은 </t>
    </r>
    <r>
      <rPr>
        <sz val="10"/>
        <rFont val="맑은 고딕"/>
        <family val="3"/>
        <charset val="129"/>
      </rPr>
      <t xml:space="preserve">1,157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계절적 변동이 존재함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대부분 정부 기관과 계약을 통해 매출이 발생하며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계약이 체결되는 가을경에 매출액이 급격히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</si>
  <si>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전기에는 </t>
    </r>
    <r>
      <rPr>
        <sz val="10"/>
        <rFont val="맑은 고딕"/>
        <family val="3"/>
        <charset val="129"/>
      </rPr>
      <t xml:space="preserve">SPK, OHK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shared service fee</t>
    </r>
    <r>
      <rPr>
        <sz val="10"/>
        <rFont val="WenQuanYi Zen Hei"/>
        <family val="2"/>
      </rPr>
      <t xml:space="preserve">를 청구하여 용역수익으로 인식하였으나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 중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 및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지분 양도에 따라 당기부터는 발생하지 않음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</si>
  <si>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3"/>
        <charset val="129"/>
      </rPr>
      <t xml:space="preserve">shared service</t>
    </r>
    <r>
      <rPr>
        <sz val="10"/>
        <rFont val="WenQuanYi Zen Hei"/>
        <family val="2"/>
      </rPr>
      <t xml:space="preserve">에 대한 관리비용을 청구내역으로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합병이전</t>
    </r>
    <r>
      <rPr>
        <sz val="10"/>
        <rFont val="맑은 고딕"/>
        <family val="3"/>
        <charset val="129"/>
      </rPr>
      <t xml:space="preserve">(3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까지만 발생함에 따라 전기 대비 크게 감소함</t>
    </r>
    <r>
      <rPr>
        <sz val="10"/>
        <rFont val="맑은 고딕"/>
        <family val="3"/>
        <charset val="129"/>
      </rPr>
      <t xml:space="preserve">. OHK</t>
    </r>
    <r>
      <rPr>
        <sz val="10"/>
        <rFont val="WenQuanYi Zen Hei"/>
        <family val="2"/>
      </rPr>
      <t xml:space="preserve">에 대해서는 계속 발생하고 있으나 내년부터는 발생하지 않을 예정</t>
    </r>
  </si>
  <si>
    <r>
      <rPr>
        <b val="true"/>
        <sz val="10"/>
        <rFont val="맑은 고딕"/>
        <family val="3"/>
        <charset val="129"/>
      </rPr>
      <t xml:space="preserve">1. Global GenMed (-8,360M): Aprovel, Renvela, Eloctate </t>
    </r>
    <r>
      <rPr>
        <b val="true"/>
        <sz val="10"/>
        <rFont val="WenQuanYi Zen Hei"/>
        <family val="2"/>
      </rPr>
      <t xml:space="preserve">등 원가 상승
</t>
    </r>
    <r>
      <rPr>
        <b val="true"/>
        <sz val="10"/>
        <rFont val="맑은 고딕"/>
        <family val="3"/>
        <charset val="129"/>
      </rPr>
      <t xml:space="preserve">2. Dupixent (-5,636M): AD </t>
    </r>
    <r>
      <rPr>
        <b val="true"/>
        <sz val="10"/>
        <rFont val="WenQuanYi Zen Hei"/>
        <family val="2"/>
      </rPr>
      <t xml:space="preserve">및 </t>
    </r>
    <r>
      <rPr>
        <b val="true"/>
        <sz val="10"/>
        <rFont val="맑은 고딕"/>
        <family val="3"/>
        <charset val="129"/>
      </rPr>
      <t xml:space="preserve">Asthma </t>
    </r>
    <r>
      <rPr>
        <b val="true"/>
        <sz val="10"/>
        <rFont val="WenQuanYi Zen Hei"/>
        <family val="2"/>
      </rPr>
      <t xml:space="preserve">제품군의 매출 증가에 따른 원가 상승
</t>
    </r>
    <r>
      <rPr>
        <b val="true"/>
        <sz val="10"/>
        <rFont val="맑은 고딕"/>
        <family val="3"/>
        <charset val="129"/>
      </rPr>
      <t xml:space="preserve">3. Global Genmed (+815M): </t>
    </r>
    <r>
      <rPr>
        <b val="true"/>
        <sz val="10"/>
        <rFont val="WenQuanYi Zen Hei"/>
        <family val="2"/>
      </rPr>
      <t xml:space="preserve">일부 원가 절감 요인 발생
</t>
    </r>
    <r>
      <rPr>
        <b val="true"/>
        <sz val="10"/>
        <rFont val="맑은 고딕"/>
        <family val="3"/>
        <charset val="129"/>
      </rPr>
      <t xml:space="preserve">4. Vaccines (-11,507M):
- Beyfortus </t>
    </r>
    <r>
      <rPr>
        <b val="true"/>
        <sz val="10"/>
        <rFont val="WenQuanYi Zen Hei"/>
        <family val="2"/>
      </rPr>
      <t xml:space="preserve">신규 런칭</t>
    </r>
    <r>
      <rPr>
        <b val="true"/>
        <sz val="10"/>
        <rFont val="맑은 고딕"/>
        <family val="3"/>
        <charset val="129"/>
      </rPr>
      <t xml:space="preserve">(-7,053M) </t>
    </r>
    <r>
      <rPr>
        <b val="true"/>
        <sz val="10"/>
        <rFont val="WenQuanYi Zen Hei"/>
        <family val="2"/>
      </rPr>
      <t xml:space="preserve">및 </t>
    </r>
    <r>
      <rPr>
        <b val="true"/>
        <sz val="10"/>
        <rFont val="맑은 고딕"/>
        <family val="3"/>
        <charset val="129"/>
      </rPr>
      <t xml:space="preserve">Tetraxim/Avaxim/Hexaxim </t>
    </r>
    <r>
      <rPr>
        <b val="true"/>
        <sz val="10"/>
        <rFont val="WenQuanYi Zen Hei"/>
        <family val="2"/>
      </rPr>
      <t xml:space="preserve">생산확대</t>
    </r>
    <r>
      <rPr>
        <b val="true"/>
        <sz val="10"/>
        <rFont val="맑은 고딕"/>
        <family val="3"/>
        <charset val="129"/>
      </rPr>
      <t xml:space="preserve">(-10,356M)</t>
    </r>
    <r>
      <rPr>
        <b val="true"/>
        <sz val="10"/>
        <rFont val="WenQuanYi Zen Hei"/>
        <family val="2"/>
      </rPr>
      <t xml:space="preserve">에 따른 원가 증가</t>
    </r>
    <r>
      <rPr>
        <b val="true"/>
        <sz val="10"/>
        <rFont val="맑은 고딕"/>
        <family val="3"/>
        <charset val="129"/>
      </rPr>
      <t xml:space="preserve">.
- </t>
    </r>
    <r>
      <rPr>
        <b val="true"/>
        <sz val="10"/>
        <rFont val="WenQuanYi Zen Hei"/>
        <family val="2"/>
      </rPr>
      <t xml:space="preserve">부분 상쇄요인</t>
    </r>
    <r>
      <rPr>
        <b val="true"/>
        <sz val="10"/>
        <rFont val="맑은 고딕"/>
        <family val="3"/>
        <charset val="129"/>
      </rPr>
      <t xml:space="preserve">: Pentaxim(+3,762M), Vaxigrip(+1,238M), Menactra(+3,271M).
- </t>
    </r>
    <r>
      <rPr>
        <b val="true"/>
        <sz val="10"/>
        <rFont val="WenQuanYi Zen Hei"/>
        <family val="2"/>
      </rPr>
      <t xml:space="preserve">제품 믹스효과</t>
    </r>
    <r>
      <rPr>
        <b val="true"/>
        <sz val="10"/>
        <rFont val="맑은 고딕"/>
        <family val="3"/>
        <charset val="129"/>
      </rPr>
      <t xml:space="preserve">: -2,369M.</t>
    </r>
  </si>
  <si>
    <r>
      <rPr>
        <sz val="10"/>
        <rFont val="WenQuanYi Zen Hei"/>
        <family val="2"/>
      </rPr>
      <t xml:space="preserve">생산 방식 변경으로 인해 제품 허가를 새로 받아야 해서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 절차 동안 발생할 공급 차질을 막기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 미리 재고를 확보하고 있어 매입이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</si>
  <si>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전기말 생산방식 변경으로 인해 신규로 제품 허가가 필요하여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허가가 진행되는 기간 동안 발생할 수 있는 공급 차질을 예방하기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분기까지의 수요 재고를 미리 매입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확보하여 전기말 재고가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그에 따라 당기 매출이 증대되었음에도 불구하고 전기말 대비 기말재고는 감소하였음</t>
    </r>
    <r>
      <rPr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</si>
  <si>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전기까지 발생하였던 </t>
    </r>
    <r>
      <rPr>
        <b val="true"/>
        <sz val="10"/>
        <rFont val="맑은 고딕"/>
        <family val="3"/>
        <charset val="129"/>
      </rPr>
      <t xml:space="preserve">SPK, OHK</t>
    </r>
    <r>
      <rPr>
        <b val="true"/>
        <sz val="10"/>
        <rFont val="WenQuanYi Zen Hei"/>
        <family val="2"/>
      </rPr>
      <t xml:space="preserve">에 대한 </t>
    </r>
    <r>
      <rPr>
        <b val="true"/>
        <sz val="10"/>
        <rFont val="맑은 고딕"/>
        <family val="3"/>
        <charset val="129"/>
      </rPr>
      <t xml:space="preserve">shared service cost</t>
    </r>
    <r>
      <rPr>
        <b val="true"/>
        <sz val="10"/>
        <rFont val="WenQuanYi Zen Hei"/>
        <family val="2"/>
      </rPr>
      <t xml:space="preserve">로</t>
    </r>
    <r>
      <rPr>
        <b val="true"/>
        <sz val="10"/>
        <rFont val="맑은 고딕"/>
        <family val="3"/>
        <charset val="129"/>
      </rPr>
      <t xml:space="preserve">, </t>
    </r>
    <r>
      <rPr>
        <b val="true"/>
        <sz val="10"/>
        <rFont val="WenQuanYi Zen Hei"/>
        <family val="2"/>
      </rPr>
      <t xml:space="preserve">전기 중 </t>
    </r>
    <r>
      <rPr>
        <b val="true"/>
        <sz val="10"/>
        <rFont val="맑은 고딕"/>
        <family val="3"/>
        <charset val="129"/>
      </rPr>
      <t xml:space="preserve">SPK </t>
    </r>
    <r>
      <rPr>
        <b val="true"/>
        <sz val="10"/>
        <rFont val="WenQuanYi Zen Hei"/>
        <family val="2"/>
      </rPr>
      <t xml:space="preserve">합병 및 </t>
    </r>
    <r>
      <rPr>
        <b val="true"/>
        <sz val="10"/>
        <rFont val="맑은 고딕"/>
        <family val="3"/>
        <charset val="129"/>
      </rPr>
      <t xml:space="preserve">OHK </t>
    </r>
    <r>
      <rPr>
        <b val="true"/>
        <sz val="10"/>
        <rFont val="WenQuanYi Zen Hei"/>
        <family val="2"/>
      </rPr>
      <t xml:space="preserve">지분 양도에 따라 당기부터는 발생하지 않음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</si>
  <si>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파스퇴르에 </t>
    </r>
    <r>
      <rPr>
        <b val="true"/>
        <sz val="10"/>
        <rFont val="맑은 고딕"/>
        <family val="3"/>
        <charset val="129"/>
      </rPr>
      <t xml:space="preserve">shared service </t>
    </r>
    <r>
      <rPr>
        <b val="true"/>
        <sz val="10"/>
        <rFont val="WenQuanYi Zen Hei"/>
        <family val="2"/>
      </rPr>
      <t xml:space="preserve">제공으로 인해 발생하는 비용으로 올해 </t>
    </r>
    <r>
      <rPr>
        <b val="true"/>
        <sz val="10"/>
        <rFont val="맑은 고딕"/>
        <family val="3"/>
        <charset val="129"/>
      </rPr>
      <t xml:space="preserve">4</t>
    </r>
    <r>
      <rPr>
        <b val="true"/>
        <sz val="10"/>
        <rFont val="WenQuanYi Zen Hei"/>
        <family val="2"/>
      </rPr>
      <t xml:space="preserve">월부터 파스퇴르와 합병하면서 비용이 발생하지 않아 전기대비 감소함</t>
    </r>
    <r>
      <rPr>
        <b val="true"/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</si>
  <si>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62400910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인건비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성과급여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으로 인식하였던 </t>
    </r>
    <r>
      <rPr>
        <sz val="10"/>
        <rFont val="맑은 고딕"/>
        <family val="3"/>
        <charset val="129"/>
      </rPr>
      <t xml:space="preserve">Sales team incentive</t>
    </r>
    <r>
      <rPr>
        <sz val="10"/>
        <rFont val="WenQuanYi Zen Hei"/>
        <family val="2"/>
      </rPr>
      <t xml:space="preserve">를 당기부터 </t>
    </r>
    <r>
      <rPr>
        <sz val="10"/>
        <rFont val="맑은 고딕"/>
        <family val="3"/>
        <charset val="129"/>
      </rPr>
      <t xml:space="preserve">62000600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판매직접비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판매수당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3"/>
        <charset val="129"/>
      </rPr>
      <t xml:space="preserve">reclass</t>
    </r>
    <r>
      <rPr>
        <sz val="10"/>
        <rFont val="WenQuanYi Zen Hei"/>
        <family val="2"/>
      </rPr>
      <t xml:space="preserve">함에 따라 전기 대비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</si>
  <si>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sales</t>
    </r>
    <r>
      <rPr>
        <sz val="10"/>
        <rFont val="WenQuanYi Zen Hei"/>
        <family val="2"/>
      </rPr>
      <t xml:space="preserve">팀 판매직원에 대한 인센티브</t>
    </r>
  </si>
  <si>
    <r>
      <rPr>
        <sz val="10"/>
        <rFont val="WenQuanYi Zen Hei"/>
        <family val="2"/>
      </rPr>
      <t xml:space="preserve">물류창고비용과 판매운임으로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판매운임이 전기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억원에서 당기 </t>
    </r>
    <r>
      <rPr>
        <sz val="10"/>
        <rFont val="맑은 고딕"/>
        <family val="3"/>
        <charset val="129"/>
      </rPr>
      <t xml:space="preserve">15</t>
    </r>
    <r>
      <rPr>
        <sz val="10"/>
        <rFont val="WenQuanYi Zen Hei"/>
        <family val="2"/>
      </rPr>
      <t xml:space="preserve">억원으로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</si>
  <si>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64570654 Public relations, 64590063 Sponsorship Dinner Meeting </t>
    </r>
    <r>
      <rPr>
        <sz val="10"/>
        <rFont val="WenQuanYi Zen Hei"/>
        <family val="2"/>
      </rPr>
      <t xml:space="preserve">등의 비용이 전기 대비 증가하였음</t>
    </r>
    <r>
      <rPr>
        <sz val="10"/>
        <rFont val="맑은 고딕"/>
        <family val="3"/>
        <charset val="129"/>
      </rPr>
      <t xml:space="preserve">.
Beyfortus </t>
    </r>
    <r>
      <rPr>
        <sz val="10"/>
        <rFont val="WenQuanYi Zen Hei"/>
        <family val="2"/>
      </rPr>
      <t xml:space="preserve">등 신상품 관련 미디어 광고비용 및 세미나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학술대회 참가비용 증가에 해당함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</si>
  <si>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당기중 </t>
    </r>
    <r>
      <rPr>
        <sz val="10"/>
        <rFont val="맑은 고딕"/>
        <family val="3"/>
        <charset val="129"/>
      </rPr>
      <t xml:space="preserve">VRP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3"/>
        <charset val="129"/>
      </rPr>
      <t xml:space="preserve">21</t>
    </r>
    <r>
      <rPr>
        <sz val="10"/>
        <rFont val="WenQuanYi Zen Hei"/>
        <family val="2"/>
      </rPr>
      <t xml:space="preserve">명의 희망퇴직자가 발생하는 등 월평균인원이 전기 </t>
    </r>
    <r>
      <rPr>
        <sz val="10"/>
        <rFont val="맑은 고딕"/>
        <family val="3"/>
        <charset val="129"/>
      </rPr>
      <t xml:space="preserve">400</t>
    </r>
    <r>
      <rPr>
        <sz val="10"/>
        <rFont val="WenQuanYi Zen Hei"/>
        <family val="2"/>
      </rPr>
      <t xml:space="preserve">명에서 당기 </t>
    </r>
    <r>
      <rPr>
        <sz val="10"/>
        <rFont val="맑은 고딕"/>
        <family val="3"/>
        <charset val="129"/>
      </rPr>
      <t xml:space="preserve">388</t>
    </r>
    <r>
      <rPr>
        <sz val="10"/>
        <rFont val="WenQuanYi Zen Hei"/>
        <family val="2"/>
      </rPr>
      <t xml:space="preserve">명으로 </t>
    </r>
    <r>
      <rPr>
        <sz val="10"/>
        <rFont val="맑은 고딕"/>
        <family val="3"/>
        <charset val="129"/>
      </rPr>
      <t xml:space="preserve">3% </t>
    </r>
    <r>
      <rPr>
        <sz val="10"/>
        <rFont val="WenQuanYi Zen Hei"/>
        <family val="2"/>
      </rPr>
      <t xml:space="preserve">감소함에 따라 총급여도 비례적으로 감소하였음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</si>
  <si>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전년도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추가 급여 </t>
    </r>
    <r>
      <rPr>
        <sz val="10"/>
        <rFont val="맑은 고딕"/>
        <family val="3"/>
        <charset val="129"/>
      </rPr>
      <t xml:space="preserve">34</t>
    </r>
    <r>
      <rPr>
        <sz val="10"/>
        <rFont val="WenQuanYi Zen Hei"/>
        <family val="2"/>
      </rPr>
      <t xml:space="preserve">억원이 발생하였고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대대적인 조직개편을 진행하면서 희망퇴직자가 발생하여 </t>
    </r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 대비 </t>
    </r>
    <r>
      <rPr>
        <sz val="10"/>
        <rFont val="맑은 고딕"/>
        <family val="3"/>
        <charset val="129"/>
      </rPr>
      <t xml:space="preserve">VRP </t>
    </r>
    <r>
      <rPr>
        <sz val="10"/>
        <rFont val="WenQuanYi Zen Hei"/>
        <family val="2"/>
      </rPr>
      <t xml:space="preserve">금액이 </t>
    </r>
    <r>
      <rPr>
        <sz val="10"/>
        <rFont val="맑은 고딕"/>
        <family val="3"/>
        <charset val="129"/>
      </rPr>
      <t xml:space="preserve">139</t>
    </r>
    <r>
      <rPr>
        <sz val="10"/>
        <rFont val="WenQuanYi Zen Hei"/>
        <family val="2"/>
      </rPr>
      <t xml:space="preserve">억원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당기에는 특이사항이 없어 평년 수준으로 감소하였음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 구조조정 계획 여부 확인 필요</t>
    </r>
  </si>
  <si>
    <r>
      <rPr>
        <sz val="10"/>
        <rFont val="WenQuanYi Zen Hei"/>
        <family val="2"/>
      </rPr>
      <t xml:space="preserve">당기 대대적인 조직개편을 진행하면서 희망퇴직 대상자가 증가하였으며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이에 따라 전기 대비 </t>
    </r>
    <r>
      <rPr>
        <sz val="10"/>
        <rFont val="맑은 고딕"/>
        <family val="3"/>
        <charset val="129"/>
      </rPr>
      <t xml:space="preserve">VRP </t>
    </r>
    <r>
      <rPr>
        <sz val="10"/>
        <rFont val="WenQuanYi Zen Hei"/>
        <family val="2"/>
      </rPr>
      <t xml:space="preserve">금액이 </t>
    </r>
    <r>
      <rPr>
        <sz val="10"/>
        <rFont val="맑은 고딕"/>
        <family val="3"/>
        <charset val="129"/>
      </rPr>
      <t xml:space="preserve">139</t>
    </r>
    <r>
      <rPr>
        <sz val="10"/>
        <rFont val="WenQuanYi Zen Hei"/>
        <family val="2"/>
      </rPr>
      <t xml:space="preserve">억원 증가함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또한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급여 </t>
    </r>
    <r>
      <rPr>
        <sz val="10"/>
        <rFont val="맑은 고딕"/>
        <family val="3"/>
        <charset val="129"/>
      </rPr>
      <t xml:space="preserve">34</t>
    </r>
    <r>
      <rPr>
        <sz val="10"/>
        <rFont val="WenQuanYi Zen Hei"/>
        <family val="2"/>
      </rPr>
      <t xml:space="preserve">억원 등의 추가됨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</si>
  <si>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상기 판매직접비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판매수당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코멘트 참조</t>
    </r>
  </si>
  <si>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년의 경우 설 상여는 </t>
    </r>
    <r>
      <rPr>
        <sz val="10"/>
        <rFont val="맑은 고딕"/>
        <family val="3"/>
        <charset val="129"/>
      </rPr>
      <t xml:space="preserve">22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월에 지급되어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추석 상여만 </t>
    </r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년에 지급되었음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그러나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년의 경우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년의 설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추석 상여와 더불어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년의 설 상여도 미리 지급되어 전기 대비 크게 증가한 것으로 나타남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</si>
  <si>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대비 국내 및 해외 출장 증가로 인해 교통비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숙박비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경비 등이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</si>
  <si>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반포 본사 사무실 임차료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전기까지는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3"/>
        <charset val="129"/>
      </rPr>
      <t xml:space="preserve">OHK</t>
    </r>
    <r>
      <rPr>
        <sz val="10"/>
        <rFont val="WenQuanYi Zen Hei"/>
        <family val="2"/>
      </rPr>
      <t xml:space="preserve">에 전대리스를 제공하여 임차료를 일부 보전 받아왔으나</t>
    </r>
    <r>
      <rPr>
        <sz val="10"/>
        <rFont val="맑은 고딕"/>
        <family val="3"/>
        <charset val="129"/>
      </rPr>
      <t xml:space="preserve">, SPK </t>
    </r>
    <r>
      <rPr>
        <sz val="10"/>
        <rFont val="WenQuanYi Zen Hei"/>
        <family val="2"/>
      </rPr>
      <t xml:space="preserve">합병 및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지분양도에 따른 사무실 이전으로 인하여 임차료 보전금액이 감소하여 당기 임차료가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</si>
  <si>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회사는 파스퇴르와 오펠라에 전대리스 제공하여 임차료를 보전 받아왔으나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파스퇴르 합병 및 오펠라의 사무실 이전으로 인하여 임차료 보전 받는 금액이 전기 대비 </t>
    </r>
    <r>
      <rPr>
        <sz val="10"/>
        <rFont val="맑은 고딕"/>
        <family val="3"/>
        <charset val="129"/>
      </rPr>
      <t xml:space="preserve">5</t>
    </r>
    <r>
      <rPr>
        <sz val="10"/>
        <rFont val="WenQuanYi Zen Hei"/>
        <family val="2"/>
      </rPr>
      <t xml:space="preserve">억원가량 감소함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</si>
  <si>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CRU rebilling </t>
    </r>
    <r>
      <rPr>
        <sz val="10"/>
        <rFont val="WenQuanYi Zen Hei"/>
        <family val="2"/>
      </rPr>
      <t xml:space="preserve">차감 전 지급수수료는 전기 </t>
    </r>
    <r>
      <rPr>
        <sz val="10"/>
        <rFont val="맑은 고딕"/>
        <family val="3"/>
        <charset val="129"/>
      </rPr>
      <t xml:space="preserve">196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189</t>
    </r>
    <r>
      <rPr>
        <sz val="10"/>
        <rFont val="WenQuanYi Zen Hei"/>
        <family val="2"/>
      </rPr>
      <t xml:space="preserve">억원으로 유의적인 변동이 없으며</t>
    </r>
    <r>
      <rPr>
        <sz val="10"/>
        <rFont val="맑은 고딕"/>
        <family val="3"/>
        <charset val="129"/>
      </rPr>
      <t xml:space="preserve">, CRU rebilling 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이 전기 </t>
    </r>
    <r>
      <rPr>
        <sz val="10"/>
        <rFont val="맑은 고딕"/>
        <family val="3"/>
        <charset val="129"/>
      </rPr>
      <t xml:space="preserve">171</t>
    </r>
    <r>
      <rPr>
        <sz val="10"/>
        <rFont val="WenQuanYi Zen Hei"/>
        <family val="2"/>
      </rPr>
      <t xml:space="preserve">억원에서 당기 </t>
    </r>
    <r>
      <rPr>
        <sz val="10"/>
        <rFont val="맑은 고딕"/>
        <family val="3"/>
        <charset val="129"/>
      </rPr>
      <t xml:space="preserve">215</t>
    </r>
    <r>
      <rPr>
        <sz val="10"/>
        <rFont val="WenQuanYi Zen Hei"/>
        <family val="2"/>
      </rPr>
      <t xml:space="preserve">억원으로 증가하여 지급수수료에서 차감조정되는 금액이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</si>
  <si>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주요 내역은 듀피젠트 매출에 관련 </t>
    </r>
    <r>
      <rPr>
        <sz val="10"/>
        <rFont val="맑은 고딕"/>
        <family val="3"/>
        <charset val="129"/>
      </rPr>
      <t xml:space="preserve">RSA 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Hanmi Profit sharing 45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전기 소송 비용으로 약 </t>
    </r>
    <r>
      <rPr>
        <sz val="10"/>
        <rFont val="맑은 고딕"/>
        <family val="3"/>
        <charset val="129"/>
      </rPr>
      <t xml:space="preserve">92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공탁금</t>
    </r>
    <r>
      <rPr>
        <sz val="10"/>
        <rFont val="맑은 고딕"/>
        <family val="3"/>
        <charset val="129"/>
      </rPr>
      <t xml:space="preserve">+</t>
    </r>
    <r>
      <rPr>
        <sz val="10"/>
        <rFont val="WenQuanYi Zen Hei"/>
        <family val="2"/>
      </rPr>
      <t xml:space="preserve">법률비용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을 지급수수료로 처리함에 따라 전기 지급수수료가 크게 증가했었으며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당기에는 매출 증가 등의 영향으로 지급수수료의 다른 항목들의 금액이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</si>
  <si>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당기중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결과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추납</t>
    </r>
    <r>
      <rPr>
        <sz val="10"/>
        <rFont val="맑은 고딕"/>
        <family val="3"/>
        <charset val="129"/>
      </rPr>
      <t xml:space="preserve">(21~23</t>
    </r>
    <r>
      <rPr>
        <sz val="10"/>
        <rFont val="WenQuanYi Zen Hei"/>
        <family val="2"/>
      </rPr>
      <t xml:space="preserve">년도분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한 부가세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백만원 및 원천세 </t>
    </r>
    <r>
      <rPr>
        <sz val="10"/>
        <rFont val="맑은 고딕"/>
        <family val="3"/>
        <charset val="129"/>
      </rPr>
      <t xml:space="preserve">620</t>
    </r>
    <r>
      <rPr>
        <sz val="10"/>
        <rFont val="WenQuanYi Zen Hei"/>
        <family val="2"/>
      </rPr>
      <t xml:space="preserve">백만원을 세금과공과로 인식하였음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</si>
  <si>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잡이익으로 분류되지 않고 임상증례조사비에서 차감된 </t>
    </r>
    <r>
      <rPr>
        <sz val="10"/>
        <rFont val="맑은 고딕"/>
        <family val="3"/>
        <charset val="129"/>
      </rPr>
      <t xml:space="preserve">mark-up </t>
    </r>
    <r>
      <rPr>
        <sz val="10"/>
        <rFont val="WenQuanYi Zen Hei"/>
        <family val="2"/>
      </rPr>
      <t xml:space="preserve">금액은 </t>
    </r>
    <r>
      <rPr>
        <sz val="10"/>
        <rFont val="맑은 고딕"/>
        <family val="3"/>
        <charset val="129"/>
      </rPr>
      <t xml:space="preserve">5.5</t>
    </r>
    <r>
      <rPr>
        <sz val="10"/>
        <rFont val="WenQuanYi Zen Hei"/>
        <family val="2"/>
      </rPr>
      <t xml:space="preserve">억임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해당 효과 고려시 임상증례조사비가 전기 대비 </t>
    </r>
    <r>
      <rPr>
        <sz val="10"/>
        <rFont val="맑은 고딕"/>
        <family val="3"/>
        <charset val="129"/>
      </rPr>
      <t xml:space="preserve">32</t>
    </r>
    <r>
      <rPr>
        <sz val="10"/>
        <rFont val="WenQuanYi Zen Hei"/>
        <family val="2"/>
      </rPr>
      <t xml:space="preserve">억원 감소함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이는 글로벌로부터 보전 받지 않는 시판후임상시험이 당기 중 감소한 영향이며</t>
    </r>
    <r>
      <rPr>
        <sz val="10"/>
        <rFont val="맑은 고딕"/>
        <family val="3"/>
        <charset val="129"/>
      </rPr>
      <t xml:space="preserve">,  </t>
    </r>
    <r>
      <rPr>
        <sz val="10"/>
        <rFont val="WenQuanYi Zen Hei"/>
        <family val="2"/>
      </rPr>
      <t xml:space="preserve">이는 시판후조사에 포함되는 환자수 자체가 전기 대비 크게 감소한 영향임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</si>
  <si>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전기 잡이익으로 분류되지 않고 임상증례조사비에서 차감된 </t>
    </r>
    <r>
      <rPr>
        <sz val="10"/>
        <rFont val="맑은 고딕"/>
        <family val="3"/>
        <charset val="129"/>
      </rPr>
      <t xml:space="preserve">mark-up </t>
    </r>
    <r>
      <rPr>
        <sz val="10"/>
        <rFont val="WenQuanYi Zen Hei"/>
        <family val="2"/>
      </rPr>
      <t xml:space="preserve">금액은 </t>
    </r>
    <r>
      <rPr>
        <sz val="10"/>
        <rFont val="맑은 고딕"/>
        <family val="3"/>
        <charset val="129"/>
      </rPr>
      <t xml:space="preserve">5.5</t>
    </r>
    <r>
      <rPr>
        <sz val="10"/>
        <rFont val="WenQuanYi Zen Hei"/>
        <family val="2"/>
      </rPr>
      <t xml:space="preserve">억임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해당 효과 고려시 임상증례조사비가 전기 대비 </t>
    </r>
    <r>
      <rPr>
        <sz val="10"/>
        <rFont val="맑은 고딕"/>
        <family val="3"/>
        <charset val="129"/>
      </rPr>
      <t xml:space="preserve">32</t>
    </r>
    <r>
      <rPr>
        <sz val="10"/>
        <rFont val="WenQuanYi Zen Hei"/>
        <family val="2"/>
      </rPr>
      <t xml:space="preserve">억원 감소함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이는 글로벌로부터 보전 받지 않는 시판후임상시험이 당기 중 감소한 영향이며</t>
    </r>
    <r>
      <rPr>
        <sz val="10"/>
        <rFont val="맑은 고딕"/>
        <family val="3"/>
        <charset val="129"/>
      </rPr>
      <t xml:space="preserve">,  </t>
    </r>
    <r>
      <rPr>
        <sz val="10"/>
        <rFont val="WenQuanYi Zen Hei"/>
        <family val="2"/>
      </rPr>
      <t xml:space="preserve">이는 시판후조사에 포함되는 환자수 자체가 전기 대비 크게 감소한 영향임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</si>
  <si>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구축물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임차시설물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의 내용연수를 기존 </t>
    </r>
    <r>
      <rPr>
        <sz val="10"/>
        <rFont val="맑은 고딕"/>
        <family val="3"/>
        <charset val="129"/>
      </rPr>
      <t xml:space="preserve">8</t>
    </r>
    <r>
      <rPr>
        <sz val="10"/>
        <rFont val="WenQuanYi Zen Hei"/>
        <family val="2"/>
      </rPr>
      <t xml:space="preserve">년에서 임차계약서 상 잔여 임차기간</t>
    </r>
    <r>
      <rPr>
        <sz val="10"/>
        <rFont val="맑은 고딕"/>
        <family val="3"/>
        <charset val="129"/>
      </rPr>
      <t xml:space="preserve">(~26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까지로 변경함에 따라 기초부터 전진법을 적용하여 감가상각비가 증가하였음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내용연수 축소에 따른 감가비 증가 효과는 </t>
    </r>
    <r>
      <rPr>
        <sz val="10"/>
        <rFont val="맑은 고딕"/>
        <family val="3"/>
        <charset val="129"/>
      </rPr>
      <t xml:space="preserve">3.4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</si>
  <si>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대비 평균 예금잔액이 증가하였고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법원 공탁금 회수에 따른 이자수취 </t>
    </r>
    <r>
      <rPr>
        <sz val="10"/>
        <rFont val="맑은 고딕"/>
        <family val="3"/>
        <charset val="129"/>
      </rPr>
      <t xml:space="preserve">54</t>
    </r>
    <r>
      <rPr>
        <sz val="10"/>
        <rFont val="WenQuanYi Zen Hei"/>
        <family val="2"/>
      </rPr>
      <t xml:space="preserve">백만원 등이 포함됨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</si>
  <si>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발생분은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주식을 이전하면서 발생한 외환차익에 해당하며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 외 외환거래는 거의 발생하지 않음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</si>
  <si>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오펠라 주식을 이전하면서 발생한 외환차익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억원에 해당하며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 외 외환거래는 거의 발생하지 않아 다른 효과는 미미함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</si>
  <si>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소송 충당부채 환입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제미글로 소송 관련 충당부채 인식하였던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회수하여 충당부채 환입하며 잡이익 인식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로열티수익 </t>
    </r>
    <r>
      <rPr>
        <sz val="10"/>
        <rFont val="맑은 고딕"/>
        <family val="3"/>
        <charset val="129"/>
      </rPr>
      <t xml:space="preserve">9.8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): Diptropan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Aprovasc </t>
    </r>
    <r>
      <rPr>
        <sz val="10"/>
        <rFont val="WenQuanYi Zen Hei"/>
        <family val="2"/>
      </rPr>
      <t xml:space="preserve">로열티 수익 증가 </t>
    </r>
    <r>
      <rPr>
        <sz val="10"/>
        <rFont val="맑은 고딕"/>
        <family val="3"/>
        <charset val="129"/>
      </rPr>
      <t xml:space="preserve">(A25 </t>
    </r>
    <r>
      <rPr>
        <sz val="10"/>
        <rFont val="WenQuanYi Zen Hei"/>
        <family val="2"/>
      </rPr>
      <t xml:space="preserve">지역 중심</t>
    </r>
    <r>
      <rPr>
        <sz val="10"/>
        <rFont val="맑은 고딕"/>
        <family val="3"/>
        <charset val="129"/>
      </rPr>
      <t xml:space="preserve">)
3. </t>
    </r>
    <r>
      <rPr>
        <sz val="10"/>
        <rFont val="WenQuanYi Zen Hei"/>
        <family val="2"/>
      </rPr>
      <t xml:space="preserve">투자주식처분이익 </t>
    </r>
    <r>
      <rPr>
        <sz val="10"/>
        <rFont val="맑은 고딕"/>
        <family val="3"/>
        <charset val="129"/>
      </rPr>
      <t xml:space="preserve">74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일자로 그룹 관계사에 </t>
    </r>
    <r>
      <rPr>
        <sz val="10"/>
        <rFont val="맑은 고딕"/>
        <family val="3"/>
        <charset val="129"/>
      </rPr>
      <t xml:space="preserve">OHK(</t>
    </r>
    <r>
      <rPr>
        <sz val="10"/>
        <rFont val="WenQuanYi Zen Hei"/>
        <family val="2"/>
      </rPr>
      <t xml:space="preserve">오펠라헬스케어코리아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주식을 양도하면서 양도대가 </t>
    </r>
    <r>
      <rPr>
        <sz val="10"/>
        <rFont val="맑은 고딕"/>
        <family val="3"/>
        <charset val="129"/>
      </rPr>
      <t xml:space="preserve">196</t>
    </r>
    <r>
      <rPr>
        <sz val="10"/>
        <rFont val="WenQuanYi Zen Hei"/>
        <family val="2"/>
      </rPr>
      <t xml:space="preserve">억원을 수취하였으나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당기중 변경계약이 체결되어 양도대가가 </t>
    </r>
    <r>
      <rPr>
        <sz val="10"/>
        <rFont val="맑은 고딕"/>
        <family val="3"/>
        <charset val="129"/>
      </rPr>
      <t xml:space="preserve">261</t>
    </r>
    <r>
      <rPr>
        <sz val="10"/>
        <rFont val="WenQuanYi Zen Hei"/>
        <family val="2"/>
      </rPr>
      <t xml:space="preserve">억원으로 증액됨에 따라 당기에 투자자산처분이익이 발생하였음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기존계약 상 양도대가는 </t>
    </r>
    <r>
      <rPr>
        <sz val="10"/>
        <rFont val="맑은 고딕"/>
        <family val="3"/>
        <charset val="129"/>
      </rPr>
      <t xml:space="preserve">DCF </t>
    </r>
    <r>
      <rPr>
        <sz val="10"/>
        <rFont val="WenQuanYi Zen Hei"/>
        <family val="2"/>
      </rPr>
      <t xml:space="preserve">평가로 산출된 금액이었으나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특관자 거래에 해당하여 상증세법 평가가 요구되어 해당 평가금액으로 수정 계약이 체결되었음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</si>
  <si>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소송 충당부채 환입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제미글로 소송 관련 충당부채 인식하였던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회수하여 충당부채 환입하며 잡이익 인식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로열티수익 </t>
    </r>
    <r>
      <rPr>
        <sz val="10"/>
        <rFont val="맑은 고딕"/>
        <family val="3"/>
        <charset val="129"/>
      </rPr>
      <t xml:space="preserve">7.5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): Diptropan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Aprovasc </t>
    </r>
    <r>
      <rPr>
        <sz val="10"/>
        <rFont val="WenQuanYi Zen Hei"/>
        <family val="2"/>
      </rPr>
      <t xml:space="preserve">로열티 수익 증가 </t>
    </r>
    <r>
      <rPr>
        <sz val="10"/>
        <rFont val="맑은 고딕"/>
        <family val="3"/>
        <charset val="129"/>
      </rPr>
      <t xml:space="preserve">(A25 </t>
    </r>
    <r>
      <rPr>
        <sz val="10"/>
        <rFont val="WenQuanYi Zen Hei"/>
        <family val="2"/>
      </rPr>
      <t xml:space="preserve">지역 중심</t>
    </r>
    <r>
      <rPr>
        <sz val="10"/>
        <rFont val="맑은 고딕"/>
        <family val="3"/>
        <charset val="129"/>
      </rPr>
      <t xml:space="preserve">)
3. R&amp;D </t>
    </r>
    <r>
      <rPr>
        <sz val="10"/>
        <rFont val="WenQuanYi Zen Hei"/>
        <family val="2"/>
      </rPr>
      <t xml:space="preserve">비용 </t>
    </r>
    <r>
      <rPr>
        <sz val="10"/>
        <rFont val="맑은 고딕"/>
        <family val="3"/>
        <charset val="129"/>
      </rPr>
      <t xml:space="preserve">recharge (-)3.7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R&amp;D </t>
    </r>
    <r>
      <rPr>
        <sz val="10"/>
        <rFont val="WenQuanYi Zen Hei"/>
        <family val="2"/>
      </rPr>
      <t xml:space="preserve">관련하여 발생한 급여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임상비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지급수수료 등 그룹 </t>
    </r>
    <r>
      <rPr>
        <sz val="10"/>
        <rFont val="맑은 고딕"/>
        <family val="3"/>
        <charset val="129"/>
      </rPr>
      <t xml:space="preserve">recharge</t>
    </r>
    <r>
      <rPr>
        <sz val="10"/>
        <rFont val="WenQuanYi Zen Hei"/>
        <family val="2"/>
      </rPr>
      <t xml:space="preserve">하여 보전받는 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비용의 차감으로 </t>
    </r>
    <r>
      <rPr>
        <sz val="10"/>
        <rFont val="맑은 고딕"/>
        <family val="3"/>
        <charset val="129"/>
      </rPr>
      <t xml:space="preserve">reclass </t>
    </r>
    <r>
      <rPr>
        <sz val="10"/>
        <rFont val="WenQuanYi Zen Hei"/>
        <family val="2"/>
      </rPr>
      <t xml:space="preserve">하고 있음</t>
    </r>
    <r>
      <rPr>
        <sz val="10"/>
        <rFont val="맑은 고딕"/>
        <family val="3"/>
        <charset val="129"/>
      </rPr>
      <t xml:space="preserve">. reclass </t>
    </r>
    <r>
      <rPr>
        <sz val="10"/>
        <rFont val="WenQuanYi Zen Hei"/>
        <family val="2"/>
      </rPr>
      <t xml:space="preserve">후 </t>
    </r>
    <r>
      <rPr>
        <sz val="10"/>
        <rFont val="맑은 고딕"/>
        <family val="3"/>
        <charset val="129"/>
      </rPr>
      <t xml:space="preserve">3.7</t>
    </r>
    <r>
      <rPr>
        <sz val="10"/>
        <rFont val="WenQuanYi Zen Hei"/>
        <family val="2"/>
      </rPr>
      <t xml:space="preserve">억원의 손실 효과가 발생하여 확인 필요
</t>
    </r>
    <r>
      <rPr>
        <sz val="10"/>
        <rFont val="맑은 고딕"/>
        <family val="3"/>
        <charset val="129"/>
      </rPr>
      <t xml:space="preserve">[statutory adj_2025 reclass]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번 항목 참조</t>
    </r>
  </si>
  <si>
    <r>
      <rPr>
        <sz val="10"/>
        <rFont val="WenQuanYi Zen Hei"/>
        <family val="2"/>
      </rPr>
      <t xml:space="preserve">구성내역은 다음과 같음</t>
    </r>
    <r>
      <rPr>
        <sz val="10"/>
        <rFont val="맑은 고딕"/>
        <family val="3"/>
        <charset val="129"/>
      </rPr>
      <t xml:space="preserve">. 
- R&amp;D </t>
    </r>
    <r>
      <rPr>
        <sz val="10"/>
        <rFont val="WenQuanYi Zen Hei"/>
        <family val="2"/>
      </rPr>
      <t xml:space="preserve">보전 </t>
    </r>
    <r>
      <rPr>
        <sz val="10"/>
        <rFont val="맑은 고딕"/>
        <family val="3"/>
        <charset val="129"/>
      </rPr>
      <t xml:space="preserve">mark-up</t>
    </r>
    <r>
      <rPr>
        <sz val="10"/>
        <rFont val="WenQuanYi Zen Hei"/>
        <family val="2"/>
      </rPr>
      <t xml:space="preserve">분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Pre-launching cost </t>
    </r>
    <r>
      <rPr>
        <sz val="10"/>
        <rFont val="WenQuanYi Zen Hei"/>
        <family val="2"/>
      </rPr>
      <t xml:space="preserve">보전분 </t>
    </r>
    <r>
      <rPr>
        <sz val="10"/>
        <rFont val="맑은 고딕"/>
        <family val="3"/>
        <charset val="129"/>
      </rPr>
      <t xml:space="preserve">30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세무조사로 인한 </t>
    </r>
    <r>
      <rPr>
        <sz val="10"/>
        <rFont val="맑은 고딕"/>
        <family val="3"/>
        <charset val="129"/>
      </rPr>
      <t xml:space="preserve">TP</t>
    </r>
    <r>
      <rPr>
        <sz val="10"/>
        <rFont val="WenQuanYi Zen Hei"/>
        <family val="2"/>
      </rPr>
      <t xml:space="preserve">조정분 </t>
    </r>
    <r>
      <rPr>
        <sz val="10"/>
        <rFont val="맑은 고딕"/>
        <family val="3"/>
        <charset val="129"/>
      </rPr>
      <t xml:space="preserve">43</t>
    </r>
    <r>
      <rPr>
        <sz val="10"/>
        <rFont val="WenQuanYi Zen Hei"/>
        <family val="2"/>
      </rPr>
      <t xml:space="preserve">억원</t>
    </r>
  </si>
  <si>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CRU rebilling True-up </t>
    </r>
    <r>
      <rPr>
        <sz val="10"/>
        <rFont val="WenQuanYi Zen Hei"/>
        <family val="2"/>
      </rPr>
      <t xml:space="preserve">아직 받지못함</t>
    </r>
    <r>
      <rPr>
        <sz val="10"/>
        <rFont val="맑은 고딕"/>
        <family val="3"/>
        <charset val="129"/>
      </rPr>
      <t xml:space="preserve">. 2</t>
    </r>
    <r>
      <rPr>
        <sz val="10"/>
        <rFont val="WenQuanYi Zen Hei"/>
        <family val="2"/>
      </rPr>
      <t xml:space="preserve">월말 예정</t>
    </r>
  </si>
  <si>
    <r>
      <rPr>
        <sz val="10"/>
        <rFont val="WenQuanYi Zen Hei"/>
        <family val="2"/>
      </rPr>
      <t xml:space="preserve">복구충당부채 이자비용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백만원</t>
    </r>
  </si>
  <si>
    <r>
      <rPr>
        <sz val="10"/>
        <rFont val="WenQuanYi Zen Hei"/>
        <family val="2"/>
      </rPr>
      <t xml:space="preserve">대부분 차입금에서 발생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차입금 상환하였으나 이자율 상승 영향으로 이자비용 상승</t>
    </r>
  </si>
  <si>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처분손익이며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당기중 변경계약에 따른 대가를 수취하여 투자주식처분이익으로 인식함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잡이익 재분류 필요</t>
    </r>
    <r>
      <rPr>
        <sz val="10"/>
        <rFont val="맑은 고딕"/>
        <family val="3"/>
        <charset val="129"/>
      </rPr>
      <t xml:space="preserve">)</t>
    </r>
  </si>
  <si>
    <t xml:space="preserve">오펠라 주식 처분으로 인해 발생</t>
  </si>
  <si>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년에 진행된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(19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3"/>
        <charset val="129"/>
      </rPr>
      <t xml:space="preserve">~23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가 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월에 완료되어 납부한 추징세액에 해당함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한편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월 현재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가 진행되고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완료예정일은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월임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</si>
  <si>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발생분은 전기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처분 이전까지 발생한 지분법손실에 해당함</t>
    </r>
    <r>
      <rPr>
        <sz val="10"/>
        <rFont val="맑은 고딕"/>
        <family val="3"/>
        <charset val="129"/>
      </rPr>
      <t xml:space="preserve">.</t>
    </r>
  </si>
  <si>
    <t xml:space="preserve">당기 오펠라 주식 처분 이전까지 발생한 지분법손실</t>
  </si>
  <si>
    <t xml:space="preserve">2024 Transfer Price Adjustment credit reversed</t>
  </si>
  <si>
    <r>
      <rPr>
        <b val="true"/>
        <sz val="10"/>
        <rFont val="WenQuanYi Zen Hei"/>
        <family val="2"/>
      </rPr>
      <t xml:space="preserve">법인세비용차감전순이익</t>
    </r>
    <r>
      <rPr>
        <b val="true"/>
        <sz val="10"/>
        <rFont val="맑은 고딕"/>
        <family val="3"/>
        <charset val="129"/>
      </rPr>
      <t xml:space="preserve">(</t>
    </r>
    <r>
      <rPr>
        <b val="true"/>
        <sz val="10"/>
        <rFont val="WenQuanYi Zen Hei"/>
        <family val="2"/>
      </rPr>
      <t xml:space="preserve">손실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</si>
  <si>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세전이익 증가에 따라 비례적으로 증가하였음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</si>
  <si>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세전이익 증가에 따라 비례적으로 증가하였음</t>
    </r>
    <r>
      <rPr>
        <b val="true"/>
        <sz val="10"/>
        <rFont val="맑은 고딕"/>
        <family val="3"/>
        <charset val="129"/>
      </rPr>
      <t xml:space="preserve">. </t>
    </r>
    <r>
      <rPr>
        <b val="true"/>
        <sz val="10"/>
        <rFont val="WenQuanYi Zen Hei"/>
        <family val="2"/>
      </rPr>
      <t xml:space="preserve">기말 결산 후 세무조정에 따라 조정될 예정임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</si>
  <si>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세무조사 추징액 </t>
    </r>
    <r>
      <rPr>
        <b val="true"/>
        <sz val="10"/>
        <rFont val="맑은 고딕"/>
        <family val="3"/>
        <charset val="129"/>
      </rPr>
      <t xml:space="preserve">22</t>
    </r>
    <r>
      <rPr>
        <b val="true"/>
        <sz val="10"/>
        <rFont val="WenQuanYi Zen Hei"/>
        <family val="2"/>
      </rPr>
      <t xml:space="preserve">억원 및 투자주식 처분으로 인한 효과 </t>
    </r>
    <r>
      <rPr>
        <b val="true"/>
        <sz val="10"/>
        <rFont val="맑은 고딕"/>
        <family val="3"/>
        <charset val="129"/>
      </rPr>
      <t xml:space="preserve">15</t>
    </r>
    <r>
      <rPr>
        <b val="true"/>
        <sz val="10"/>
        <rFont val="WenQuanYi Zen Hei"/>
        <family val="2"/>
      </rPr>
      <t xml:space="preserve">억원 가량 포함</t>
    </r>
  </si>
  <si>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원본오류 </t>
    </r>
    <r>
      <rPr>
        <sz val="10"/>
        <rFont val="맑은 고딕"/>
        <family val="3"/>
        <charset val="129"/>
      </rPr>
      <t xml:space="preserve">REF)</t>
    </r>
  </si>
  <si>
    <r>
      <rPr>
        <b val="true"/>
        <sz val="10"/>
        <rFont val="맑은 고딕"/>
        <family val="3"/>
        <charset val="129"/>
      </rPr>
      <t xml:space="preserve">&lt;'25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맑은 고딕"/>
        <family val="3"/>
        <charset val="129"/>
      </rPr>
      <t xml:space="preserve">&gt;</t>
    </r>
  </si>
  <si>
    <r>
      <rPr>
        <b val="true"/>
        <sz val="10"/>
        <rFont val="WenQuanYi Zen Hei"/>
        <family val="2"/>
      </rPr>
      <t xml:space="preserve">견본품비</t>
    </r>
    <r>
      <rPr>
        <b val="true"/>
        <sz val="10"/>
        <rFont val="맑은 고딕"/>
        <family val="3"/>
        <charset val="129"/>
      </rPr>
      <t xml:space="preserve">-Commercial samples</t>
    </r>
  </si>
</sst>
</file>

<file path=xl/styles.xml><?xml version="1.0" encoding="utf-8"?>
<styleSheet xmlns="http://schemas.openxmlformats.org/spreadsheetml/2006/main">
  <numFmts count="203">
    <numFmt numFmtId="164" formatCode="General"/>
    <numFmt numFmtId="165" formatCode="#,##0_);[RED]\(#,##0\)"/>
    <numFmt numFmtId="166" formatCode="_ * #,##0_ ;_ * \-#,##0_ ;_ * \-_ ;_ @_ "/>
    <numFmt numFmtId="167" formatCode="_(* #,##0.000_);_(* &quot;????????(&quot;#,##0.000&quot;????????)&quot;;_(* \-??_);_(@_)"/>
    <numFmt numFmtId="168" formatCode="0%"/>
    <numFmt numFmtId="169" formatCode="_(\$* #,##0.00_);_(\$* \(#,##0.00\);_(\$* \-??_);_(@_)"/>
    <numFmt numFmtId="170" formatCode="_(* #,##0.00_);_(* \(#,##0.00\);_(* \-??_);_(@_)"/>
    <numFmt numFmtId="171" formatCode="#,##0"/>
    <numFmt numFmtId="172" formatCode="yyyy\/m\/d"/>
    <numFmt numFmtId="173" formatCode="\(0\)"/>
    <numFmt numFmtId="174" formatCode="\(0.0\)"/>
    <numFmt numFmtId="175" formatCode="\(0.00\)"/>
    <numFmt numFmtId="176" formatCode="&quot;(-&quot;0.0\)"/>
    <numFmt numFmtId="177" formatCode="&quot;(--&quot;0.0\)"/>
    <numFmt numFmtId="178" formatCode="\(#,##0\)"/>
    <numFmt numFmtId="179" formatCode="yy\-m\-d"/>
    <numFmt numFmtId="180" formatCode="\(0%\)"/>
    <numFmt numFmtId="181" formatCode="#,##0.000"/>
    <numFmt numFmtId="182" formatCode="\(0.0%\);[RED]&quot;(-&quot;0.0%\)"/>
    <numFmt numFmtId="183" formatCode=".\-############################################;###################################"/>
    <numFmt numFmtId="184" formatCode="#,##0.000;[RED]\-#,##0.000"/>
    <numFmt numFmtId="185" formatCode="\₩#,##0;&quot;₩₩-&quot;#,##0"/>
    <numFmt numFmtId="186" formatCode="\₩#,##0;[RED]&quot;₩₩-&quot;#,##0"/>
    <numFmt numFmtId="187" formatCode="#,##0.0"/>
    <numFmt numFmtId="188" formatCode="\₩#,##0.00;&quot;₩₩-&quot;#,##0.00"/>
    <numFmt numFmtId="189" formatCode="\₩#,##0.00;[RED]&quot;₩₩-&quot;#,##0.00"/>
    <numFmt numFmtId="190" formatCode="_ \₩* #,##0_ ;_ \₩* &quot;₩-&quot;#,##0_ ;_ \₩* \-_ ;_ @_ "/>
    <numFmt numFmtId="191" formatCode="_ * #,##0_ ;_ * &quot;₩-&quot;#,##0_ ;_ * \-_ ;_ @_ "/>
    <numFmt numFmtId="192" formatCode="_ \₩* #,##0.00_ ;_ \₩* &quot;₩-&quot;#,##0.00_ ;_ \₩* \-??_ ;_ @_ "/>
    <numFmt numFmtId="193" formatCode="_ * #,##0.00_ ;_ * &quot;₩-&quot;#,##0.00_ ;_ * \-??_ ;_ @_ "/>
    <numFmt numFmtId="194" formatCode="\₩#,##0;&quot;₩₩₩-&quot;#,##0"/>
    <numFmt numFmtId="195" formatCode="\₩#,##0;[RED]&quot;₩₩₩-&quot;#,##0"/>
    <numFmt numFmtId="196" formatCode="\₩#,##0.00;&quot;₩₩₩-&quot;#,##0.00"/>
    <numFmt numFmtId="197" formatCode="\₩#,##0.00;[RED]&quot;₩₩₩-&quot;#,##0.00"/>
    <numFmt numFmtId="198" formatCode="_ \₩* #,##0_ ;_ \₩* &quot;₩₩-&quot;#,##0_ ;_ \₩* \-_ ;_ @_ "/>
    <numFmt numFmtId="199" formatCode="_ * #,##0_ ;_ * &quot;₩₩-&quot;#,##0_ ;_ * \-_ ;_ @_ "/>
    <numFmt numFmtId="200" formatCode="0%;[RED]&quot;  -&quot;0%"/>
    <numFmt numFmtId="201" formatCode="#,##0.00"/>
    <numFmt numFmtId="202" formatCode="0_ "/>
    <numFmt numFmtId="203" formatCode="&quot;113-&quot;@"/>
    <numFmt numFmtId="204" formatCode="&quot;₩!$&quot;#,##0_);[RED]&quot;₩!(₩!$&quot;#,##0&quot;₩!)&quot;"/>
    <numFmt numFmtId="205" formatCode="_(* #,##0_);_(* \(#,##0\);_(* \-_);_(@_)"/>
    <numFmt numFmtId="206" formatCode="#,##0.00&quot;?_);\(#,##0.00?)&quot;"/>
    <numFmt numFmtId="207" formatCode="0"/>
    <numFmt numFmtId="208" formatCode="0.00%"/>
    <numFmt numFmtId="209" formatCode="_ * #,##0_ ;_ * &quot;₩₩₩₩₩₩₩₩₩₩₩-&quot;#,##0_ ;_ * \-_ ;_ @_ "/>
    <numFmt numFmtId="210" formatCode="@"/>
    <numFmt numFmtId="211" formatCode="###.#####"/>
    <numFmt numFmtId="212" formatCode="_ * #,##0.00_ ;_ * \-#,##0.00_ ;_ * \-??_ ;_ @_ "/>
    <numFmt numFmtId="213" formatCode="_ * #&quot;!,&quot;##0_ ;_ * &quot;₩!-&quot;#&quot;!,&quot;##0_ ;_ * \-_ ;_ @_ "/>
    <numFmt numFmtId="214" formatCode="_(\$* #,##0.00_);_(\$* \(#,##0.00\);_(\$* \-??_);_(@_)"/>
    <numFmt numFmtId="215" formatCode="#,##0.00_);[RED]\(#,##0.00\)"/>
    <numFmt numFmtId="216" formatCode="#."/>
    <numFmt numFmtId="217" formatCode="\₩#,##0.00;&quot;₩₩₩₩₩₩₩₩₩₩₩₩₩₩₩₩₩₩-&quot;#,##0.00"/>
    <numFmt numFmtId="218" formatCode="_ \₩* #,##0_ ;_ \₩* \-#,##0_ ;_ \₩* \-_ ;_ @_ "/>
    <numFmt numFmtId="219" formatCode="#,##0_);\(#,##0\)"/>
    <numFmt numFmtId="220" formatCode="_ \$* #,##0_ ;_ \$* \-#,##0_ ;_ \$* \-_ ;_ @_ "/>
    <numFmt numFmtId="221" formatCode="_ \¥* #,##0_ ;_ \¥* \-#,##0_ ;_ \¥* \-_ ;_ @_ "/>
    <numFmt numFmtId="222" formatCode="_ \$* #,##0.00_ ;_ \$* \-#,##0.00_ ;_ \$* \-??_ ;_ @_ "/>
    <numFmt numFmtId="223" formatCode="_ \₩* #,##0.00_ ;_ \₩* \-#,##0.00_ ;_ \₩* \-??_ ;_ @_ "/>
    <numFmt numFmtId="224" formatCode="_ \¥* #,##0.00_ ;_ \¥* \-#,##0.00_ ;_ \¥* \-??_ ;_ @_ "/>
    <numFmt numFmtId="225" formatCode="\₩#,##0;[RED]&quot;₩-&quot;#,##0"/>
    <numFmt numFmtId="226" formatCode="yy/m/d"/>
    <numFmt numFmtId="227" formatCode="0.0"/>
    <numFmt numFmtId="228" formatCode="_(\$* #,##0_);_(\$* \(#,##0\);_(\$* \-_);_(@_)"/>
    <numFmt numFmtId="229" formatCode="_ \₩* #,##0_ ;_ \₩* &quot;₩!-&quot;#,##0_ ;_ \₩* \-_ ;_ @_ "/>
    <numFmt numFmtId="230" formatCode="\$#,##0"/>
    <numFmt numFmtId="231" formatCode="#,##0.00;[RED]\-#,##0.00"/>
    <numFmt numFmtId="232" formatCode="#\ ###\ ###\ ##0\ "/>
    <numFmt numFmtId="233" formatCode="_ &quot;SFr.&quot;* #,##0.00_ ;_ &quot;SFr.&quot;* \-#,##0.00_ ;_ &quot;SFr.&quot;* \-??_ ;_ @_ "/>
    <numFmt numFmtId="234" formatCode="_ \₩* #,##0_ ;_ \₩* &quot;₩₩₩-&quot;#,##0_ ;_ \₩* \-_ ;_ @_ "/>
    <numFmt numFmtId="235" formatCode="00"/>
    <numFmt numFmtId="236" formatCode="mmm"/>
    <numFmt numFmtId="237" formatCode="mmm&quot;. '&quot;yy"/>
    <numFmt numFmtId="238" formatCode="&quot;CHF &quot;#,##0.00;&quot;CHF -&quot;#,##0.00"/>
    <numFmt numFmtId="239" formatCode="#,##0.0\ ;[RED]\(#,##0.0&quot;) &quot;;&quot;- &quot;"/>
    <numFmt numFmtId="240" formatCode="[BLACK]#,###_);[BLACK]\(#,###\);\-_)"/>
    <numFmt numFmtId="241" formatCode="#,##0&quot; F&quot;_);[RED]\(#,##0&quot; F)&quot;"/>
    <numFmt numFmtId="242" formatCode="_._.* #,##0.0_)_%;_._.* \(#,##0.0\)_%;_._.* \ .0_)_%"/>
    <numFmt numFmtId="243" formatCode="#,##0.00_);\(#,##0.00\)"/>
    <numFmt numFmtId="244" formatCode="_._.* #,##0.000_)_%;_._.* \(#,##0.000\)_%;_._.* \ .000_)_%"/>
    <numFmt numFmtId="245" formatCode="_ * #,##0.00_ ;_ * &quot;₩₩₩₩₩₩₩₩₩-&quot;#,##0.00_ ;_ * \-??_ ;_ @_ "/>
    <numFmt numFmtId="246" formatCode="\$#,##0;[RED]&quot;$$$$$$$-$&quot;#,##0"/>
    <numFmt numFmtId="247" formatCode="#,##0.0_);\(#,##0.0\)"/>
    <numFmt numFmtId="248" formatCode="\$#,##0.00;[RED]&quot;-$&quot;#,##0.00"/>
    <numFmt numFmtId="249" formatCode="_._.\$* #,##0.0_)_%;_._.\$* \(#,##0.0\)_%;_._.\$* \ .0_)_%"/>
    <numFmt numFmtId="250" formatCode="\$* #,##0.00_);\$* \(#,##0.00\)"/>
    <numFmt numFmtId="251" formatCode="_._.\$* #,##0.000_)_%;_._.\$* \(#,##0.000\)_%;_._.\$* \ .000_)_%"/>
    <numFmt numFmtId="252" formatCode="\$#,##0_);&quot;($&quot;#,##0\)"/>
    <numFmt numFmtId="253" formatCode="\$#,##0.00_);&quot;($&quot;#,##0.00\)"/>
    <numFmt numFmtId="254" formatCode="_ &quot;SFr. &quot;* #,##0.00_ ;_ &quot;SFr. &quot;* \-#,##0.00_ ;_ &quot;SFr. &quot;* \-??_ ;_ @_ "/>
    <numFmt numFmtId="255" formatCode="\$#,##0.0_);&quot;$$$$$$$$($&quot;#,##0.0&quot;$$$$$$$$)&quot;"/>
    <numFmt numFmtId="256" formatCode="\₩#,##0.00;[RED]&quot;₩₩₩-₩&quot;#,##0.00"/>
    <numFmt numFmtId="257" formatCode="\₩#,##0;[RED]&quot;₩₩₩-₩&quot;#,##0"/>
    <numFmt numFmtId="258" formatCode="d\-mmm\-yy"/>
    <numFmt numFmtId="259" formatCode="m/d/yyyy"/>
    <numFmt numFmtId="260" formatCode="_-* #,##0\ _D_M_-;\-* #,##0\ _D_M_-;_-* &quot;- &quot;_D_M_-;_-@_-"/>
    <numFmt numFmtId="261" formatCode="_-* #,##0.00\ _D_M_-;\-* #,##0.00\ _D_M_-;_-* \-??\ _D_M_-;_-@_-"/>
    <numFmt numFmtId="262" formatCode="* #,##0_%;* \-#,##0_%;* #,##0_%;@_%"/>
    <numFmt numFmtId="263" formatCode="\₩#,##0;[RED]&quot;₩₩₩₩₩₩₩₩₩₩-₩&quot;#,##0"/>
    <numFmt numFmtId="264" formatCode="_(* #,##0_);_(* &quot;$$$$$$$$(&quot;#,##0&quot;$$$$$$$$)&quot;;_(* \-??_);_(@_)"/>
    <numFmt numFmtId="265" formatCode="_-* #,##0\ _P_t_s_-;\-* #,##0\ _P_t_s_-;_-* &quot;- &quot;_P_t_s_-;_-@_-"/>
    <numFmt numFmtId="266" formatCode="_-* #,##0.00\ _P_t_s_-;\-* #,##0.00\ _P_t_s_-;_-* \-??\ _P_t_s_-;_-@_-"/>
    <numFmt numFmtId="267" formatCode="#,##0&quot;  &quot;;[RED]\(#,##0&quot;) &quot;;&quot;-  &quot;"/>
    <numFmt numFmtId="268" formatCode="_-[$€-2]* #,##0.00_-;\-[$€-2]* #,##0.00_-;_-[$€-2]* \-??_-"/>
    <numFmt numFmtId="269" formatCode="#,&quot;천원&quot;"/>
    <numFmt numFmtId="270" formatCode="0.00"/>
    <numFmt numFmtId="271" formatCode="dd\-mmm\-yy\ hh:mm:ss"/>
    <numFmt numFmtId="272" formatCode="[RED]&quot;stale hdle&quot;;[RED]\-0;[RED]&quot;stale hdle&quot;"/>
    <numFmt numFmtId="273" formatCode="#,##0,_);[RED]\(#,##0,\)"/>
    <numFmt numFmtId="274" formatCode="_-* #,##0&quot; F&quot;_-;\-* #,##0&quot; F&quot;_-;_-* &quot;- F&quot;_-;_-@_-"/>
    <numFmt numFmtId="275" formatCode="_-* #,##0.00&quot; F&quot;_-;\-* #,##0.00&quot; F&quot;_-;_-* \-??&quot; F&quot;_-;_-@_-"/>
    <numFmt numFmtId="276" formatCode="_-* #,##0&quot; Pts&quot;_-;\-* #,##0&quot; Pts&quot;_-;_-* &quot;- Pts&quot;_-;_-@_-"/>
    <numFmt numFmtId="277" formatCode="_-* #,##0.00&quot; Pts&quot;_-;\-* #,##0.00&quot; Pts&quot;_-;_-* \-??&quot; Pts&quot;_-;_-@_-"/>
    <numFmt numFmtId="278" formatCode="#,##0&quot; F&quot;;[RED]\-#,##0&quot; F&quot;"/>
    <numFmt numFmtId="279" formatCode="#,##0.00&quot; F&quot;;[RED]\-#,##0.00&quot; F&quot;"/>
    <numFmt numFmtId="280" formatCode="0.00000000"/>
    <numFmt numFmtId="281" formatCode="\₩#,##0;&quot;₩₩₩₩-&quot;#,##0"/>
    <numFmt numFmtId="282" formatCode="[BLACK]#,###_);[BLACK]\(#,###\);[BLACK]\-_)"/>
    <numFmt numFmtId="283" formatCode="#,##0;&quot;(-)&quot;#,##0"/>
    <numFmt numFmtId="284" formatCode="_(0_)%;\(0\)%;&quot;  &quot;_)\%"/>
    <numFmt numFmtId="285" formatCode="_._._(* 0_)%;_._.\(* 0\)%;_._._(* \ _)\%"/>
    <numFmt numFmtId="286" formatCode="0%_);\(0%\)"/>
    <numFmt numFmtId="287" formatCode="_(0.0_)%;\(0.0\)%;&quot;  &quot;.0_)%"/>
    <numFmt numFmtId="288" formatCode="_._._(* 0.0_)%;_._.\(* 0.0\)%;_._._(* \ .0_)%"/>
    <numFmt numFmtId="289" formatCode="_(0.00_)%;\(0.00\)%;&quot;  &quot;.00_)%"/>
    <numFmt numFmtId="290" formatCode="_._._(* 0.00_)%;_._.\(* 0.00\)%;_._._(* \ .00_)%"/>
    <numFmt numFmtId="291" formatCode="_(0.000_)%;\(0.000\)%;&quot;  &quot;.000_)%"/>
    <numFmt numFmtId="292" formatCode="_._._(* 0.000_)%;_._.\(* 0.000\)%;_._._(* \ .000_)%"/>
    <numFmt numFmtId="293" formatCode="\$#.##"/>
    <numFmt numFmtId="294" formatCode="# ??/??"/>
    <numFmt numFmtId="295" formatCode="_ * #,##0.0_ ;_ * \-#,##0.0_ ;_ * \-_ ;_ @_ "/>
    <numFmt numFmtId="296" formatCode="\₩#,##0.00;[RED]&quot;₩-&quot;#,##0.00"/>
    <numFmt numFmtId="297" formatCode="\$#,##0.00"/>
    <numFmt numFmtId="298" formatCode="_-* #,##0_-;&quot;₩-&quot;* #,##0_-;_-* \-_-;_-@_-"/>
    <numFmt numFmtId="299" formatCode="0.0%"/>
    <numFmt numFmtId="300" formatCode="&quot;SFr.&quot;#,##0.00;[RED]&quot;SFr.-&quot;#,##0.00"/>
    <numFmt numFmtId="301" formatCode="#,##0.00;[RED]#,##0.00"/>
    <numFmt numFmtId="302" formatCode="_-* #,##0.00\ _E_s_c_._-;\-* #,##0.00\ _E_s_c_._-;_-* \-??\ _E_s_c_._-;_-@_-"/>
    <numFmt numFmtId="303" formatCode="_-* #,##0&quot; DM&quot;_-;\-* #,##0&quot; DM&quot;_-;_-* &quot;- DM&quot;_-;_-@_-"/>
    <numFmt numFmtId="304" formatCode="_-* #,##0.00&quot; DM&quot;_-;\-* #,##0.00&quot; DM&quot;_-;_-* \-??&quot; DM&quot;_-;_-@_-"/>
    <numFmt numFmtId="305" formatCode="[WHITE]General;[WHITE]General;[WHITE]General;[WHITE]General"/>
    <numFmt numFmtId="306" formatCode="\x;\x;\x;\x"/>
    <numFmt numFmtId="307" formatCode="_(* #,##0_);_(* \(#,##0\);_(* \ _)"/>
    <numFmt numFmtId="308" formatCode="_(* #,##0.0_);_(* \(#,##0.0\);_(* \ .0_)"/>
    <numFmt numFmtId="309" formatCode="_(* #,##0.00_);_(* \(#,##0.00\);_(* \ .00_)"/>
    <numFmt numFmtId="310" formatCode="_(* #,##0.000_);_(* \(#,##0.000\);_(* \ .000_)"/>
    <numFmt numFmtId="311" formatCode="_(\$* #,##0_);_(\$* \(#,##0\);_(\$* \ _)"/>
    <numFmt numFmtId="312" formatCode="_(\$* #,##0.0_);_(\$* \(#,##0.0\);_(\$* \ .0_)"/>
    <numFmt numFmtId="313" formatCode="_(\$* #,##0.00_);_(\$* \(#,##0.00\);_(\$* \ .00_)"/>
    <numFmt numFmtId="314" formatCode="_(\$* #,##0.000_);_(\$* \(#,##0.000\);_(\$* \ .000_)"/>
    <numFmt numFmtId="315" formatCode="&quot;£ &quot;#,##0_);[RED]&quot;(£ &quot;#,##0\)"/>
    <numFmt numFmtId="316" formatCode="&quot;¥ &quot;#,##0_);[RED]&quot;(¥ &quot;#,##0\)"/>
    <numFmt numFmtId="317" formatCode="\$#,##0.00_);[RED]&quot;($&quot;#,##0.00\)"/>
    <numFmt numFmtId="318" formatCode="_ * #,##0_ ;_ * &quot;₩₩₩₩₩₩₩₩₩₩₩₩₩₩-&quot;#,##0_ ;_ * \-_ ;_ @_ "/>
    <numFmt numFmtId="319" formatCode="_ * #,##0.00_ ;_ * &quot;₩₩₩₩₩₩₩₩₩₩₩₩₩₩-&quot;#,##0.00_ ;_ * \-??_ ;_ @_ "/>
    <numFmt numFmtId="320" formatCode="_ \₩* #,##0_ ;_ \₩* &quot;₩₩₩₩₩₩₩₩₩₩₩₩₩₩-&quot;#,##0_ ;_ \₩* \-_ ;_ @_ "/>
    <numFmt numFmtId="321" formatCode="_ \₩* #,##0.00_ ;_ \₩* &quot;₩₩₩₩₩₩₩₩₩₩₩₩₩₩-&quot;#,##0.00_ ;_ \₩* \-??_ ;_ @_ "/>
    <numFmt numFmtId="322" formatCode="#,##0_-;\△#,##0_-;\-"/>
    <numFmt numFmtId="323" formatCode="_-\$* #,##0_-;&quot;-$&quot;* #,##0_-;_-\$* \-_-;_-@_-"/>
    <numFmt numFmtId="324" formatCode="_-\$* #,##0.00_-;&quot;-$&quot;* #,##0.00_-;_-\$* \-??_-;_-@_-"/>
    <numFmt numFmtId="325" formatCode="\(0\)"/>
    <numFmt numFmtId="326" formatCode="#.00"/>
    <numFmt numFmtId="327" formatCode="#,##0;\△#,##0"/>
    <numFmt numFmtId="328" formatCode="&quot;111-&quot;@"/>
    <numFmt numFmtId="329" formatCode="yy/mm/dd\ "/>
    <numFmt numFmtId="330" formatCode="yyyy\.mm\.dd"/>
    <numFmt numFmtId="331" formatCode="yy\.mm\.dd"/>
    <numFmt numFmtId="332" formatCode="0.0000"/>
    <numFmt numFmtId="333" formatCode="_-* #,##0.0_-;\-* #,##0.0_-;_-* \-??_-;_-@_-"/>
    <numFmt numFmtId="334" formatCode="#,##0.0000000_);[RED]\(#,##0.0000000\)"/>
    <numFmt numFmtId="335" formatCode="#,##0_ ;[RED]\-#,##0\ "/>
    <numFmt numFmtId="336" formatCode="_-* #,##0.00_-;&quot;₩-&quot;* #,##0.00_-;_-* \-??_-;_-@_-"/>
    <numFmt numFmtId="337" formatCode="#,##0;[RED]\(#,##0\);\-"/>
    <numFmt numFmtId="338" formatCode="#,##0;\-#,##0"/>
    <numFmt numFmtId="339" formatCode="#,##0.0;\-#,##0.0;\-"/>
    <numFmt numFmtId="340" formatCode="#,##0_ "/>
    <numFmt numFmtId="341" formatCode="#,##0;[RED]\-#,##0"/>
    <numFmt numFmtId="342" formatCode="_-* #,##0_-;\-* #,##0_-;_-* \-_-;_-@_-"/>
    <numFmt numFmtId="343" formatCode="&quot;$ &quot;#,##0;&quot;$ -&quot;#,##0"/>
    <numFmt numFmtId="344" formatCode="_ &quot;SFr.&quot;* #,##0_ ;_ &quot;SFr.&quot;* \-#,##0_ ;_ &quot;SFr.&quot;* \-_ ;_ @_ "/>
    <numFmt numFmtId="345" formatCode="mm&quot;월 &quot;dd\일"/>
    <numFmt numFmtId="346" formatCode="&quot;PG1130&quot;@&quot;01&quot;"/>
    <numFmt numFmtId="347" formatCode="\₩#,##0;[RED]&quot;₩!-₩&quot;#,##0"/>
    <numFmt numFmtId="348" formatCode="#,##0.0000_ "/>
    <numFmt numFmtId="349" formatCode="#,##0_);\(#,##0\);\-_);@_)"/>
    <numFmt numFmtId="350" formatCode="#,##0;[RED]\-#,##0;\-"/>
    <numFmt numFmtId="351" formatCode="\ #,##0.00;\-#,##0.00;\-;@"/>
    <numFmt numFmtId="352" formatCode="&quot;True&quot;;&quot;True&quot;;&quot;False&quot;"/>
    <numFmt numFmtId="353" formatCode="#,###\ ;\(#,###\)"/>
    <numFmt numFmtId="354" formatCode="#,###&quot;  &quot;;\(#,###&quot;) &quot;"/>
    <numFmt numFmtId="355" formatCode="\ #,##0_);\(#,##0\);\-_);@"/>
    <numFmt numFmtId="356" formatCode="_(\$* #,##0.00_);_(\$* &quot;₩₩₩₩₩₩₩₩₩₩₩₩₩(&quot;#,##0.00&quot;₩₩₩₩₩₩₩₩₩₩₩₩₩)&quot;;_(\$* \-??_);_(@_)"/>
    <numFmt numFmtId="357" formatCode="\₩#,##0;&quot;₩-&quot;#,##0"/>
    <numFmt numFmtId="358" formatCode="_-* #,##0_-;\-* #,##0_-;_-* \-_-;_-@_-"/>
    <numFmt numFmtId="359" formatCode="#,##0;[RED]\(#,##0\);\-"/>
    <numFmt numFmtId="360" formatCode="[RED]\▲0.00%;[BLUE]\▼0.00%;\-"/>
    <numFmt numFmtId="361" formatCode="#,##0.0_ "/>
    <numFmt numFmtId="362" formatCode="0.000"/>
    <numFmt numFmtId="363" formatCode="0_);[RED]\(0\)"/>
    <numFmt numFmtId="364" formatCode="_(* #,##0_);_(* \(#,##0\);_(* \-??_);_(@_)"/>
    <numFmt numFmtId="365" formatCode="0_);\(0\)"/>
    <numFmt numFmtId="366" formatCode="#,##0;[RED]#,##0"/>
  </numFmts>
  <fonts count="36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굴림체"/>
      <family val="3"/>
      <charset val="129"/>
    </font>
    <font>
      <sz val="11"/>
      <name val="굃굍 굊긕긘긞긏"/>
      <family val="3"/>
      <charset val="129"/>
    </font>
    <font>
      <sz val="12"/>
      <name val="바탕체"/>
      <family val="1"/>
      <charset val="129"/>
    </font>
    <font>
      <sz val="10"/>
      <name val="Arial"/>
      <family val="2"/>
      <charset val="1"/>
    </font>
    <font>
      <b val="true"/>
      <sz val="10"/>
      <name val="MS Sans Serif"/>
      <family val="2"/>
      <charset val="1"/>
    </font>
    <font>
      <sz val="12"/>
      <name val="돋움체"/>
      <family val="3"/>
      <charset val="129"/>
    </font>
    <font>
      <sz val="12"/>
      <color rgb="FF000000"/>
      <name val="바탕체"/>
      <family val="1"/>
      <charset val="129"/>
    </font>
    <font>
      <sz val="11"/>
      <name val="돋움"/>
      <family val="3"/>
      <charset val="129"/>
    </font>
    <font>
      <sz val="10"/>
      <name val="MS Sans Serif"/>
      <family val="2"/>
      <charset val="1"/>
    </font>
    <font>
      <sz val="10"/>
      <name val="바탕체"/>
      <family val="1"/>
      <charset val="129"/>
    </font>
    <font>
      <sz val="10"/>
      <color theme="1"/>
      <name val="맑은 고딕"/>
      <family val="3"/>
      <charset val="129"/>
    </font>
    <font>
      <b val="true"/>
      <sz val="12"/>
      <name val="돋움체"/>
      <family val="3"/>
      <charset val="129"/>
    </font>
    <font>
      <u val="single"/>
      <sz val="12"/>
      <name val="MS Sans Serif"/>
      <family val="2"/>
      <charset val="1"/>
    </font>
    <font>
      <sz val="7"/>
      <name val="바탕체"/>
      <family val="1"/>
      <charset val="129"/>
    </font>
    <font>
      <b val="true"/>
      <sz val="12"/>
      <name val="바탕체"/>
      <family val="1"/>
      <charset val="129"/>
    </font>
    <font>
      <sz val="12"/>
      <name val="명조"/>
      <family val="3"/>
      <charset val="129"/>
    </font>
    <font>
      <sz val="11"/>
      <color rgb="FF000000"/>
      <name val="맑은 고딕"/>
      <family val="3"/>
      <charset val="1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2"/>
      <name val="¹ÙÅÁÃ¼"/>
      <family val="3"/>
      <charset val="129"/>
    </font>
    <font>
      <sz val="11"/>
      <color rgb="FFFFFFFF"/>
      <name val="맑은 고딕"/>
      <family val="3"/>
      <charset val="129"/>
    </font>
    <font>
      <sz val="11"/>
      <color theme="0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1"/>
      <color theme="0"/>
      <name val="맑은 고딕"/>
      <family val="2"/>
      <charset val="129"/>
    </font>
    <font>
      <sz val="10"/>
      <color rgb="FFFFFFFF"/>
      <name val="맑은 고딕"/>
      <family val="3"/>
      <charset val="129"/>
    </font>
    <font>
      <sz val="10"/>
      <name val="Geneva"/>
      <family val="2"/>
      <charset val="1"/>
    </font>
    <font>
      <sz val="10"/>
      <name val="¹UAAA¼"/>
      <family val="1"/>
      <charset val="129"/>
    </font>
    <font>
      <b val="true"/>
      <u val="single"/>
      <sz val="24"/>
      <name val="굴_x0002_"/>
      <family val="3"/>
      <charset val="129"/>
    </font>
    <font>
      <sz val="12"/>
      <name val="Times New Roman"/>
      <family val="1"/>
      <charset val="1"/>
    </font>
    <font>
      <sz val="1"/>
      <color rgb="FF000000"/>
      <name val="Courier New"/>
      <family val="3"/>
      <charset val="1"/>
    </font>
    <font>
      <sz val="12"/>
      <name val="???"/>
      <family val="1"/>
      <charset val="1"/>
    </font>
    <font>
      <sz val="12"/>
      <name val="¹UAAA¼"/>
      <family val="1"/>
      <charset val="129"/>
    </font>
    <font>
      <i val="true"/>
      <sz val="12"/>
      <name val="바탕체"/>
      <family val="1"/>
      <charset val="129"/>
    </font>
    <font>
      <sz val="11"/>
      <name val="??????"/>
      <family val="1"/>
      <charset val="1"/>
    </font>
    <font>
      <sz val="10"/>
      <color rgb="FF0000FF"/>
      <name val="Arial"/>
      <family val="2"/>
      <charset val="1"/>
    </font>
    <font>
      <sz val="11"/>
      <name val="굴림체"/>
      <family val="3"/>
      <charset val="129"/>
    </font>
    <font>
      <u val="single"/>
      <sz val="8.4"/>
      <color rgb="FF0000FF"/>
      <name val="Arial"/>
      <family val="2"/>
      <charset val="1"/>
    </font>
    <font>
      <sz val="11"/>
      <name val="????"/>
      <family val="3"/>
      <charset val="1"/>
    </font>
    <font>
      <sz val="12"/>
      <name val="¹????¼"/>
      <family val="3"/>
      <charset val="129"/>
    </font>
    <font>
      <sz val="12"/>
      <name val="?¾’?"/>
      <family val="3"/>
      <charset val="129"/>
    </font>
    <font>
      <u val="single"/>
      <sz val="11"/>
      <color rgb="FF800080"/>
      <name val="굃굍 굊긕긘긞긏"/>
      <family val="3"/>
      <charset val="129"/>
    </font>
    <font>
      <sz val="12"/>
      <name val="톝꾄ⁿ?"/>
      <family val="3"/>
      <charset val="129"/>
    </font>
    <font>
      <sz val="10"/>
      <name val="Courier New"/>
      <family val="3"/>
      <charset val="1"/>
    </font>
    <font>
      <sz val="11"/>
      <name val="돋?o"/>
      <family val="3"/>
      <charset val="129"/>
    </font>
    <font>
      <sz val="10"/>
      <name val="times new roman"/>
      <family val="1"/>
      <charset val="1"/>
    </font>
    <font>
      <sz val="12"/>
      <name val="Arial"/>
      <family val="2"/>
      <charset val="1"/>
    </font>
    <font>
      <sz val="1"/>
      <color rgb="FF800000"/>
      <name val="Courier New"/>
      <family val="3"/>
      <charset val="1"/>
    </font>
    <font>
      <sz val="10"/>
      <name val="굴림체"/>
      <family val="3"/>
      <charset val="129"/>
    </font>
    <font>
      <b val="true"/>
      <sz val="12"/>
      <name val="¹UAAA¼"/>
      <family val="1"/>
      <charset val="129"/>
    </font>
    <font>
      <sz val="10"/>
      <color rgb="FF000000"/>
      <name val="Arial"/>
      <family val="2"/>
      <charset val="1"/>
    </font>
    <font>
      <sz val="10"/>
      <color rgb="FFC0C0C0"/>
      <name val="Modern"/>
      <family val="3"/>
    </font>
    <font>
      <sz val="9"/>
      <name val="Arial"/>
      <family val="2"/>
      <charset val="1"/>
    </font>
    <font>
      <sz val="11"/>
      <name val="돋움체"/>
      <family val="3"/>
      <charset val="129"/>
    </font>
    <font>
      <sz val="10"/>
      <color rgb="FF000000"/>
      <name val="Geneva"/>
      <family val="2"/>
      <charset val="1"/>
    </font>
    <font>
      <sz val="12"/>
      <name val="돋_x0002_"/>
      <family val="3"/>
      <charset val="129"/>
    </font>
    <font>
      <b val="true"/>
      <sz val="12"/>
      <name val="굴_x0002_"/>
      <family val="3"/>
      <charset val="129"/>
    </font>
    <font>
      <sz val="12"/>
      <name val="¹UAAA¼"/>
      <family val="3"/>
      <charset val="129"/>
    </font>
    <font>
      <sz val="8"/>
      <name val="Arial"/>
      <family val="2"/>
      <charset val="1"/>
    </font>
    <font>
      <sz val="11"/>
      <name val="??????o"/>
      <family val="3"/>
      <charset val="1"/>
    </font>
    <font>
      <sz val="12"/>
      <name val="￠RERERIi￠RERERE￠RERER¡ER￠R"/>
      <family val="3"/>
      <charset val="129"/>
    </font>
    <font>
      <sz val="12"/>
      <name val="ⓒoUAAA¨u"/>
      <family val="1"/>
      <charset val="129"/>
    </font>
    <font>
      <sz val="11"/>
      <name val="μ¸¿o"/>
      <family val="3"/>
      <charset val="129"/>
    </font>
    <font>
      <sz val="12"/>
      <name val="μ¸¿oA¼"/>
      <family val="3"/>
      <charset val="129"/>
    </font>
    <font>
      <sz val="11"/>
      <name val="±¼¸²A¼"/>
      <family val="3"/>
      <charset val="129"/>
    </font>
    <font>
      <sz val="11"/>
      <name val="￠R¨u¡§u¡E¡þ¨I¡AA¡§u"/>
      <family val="3"/>
      <charset val="129"/>
    </font>
    <font>
      <b val="true"/>
      <sz val="16"/>
      <name val="Arial"/>
      <family val="2"/>
      <charset val="1"/>
    </font>
    <font>
      <sz val="8"/>
      <name val="Tahoma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CG Times"/>
      <family val="1"/>
      <charset val="1"/>
    </font>
    <font>
      <sz val="11"/>
      <name val="¥ì¢¬¢¯o"/>
      <family val="3"/>
      <charset val="1"/>
    </font>
    <font>
      <sz val="10"/>
      <name val="μ¸¿oA¼"/>
      <family val="3"/>
      <charset val="129"/>
    </font>
    <font>
      <sz val="12"/>
      <name val="±1¸2A1"/>
      <family val="3"/>
      <charset val="129"/>
    </font>
    <font>
      <sz val="11"/>
      <name val="µ¸?o"/>
      <family val="3"/>
      <charset val="129"/>
    </font>
    <font>
      <sz val="12"/>
      <name val="1UAÁA1"/>
      <family val="1"/>
      <charset val="1"/>
    </font>
    <font>
      <b val="true"/>
      <sz val="10"/>
      <color rgb="FF0000FF"/>
      <name val="Arial"/>
      <family val="2"/>
      <charset val="1"/>
    </font>
    <font>
      <sz val="8"/>
      <name val="SwitzerlandLight"/>
      <family val="1"/>
      <charset val="1"/>
    </font>
    <font>
      <b val="true"/>
      <sz val="10"/>
      <name val="Arial"/>
      <family val="2"/>
      <charset val="1"/>
    </font>
    <font>
      <sz val="7"/>
      <name val="SwitzerlandLight"/>
      <family val="1"/>
      <charset val="1"/>
    </font>
    <font>
      <sz val="7"/>
      <name val="Times New Roman"/>
      <family val="1"/>
      <charset val="1"/>
    </font>
    <font>
      <b val="true"/>
      <sz val="11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3"/>
      <name val="Times New Roman"/>
      <family val="1"/>
      <charset val="1"/>
    </font>
    <font>
      <sz val="10"/>
      <color rgb="FFFFFFFF"/>
      <name val="Arial"/>
      <family val="2"/>
      <charset val="1"/>
    </font>
    <font>
      <sz val="11"/>
      <name val="Times New Roman"/>
      <family val="1"/>
      <charset val="1"/>
    </font>
    <font>
      <sz val="9"/>
      <name val="Times New Roman"/>
      <family val="1"/>
      <charset val="1"/>
    </font>
    <font>
      <sz val="11"/>
      <name val="New Times Roman"/>
      <family val="2"/>
      <charset val="1"/>
    </font>
    <font>
      <u val="single"/>
      <sz val="9"/>
      <name val="Times New Roman"/>
      <family val="1"/>
      <charset val="1"/>
    </font>
    <font>
      <sz val="11"/>
      <color theme="1"/>
      <name val="Arial"/>
      <family val="2"/>
      <charset val="1"/>
    </font>
    <font>
      <sz val="8"/>
      <color theme="1"/>
      <name val="맑은 고딕"/>
      <family val="2"/>
      <charset val="129"/>
    </font>
    <font>
      <sz val="13"/>
      <name val="Times New Roman"/>
      <family val="1"/>
      <charset val="1"/>
    </font>
    <font>
      <sz val="10"/>
      <color rgb="FF9999FF"/>
      <name val="MS Sans Serif"/>
      <family val="2"/>
      <charset val="1"/>
    </font>
    <font>
      <sz val="6"/>
      <name val="Arial"/>
      <family val="2"/>
      <charset val="1"/>
    </font>
    <font>
      <sz val="10"/>
      <color rgb="FF00FFFF"/>
      <name val="Arial"/>
      <family val="2"/>
      <charset val="1"/>
    </font>
    <font>
      <sz val="10"/>
      <color rgb="FF333333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MS Serif"/>
      <family val="1"/>
      <charset val="1"/>
    </font>
    <font>
      <sz val="8"/>
      <name val="돋움"/>
      <family val="3"/>
      <charset val="129"/>
    </font>
    <font>
      <sz val="10"/>
      <name val="¡ERERER¡ERER￠RER¡ER¡E?u￠R"/>
      <family val="3"/>
      <charset val="129"/>
    </font>
    <font>
      <sz val="11"/>
      <name val="￥i￠￢￠?o"/>
      <family val="3"/>
      <charset val="129"/>
    </font>
    <font>
      <sz val="11"/>
      <name val="￠RERERIi￠RERERE￠RERER¡ER￠R"/>
      <family val="3"/>
      <charset val="129"/>
    </font>
    <font>
      <sz val="12"/>
      <name val="¨IoUAAA¡§u"/>
      <family val="1"/>
      <charset val="129"/>
    </font>
    <font>
      <sz val="10"/>
      <name val="±¼¸²A¼"/>
      <family val="3"/>
      <charset val="129"/>
    </font>
    <font>
      <sz val="12"/>
      <name val="±¼¸²A¼"/>
      <family val="3"/>
      <charset val="129"/>
    </font>
    <font>
      <sz val="12"/>
      <name val="System"/>
      <family val="2"/>
      <charset val="129"/>
    </font>
    <font>
      <b val="true"/>
      <sz val="12"/>
      <name val="Arial"/>
      <family val="2"/>
      <charset val="1"/>
    </font>
    <font>
      <sz val="7"/>
      <name val="Arial"/>
      <family val="2"/>
      <charset val="1"/>
    </font>
    <font>
      <sz val="10"/>
      <color rgb="FF9999FF"/>
      <name val="Arial"/>
      <family val="2"/>
      <charset val="1"/>
    </font>
    <font>
      <sz val="10"/>
      <name val="Lucida Bright"/>
      <family val="1"/>
      <charset val="1"/>
    </font>
    <font>
      <b val="true"/>
      <sz val="8"/>
      <name val="Arial"/>
      <family val="2"/>
      <charset val="1"/>
    </font>
    <font>
      <sz val="10"/>
      <color rgb="FF800000"/>
      <name val="MS Serif"/>
      <family val="1"/>
      <charset val="1"/>
    </font>
    <font>
      <sz val="10"/>
      <color rgb="FFFF00FF"/>
      <name val="Arial"/>
      <family val="2"/>
      <charset val="1"/>
    </font>
    <font>
      <b val="true"/>
      <sz val="10"/>
      <name val="Times New Roman"/>
      <family val="1"/>
      <charset val="1"/>
    </font>
    <font>
      <i val="true"/>
      <sz val="1"/>
      <color rgb="FF000000"/>
      <name val="Courier New"/>
      <family val="3"/>
      <charset val="1"/>
    </font>
    <font>
      <b val="true"/>
      <sz val="10"/>
      <color rgb="FF000080"/>
      <name val="Arial"/>
      <family val="2"/>
      <charset val="1"/>
    </font>
    <font>
      <u val="single"/>
      <sz val="10"/>
      <color rgb="FFFF00FF"/>
      <name val="MS Sans Serif"/>
      <family val="2"/>
      <charset val="1"/>
    </font>
    <font>
      <b val="true"/>
      <sz val="1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2"/>
      <name val="Times New Roman"/>
      <family val="1"/>
      <charset val="1"/>
    </font>
    <font>
      <b val="true"/>
      <sz val="9"/>
      <color rgb="FF800000"/>
      <name val="SwitzerlandCondensed"/>
      <family val="1"/>
      <charset val="1"/>
    </font>
    <font>
      <u val="single"/>
      <sz val="10"/>
      <color rgb="FF0000FF"/>
      <name val="MS Sans Serif"/>
      <family val="2"/>
      <charset val="1"/>
    </font>
    <font>
      <u val="single"/>
      <sz val="9.9"/>
      <color theme="1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1"/>
      <name val="Eurostile"/>
      <family val="2"/>
      <charset val="1"/>
    </font>
    <font>
      <sz val="7"/>
      <name val="Small Fonts"/>
      <family val="2"/>
      <charset val="1"/>
    </font>
    <font>
      <u val="double"/>
      <sz val="10"/>
      <name val="Arial"/>
      <family val="2"/>
      <charset val="1"/>
    </font>
    <font>
      <sz val="11"/>
      <color theme="1"/>
      <name val="맑은 고딕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맑은 고딕"/>
      <family val="2"/>
      <charset val="129"/>
    </font>
    <font>
      <u val="single"/>
      <sz val="18"/>
      <name val="Times New Roman"/>
      <family val="1"/>
      <charset val="1"/>
    </font>
    <font>
      <sz val="10"/>
      <name val="Arial CE"/>
      <family val="2"/>
      <charset val="1"/>
    </font>
    <font>
      <i val="true"/>
      <sz val="10"/>
      <name val="Arial"/>
      <family val="2"/>
      <charset val="1"/>
    </font>
    <font>
      <sz val="9"/>
      <color rgb="FF000000"/>
      <name val="Arial"/>
      <family val="2"/>
      <charset val="1"/>
    </font>
    <font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b val="true"/>
      <sz val="11"/>
      <color rgb="FF800000"/>
      <name val="Times New Roman"/>
      <family val="1"/>
      <charset val="1"/>
    </font>
    <font>
      <b val="true"/>
      <sz val="22"/>
      <color rgb="FF000000"/>
      <name val="Times New Roman"/>
      <family val="1"/>
      <charset val="1"/>
    </font>
    <font>
      <b val="true"/>
      <sz val="9"/>
      <color rgb="FFFF0000"/>
      <name val="SwitzerlandCondensed"/>
      <family val="1"/>
      <charset val="1"/>
    </font>
    <font>
      <sz val="10"/>
      <name val="Arial CE"/>
      <family val="2"/>
      <charset val="238"/>
    </font>
    <font>
      <sz val="12"/>
      <name val="NewCenturySchlbk"/>
      <family val="1"/>
      <charset val="1"/>
    </font>
    <font>
      <sz val="9"/>
      <name val="굴림체"/>
      <family val="3"/>
      <charset val="129"/>
    </font>
    <font>
      <b val="true"/>
      <u val="singl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9"/>
      <color rgb="FF3366FF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24"/>
      <color rgb="FFFFFFFF"/>
      <name val="Lucida Console"/>
      <family val="3"/>
      <charset val="1"/>
    </font>
    <font>
      <b val="true"/>
      <sz val="8"/>
      <color rgb="FF000000"/>
      <name val="Arial"/>
      <family val="2"/>
      <charset val="1"/>
    </font>
    <font>
      <b val="true"/>
      <sz val="7"/>
      <name val="Arial"/>
      <family val="2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24"/>
      <color rgb="FF000000"/>
      <name val="Arial"/>
      <family val="2"/>
      <charset val="1"/>
    </font>
    <font>
      <sz val="14"/>
      <color rgb="FFFFFFFF"/>
      <name val="Arial"/>
      <family val="2"/>
      <charset val="1"/>
    </font>
    <font>
      <u val="double"/>
      <sz val="8"/>
      <color rgb="FF000000"/>
      <name val="Arial"/>
      <family val="2"/>
      <charset val="1"/>
    </font>
    <font>
      <sz val="12"/>
      <color rgb="FF00FF00"/>
      <name val="Arial"/>
      <family val="2"/>
      <charset val="1"/>
    </font>
    <font>
      <sz val="8"/>
      <color rgb="FF0000FF"/>
      <name val="Arial"/>
      <family val="2"/>
      <charset val="1"/>
    </font>
    <font>
      <sz val="10"/>
      <color rgb="FF00FF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6"/>
      <name val="AT*Carleton"/>
      <family val="0"/>
      <charset val="2"/>
    </font>
    <font>
      <b val="true"/>
      <sz val="9"/>
      <color rgb="FFFF0000"/>
      <name val="Wingdings"/>
      <family val="0"/>
      <charset val="2"/>
    </font>
    <font>
      <sz val="8"/>
      <name val="굴림체"/>
      <family val="3"/>
      <charset val="129"/>
    </font>
    <font>
      <u val="single"/>
      <sz val="10"/>
      <color rgb="FF800080"/>
      <name val="Arial"/>
      <family val="2"/>
      <charset val="1"/>
    </font>
    <font>
      <sz val="1"/>
      <color rgb="FF000080"/>
      <name val="Courier New"/>
      <family val="3"/>
      <charset val="1"/>
    </font>
    <font>
      <u val="single"/>
      <sz val="11"/>
      <color rgb="FF800080"/>
      <name val="μ¸¿o"/>
      <family val="3"/>
      <charset val="129"/>
    </font>
    <font>
      <sz val="10"/>
      <name val="µ¸¿òÃ¼"/>
      <family val="3"/>
      <charset val="129"/>
    </font>
    <font>
      <sz val="11"/>
      <name val="µ¸¿ò"/>
      <family val="3"/>
      <charset val="1"/>
    </font>
    <font>
      <sz val="10"/>
      <name val="¹ÙÅÁÃ¼"/>
      <family val="3"/>
      <charset val="129"/>
    </font>
    <font>
      <sz val="12"/>
      <name val="±¼¸²Ã¼"/>
      <family val="3"/>
      <charset val="129"/>
    </font>
    <font>
      <sz val="11"/>
      <name val="µ¸¿ò"/>
      <family val="3"/>
      <charset val="129"/>
    </font>
    <font>
      <sz val="10"/>
      <name val="±¼¸²Ã¼"/>
      <family val="3"/>
      <charset val="129"/>
    </font>
    <font>
      <sz val="12"/>
      <name val="µ¸¿òÃ¼"/>
      <family val="3"/>
      <charset val="129"/>
    </font>
    <font>
      <sz val="12"/>
      <name val="–¾’©"/>
      <family val="3"/>
      <charset val="129"/>
    </font>
    <font>
      <sz val="10"/>
      <name val="‚l‚r ƒSƒVƒbƒN"/>
      <family val="3"/>
      <charset val="1"/>
    </font>
    <font>
      <sz val="10"/>
      <name val="Arial Narrow"/>
      <family val="2"/>
      <charset val="1"/>
    </font>
    <font>
      <u val="single"/>
      <sz val="9"/>
      <color rgb="FF0000FF"/>
      <name val="Arial"/>
      <family val="2"/>
      <charset val="1"/>
    </font>
    <font>
      <sz val="12"/>
      <name val="宋体"/>
      <family val="3"/>
      <charset val="129"/>
    </font>
    <font>
      <sz val="12"/>
      <name val="新細明體"/>
      <family val="1"/>
      <charset val="1"/>
    </font>
    <font>
      <sz val="12"/>
      <name val="新細明體"/>
      <family val="1"/>
      <charset val="136"/>
    </font>
    <font>
      <sz val="11"/>
      <name val="바탕체"/>
      <family val="1"/>
      <charset val="129"/>
    </font>
    <font>
      <sz val="10"/>
      <name val="PragmaticaCTT"/>
      <family val="1"/>
      <charset val="1"/>
    </font>
    <font>
      <sz val="12"/>
      <name val="宋体"/>
      <family val="3"/>
    </font>
    <font>
      <sz val="14"/>
      <name val="ＭＳ 明朝"/>
      <family val="3"/>
    </font>
    <font>
      <u val="single"/>
      <sz val="9"/>
      <color rgb="FF800080"/>
      <name val="Arial"/>
      <family val="2"/>
      <charset val="1"/>
    </font>
    <font>
      <sz val="11"/>
      <color rgb="FFFF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 val="true"/>
      <sz val="11"/>
      <color rgb="FFFF9900"/>
      <name val="맑은 고딕"/>
      <family val="3"/>
      <charset val="129"/>
    </font>
    <font>
      <b val="true"/>
      <sz val="11"/>
      <color rgb="FFFA7D00"/>
      <name val="맑은 고딕"/>
      <family val="3"/>
      <charset val="129"/>
    </font>
    <font>
      <b val="true"/>
      <sz val="10"/>
      <color rgb="FFFA7D00"/>
      <name val="맑은 고딕"/>
      <family val="3"/>
      <charset val="129"/>
    </font>
    <font>
      <b val="true"/>
      <sz val="11"/>
      <color rgb="FFFA7D00"/>
      <name val="맑은 고딕"/>
      <family val="2"/>
      <charset val="129"/>
    </font>
    <font>
      <b val="true"/>
      <sz val="10"/>
      <color rgb="FFFF9900"/>
      <name val="맑은 고딕"/>
      <family val="3"/>
      <charset val="129"/>
    </font>
    <font>
      <sz val="12"/>
      <color rgb="FF9999FF"/>
      <name val="바탕체"/>
      <family val="1"/>
      <charset val="129"/>
    </font>
    <font>
      <b val="true"/>
      <sz val="18"/>
      <color rgb="FF9999FF"/>
      <name val="바탕체"/>
      <family val="1"/>
      <charset val="129"/>
    </font>
    <font>
      <sz val="18"/>
      <color rgb="FF9999FF"/>
      <name val="바탕체"/>
      <family val="1"/>
      <charset val="129"/>
    </font>
    <font>
      <b val="true"/>
      <sz val="15"/>
      <color rgb="FF9999FF"/>
      <name val="바탕체"/>
      <family val="1"/>
      <charset val="129"/>
    </font>
    <font>
      <sz val="8"/>
      <color rgb="FF9999FF"/>
      <name val="바탕체"/>
      <family val="1"/>
      <charset val="129"/>
    </font>
    <font>
      <u val="single"/>
      <sz val="11"/>
      <color rgb="FF0000FF"/>
      <name val="굃굍 굊긕긘긞긏"/>
      <family val="3"/>
      <charset val="129"/>
    </font>
    <font>
      <sz val="10"/>
      <name val="돋움"/>
      <family val="3"/>
      <charset val="129"/>
    </font>
    <font>
      <sz val="11"/>
      <color rgb="FF800080"/>
      <name val="맑은 고딕"/>
      <family val="3"/>
      <charset val="129"/>
    </font>
    <font>
      <sz val="11"/>
      <color rgb="FF9C0006"/>
      <name val="맑은 고딕"/>
      <family val="3"/>
      <charset val="129"/>
    </font>
    <font>
      <sz val="11"/>
      <color rgb="FF9C0006"/>
      <name val="맑은 고딕"/>
      <family val="2"/>
      <charset val="129"/>
    </font>
    <font>
      <sz val="10"/>
      <color rgb="FF800080"/>
      <name val="맑은 고딕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sz val="11"/>
      <name val="바탕"/>
      <family val="1"/>
      <charset val="129"/>
    </font>
    <font>
      <sz val="11"/>
      <name val="HY헤드라인M"/>
      <family val="1"/>
      <charset val="129"/>
    </font>
    <font>
      <b val="true"/>
      <i val="true"/>
      <sz val="11"/>
      <name val="Arial"/>
      <family val="2"/>
      <charset val="1"/>
    </font>
    <font>
      <u val="single"/>
      <sz val="11"/>
      <color rgb="FF800080"/>
      <name val="돋움"/>
      <family val="3"/>
      <charset val="129"/>
    </font>
    <font>
      <sz val="14"/>
      <name val="뼞?￠RERER¡ERER￠RER￠RE?I"/>
      <family val="1"/>
      <charset val="129"/>
    </font>
    <font>
      <b val="true"/>
      <sz val="11"/>
      <name val="돋움"/>
      <family val="3"/>
      <charset val="129"/>
    </font>
    <font>
      <sz val="10"/>
      <name val="궁서"/>
      <family val="1"/>
      <charset val="129"/>
    </font>
    <font>
      <sz val="11"/>
      <color theme="1"/>
      <name val="돋움"/>
      <family val="3"/>
      <charset val="129"/>
    </font>
    <font>
      <sz val="10"/>
      <color theme="1"/>
      <name val="Calibri"/>
      <family val="2"/>
      <charset val="1"/>
    </font>
    <font>
      <sz val="10"/>
      <color theme="1"/>
      <name val="Calibri"/>
      <family val="2"/>
      <charset val="129"/>
    </font>
    <font>
      <sz val="11"/>
      <name val="Arial"/>
      <family val="2"/>
      <charset val="1"/>
    </font>
    <font>
      <sz val="10"/>
      <name val="바탕"/>
      <family val="1"/>
      <charset val="129"/>
    </font>
    <font>
      <sz val="11"/>
      <color rgb="FF993300"/>
      <name val="맑은 고딕"/>
      <family val="3"/>
      <charset val="129"/>
    </font>
    <font>
      <sz val="11"/>
      <color rgb="FF9C6500"/>
      <name val="맑은 고딕"/>
      <family val="3"/>
      <charset val="129"/>
    </font>
    <font>
      <sz val="10"/>
      <color rgb="FF9C6500"/>
      <name val="맑은 고딕"/>
      <family val="3"/>
      <charset val="129"/>
    </font>
    <font>
      <sz val="11"/>
      <color rgb="FF9C6500"/>
      <name val="맑은 고딕"/>
      <family val="2"/>
      <charset val="129"/>
    </font>
    <font>
      <sz val="10"/>
      <color rgb="FF993300"/>
      <name val="맑은 고딕"/>
      <family val="3"/>
      <charset val="129"/>
    </font>
    <font>
      <sz val="12"/>
      <name val="뼻뮝"/>
      <family val="1"/>
      <charset val="129"/>
    </font>
    <font>
      <b val="true"/>
      <sz val="10"/>
      <name val="굴림"/>
      <family val="3"/>
      <charset val="129"/>
    </font>
    <font>
      <sz val="10"/>
      <name val="돋움체"/>
      <family val="3"/>
      <charset val="129"/>
    </font>
    <font>
      <b val="true"/>
      <sz val="10"/>
      <name val="바탕체"/>
      <family val="1"/>
      <charset val="129"/>
    </font>
    <font>
      <b val="true"/>
      <sz val="18"/>
      <name val="바탕체"/>
      <family val="1"/>
      <charset val="129"/>
    </font>
    <font>
      <i val="true"/>
      <sz val="11"/>
      <color rgb="FF808080"/>
      <name val="맑은 고딕"/>
      <family val="3"/>
      <charset val="129"/>
    </font>
    <font>
      <i val="true"/>
      <sz val="11"/>
      <color rgb="FF7F7F7F"/>
      <name val="맑은 고딕"/>
      <family val="3"/>
      <charset val="129"/>
    </font>
    <font>
      <i val="true"/>
      <sz val="10"/>
      <color rgb="FF7F7F7F"/>
      <name val="맑은 고딕"/>
      <family val="3"/>
      <charset val="129"/>
    </font>
    <font>
      <i val="true"/>
      <sz val="11"/>
      <color rgb="FF7F7F7F"/>
      <name val="맑은 고딕"/>
      <family val="2"/>
      <charset val="129"/>
    </font>
    <font>
      <i val="true"/>
      <sz val="10"/>
      <color rgb="FF808080"/>
      <name val="맑은 고딕"/>
      <family val="3"/>
      <charset val="129"/>
    </font>
    <font>
      <b val="true"/>
      <sz val="11"/>
      <color rgb="FFFFFFFF"/>
      <name val="맑은 고딕"/>
      <family val="3"/>
      <charset val="129"/>
    </font>
    <font>
      <b val="true"/>
      <sz val="11"/>
      <color theme="0"/>
      <name val="맑은 고딕"/>
      <family val="3"/>
      <charset val="129"/>
    </font>
    <font>
      <b val="true"/>
      <sz val="10"/>
      <color theme="0"/>
      <name val="맑은 고딕"/>
      <family val="3"/>
      <charset val="129"/>
    </font>
    <font>
      <b val="true"/>
      <sz val="11"/>
      <color theme="0"/>
      <name val="맑은 고딕"/>
      <family val="2"/>
      <charset val="129"/>
    </font>
    <font>
      <b val="true"/>
      <sz val="10"/>
      <color rgb="FFFFFFFF"/>
      <name val="맑은 고딕"/>
      <family val="3"/>
      <charset val="129"/>
    </font>
    <font>
      <sz val="9"/>
      <name val="굴림"/>
      <family val="3"/>
      <charset val="129"/>
    </font>
    <font>
      <b val="true"/>
      <u val="single"/>
      <sz val="14"/>
      <name val="Arial"/>
      <family val="2"/>
      <charset val="1"/>
    </font>
    <font>
      <b val="true"/>
      <sz val="12"/>
      <color rgb="FF800000"/>
      <name val="굴림체"/>
      <family val="3"/>
      <charset val="129"/>
    </font>
    <font>
      <b val="true"/>
      <i val="true"/>
      <sz val="10"/>
      <name val="Arial"/>
      <family val="2"/>
      <charset val="1"/>
    </font>
    <font>
      <sz val="9"/>
      <color rgb="FF000000"/>
      <name val="굴림체"/>
      <family val="3"/>
      <charset val="129"/>
    </font>
    <font>
      <sz val="10"/>
      <name val="명조"/>
      <family val="3"/>
      <charset val="129"/>
    </font>
    <font>
      <sz val="11"/>
      <color rgb="FFFF9900"/>
      <name val="맑은 고딕"/>
      <family val="3"/>
      <charset val="129"/>
    </font>
    <font>
      <sz val="11"/>
      <color rgb="FFFA7D00"/>
      <name val="맑은 고딕"/>
      <family val="3"/>
      <charset val="129"/>
    </font>
    <font>
      <sz val="10"/>
      <color rgb="FFFA7D00"/>
      <name val="맑은 고딕"/>
      <family val="3"/>
      <charset val="129"/>
    </font>
    <font>
      <sz val="11"/>
      <color rgb="FFFA7D00"/>
      <name val="맑은 고딕"/>
      <family val="2"/>
      <charset val="129"/>
    </font>
    <font>
      <sz val="10"/>
      <color rgb="FFFF9900"/>
      <name val="맑은 고딕"/>
      <family val="3"/>
      <charset val="129"/>
    </font>
    <font>
      <u val="single"/>
      <sz val="9"/>
      <color rgb="FF800080"/>
      <name val="바탕체"/>
      <family val="1"/>
      <charset val="129"/>
    </font>
    <font>
      <b val="true"/>
      <sz val="11"/>
      <color rgb="FF000000"/>
      <name val="맑은 고딕"/>
      <family val="3"/>
      <charset val="129"/>
    </font>
    <font>
      <b val="true"/>
      <sz val="11"/>
      <color theme="1"/>
      <name val="맑은 고딕"/>
      <family val="3"/>
      <charset val="129"/>
    </font>
    <font>
      <b val="true"/>
      <sz val="10"/>
      <color theme="1"/>
      <name val="맑은 고딕"/>
      <family val="3"/>
      <charset val="129"/>
    </font>
    <font>
      <b val="true"/>
      <sz val="11"/>
      <color theme="1"/>
      <name val="맑은 고딕"/>
      <family val="2"/>
      <charset val="129"/>
    </font>
    <font>
      <b val="true"/>
      <sz val="10"/>
      <color rgb="FF000000"/>
      <name val="맑은 고딕"/>
      <family val="3"/>
      <charset val="129"/>
    </font>
    <font>
      <b val="true"/>
      <i val="true"/>
      <sz val="12"/>
      <name val="돋움체"/>
      <family val="3"/>
      <charset val="129"/>
    </font>
    <font>
      <sz val="11"/>
      <color rgb="FF333399"/>
      <name val="맑은 고딕"/>
      <family val="3"/>
      <charset val="129"/>
    </font>
    <font>
      <sz val="11"/>
      <color rgb="FF3F3F76"/>
      <name val="맑은 고딕"/>
      <family val="3"/>
      <charset val="129"/>
    </font>
    <font>
      <sz val="10"/>
      <color rgb="FF3F3F76"/>
      <name val="맑은 고딕"/>
      <family val="3"/>
      <charset val="129"/>
    </font>
    <font>
      <sz val="11"/>
      <color rgb="FF3F3F76"/>
      <name val="맑은 고딕"/>
      <family val="2"/>
      <charset val="129"/>
    </font>
    <font>
      <sz val="10"/>
      <color rgb="FF333399"/>
      <name val="맑은 고딕"/>
      <family val="3"/>
      <charset val="129"/>
    </font>
    <font>
      <b val="true"/>
      <sz val="15"/>
      <color rgb="FF003366"/>
      <name val="맑은 고딕"/>
      <family val="3"/>
      <charset val="129"/>
    </font>
    <font>
      <b val="true"/>
      <sz val="15"/>
      <color theme="3"/>
      <name val="맑은 고딕"/>
      <family val="3"/>
      <charset val="129"/>
    </font>
    <font>
      <b val="true"/>
      <sz val="15"/>
      <color theme="3"/>
      <name val="맑은 고딕"/>
      <family val="2"/>
      <charset val="129"/>
    </font>
    <font>
      <b val="true"/>
      <sz val="18"/>
      <color rgb="FF003366"/>
      <name val="맑은 고딕"/>
      <family val="3"/>
      <charset val="129"/>
    </font>
    <font>
      <b val="true"/>
      <sz val="18"/>
      <color theme="3"/>
      <name val="맑은 고딕"/>
      <family val="3"/>
      <charset val="129"/>
    </font>
    <font>
      <b val="true"/>
      <sz val="13"/>
      <color rgb="FF003366"/>
      <name val="맑은 고딕"/>
      <family val="3"/>
      <charset val="129"/>
    </font>
    <font>
      <b val="true"/>
      <sz val="13"/>
      <color theme="3"/>
      <name val="맑은 고딕"/>
      <family val="3"/>
      <charset val="129"/>
    </font>
    <font>
      <b val="true"/>
      <sz val="13"/>
      <color theme="3"/>
      <name val="맑은 고딕"/>
      <family val="2"/>
      <charset val="129"/>
    </font>
    <font>
      <b val="true"/>
      <sz val="11"/>
      <color rgb="FF003366"/>
      <name val="맑은 고딕"/>
      <family val="3"/>
      <charset val="129"/>
    </font>
    <font>
      <b val="true"/>
      <sz val="11"/>
      <color theme="3"/>
      <name val="맑은 고딕"/>
      <family val="3"/>
      <charset val="129"/>
    </font>
    <font>
      <b val="true"/>
      <sz val="11"/>
      <color theme="3"/>
      <name val="맑은 고딕"/>
      <family val="2"/>
      <charset val="129"/>
    </font>
    <font>
      <b val="true"/>
      <sz val="18"/>
      <color theme="3"/>
      <name val="맑은 고딕"/>
      <family val="2"/>
      <charset val="129"/>
    </font>
    <font>
      <b val="true"/>
      <i val="true"/>
      <u val="double"/>
      <sz val="14"/>
      <name val="돋움체"/>
      <family val="3"/>
      <charset val="129"/>
    </font>
    <font>
      <sz val="11"/>
      <color rgb="FF0080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0"/>
      <color rgb="FF006100"/>
      <name val="맑은 고딕"/>
      <family val="3"/>
      <charset val="129"/>
    </font>
    <font>
      <sz val="11"/>
      <color rgb="FF006100"/>
      <name val="맑은 고딕"/>
      <family val="2"/>
      <charset val="129"/>
    </font>
    <font>
      <sz val="10"/>
      <color rgb="FF008000"/>
      <name val="맑은 고딕"/>
      <family val="3"/>
      <charset val="129"/>
    </font>
    <font>
      <i val="true"/>
      <u val="single"/>
      <sz val="10"/>
      <color rgb="FFFF0000"/>
      <name val="Arial"/>
      <family val="2"/>
      <charset val="1"/>
    </font>
    <font>
      <b val="true"/>
      <sz val="11"/>
      <color rgb="FF333333"/>
      <name val="맑은 고딕"/>
      <family val="3"/>
      <charset val="129"/>
    </font>
    <font>
      <b val="true"/>
      <sz val="11"/>
      <color rgb="FF3F3F3F"/>
      <name val="맑은 고딕"/>
      <family val="3"/>
      <charset val="129"/>
    </font>
    <font>
      <b val="true"/>
      <sz val="10"/>
      <color rgb="FF3F3F3F"/>
      <name val="맑은 고딕"/>
      <family val="3"/>
      <charset val="129"/>
    </font>
    <font>
      <b val="true"/>
      <sz val="11"/>
      <color rgb="FF3F3F3F"/>
      <name val="맑은 고딕"/>
      <family val="2"/>
      <charset val="129"/>
    </font>
    <font>
      <b val="true"/>
      <sz val="10"/>
      <color rgb="FF333333"/>
      <name val="맑은 고딕"/>
      <family val="3"/>
      <charset val="129"/>
    </font>
    <font>
      <u val="single"/>
      <sz val="10"/>
      <color rgb="FF0000FF"/>
      <name val="Courier New"/>
      <family val="3"/>
      <charset val="1"/>
    </font>
    <font>
      <sz val="10"/>
      <name val="QBJ-명조10pt"/>
      <family val="3"/>
      <charset val="129"/>
    </font>
    <font>
      <sz val="10"/>
      <name val="맑은 고딕"/>
      <family val="2"/>
      <charset val="1"/>
    </font>
    <font>
      <sz val="11"/>
      <name val="맑은 고딕"/>
      <family val="3"/>
      <charset val="129"/>
    </font>
    <font>
      <sz val="12"/>
      <name val="굴림"/>
      <family val="3"/>
      <charset val="129"/>
    </font>
    <font>
      <sz val="8"/>
      <name val="굴림"/>
      <family val="3"/>
      <charset val="129"/>
    </font>
    <font>
      <u val="single"/>
      <sz val="11"/>
      <color theme="10"/>
      <name val="맑은 고딕"/>
      <family val="3"/>
      <charset val="129"/>
    </font>
    <font>
      <u val="single"/>
      <sz val="9"/>
      <color theme="10"/>
      <name val="Arial"/>
      <family val="2"/>
      <charset val="1"/>
    </font>
    <font>
      <sz val="14"/>
      <name val="바탕체"/>
      <family val="1"/>
      <charset val="129"/>
    </font>
    <font>
      <sz val="10"/>
      <name val="掉葡羹"/>
      <family val="3"/>
      <charset val="129"/>
    </font>
    <font>
      <sz val="12"/>
      <name val="ｱｼｸｲﾃｼ"/>
      <family val="3"/>
      <charset val="1"/>
    </font>
    <font>
      <sz val="10"/>
      <name val="맑은 고딕"/>
      <family val="3"/>
      <charset val="129"/>
    </font>
    <font>
      <b val="true"/>
      <sz val="10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i val="true"/>
      <sz val="10"/>
      <name val="맑은 고딕"/>
      <family val="3"/>
      <charset val="129"/>
    </font>
    <font>
      <i val="true"/>
      <sz val="10"/>
      <name val="맑은 고딕"/>
      <family val="3"/>
      <charset val="129"/>
    </font>
    <font>
      <i val="true"/>
      <sz val="10"/>
      <color theme="1"/>
      <name val="맑은 고딕"/>
      <family val="3"/>
      <charset val="129"/>
    </font>
    <font>
      <sz val="10"/>
      <color theme="1"/>
      <name val="WenQuanYi Zen Hei"/>
      <family val="2"/>
    </font>
    <font>
      <sz val="10"/>
      <color rgb="FFFF0000"/>
      <name val="WenQuanYi Zen Hei"/>
      <family val="2"/>
    </font>
    <font>
      <sz val="10"/>
      <name val="Arial"/>
      <family val="2"/>
    </font>
    <font>
      <b val="true"/>
      <sz val="13"/>
      <name val="WenQuanYi Zen Hei"/>
      <family val="2"/>
    </font>
    <font>
      <b val="true"/>
      <sz val="13"/>
      <name val="맑은 고딕"/>
      <family val="0"/>
      <charset val="1"/>
    </font>
    <font>
      <sz val="10"/>
      <name val="맑은 고딕"/>
      <family val="0"/>
      <charset val="1"/>
    </font>
    <font>
      <b val="true"/>
      <sz val="10"/>
      <name val="맑은 고딕"/>
      <family val="2"/>
      <charset val="1"/>
    </font>
    <font>
      <sz val="10"/>
      <color rgb="FFFF0000"/>
      <name val="맑은 고딕"/>
      <family val="2"/>
      <charset val="1"/>
    </font>
    <font>
      <sz val="11"/>
      <color theme="1" tint="0.15"/>
      <name val="맑은 고딕"/>
      <family val="2"/>
      <charset val="129"/>
    </font>
    <font>
      <sz val="11"/>
      <name val="맑은 고딕"/>
      <family val="2"/>
      <charset val="129"/>
    </font>
    <font>
      <b val="true"/>
      <sz val="13"/>
      <name val="Arial Narrow"/>
      <family val="2"/>
      <charset val="1"/>
    </font>
    <font>
      <b val="true"/>
      <sz val="13"/>
      <color theme="1"/>
      <name val="Arial Narrow"/>
      <family val="2"/>
      <charset val="1"/>
    </font>
    <font>
      <sz val="10"/>
      <color theme="1"/>
      <name val="Arial Narrow"/>
      <family val="2"/>
      <charset val="1"/>
    </font>
    <font>
      <sz val="10"/>
      <color rgb="FFFF0000"/>
      <name val="Arial Narrow"/>
      <family val="2"/>
      <charset val="1"/>
    </font>
    <font>
      <sz val="8"/>
      <name val="Arial Narrow"/>
      <family val="2"/>
      <charset val="1"/>
    </font>
    <font>
      <sz val="8"/>
      <name val="WenQuanYi Zen Hei"/>
      <family val="2"/>
    </font>
    <font>
      <sz val="8"/>
      <color theme="1"/>
      <name val="Arial Narrow"/>
      <family val="2"/>
      <charset val="1"/>
    </font>
    <font>
      <sz val="8"/>
      <color theme="1"/>
      <name val="WenQuanYi Zen Hei"/>
      <family val="2"/>
    </font>
    <font>
      <sz val="11"/>
      <color theme="1"/>
      <name val="WenQuanYi Zen Hei"/>
      <family val="2"/>
    </font>
    <font>
      <sz val="8"/>
      <color theme="1"/>
      <name val="Calibri"/>
      <family val="3"/>
      <charset val="129"/>
    </font>
    <font>
      <sz val="11.5"/>
      <name val="Arial Narrow"/>
      <family val="2"/>
      <charset val="1"/>
    </font>
    <font>
      <b val="true"/>
      <sz val="11.5"/>
      <name val="Arial Narrow"/>
      <family val="2"/>
      <charset val="1"/>
    </font>
    <font>
      <b val="true"/>
      <sz val="11.5"/>
      <name val="WenQuanYi Zen Hei"/>
      <family val="2"/>
    </font>
    <font>
      <sz val="11.5"/>
      <name val="WenQuanYi Zen Hei"/>
      <family val="2"/>
    </font>
    <font>
      <sz val="10"/>
      <name val="Calibri"/>
      <family val="3"/>
      <charset val="129"/>
    </font>
    <font>
      <b val="true"/>
      <sz val="18"/>
      <name val="WenQuanYi Zen Hei"/>
      <family val="2"/>
    </font>
    <font>
      <b val="true"/>
      <sz val="18"/>
      <name val="Calibri"/>
      <family val="3"/>
      <charset val="129"/>
    </font>
    <font>
      <b val="true"/>
      <sz val="10"/>
      <name val="Calibri"/>
      <family val="3"/>
      <charset val="129"/>
    </font>
    <font>
      <b val="true"/>
      <sz val="11"/>
      <name val="Calibri"/>
      <family val="3"/>
      <charset val="129"/>
    </font>
    <font>
      <b val="true"/>
      <sz val="11"/>
      <color rgb="FFFFFFFF"/>
      <name val="WenQuanYi Zen Hei"/>
      <family val="2"/>
    </font>
    <font>
      <b val="true"/>
      <sz val="11"/>
      <color rgb="FFFFFFFF"/>
      <name val="Calibri"/>
      <family val="3"/>
      <charset val="129"/>
    </font>
    <font>
      <b val="true"/>
      <sz val="11"/>
      <name val="WenQuanYi Zen Hei"/>
      <family val="2"/>
    </font>
    <font>
      <b val="true"/>
      <sz val="10"/>
      <name val="Cambria"/>
      <family val="3"/>
      <charset val="129"/>
    </font>
    <font>
      <sz val="11"/>
      <name val="Calibri"/>
      <family val="3"/>
      <charset val="129"/>
    </font>
    <font>
      <sz val="10"/>
      <name val="Cambria"/>
      <family val="3"/>
      <charset val="129"/>
    </font>
    <font>
      <sz val="11"/>
      <name val="WenQuanYi Zen Hei"/>
      <family val="2"/>
    </font>
    <font>
      <b val="true"/>
      <sz val="10"/>
      <name val="Cambria"/>
      <family val="1"/>
      <charset val="1"/>
    </font>
    <font>
      <b val="true"/>
      <sz val="11"/>
      <name val="Calibri"/>
      <family val="2"/>
      <charset val="1"/>
    </font>
    <font>
      <sz val="12"/>
      <name val="Arial Narrow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1"/>
      <name val="WenQuanYi Zen Hei"/>
      <family val="2"/>
    </font>
    <font>
      <b val="true"/>
      <sz val="12"/>
      <color theme="1"/>
      <name val="WenQuanYi Zen Hei"/>
      <family val="2"/>
    </font>
    <font>
      <sz val="12"/>
      <name val="Calibri"/>
      <family val="2"/>
      <charset val="1"/>
    </font>
    <font>
      <sz val="12"/>
      <name val="WenQuanYi Zen Hei"/>
      <family val="2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29"/>
    </font>
    <font>
      <sz val="8"/>
      <color theme="1"/>
      <name val="Calibri"/>
      <family val="2"/>
      <charset val="129"/>
    </font>
    <font>
      <sz val="10"/>
      <name val="Calibri"/>
      <family val="2"/>
      <charset val="1"/>
    </font>
    <font>
      <sz val="12"/>
      <color theme="1"/>
      <name val="Calibri"/>
      <family val="2"/>
      <charset val="129"/>
    </font>
    <font>
      <sz val="11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10"/>
      <color rgb="FFFF0000"/>
      <name val="맑은 고딕"/>
      <family val="3"/>
      <charset val="129"/>
    </font>
    <font>
      <i val="true"/>
      <sz val="10"/>
      <name val="WenQuanYi Zen Hei"/>
      <family val="2"/>
    </font>
  </fonts>
  <fills count="20">
    <fill>
      <patternFill patternType="none"/>
    </fill>
    <fill>
      <patternFill patternType="gray125"/>
    </fill>
    <fill>
      <patternFill patternType="solid">
        <fgColor rgb="FFC0C0C0"/>
        <bgColor rgb="FFCCC1DA"/>
      </patternFill>
    </fill>
    <fill>
      <patternFill patternType="solid">
        <fgColor rgb="FFCCFFFF"/>
        <bgColor rgb="FFDBEEF4"/>
      </patternFill>
    </fill>
    <fill>
      <patternFill patternType="solid">
        <fgColor theme="4" tint="0.7999"/>
        <bgColor rgb="FFDBEEF4"/>
      </patternFill>
    </fill>
    <fill>
      <patternFill patternType="solid">
        <fgColor rgb="FFFFFF00"/>
        <bgColor rgb="FFFFCB00"/>
      </patternFill>
    </fill>
    <fill>
      <patternFill patternType="mediumGray">
        <fgColor rgb="FF34CACC"/>
        <bgColor rgb="FF339966"/>
      </patternFill>
    </fill>
    <fill>
      <patternFill patternType="solid">
        <fgColor theme="0" tint="-0.25"/>
        <bgColor rgb="FFCCC1DA"/>
      </patternFill>
    </fill>
    <fill>
      <patternFill patternType="darkGray">
        <fgColor theme="2"/>
        <bgColor rgb="FFF2F2F2"/>
      </patternFill>
    </fill>
    <fill>
      <patternFill patternType="darkGray">
        <fgColor rgb="FFDBEEF4"/>
        <bgColor rgb="FFDCE6F2"/>
      </patternFill>
    </fill>
    <fill>
      <patternFill patternType="solid">
        <fgColor rgb="FFCCFFCC"/>
        <bgColor rgb="FFCCFFFF"/>
      </patternFill>
    </fill>
    <fill>
      <patternFill patternType="darkGray">
        <fgColor theme="0" tint="-0.15"/>
        <bgColor rgb="FFDCE6F2"/>
      </patternFill>
    </fill>
    <fill>
      <patternFill patternType="mediumGray">
        <fgColor theme="3" tint="0.7999"/>
        <bgColor rgb="FFB9CDE5"/>
      </patternFill>
    </fill>
    <fill>
      <patternFill patternType="darkGray">
        <fgColor rgb="FFFFCB00"/>
        <bgColor rgb="FFFF9900"/>
      </patternFill>
    </fill>
    <fill>
      <patternFill patternType="solid">
        <fgColor theme="5" tint="0.7999"/>
        <bgColor rgb="FFE6E0EC"/>
      </patternFill>
    </fill>
    <fill>
      <patternFill patternType="darkGray">
        <fgColor theme="3" tint="0.8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rgb="FF00B0F0"/>
        <bgColor rgb="FF00CCFF"/>
      </patternFill>
    </fill>
    <fill>
      <patternFill patternType="darkGray">
        <fgColor rgb="FF9AC42F"/>
        <bgColor rgb="FFC0C0C0"/>
      </patternFill>
    </fill>
    <fill>
      <patternFill patternType="solid">
        <fgColor theme="0"/>
        <bgColor rgb="FFF2F2F2"/>
      </patternFill>
    </fill>
  </fills>
  <borders count="6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/>
      <top style="double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double"/>
      <bottom style="medium"/>
      <diagonal/>
    </border>
    <border diagonalUp="false" diagonalDown="false">
      <left style="thin"/>
      <right style="thin"/>
      <top style="double"/>
      <bottom style="medium"/>
      <diagonal/>
    </border>
    <border diagonalUp="false" diagonalDown="false">
      <left style="thin"/>
      <right/>
      <top style="double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ouble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155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0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11" fillId="0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9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6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58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5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5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164" fontId="298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359" fontId="14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14" fillId="0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7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359" fontId="14" fillId="0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268" fontId="302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300" fillId="2" borderId="10" xfId="0" applyFont="true" applyBorder="true" applyAlignment="true" applyProtection="false">
      <alignment horizontal="distributed" vertical="top" textRotation="0" wrapText="true" indent="0" shrinkToFit="false"/>
      <protection locked="true" hidden="false"/>
    </xf>
    <xf numFmtId="164" fontId="301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2" borderId="1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2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2" borderId="14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300" fillId="0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1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98" fillId="0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98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0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5" fillId="0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4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5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60" fontId="304" fillId="3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360" fontId="305" fillId="0" borderId="14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359" fontId="298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298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0" fillId="0" borderId="18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60" fontId="305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0" fillId="0" borderId="15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distributed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60" fontId="304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9" fontId="301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9" fontId="298" fillId="0" borderId="14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360" fontId="305" fillId="0" borderId="14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300" fillId="0" borderId="20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61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40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1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61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62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0" fontId="30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58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01" fillId="2" borderId="2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60" fontId="304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1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9" fontId="300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0" fillId="2" borderId="2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0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60" fontId="304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0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8" fontId="18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99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0" fillId="7" borderId="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7" borderId="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301" fillId="8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298" fillId="8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298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9" fontId="298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3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3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8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189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40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8" fontId="301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98" fillId="0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2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70" fontId="298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70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14" fillId="0" borderId="28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40" fontId="14" fillId="0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99" fontId="14" fillId="5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0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3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3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3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299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359" fontId="3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359" fontId="30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63" fontId="313" fillId="2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358" fontId="313" fillId="2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358" fontId="313" fillId="2" borderId="3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358" fontId="313" fillId="2" borderId="3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358" fontId="313" fillId="2" borderId="3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358" fontId="313" fillId="10" borderId="1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358" fontId="313" fillId="1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13" fillId="10" borderId="3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00" fillId="10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13" fillId="1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358" fontId="300" fillId="1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363" fontId="289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2" fillId="0" borderId="2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02" fillId="0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3" fontId="302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2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59" fontId="303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3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58" fontId="0" fillId="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3" fontId="289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11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11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11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11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15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16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289" fillId="5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63" fontId="289" fillId="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0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4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289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0" borderId="2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0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4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63" fontId="313" fillId="2" borderId="4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13" fillId="2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13" fillId="2" borderId="4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13" fillId="2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358" fontId="0" fillId="7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32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23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32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3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4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323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1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23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23" fillId="0" borderId="5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364" fontId="3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7" fillId="1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27" fillId="1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9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7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4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4" fontId="32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8" fillId="5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7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4" fontId="327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2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1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30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3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4" fillId="0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7" fillId="17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5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0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5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42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3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43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5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5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6" fontId="34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366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15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4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0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1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1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6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4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8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5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34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7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70" fontId="35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34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4" fontId="352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70" fontId="35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4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1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5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8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7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1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2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15" fontId="34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0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15" fontId="34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00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1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00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1" fillId="8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40" fontId="3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7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7" fillId="8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0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2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1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36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72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5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7" fillId="1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5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5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4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5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31" fillId="13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1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0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19" borderId="6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6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37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19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6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6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3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66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301" fillId="19" borderId="5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2" fillId="1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4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2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3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3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362" fillId="17" borderId="2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60" fontId="304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5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2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2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301" fillId="19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59" fontId="36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189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300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1" fillId="0" borderId="5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0" borderId="5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6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6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14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2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6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6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3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64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298" fillId="19" borderId="6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3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66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5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2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4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4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4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5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2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0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0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300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0" borderId="4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4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3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3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4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40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359" fontId="298" fillId="19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359" fontId="14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0" fillId="19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359" fontId="301" fillId="19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300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1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0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0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7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8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189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254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3966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_x0001_b" xfId="20"/>
    <cellStyle name="_x0004__x0002__x0002__x0003__x0001_$_x000c_&#9;" xfId="21"/>
    <cellStyle name="_x0004__x0004__x0004_-(_x0004_ _x000c_" xfId="22"/>
    <cellStyle name="_x0004_3;_x0018_" xfId="23"/>
    <cellStyle name="_x0006_%" xfId="24"/>
    <cellStyle name="_x0007_" xfId="25"/>
    <cellStyle name="_x0007__x000b_" xfId="26"/>
    <cellStyle name="&#10;386grabber=M" xfId="27"/>
    <cellStyle name="&#10;386grabber=M 2" xfId="28"/>
    <cellStyle name="&#10;386grabber=M 2 2" xfId="29"/>
    <cellStyle name="&#10;386grabber=M 2 3" xfId="30"/>
    <cellStyle name="&#10;386grabber=M 2 4" xfId="31"/>
    <cellStyle name="&#10;386grabber=M 2 5" xfId="32"/>
    <cellStyle name="&#10;386grabber=M 3" xfId="33"/>
    <cellStyle name="&#10;386grabber=M 4" xfId="34"/>
    <cellStyle name="&#10;386grabber=M 5" xfId="35"/>
    <cellStyle name="_x0014__x0010_" xfId="36"/>
    <cellStyle name="_x001d_@" xfId="37"/>
    <cellStyle name="_x001f_?--_x0004_ _x000c_&#9;_x0003__x000b__x0001_&#10;_x000b__x0002_--_x0008__x0004__x0002__x0002__x0007__x0007__x0007__x0007__x0007__x0007__x0007__x0007__x0007__x0007__x0007__x0007__x0007__x0007__x0002_-_x0004_ _x000c_&#9;_x0003__x000b__x0001_&#10;_x000b__x0002_--_x0008__x0002_" xfId="38"/>
    <cellStyle name="_x001f_?--_x0004_ _x000c_ _x0003__x000b__x0001_&#10;_x000b__x0002_--_x0008__x0004__x0002__x0002__x0007__x0007__x0007__x0007__x0007__x0007__x0007__x0007__x0007__x0007__x0007__x0007__x0007__x0007__x0002_-_x0004_ _x000c_ _x0003__x000b__x0001_&#10;_x000b__x0002_--_x0008__x0002_" xfId="39"/>
    <cellStyle name=" " xfId="40"/>
    <cellStyle name="          &#13;&#10;386grabber=AVGA.3GR&#13;" xfId="41"/>
    <cellStyle name="          &#13;&#10;386grabber=KSVGA.3GR" xfId="42"/>
    <cellStyle name="          &#13;&#10;386grabber=vga.3gr&#13;&#10;" xfId="43"/>
    <cellStyle name="          &#13;&#10;mouse.drv=lmouse.drv" xfId="44"/>
    <cellStyle name="          &#13;&#10;shell=progman.exe&#13;&#10;m" xfId="45"/>
    <cellStyle name=" 1" xfId="46"/>
    <cellStyle name=" [0]_인원95년" xfId="47"/>
    <cellStyle name=" 물류비_실시품의준_4-1실적" xfId="48"/>
    <cellStyle name=" 허용예산.xls]3v16ictONiIe4PXBkWMyPCb5O" xfId="49"/>
    <cellStyle name=" 허용예산.xls]3v16ictONiIe4PXBkWMyPCb5O 2" xfId="50"/>
    <cellStyle name=" 허용예산.xls]3v16ictONiIe4PXBkWMyPCb5O 3" xfId="51"/>
    <cellStyle name=" 허용예산.xls]3v16ictONiIe4PXBkWMyPCb5O 4" xfId="52"/>
    <cellStyle name="#" xfId="53"/>
    <cellStyle name="#,##0" xfId="54"/>
    <cellStyle name="#,##0!" xfId="55"/>
    <cellStyle name="#,##0$" xfId="56"/>
    <cellStyle name="#,##0$!" xfId="57"/>
    <cellStyle name="#,##0$$" xfId="58"/>
    <cellStyle name="#,##0$$!" xfId="59"/>
    <cellStyle name="#,##0$$$" xfId="60"/>
    <cellStyle name="#,##0$$$!" xfId="61"/>
    <cellStyle name="#,##0$$$$" xfId="62"/>
    <cellStyle name="#,##0$$$$!" xfId="63"/>
    <cellStyle name="#,##0$$$$$" xfId="64"/>
    <cellStyle name="#,##0$$$$$!" xfId="65"/>
    <cellStyle name="#,##0$$$$$$" xfId="66"/>
    <cellStyle name="#,##0$$$$$$!" xfId="67"/>
    <cellStyle name="#,##0$$$$$$$" xfId="68"/>
    <cellStyle name="#,##0$$$$$$$!" xfId="69"/>
    <cellStyle name="#,##0$$$$$$$$" xfId="70"/>
    <cellStyle name="#,##0$$$$$$_미정리예수금 " xfId="71"/>
    <cellStyle name="#,##0$$$$$_미정리예수금 " xfId="72"/>
    <cellStyle name="#,##0.0" xfId="73"/>
    <cellStyle name="#,##0.0$" xfId="74"/>
    <cellStyle name="#,##0.0$!" xfId="75"/>
    <cellStyle name="#,##0.0$$" xfId="76"/>
    <cellStyle name="#,##0.0$$!" xfId="77"/>
    <cellStyle name="#,##0.0$$$" xfId="78"/>
    <cellStyle name="#,##0.0$$$!" xfId="79"/>
    <cellStyle name="#,##0.0$$$$" xfId="80"/>
    <cellStyle name="#,##0.0$$$$!" xfId="81"/>
    <cellStyle name="#,##0.0$$$$$" xfId="82"/>
    <cellStyle name="#,##0.0$$$$$!" xfId="83"/>
    <cellStyle name="#,##0.0$$$$$$" xfId="84"/>
    <cellStyle name="#,##0.0$$$$$$!" xfId="85"/>
    <cellStyle name="#,##0.0$$$$$$_미정리예수금 " xfId="86"/>
    <cellStyle name="#,##0.0$$$$$_종합" xfId="87"/>
    <cellStyle name="#,##0.0$$$$_미정리예수금 " xfId="88"/>
    <cellStyle name="#,##0.0$$_미정리예수금 " xfId="89"/>
    <cellStyle name="#,##0.00" xfId="90"/>
    <cellStyle name="#,##0.000" xfId="91"/>
    <cellStyle name="$" xfId="92"/>
    <cellStyle name="$_db진흥" xfId="93"/>
    <cellStyle name="$_db진흥 2" xfId="94"/>
    <cellStyle name="$_~0065204" xfId="95"/>
    <cellStyle name="$_견적2" xfId="96"/>
    <cellStyle name="$_견적2 2" xfId="97"/>
    <cellStyle name="$_기아" xfId="98"/>
    <cellStyle name="$_기아 2" xfId="99"/>
    <cellStyle name="$_인계인수자금" xfId="100"/>
    <cellStyle name="$_인계인수자금_08년 1분기 퇴직충당금 추계액" xfId="101"/>
    <cellStyle name="$_인계인수자금_퇴직충당금 추계액" xfId="102"/>
    <cellStyle name="-" xfId="103"/>
    <cellStyle name="- 2" xfId="104"/>
    <cellStyle name="- 3" xfId="105"/>
    <cellStyle name="- 4" xfId="106"/>
    <cellStyle name="-#,###" xfId="107"/>
    <cellStyle name="-#,### 2" xfId="108"/>
    <cellStyle name="-#,### 3" xfId="109"/>
    <cellStyle name="-#,### 4" xfId="110"/>
    <cellStyle name="-$_x0002_" xfId="111"/>
    <cellStyle name="-156300" xfId="112"/>
    <cellStyle name="-1실적" xfId="113"/>
    <cellStyle name="-_2기분석조서" xfId="114"/>
    <cellStyle name="-_2기분석조서 2" xfId="115"/>
    <cellStyle name="-_2기분석조서 3" xfId="116"/>
    <cellStyle name="-_2기분석조서 4" xfId="117"/>
    <cellStyle name="-_2기분석조서_C.F Form(누계)" xfId="118"/>
    <cellStyle name="-_2기분석조서_C.F Form(월별)" xfId="119"/>
    <cellStyle name="-_2기분석조서_C.F작성양식" xfId="120"/>
    <cellStyle name="-_2기분석조서_SCL2006-FS-070910" xfId="121"/>
    <cellStyle name="-_C.F Form(누계)" xfId="122"/>
    <cellStyle name="-_C.F Form(월별)" xfId="123"/>
    <cellStyle name="-_C.F작성양식" xfId="124"/>
    <cellStyle name="-_SCL2006-FS-070910" xfId="125"/>
    <cellStyle name="-_단기투자, 장기투자의 양식(회계사요청)(1)" xfId="126"/>
    <cellStyle name="-_단기투자, 장기투자의 양식(회계사요청)(1) 2" xfId="127"/>
    <cellStyle name="-_단기투자, 장기투자의 양식(회계사요청)(1) 3" xfId="128"/>
    <cellStyle name="-_단기투자, 장기투자의 양식(회계사요청)(1) 4" xfId="129"/>
    <cellStyle name="-_단기투자, 장기투자의 양식(회계사요청)(1)_99Group center-04기말-LHY" xfId="130"/>
    <cellStyle name="-_단기투자, 장기투자의 양식(회계사요청)(1)_99Group center-04기말-LHY 2" xfId="131"/>
    <cellStyle name="-_단기투자, 장기투자의 양식(회계사요청)(1)_99Group center-04기말-LHY 3" xfId="132"/>
    <cellStyle name="-_단기투자, 장기투자의 양식(회계사요청)(1)_99Group center-04기말-LHY 4" xfId="133"/>
    <cellStyle name="-_단기투자, 장기투자의 양식(회계사요청)(1)_99Group center-04중간업데이트기말-LHY" xfId="134"/>
    <cellStyle name="-_단기투자, 장기투자의 양식(회계사요청)(1)_99Group center-04중간업데이트기말-LHY 2" xfId="135"/>
    <cellStyle name="-_단기투자, 장기투자의 양식(회계사요청)(1)_99Group center-04중간업데이트기말-LHY 3" xfId="136"/>
    <cellStyle name="-_단기투자, 장기투자의 양식(회계사요청)(1)_99Group center-04중간업데이트기말-LHY 4" xfId="137"/>
    <cellStyle name="-_단기투자, 장기투자의 양식(회계사요청)(1)_99Group center-ARP04기말-LHY" xfId="138"/>
    <cellStyle name="-_단기투자, 장기투자의 양식(회계사요청)(1)_99Group center-ARP04기말-LHY 2" xfId="139"/>
    <cellStyle name="-_단기투자, 장기투자의 양식(회계사요청)(1)_99Group center-ARP04기말-LHY 3" xfId="140"/>
    <cellStyle name="-_단기투자, 장기투자의 양식(회계사요청)(1)_99Group center-ARP04기말-LHY 4" xfId="141"/>
    <cellStyle name="-_대출채권 Sampling" xfId="142"/>
    <cellStyle name="-_대출채권 Sampling 2" xfId="143"/>
    <cellStyle name="-_대출채권 Sampling 3" xfId="144"/>
    <cellStyle name="-_대출채권 Sampling 4" xfId="145"/>
    <cellStyle name="-_대출채권 Sampling_99Group center-04기말-LHY" xfId="146"/>
    <cellStyle name="-_대출채권 Sampling_99Group center-04기말-LHY 2" xfId="147"/>
    <cellStyle name="-_대출채권 Sampling_99Group center-04기말-LHY 3" xfId="148"/>
    <cellStyle name="-_대출채권 Sampling_99Group center-04기말-LHY 4" xfId="149"/>
    <cellStyle name="-_대출채권 Sampling_99Group center-04중간업데이트기말-LHY" xfId="150"/>
    <cellStyle name="-_대출채권 Sampling_99Group center-04중간업데이트기말-LHY 2" xfId="151"/>
    <cellStyle name="-_대출채권 Sampling_99Group center-04중간업데이트기말-LHY 3" xfId="152"/>
    <cellStyle name="-_대출채권 Sampling_99Group center-04중간업데이트기말-LHY 4" xfId="153"/>
    <cellStyle name="-_대출채권 Sampling_99Group center-ARP04기말-LHY" xfId="154"/>
    <cellStyle name="-_대출채권 Sampling_99Group center-ARP04기말-LHY 2" xfId="155"/>
    <cellStyle name="-_대출채권 Sampling_99Group center-ARP04기말-LHY 3" xfId="156"/>
    <cellStyle name="-_대출채권 Sampling_99Group center-ARP04기말-LHY 4" xfId="157"/>
    <cellStyle name="-_동양매직-03(LHY)" xfId="158"/>
    <cellStyle name="-_동양매직-03(LHY) 2" xfId="159"/>
    <cellStyle name="-_동양매직-03(LHY) 3" xfId="160"/>
    <cellStyle name="-_동양매직-03(LHY) 4" xfId="161"/>
    <cellStyle name="-_동양매직-03(LHY)_99Group center-04기말-LHY" xfId="162"/>
    <cellStyle name="-_동양매직-03(LHY)_99Group center-04기말-LHY 2" xfId="163"/>
    <cellStyle name="-_동양매직-03(LHY)_99Group center-04기말-LHY 3" xfId="164"/>
    <cellStyle name="-_동양매직-03(LHY)_99Group center-04기말-LHY 4" xfId="165"/>
    <cellStyle name="-_동양매직-03(LHY)_99Group center-04중간업데이트기말-LHY" xfId="166"/>
    <cellStyle name="-_동양매직-03(LHY)_99Group center-04중간업데이트기말-LHY 2" xfId="167"/>
    <cellStyle name="-_동양매직-03(LHY)_99Group center-04중간업데이트기말-LHY 3" xfId="168"/>
    <cellStyle name="-_동양매직-03(LHY)_99Group center-04중간업데이트기말-LHY 4" xfId="169"/>
    <cellStyle name="-_동양매직-03(LHY)_99Group center-ARP04기말-LHY" xfId="170"/>
    <cellStyle name="-_동양매직-03(LHY)_99Group center-ARP04기말-LHY 2" xfId="171"/>
    <cellStyle name="-_동양매직-03(LHY)_99Group center-ARP04기말-LHY 3" xfId="172"/>
    <cellStyle name="-_동양매직-03(LHY)_99Group center-ARP04기말-LHY 4" xfId="173"/>
    <cellStyle name="-_매직산업(03기말-LHY)" xfId="174"/>
    <cellStyle name="-_매직산업(03기말-LHY) 2" xfId="175"/>
    <cellStyle name="-_매직산업(03기말-LHY) 3" xfId="176"/>
    <cellStyle name="-_매직산업(03기말-LHY) 4" xfId="177"/>
    <cellStyle name="-_매직산업(03기말-LHY)_99Group center-04기말-LHY" xfId="178"/>
    <cellStyle name="-_매직산업(03기말-LHY)_99Group center-04기말-LHY 2" xfId="179"/>
    <cellStyle name="-_매직산업(03기말-LHY)_99Group center-04기말-LHY 3" xfId="180"/>
    <cellStyle name="-_매직산업(03기말-LHY)_99Group center-04기말-LHY 4" xfId="181"/>
    <cellStyle name="-_매직산업(03기말-LHY)_99Group center-04중간업데이트기말-LHY" xfId="182"/>
    <cellStyle name="-_매직산업(03기말-LHY)_99Group center-04중간업데이트기말-LHY 2" xfId="183"/>
    <cellStyle name="-_매직산업(03기말-LHY)_99Group center-04중간업데이트기말-LHY 3" xfId="184"/>
    <cellStyle name="-_매직산업(03기말-LHY)_99Group center-04중간업데이트기말-LHY 4" xfId="185"/>
    <cellStyle name="-_매직산업(03기말-LHY)_99Group center-ARP04기말-LHY" xfId="186"/>
    <cellStyle name="-_매직산업(03기말-LHY)_99Group center-ARP04기말-LHY 2" xfId="187"/>
    <cellStyle name="-_매직산업(03기말-LHY)_99Group center-ARP04기말-LHY 3" xfId="188"/>
    <cellStyle name="-_매직산업(03기말-LHY)_99Group center-ARP04기말-LHY 4" xfId="189"/>
    <cellStyle name="-_벽산페인트(03,LHY)1" xfId="190"/>
    <cellStyle name="-_벽산페인트(03,LHY)1 2" xfId="191"/>
    <cellStyle name="-_벽산페인트(03,LHY)1 3" xfId="192"/>
    <cellStyle name="-_벽산페인트(03,LHY)1 4" xfId="193"/>
    <cellStyle name="-_벽산페인트(03,LHY)1_99Group center-04기말-LHY" xfId="194"/>
    <cellStyle name="-_벽산페인트(03,LHY)1_99Group center-04기말-LHY 2" xfId="195"/>
    <cellStyle name="-_벽산페인트(03,LHY)1_99Group center-04기말-LHY 3" xfId="196"/>
    <cellStyle name="-_벽산페인트(03,LHY)1_99Group center-04기말-LHY 4" xfId="197"/>
    <cellStyle name="-_벽산페인트(03,LHY)1_99Group center-04중간업데이트기말-LHY" xfId="198"/>
    <cellStyle name="-_벽산페인트(03,LHY)1_99Group center-04중간업데이트기말-LHY 2" xfId="199"/>
    <cellStyle name="-_벽산페인트(03,LHY)1_99Group center-04중간업데이트기말-LHY 3" xfId="200"/>
    <cellStyle name="-_벽산페인트(03,LHY)1_99Group center-04중간업데이트기말-LHY 4" xfId="201"/>
    <cellStyle name="-_벽산페인트(03,LHY)1_99Group center-ARP04기말-LHY" xfId="202"/>
    <cellStyle name="-_벽산페인트(03,LHY)1_99Group center-ARP04기말-LHY 2" xfId="203"/>
    <cellStyle name="-_벽산페인트(03,LHY)1_99Group center-ARP04기말-LHY 3" xfId="204"/>
    <cellStyle name="-_벽산페인트(03,LHY)1_99Group center-ARP04기말-LHY 4" xfId="205"/>
    <cellStyle name="-_부가세차이" xfId="206"/>
    <cellStyle name="-_부가세차이 2" xfId="207"/>
    <cellStyle name="-_부가세차이 3" xfId="208"/>
    <cellStyle name="-_부가세차이 4" xfId="209"/>
    <cellStyle name="-_부가세차이_99Group center-04기말-LHY" xfId="210"/>
    <cellStyle name="-_부가세차이_99Group center-04기말-LHY 2" xfId="211"/>
    <cellStyle name="-_부가세차이_99Group center-04기말-LHY 3" xfId="212"/>
    <cellStyle name="-_부가세차이_99Group center-04기말-LHY 4" xfId="213"/>
    <cellStyle name="-_부가세차이_99Group center-04중간업데이트기말-LHY" xfId="214"/>
    <cellStyle name="-_부가세차이_99Group center-04중간업데이트기말-LHY 2" xfId="215"/>
    <cellStyle name="-_부가세차이_99Group center-04중간업데이트기말-LHY 3" xfId="216"/>
    <cellStyle name="-_부가세차이_99Group center-04중간업데이트기말-LHY 4" xfId="217"/>
    <cellStyle name="-_부가세차이_99Group center-ARP04기말-LHY" xfId="218"/>
    <cellStyle name="-_부가세차이_99Group center-ARP04기말-LHY 2" xfId="219"/>
    <cellStyle name="-_부가세차이_99Group center-ARP04기말-LHY 3" xfId="220"/>
    <cellStyle name="-_부가세차이_99Group center-ARP04기말-LHY 4" xfId="221"/>
    <cellStyle name="-_분석조서" xfId="222"/>
    <cellStyle name="-_분석조서 2" xfId="223"/>
    <cellStyle name="-_분석조서 3" xfId="224"/>
    <cellStyle name="-_분석조서 4" xfId="225"/>
    <cellStyle name="-_분석조서_C.F Form(누계)" xfId="226"/>
    <cellStyle name="-_분석조서_C.F Form(월별)" xfId="227"/>
    <cellStyle name="-_분석조서_C.F작성양식" xfId="228"/>
    <cellStyle name="-_분석조서_SCL2006-FS-070910" xfId="229"/>
    <cellStyle name="-_분석조서_에임시스템(WTB-05_반기조서_SIB)" xfId="230"/>
    <cellStyle name="-_새누리상호저축(03-LHY)" xfId="231"/>
    <cellStyle name="-_새누리상호저축(03-LHY) 2" xfId="232"/>
    <cellStyle name="-_새누리상호저축(03-LHY) 3" xfId="233"/>
    <cellStyle name="-_새누리상호저축(03-LHY) 4" xfId="234"/>
    <cellStyle name="-_새누리상호저축(03-LHY)-new" xfId="235"/>
    <cellStyle name="-_새누리상호저축(03-LHY)-new 2" xfId="236"/>
    <cellStyle name="-_새누리상호저축(03-LHY)-new 3" xfId="237"/>
    <cellStyle name="-_새누리상호저축(03-LHY)-new 4" xfId="238"/>
    <cellStyle name="-_새누리상호저축(03-LHY)-new_99Group center-04기말-LHY" xfId="239"/>
    <cellStyle name="-_새누리상호저축(03-LHY)-new_99Group center-04기말-LHY 2" xfId="240"/>
    <cellStyle name="-_새누리상호저축(03-LHY)-new_99Group center-04기말-LHY 3" xfId="241"/>
    <cellStyle name="-_새누리상호저축(03-LHY)-new_99Group center-04기말-LHY 4" xfId="242"/>
    <cellStyle name="-_새누리상호저축(03-LHY)-new_99Group center-04중간업데이트기말-LHY" xfId="243"/>
    <cellStyle name="-_새누리상호저축(03-LHY)-new_99Group center-04중간업데이트기말-LHY 2" xfId="244"/>
    <cellStyle name="-_새누리상호저축(03-LHY)-new_99Group center-04중간업데이트기말-LHY 3" xfId="245"/>
    <cellStyle name="-_새누리상호저축(03-LHY)-new_99Group center-04중간업데이트기말-LHY 4" xfId="246"/>
    <cellStyle name="-_새누리상호저축(03-LHY)-new_99Group center-ARP04기말-LHY" xfId="247"/>
    <cellStyle name="-_새누리상호저축(03-LHY)-new_99Group center-ARP04기말-LHY 2" xfId="248"/>
    <cellStyle name="-_새누리상호저축(03-LHY)-new_99Group center-ARP04기말-LHY 3" xfId="249"/>
    <cellStyle name="-_새누리상호저축(03-LHY)-new_99Group center-ARP04기말-LHY 4" xfId="250"/>
    <cellStyle name="-_새누리상호저축(03-LHY)_99Group center-04기말-LHY" xfId="251"/>
    <cellStyle name="-_새누리상호저축(03-LHY)_99Group center-04기말-LHY 2" xfId="252"/>
    <cellStyle name="-_새누리상호저축(03-LHY)_99Group center-04기말-LHY 3" xfId="253"/>
    <cellStyle name="-_새누리상호저축(03-LHY)_99Group center-04기말-LHY 4" xfId="254"/>
    <cellStyle name="-_새누리상호저축(03-LHY)_99Group center-04중간업데이트기말-LHY" xfId="255"/>
    <cellStyle name="-_새누리상호저축(03-LHY)_99Group center-04중간업데이트기말-LHY 2" xfId="256"/>
    <cellStyle name="-_새누리상호저축(03-LHY)_99Group center-04중간업데이트기말-LHY 3" xfId="257"/>
    <cellStyle name="-_새누리상호저축(03-LHY)_99Group center-04중간업데이트기말-LHY 4" xfId="258"/>
    <cellStyle name="-_새누리상호저축(03-LHY)_99Group center-ARP04기말-LHY" xfId="259"/>
    <cellStyle name="-_새누리상호저축(03-LHY)_99Group center-ARP04기말-LHY 2" xfId="260"/>
    <cellStyle name="-_새누리상호저축(03-LHY)_99Group center-ARP04기말-LHY 3" xfId="261"/>
    <cellStyle name="-_새누리상호저축(03-LHY)_99Group center-ARP04기말-LHY 4" xfId="262"/>
    <cellStyle name="-_수정사항" xfId="263"/>
    <cellStyle name="-_수정사항 2" xfId="264"/>
    <cellStyle name="-_수정사항 3" xfId="265"/>
    <cellStyle name="-_수정사항 4" xfId="266"/>
    <cellStyle name="-_수정사항_C.F Form(누계)" xfId="267"/>
    <cellStyle name="-_수정사항_C.F Form(월별)" xfId="268"/>
    <cellStyle name="-_수정사항_C.F작성양식" xfId="269"/>
    <cellStyle name="-_수정사항_SCL2006-FS-070910" xfId="270"/>
    <cellStyle name="-_쌈지-04반기-(LHY)" xfId="271"/>
    <cellStyle name="-_쌈지-04반기-(LHY) 2" xfId="272"/>
    <cellStyle name="-_쌈지-04반기-(LHY) 3" xfId="273"/>
    <cellStyle name="-_쌈지-04반기-(LHY) 4" xfId="274"/>
    <cellStyle name="-_쌈지-04반기-(LHY)_99Group center-04기말-LHY" xfId="275"/>
    <cellStyle name="-_쌈지-04반기-(LHY)_99Group center-04기말-LHY 2" xfId="276"/>
    <cellStyle name="-_쌈지-04반기-(LHY)_99Group center-04기말-LHY 3" xfId="277"/>
    <cellStyle name="-_쌈지-04반기-(LHY)_99Group center-04기말-LHY 4" xfId="278"/>
    <cellStyle name="-_쌈지-04반기-(LHY)_99Group center-04중간업데이트기말-LHY" xfId="279"/>
    <cellStyle name="-_쌈지-04반기-(LHY)_99Group center-04중간업데이트기말-LHY 2" xfId="280"/>
    <cellStyle name="-_쌈지-04반기-(LHY)_99Group center-04중간업데이트기말-LHY 3" xfId="281"/>
    <cellStyle name="-_쌈지-04반기-(LHY)_99Group center-04중간업데이트기말-LHY 4" xfId="282"/>
    <cellStyle name="-_쌈지-04반기-(LHY)_99Group center-ARP04기말-LHY" xfId="283"/>
    <cellStyle name="-_쌈지-04반기-(LHY)_99Group center-ARP04기말-LHY 2" xfId="284"/>
    <cellStyle name="-_쌈지-04반기-(LHY)_99Group center-ARP04기말-LHY 3" xfId="285"/>
    <cellStyle name="-_쌈지-04반기-(LHY)_99Group center-ARP04기말-LHY 4" xfId="286"/>
    <cellStyle name="-_쌈지04년1분기(채권수정)" xfId="287"/>
    <cellStyle name="-_쌈지04년1분기(채권수정) 2" xfId="288"/>
    <cellStyle name="-_쌈지04년1분기(채권수정) 3" xfId="289"/>
    <cellStyle name="-_쌈지04년1분기(채권수정) 4" xfId="290"/>
    <cellStyle name="-_쌈지04년1분기(채권수정)_99Group center-04기말-LHY" xfId="291"/>
    <cellStyle name="-_쌈지04년1분기(채권수정)_99Group center-04기말-LHY 2" xfId="292"/>
    <cellStyle name="-_쌈지04년1분기(채권수정)_99Group center-04기말-LHY 3" xfId="293"/>
    <cellStyle name="-_쌈지04년1분기(채권수정)_99Group center-04기말-LHY 4" xfId="294"/>
    <cellStyle name="-_쌈지04년1분기(채권수정)_99Group center-04중간업데이트기말-LHY" xfId="295"/>
    <cellStyle name="-_쌈지04년1분기(채권수정)_99Group center-04중간업데이트기말-LHY 2" xfId="296"/>
    <cellStyle name="-_쌈지04년1분기(채권수정)_99Group center-04중간업데이트기말-LHY 3" xfId="297"/>
    <cellStyle name="-_쌈지04년1분기(채권수정)_99Group center-04중간업데이트기말-LHY 4" xfId="298"/>
    <cellStyle name="-_쌈지04년1분기(채권수정)_99Group center-ARP04기말-LHY" xfId="299"/>
    <cellStyle name="-_쌈지04년1분기(채권수정)_99Group center-ARP04기말-LHY 2" xfId="300"/>
    <cellStyle name="-_쌈지04년1분기(채권수정)_99Group center-ARP04기말-LHY 3" xfId="301"/>
    <cellStyle name="-_쌈지04년1분기(채권수정)_99Group center-ARP04기말-LHY 4" xfId="302"/>
    <cellStyle name="-_안진조서요약-유로넥스트(03)(LHY)" xfId="303"/>
    <cellStyle name="-_안진조서요약-유로넥스트(03)(LHY) 2" xfId="304"/>
    <cellStyle name="-_안진조서요약-유로넥스트(03)(LHY) 3" xfId="305"/>
    <cellStyle name="-_안진조서요약-유로넥스트(03)(LHY) 4" xfId="306"/>
    <cellStyle name="-_안진조서요약-유로넥스트(03)(LHY)_단기투자, 장기투자의 양식(회계사요청)(1)" xfId="307"/>
    <cellStyle name="-_안진조서요약-유로넥스트(03)(LHY)_단기투자, 장기투자의 양식(회계사요청)(1) 2" xfId="308"/>
    <cellStyle name="-_안진조서요약-유로넥스트(03)(LHY)_단기투자, 장기투자의 양식(회계사요청)(1) 3" xfId="309"/>
    <cellStyle name="-_안진조서요약-유로넥스트(03)(LHY)_단기투자, 장기투자의 양식(회계사요청)(1) 4" xfId="310"/>
    <cellStyle name="-_안진조서요약-유로넥스트(03)(LHY)_단기투자, 장기투자의 양식(회계사요청)(1)_99Group center-04기말-LHY" xfId="311"/>
    <cellStyle name="-_안진조서요약-유로넥스트(03)(LHY)_단기투자, 장기투자의 양식(회계사요청)(1)_99Group center-04기말-LHY 2" xfId="312"/>
    <cellStyle name="-_안진조서요약-유로넥스트(03)(LHY)_단기투자, 장기투자의 양식(회계사요청)(1)_99Group center-04기말-LHY 3" xfId="313"/>
    <cellStyle name="-_안진조서요약-유로넥스트(03)(LHY)_단기투자, 장기투자의 양식(회계사요청)(1)_99Group center-04기말-LHY 4" xfId="314"/>
    <cellStyle name="-_안진조서요약-유로넥스트(03)(LHY)_단기투자, 장기투자의 양식(회계사요청)(1)_99Group center-04중간업데이트기말-LHY" xfId="315"/>
    <cellStyle name="-_안진조서요약-유로넥스트(03)(LHY)_단기투자, 장기투자의 양식(회계사요청)(1)_99Group center-04중간업데이트기말-LHY 2" xfId="316"/>
    <cellStyle name="-_안진조서요약-유로넥스트(03)(LHY)_단기투자, 장기투자의 양식(회계사요청)(1)_99Group center-04중간업데이트기말-LHY 3" xfId="317"/>
    <cellStyle name="-_안진조서요약-유로넥스트(03)(LHY)_단기투자, 장기투자의 양식(회계사요청)(1)_99Group center-04중간업데이트기말-LHY 4" xfId="318"/>
    <cellStyle name="-_안진조서요약-유로넥스트(03)(LHY)_단기투자, 장기투자의 양식(회계사요청)(1)_99Group center-ARP04기말-LHY" xfId="319"/>
    <cellStyle name="-_안진조서요약-유로넥스트(03)(LHY)_단기투자, 장기투자의 양식(회계사요청)(1)_99Group center-ARP04기말-LHY 2" xfId="320"/>
    <cellStyle name="-_안진조서요약-유로넥스트(03)(LHY)_단기투자, 장기투자의 양식(회계사요청)(1)_99Group center-ARP04기말-LHY 3" xfId="321"/>
    <cellStyle name="-_안진조서요약-유로넥스트(03)(LHY)_단기투자, 장기투자의 양식(회계사요청)(1)_99Group center-ARP04기말-LHY 4" xfId="322"/>
    <cellStyle name="-_안진조서요약-유로넥스트(03)(LHY)_대출채권 Sampling" xfId="323"/>
    <cellStyle name="-_안진조서요약-유로넥스트(03)(LHY)_대출채권 Sampling 2" xfId="324"/>
    <cellStyle name="-_안진조서요약-유로넥스트(03)(LHY)_대출채권 Sampling 3" xfId="325"/>
    <cellStyle name="-_안진조서요약-유로넥스트(03)(LHY)_대출채권 Sampling 4" xfId="326"/>
    <cellStyle name="-_안진조서요약-유로넥스트(03)(LHY)_대출채권 Sampling_99Group center-04기말-LHY" xfId="327"/>
    <cellStyle name="-_안진조서요약-유로넥스트(03)(LHY)_대출채권 Sampling_99Group center-04기말-LHY 2" xfId="328"/>
    <cellStyle name="-_안진조서요약-유로넥스트(03)(LHY)_대출채권 Sampling_99Group center-04기말-LHY 3" xfId="329"/>
    <cellStyle name="-_안진조서요약-유로넥스트(03)(LHY)_대출채권 Sampling_99Group center-04기말-LHY 4" xfId="330"/>
    <cellStyle name="-_안진조서요약-유로넥스트(03)(LHY)_대출채권 Sampling_99Group center-04중간업데이트기말-LHY" xfId="331"/>
    <cellStyle name="-_안진조서요약-유로넥스트(03)(LHY)_대출채권 Sampling_99Group center-04중간업데이트기말-LHY 2" xfId="332"/>
    <cellStyle name="-_안진조서요약-유로넥스트(03)(LHY)_대출채권 Sampling_99Group center-04중간업데이트기말-LHY 3" xfId="333"/>
    <cellStyle name="-_안진조서요약-유로넥스트(03)(LHY)_대출채권 Sampling_99Group center-04중간업데이트기말-LHY 4" xfId="334"/>
    <cellStyle name="-_안진조서요약-유로넥스트(03)(LHY)_대출채권 Sampling_99Group center-ARP04기말-LHY" xfId="335"/>
    <cellStyle name="-_안진조서요약-유로넥스트(03)(LHY)_대출채권 Sampling_99Group center-ARP04기말-LHY 2" xfId="336"/>
    <cellStyle name="-_안진조서요약-유로넥스트(03)(LHY)_대출채권 Sampling_99Group center-ARP04기말-LHY 3" xfId="337"/>
    <cellStyle name="-_안진조서요약-유로넥스트(03)(LHY)_대출채권 Sampling_99Group center-ARP04기말-LHY 4" xfId="338"/>
    <cellStyle name="-_안진조서요약-유로넥스트(03)(LHY)_동양매직-03(LHY)" xfId="339"/>
    <cellStyle name="-_안진조서요약-유로넥스트(03)(LHY)_동양매직-03(LHY) 2" xfId="340"/>
    <cellStyle name="-_안진조서요약-유로넥스트(03)(LHY)_동양매직-03(LHY) 3" xfId="341"/>
    <cellStyle name="-_안진조서요약-유로넥스트(03)(LHY)_동양매직-03(LHY) 4" xfId="342"/>
    <cellStyle name="-_안진조서요약-유로넥스트(03)(LHY)_동양매직-03(LHY)_99Group center-04기말-LHY" xfId="343"/>
    <cellStyle name="-_안진조서요약-유로넥스트(03)(LHY)_동양매직-03(LHY)_99Group center-04기말-LHY 2" xfId="344"/>
    <cellStyle name="-_안진조서요약-유로넥스트(03)(LHY)_동양매직-03(LHY)_99Group center-04기말-LHY 3" xfId="345"/>
    <cellStyle name="-_안진조서요약-유로넥스트(03)(LHY)_동양매직-03(LHY)_99Group center-04기말-LHY 4" xfId="346"/>
    <cellStyle name="-_안진조서요약-유로넥스트(03)(LHY)_동양매직-03(LHY)_99Group center-04중간업데이트기말-LHY" xfId="347"/>
    <cellStyle name="-_안진조서요약-유로넥스트(03)(LHY)_동양매직-03(LHY)_99Group center-04중간업데이트기말-LHY 2" xfId="348"/>
    <cellStyle name="-_안진조서요약-유로넥스트(03)(LHY)_동양매직-03(LHY)_99Group center-04중간업데이트기말-LHY 3" xfId="349"/>
    <cellStyle name="-_안진조서요약-유로넥스트(03)(LHY)_동양매직-03(LHY)_99Group center-04중간업데이트기말-LHY 4" xfId="350"/>
    <cellStyle name="-_안진조서요약-유로넥스트(03)(LHY)_동양매직-03(LHY)_99Group center-ARP04기말-LHY" xfId="351"/>
    <cellStyle name="-_안진조서요약-유로넥스트(03)(LHY)_동양매직-03(LHY)_99Group center-ARP04기말-LHY 2" xfId="352"/>
    <cellStyle name="-_안진조서요약-유로넥스트(03)(LHY)_동양매직-03(LHY)_99Group center-ARP04기말-LHY 3" xfId="353"/>
    <cellStyle name="-_안진조서요약-유로넥스트(03)(LHY)_동양매직-03(LHY)_99Group center-ARP04기말-LHY 4" xfId="354"/>
    <cellStyle name="-_안진조서요약-유로넥스트(03)(LHY)_매직산업(03기말-LHY)" xfId="355"/>
    <cellStyle name="-_안진조서요약-유로넥스트(03)(LHY)_매직산업(03기말-LHY) 2" xfId="356"/>
    <cellStyle name="-_안진조서요약-유로넥스트(03)(LHY)_매직산업(03기말-LHY) 3" xfId="357"/>
    <cellStyle name="-_안진조서요약-유로넥스트(03)(LHY)_매직산업(03기말-LHY) 4" xfId="358"/>
    <cellStyle name="-_안진조서요약-유로넥스트(03)(LHY)_매직산업(03기말-LHY)_99Group center-04기말-LHY" xfId="359"/>
    <cellStyle name="-_안진조서요약-유로넥스트(03)(LHY)_매직산업(03기말-LHY)_99Group center-04기말-LHY 2" xfId="360"/>
    <cellStyle name="-_안진조서요약-유로넥스트(03)(LHY)_매직산업(03기말-LHY)_99Group center-04기말-LHY 3" xfId="361"/>
    <cellStyle name="-_안진조서요약-유로넥스트(03)(LHY)_매직산업(03기말-LHY)_99Group center-04기말-LHY 4" xfId="362"/>
    <cellStyle name="-_안진조서요약-유로넥스트(03)(LHY)_매직산업(03기말-LHY)_99Group center-04중간업데이트기말-LHY" xfId="363"/>
    <cellStyle name="-_안진조서요약-유로넥스트(03)(LHY)_매직산업(03기말-LHY)_99Group center-04중간업데이트기말-LHY 2" xfId="364"/>
    <cellStyle name="-_안진조서요약-유로넥스트(03)(LHY)_매직산업(03기말-LHY)_99Group center-04중간업데이트기말-LHY 3" xfId="365"/>
    <cellStyle name="-_안진조서요약-유로넥스트(03)(LHY)_매직산업(03기말-LHY)_99Group center-04중간업데이트기말-LHY 4" xfId="366"/>
    <cellStyle name="-_안진조서요약-유로넥스트(03)(LHY)_매직산업(03기말-LHY)_99Group center-ARP04기말-LHY" xfId="367"/>
    <cellStyle name="-_안진조서요약-유로넥스트(03)(LHY)_매직산업(03기말-LHY)_99Group center-ARP04기말-LHY 2" xfId="368"/>
    <cellStyle name="-_안진조서요약-유로넥스트(03)(LHY)_매직산업(03기말-LHY)_99Group center-ARP04기말-LHY 3" xfId="369"/>
    <cellStyle name="-_안진조서요약-유로넥스트(03)(LHY)_매직산업(03기말-LHY)_99Group center-ARP04기말-LHY 4" xfId="370"/>
    <cellStyle name="-_안진조서요약-유로넥스트(03)(LHY)_벽산페인트(03,LHY)1" xfId="371"/>
    <cellStyle name="-_안진조서요약-유로넥스트(03)(LHY)_벽산페인트(03,LHY)1 2" xfId="372"/>
    <cellStyle name="-_안진조서요약-유로넥스트(03)(LHY)_벽산페인트(03,LHY)1 3" xfId="373"/>
    <cellStyle name="-_안진조서요약-유로넥스트(03)(LHY)_벽산페인트(03,LHY)1 4" xfId="374"/>
    <cellStyle name="-_안진조서요약-유로넥스트(03)(LHY)_벽산페인트(03,LHY)1_99Group center-04기말-LHY" xfId="375"/>
    <cellStyle name="-_안진조서요약-유로넥스트(03)(LHY)_벽산페인트(03,LHY)1_99Group center-04기말-LHY 2" xfId="376"/>
    <cellStyle name="-_안진조서요약-유로넥스트(03)(LHY)_벽산페인트(03,LHY)1_99Group center-04기말-LHY 3" xfId="377"/>
    <cellStyle name="-_안진조서요약-유로넥스트(03)(LHY)_벽산페인트(03,LHY)1_99Group center-04기말-LHY 4" xfId="378"/>
    <cellStyle name="-_안진조서요약-유로넥스트(03)(LHY)_벽산페인트(03,LHY)1_99Group center-04중간업데이트기말-LHY" xfId="379"/>
    <cellStyle name="-_안진조서요약-유로넥스트(03)(LHY)_벽산페인트(03,LHY)1_99Group center-04중간업데이트기말-LHY 2" xfId="380"/>
    <cellStyle name="-_안진조서요약-유로넥스트(03)(LHY)_벽산페인트(03,LHY)1_99Group center-04중간업데이트기말-LHY 3" xfId="381"/>
    <cellStyle name="-_안진조서요약-유로넥스트(03)(LHY)_벽산페인트(03,LHY)1_99Group center-04중간업데이트기말-LHY 4" xfId="382"/>
    <cellStyle name="-_안진조서요약-유로넥스트(03)(LHY)_벽산페인트(03,LHY)1_99Group center-ARP04기말-LHY" xfId="383"/>
    <cellStyle name="-_안진조서요약-유로넥스트(03)(LHY)_벽산페인트(03,LHY)1_99Group center-ARP04기말-LHY 2" xfId="384"/>
    <cellStyle name="-_안진조서요약-유로넥스트(03)(LHY)_벽산페인트(03,LHY)1_99Group center-ARP04기말-LHY 3" xfId="385"/>
    <cellStyle name="-_안진조서요약-유로넥스트(03)(LHY)_벽산페인트(03,LHY)1_99Group center-ARP04기말-LHY 4" xfId="386"/>
    <cellStyle name="-_안진조서요약-유로넥스트(03)(LHY)_새누리상호저축(03-LHY)" xfId="387"/>
    <cellStyle name="-_안진조서요약-유로넥스트(03)(LHY)_새누리상호저축(03-LHY) 2" xfId="388"/>
    <cellStyle name="-_안진조서요약-유로넥스트(03)(LHY)_새누리상호저축(03-LHY) 3" xfId="389"/>
    <cellStyle name="-_안진조서요약-유로넥스트(03)(LHY)_새누리상호저축(03-LHY) 4" xfId="390"/>
    <cellStyle name="-_안진조서요약-유로넥스트(03)(LHY)_새누리상호저축(03-LHY)-new" xfId="391"/>
    <cellStyle name="-_안진조서요약-유로넥스트(03)(LHY)_새누리상호저축(03-LHY)-new 2" xfId="392"/>
    <cellStyle name="-_안진조서요약-유로넥스트(03)(LHY)_새누리상호저축(03-LHY)-new 3" xfId="393"/>
    <cellStyle name="-_안진조서요약-유로넥스트(03)(LHY)_새누리상호저축(03-LHY)-new 4" xfId="394"/>
    <cellStyle name="-_안진조서요약-유로넥스트(03)(LHY)_새누리상호저축(03-LHY)-new_99Group center-04기말-LHY" xfId="395"/>
    <cellStyle name="-_안진조서요약-유로넥스트(03)(LHY)_새누리상호저축(03-LHY)-new_99Group center-04기말-LHY 2" xfId="396"/>
    <cellStyle name="-_안진조서요약-유로넥스트(03)(LHY)_새누리상호저축(03-LHY)-new_99Group center-04기말-LHY 3" xfId="397"/>
    <cellStyle name="-_안진조서요약-유로넥스트(03)(LHY)_새누리상호저축(03-LHY)-new_99Group center-04기말-LHY 4" xfId="398"/>
    <cellStyle name="-_안진조서요약-유로넥스트(03)(LHY)_새누리상호저축(03-LHY)-new_99Group center-04중간업데이트기말-LHY" xfId="399"/>
    <cellStyle name="-_안진조서요약-유로넥스트(03)(LHY)_새누리상호저축(03-LHY)-new_99Group center-04중간업데이트기말-LHY 2" xfId="400"/>
    <cellStyle name="-_안진조서요약-유로넥스트(03)(LHY)_새누리상호저축(03-LHY)-new_99Group center-04중간업데이트기말-LHY 3" xfId="401"/>
    <cellStyle name="-_안진조서요약-유로넥스트(03)(LHY)_새누리상호저축(03-LHY)-new_99Group center-04중간업데이트기말-LHY 4" xfId="402"/>
    <cellStyle name="-_안진조서요약-유로넥스트(03)(LHY)_새누리상호저축(03-LHY)-new_99Group center-ARP04기말-LHY" xfId="403"/>
    <cellStyle name="-_안진조서요약-유로넥스트(03)(LHY)_새누리상호저축(03-LHY)-new_99Group center-ARP04기말-LHY 2" xfId="404"/>
    <cellStyle name="-_안진조서요약-유로넥스트(03)(LHY)_새누리상호저축(03-LHY)-new_99Group center-ARP04기말-LHY 3" xfId="405"/>
    <cellStyle name="-_안진조서요약-유로넥스트(03)(LHY)_새누리상호저축(03-LHY)-new_99Group center-ARP04기말-LHY 4" xfId="406"/>
    <cellStyle name="-_안진조서요약-유로넥스트(03)(LHY)_새누리상호저축(03-LHY)_99Group center-04기말-LHY" xfId="407"/>
    <cellStyle name="-_안진조서요약-유로넥스트(03)(LHY)_새누리상호저축(03-LHY)_99Group center-04기말-LHY 2" xfId="408"/>
    <cellStyle name="-_안진조서요약-유로넥스트(03)(LHY)_새누리상호저축(03-LHY)_99Group center-04기말-LHY 3" xfId="409"/>
    <cellStyle name="-_안진조서요약-유로넥스트(03)(LHY)_새누리상호저축(03-LHY)_99Group center-04기말-LHY 4" xfId="410"/>
    <cellStyle name="-_안진조서요약-유로넥스트(03)(LHY)_새누리상호저축(03-LHY)_99Group center-04중간업데이트기말-LHY" xfId="411"/>
    <cellStyle name="-_안진조서요약-유로넥스트(03)(LHY)_새누리상호저축(03-LHY)_99Group center-04중간업데이트기말-LHY 2" xfId="412"/>
    <cellStyle name="-_안진조서요약-유로넥스트(03)(LHY)_새누리상호저축(03-LHY)_99Group center-04중간업데이트기말-LHY 3" xfId="413"/>
    <cellStyle name="-_안진조서요약-유로넥스트(03)(LHY)_새누리상호저축(03-LHY)_99Group center-04중간업데이트기말-LHY 4" xfId="414"/>
    <cellStyle name="-_안진조서요약-유로넥스트(03)(LHY)_새누리상호저축(03-LHY)_99Group center-ARP04기말-LHY" xfId="415"/>
    <cellStyle name="-_안진조서요약-유로넥스트(03)(LHY)_새누리상호저축(03-LHY)_99Group center-ARP04기말-LHY 2" xfId="416"/>
    <cellStyle name="-_안진조서요약-유로넥스트(03)(LHY)_새누리상호저축(03-LHY)_99Group center-ARP04기말-LHY 3" xfId="417"/>
    <cellStyle name="-_안진조서요약-유로넥스트(03)(LHY)_새누리상호저축(03-LHY)_99Group center-ARP04기말-LHY 4" xfId="418"/>
    <cellStyle name="-_안진조서요약-유로넥스트(03)(LHY)_쌈지-04반기-(LHY)" xfId="419"/>
    <cellStyle name="-_안진조서요약-유로넥스트(03)(LHY)_쌈지-04반기-(LHY) 2" xfId="420"/>
    <cellStyle name="-_안진조서요약-유로넥스트(03)(LHY)_쌈지-04반기-(LHY) 3" xfId="421"/>
    <cellStyle name="-_안진조서요약-유로넥스트(03)(LHY)_쌈지-04반기-(LHY) 4" xfId="422"/>
    <cellStyle name="-_안진조서요약-유로넥스트(03)(LHY)_쌈지-04반기-(LHY)_99Group center-04기말-LHY" xfId="423"/>
    <cellStyle name="-_안진조서요약-유로넥스트(03)(LHY)_쌈지-04반기-(LHY)_99Group center-04기말-LHY 2" xfId="424"/>
    <cellStyle name="-_안진조서요약-유로넥스트(03)(LHY)_쌈지-04반기-(LHY)_99Group center-04기말-LHY 3" xfId="425"/>
    <cellStyle name="-_안진조서요약-유로넥스트(03)(LHY)_쌈지-04반기-(LHY)_99Group center-04기말-LHY 4" xfId="426"/>
    <cellStyle name="-_안진조서요약-유로넥스트(03)(LHY)_쌈지-04반기-(LHY)_99Group center-04중간업데이트기말-LHY" xfId="427"/>
    <cellStyle name="-_안진조서요약-유로넥스트(03)(LHY)_쌈지-04반기-(LHY)_99Group center-04중간업데이트기말-LHY 2" xfId="428"/>
    <cellStyle name="-_안진조서요약-유로넥스트(03)(LHY)_쌈지-04반기-(LHY)_99Group center-04중간업데이트기말-LHY 3" xfId="429"/>
    <cellStyle name="-_안진조서요약-유로넥스트(03)(LHY)_쌈지-04반기-(LHY)_99Group center-04중간업데이트기말-LHY 4" xfId="430"/>
    <cellStyle name="-_안진조서요약-유로넥스트(03)(LHY)_쌈지-04반기-(LHY)_99Group center-ARP04기말-LHY" xfId="431"/>
    <cellStyle name="-_안진조서요약-유로넥스트(03)(LHY)_쌈지-04반기-(LHY)_99Group center-ARP04기말-LHY 2" xfId="432"/>
    <cellStyle name="-_안진조서요약-유로넥스트(03)(LHY)_쌈지-04반기-(LHY)_99Group center-ARP04기말-LHY 3" xfId="433"/>
    <cellStyle name="-_안진조서요약-유로넥스트(03)(LHY)_쌈지-04반기-(LHY)_99Group center-ARP04기말-LHY 4" xfId="434"/>
    <cellStyle name="-_안진조서요약-유로넥스트(03)(LHY)_안진조서요약-유로넥스트(03)(LHY)" xfId="435"/>
    <cellStyle name="-_안진조서요약-유로넥스트(03)(LHY)_안진조서요약-유로넥스트(03)(LHY) 2" xfId="436"/>
    <cellStyle name="-_안진조서요약-유로넥스트(03)(LHY)_안진조서요약-유로넥스트(03)(LHY) 3" xfId="437"/>
    <cellStyle name="-_안진조서요약-유로넥스트(03)(LHY)_안진조서요약-유로넥스트(03)(LHY) 4" xfId="438"/>
    <cellStyle name="-_안진조서요약-유로넥스트(03)(LHY)_안진조서요약-유로넥스트(03)(LHY)_단기투자, 장기투자의 양식(회계사요청)(1)" xfId="439"/>
    <cellStyle name="-_안진조서요약-유로넥스트(03)(LHY)_안진조서요약-유로넥스트(03)(LHY)_단기투자, 장기투자의 양식(회계사요청)(1) 2" xfId="440"/>
    <cellStyle name="-_안진조서요약-유로넥스트(03)(LHY)_안진조서요약-유로넥스트(03)(LHY)_단기투자, 장기투자의 양식(회계사요청)(1) 3" xfId="441"/>
    <cellStyle name="-_안진조서요약-유로넥스트(03)(LHY)_안진조서요약-유로넥스트(03)(LHY)_단기투자, 장기투자의 양식(회계사요청)(1) 4" xfId="442"/>
    <cellStyle name="-_안진조서요약-유로넥스트(03)(LHY)_안진조서요약-유로넥스트(03)(LHY)_단기투자, 장기투자의 양식(회계사요청)(1)_99Group center-04기말-LHY" xfId="443"/>
    <cellStyle name="-_안진조서요약-유로넥스트(03)(LHY)_안진조서요약-유로넥스트(03)(LHY)_단기투자, 장기투자의 양식(회계사요청)(1)_99Group center-04기말-LHY 2" xfId="444"/>
    <cellStyle name="-_안진조서요약-유로넥스트(03)(LHY)_안진조서요약-유로넥스트(03)(LHY)_단기투자, 장기투자의 양식(회계사요청)(1)_99Group center-04기말-LHY 3" xfId="445"/>
    <cellStyle name="-_안진조서요약-유로넥스트(03)(LHY)_안진조서요약-유로넥스트(03)(LHY)_단기투자, 장기투자의 양식(회계사요청)(1)_99Group center-04기말-LHY 4" xfId="446"/>
    <cellStyle name="-_안진조서요약-유로넥스트(03)(LHY)_안진조서요약-유로넥스트(03)(LHY)_단기투자, 장기투자의 양식(회계사요청)(1)_99Group center-04중간업데이트기말-LHY" xfId="447"/>
    <cellStyle name="-_안진조서요약-유로넥스트(03)(LHY)_안진조서요약-유로넥스트(03)(LHY)_단기투자, 장기투자의 양식(회계사요청)(1)_99Group center-04중간업데이트기말-LHY 2" xfId="448"/>
    <cellStyle name="-_안진조서요약-유로넥스트(03)(LHY)_안진조서요약-유로넥스트(03)(LHY)_단기투자, 장기투자의 양식(회계사요청)(1)_99Group center-04중간업데이트기말-LHY 3" xfId="449"/>
    <cellStyle name="-_안진조서요약-유로넥스트(03)(LHY)_안진조서요약-유로넥스트(03)(LHY)_단기투자, 장기투자의 양식(회계사요청)(1)_99Group center-04중간업데이트기말-LHY 4" xfId="450"/>
    <cellStyle name="-_안진조서요약-유로넥스트(03)(LHY)_안진조서요약-유로넥스트(03)(LHY)_단기투자, 장기투자의 양식(회계사요청)(1)_99Group center-ARP04기말-LHY" xfId="451"/>
    <cellStyle name="-_안진조서요약-유로넥스트(03)(LHY)_안진조서요약-유로넥스트(03)(LHY)_단기투자, 장기투자의 양식(회계사요청)(1)_99Group center-ARP04기말-LHY 2" xfId="452"/>
    <cellStyle name="-_안진조서요약-유로넥스트(03)(LHY)_안진조서요약-유로넥스트(03)(LHY)_단기투자, 장기투자의 양식(회계사요청)(1)_99Group center-ARP04기말-LHY 3" xfId="453"/>
    <cellStyle name="-_안진조서요약-유로넥스트(03)(LHY)_안진조서요약-유로넥스트(03)(LHY)_단기투자, 장기투자의 양식(회계사요청)(1)_99Group center-ARP04기말-LHY 4" xfId="454"/>
    <cellStyle name="-_안진조서요약-유로넥스트(03)(LHY)_안진조서요약-유로넥스트(03)(LHY)_대출채권 Sampling" xfId="455"/>
    <cellStyle name="-_안진조서요약-유로넥스트(03)(LHY)_안진조서요약-유로넥스트(03)(LHY)_대출채권 Sampling 2" xfId="456"/>
    <cellStyle name="-_안진조서요약-유로넥스트(03)(LHY)_안진조서요약-유로넥스트(03)(LHY)_대출채권 Sampling 3" xfId="457"/>
    <cellStyle name="-_안진조서요약-유로넥스트(03)(LHY)_안진조서요약-유로넥스트(03)(LHY)_대출채권 Sampling 4" xfId="458"/>
    <cellStyle name="-_안진조서요약-유로넥스트(03)(LHY)_안진조서요약-유로넥스트(03)(LHY)_대출채권 Sampling_99Group center-04기말-LHY" xfId="459"/>
    <cellStyle name="-_안진조서요약-유로넥스트(03)(LHY)_안진조서요약-유로넥스트(03)(LHY)_대출채권 Sampling_99Group center-04기말-LHY 2" xfId="460"/>
    <cellStyle name="-_안진조서요약-유로넥스트(03)(LHY)_안진조서요약-유로넥스트(03)(LHY)_대출채권 Sampling_99Group center-04기말-LHY 3" xfId="461"/>
    <cellStyle name="-_안진조서요약-유로넥스트(03)(LHY)_안진조서요약-유로넥스트(03)(LHY)_대출채권 Sampling_99Group center-04기말-LHY 4" xfId="462"/>
    <cellStyle name="-_안진조서요약-유로넥스트(03)(LHY)_안진조서요약-유로넥스트(03)(LHY)_대출채권 Sampling_99Group center-04중간업데이트기말-LHY" xfId="463"/>
    <cellStyle name="-_안진조서요약-유로넥스트(03)(LHY)_안진조서요약-유로넥스트(03)(LHY)_대출채권 Sampling_99Group center-04중간업데이트기말-LHY 2" xfId="464"/>
    <cellStyle name="-_안진조서요약-유로넥스트(03)(LHY)_안진조서요약-유로넥스트(03)(LHY)_대출채권 Sampling_99Group center-04중간업데이트기말-LHY 3" xfId="465"/>
    <cellStyle name="-_안진조서요약-유로넥스트(03)(LHY)_안진조서요약-유로넥스트(03)(LHY)_대출채권 Sampling_99Group center-04중간업데이트기말-LHY 4" xfId="466"/>
    <cellStyle name="-_안진조서요약-유로넥스트(03)(LHY)_안진조서요약-유로넥스트(03)(LHY)_대출채권 Sampling_99Group center-ARP04기말-LHY" xfId="467"/>
    <cellStyle name="-_안진조서요약-유로넥스트(03)(LHY)_안진조서요약-유로넥스트(03)(LHY)_대출채권 Sampling_99Group center-ARP04기말-LHY 2" xfId="468"/>
    <cellStyle name="-_안진조서요약-유로넥스트(03)(LHY)_안진조서요약-유로넥스트(03)(LHY)_대출채권 Sampling_99Group center-ARP04기말-LHY 3" xfId="469"/>
    <cellStyle name="-_안진조서요약-유로넥스트(03)(LHY)_안진조서요약-유로넥스트(03)(LHY)_대출채권 Sampling_99Group center-ARP04기말-LHY 4" xfId="470"/>
    <cellStyle name="-_안진조서요약-유로넥스트(03)(LHY)_안진조서요약-유로넥스트(03)(LHY)_동양매직-03(LHY)" xfId="471"/>
    <cellStyle name="-_안진조서요약-유로넥스트(03)(LHY)_안진조서요약-유로넥스트(03)(LHY)_동양매직-03(LHY) 2" xfId="472"/>
    <cellStyle name="-_안진조서요약-유로넥스트(03)(LHY)_안진조서요약-유로넥스트(03)(LHY)_동양매직-03(LHY) 3" xfId="473"/>
    <cellStyle name="-_안진조서요약-유로넥스트(03)(LHY)_안진조서요약-유로넥스트(03)(LHY)_동양매직-03(LHY) 4" xfId="474"/>
    <cellStyle name="-_안진조서요약-유로넥스트(03)(LHY)_안진조서요약-유로넥스트(03)(LHY)_동양매직-03(LHY)_99Group center-04기말-LHY" xfId="475"/>
    <cellStyle name="-_안진조서요약-유로넥스트(03)(LHY)_안진조서요약-유로넥스트(03)(LHY)_동양매직-03(LHY)_99Group center-04기말-LHY 2" xfId="476"/>
    <cellStyle name="-_안진조서요약-유로넥스트(03)(LHY)_안진조서요약-유로넥스트(03)(LHY)_동양매직-03(LHY)_99Group center-04기말-LHY 3" xfId="477"/>
    <cellStyle name="-_안진조서요약-유로넥스트(03)(LHY)_안진조서요약-유로넥스트(03)(LHY)_동양매직-03(LHY)_99Group center-04기말-LHY 4" xfId="478"/>
    <cellStyle name="-_안진조서요약-유로넥스트(03)(LHY)_안진조서요약-유로넥스트(03)(LHY)_동양매직-03(LHY)_99Group center-04중간업데이트기말-LHY" xfId="479"/>
    <cellStyle name="-_안진조서요약-유로넥스트(03)(LHY)_안진조서요약-유로넥스트(03)(LHY)_동양매직-03(LHY)_99Group center-04중간업데이트기말-LHY 2" xfId="480"/>
    <cellStyle name="-_안진조서요약-유로넥스트(03)(LHY)_안진조서요약-유로넥스트(03)(LHY)_동양매직-03(LHY)_99Group center-04중간업데이트기말-LHY 3" xfId="481"/>
    <cellStyle name="-_안진조서요약-유로넥스트(03)(LHY)_안진조서요약-유로넥스트(03)(LHY)_동양매직-03(LHY)_99Group center-04중간업데이트기말-LHY 4" xfId="482"/>
    <cellStyle name="-_안진조서요약-유로넥스트(03)(LHY)_안진조서요약-유로넥스트(03)(LHY)_동양매직-03(LHY)_99Group center-ARP04기말-LHY" xfId="483"/>
    <cellStyle name="-_안진조서요약-유로넥스트(03)(LHY)_안진조서요약-유로넥스트(03)(LHY)_동양매직-03(LHY)_99Group center-ARP04기말-LHY 2" xfId="484"/>
    <cellStyle name="-_안진조서요약-유로넥스트(03)(LHY)_안진조서요약-유로넥스트(03)(LHY)_동양매직-03(LHY)_99Group center-ARP04기말-LHY 3" xfId="485"/>
    <cellStyle name="-_안진조서요약-유로넥스트(03)(LHY)_안진조서요약-유로넥스트(03)(LHY)_동양매직-03(LHY)_99Group center-ARP04기말-LHY 4" xfId="486"/>
    <cellStyle name="-_안진조서요약-유로넥스트(03)(LHY)_안진조서요약-유로넥스트(03)(LHY)_매직산업(03기말-LHY)" xfId="487"/>
    <cellStyle name="-_안진조서요약-유로넥스트(03)(LHY)_안진조서요약-유로넥스트(03)(LHY)_매직산업(03기말-LHY) 2" xfId="488"/>
    <cellStyle name="-_안진조서요약-유로넥스트(03)(LHY)_안진조서요약-유로넥스트(03)(LHY)_매직산업(03기말-LHY) 3" xfId="489"/>
    <cellStyle name="-_안진조서요약-유로넥스트(03)(LHY)_안진조서요약-유로넥스트(03)(LHY)_매직산업(03기말-LHY) 4" xfId="490"/>
    <cellStyle name="-_안진조서요약-유로넥스트(03)(LHY)_안진조서요약-유로넥스트(03)(LHY)_매직산업(03기말-LHY)_99Group center-04기말-LHY" xfId="491"/>
    <cellStyle name="-_안진조서요약-유로넥스트(03)(LHY)_안진조서요약-유로넥스트(03)(LHY)_매직산업(03기말-LHY)_99Group center-04기말-LHY 2" xfId="492"/>
    <cellStyle name="-_안진조서요약-유로넥스트(03)(LHY)_안진조서요약-유로넥스트(03)(LHY)_매직산업(03기말-LHY)_99Group center-04기말-LHY 3" xfId="493"/>
    <cellStyle name="-_안진조서요약-유로넥스트(03)(LHY)_안진조서요약-유로넥스트(03)(LHY)_매직산업(03기말-LHY)_99Group center-04기말-LHY 4" xfId="494"/>
    <cellStyle name="-_안진조서요약-유로넥스트(03)(LHY)_안진조서요약-유로넥스트(03)(LHY)_매직산업(03기말-LHY)_99Group center-04중간업데이트기말-LHY" xfId="495"/>
    <cellStyle name="-_안진조서요약-유로넥스트(03)(LHY)_안진조서요약-유로넥스트(03)(LHY)_매직산업(03기말-LHY)_99Group center-04중간업데이트기말-LHY 2" xfId="496"/>
    <cellStyle name="-_안진조서요약-유로넥스트(03)(LHY)_안진조서요약-유로넥스트(03)(LHY)_매직산업(03기말-LHY)_99Group center-04중간업데이트기말-LHY 3" xfId="497"/>
    <cellStyle name="-_안진조서요약-유로넥스트(03)(LHY)_안진조서요약-유로넥스트(03)(LHY)_매직산업(03기말-LHY)_99Group center-04중간업데이트기말-LHY 4" xfId="498"/>
    <cellStyle name="-_안진조서요약-유로넥스트(03)(LHY)_안진조서요약-유로넥스트(03)(LHY)_매직산업(03기말-LHY)_99Group center-ARP04기말-LHY" xfId="499"/>
    <cellStyle name="-_안진조서요약-유로넥스트(03)(LHY)_안진조서요약-유로넥스트(03)(LHY)_매직산업(03기말-LHY)_99Group center-ARP04기말-LHY 2" xfId="500"/>
    <cellStyle name="-_안진조서요약-유로넥스트(03)(LHY)_안진조서요약-유로넥스트(03)(LHY)_매직산업(03기말-LHY)_99Group center-ARP04기말-LHY 3" xfId="501"/>
    <cellStyle name="-_안진조서요약-유로넥스트(03)(LHY)_안진조서요약-유로넥스트(03)(LHY)_매직산업(03기말-LHY)_99Group center-ARP04기말-LHY 4" xfId="502"/>
    <cellStyle name="-_안진조서요약-유로넥스트(03)(LHY)_안진조서요약-유로넥스트(03)(LHY)_벽산페인트(03,LHY)1" xfId="503"/>
    <cellStyle name="-_안진조서요약-유로넥스트(03)(LHY)_안진조서요약-유로넥스트(03)(LHY)_벽산페인트(03,LHY)1 2" xfId="504"/>
    <cellStyle name="-_안진조서요약-유로넥스트(03)(LHY)_안진조서요약-유로넥스트(03)(LHY)_벽산페인트(03,LHY)1 3" xfId="505"/>
    <cellStyle name="-_안진조서요약-유로넥스트(03)(LHY)_안진조서요약-유로넥스트(03)(LHY)_벽산페인트(03,LHY)1 4" xfId="506"/>
    <cellStyle name="-_안진조서요약-유로넥스트(03)(LHY)_안진조서요약-유로넥스트(03)(LHY)_벽산페인트(03,LHY)1_99Group center-04기말-LHY" xfId="507"/>
    <cellStyle name="-_안진조서요약-유로넥스트(03)(LHY)_안진조서요약-유로넥스트(03)(LHY)_벽산페인트(03,LHY)1_99Group center-04기말-LHY 2" xfId="508"/>
    <cellStyle name="-_안진조서요약-유로넥스트(03)(LHY)_안진조서요약-유로넥스트(03)(LHY)_벽산페인트(03,LHY)1_99Group center-04기말-LHY 3" xfId="509"/>
    <cellStyle name="-_안진조서요약-유로넥스트(03)(LHY)_안진조서요약-유로넥스트(03)(LHY)_벽산페인트(03,LHY)1_99Group center-04기말-LHY 4" xfId="510"/>
    <cellStyle name="-_안진조서요약-유로넥스트(03)(LHY)_안진조서요약-유로넥스트(03)(LHY)_벽산페인트(03,LHY)1_99Group center-04중간업데이트기말-LHY" xfId="511"/>
    <cellStyle name="-_안진조서요약-유로넥스트(03)(LHY)_안진조서요약-유로넥스트(03)(LHY)_벽산페인트(03,LHY)1_99Group center-04중간업데이트기말-LHY 2" xfId="512"/>
    <cellStyle name="-_안진조서요약-유로넥스트(03)(LHY)_안진조서요약-유로넥스트(03)(LHY)_벽산페인트(03,LHY)1_99Group center-04중간업데이트기말-LHY 3" xfId="513"/>
    <cellStyle name="-_안진조서요약-유로넥스트(03)(LHY)_안진조서요약-유로넥스트(03)(LHY)_벽산페인트(03,LHY)1_99Group center-04중간업데이트기말-LHY 4" xfId="514"/>
    <cellStyle name="-_안진조서요약-유로넥스트(03)(LHY)_안진조서요약-유로넥스트(03)(LHY)_벽산페인트(03,LHY)1_99Group center-ARP04기말-LHY" xfId="515"/>
    <cellStyle name="-_안진조서요약-유로넥스트(03)(LHY)_안진조서요약-유로넥스트(03)(LHY)_벽산페인트(03,LHY)1_99Group center-ARP04기말-LHY 2" xfId="516"/>
    <cellStyle name="-_안진조서요약-유로넥스트(03)(LHY)_안진조서요약-유로넥스트(03)(LHY)_벽산페인트(03,LHY)1_99Group center-ARP04기말-LHY 3" xfId="517"/>
    <cellStyle name="-_안진조서요약-유로넥스트(03)(LHY)_안진조서요약-유로넥스트(03)(LHY)_벽산페인트(03,LHY)1_99Group center-ARP04기말-LHY 4" xfId="518"/>
    <cellStyle name="-_안진조서요약-유로넥스트(03)(LHY)_안진조서요약-유로넥스트(03)(LHY)_새누리상호저축(03-LHY)" xfId="519"/>
    <cellStyle name="-_안진조서요약-유로넥스트(03)(LHY)_안진조서요약-유로넥스트(03)(LHY)_새누리상호저축(03-LHY) 2" xfId="520"/>
    <cellStyle name="-_안진조서요약-유로넥스트(03)(LHY)_안진조서요약-유로넥스트(03)(LHY)_새누리상호저축(03-LHY) 3" xfId="521"/>
    <cellStyle name="-_안진조서요약-유로넥스트(03)(LHY)_안진조서요약-유로넥스트(03)(LHY)_새누리상호저축(03-LHY) 4" xfId="522"/>
    <cellStyle name="-_안진조서요약-유로넥스트(03)(LHY)_안진조서요약-유로넥스트(03)(LHY)_새누리상호저축(03-LHY)-new" xfId="523"/>
    <cellStyle name="-_안진조서요약-유로넥스트(03)(LHY)_안진조서요약-유로넥스트(03)(LHY)_새누리상호저축(03-LHY)-new 2" xfId="524"/>
    <cellStyle name="-_안진조서요약-유로넥스트(03)(LHY)_안진조서요약-유로넥스트(03)(LHY)_새누리상호저축(03-LHY)-new 3" xfId="525"/>
    <cellStyle name="-_안진조서요약-유로넥스트(03)(LHY)_안진조서요약-유로넥스트(03)(LHY)_새누리상호저축(03-LHY)-new 4" xfId="526"/>
    <cellStyle name="-_안진조서요약-유로넥스트(03)(LHY)_안진조서요약-유로넥스트(03)(LHY)_새누리상호저축(03-LHY)-new_99Group center-04기말-LHY" xfId="527"/>
    <cellStyle name="-_안진조서요약-유로넥스트(03)(LHY)_안진조서요약-유로넥스트(03)(LHY)_새누리상호저축(03-LHY)-new_99Group center-04기말-LHY 2" xfId="528"/>
    <cellStyle name="-_안진조서요약-유로넥스트(03)(LHY)_안진조서요약-유로넥스트(03)(LHY)_새누리상호저축(03-LHY)-new_99Group center-04기말-LHY 3" xfId="529"/>
    <cellStyle name="-_안진조서요약-유로넥스트(03)(LHY)_안진조서요약-유로넥스트(03)(LHY)_새누리상호저축(03-LHY)-new_99Group center-04기말-LHY 4" xfId="530"/>
    <cellStyle name="-_안진조서요약-유로넥스트(03)(LHY)_안진조서요약-유로넥스트(03)(LHY)_새누리상호저축(03-LHY)-new_99Group center-04중간업데이트기말-LHY" xfId="531"/>
    <cellStyle name="-_안진조서요약-유로넥스트(03)(LHY)_안진조서요약-유로넥스트(03)(LHY)_새누리상호저축(03-LHY)-new_99Group center-04중간업데이트기말-LHY 2" xfId="532"/>
    <cellStyle name="-_안진조서요약-유로넥스트(03)(LHY)_안진조서요약-유로넥스트(03)(LHY)_새누리상호저축(03-LHY)-new_99Group center-04중간업데이트기말-LHY 3" xfId="533"/>
    <cellStyle name="-_안진조서요약-유로넥스트(03)(LHY)_안진조서요약-유로넥스트(03)(LHY)_새누리상호저축(03-LHY)-new_99Group center-04중간업데이트기말-LHY 4" xfId="534"/>
    <cellStyle name="-_안진조서요약-유로넥스트(03)(LHY)_안진조서요약-유로넥스트(03)(LHY)_새누리상호저축(03-LHY)-new_99Group center-ARP04기말-LHY" xfId="535"/>
    <cellStyle name="-_안진조서요약-유로넥스트(03)(LHY)_안진조서요약-유로넥스트(03)(LHY)_새누리상호저축(03-LHY)-new_99Group center-ARP04기말-LHY 2" xfId="536"/>
    <cellStyle name="-_안진조서요약-유로넥스트(03)(LHY)_안진조서요약-유로넥스트(03)(LHY)_새누리상호저축(03-LHY)-new_99Group center-ARP04기말-LHY 3" xfId="537"/>
    <cellStyle name="-_안진조서요약-유로넥스트(03)(LHY)_안진조서요약-유로넥스트(03)(LHY)_새누리상호저축(03-LHY)-new_99Group center-ARP04기말-LHY 4" xfId="538"/>
    <cellStyle name="-_안진조서요약-유로넥스트(03)(LHY)_안진조서요약-유로넥스트(03)(LHY)_새누리상호저축(03-LHY)_99Group center-04기말-LHY" xfId="539"/>
    <cellStyle name="-_안진조서요약-유로넥스트(03)(LHY)_안진조서요약-유로넥스트(03)(LHY)_새누리상호저축(03-LHY)_99Group center-04기말-LHY 2" xfId="540"/>
    <cellStyle name="-_안진조서요약-유로넥스트(03)(LHY)_안진조서요약-유로넥스트(03)(LHY)_새누리상호저축(03-LHY)_99Group center-04기말-LHY 3" xfId="541"/>
    <cellStyle name="-_안진조서요약-유로넥스트(03)(LHY)_안진조서요약-유로넥스트(03)(LHY)_새누리상호저축(03-LHY)_99Group center-04기말-LHY 4" xfId="542"/>
    <cellStyle name="-_안진조서요약-유로넥스트(03)(LHY)_안진조서요약-유로넥스트(03)(LHY)_새누리상호저축(03-LHY)_99Group center-04중간업데이트기말-LHY" xfId="543"/>
    <cellStyle name="-_안진조서요약-유로넥스트(03)(LHY)_안진조서요약-유로넥스트(03)(LHY)_새누리상호저축(03-LHY)_99Group center-04중간업데이트기말-LHY 2" xfId="544"/>
    <cellStyle name="-_안진조서요약-유로넥스트(03)(LHY)_안진조서요약-유로넥스트(03)(LHY)_새누리상호저축(03-LHY)_99Group center-04중간업데이트기말-LHY 3" xfId="545"/>
    <cellStyle name="-_안진조서요약-유로넥스트(03)(LHY)_안진조서요약-유로넥스트(03)(LHY)_새누리상호저축(03-LHY)_99Group center-04중간업데이트기말-LHY 4" xfId="546"/>
    <cellStyle name="-_안진조서요약-유로넥스트(03)(LHY)_안진조서요약-유로넥스트(03)(LHY)_새누리상호저축(03-LHY)_99Group center-ARP04기말-LHY" xfId="547"/>
    <cellStyle name="-_안진조서요약-유로넥스트(03)(LHY)_안진조서요약-유로넥스트(03)(LHY)_새누리상호저축(03-LHY)_99Group center-ARP04기말-LHY 2" xfId="548"/>
    <cellStyle name="-_안진조서요약-유로넥스트(03)(LHY)_안진조서요약-유로넥스트(03)(LHY)_새누리상호저축(03-LHY)_99Group center-ARP04기말-LHY 3" xfId="549"/>
    <cellStyle name="-_안진조서요약-유로넥스트(03)(LHY)_안진조서요약-유로넥스트(03)(LHY)_새누리상호저축(03-LHY)_99Group center-ARP04기말-LHY 4" xfId="550"/>
    <cellStyle name="-_안진조서요약-유로넥스트(03)(LHY)_안진조서요약-유로넥스트(03)(LHY)_쌈지-04반기-(LHY)" xfId="551"/>
    <cellStyle name="-_안진조서요약-유로넥스트(03)(LHY)_안진조서요약-유로넥스트(03)(LHY)_쌈지-04반기-(LHY) 2" xfId="552"/>
    <cellStyle name="-_안진조서요약-유로넥스트(03)(LHY)_안진조서요약-유로넥스트(03)(LHY)_쌈지-04반기-(LHY) 3" xfId="553"/>
    <cellStyle name="-_안진조서요약-유로넥스트(03)(LHY)_안진조서요약-유로넥스트(03)(LHY)_쌈지-04반기-(LHY) 4" xfId="554"/>
    <cellStyle name="-_안진조서요약-유로넥스트(03)(LHY)_안진조서요약-유로넥스트(03)(LHY)_쌈지-04반기-(LHY)_99Group center-04기말-LHY" xfId="555"/>
    <cellStyle name="-_안진조서요약-유로넥스트(03)(LHY)_안진조서요약-유로넥스트(03)(LHY)_쌈지-04반기-(LHY)_99Group center-04기말-LHY 2" xfId="556"/>
    <cellStyle name="-_안진조서요약-유로넥스트(03)(LHY)_안진조서요약-유로넥스트(03)(LHY)_쌈지-04반기-(LHY)_99Group center-04기말-LHY 3" xfId="557"/>
    <cellStyle name="-_안진조서요약-유로넥스트(03)(LHY)_안진조서요약-유로넥스트(03)(LHY)_쌈지-04반기-(LHY)_99Group center-04기말-LHY 4" xfId="558"/>
    <cellStyle name="-_안진조서요약-유로넥스트(03)(LHY)_안진조서요약-유로넥스트(03)(LHY)_쌈지-04반기-(LHY)_99Group center-04중간업데이트기말-LHY" xfId="559"/>
    <cellStyle name="-_안진조서요약-유로넥스트(03)(LHY)_안진조서요약-유로넥스트(03)(LHY)_쌈지-04반기-(LHY)_99Group center-04중간업데이트기말-LHY 2" xfId="560"/>
    <cellStyle name="-_안진조서요약-유로넥스트(03)(LHY)_안진조서요약-유로넥스트(03)(LHY)_쌈지-04반기-(LHY)_99Group center-04중간업데이트기말-LHY 3" xfId="561"/>
    <cellStyle name="-_안진조서요약-유로넥스트(03)(LHY)_안진조서요약-유로넥스트(03)(LHY)_쌈지-04반기-(LHY)_99Group center-04중간업데이트기말-LHY 4" xfId="562"/>
    <cellStyle name="-_안진조서요약-유로넥스트(03)(LHY)_안진조서요약-유로넥스트(03)(LHY)_쌈지-04반기-(LHY)_99Group center-ARP04기말-LHY" xfId="563"/>
    <cellStyle name="-_안진조서요약-유로넥스트(03)(LHY)_안진조서요약-유로넥스트(03)(LHY)_쌈지-04반기-(LHY)_99Group center-ARP04기말-LHY 2" xfId="564"/>
    <cellStyle name="-_안진조서요약-유로넥스트(03)(LHY)_안진조서요약-유로넥스트(03)(LHY)_쌈지-04반기-(LHY)_99Group center-ARP04기말-LHY 3" xfId="565"/>
    <cellStyle name="-_안진조서요약-유로넥스트(03)(LHY)_안진조서요약-유로넥스트(03)(LHY)_쌈지-04반기-(LHY)_99Group center-ARP04기말-LHY 4" xfId="566"/>
    <cellStyle name="-_안진조서요약-유로넥스트(03)(LHY)_안진조서요약-유로넥스트(03)(LHY)_엠비즈-03-기말(LHY)" xfId="567"/>
    <cellStyle name="-_안진조서요약-유로넥스트(03)(LHY)_안진조서요약-유로넥스트(03)(LHY)_엠비즈-03-기말(LHY) 2" xfId="568"/>
    <cellStyle name="-_안진조서요약-유로넥스트(03)(LHY)_안진조서요약-유로넥스트(03)(LHY)_엠비즈-03-기말(LHY) 3" xfId="569"/>
    <cellStyle name="-_안진조서요약-유로넥스트(03)(LHY)_안진조서요약-유로넥스트(03)(LHY)_엠비즈-03-기말(LHY) 4" xfId="570"/>
    <cellStyle name="-_안진조서요약-유로넥스트(03)(LHY)_안진조서요약-유로넥스트(03)(LHY)_엠비즈-03-기말(LHY)_99Group center-04기말-LHY" xfId="571"/>
    <cellStyle name="-_안진조서요약-유로넥스트(03)(LHY)_안진조서요약-유로넥스트(03)(LHY)_엠비즈-03-기말(LHY)_99Group center-04기말-LHY 2" xfId="572"/>
    <cellStyle name="-_안진조서요약-유로넥스트(03)(LHY)_안진조서요약-유로넥스트(03)(LHY)_엠비즈-03-기말(LHY)_99Group center-04기말-LHY 3" xfId="573"/>
    <cellStyle name="-_안진조서요약-유로넥스트(03)(LHY)_안진조서요약-유로넥스트(03)(LHY)_엠비즈-03-기말(LHY)_99Group center-04기말-LHY 4" xfId="574"/>
    <cellStyle name="-_안진조서요약-유로넥스트(03)(LHY)_안진조서요약-유로넥스트(03)(LHY)_엠비즈-03-기말(LHY)_99Group center-04중간업데이트기말-LHY" xfId="575"/>
    <cellStyle name="-_안진조서요약-유로넥스트(03)(LHY)_안진조서요약-유로넥스트(03)(LHY)_엠비즈-03-기말(LHY)_99Group center-04중간업데이트기말-LHY 2" xfId="576"/>
    <cellStyle name="-_안진조서요약-유로넥스트(03)(LHY)_안진조서요약-유로넥스트(03)(LHY)_엠비즈-03-기말(LHY)_99Group center-04중간업데이트기말-LHY 3" xfId="577"/>
    <cellStyle name="-_안진조서요약-유로넥스트(03)(LHY)_안진조서요약-유로넥스트(03)(LHY)_엠비즈-03-기말(LHY)_99Group center-04중간업데이트기말-LHY 4" xfId="578"/>
    <cellStyle name="-_안진조서요약-유로넥스트(03)(LHY)_안진조서요약-유로넥스트(03)(LHY)_엠비즈-03-기말(LHY)_99Group center-ARP04기말-LHY" xfId="579"/>
    <cellStyle name="-_안진조서요약-유로넥스트(03)(LHY)_안진조서요약-유로넥스트(03)(LHY)_엠비즈-03-기말(LHY)_99Group center-ARP04기말-LHY 2" xfId="580"/>
    <cellStyle name="-_안진조서요약-유로넥스트(03)(LHY)_안진조서요약-유로넥스트(03)(LHY)_엠비즈-03-기말(LHY)_99Group center-ARP04기말-LHY 3" xfId="581"/>
    <cellStyle name="-_안진조서요약-유로넥스트(03)(LHY)_안진조서요약-유로넥스트(03)(LHY)_엠비즈-03-기말(LHY)_99Group center-ARP04기말-LHY 4" xfId="582"/>
    <cellStyle name="-_안진조서요약-유로넥스트(03)(LHY)_안진조서요약-유로넥스트(03)(LHY)_원가율검-조정" xfId="583"/>
    <cellStyle name="-_안진조서요약-유로넥스트(03)(LHY)_안진조서요약-유로넥스트(03)(LHY)_원가율검-조정 2" xfId="584"/>
    <cellStyle name="-_안진조서요약-유로넥스트(03)(LHY)_안진조서요약-유로넥스트(03)(LHY)_원가율검-조정 3" xfId="585"/>
    <cellStyle name="-_안진조서요약-유로넥스트(03)(LHY)_안진조서요약-유로넥스트(03)(LHY)_원가율검-조정 4" xfId="586"/>
    <cellStyle name="-_안진조서요약-유로넥스트(03)(LHY)_안진조서요약-유로넥스트(03)(LHY)_원가율검-조정_99Group center-04기말-LHY" xfId="587"/>
    <cellStyle name="-_안진조서요약-유로넥스트(03)(LHY)_안진조서요약-유로넥스트(03)(LHY)_원가율검-조정_99Group center-04기말-LHY 2" xfId="588"/>
    <cellStyle name="-_안진조서요약-유로넥스트(03)(LHY)_안진조서요약-유로넥스트(03)(LHY)_원가율검-조정_99Group center-04기말-LHY 3" xfId="589"/>
    <cellStyle name="-_안진조서요약-유로넥스트(03)(LHY)_안진조서요약-유로넥스트(03)(LHY)_원가율검-조정_99Group center-04기말-LHY 4" xfId="590"/>
    <cellStyle name="-_안진조서요약-유로넥스트(03)(LHY)_안진조서요약-유로넥스트(03)(LHY)_원가율검-조정_99Group center-04중간업데이트기말-LHY" xfId="591"/>
    <cellStyle name="-_안진조서요약-유로넥스트(03)(LHY)_안진조서요약-유로넥스트(03)(LHY)_원가율검-조정_99Group center-04중간업데이트기말-LHY 2" xfId="592"/>
    <cellStyle name="-_안진조서요약-유로넥스트(03)(LHY)_안진조서요약-유로넥스트(03)(LHY)_원가율검-조정_99Group center-04중간업데이트기말-LHY 3" xfId="593"/>
    <cellStyle name="-_안진조서요약-유로넥스트(03)(LHY)_안진조서요약-유로넥스트(03)(LHY)_원가율검-조정_99Group center-04중간업데이트기말-LHY 4" xfId="594"/>
    <cellStyle name="-_안진조서요약-유로넥스트(03)(LHY)_안진조서요약-유로넥스트(03)(LHY)_원가율검-조정_99Group center-ARP04기말-LHY" xfId="595"/>
    <cellStyle name="-_안진조서요약-유로넥스트(03)(LHY)_안진조서요약-유로넥스트(03)(LHY)_원가율검-조정_99Group center-ARP04기말-LHY 2" xfId="596"/>
    <cellStyle name="-_안진조서요약-유로넥스트(03)(LHY)_안진조서요약-유로넥스트(03)(LHY)_원가율검-조정_99Group center-ARP04기말-LHY 3" xfId="597"/>
    <cellStyle name="-_안진조서요약-유로넥스트(03)(LHY)_안진조서요약-유로넥스트(03)(LHY)_원가율검-조정_99Group center-ARP04기말-LHY 4" xfId="598"/>
    <cellStyle name="-_안진조서요약-유로넥스트(03)(LHY)_안진조서요약-유로넥스트(03)(LHY)_유로넥스트(03)(LHY)" xfId="599"/>
    <cellStyle name="-_안진조서요약-유로넥스트(03)(LHY)_안진조서요약-유로넥스트(03)(LHY)_유로넥스트(03)(LHY) 2" xfId="600"/>
    <cellStyle name="-_안진조서요약-유로넥스트(03)(LHY)_안진조서요약-유로넥스트(03)(LHY)_유로넥스트(03)(LHY) 3" xfId="601"/>
    <cellStyle name="-_안진조서요약-유로넥스트(03)(LHY)_안진조서요약-유로넥스트(03)(LHY)_유로넥스트(03)(LHY) 4" xfId="602"/>
    <cellStyle name="-_안진조서요약-유로넥스트(03)(LHY)_안진조서요약-유로넥스트(03)(LHY)_유로넥스트(03)(LHY)_단기투자, 장기투자의 양식(회계사요청)(1)" xfId="603"/>
    <cellStyle name="-_안진조서요약-유로넥스트(03)(LHY)_안진조서요약-유로넥스트(03)(LHY)_유로넥스트(03)(LHY)_단기투자, 장기투자의 양식(회계사요청)(1) 2" xfId="604"/>
    <cellStyle name="-_안진조서요약-유로넥스트(03)(LHY)_안진조서요약-유로넥스트(03)(LHY)_유로넥스트(03)(LHY)_단기투자, 장기투자의 양식(회계사요청)(1) 3" xfId="605"/>
    <cellStyle name="-_안진조서요약-유로넥스트(03)(LHY)_안진조서요약-유로넥스트(03)(LHY)_유로넥스트(03)(LHY)_단기투자, 장기투자의 양식(회계사요청)(1) 4" xfId="606"/>
    <cellStyle name="-_안진조서요약-유로넥스트(03)(LHY)_안진조서요약-유로넥스트(03)(LHY)_유로넥스트(03)(LHY)_단기투자, 장기투자의 양식(회계사요청)(1)_99Group center-04기말-LHY" xfId="607"/>
    <cellStyle name="-_안진조서요약-유로넥스트(03)(LHY)_안진조서요약-유로넥스트(03)(LHY)_유로넥스트(03)(LHY)_단기투자, 장기투자의 양식(회계사요청)(1)_99Group center-04기말-LHY 2" xfId="608"/>
    <cellStyle name="-_안진조서요약-유로넥스트(03)(LHY)_안진조서요약-유로넥스트(03)(LHY)_유로넥스트(03)(LHY)_단기투자, 장기투자의 양식(회계사요청)(1)_99Group center-04기말-LHY 3" xfId="609"/>
    <cellStyle name="-_안진조서요약-유로넥스트(03)(LHY)_안진조서요약-유로넥스트(03)(LHY)_유로넥스트(03)(LHY)_단기투자, 장기투자의 양식(회계사요청)(1)_99Group center-04기말-LHY 4" xfId="610"/>
    <cellStyle name="-_안진조서요약-유로넥스트(03)(LHY)_안진조서요약-유로넥스트(03)(LHY)_유로넥스트(03)(LHY)_단기투자, 장기투자의 양식(회계사요청)(1)_99Group center-04중간업데이트기말-LHY" xfId="611"/>
    <cellStyle name="-_안진조서요약-유로넥스트(03)(LHY)_안진조서요약-유로넥스트(03)(LHY)_유로넥스트(03)(LHY)_단기투자, 장기투자의 양식(회계사요청)(1)_99Group center-04중간업데이트기말-LHY 2" xfId="612"/>
    <cellStyle name="-_안진조서요약-유로넥스트(03)(LHY)_안진조서요약-유로넥스트(03)(LHY)_유로넥스트(03)(LHY)_단기투자, 장기투자의 양식(회계사요청)(1)_99Group center-04중간업데이트기말-LHY 3" xfId="613"/>
    <cellStyle name="-_안진조서요약-유로넥스트(03)(LHY)_안진조서요약-유로넥스트(03)(LHY)_유로넥스트(03)(LHY)_단기투자, 장기투자의 양식(회계사요청)(1)_99Group center-04중간업데이트기말-LHY 4" xfId="614"/>
    <cellStyle name="-_안진조서요약-유로넥스트(03)(LHY)_안진조서요약-유로넥스트(03)(LHY)_유로넥스트(03)(LHY)_단기투자, 장기투자의 양식(회계사요청)(1)_99Group center-ARP04기말-LHY" xfId="615"/>
    <cellStyle name="-_안진조서요약-유로넥스트(03)(LHY)_안진조서요약-유로넥스트(03)(LHY)_유로넥스트(03)(LHY)_단기투자, 장기투자의 양식(회계사요청)(1)_99Group center-ARP04기말-LHY 2" xfId="616"/>
    <cellStyle name="-_안진조서요약-유로넥스트(03)(LHY)_안진조서요약-유로넥스트(03)(LHY)_유로넥스트(03)(LHY)_단기투자, 장기투자의 양식(회계사요청)(1)_99Group center-ARP04기말-LHY 3" xfId="617"/>
    <cellStyle name="-_안진조서요약-유로넥스트(03)(LHY)_안진조서요약-유로넥스트(03)(LHY)_유로넥스트(03)(LHY)_단기투자, 장기투자의 양식(회계사요청)(1)_99Group center-ARP04기말-LHY 4" xfId="618"/>
    <cellStyle name="-_안진조서요약-유로넥스트(03)(LHY)_안진조서요약-유로넥스트(03)(LHY)_유로넥스트(03)(LHY)_대출채권 Sampling" xfId="619"/>
    <cellStyle name="-_안진조서요약-유로넥스트(03)(LHY)_안진조서요약-유로넥스트(03)(LHY)_유로넥스트(03)(LHY)_대출채권 Sampling 2" xfId="620"/>
    <cellStyle name="-_안진조서요약-유로넥스트(03)(LHY)_안진조서요약-유로넥스트(03)(LHY)_유로넥스트(03)(LHY)_대출채권 Sampling 3" xfId="621"/>
    <cellStyle name="-_안진조서요약-유로넥스트(03)(LHY)_안진조서요약-유로넥스트(03)(LHY)_유로넥스트(03)(LHY)_대출채권 Sampling 4" xfId="622"/>
    <cellStyle name="-_안진조서요약-유로넥스트(03)(LHY)_안진조서요약-유로넥스트(03)(LHY)_유로넥스트(03)(LHY)_대출채권 Sampling_99Group center-04기말-LHY" xfId="623"/>
    <cellStyle name="-_안진조서요약-유로넥스트(03)(LHY)_안진조서요약-유로넥스트(03)(LHY)_유로넥스트(03)(LHY)_대출채권 Sampling_99Group center-04기말-LHY 2" xfId="624"/>
    <cellStyle name="-_안진조서요약-유로넥스트(03)(LHY)_안진조서요약-유로넥스트(03)(LHY)_유로넥스트(03)(LHY)_대출채권 Sampling_99Group center-04기말-LHY 3" xfId="625"/>
    <cellStyle name="-_안진조서요약-유로넥스트(03)(LHY)_안진조서요약-유로넥스트(03)(LHY)_유로넥스트(03)(LHY)_대출채권 Sampling_99Group center-04기말-LHY 4" xfId="626"/>
    <cellStyle name="-_안진조서요약-유로넥스트(03)(LHY)_안진조서요약-유로넥스트(03)(LHY)_유로넥스트(03)(LHY)_대출채권 Sampling_99Group center-04중간업데이트기말-LHY" xfId="627"/>
    <cellStyle name="-_안진조서요약-유로넥스트(03)(LHY)_안진조서요약-유로넥스트(03)(LHY)_유로넥스트(03)(LHY)_대출채권 Sampling_99Group center-04중간업데이트기말-LHY 2" xfId="628"/>
    <cellStyle name="-_안진조서요약-유로넥스트(03)(LHY)_안진조서요약-유로넥스트(03)(LHY)_유로넥스트(03)(LHY)_대출채권 Sampling_99Group center-04중간업데이트기말-LHY 3" xfId="629"/>
    <cellStyle name="-_안진조서요약-유로넥스트(03)(LHY)_안진조서요약-유로넥스트(03)(LHY)_유로넥스트(03)(LHY)_대출채권 Sampling_99Group center-04중간업데이트기말-LHY 4" xfId="630"/>
    <cellStyle name="-_안진조서요약-유로넥스트(03)(LHY)_안진조서요약-유로넥스트(03)(LHY)_유로넥스트(03)(LHY)_대출채권 Sampling_99Group center-ARP04기말-LHY" xfId="631"/>
    <cellStyle name="-_안진조서요약-유로넥스트(03)(LHY)_안진조서요약-유로넥스트(03)(LHY)_유로넥스트(03)(LHY)_대출채권 Sampling_99Group center-ARP04기말-LHY 2" xfId="632"/>
    <cellStyle name="-_안진조서요약-유로넥스트(03)(LHY)_안진조서요약-유로넥스트(03)(LHY)_유로넥스트(03)(LHY)_대출채권 Sampling_99Group center-ARP04기말-LHY 3" xfId="633"/>
    <cellStyle name="-_안진조서요약-유로넥스트(03)(LHY)_안진조서요약-유로넥스트(03)(LHY)_유로넥스트(03)(LHY)_대출채권 Sampling_99Group center-ARP04기말-LHY 4" xfId="634"/>
    <cellStyle name="-_안진조서요약-유로넥스트(03)(LHY)_안진조서요약-유로넥스트(03)(LHY)_유로넥스트(03)(LHY)_동양매직-03(LHY)" xfId="635"/>
    <cellStyle name="-_안진조서요약-유로넥스트(03)(LHY)_안진조서요약-유로넥스트(03)(LHY)_유로넥스트(03)(LHY)_동양매직-03(LHY) 2" xfId="636"/>
    <cellStyle name="-_안진조서요약-유로넥스트(03)(LHY)_안진조서요약-유로넥스트(03)(LHY)_유로넥스트(03)(LHY)_동양매직-03(LHY) 3" xfId="637"/>
    <cellStyle name="-_안진조서요약-유로넥스트(03)(LHY)_안진조서요약-유로넥스트(03)(LHY)_유로넥스트(03)(LHY)_동양매직-03(LHY) 4" xfId="638"/>
    <cellStyle name="-_안진조서요약-유로넥스트(03)(LHY)_안진조서요약-유로넥스트(03)(LHY)_유로넥스트(03)(LHY)_동양매직-03(LHY)_99Group center-04기말-LHY" xfId="639"/>
    <cellStyle name="-_안진조서요약-유로넥스트(03)(LHY)_안진조서요약-유로넥스트(03)(LHY)_유로넥스트(03)(LHY)_동양매직-03(LHY)_99Group center-04기말-LHY 2" xfId="640"/>
    <cellStyle name="-_안진조서요약-유로넥스트(03)(LHY)_안진조서요약-유로넥스트(03)(LHY)_유로넥스트(03)(LHY)_동양매직-03(LHY)_99Group center-04기말-LHY 3" xfId="641"/>
    <cellStyle name="-_안진조서요약-유로넥스트(03)(LHY)_안진조서요약-유로넥스트(03)(LHY)_유로넥스트(03)(LHY)_동양매직-03(LHY)_99Group center-04기말-LHY 4" xfId="642"/>
    <cellStyle name="-_안진조서요약-유로넥스트(03)(LHY)_안진조서요약-유로넥스트(03)(LHY)_유로넥스트(03)(LHY)_동양매직-03(LHY)_99Group center-04중간업데이트기말-LHY" xfId="643"/>
    <cellStyle name="-_안진조서요약-유로넥스트(03)(LHY)_안진조서요약-유로넥스트(03)(LHY)_유로넥스트(03)(LHY)_동양매직-03(LHY)_99Group center-04중간업데이트기말-LHY 2" xfId="644"/>
    <cellStyle name="-_안진조서요약-유로넥스트(03)(LHY)_안진조서요약-유로넥스트(03)(LHY)_유로넥스트(03)(LHY)_동양매직-03(LHY)_99Group center-04중간업데이트기말-LHY 3" xfId="645"/>
    <cellStyle name="-_안진조서요약-유로넥스트(03)(LHY)_안진조서요약-유로넥스트(03)(LHY)_유로넥스트(03)(LHY)_동양매직-03(LHY)_99Group center-04중간업데이트기말-LHY 4" xfId="646"/>
    <cellStyle name="-_안진조서요약-유로넥스트(03)(LHY)_안진조서요약-유로넥스트(03)(LHY)_유로넥스트(03)(LHY)_동양매직-03(LHY)_99Group center-ARP04기말-LHY" xfId="647"/>
    <cellStyle name="-_안진조서요약-유로넥스트(03)(LHY)_안진조서요약-유로넥스트(03)(LHY)_유로넥스트(03)(LHY)_동양매직-03(LHY)_99Group center-ARP04기말-LHY 2" xfId="648"/>
    <cellStyle name="-_안진조서요약-유로넥스트(03)(LHY)_안진조서요약-유로넥스트(03)(LHY)_유로넥스트(03)(LHY)_동양매직-03(LHY)_99Group center-ARP04기말-LHY 3" xfId="649"/>
    <cellStyle name="-_안진조서요약-유로넥스트(03)(LHY)_안진조서요약-유로넥스트(03)(LHY)_유로넥스트(03)(LHY)_동양매직-03(LHY)_99Group center-ARP04기말-LHY 4" xfId="650"/>
    <cellStyle name="-_안진조서요약-유로넥스트(03)(LHY)_안진조서요약-유로넥스트(03)(LHY)_유로넥스트(03)(LHY)_매직산업(03기말-LHY)" xfId="651"/>
    <cellStyle name="-_안진조서요약-유로넥스트(03)(LHY)_안진조서요약-유로넥스트(03)(LHY)_유로넥스트(03)(LHY)_매직산업(03기말-LHY) 2" xfId="652"/>
    <cellStyle name="-_안진조서요약-유로넥스트(03)(LHY)_안진조서요약-유로넥스트(03)(LHY)_유로넥스트(03)(LHY)_매직산업(03기말-LHY) 3" xfId="653"/>
    <cellStyle name="-_안진조서요약-유로넥스트(03)(LHY)_안진조서요약-유로넥스트(03)(LHY)_유로넥스트(03)(LHY)_매직산업(03기말-LHY) 4" xfId="654"/>
    <cellStyle name="-_안진조서요약-유로넥스트(03)(LHY)_안진조서요약-유로넥스트(03)(LHY)_유로넥스트(03)(LHY)_매직산업(03기말-LHY)_99Group center-04기말-LHY" xfId="655"/>
    <cellStyle name="-_안진조서요약-유로넥스트(03)(LHY)_안진조서요약-유로넥스트(03)(LHY)_유로넥스트(03)(LHY)_매직산업(03기말-LHY)_99Group center-04기말-LHY 2" xfId="656"/>
    <cellStyle name="-_안진조서요약-유로넥스트(03)(LHY)_안진조서요약-유로넥스트(03)(LHY)_유로넥스트(03)(LHY)_매직산업(03기말-LHY)_99Group center-04기말-LHY 3" xfId="657"/>
    <cellStyle name="-_안진조서요약-유로넥스트(03)(LHY)_안진조서요약-유로넥스트(03)(LHY)_유로넥스트(03)(LHY)_매직산업(03기말-LHY)_99Group center-04기말-LHY 4" xfId="658"/>
    <cellStyle name="-_안진조서요약-유로넥스트(03)(LHY)_안진조서요약-유로넥스트(03)(LHY)_유로넥스트(03)(LHY)_매직산업(03기말-LHY)_99Group center-04중간업데이트기말-LHY" xfId="659"/>
    <cellStyle name="-_안진조서요약-유로넥스트(03)(LHY)_안진조서요약-유로넥스트(03)(LHY)_유로넥스트(03)(LHY)_매직산업(03기말-LHY)_99Group center-04중간업데이트기말-LHY 2" xfId="660"/>
    <cellStyle name="-_안진조서요약-유로넥스트(03)(LHY)_안진조서요약-유로넥스트(03)(LHY)_유로넥스트(03)(LHY)_매직산업(03기말-LHY)_99Group center-04중간업데이트기말-LHY 3" xfId="661"/>
    <cellStyle name="-_안진조서요약-유로넥스트(03)(LHY)_안진조서요약-유로넥스트(03)(LHY)_유로넥스트(03)(LHY)_매직산업(03기말-LHY)_99Group center-04중간업데이트기말-LHY 4" xfId="662"/>
    <cellStyle name="-_안진조서요약-유로넥스트(03)(LHY)_안진조서요약-유로넥스트(03)(LHY)_유로넥스트(03)(LHY)_매직산업(03기말-LHY)_99Group center-ARP04기말-LHY" xfId="663"/>
    <cellStyle name="-_안진조서요약-유로넥스트(03)(LHY)_안진조서요약-유로넥스트(03)(LHY)_유로넥스트(03)(LHY)_매직산업(03기말-LHY)_99Group center-ARP04기말-LHY 2" xfId="664"/>
    <cellStyle name="-_안진조서요약-유로넥스트(03)(LHY)_안진조서요약-유로넥스트(03)(LHY)_유로넥스트(03)(LHY)_매직산업(03기말-LHY)_99Group center-ARP04기말-LHY 3" xfId="665"/>
    <cellStyle name="-_안진조서요약-유로넥스트(03)(LHY)_안진조서요약-유로넥스트(03)(LHY)_유로넥스트(03)(LHY)_매직산업(03기말-LHY)_99Group center-ARP04기말-LHY 4" xfId="666"/>
    <cellStyle name="-_안진조서요약-유로넥스트(03)(LHY)_안진조서요약-유로넥스트(03)(LHY)_유로넥스트(03)(LHY)_벽산페인트(03,LHY)1" xfId="667"/>
    <cellStyle name="-_안진조서요약-유로넥스트(03)(LHY)_안진조서요약-유로넥스트(03)(LHY)_유로넥스트(03)(LHY)_벽산페인트(03,LHY)1 2" xfId="668"/>
    <cellStyle name="-_안진조서요약-유로넥스트(03)(LHY)_안진조서요약-유로넥스트(03)(LHY)_유로넥스트(03)(LHY)_벽산페인트(03,LHY)1 3" xfId="669"/>
    <cellStyle name="-_안진조서요약-유로넥스트(03)(LHY)_안진조서요약-유로넥스트(03)(LHY)_유로넥스트(03)(LHY)_벽산페인트(03,LHY)1 4" xfId="670"/>
    <cellStyle name="-_안진조서요약-유로넥스트(03)(LHY)_안진조서요약-유로넥스트(03)(LHY)_유로넥스트(03)(LHY)_벽산페인트(03,LHY)1_99Group center-04기말-LHY" xfId="671"/>
    <cellStyle name="-_안진조서요약-유로넥스트(03)(LHY)_안진조서요약-유로넥스트(03)(LHY)_유로넥스트(03)(LHY)_벽산페인트(03,LHY)1_99Group center-04기말-LHY 2" xfId="672"/>
    <cellStyle name="-_안진조서요약-유로넥스트(03)(LHY)_안진조서요약-유로넥스트(03)(LHY)_유로넥스트(03)(LHY)_벽산페인트(03,LHY)1_99Group center-04기말-LHY 3" xfId="673"/>
    <cellStyle name="-_안진조서요약-유로넥스트(03)(LHY)_안진조서요약-유로넥스트(03)(LHY)_유로넥스트(03)(LHY)_벽산페인트(03,LHY)1_99Group center-04기말-LHY 4" xfId="674"/>
    <cellStyle name="-_안진조서요약-유로넥스트(03)(LHY)_안진조서요약-유로넥스트(03)(LHY)_유로넥스트(03)(LHY)_벽산페인트(03,LHY)1_99Group center-04중간업데이트기말-LHY" xfId="675"/>
    <cellStyle name="-_안진조서요약-유로넥스트(03)(LHY)_안진조서요약-유로넥스트(03)(LHY)_유로넥스트(03)(LHY)_벽산페인트(03,LHY)1_99Group center-04중간업데이트기말-LHY 2" xfId="676"/>
    <cellStyle name="-_안진조서요약-유로넥스트(03)(LHY)_안진조서요약-유로넥스트(03)(LHY)_유로넥스트(03)(LHY)_벽산페인트(03,LHY)1_99Group center-04중간업데이트기말-LHY 3" xfId="677"/>
    <cellStyle name="-_안진조서요약-유로넥스트(03)(LHY)_안진조서요약-유로넥스트(03)(LHY)_유로넥스트(03)(LHY)_벽산페인트(03,LHY)1_99Group center-04중간업데이트기말-LHY 4" xfId="678"/>
    <cellStyle name="-_안진조서요약-유로넥스트(03)(LHY)_안진조서요약-유로넥스트(03)(LHY)_유로넥스트(03)(LHY)_벽산페인트(03,LHY)1_99Group center-ARP04기말-LHY" xfId="679"/>
    <cellStyle name="-_안진조서요약-유로넥스트(03)(LHY)_안진조서요약-유로넥스트(03)(LHY)_유로넥스트(03)(LHY)_벽산페인트(03,LHY)1_99Group center-ARP04기말-LHY 2" xfId="680"/>
    <cellStyle name="-_안진조서요약-유로넥스트(03)(LHY)_안진조서요약-유로넥스트(03)(LHY)_유로넥스트(03)(LHY)_벽산페인트(03,LHY)1_99Group center-ARP04기말-LHY 3" xfId="681"/>
    <cellStyle name="-_안진조서요약-유로넥스트(03)(LHY)_안진조서요약-유로넥스트(03)(LHY)_유로넥스트(03)(LHY)_벽산페인트(03,LHY)1_99Group center-ARP04기말-LHY 4" xfId="682"/>
    <cellStyle name="-_안진조서요약-유로넥스트(03)(LHY)_안진조서요약-유로넥스트(03)(LHY)_유로넥스트(03)(LHY)_새누리상호저축(03-LHY)" xfId="683"/>
    <cellStyle name="-_안진조서요약-유로넥스트(03)(LHY)_안진조서요약-유로넥스트(03)(LHY)_유로넥스트(03)(LHY)_새누리상호저축(03-LHY) 2" xfId="684"/>
    <cellStyle name="-_안진조서요약-유로넥스트(03)(LHY)_안진조서요약-유로넥스트(03)(LHY)_유로넥스트(03)(LHY)_새누리상호저축(03-LHY) 3" xfId="685"/>
    <cellStyle name="-_안진조서요약-유로넥스트(03)(LHY)_안진조서요약-유로넥스트(03)(LHY)_유로넥스트(03)(LHY)_새누리상호저축(03-LHY) 4" xfId="686"/>
    <cellStyle name="-_안진조서요약-유로넥스트(03)(LHY)_안진조서요약-유로넥스트(03)(LHY)_유로넥스트(03)(LHY)_새누리상호저축(03-LHY)-new" xfId="687"/>
    <cellStyle name="-_안진조서요약-유로넥스트(03)(LHY)_안진조서요약-유로넥스트(03)(LHY)_유로넥스트(03)(LHY)_새누리상호저축(03-LHY)-new 2" xfId="688"/>
    <cellStyle name="-_안진조서요약-유로넥스트(03)(LHY)_안진조서요약-유로넥스트(03)(LHY)_유로넥스트(03)(LHY)_새누리상호저축(03-LHY)-new 3" xfId="689"/>
    <cellStyle name="-_안진조서요약-유로넥스트(03)(LHY)_안진조서요약-유로넥스트(03)(LHY)_유로넥스트(03)(LHY)_새누리상호저축(03-LHY)-new 4" xfId="690"/>
    <cellStyle name="-_안진조서요약-유로넥스트(03)(LHY)_안진조서요약-유로넥스트(03)(LHY)_유로넥스트(03)(LHY)_새누리상호저축(03-LHY)-new_99Group center-04기말-LHY" xfId="691"/>
    <cellStyle name="-_안진조서요약-유로넥스트(03)(LHY)_안진조서요약-유로넥스트(03)(LHY)_유로넥스트(03)(LHY)_새누리상호저축(03-LHY)-new_99Group center-04기말-LHY 2" xfId="692"/>
    <cellStyle name="-_안진조서요약-유로넥스트(03)(LHY)_안진조서요약-유로넥스트(03)(LHY)_유로넥스트(03)(LHY)_새누리상호저축(03-LHY)-new_99Group center-04기말-LHY 3" xfId="693"/>
    <cellStyle name="-_안진조서요약-유로넥스트(03)(LHY)_안진조서요약-유로넥스트(03)(LHY)_유로넥스트(03)(LHY)_새누리상호저축(03-LHY)-new_99Group center-04기말-LHY 4" xfId="694"/>
    <cellStyle name="-_안진조서요약-유로넥스트(03)(LHY)_안진조서요약-유로넥스트(03)(LHY)_유로넥스트(03)(LHY)_새누리상호저축(03-LHY)-new_99Group center-04중간업데이트기말-LHY" xfId="695"/>
    <cellStyle name="-_안진조서요약-유로넥스트(03)(LHY)_안진조서요약-유로넥스트(03)(LHY)_유로넥스트(03)(LHY)_새누리상호저축(03-LHY)-new_99Group center-04중간업데이트기말-LHY 2" xfId="696"/>
    <cellStyle name="-_안진조서요약-유로넥스트(03)(LHY)_안진조서요약-유로넥스트(03)(LHY)_유로넥스트(03)(LHY)_새누리상호저축(03-LHY)-new_99Group center-04중간업데이트기말-LHY 3" xfId="697"/>
    <cellStyle name="-_안진조서요약-유로넥스트(03)(LHY)_안진조서요약-유로넥스트(03)(LHY)_유로넥스트(03)(LHY)_새누리상호저축(03-LHY)-new_99Group center-04중간업데이트기말-LHY 4" xfId="698"/>
    <cellStyle name="-_안진조서요약-유로넥스트(03)(LHY)_안진조서요약-유로넥스트(03)(LHY)_유로넥스트(03)(LHY)_새누리상호저축(03-LHY)-new_99Group center-ARP04기말-LHY" xfId="699"/>
    <cellStyle name="-_안진조서요약-유로넥스트(03)(LHY)_안진조서요약-유로넥스트(03)(LHY)_유로넥스트(03)(LHY)_새누리상호저축(03-LHY)-new_99Group center-ARP04기말-LHY 2" xfId="700"/>
    <cellStyle name="-_안진조서요약-유로넥스트(03)(LHY)_안진조서요약-유로넥스트(03)(LHY)_유로넥스트(03)(LHY)_새누리상호저축(03-LHY)-new_99Group center-ARP04기말-LHY 3" xfId="701"/>
    <cellStyle name="-_안진조서요약-유로넥스트(03)(LHY)_안진조서요약-유로넥스트(03)(LHY)_유로넥스트(03)(LHY)_새누리상호저축(03-LHY)-new_99Group center-ARP04기말-LHY 4" xfId="702"/>
    <cellStyle name="-_안진조서요약-유로넥스트(03)(LHY)_안진조서요약-유로넥스트(03)(LHY)_유로넥스트(03)(LHY)_새누리상호저축(03-LHY)_99Group center-04기말-LHY" xfId="703"/>
    <cellStyle name="-_안진조서요약-유로넥스트(03)(LHY)_안진조서요약-유로넥스트(03)(LHY)_유로넥스트(03)(LHY)_새누리상호저축(03-LHY)_99Group center-04기말-LHY 2" xfId="704"/>
    <cellStyle name="-_안진조서요약-유로넥스트(03)(LHY)_안진조서요약-유로넥스트(03)(LHY)_유로넥스트(03)(LHY)_새누리상호저축(03-LHY)_99Group center-04기말-LHY 3" xfId="705"/>
    <cellStyle name="-_안진조서요약-유로넥스트(03)(LHY)_안진조서요약-유로넥스트(03)(LHY)_유로넥스트(03)(LHY)_새누리상호저축(03-LHY)_99Group center-04기말-LHY 4" xfId="706"/>
    <cellStyle name="-_안진조서요약-유로넥스트(03)(LHY)_안진조서요약-유로넥스트(03)(LHY)_유로넥스트(03)(LHY)_새누리상호저축(03-LHY)_99Group center-04중간업데이트기말-LHY" xfId="707"/>
    <cellStyle name="-_안진조서요약-유로넥스트(03)(LHY)_안진조서요약-유로넥스트(03)(LHY)_유로넥스트(03)(LHY)_새누리상호저축(03-LHY)_99Group center-04중간업데이트기말-LHY 2" xfId="708"/>
    <cellStyle name="-_안진조서요약-유로넥스트(03)(LHY)_안진조서요약-유로넥스트(03)(LHY)_유로넥스트(03)(LHY)_새누리상호저축(03-LHY)_99Group center-04중간업데이트기말-LHY 3" xfId="709"/>
    <cellStyle name="-_안진조서요약-유로넥스트(03)(LHY)_안진조서요약-유로넥스트(03)(LHY)_유로넥스트(03)(LHY)_새누리상호저축(03-LHY)_99Group center-04중간업데이트기말-LHY 4" xfId="710"/>
    <cellStyle name="-_안진조서요약-유로넥스트(03)(LHY)_안진조서요약-유로넥스트(03)(LHY)_유로넥스트(03)(LHY)_새누리상호저축(03-LHY)_99Group center-ARP04기말-LHY" xfId="711"/>
    <cellStyle name="-_안진조서요약-유로넥스트(03)(LHY)_안진조서요약-유로넥스트(03)(LHY)_유로넥스트(03)(LHY)_새누리상호저축(03-LHY)_99Group center-ARP04기말-LHY 2" xfId="712"/>
    <cellStyle name="-_안진조서요약-유로넥스트(03)(LHY)_안진조서요약-유로넥스트(03)(LHY)_유로넥스트(03)(LHY)_새누리상호저축(03-LHY)_99Group center-ARP04기말-LHY 3" xfId="713"/>
    <cellStyle name="-_안진조서요약-유로넥스트(03)(LHY)_안진조서요약-유로넥스트(03)(LHY)_유로넥스트(03)(LHY)_새누리상호저축(03-LHY)_99Group center-ARP04기말-LHY 4" xfId="714"/>
    <cellStyle name="-_안진조서요약-유로넥스트(03)(LHY)_안진조서요약-유로넥스트(03)(LHY)_유로넥스트(03)(LHY)_쌈지-04반기-(LHY)" xfId="715"/>
    <cellStyle name="-_안진조서요약-유로넥스트(03)(LHY)_안진조서요약-유로넥스트(03)(LHY)_유로넥스트(03)(LHY)_쌈지-04반기-(LHY) 2" xfId="716"/>
    <cellStyle name="-_안진조서요약-유로넥스트(03)(LHY)_안진조서요약-유로넥스트(03)(LHY)_유로넥스트(03)(LHY)_쌈지-04반기-(LHY) 3" xfId="717"/>
    <cellStyle name="-_안진조서요약-유로넥스트(03)(LHY)_안진조서요약-유로넥스트(03)(LHY)_유로넥스트(03)(LHY)_쌈지-04반기-(LHY) 4" xfId="718"/>
    <cellStyle name="-_안진조서요약-유로넥스트(03)(LHY)_안진조서요약-유로넥스트(03)(LHY)_유로넥스트(03)(LHY)_쌈지-04반기-(LHY)_99Group center-04기말-LHY" xfId="719"/>
    <cellStyle name="-_안진조서요약-유로넥스트(03)(LHY)_안진조서요약-유로넥스트(03)(LHY)_유로넥스트(03)(LHY)_쌈지-04반기-(LHY)_99Group center-04기말-LHY 2" xfId="720"/>
    <cellStyle name="-_안진조서요약-유로넥스트(03)(LHY)_안진조서요약-유로넥스트(03)(LHY)_유로넥스트(03)(LHY)_쌈지-04반기-(LHY)_99Group center-04기말-LHY 3" xfId="721"/>
    <cellStyle name="-_안진조서요약-유로넥스트(03)(LHY)_안진조서요약-유로넥스트(03)(LHY)_유로넥스트(03)(LHY)_쌈지-04반기-(LHY)_99Group center-04기말-LHY 4" xfId="722"/>
    <cellStyle name="-_안진조서요약-유로넥스트(03)(LHY)_안진조서요약-유로넥스트(03)(LHY)_유로넥스트(03)(LHY)_쌈지-04반기-(LHY)_99Group center-04중간업데이트기말-LHY" xfId="723"/>
    <cellStyle name="-_안진조서요약-유로넥스트(03)(LHY)_안진조서요약-유로넥스트(03)(LHY)_유로넥스트(03)(LHY)_쌈지-04반기-(LHY)_99Group center-04중간업데이트기말-LHY 2" xfId="724"/>
    <cellStyle name="-_안진조서요약-유로넥스트(03)(LHY)_안진조서요약-유로넥스트(03)(LHY)_유로넥스트(03)(LHY)_쌈지-04반기-(LHY)_99Group center-04중간업데이트기말-LHY 3" xfId="725"/>
    <cellStyle name="-_안진조서요약-유로넥스트(03)(LHY)_안진조서요약-유로넥스트(03)(LHY)_유로넥스트(03)(LHY)_쌈지-04반기-(LHY)_99Group center-04중간업데이트기말-LHY 4" xfId="726"/>
    <cellStyle name="-_안진조서요약-유로넥스트(03)(LHY)_안진조서요약-유로넥스트(03)(LHY)_유로넥스트(03)(LHY)_쌈지-04반기-(LHY)_99Group center-ARP04기말-LHY" xfId="727"/>
    <cellStyle name="-_안진조서요약-유로넥스트(03)(LHY)_안진조서요약-유로넥스트(03)(LHY)_유로넥스트(03)(LHY)_쌈지-04반기-(LHY)_99Group center-ARP04기말-LHY 2" xfId="728"/>
    <cellStyle name="-_안진조서요약-유로넥스트(03)(LHY)_안진조서요약-유로넥스트(03)(LHY)_유로넥스트(03)(LHY)_쌈지-04반기-(LHY)_99Group center-ARP04기말-LHY 3" xfId="729"/>
    <cellStyle name="-_안진조서요약-유로넥스트(03)(LHY)_안진조서요약-유로넥스트(03)(LHY)_유로넥스트(03)(LHY)_쌈지-04반기-(LHY)_99Group center-ARP04기말-LHY 4" xfId="730"/>
    <cellStyle name="-_안진조서요약-유로넥스트(03)(LHY)_안진조서요약-유로넥스트(03)(LHY)_유로넥스트(03)(LHY)_엠비즈-03-기말(LHY)" xfId="731"/>
    <cellStyle name="-_안진조서요약-유로넥스트(03)(LHY)_안진조서요약-유로넥스트(03)(LHY)_유로넥스트(03)(LHY)_엠비즈-03-기말(LHY) 2" xfId="732"/>
    <cellStyle name="-_안진조서요약-유로넥스트(03)(LHY)_안진조서요약-유로넥스트(03)(LHY)_유로넥스트(03)(LHY)_엠비즈-03-기말(LHY) 3" xfId="733"/>
    <cellStyle name="-_안진조서요약-유로넥스트(03)(LHY)_안진조서요약-유로넥스트(03)(LHY)_유로넥스트(03)(LHY)_엠비즈-03-기말(LHY) 4" xfId="734"/>
    <cellStyle name="-_안진조서요약-유로넥스트(03)(LHY)_안진조서요약-유로넥스트(03)(LHY)_유로넥스트(03)(LHY)_엠비즈-03-기말(LHY)_99Group center-04기말-LHY" xfId="735"/>
    <cellStyle name="-_안진조서요약-유로넥스트(03)(LHY)_안진조서요약-유로넥스트(03)(LHY)_유로넥스트(03)(LHY)_엠비즈-03-기말(LHY)_99Group center-04기말-LHY 2" xfId="736"/>
    <cellStyle name="-_안진조서요약-유로넥스트(03)(LHY)_안진조서요약-유로넥스트(03)(LHY)_유로넥스트(03)(LHY)_엠비즈-03-기말(LHY)_99Group center-04기말-LHY 3" xfId="737"/>
    <cellStyle name="-_안진조서요약-유로넥스트(03)(LHY)_안진조서요약-유로넥스트(03)(LHY)_유로넥스트(03)(LHY)_엠비즈-03-기말(LHY)_99Group center-04기말-LHY 4" xfId="738"/>
    <cellStyle name="-_안진조서요약-유로넥스트(03)(LHY)_안진조서요약-유로넥스트(03)(LHY)_유로넥스트(03)(LHY)_엠비즈-03-기말(LHY)_99Group center-04중간업데이트기말-LHY" xfId="739"/>
    <cellStyle name="-_안진조서요약-유로넥스트(03)(LHY)_안진조서요약-유로넥스트(03)(LHY)_유로넥스트(03)(LHY)_엠비즈-03-기말(LHY)_99Group center-04중간업데이트기말-LHY 2" xfId="740"/>
    <cellStyle name="-_안진조서요약-유로넥스트(03)(LHY)_안진조서요약-유로넥스트(03)(LHY)_유로넥스트(03)(LHY)_엠비즈-03-기말(LHY)_99Group center-04중간업데이트기말-LHY 3" xfId="741"/>
    <cellStyle name="-_안진조서요약-유로넥스트(03)(LHY)_안진조서요약-유로넥스트(03)(LHY)_유로넥스트(03)(LHY)_엠비즈-03-기말(LHY)_99Group center-04중간업데이트기말-LHY 4" xfId="742"/>
    <cellStyle name="-_안진조서요약-유로넥스트(03)(LHY)_안진조서요약-유로넥스트(03)(LHY)_유로넥스트(03)(LHY)_엠비즈-03-기말(LHY)_99Group center-ARP04기말-LHY" xfId="743"/>
    <cellStyle name="-_안진조서요약-유로넥스트(03)(LHY)_안진조서요약-유로넥스트(03)(LHY)_유로넥스트(03)(LHY)_엠비즈-03-기말(LHY)_99Group center-ARP04기말-LHY 2" xfId="744"/>
    <cellStyle name="-_안진조서요약-유로넥스트(03)(LHY)_안진조서요약-유로넥스트(03)(LHY)_유로넥스트(03)(LHY)_엠비즈-03-기말(LHY)_99Group center-ARP04기말-LHY 3" xfId="745"/>
    <cellStyle name="-_안진조서요약-유로넥스트(03)(LHY)_안진조서요약-유로넥스트(03)(LHY)_유로넥스트(03)(LHY)_엠비즈-03-기말(LHY)_99Group center-ARP04기말-LHY 4" xfId="746"/>
    <cellStyle name="-_안진조서요약-유로넥스트(03)(LHY)_안진조서요약-유로넥스트(03)(LHY)_유로넥스트(03)(LHY)_원가율검-조정" xfId="747"/>
    <cellStyle name="-_안진조서요약-유로넥스트(03)(LHY)_안진조서요약-유로넥스트(03)(LHY)_유로넥스트(03)(LHY)_원가율검-조정 2" xfId="748"/>
    <cellStyle name="-_안진조서요약-유로넥스트(03)(LHY)_안진조서요약-유로넥스트(03)(LHY)_유로넥스트(03)(LHY)_원가율검-조정 3" xfId="749"/>
    <cellStyle name="-_안진조서요약-유로넥스트(03)(LHY)_안진조서요약-유로넥스트(03)(LHY)_유로넥스트(03)(LHY)_원가율검-조정 4" xfId="750"/>
    <cellStyle name="-_안진조서요약-유로넥스트(03)(LHY)_안진조서요약-유로넥스트(03)(LHY)_유로넥스트(03)(LHY)_원가율검-조정_99Group center-04기말-LHY" xfId="751"/>
    <cellStyle name="-_안진조서요약-유로넥스트(03)(LHY)_안진조서요약-유로넥스트(03)(LHY)_유로넥스트(03)(LHY)_원가율검-조정_99Group center-04기말-LHY 2" xfId="752"/>
    <cellStyle name="-_안진조서요약-유로넥스트(03)(LHY)_안진조서요약-유로넥스트(03)(LHY)_유로넥스트(03)(LHY)_원가율검-조정_99Group center-04기말-LHY 3" xfId="753"/>
    <cellStyle name="-_안진조서요약-유로넥스트(03)(LHY)_안진조서요약-유로넥스트(03)(LHY)_유로넥스트(03)(LHY)_원가율검-조정_99Group center-04기말-LHY 4" xfId="754"/>
    <cellStyle name="-_안진조서요약-유로넥스트(03)(LHY)_안진조서요약-유로넥스트(03)(LHY)_유로넥스트(03)(LHY)_원가율검-조정_99Group center-04중간업데이트기말-LHY" xfId="755"/>
    <cellStyle name="-_안진조서요약-유로넥스트(03)(LHY)_안진조서요약-유로넥스트(03)(LHY)_유로넥스트(03)(LHY)_원가율검-조정_99Group center-04중간업데이트기말-LHY 2" xfId="756"/>
    <cellStyle name="-_안진조서요약-유로넥스트(03)(LHY)_안진조서요약-유로넥스트(03)(LHY)_유로넥스트(03)(LHY)_원가율검-조정_99Group center-04중간업데이트기말-LHY 3" xfId="757"/>
    <cellStyle name="-_안진조서요약-유로넥스트(03)(LHY)_안진조서요약-유로넥스트(03)(LHY)_유로넥스트(03)(LHY)_원가율검-조정_99Group center-04중간업데이트기말-LHY 4" xfId="758"/>
    <cellStyle name="-_안진조서요약-유로넥스트(03)(LHY)_안진조서요약-유로넥스트(03)(LHY)_유로넥스트(03)(LHY)_원가율검-조정_99Group center-ARP04기말-LHY" xfId="759"/>
    <cellStyle name="-_안진조서요약-유로넥스트(03)(LHY)_안진조서요약-유로넥스트(03)(LHY)_유로넥스트(03)(LHY)_원가율검-조정_99Group center-ARP04기말-LHY 2" xfId="760"/>
    <cellStyle name="-_안진조서요약-유로넥스트(03)(LHY)_안진조서요약-유로넥스트(03)(LHY)_유로넥스트(03)(LHY)_원가율검-조정_99Group center-ARP04기말-LHY 3" xfId="761"/>
    <cellStyle name="-_안진조서요약-유로넥스트(03)(LHY)_안진조서요약-유로넥스트(03)(LHY)_유로넥스트(03)(LHY)_원가율검-조정_99Group center-ARP04기말-LHY 4" xfId="762"/>
    <cellStyle name="-_안진조서요약-유로넥스트(03)(LHY)_안진조서요약-유로넥스트(03)(LHY)_유로넥스트(03)(LHY)_유엔젤반기(04-LHY)" xfId="763"/>
    <cellStyle name="-_안진조서요약-유로넥스트(03)(LHY)_안진조서요약-유로넥스트(03)(LHY)_유로넥스트(03)(LHY)_유엔젤반기(04-LHY) 2" xfId="764"/>
    <cellStyle name="-_안진조서요약-유로넥스트(03)(LHY)_안진조서요약-유로넥스트(03)(LHY)_유로넥스트(03)(LHY)_유엔젤반기(04-LHY) 3" xfId="765"/>
    <cellStyle name="-_안진조서요약-유로넥스트(03)(LHY)_안진조서요약-유로넥스트(03)(LHY)_유로넥스트(03)(LHY)_유엔젤반기(04-LHY) 4" xfId="766"/>
    <cellStyle name="-_안진조서요약-유로넥스트(03)(LHY)_안진조서요약-유로넥스트(03)(LHY)_유로넥스트(03)(LHY)_유엔젤반기(04-LHY)_99Group center-04기말-LHY" xfId="767"/>
    <cellStyle name="-_안진조서요약-유로넥스트(03)(LHY)_안진조서요약-유로넥스트(03)(LHY)_유로넥스트(03)(LHY)_유엔젤반기(04-LHY)_99Group center-04기말-LHY 2" xfId="768"/>
    <cellStyle name="-_안진조서요약-유로넥스트(03)(LHY)_안진조서요약-유로넥스트(03)(LHY)_유로넥스트(03)(LHY)_유엔젤반기(04-LHY)_99Group center-04기말-LHY 3" xfId="769"/>
    <cellStyle name="-_안진조서요약-유로넥스트(03)(LHY)_안진조서요약-유로넥스트(03)(LHY)_유로넥스트(03)(LHY)_유엔젤반기(04-LHY)_99Group center-04기말-LHY 4" xfId="770"/>
    <cellStyle name="-_안진조서요약-유로넥스트(03)(LHY)_안진조서요약-유로넥스트(03)(LHY)_유로넥스트(03)(LHY)_유엔젤반기(04-LHY)_99Group center-04중간업데이트기말-LHY" xfId="771"/>
    <cellStyle name="-_안진조서요약-유로넥스트(03)(LHY)_안진조서요약-유로넥스트(03)(LHY)_유로넥스트(03)(LHY)_유엔젤반기(04-LHY)_99Group center-04중간업데이트기말-LHY 2" xfId="772"/>
    <cellStyle name="-_안진조서요약-유로넥스트(03)(LHY)_안진조서요약-유로넥스트(03)(LHY)_유로넥스트(03)(LHY)_유엔젤반기(04-LHY)_99Group center-04중간업데이트기말-LHY 3" xfId="773"/>
    <cellStyle name="-_안진조서요약-유로넥스트(03)(LHY)_안진조서요약-유로넥스트(03)(LHY)_유로넥스트(03)(LHY)_유엔젤반기(04-LHY)_99Group center-04중간업데이트기말-LHY 4" xfId="774"/>
    <cellStyle name="-_안진조서요약-유로넥스트(03)(LHY)_안진조서요약-유로넥스트(03)(LHY)_유로넥스트(03)(LHY)_유엔젤반기(04-LHY)_99Group center-ARP04기말-LHY" xfId="775"/>
    <cellStyle name="-_안진조서요약-유로넥스트(03)(LHY)_안진조서요약-유로넥스트(03)(LHY)_유로넥스트(03)(LHY)_유엔젤반기(04-LHY)_99Group center-ARP04기말-LHY 2" xfId="776"/>
    <cellStyle name="-_안진조서요약-유로넥스트(03)(LHY)_안진조서요약-유로넥스트(03)(LHY)_유로넥스트(03)(LHY)_유엔젤반기(04-LHY)_99Group center-ARP04기말-LHY 3" xfId="777"/>
    <cellStyle name="-_안진조서요약-유로넥스트(03)(LHY)_안진조서요약-유로넥스트(03)(LHY)_유로넥스트(03)(LHY)_유엔젤반기(04-LHY)_99Group center-ARP04기말-LHY 4" xfId="778"/>
    <cellStyle name="-_안진조서요약-유로넥스트(03)(LHY)_안진조서요약-유로넥스트(03)(LHY)_유로넥스트(03)(LHY)_투자유가증권 주석(진짜)03-LHY" xfId="779"/>
    <cellStyle name="-_안진조서요약-유로넥스트(03)(LHY)_안진조서요약-유로넥스트(03)(LHY)_유로넥스트(03)(LHY)_투자유가증권 주석(진짜)03-LHY 2" xfId="780"/>
    <cellStyle name="-_안진조서요약-유로넥스트(03)(LHY)_안진조서요약-유로넥스트(03)(LHY)_유로넥스트(03)(LHY)_투자유가증권 주석(진짜)03-LHY 3" xfId="781"/>
    <cellStyle name="-_안진조서요약-유로넥스트(03)(LHY)_안진조서요약-유로넥스트(03)(LHY)_유로넥스트(03)(LHY)_투자유가증권 주석(진짜)03-LHY 4" xfId="782"/>
    <cellStyle name="-_안진조서요약-유로넥스트(03)(LHY)_안진조서요약-유로넥스트(03)(LHY)_유로넥스트(03)(LHY)_투자유가증권 주석(진짜)03-LHY_99Group center-04기말-LHY" xfId="783"/>
    <cellStyle name="-_안진조서요약-유로넥스트(03)(LHY)_안진조서요약-유로넥스트(03)(LHY)_유로넥스트(03)(LHY)_투자유가증권 주석(진짜)03-LHY_99Group center-04기말-LHY 2" xfId="784"/>
    <cellStyle name="-_안진조서요약-유로넥스트(03)(LHY)_안진조서요약-유로넥스트(03)(LHY)_유로넥스트(03)(LHY)_투자유가증권 주석(진짜)03-LHY_99Group center-04기말-LHY 3" xfId="785"/>
    <cellStyle name="-_안진조서요약-유로넥스트(03)(LHY)_안진조서요약-유로넥스트(03)(LHY)_유로넥스트(03)(LHY)_투자유가증권 주석(진짜)03-LHY_99Group center-04기말-LHY 4" xfId="786"/>
    <cellStyle name="-_안진조서요약-유로넥스트(03)(LHY)_안진조서요약-유로넥스트(03)(LHY)_유로넥스트(03)(LHY)_투자유가증권 주석(진짜)03-LHY_99Group center-04중간업데이트기말-LHY" xfId="787"/>
    <cellStyle name="-_안진조서요약-유로넥스트(03)(LHY)_안진조서요약-유로넥스트(03)(LHY)_유로넥스트(03)(LHY)_투자유가증권 주석(진짜)03-LHY_99Group center-04중간업데이트기말-LHY 2" xfId="788"/>
    <cellStyle name="-_안진조서요약-유로넥스트(03)(LHY)_안진조서요약-유로넥스트(03)(LHY)_유로넥스트(03)(LHY)_투자유가증권 주석(진짜)03-LHY_99Group center-04중간업데이트기말-LHY 3" xfId="789"/>
    <cellStyle name="-_안진조서요약-유로넥스트(03)(LHY)_안진조서요약-유로넥스트(03)(LHY)_유로넥스트(03)(LHY)_투자유가증권 주석(진짜)03-LHY_99Group center-04중간업데이트기말-LHY 4" xfId="790"/>
    <cellStyle name="-_안진조서요약-유로넥스트(03)(LHY)_안진조서요약-유로넥스트(03)(LHY)_유로넥스트(03)(LHY)_투자유가증권 주석(진짜)03-LHY_99Group center-ARP04기말-LHY" xfId="791"/>
    <cellStyle name="-_안진조서요약-유로넥스트(03)(LHY)_안진조서요약-유로넥스트(03)(LHY)_유로넥스트(03)(LHY)_투자유가증권 주석(진짜)03-LHY_99Group center-ARP04기말-LHY 2" xfId="792"/>
    <cellStyle name="-_안진조서요약-유로넥스트(03)(LHY)_안진조서요약-유로넥스트(03)(LHY)_유로넥스트(03)(LHY)_투자유가증권 주석(진짜)03-LHY_99Group center-ARP04기말-LHY 3" xfId="793"/>
    <cellStyle name="-_안진조서요약-유로넥스트(03)(LHY)_안진조서요약-유로넥스트(03)(LHY)_유로넥스트(03)(LHY)_투자유가증권 주석(진짜)03-LHY_99Group center-ARP04기말-LHY 4" xfId="794"/>
    <cellStyle name="-_안진조서요약-유로넥스트(03)(LHY)_안진조서요약-유로넥스트(03)(LHY)_유로넥스트(03)(LHY)_투자유가증권양식" xfId="795"/>
    <cellStyle name="-_안진조서요약-유로넥스트(03)(LHY)_안진조서요약-유로넥스트(03)(LHY)_유로넥스트(03)(LHY)_투자유가증권양식 2" xfId="796"/>
    <cellStyle name="-_안진조서요약-유로넥스트(03)(LHY)_안진조서요약-유로넥스트(03)(LHY)_유로넥스트(03)(LHY)_투자유가증권양식 3" xfId="797"/>
    <cellStyle name="-_안진조서요약-유로넥스트(03)(LHY)_안진조서요약-유로넥스트(03)(LHY)_유로넥스트(03)(LHY)_투자유가증권양식 4" xfId="798"/>
    <cellStyle name="-_안진조서요약-유로넥스트(03)(LHY)_안진조서요약-유로넥스트(03)(LHY)_유로넥스트(03)(LHY)_투자유가증권양식_99Group center-04기말-LHY" xfId="799"/>
    <cellStyle name="-_안진조서요약-유로넥스트(03)(LHY)_안진조서요약-유로넥스트(03)(LHY)_유로넥스트(03)(LHY)_투자유가증권양식_99Group center-04기말-LHY 2" xfId="800"/>
    <cellStyle name="-_안진조서요약-유로넥스트(03)(LHY)_안진조서요약-유로넥스트(03)(LHY)_유로넥스트(03)(LHY)_투자유가증권양식_99Group center-04기말-LHY 3" xfId="801"/>
    <cellStyle name="-_안진조서요약-유로넥스트(03)(LHY)_안진조서요약-유로넥스트(03)(LHY)_유로넥스트(03)(LHY)_투자유가증권양식_99Group center-04기말-LHY 4" xfId="802"/>
    <cellStyle name="-_안진조서요약-유로넥스트(03)(LHY)_안진조서요약-유로넥스트(03)(LHY)_유로넥스트(03)(LHY)_투자유가증권양식_99Group center-04중간업데이트기말-LHY" xfId="803"/>
    <cellStyle name="-_안진조서요약-유로넥스트(03)(LHY)_안진조서요약-유로넥스트(03)(LHY)_유로넥스트(03)(LHY)_투자유가증권양식_99Group center-04중간업데이트기말-LHY 2" xfId="804"/>
    <cellStyle name="-_안진조서요약-유로넥스트(03)(LHY)_안진조서요약-유로넥스트(03)(LHY)_유로넥스트(03)(LHY)_투자유가증권양식_99Group center-04중간업데이트기말-LHY 3" xfId="805"/>
    <cellStyle name="-_안진조서요약-유로넥스트(03)(LHY)_안진조서요약-유로넥스트(03)(LHY)_유로넥스트(03)(LHY)_투자유가증권양식_99Group center-04중간업데이트기말-LHY 4" xfId="806"/>
    <cellStyle name="-_안진조서요약-유로넥스트(03)(LHY)_안진조서요약-유로넥스트(03)(LHY)_유로넥스트(03)(LHY)_투자유가증권양식_99Group center-ARP04기말-LHY" xfId="807"/>
    <cellStyle name="-_안진조서요약-유로넥스트(03)(LHY)_안진조서요약-유로넥스트(03)(LHY)_유로넥스트(03)(LHY)_투자유가증권양식_99Group center-ARP04기말-LHY 2" xfId="808"/>
    <cellStyle name="-_안진조서요약-유로넥스트(03)(LHY)_안진조서요약-유로넥스트(03)(LHY)_유로넥스트(03)(LHY)_투자유가증권양식_99Group center-ARP04기말-LHY 3" xfId="809"/>
    <cellStyle name="-_안진조서요약-유로넥스트(03)(LHY)_안진조서요약-유로넥스트(03)(LHY)_유로넥스트(03)(LHY)_투자유가증권양식_99Group center-ARP04기말-LHY 4" xfId="810"/>
    <cellStyle name="-_안진조서요약-유로넥스트(03)(LHY)_안진조서요약-유로넥스트(03)(LHY)_유로넥스트(03)(LHY)_풀무원스프라우트-04반기-LHY" xfId="811"/>
    <cellStyle name="-_안진조서요약-유로넥스트(03)(LHY)_안진조서요약-유로넥스트(03)(LHY)_유로넥스트(03)(LHY)_풀무원스프라우트-04반기-LHY 2" xfId="812"/>
    <cellStyle name="-_안진조서요약-유로넥스트(03)(LHY)_안진조서요약-유로넥스트(03)(LHY)_유로넥스트(03)(LHY)_풀무원스프라우트-04반기-LHY 3" xfId="813"/>
    <cellStyle name="-_안진조서요약-유로넥스트(03)(LHY)_안진조서요약-유로넥스트(03)(LHY)_유로넥스트(03)(LHY)_풀무원스프라우트-04반기-LHY 4" xfId="814"/>
    <cellStyle name="-_안진조서요약-유로넥스트(03)(LHY)_안진조서요약-유로넥스트(03)(LHY)_유로넥스트(03)(LHY)_풀무원스프라우트-04반기-LHY_99Group center-04기말-LHY" xfId="815"/>
    <cellStyle name="-_안진조서요약-유로넥스트(03)(LHY)_안진조서요약-유로넥스트(03)(LHY)_유로넥스트(03)(LHY)_풀무원스프라우트-04반기-LHY_99Group center-04기말-LHY 2" xfId="816"/>
    <cellStyle name="-_안진조서요약-유로넥스트(03)(LHY)_안진조서요약-유로넥스트(03)(LHY)_유로넥스트(03)(LHY)_풀무원스프라우트-04반기-LHY_99Group center-04기말-LHY 3" xfId="817"/>
    <cellStyle name="-_안진조서요약-유로넥스트(03)(LHY)_안진조서요약-유로넥스트(03)(LHY)_유로넥스트(03)(LHY)_풀무원스프라우트-04반기-LHY_99Group center-04기말-LHY 4" xfId="818"/>
    <cellStyle name="-_안진조서요약-유로넥스트(03)(LHY)_안진조서요약-유로넥스트(03)(LHY)_유로넥스트(03)(LHY)_풀무원스프라우트-04반기-LHY_99Group center-04중간업데이트기말-LHY" xfId="819"/>
    <cellStyle name="-_안진조서요약-유로넥스트(03)(LHY)_안진조서요약-유로넥스트(03)(LHY)_유로넥스트(03)(LHY)_풀무원스프라우트-04반기-LHY_99Group center-04중간업데이트기말-LHY 2" xfId="820"/>
    <cellStyle name="-_안진조서요약-유로넥스트(03)(LHY)_안진조서요약-유로넥스트(03)(LHY)_유로넥스트(03)(LHY)_풀무원스프라우트-04반기-LHY_99Group center-04중간업데이트기말-LHY 3" xfId="821"/>
    <cellStyle name="-_안진조서요약-유로넥스트(03)(LHY)_안진조서요약-유로넥스트(03)(LHY)_유로넥스트(03)(LHY)_풀무원스프라우트-04반기-LHY_99Group center-04중간업데이트기말-LHY 4" xfId="822"/>
    <cellStyle name="-_안진조서요약-유로넥스트(03)(LHY)_안진조서요약-유로넥스트(03)(LHY)_유로넥스트(03)(LHY)_풀무원스프라우트-04반기-LHY_99Group center-ARP04기말-LHY" xfId="823"/>
    <cellStyle name="-_안진조서요약-유로넥스트(03)(LHY)_안진조서요약-유로넥스트(03)(LHY)_유로넥스트(03)(LHY)_풀무원스프라우트-04반기-LHY_99Group center-ARP04기말-LHY 2" xfId="824"/>
    <cellStyle name="-_안진조서요약-유로넥스트(03)(LHY)_안진조서요약-유로넥스트(03)(LHY)_유로넥스트(03)(LHY)_풀무원스프라우트-04반기-LHY_99Group center-ARP04기말-LHY 3" xfId="825"/>
    <cellStyle name="-_안진조서요약-유로넥스트(03)(LHY)_안진조서요약-유로넥스트(03)(LHY)_유로넥스트(03)(LHY)_풀무원스프라우트-04반기-LHY_99Group center-ARP04기말-LHY 4" xfId="826"/>
    <cellStyle name="-_안진조서요약-유로넥스트(03)(LHY)_안진조서요약-유로넥스트(03)(LHY)_유로넥스트(03)(LHY)_한국유업-03(LHY)" xfId="827"/>
    <cellStyle name="-_안진조서요약-유로넥스트(03)(LHY)_안진조서요약-유로넥스트(03)(LHY)_유로넥스트(03)(LHY)_한국유업-03(LHY) 2" xfId="828"/>
    <cellStyle name="-_안진조서요약-유로넥스트(03)(LHY)_안진조서요약-유로넥스트(03)(LHY)_유로넥스트(03)(LHY)_한국유업-03(LHY) 3" xfId="829"/>
    <cellStyle name="-_안진조서요약-유로넥스트(03)(LHY)_안진조서요약-유로넥스트(03)(LHY)_유로넥스트(03)(LHY)_한국유업-03(LHY) 4" xfId="830"/>
    <cellStyle name="-_안진조서요약-유로넥스트(03)(LHY)_안진조서요약-유로넥스트(03)(LHY)_유로넥스트(03)(LHY)_한국유업-03(LHY)_99Group center-04기말-LHY" xfId="831"/>
    <cellStyle name="-_안진조서요약-유로넥스트(03)(LHY)_안진조서요약-유로넥스트(03)(LHY)_유로넥스트(03)(LHY)_한국유업-03(LHY)_99Group center-04기말-LHY 2" xfId="832"/>
    <cellStyle name="-_안진조서요약-유로넥스트(03)(LHY)_안진조서요약-유로넥스트(03)(LHY)_유로넥스트(03)(LHY)_한국유업-03(LHY)_99Group center-04기말-LHY 3" xfId="833"/>
    <cellStyle name="-_안진조서요약-유로넥스트(03)(LHY)_안진조서요약-유로넥스트(03)(LHY)_유로넥스트(03)(LHY)_한국유업-03(LHY)_99Group center-04기말-LHY 4" xfId="834"/>
    <cellStyle name="-_안진조서요약-유로넥스트(03)(LHY)_안진조서요약-유로넥스트(03)(LHY)_유로넥스트(03)(LHY)_한국유업-03(LHY)_99Group center-04중간업데이트기말-LHY" xfId="835"/>
    <cellStyle name="-_안진조서요약-유로넥스트(03)(LHY)_안진조서요약-유로넥스트(03)(LHY)_유로넥스트(03)(LHY)_한국유업-03(LHY)_99Group center-04중간업데이트기말-LHY 2" xfId="836"/>
    <cellStyle name="-_안진조서요약-유로넥스트(03)(LHY)_안진조서요약-유로넥스트(03)(LHY)_유로넥스트(03)(LHY)_한국유업-03(LHY)_99Group center-04중간업데이트기말-LHY 3" xfId="837"/>
    <cellStyle name="-_안진조서요약-유로넥스트(03)(LHY)_안진조서요약-유로넥스트(03)(LHY)_유로넥스트(03)(LHY)_한국유업-03(LHY)_99Group center-04중간업데이트기말-LHY 4" xfId="838"/>
    <cellStyle name="-_안진조서요약-유로넥스트(03)(LHY)_안진조서요약-유로넥스트(03)(LHY)_유로넥스트(03)(LHY)_한국유업-03(LHY)_99Group center-ARP04기말-LHY" xfId="839"/>
    <cellStyle name="-_안진조서요약-유로넥스트(03)(LHY)_안진조서요약-유로넥스트(03)(LHY)_유로넥스트(03)(LHY)_한국유업-03(LHY)_99Group center-ARP04기말-LHY 2" xfId="840"/>
    <cellStyle name="-_안진조서요약-유로넥스트(03)(LHY)_안진조서요약-유로넥스트(03)(LHY)_유로넥스트(03)(LHY)_한국유업-03(LHY)_99Group center-ARP04기말-LHY 3" xfId="841"/>
    <cellStyle name="-_안진조서요약-유로넥스트(03)(LHY)_안진조서요약-유로넥스트(03)(LHY)_유로넥스트(03)(LHY)_한국유업-03(LHY)_99Group center-ARP04기말-LHY 4" xfId="842"/>
    <cellStyle name="-_안진조서요약-유로넥스트(03)(LHY)_안진조서요약-유로넥스트(03)(LHY)_유로넥스트(03)(LHY)_한국유업-03(LHY)_매직산업(03기말-LHY)" xfId="843"/>
    <cellStyle name="-_안진조서요약-유로넥스트(03)(LHY)_안진조서요약-유로넥스트(03)(LHY)_유로넥스트(03)(LHY)_한국유업-03(LHY)_매직산업(03기말-LHY) 2" xfId="844"/>
    <cellStyle name="-_안진조서요약-유로넥스트(03)(LHY)_안진조서요약-유로넥스트(03)(LHY)_유로넥스트(03)(LHY)_한국유업-03(LHY)_매직산업(03기말-LHY) 3" xfId="845"/>
    <cellStyle name="-_안진조서요약-유로넥스트(03)(LHY)_안진조서요약-유로넥스트(03)(LHY)_유로넥스트(03)(LHY)_한국유업-03(LHY)_매직산업(03기말-LHY) 4" xfId="846"/>
    <cellStyle name="-_안진조서요약-유로넥스트(03)(LHY)_안진조서요약-유로넥스트(03)(LHY)_유로넥스트(03)(LHY)_한국유업-03(LHY)_매직산업(03기말-LHY)_99Group center-04기말-LHY" xfId="847"/>
    <cellStyle name="-_안진조서요약-유로넥스트(03)(LHY)_안진조서요약-유로넥스트(03)(LHY)_유로넥스트(03)(LHY)_한국유업-03(LHY)_매직산업(03기말-LHY)_99Group center-04기말-LHY 2" xfId="848"/>
    <cellStyle name="-_안진조서요약-유로넥스트(03)(LHY)_안진조서요약-유로넥스트(03)(LHY)_유로넥스트(03)(LHY)_한국유업-03(LHY)_매직산업(03기말-LHY)_99Group center-04기말-LHY 3" xfId="849"/>
    <cellStyle name="-_안진조서요약-유로넥스트(03)(LHY)_안진조서요약-유로넥스트(03)(LHY)_유로넥스트(03)(LHY)_한국유업-03(LHY)_매직산업(03기말-LHY)_99Group center-04기말-LHY 4" xfId="850"/>
    <cellStyle name="-_안진조서요약-유로넥스트(03)(LHY)_안진조서요약-유로넥스트(03)(LHY)_유로넥스트(03)(LHY)_한국유업-03(LHY)_매직산업(03기말-LHY)_99Group center-04중간업데이트기말-LHY" xfId="851"/>
    <cellStyle name="-_안진조서요약-유로넥스트(03)(LHY)_안진조서요약-유로넥스트(03)(LHY)_유로넥스트(03)(LHY)_한국유업-03(LHY)_매직산업(03기말-LHY)_99Group center-04중간업데이트기말-LHY 2" xfId="852"/>
    <cellStyle name="-_안진조서요약-유로넥스트(03)(LHY)_안진조서요약-유로넥스트(03)(LHY)_유로넥스트(03)(LHY)_한국유업-03(LHY)_매직산업(03기말-LHY)_99Group center-04중간업데이트기말-LHY 3" xfId="853"/>
    <cellStyle name="-_안진조서요약-유로넥스트(03)(LHY)_안진조서요약-유로넥스트(03)(LHY)_유로넥스트(03)(LHY)_한국유업-03(LHY)_매직산업(03기말-LHY)_99Group center-04중간업데이트기말-LHY 4" xfId="854"/>
    <cellStyle name="-_안진조서요약-유로넥스트(03)(LHY)_안진조서요약-유로넥스트(03)(LHY)_유로넥스트(03)(LHY)_한국유업-03(LHY)_매직산업(03기말-LHY)_99Group center-ARP04기말-LHY" xfId="855"/>
    <cellStyle name="-_안진조서요약-유로넥스트(03)(LHY)_안진조서요약-유로넥스트(03)(LHY)_유로넥스트(03)(LHY)_한국유업-03(LHY)_매직산업(03기말-LHY)_99Group center-ARP04기말-LHY 2" xfId="856"/>
    <cellStyle name="-_안진조서요약-유로넥스트(03)(LHY)_안진조서요약-유로넥스트(03)(LHY)_유로넥스트(03)(LHY)_한국유업-03(LHY)_매직산업(03기말-LHY)_99Group center-ARP04기말-LHY 3" xfId="857"/>
    <cellStyle name="-_안진조서요약-유로넥스트(03)(LHY)_안진조서요약-유로넥스트(03)(LHY)_유로넥스트(03)(LHY)_한국유업-03(LHY)_매직산업(03기말-LHY)_99Group center-ARP04기말-LHY 4" xfId="858"/>
    <cellStyle name="-_안진조서요약-유로넥스트(03)(LHY)_안진조서요약-유로넥스트(03)(LHY)_유엔젤반기(04-LHY)" xfId="859"/>
    <cellStyle name="-_안진조서요약-유로넥스트(03)(LHY)_안진조서요약-유로넥스트(03)(LHY)_유엔젤반기(04-LHY) 2" xfId="860"/>
    <cellStyle name="-_안진조서요약-유로넥스트(03)(LHY)_안진조서요약-유로넥스트(03)(LHY)_유엔젤반기(04-LHY) 3" xfId="861"/>
    <cellStyle name="-_안진조서요약-유로넥스트(03)(LHY)_안진조서요약-유로넥스트(03)(LHY)_유엔젤반기(04-LHY) 4" xfId="862"/>
    <cellStyle name="-_안진조서요약-유로넥스트(03)(LHY)_안진조서요약-유로넥스트(03)(LHY)_유엔젤반기(04-LHY)_99Group center-04기말-LHY" xfId="863"/>
    <cellStyle name="-_안진조서요약-유로넥스트(03)(LHY)_안진조서요약-유로넥스트(03)(LHY)_유엔젤반기(04-LHY)_99Group center-04기말-LHY 2" xfId="864"/>
    <cellStyle name="-_안진조서요약-유로넥스트(03)(LHY)_안진조서요약-유로넥스트(03)(LHY)_유엔젤반기(04-LHY)_99Group center-04기말-LHY 3" xfId="865"/>
    <cellStyle name="-_안진조서요약-유로넥스트(03)(LHY)_안진조서요약-유로넥스트(03)(LHY)_유엔젤반기(04-LHY)_99Group center-04기말-LHY 4" xfId="866"/>
    <cellStyle name="-_안진조서요약-유로넥스트(03)(LHY)_안진조서요약-유로넥스트(03)(LHY)_유엔젤반기(04-LHY)_99Group center-04중간업데이트기말-LHY" xfId="867"/>
    <cellStyle name="-_안진조서요약-유로넥스트(03)(LHY)_안진조서요약-유로넥스트(03)(LHY)_유엔젤반기(04-LHY)_99Group center-04중간업데이트기말-LHY 2" xfId="868"/>
    <cellStyle name="-_안진조서요약-유로넥스트(03)(LHY)_안진조서요약-유로넥스트(03)(LHY)_유엔젤반기(04-LHY)_99Group center-04중간업데이트기말-LHY 3" xfId="869"/>
    <cellStyle name="-_안진조서요약-유로넥스트(03)(LHY)_안진조서요약-유로넥스트(03)(LHY)_유엔젤반기(04-LHY)_99Group center-04중간업데이트기말-LHY 4" xfId="870"/>
    <cellStyle name="-_안진조서요약-유로넥스트(03)(LHY)_안진조서요약-유로넥스트(03)(LHY)_유엔젤반기(04-LHY)_99Group center-ARP04기말-LHY" xfId="871"/>
    <cellStyle name="-_안진조서요약-유로넥스트(03)(LHY)_안진조서요약-유로넥스트(03)(LHY)_유엔젤반기(04-LHY)_99Group center-ARP04기말-LHY 2" xfId="872"/>
    <cellStyle name="-_안진조서요약-유로넥스트(03)(LHY)_안진조서요약-유로넥스트(03)(LHY)_유엔젤반기(04-LHY)_99Group center-ARP04기말-LHY 3" xfId="873"/>
    <cellStyle name="-_안진조서요약-유로넥스트(03)(LHY)_안진조서요약-유로넥스트(03)(LHY)_유엔젤반기(04-LHY)_99Group center-ARP04기말-LHY 4" xfId="874"/>
    <cellStyle name="-_안진조서요약-유로넥스트(03)(LHY)_안진조서요약-유로넥스트(03)(LHY)_투자유가증권 주석(진짜)03-LHY" xfId="875"/>
    <cellStyle name="-_안진조서요약-유로넥스트(03)(LHY)_안진조서요약-유로넥스트(03)(LHY)_투자유가증권 주석(진짜)03-LHY 2" xfId="876"/>
    <cellStyle name="-_안진조서요약-유로넥스트(03)(LHY)_안진조서요약-유로넥스트(03)(LHY)_투자유가증권 주석(진짜)03-LHY 3" xfId="877"/>
    <cellStyle name="-_안진조서요약-유로넥스트(03)(LHY)_안진조서요약-유로넥스트(03)(LHY)_투자유가증권 주석(진짜)03-LHY 4" xfId="878"/>
    <cellStyle name="-_안진조서요약-유로넥스트(03)(LHY)_안진조서요약-유로넥스트(03)(LHY)_투자유가증권 주석(진짜)03-LHY_99Group center-04기말-LHY" xfId="879"/>
    <cellStyle name="-_안진조서요약-유로넥스트(03)(LHY)_안진조서요약-유로넥스트(03)(LHY)_투자유가증권 주석(진짜)03-LHY_99Group center-04기말-LHY 2" xfId="880"/>
    <cellStyle name="-_안진조서요약-유로넥스트(03)(LHY)_안진조서요약-유로넥스트(03)(LHY)_투자유가증권 주석(진짜)03-LHY_99Group center-04기말-LHY 3" xfId="881"/>
    <cellStyle name="-_안진조서요약-유로넥스트(03)(LHY)_안진조서요약-유로넥스트(03)(LHY)_투자유가증권 주석(진짜)03-LHY_99Group center-04기말-LHY 4" xfId="882"/>
    <cellStyle name="-_안진조서요약-유로넥스트(03)(LHY)_안진조서요약-유로넥스트(03)(LHY)_투자유가증권 주석(진짜)03-LHY_99Group center-04중간업데이트기말-LHY" xfId="883"/>
    <cellStyle name="-_안진조서요약-유로넥스트(03)(LHY)_안진조서요약-유로넥스트(03)(LHY)_투자유가증권 주석(진짜)03-LHY_99Group center-04중간업데이트기말-LHY 2" xfId="884"/>
    <cellStyle name="-_안진조서요약-유로넥스트(03)(LHY)_안진조서요약-유로넥스트(03)(LHY)_투자유가증권 주석(진짜)03-LHY_99Group center-04중간업데이트기말-LHY 3" xfId="885"/>
    <cellStyle name="-_안진조서요약-유로넥스트(03)(LHY)_안진조서요약-유로넥스트(03)(LHY)_투자유가증권 주석(진짜)03-LHY_99Group center-04중간업데이트기말-LHY 4" xfId="886"/>
    <cellStyle name="-_안진조서요약-유로넥스트(03)(LHY)_안진조서요약-유로넥스트(03)(LHY)_투자유가증권 주석(진짜)03-LHY_99Group center-ARP04기말-LHY" xfId="887"/>
    <cellStyle name="-_안진조서요약-유로넥스트(03)(LHY)_안진조서요약-유로넥스트(03)(LHY)_투자유가증권 주석(진짜)03-LHY_99Group center-ARP04기말-LHY 2" xfId="888"/>
    <cellStyle name="-_안진조서요약-유로넥스트(03)(LHY)_안진조서요약-유로넥스트(03)(LHY)_투자유가증권 주석(진짜)03-LHY_99Group center-ARP04기말-LHY 3" xfId="889"/>
    <cellStyle name="-_안진조서요약-유로넥스트(03)(LHY)_안진조서요약-유로넥스트(03)(LHY)_투자유가증권 주석(진짜)03-LHY_99Group center-ARP04기말-LHY 4" xfId="890"/>
    <cellStyle name="-_안진조서요약-유로넥스트(03)(LHY)_안진조서요약-유로넥스트(03)(LHY)_투자유가증권양식" xfId="891"/>
    <cellStyle name="-_안진조서요약-유로넥스트(03)(LHY)_안진조서요약-유로넥스트(03)(LHY)_투자유가증권양식 2" xfId="892"/>
    <cellStyle name="-_안진조서요약-유로넥스트(03)(LHY)_안진조서요약-유로넥스트(03)(LHY)_투자유가증권양식 3" xfId="893"/>
    <cellStyle name="-_안진조서요약-유로넥스트(03)(LHY)_안진조서요약-유로넥스트(03)(LHY)_투자유가증권양식 4" xfId="894"/>
    <cellStyle name="-_안진조서요약-유로넥스트(03)(LHY)_안진조서요약-유로넥스트(03)(LHY)_투자유가증권양식_99Group center-04기말-LHY" xfId="895"/>
    <cellStyle name="-_안진조서요약-유로넥스트(03)(LHY)_안진조서요약-유로넥스트(03)(LHY)_투자유가증권양식_99Group center-04기말-LHY 2" xfId="896"/>
    <cellStyle name="-_안진조서요약-유로넥스트(03)(LHY)_안진조서요약-유로넥스트(03)(LHY)_투자유가증권양식_99Group center-04기말-LHY 3" xfId="897"/>
    <cellStyle name="-_안진조서요약-유로넥스트(03)(LHY)_안진조서요약-유로넥스트(03)(LHY)_투자유가증권양식_99Group center-04기말-LHY 4" xfId="898"/>
    <cellStyle name="-_안진조서요약-유로넥스트(03)(LHY)_안진조서요약-유로넥스트(03)(LHY)_투자유가증권양식_99Group center-04중간업데이트기말-LHY" xfId="899"/>
    <cellStyle name="-_안진조서요약-유로넥스트(03)(LHY)_안진조서요약-유로넥스트(03)(LHY)_투자유가증권양식_99Group center-04중간업데이트기말-LHY 2" xfId="900"/>
    <cellStyle name="-_안진조서요약-유로넥스트(03)(LHY)_안진조서요약-유로넥스트(03)(LHY)_투자유가증권양식_99Group center-04중간업데이트기말-LHY 3" xfId="901"/>
    <cellStyle name="-_안진조서요약-유로넥스트(03)(LHY)_안진조서요약-유로넥스트(03)(LHY)_투자유가증권양식_99Group center-04중간업데이트기말-LHY 4" xfId="902"/>
    <cellStyle name="-_안진조서요약-유로넥스트(03)(LHY)_안진조서요약-유로넥스트(03)(LHY)_투자유가증권양식_99Group center-ARP04기말-LHY" xfId="903"/>
    <cellStyle name="-_안진조서요약-유로넥스트(03)(LHY)_안진조서요약-유로넥스트(03)(LHY)_투자유가증권양식_99Group center-ARP04기말-LHY 2" xfId="904"/>
    <cellStyle name="-_안진조서요약-유로넥스트(03)(LHY)_안진조서요약-유로넥스트(03)(LHY)_투자유가증권양식_99Group center-ARP04기말-LHY 3" xfId="905"/>
    <cellStyle name="-_안진조서요약-유로넥스트(03)(LHY)_안진조서요약-유로넥스트(03)(LHY)_투자유가증권양식_99Group center-ARP04기말-LHY 4" xfId="906"/>
    <cellStyle name="-_안진조서요약-유로넥스트(03)(LHY)_안진조서요약-유로넥스트(03)(LHY)_풀무원스프라우트-04반기-LHY" xfId="907"/>
    <cellStyle name="-_안진조서요약-유로넥스트(03)(LHY)_안진조서요약-유로넥스트(03)(LHY)_풀무원스프라우트-04반기-LHY 2" xfId="908"/>
    <cellStyle name="-_안진조서요약-유로넥스트(03)(LHY)_안진조서요약-유로넥스트(03)(LHY)_풀무원스프라우트-04반기-LHY 3" xfId="909"/>
    <cellStyle name="-_안진조서요약-유로넥스트(03)(LHY)_안진조서요약-유로넥스트(03)(LHY)_풀무원스프라우트-04반기-LHY 4" xfId="910"/>
    <cellStyle name="-_안진조서요약-유로넥스트(03)(LHY)_안진조서요약-유로넥스트(03)(LHY)_풀무원스프라우트-04반기-LHY_99Group center-04기말-LHY" xfId="911"/>
    <cellStyle name="-_안진조서요약-유로넥스트(03)(LHY)_안진조서요약-유로넥스트(03)(LHY)_풀무원스프라우트-04반기-LHY_99Group center-04기말-LHY 2" xfId="912"/>
    <cellStyle name="-_안진조서요약-유로넥스트(03)(LHY)_안진조서요약-유로넥스트(03)(LHY)_풀무원스프라우트-04반기-LHY_99Group center-04기말-LHY 3" xfId="913"/>
    <cellStyle name="-_안진조서요약-유로넥스트(03)(LHY)_안진조서요약-유로넥스트(03)(LHY)_풀무원스프라우트-04반기-LHY_99Group center-04기말-LHY 4" xfId="914"/>
    <cellStyle name="-_안진조서요약-유로넥스트(03)(LHY)_안진조서요약-유로넥스트(03)(LHY)_풀무원스프라우트-04반기-LHY_99Group center-04중간업데이트기말-LHY" xfId="915"/>
    <cellStyle name="-_안진조서요약-유로넥스트(03)(LHY)_안진조서요약-유로넥스트(03)(LHY)_풀무원스프라우트-04반기-LHY_99Group center-04중간업데이트기말-LHY 2" xfId="916"/>
    <cellStyle name="-_안진조서요약-유로넥스트(03)(LHY)_안진조서요약-유로넥스트(03)(LHY)_풀무원스프라우트-04반기-LHY_99Group center-04중간업데이트기말-LHY 3" xfId="917"/>
    <cellStyle name="-_안진조서요약-유로넥스트(03)(LHY)_안진조서요약-유로넥스트(03)(LHY)_풀무원스프라우트-04반기-LHY_99Group center-04중간업데이트기말-LHY 4" xfId="918"/>
    <cellStyle name="-_안진조서요약-유로넥스트(03)(LHY)_안진조서요약-유로넥스트(03)(LHY)_풀무원스프라우트-04반기-LHY_99Group center-ARP04기말-LHY" xfId="919"/>
    <cellStyle name="-_안진조서요약-유로넥스트(03)(LHY)_안진조서요약-유로넥스트(03)(LHY)_풀무원스프라우트-04반기-LHY_99Group center-ARP04기말-LHY 2" xfId="920"/>
    <cellStyle name="-_안진조서요약-유로넥스트(03)(LHY)_안진조서요약-유로넥스트(03)(LHY)_풀무원스프라우트-04반기-LHY_99Group center-ARP04기말-LHY 3" xfId="921"/>
    <cellStyle name="-_안진조서요약-유로넥스트(03)(LHY)_안진조서요약-유로넥스트(03)(LHY)_풀무원스프라우트-04반기-LHY_99Group center-ARP04기말-LHY 4" xfId="922"/>
    <cellStyle name="-_안진조서요약-유로넥스트(03)(LHY)_안진조서요약-유로넥스트(03)(LHY)_한국유업-03(LHY)" xfId="923"/>
    <cellStyle name="-_안진조서요약-유로넥스트(03)(LHY)_안진조서요약-유로넥스트(03)(LHY)_한국유업-03(LHY) 2" xfId="924"/>
    <cellStyle name="-_안진조서요약-유로넥스트(03)(LHY)_안진조서요약-유로넥스트(03)(LHY)_한국유업-03(LHY) 3" xfId="925"/>
    <cellStyle name="-_안진조서요약-유로넥스트(03)(LHY)_안진조서요약-유로넥스트(03)(LHY)_한국유업-03(LHY) 4" xfId="926"/>
    <cellStyle name="-_안진조서요약-유로넥스트(03)(LHY)_안진조서요약-유로넥스트(03)(LHY)_한국유업-03(LHY)_99Group center-04기말-LHY" xfId="927"/>
    <cellStyle name="-_안진조서요약-유로넥스트(03)(LHY)_안진조서요약-유로넥스트(03)(LHY)_한국유업-03(LHY)_99Group center-04기말-LHY 2" xfId="928"/>
    <cellStyle name="-_안진조서요약-유로넥스트(03)(LHY)_안진조서요약-유로넥스트(03)(LHY)_한국유업-03(LHY)_99Group center-04기말-LHY 3" xfId="929"/>
    <cellStyle name="-_안진조서요약-유로넥스트(03)(LHY)_안진조서요약-유로넥스트(03)(LHY)_한국유업-03(LHY)_99Group center-04기말-LHY 4" xfId="930"/>
    <cellStyle name="-_안진조서요약-유로넥스트(03)(LHY)_안진조서요약-유로넥스트(03)(LHY)_한국유업-03(LHY)_99Group center-04중간업데이트기말-LHY" xfId="931"/>
    <cellStyle name="-_안진조서요약-유로넥스트(03)(LHY)_안진조서요약-유로넥스트(03)(LHY)_한국유업-03(LHY)_99Group center-04중간업데이트기말-LHY 2" xfId="932"/>
    <cellStyle name="-_안진조서요약-유로넥스트(03)(LHY)_안진조서요약-유로넥스트(03)(LHY)_한국유업-03(LHY)_99Group center-04중간업데이트기말-LHY 3" xfId="933"/>
    <cellStyle name="-_안진조서요약-유로넥스트(03)(LHY)_안진조서요약-유로넥스트(03)(LHY)_한국유업-03(LHY)_99Group center-04중간업데이트기말-LHY 4" xfId="934"/>
    <cellStyle name="-_안진조서요약-유로넥스트(03)(LHY)_안진조서요약-유로넥스트(03)(LHY)_한국유업-03(LHY)_99Group center-ARP04기말-LHY" xfId="935"/>
    <cellStyle name="-_안진조서요약-유로넥스트(03)(LHY)_안진조서요약-유로넥스트(03)(LHY)_한국유업-03(LHY)_99Group center-ARP04기말-LHY 2" xfId="936"/>
    <cellStyle name="-_안진조서요약-유로넥스트(03)(LHY)_안진조서요약-유로넥스트(03)(LHY)_한국유업-03(LHY)_99Group center-ARP04기말-LHY 3" xfId="937"/>
    <cellStyle name="-_안진조서요약-유로넥스트(03)(LHY)_안진조서요약-유로넥스트(03)(LHY)_한국유업-03(LHY)_99Group center-ARP04기말-LHY 4" xfId="938"/>
    <cellStyle name="-_안진조서요약-유로넥스트(03)(LHY)_안진조서요약-유로넥스트(03)(LHY)_한국유업-03(LHY)_매직산업(03기말-LHY)" xfId="939"/>
    <cellStyle name="-_안진조서요약-유로넥스트(03)(LHY)_안진조서요약-유로넥스트(03)(LHY)_한국유업-03(LHY)_매직산업(03기말-LHY) 2" xfId="940"/>
    <cellStyle name="-_안진조서요약-유로넥스트(03)(LHY)_안진조서요약-유로넥스트(03)(LHY)_한국유업-03(LHY)_매직산업(03기말-LHY) 3" xfId="941"/>
    <cellStyle name="-_안진조서요약-유로넥스트(03)(LHY)_안진조서요약-유로넥스트(03)(LHY)_한국유업-03(LHY)_매직산업(03기말-LHY) 4" xfId="942"/>
    <cellStyle name="-_안진조서요약-유로넥스트(03)(LHY)_안진조서요약-유로넥스트(03)(LHY)_한국유업-03(LHY)_매직산업(03기말-LHY)_99Group center-04기말-LHY" xfId="943"/>
    <cellStyle name="-_안진조서요약-유로넥스트(03)(LHY)_안진조서요약-유로넥스트(03)(LHY)_한국유업-03(LHY)_매직산업(03기말-LHY)_99Group center-04기말-LHY 2" xfId="944"/>
    <cellStyle name="-_안진조서요약-유로넥스트(03)(LHY)_안진조서요약-유로넥스트(03)(LHY)_한국유업-03(LHY)_매직산업(03기말-LHY)_99Group center-04기말-LHY 3" xfId="945"/>
    <cellStyle name="-_안진조서요약-유로넥스트(03)(LHY)_안진조서요약-유로넥스트(03)(LHY)_한국유업-03(LHY)_매직산업(03기말-LHY)_99Group center-04기말-LHY 4" xfId="946"/>
    <cellStyle name="-_안진조서요약-유로넥스트(03)(LHY)_안진조서요약-유로넥스트(03)(LHY)_한국유업-03(LHY)_매직산업(03기말-LHY)_99Group center-04중간업데이트기말-LHY" xfId="947"/>
    <cellStyle name="-_안진조서요약-유로넥스트(03)(LHY)_안진조서요약-유로넥스트(03)(LHY)_한국유업-03(LHY)_매직산업(03기말-LHY)_99Group center-04중간업데이트기말-LHY 2" xfId="948"/>
    <cellStyle name="-_안진조서요약-유로넥스트(03)(LHY)_안진조서요약-유로넥스트(03)(LHY)_한국유업-03(LHY)_매직산업(03기말-LHY)_99Group center-04중간업데이트기말-LHY 3" xfId="949"/>
    <cellStyle name="-_안진조서요약-유로넥스트(03)(LHY)_안진조서요약-유로넥스트(03)(LHY)_한국유업-03(LHY)_매직산업(03기말-LHY)_99Group center-04중간업데이트기말-LHY 4" xfId="950"/>
    <cellStyle name="-_안진조서요약-유로넥스트(03)(LHY)_안진조서요약-유로넥스트(03)(LHY)_한국유업-03(LHY)_매직산업(03기말-LHY)_99Group center-ARP04기말-LHY" xfId="951"/>
    <cellStyle name="-_안진조서요약-유로넥스트(03)(LHY)_안진조서요약-유로넥스트(03)(LHY)_한국유업-03(LHY)_매직산업(03기말-LHY)_99Group center-ARP04기말-LHY 2" xfId="952"/>
    <cellStyle name="-_안진조서요약-유로넥스트(03)(LHY)_안진조서요약-유로넥스트(03)(LHY)_한국유업-03(LHY)_매직산업(03기말-LHY)_99Group center-ARP04기말-LHY 3" xfId="953"/>
    <cellStyle name="-_안진조서요약-유로넥스트(03)(LHY)_안진조서요약-유로넥스트(03)(LHY)_한국유업-03(LHY)_매직산업(03기말-LHY)_99Group center-ARP04기말-LHY 4" xfId="954"/>
    <cellStyle name="-_안진조서요약-유로넥스트(03)(LHY)_엠비즈-03-기말(LHY)" xfId="955"/>
    <cellStyle name="-_안진조서요약-유로넥스트(03)(LHY)_엠비즈-03-기말(LHY) 2" xfId="956"/>
    <cellStyle name="-_안진조서요약-유로넥스트(03)(LHY)_엠비즈-03-기말(LHY) 3" xfId="957"/>
    <cellStyle name="-_안진조서요약-유로넥스트(03)(LHY)_엠비즈-03-기말(LHY) 4" xfId="958"/>
    <cellStyle name="-_안진조서요약-유로넥스트(03)(LHY)_엠비즈-03-기말(LHY)_99Group center-04기말-LHY" xfId="959"/>
    <cellStyle name="-_안진조서요약-유로넥스트(03)(LHY)_엠비즈-03-기말(LHY)_99Group center-04기말-LHY 2" xfId="960"/>
    <cellStyle name="-_안진조서요약-유로넥스트(03)(LHY)_엠비즈-03-기말(LHY)_99Group center-04기말-LHY 3" xfId="961"/>
    <cellStyle name="-_안진조서요약-유로넥스트(03)(LHY)_엠비즈-03-기말(LHY)_99Group center-04기말-LHY 4" xfId="962"/>
    <cellStyle name="-_안진조서요약-유로넥스트(03)(LHY)_엠비즈-03-기말(LHY)_99Group center-04중간업데이트기말-LHY" xfId="963"/>
    <cellStyle name="-_안진조서요약-유로넥스트(03)(LHY)_엠비즈-03-기말(LHY)_99Group center-04중간업데이트기말-LHY 2" xfId="964"/>
    <cellStyle name="-_안진조서요약-유로넥스트(03)(LHY)_엠비즈-03-기말(LHY)_99Group center-04중간업데이트기말-LHY 3" xfId="965"/>
    <cellStyle name="-_안진조서요약-유로넥스트(03)(LHY)_엠비즈-03-기말(LHY)_99Group center-04중간업데이트기말-LHY 4" xfId="966"/>
    <cellStyle name="-_안진조서요약-유로넥스트(03)(LHY)_엠비즈-03-기말(LHY)_99Group center-ARP04기말-LHY" xfId="967"/>
    <cellStyle name="-_안진조서요약-유로넥스트(03)(LHY)_엠비즈-03-기말(LHY)_99Group center-ARP04기말-LHY 2" xfId="968"/>
    <cellStyle name="-_안진조서요약-유로넥스트(03)(LHY)_엠비즈-03-기말(LHY)_99Group center-ARP04기말-LHY 3" xfId="969"/>
    <cellStyle name="-_안진조서요약-유로넥스트(03)(LHY)_엠비즈-03-기말(LHY)_99Group center-ARP04기말-LHY 4" xfId="970"/>
    <cellStyle name="-_안진조서요약-유로넥스트(03)(LHY)_원가율검-조정" xfId="971"/>
    <cellStyle name="-_안진조서요약-유로넥스트(03)(LHY)_원가율검-조정 2" xfId="972"/>
    <cellStyle name="-_안진조서요약-유로넥스트(03)(LHY)_원가율검-조정 3" xfId="973"/>
    <cellStyle name="-_안진조서요약-유로넥스트(03)(LHY)_원가율검-조정 4" xfId="974"/>
    <cellStyle name="-_안진조서요약-유로넥스트(03)(LHY)_원가율검-조정_99Group center-04기말-LHY" xfId="975"/>
    <cellStyle name="-_안진조서요약-유로넥스트(03)(LHY)_원가율검-조정_99Group center-04기말-LHY 2" xfId="976"/>
    <cellStyle name="-_안진조서요약-유로넥스트(03)(LHY)_원가율검-조정_99Group center-04기말-LHY 3" xfId="977"/>
    <cellStyle name="-_안진조서요약-유로넥스트(03)(LHY)_원가율검-조정_99Group center-04기말-LHY 4" xfId="978"/>
    <cellStyle name="-_안진조서요약-유로넥스트(03)(LHY)_원가율검-조정_99Group center-04중간업데이트기말-LHY" xfId="979"/>
    <cellStyle name="-_안진조서요약-유로넥스트(03)(LHY)_원가율검-조정_99Group center-04중간업데이트기말-LHY 2" xfId="980"/>
    <cellStyle name="-_안진조서요약-유로넥스트(03)(LHY)_원가율검-조정_99Group center-04중간업데이트기말-LHY 3" xfId="981"/>
    <cellStyle name="-_안진조서요약-유로넥스트(03)(LHY)_원가율검-조정_99Group center-04중간업데이트기말-LHY 4" xfId="982"/>
    <cellStyle name="-_안진조서요약-유로넥스트(03)(LHY)_원가율검-조정_99Group center-ARP04기말-LHY" xfId="983"/>
    <cellStyle name="-_안진조서요약-유로넥스트(03)(LHY)_원가율검-조정_99Group center-ARP04기말-LHY 2" xfId="984"/>
    <cellStyle name="-_안진조서요약-유로넥스트(03)(LHY)_원가율검-조정_99Group center-ARP04기말-LHY 3" xfId="985"/>
    <cellStyle name="-_안진조서요약-유로넥스트(03)(LHY)_원가율검-조정_99Group center-ARP04기말-LHY 4" xfId="986"/>
    <cellStyle name="-_안진조서요약-유로넥스트(03)(LHY)_유로넥스트(03)(LHY)" xfId="987"/>
    <cellStyle name="-_안진조서요약-유로넥스트(03)(LHY)_유로넥스트(03)(LHY) 2" xfId="988"/>
    <cellStyle name="-_안진조서요약-유로넥스트(03)(LHY)_유로넥스트(03)(LHY) 3" xfId="989"/>
    <cellStyle name="-_안진조서요약-유로넥스트(03)(LHY)_유로넥스트(03)(LHY) 4" xfId="990"/>
    <cellStyle name="-_안진조서요약-유로넥스트(03)(LHY)_유로넥스트(03)(LHY)_단기투자, 장기투자의 양식(회계사요청)(1)" xfId="991"/>
    <cellStyle name="-_안진조서요약-유로넥스트(03)(LHY)_유로넥스트(03)(LHY)_단기투자, 장기투자의 양식(회계사요청)(1) 2" xfId="992"/>
    <cellStyle name="-_안진조서요약-유로넥스트(03)(LHY)_유로넥스트(03)(LHY)_단기투자, 장기투자의 양식(회계사요청)(1) 3" xfId="993"/>
    <cellStyle name="-_안진조서요약-유로넥스트(03)(LHY)_유로넥스트(03)(LHY)_단기투자, 장기투자의 양식(회계사요청)(1) 4" xfId="994"/>
    <cellStyle name="-_안진조서요약-유로넥스트(03)(LHY)_유로넥스트(03)(LHY)_단기투자, 장기투자의 양식(회계사요청)(1)_99Group center-04기말-LHY" xfId="995"/>
    <cellStyle name="-_안진조서요약-유로넥스트(03)(LHY)_유로넥스트(03)(LHY)_단기투자, 장기투자의 양식(회계사요청)(1)_99Group center-04기말-LHY 2" xfId="996"/>
    <cellStyle name="-_안진조서요약-유로넥스트(03)(LHY)_유로넥스트(03)(LHY)_단기투자, 장기투자의 양식(회계사요청)(1)_99Group center-04기말-LHY 3" xfId="997"/>
    <cellStyle name="-_안진조서요약-유로넥스트(03)(LHY)_유로넥스트(03)(LHY)_단기투자, 장기투자의 양식(회계사요청)(1)_99Group center-04기말-LHY 4" xfId="998"/>
    <cellStyle name="-_안진조서요약-유로넥스트(03)(LHY)_유로넥스트(03)(LHY)_단기투자, 장기투자의 양식(회계사요청)(1)_99Group center-04중간업데이트기말-LHY" xfId="999"/>
    <cellStyle name="-_안진조서요약-유로넥스트(03)(LHY)_유로넥스트(03)(LHY)_단기투자, 장기투자의 양식(회계사요청)(1)_99Group center-04중간업데이트기말-LHY 2" xfId="1000"/>
    <cellStyle name="-_안진조서요약-유로넥스트(03)(LHY)_유로넥스트(03)(LHY)_단기투자, 장기투자의 양식(회계사요청)(1)_99Group center-04중간업데이트기말-LHY 3" xfId="1001"/>
    <cellStyle name="-_안진조서요약-유로넥스트(03)(LHY)_유로넥스트(03)(LHY)_단기투자, 장기투자의 양식(회계사요청)(1)_99Group center-04중간업데이트기말-LHY 4" xfId="1002"/>
    <cellStyle name="-_안진조서요약-유로넥스트(03)(LHY)_유로넥스트(03)(LHY)_단기투자, 장기투자의 양식(회계사요청)(1)_99Group center-ARP04기말-LHY" xfId="1003"/>
    <cellStyle name="-_안진조서요약-유로넥스트(03)(LHY)_유로넥스트(03)(LHY)_단기투자, 장기투자의 양식(회계사요청)(1)_99Group center-ARP04기말-LHY 2" xfId="1004"/>
    <cellStyle name="-_안진조서요약-유로넥스트(03)(LHY)_유로넥스트(03)(LHY)_단기투자, 장기투자의 양식(회계사요청)(1)_99Group center-ARP04기말-LHY 3" xfId="1005"/>
    <cellStyle name="-_안진조서요약-유로넥스트(03)(LHY)_유로넥스트(03)(LHY)_단기투자, 장기투자의 양식(회계사요청)(1)_99Group center-ARP04기말-LHY 4" xfId="1006"/>
    <cellStyle name="-_안진조서요약-유로넥스트(03)(LHY)_유로넥스트(03)(LHY)_대출채권 Sampling" xfId="1007"/>
    <cellStyle name="-_안진조서요약-유로넥스트(03)(LHY)_유로넥스트(03)(LHY)_대출채권 Sampling 2" xfId="1008"/>
    <cellStyle name="-_안진조서요약-유로넥스트(03)(LHY)_유로넥스트(03)(LHY)_대출채권 Sampling 3" xfId="1009"/>
    <cellStyle name="-_안진조서요약-유로넥스트(03)(LHY)_유로넥스트(03)(LHY)_대출채권 Sampling 4" xfId="1010"/>
    <cellStyle name="-_안진조서요약-유로넥스트(03)(LHY)_유로넥스트(03)(LHY)_대출채권 Sampling_99Group center-04기말-LHY" xfId="1011"/>
    <cellStyle name="-_안진조서요약-유로넥스트(03)(LHY)_유로넥스트(03)(LHY)_대출채권 Sampling_99Group center-04기말-LHY 2" xfId="1012"/>
    <cellStyle name="-_안진조서요약-유로넥스트(03)(LHY)_유로넥스트(03)(LHY)_대출채권 Sampling_99Group center-04기말-LHY 3" xfId="1013"/>
    <cellStyle name="-_안진조서요약-유로넥스트(03)(LHY)_유로넥스트(03)(LHY)_대출채권 Sampling_99Group center-04기말-LHY 4" xfId="1014"/>
    <cellStyle name="-_안진조서요약-유로넥스트(03)(LHY)_유로넥스트(03)(LHY)_대출채권 Sampling_99Group center-04중간업데이트기말-LHY" xfId="1015"/>
    <cellStyle name="-_안진조서요약-유로넥스트(03)(LHY)_유로넥스트(03)(LHY)_대출채권 Sampling_99Group center-04중간업데이트기말-LHY 2" xfId="1016"/>
    <cellStyle name="-_안진조서요약-유로넥스트(03)(LHY)_유로넥스트(03)(LHY)_대출채권 Sampling_99Group center-04중간업데이트기말-LHY 3" xfId="1017"/>
    <cellStyle name="-_안진조서요약-유로넥스트(03)(LHY)_유로넥스트(03)(LHY)_대출채권 Sampling_99Group center-04중간업데이트기말-LHY 4" xfId="1018"/>
    <cellStyle name="-_안진조서요약-유로넥스트(03)(LHY)_유로넥스트(03)(LHY)_대출채권 Sampling_99Group center-ARP04기말-LHY" xfId="1019"/>
    <cellStyle name="-_안진조서요약-유로넥스트(03)(LHY)_유로넥스트(03)(LHY)_대출채권 Sampling_99Group center-ARP04기말-LHY 2" xfId="1020"/>
    <cellStyle name="-_안진조서요약-유로넥스트(03)(LHY)_유로넥스트(03)(LHY)_대출채권 Sampling_99Group center-ARP04기말-LHY 3" xfId="1021"/>
    <cellStyle name="-_안진조서요약-유로넥스트(03)(LHY)_유로넥스트(03)(LHY)_대출채권 Sampling_99Group center-ARP04기말-LHY 4" xfId="1022"/>
    <cellStyle name="-_안진조서요약-유로넥스트(03)(LHY)_유로넥스트(03)(LHY)_동양매직-03(LHY)" xfId="1023"/>
    <cellStyle name="-_안진조서요약-유로넥스트(03)(LHY)_유로넥스트(03)(LHY)_동양매직-03(LHY) 2" xfId="1024"/>
    <cellStyle name="-_안진조서요약-유로넥스트(03)(LHY)_유로넥스트(03)(LHY)_동양매직-03(LHY) 3" xfId="1025"/>
    <cellStyle name="-_안진조서요약-유로넥스트(03)(LHY)_유로넥스트(03)(LHY)_동양매직-03(LHY) 4" xfId="1026"/>
    <cellStyle name="-_안진조서요약-유로넥스트(03)(LHY)_유로넥스트(03)(LHY)_동양매직-03(LHY)_99Group center-04기말-LHY" xfId="1027"/>
    <cellStyle name="-_안진조서요약-유로넥스트(03)(LHY)_유로넥스트(03)(LHY)_동양매직-03(LHY)_99Group center-04기말-LHY 2" xfId="1028"/>
    <cellStyle name="-_안진조서요약-유로넥스트(03)(LHY)_유로넥스트(03)(LHY)_동양매직-03(LHY)_99Group center-04기말-LHY 3" xfId="1029"/>
    <cellStyle name="-_안진조서요약-유로넥스트(03)(LHY)_유로넥스트(03)(LHY)_동양매직-03(LHY)_99Group center-04기말-LHY 4" xfId="1030"/>
    <cellStyle name="-_안진조서요약-유로넥스트(03)(LHY)_유로넥스트(03)(LHY)_동양매직-03(LHY)_99Group center-04중간업데이트기말-LHY" xfId="1031"/>
    <cellStyle name="-_안진조서요약-유로넥스트(03)(LHY)_유로넥스트(03)(LHY)_동양매직-03(LHY)_99Group center-04중간업데이트기말-LHY 2" xfId="1032"/>
    <cellStyle name="-_안진조서요약-유로넥스트(03)(LHY)_유로넥스트(03)(LHY)_동양매직-03(LHY)_99Group center-04중간업데이트기말-LHY 3" xfId="1033"/>
    <cellStyle name="-_안진조서요약-유로넥스트(03)(LHY)_유로넥스트(03)(LHY)_동양매직-03(LHY)_99Group center-04중간업데이트기말-LHY 4" xfId="1034"/>
    <cellStyle name="-_안진조서요약-유로넥스트(03)(LHY)_유로넥스트(03)(LHY)_동양매직-03(LHY)_99Group center-ARP04기말-LHY" xfId="1035"/>
    <cellStyle name="-_안진조서요약-유로넥스트(03)(LHY)_유로넥스트(03)(LHY)_동양매직-03(LHY)_99Group center-ARP04기말-LHY 2" xfId="1036"/>
    <cellStyle name="-_안진조서요약-유로넥스트(03)(LHY)_유로넥스트(03)(LHY)_동양매직-03(LHY)_99Group center-ARP04기말-LHY 3" xfId="1037"/>
    <cellStyle name="-_안진조서요약-유로넥스트(03)(LHY)_유로넥스트(03)(LHY)_동양매직-03(LHY)_99Group center-ARP04기말-LHY 4" xfId="1038"/>
    <cellStyle name="-_안진조서요약-유로넥스트(03)(LHY)_유로넥스트(03)(LHY)_매직산업(03기말-LHY)" xfId="1039"/>
    <cellStyle name="-_안진조서요약-유로넥스트(03)(LHY)_유로넥스트(03)(LHY)_매직산업(03기말-LHY) 2" xfId="1040"/>
    <cellStyle name="-_안진조서요약-유로넥스트(03)(LHY)_유로넥스트(03)(LHY)_매직산업(03기말-LHY) 3" xfId="1041"/>
    <cellStyle name="-_안진조서요약-유로넥스트(03)(LHY)_유로넥스트(03)(LHY)_매직산업(03기말-LHY) 4" xfId="1042"/>
    <cellStyle name="-_안진조서요약-유로넥스트(03)(LHY)_유로넥스트(03)(LHY)_매직산업(03기말-LHY)_99Group center-04기말-LHY" xfId="1043"/>
    <cellStyle name="-_안진조서요약-유로넥스트(03)(LHY)_유로넥스트(03)(LHY)_매직산업(03기말-LHY)_99Group center-04기말-LHY 2" xfId="1044"/>
    <cellStyle name="-_안진조서요약-유로넥스트(03)(LHY)_유로넥스트(03)(LHY)_매직산업(03기말-LHY)_99Group center-04기말-LHY 3" xfId="1045"/>
    <cellStyle name="-_안진조서요약-유로넥스트(03)(LHY)_유로넥스트(03)(LHY)_매직산업(03기말-LHY)_99Group center-04기말-LHY 4" xfId="1046"/>
    <cellStyle name="-_안진조서요약-유로넥스트(03)(LHY)_유로넥스트(03)(LHY)_매직산업(03기말-LHY)_99Group center-04중간업데이트기말-LHY" xfId="1047"/>
    <cellStyle name="-_안진조서요약-유로넥스트(03)(LHY)_유로넥스트(03)(LHY)_매직산업(03기말-LHY)_99Group center-04중간업데이트기말-LHY 2" xfId="1048"/>
    <cellStyle name="-_안진조서요약-유로넥스트(03)(LHY)_유로넥스트(03)(LHY)_매직산업(03기말-LHY)_99Group center-04중간업데이트기말-LHY 3" xfId="1049"/>
    <cellStyle name="-_안진조서요약-유로넥스트(03)(LHY)_유로넥스트(03)(LHY)_매직산업(03기말-LHY)_99Group center-04중간업데이트기말-LHY 4" xfId="1050"/>
    <cellStyle name="-_안진조서요약-유로넥스트(03)(LHY)_유로넥스트(03)(LHY)_매직산업(03기말-LHY)_99Group center-ARP04기말-LHY" xfId="1051"/>
    <cellStyle name="-_안진조서요약-유로넥스트(03)(LHY)_유로넥스트(03)(LHY)_매직산업(03기말-LHY)_99Group center-ARP04기말-LHY 2" xfId="1052"/>
    <cellStyle name="-_안진조서요약-유로넥스트(03)(LHY)_유로넥스트(03)(LHY)_매직산업(03기말-LHY)_99Group center-ARP04기말-LHY 3" xfId="1053"/>
    <cellStyle name="-_안진조서요약-유로넥스트(03)(LHY)_유로넥스트(03)(LHY)_매직산업(03기말-LHY)_99Group center-ARP04기말-LHY 4" xfId="1054"/>
    <cellStyle name="-_안진조서요약-유로넥스트(03)(LHY)_유로넥스트(03)(LHY)_벽산페인트(03,LHY)1" xfId="1055"/>
    <cellStyle name="-_안진조서요약-유로넥스트(03)(LHY)_유로넥스트(03)(LHY)_벽산페인트(03,LHY)1 2" xfId="1056"/>
    <cellStyle name="-_안진조서요약-유로넥스트(03)(LHY)_유로넥스트(03)(LHY)_벽산페인트(03,LHY)1 3" xfId="1057"/>
    <cellStyle name="-_안진조서요약-유로넥스트(03)(LHY)_유로넥스트(03)(LHY)_벽산페인트(03,LHY)1 4" xfId="1058"/>
    <cellStyle name="-_안진조서요약-유로넥스트(03)(LHY)_유로넥스트(03)(LHY)_벽산페인트(03,LHY)1_99Group center-04기말-LHY" xfId="1059"/>
    <cellStyle name="-_안진조서요약-유로넥스트(03)(LHY)_유로넥스트(03)(LHY)_벽산페인트(03,LHY)1_99Group center-04기말-LHY 2" xfId="1060"/>
    <cellStyle name="-_안진조서요약-유로넥스트(03)(LHY)_유로넥스트(03)(LHY)_벽산페인트(03,LHY)1_99Group center-04기말-LHY 3" xfId="1061"/>
    <cellStyle name="-_안진조서요약-유로넥스트(03)(LHY)_유로넥스트(03)(LHY)_벽산페인트(03,LHY)1_99Group center-04기말-LHY 4" xfId="1062"/>
    <cellStyle name="-_안진조서요약-유로넥스트(03)(LHY)_유로넥스트(03)(LHY)_벽산페인트(03,LHY)1_99Group center-04중간업데이트기말-LHY" xfId="1063"/>
    <cellStyle name="-_안진조서요약-유로넥스트(03)(LHY)_유로넥스트(03)(LHY)_벽산페인트(03,LHY)1_99Group center-04중간업데이트기말-LHY 2" xfId="1064"/>
    <cellStyle name="-_안진조서요약-유로넥스트(03)(LHY)_유로넥스트(03)(LHY)_벽산페인트(03,LHY)1_99Group center-04중간업데이트기말-LHY 3" xfId="1065"/>
    <cellStyle name="-_안진조서요약-유로넥스트(03)(LHY)_유로넥스트(03)(LHY)_벽산페인트(03,LHY)1_99Group center-04중간업데이트기말-LHY 4" xfId="1066"/>
    <cellStyle name="-_안진조서요약-유로넥스트(03)(LHY)_유로넥스트(03)(LHY)_벽산페인트(03,LHY)1_99Group center-ARP04기말-LHY" xfId="1067"/>
    <cellStyle name="-_안진조서요약-유로넥스트(03)(LHY)_유로넥스트(03)(LHY)_벽산페인트(03,LHY)1_99Group center-ARP04기말-LHY 2" xfId="1068"/>
    <cellStyle name="-_안진조서요약-유로넥스트(03)(LHY)_유로넥스트(03)(LHY)_벽산페인트(03,LHY)1_99Group center-ARP04기말-LHY 3" xfId="1069"/>
    <cellStyle name="-_안진조서요약-유로넥스트(03)(LHY)_유로넥스트(03)(LHY)_벽산페인트(03,LHY)1_99Group center-ARP04기말-LHY 4" xfId="1070"/>
    <cellStyle name="-_안진조서요약-유로넥스트(03)(LHY)_유로넥스트(03)(LHY)_새누리상호저축(03-LHY)" xfId="1071"/>
    <cellStyle name="-_안진조서요약-유로넥스트(03)(LHY)_유로넥스트(03)(LHY)_새누리상호저축(03-LHY) 2" xfId="1072"/>
    <cellStyle name="-_안진조서요약-유로넥스트(03)(LHY)_유로넥스트(03)(LHY)_새누리상호저축(03-LHY) 3" xfId="1073"/>
    <cellStyle name="-_안진조서요약-유로넥스트(03)(LHY)_유로넥스트(03)(LHY)_새누리상호저축(03-LHY) 4" xfId="1074"/>
    <cellStyle name="-_안진조서요약-유로넥스트(03)(LHY)_유로넥스트(03)(LHY)_새누리상호저축(03-LHY)-new" xfId="1075"/>
    <cellStyle name="-_안진조서요약-유로넥스트(03)(LHY)_유로넥스트(03)(LHY)_새누리상호저축(03-LHY)-new 2" xfId="1076"/>
    <cellStyle name="-_안진조서요약-유로넥스트(03)(LHY)_유로넥스트(03)(LHY)_새누리상호저축(03-LHY)-new 3" xfId="1077"/>
    <cellStyle name="-_안진조서요약-유로넥스트(03)(LHY)_유로넥스트(03)(LHY)_새누리상호저축(03-LHY)-new 4" xfId="1078"/>
    <cellStyle name="-_안진조서요약-유로넥스트(03)(LHY)_유로넥스트(03)(LHY)_새누리상호저축(03-LHY)-new_99Group center-04기말-LHY" xfId="1079"/>
    <cellStyle name="-_안진조서요약-유로넥스트(03)(LHY)_유로넥스트(03)(LHY)_새누리상호저축(03-LHY)-new_99Group center-04기말-LHY 2" xfId="1080"/>
    <cellStyle name="-_안진조서요약-유로넥스트(03)(LHY)_유로넥스트(03)(LHY)_새누리상호저축(03-LHY)-new_99Group center-04기말-LHY 3" xfId="1081"/>
    <cellStyle name="-_안진조서요약-유로넥스트(03)(LHY)_유로넥스트(03)(LHY)_새누리상호저축(03-LHY)-new_99Group center-04기말-LHY 4" xfId="1082"/>
    <cellStyle name="-_안진조서요약-유로넥스트(03)(LHY)_유로넥스트(03)(LHY)_새누리상호저축(03-LHY)-new_99Group center-04중간업데이트기말-LHY" xfId="1083"/>
    <cellStyle name="-_안진조서요약-유로넥스트(03)(LHY)_유로넥스트(03)(LHY)_새누리상호저축(03-LHY)-new_99Group center-04중간업데이트기말-LHY 2" xfId="1084"/>
    <cellStyle name="-_안진조서요약-유로넥스트(03)(LHY)_유로넥스트(03)(LHY)_새누리상호저축(03-LHY)-new_99Group center-04중간업데이트기말-LHY 3" xfId="1085"/>
    <cellStyle name="-_안진조서요약-유로넥스트(03)(LHY)_유로넥스트(03)(LHY)_새누리상호저축(03-LHY)-new_99Group center-04중간업데이트기말-LHY 4" xfId="1086"/>
    <cellStyle name="-_안진조서요약-유로넥스트(03)(LHY)_유로넥스트(03)(LHY)_새누리상호저축(03-LHY)-new_99Group center-ARP04기말-LHY" xfId="1087"/>
    <cellStyle name="-_안진조서요약-유로넥스트(03)(LHY)_유로넥스트(03)(LHY)_새누리상호저축(03-LHY)-new_99Group center-ARP04기말-LHY 2" xfId="1088"/>
    <cellStyle name="-_안진조서요약-유로넥스트(03)(LHY)_유로넥스트(03)(LHY)_새누리상호저축(03-LHY)-new_99Group center-ARP04기말-LHY 3" xfId="1089"/>
    <cellStyle name="-_안진조서요약-유로넥스트(03)(LHY)_유로넥스트(03)(LHY)_새누리상호저축(03-LHY)-new_99Group center-ARP04기말-LHY 4" xfId="1090"/>
    <cellStyle name="-_안진조서요약-유로넥스트(03)(LHY)_유로넥스트(03)(LHY)_새누리상호저축(03-LHY)_99Group center-04기말-LHY" xfId="1091"/>
    <cellStyle name="-_안진조서요약-유로넥스트(03)(LHY)_유로넥스트(03)(LHY)_새누리상호저축(03-LHY)_99Group center-04기말-LHY 2" xfId="1092"/>
    <cellStyle name="-_안진조서요약-유로넥스트(03)(LHY)_유로넥스트(03)(LHY)_새누리상호저축(03-LHY)_99Group center-04기말-LHY 3" xfId="1093"/>
    <cellStyle name="-_안진조서요약-유로넥스트(03)(LHY)_유로넥스트(03)(LHY)_새누리상호저축(03-LHY)_99Group center-04기말-LHY 4" xfId="1094"/>
    <cellStyle name="-_안진조서요약-유로넥스트(03)(LHY)_유로넥스트(03)(LHY)_새누리상호저축(03-LHY)_99Group center-04중간업데이트기말-LHY" xfId="1095"/>
    <cellStyle name="-_안진조서요약-유로넥스트(03)(LHY)_유로넥스트(03)(LHY)_새누리상호저축(03-LHY)_99Group center-04중간업데이트기말-LHY 2" xfId="1096"/>
    <cellStyle name="-_안진조서요약-유로넥스트(03)(LHY)_유로넥스트(03)(LHY)_새누리상호저축(03-LHY)_99Group center-04중간업데이트기말-LHY 3" xfId="1097"/>
    <cellStyle name="-_안진조서요약-유로넥스트(03)(LHY)_유로넥스트(03)(LHY)_새누리상호저축(03-LHY)_99Group center-04중간업데이트기말-LHY 4" xfId="1098"/>
    <cellStyle name="-_안진조서요약-유로넥스트(03)(LHY)_유로넥스트(03)(LHY)_새누리상호저축(03-LHY)_99Group center-ARP04기말-LHY" xfId="1099"/>
    <cellStyle name="-_안진조서요약-유로넥스트(03)(LHY)_유로넥스트(03)(LHY)_새누리상호저축(03-LHY)_99Group center-ARP04기말-LHY 2" xfId="1100"/>
    <cellStyle name="-_안진조서요약-유로넥스트(03)(LHY)_유로넥스트(03)(LHY)_새누리상호저축(03-LHY)_99Group center-ARP04기말-LHY 3" xfId="1101"/>
    <cellStyle name="-_안진조서요약-유로넥스트(03)(LHY)_유로넥스트(03)(LHY)_새누리상호저축(03-LHY)_99Group center-ARP04기말-LHY 4" xfId="1102"/>
    <cellStyle name="-_안진조서요약-유로넥스트(03)(LHY)_유로넥스트(03)(LHY)_쌈지-04반기-(LHY)" xfId="1103"/>
    <cellStyle name="-_안진조서요약-유로넥스트(03)(LHY)_유로넥스트(03)(LHY)_쌈지-04반기-(LHY) 2" xfId="1104"/>
    <cellStyle name="-_안진조서요약-유로넥스트(03)(LHY)_유로넥스트(03)(LHY)_쌈지-04반기-(LHY) 3" xfId="1105"/>
    <cellStyle name="-_안진조서요약-유로넥스트(03)(LHY)_유로넥스트(03)(LHY)_쌈지-04반기-(LHY) 4" xfId="1106"/>
    <cellStyle name="-_안진조서요약-유로넥스트(03)(LHY)_유로넥스트(03)(LHY)_쌈지-04반기-(LHY)_99Group center-04기말-LHY" xfId="1107"/>
    <cellStyle name="-_안진조서요약-유로넥스트(03)(LHY)_유로넥스트(03)(LHY)_쌈지-04반기-(LHY)_99Group center-04기말-LHY 2" xfId="1108"/>
    <cellStyle name="-_안진조서요약-유로넥스트(03)(LHY)_유로넥스트(03)(LHY)_쌈지-04반기-(LHY)_99Group center-04기말-LHY 3" xfId="1109"/>
    <cellStyle name="-_안진조서요약-유로넥스트(03)(LHY)_유로넥스트(03)(LHY)_쌈지-04반기-(LHY)_99Group center-04기말-LHY 4" xfId="1110"/>
    <cellStyle name="-_안진조서요약-유로넥스트(03)(LHY)_유로넥스트(03)(LHY)_쌈지-04반기-(LHY)_99Group center-04중간업데이트기말-LHY" xfId="1111"/>
    <cellStyle name="-_안진조서요약-유로넥스트(03)(LHY)_유로넥스트(03)(LHY)_쌈지-04반기-(LHY)_99Group center-04중간업데이트기말-LHY 2" xfId="1112"/>
    <cellStyle name="-_안진조서요약-유로넥스트(03)(LHY)_유로넥스트(03)(LHY)_쌈지-04반기-(LHY)_99Group center-04중간업데이트기말-LHY 3" xfId="1113"/>
    <cellStyle name="-_안진조서요약-유로넥스트(03)(LHY)_유로넥스트(03)(LHY)_쌈지-04반기-(LHY)_99Group center-04중간업데이트기말-LHY 4" xfId="1114"/>
    <cellStyle name="-_안진조서요약-유로넥스트(03)(LHY)_유로넥스트(03)(LHY)_쌈지-04반기-(LHY)_99Group center-ARP04기말-LHY" xfId="1115"/>
    <cellStyle name="-_안진조서요약-유로넥스트(03)(LHY)_유로넥스트(03)(LHY)_쌈지-04반기-(LHY)_99Group center-ARP04기말-LHY 2" xfId="1116"/>
    <cellStyle name="-_안진조서요약-유로넥스트(03)(LHY)_유로넥스트(03)(LHY)_쌈지-04반기-(LHY)_99Group center-ARP04기말-LHY 3" xfId="1117"/>
    <cellStyle name="-_안진조서요약-유로넥스트(03)(LHY)_유로넥스트(03)(LHY)_쌈지-04반기-(LHY)_99Group center-ARP04기말-LHY 4" xfId="1118"/>
    <cellStyle name="-_안진조서요약-유로넥스트(03)(LHY)_유로넥스트(03)(LHY)_엠비즈-03-기말(LHY)" xfId="1119"/>
    <cellStyle name="-_안진조서요약-유로넥스트(03)(LHY)_유로넥스트(03)(LHY)_엠비즈-03-기말(LHY) 2" xfId="1120"/>
    <cellStyle name="-_안진조서요약-유로넥스트(03)(LHY)_유로넥스트(03)(LHY)_엠비즈-03-기말(LHY) 3" xfId="1121"/>
    <cellStyle name="-_안진조서요약-유로넥스트(03)(LHY)_유로넥스트(03)(LHY)_엠비즈-03-기말(LHY) 4" xfId="1122"/>
    <cellStyle name="-_안진조서요약-유로넥스트(03)(LHY)_유로넥스트(03)(LHY)_엠비즈-03-기말(LHY)_99Group center-04기말-LHY" xfId="1123"/>
    <cellStyle name="-_안진조서요약-유로넥스트(03)(LHY)_유로넥스트(03)(LHY)_엠비즈-03-기말(LHY)_99Group center-04기말-LHY 2" xfId="1124"/>
    <cellStyle name="-_안진조서요약-유로넥스트(03)(LHY)_유로넥스트(03)(LHY)_엠비즈-03-기말(LHY)_99Group center-04기말-LHY 3" xfId="1125"/>
    <cellStyle name="-_안진조서요약-유로넥스트(03)(LHY)_유로넥스트(03)(LHY)_엠비즈-03-기말(LHY)_99Group center-04기말-LHY 4" xfId="1126"/>
    <cellStyle name="-_안진조서요약-유로넥스트(03)(LHY)_유로넥스트(03)(LHY)_엠비즈-03-기말(LHY)_99Group center-04중간업데이트기말-LHY" xfId="1127"/>
    <cellStyle name="-_안진조서요약-유로넥스트(03)(LHY)_유로넥스트(03)(LHY)_엠비즈-03-기말(LHY)_99Group center-04중간업데이트기말-LHY 2" xfId="1128"/>
    <cellStyle name="-_안진조서요약-유로넥스트(03)(LHY)_유로넥스트(03)(LHY)_엠비즈-03-기말(LHY)_99Group center-04중간업데이트기말-LHY 3" xfId="1129"/>
    <cellStyle name="-_안진조서요약-유로넥스트(03)(LHY)_유로넥스트(03)(LHY)_엠비즈-03-기말(LHY)_99Group center-04중간업데이트기말-LHY 4" xfId="1130"/>
    <cellStyle name="-_안진조서요약-유로넥스트(03)(LHY)_유로넥스트(03)(LHY)_엠비즈-03-기말(LHY)_99Group center-ARP04기말-LHY" xfId="1131"/>
    <cellStyle name="-_안진조서요약-유로넥스트(03)(LHY)_유로넥스트(03)(LHY)_엠비즈-03-기말(LHY)_99Group center-ARP04기말-LHY 2" xfId="1132"/>
    <cellStyle name="-_안진조서요약-유로넥스트(03)(LHY)_유로넥스트(03)(LHY)_엠비즈-03-기말(LHY)_99Group center-ARP04기말-LHY 3" xfId="1133"/>
    <cellStyle name="-_안진조서요약-유로넥스트(03)(LHY)_유로넥스트(03)(LHY)_엠비즈-03-기말(LHY)_99Group center-ARP04기말-LHY 4" xfId="1134"/>
    <cellStyle name="-_안진조서요약-유로넥스트(03)(LHY)_유로넥스트(03)(LHY)_원가율검-조정" xfId="1135"/>
    <cellStyle name="-_안진조서요약-유로넥스트(03)(LHY)_유로넥스트(03)(LHY)_원가율검-조정 2" xfId="1136"/>
    <cellStyle name="-_안진조서요약-유로넥스트(03)(LHY)_유로넥스트(03)(LHY)_원가율검-조정 3" xfId="1137"/>
    <cellStyle name="-_안진조서요약-유로넥스트(03)(LHY)_유로넥스트(03)(LHY)_원가율검-조정 4" xfId="1138"/>
    <cellStyle name="-_안진조서요약-유로넥스트(03)(LHY)_유로넥스트(03)(LHY)_원가율검-조정_99Group center-04기말-LHY" xfId="1139"/>
    <cellStyle name="-_안진조서요약-유로넥스트(03)(LHY)_유로넥스트(03)(LHY)_원가율검-조정_99Group center-04기말-LHY 2" xfId="1140"/>
    <cellStyle name="-_안진조서요약-유로넥스트(03)(LHY)_유로넥스트(03)(LHY)_원가율검-조정_99Group center-04기말-LHY 3" xfId="1141"/>
    <cellStyle name="-_안진조서요약-유로넥스트(03)(LHY)_유로넥스트(03)(LHY)_원가율검-조정_99Group center-04기말-LHY 4" xfId="1142"/>
    <cellStyle name="-_안진조서요약-유로넥스트(03)(LHY)_유로넥스트(03)(LHY)_원가율검-조정_99Group center-04중간업데이트기말-LHY" xfId="1143"/>
    <cellStyle name="-_안진조서요약-유로넥스트(03)(LHY)_유로넥스트(03)(LHY)_원가율검-조정_99Group center-04중간업데이트기말-LHY 2" xfId="1144"/>
    <cellStyle name="-_안진조서요약-유로넥스트(03)(LHY)_유로넥스트(03)(LHY)_원가율검-조정_99Group center-04중간업데이트기말-LHY 3" xfId="1145"/>
    <cellStyle name="-_안진조서요약-유로넥스트(03)(LHY)_유로넥스트(03)(LHY)_원가율검-조정_99Group center-04중간업데이트기말-LHY 4" xfId="1146"/>
    <cellStyle name="-_안진조서요약-유로넥스트(03)(LHY)_유로넥스트(03)(LHY)_원가율검-조정_99Group center-ARP04기말-LHY" xfId="1147"/>
    <cellStyle name="-_안진조서요약-유로넥스트(03)(LHY)_유로넥스트(03)(LHY)_원가율검-조정_99Group center-ARP04기말-LHY 2" xfId="1148"/>
    <cellStyle name="-_안진조서요약-유로넥스트(03)(LHY)_유로넥스트(03)(LHY)_원가율검-조정_99Group center-ARP04기말-LHY 3" xfId="1149"/>
    <cellStyle name="-_안진조서요약-유로넥스트(03)(LHY)_유로넥스트(03)(LHY)_원가율검-조정_99Group center-ARP04기말-LHY 4" xfId="1150"/>
    <cellStyle name="-_안진조서요약-유로넥스트(03)(LHY)_유로넥스트(03)(LHY)_유로넥스트(03)(LHY)" xfId="1151"/>
    <cellStyle name="-_안진조서요약-유로넥스트(03)(LHY)_유로넥스트(03)(LHY)_유로넥스트(03)(LHY) 2" xfId="1152"/>
    <cellStyle name="-_안진조서요약-유로넥스트(03)(LHY)_유로넥스트(03)(LHY)_유로넥스트(03)(LHY) 3" xfId="1153"/>
    <cellStyle name="-_안진조서요약-유로넥스트(03)(LHY)_유로넥스트(03)(LHY)_유로넥스트(03)(LHY) 4" xfId="1154"/>
    <cellStyle name="-_안진조서요약-유로넥스트(03)(LHY)_유로넥스트(03)(LHY)_유로넥스트(03)(LHY)_단기투자, 장기투자의 양식(회계사요청)(1)" xfId="1155"/>
    <cellStyle name="-_안진조서요약-유로넥스트(03)(LHY)_유로넥스트(03)(LHY)_유로넥스트(03)(LHY)_단기투자, 장기투자의 양식(회계사요청)(1) 2" xfId="1156"/>
    <cellStyle name="-_안진조서요약-유로넥스트(03)(LHY)_유로넥스트(03)(LHY)_유로넥스트(03)(LHY)_단기투자, 장기투자의 양식(회계사요청)(1) 3" xfId="1157"/>
    <cellStyle name="-_안진조서요약-유로넥스트(03)(LHY)_유로넥스트(03)(LHY)_유로넥스트(03)(LHY)_단기투자, 장기투자의 양식(회계사요청)(1) 4" xfId="1158"/>
    <cellStyle name="-_안진조서요약-유로넥스트(03)(LHY)_유로넥스트(03)(LHY)_유로넥스트(03)(LHY)_단기투자, 장기투자의 양식(회계사요청)(1)_99Group center-04기말-LHY" xfId="1159"/>
    <cellStyle name="-_안진조서요약-유로넥스트(03)(LHY)_유로넥스트(03)(LHY)_유로넥스트(03)(LHY)_단기투자, 장기투자의 양식(회계사요청)(1)_99Group center-04기말-LHY 2" xfId="1160"/>
    <cellStyle name="-_안진조서요약-유로넥스트(03)(LHY)_유로넥스트(03)(LHY)_유로넥스트(03)(LHY)_단기투자, 장기투자의 양식(회계사요청)(1)_99Group center-04기말-LHY 3" xfId="1161"/>
    <cellStyle name="-_안진조서요약-유로넥스트(03)(LHY)_유로넥스트(03)(LHY)_유로넥스트(03)(LHY)_단기투자, 장기투자의 양식(회계사요청)(1)_99Group center-04기말-LHY 4" xfId="1162"/>
    <cellStyle name="-_안진조서요약-유로넥스트(03)(LHY)_유로넥스트(03)(LHY)_유로넥스트(03)(LHY)_단기투자, 장기투자의 양식(회계사요청)(1)_99Group center-04중간업데이트기말-LHY" xfId="1163"/>
    <cellStyle name="-_안진조서요약-유로넥스트(03)(LHY)_유로넥스트(03)(LHY)_유로넥스트(03)(LHY)_단기투자, 장기투자의 양식(회계사요청)(1)_99Group center-04중간업데이트기말-LHY 2" xfId="1164"/>
    <cellStyle name="-_안진조서요약-유로넥스트(03)(LHY)_유로넥스트(03)(LHY)_유로넥스트(03)(LHY)_단기투자, 장기투자의 양식(회계사요청)(1)_99Group center-04중간업데이트기말-LHY 3" xfId="1165"/>
    <cellStyle name="-_안진조서요약-유로넥스트(03)(LHY)_유로넥스트(03)(LHY)_유로넥스트(03)(LHY)_단기투자, 장기투자의 양식(회계사요청)(1)_99Group center-04중간업데이트기말-LHY 4" xfId="1166"/>
    <cellStyle name="-_안진조서요약-유로넥스트(03)(LHY)_유로넥스트(03)(LHY)_유로넥스트(03)(LHY)_단기투자, 장기투자의 양식(회계사요청)(1)_99Group center-ARP04기말-LHY" xfId="1167"/>
    <cellStyle name="-_안진조서요약-유로넥스트(03)(LHY)_유로넥스트(03)(LHY)_유로넥스트(03)(LHY)_단기투자, 장기투자의 양식(회계사요청)(1)_99Group center-ARP04기말-LHY 2" xfId="1168"/>
    <cellStyle name="-_안진조서요약-유로넥스트(03)(LHY)_유로넥스트(03)(LHY)_유로넥스트(03)(LHY)_단기투자, 장기투자의 양식(회계사요청)(1)_99Group center-ARP04기말-LHY 3" xfId="1169"/>
    <cellStyle name="-_안진조서요약-유로넥스트(03)(LHY)_유로넥스트(03)(LHY)_유로넥스트(03)(LHY)_단기투자, 장기투자의 양식(회계사요청)(1)_99Group center-ARP04기말-LHY 4" xfId="1170"/>
    <cellStyle name="-_안진조서요약-유로넥스트(03)(LHY)_유로넥스트(03)(LHY)_유로넥스트(03)(LHY)_대출채권 Sampling" xfId="1171"/>
    <cellStyle name="-_안진조서요약-유로넥스트(03)(LHY)_유로넥스트(03)(LHY)_유로넥스트(03)(LHY)_대출채권 Sampling 2" xfId="1172"/>
    <cellStyle name="-_안진조서요약-유로넥스트(03)(LHY)_유로넥스트(03)(LHY)_유로넥스트(03)(LHY)_대출채권 Sampling 3" xfId="1173"/>
    <cellStyle name="-_안진조서요약-유로넥스트(03)(LHY)_유로넥스트(03)(LHY)_유로넥스트(03)(LHY)_대출채권 Sampling 4" xfId="1174"/>
    <cellStyle name="-_안진조서요약-유로넥스트(03)(LHY)_유로넥스트(03)(LHY)_유로넥스트(03)(LHY)_대출채권 Sampling_99Group center-04기말-LHY" xfId="1175"/>
    <cellStyle name="-_안진조서요약-유로넥스트(03)(LHY)_유로넥스트(03)(LHY)_유로넥스트(03)(LHY)_대출채권 Sampling_99Group center-04기말-LHY 2" xfId="1176"/>
    <cellStyle name="-_안진조서요약-유로넥스트(03)(LHY)_유로넥스트(03)(LHY)_유로넥스트(03)(LHY)_대출채권 Sampling_99Group center-04기말-LHY 3" xfId="1177"/>
    <cellStyle name="-_안진조서요약-유로넥스트(03)(LHY)_유로넥스트(03)(LHY)_유로넥스트(03)(LHY)_대출채권 Sampling_99Group center-04기말-LHY 4" xfId="1178"/>
    <cellStyle name="-_안진조서요약-유로넥스트(03)(LHY)_유로넥스트(03)(LHY)_유로넥스트(03)(LHY)_대출채권 Sampling_99Group center-04중간업데이트기말-LHY" xfId="1179"/>
    <cellStyle name="-_안진조서요약-유로넥스트(03)(LHY)_유로넥스트(03)(LHY)_유로넥스트(03)(LHY)_대출채권 Sampling_99Group center-04중간업데이트기말-LHY 2" xfId="1180"/>
    <cellStyle name="-_안진조서요약-유로넥스트(03)(LHY)_유로넥스트(03)(LHY)_유로넥스트(03)(LHY)_대출채권 Sampling_99Group center-04중간업데이트기말-LHY 3" xfId="1181"/>
    <cellStyle name="-_안진조서요약-유로넥스트(03)(LHY)_유로넥스트(03)(LHY)_유로넥스트(03)(LHY)_대출채권 Sampling_99Group center-04중간업데이트기말-LHY 4" xfId="1182"/>
    <cellStyle name="-_안진조서요약-유로넥스트(03)(LHY)_유로넥스트(03)(LHY)_유로넥스트(03)(LHY)_대출채권 Sampling_99Group center-ARP04기말-LHY" xfId="1183"/>
    <cellStyle name="-_안진조서요약-유로넥스트(03)(LHY)_유로넥스트(03)(LHY)_유로넥스트(03)(LHY)_대출채권 Sampling_99Group center-ARP04기말-LHY 2" xfId="1184"/>
    <cellStyle name="-_안진조서요약-유로넥스트(03)(LHY)_유로넥스트(03)(LHY)_유로넥스트(03)(LHY)_대출채권 Sampling_99Group center-ARP04기말-LHY 3" xfId="1185"/>
    <cellStyle name="-_안진조서요약-유로넥스트(03)(LHY)_유로넥스트(03)(LHY)_유로넥스트(03)(LHY)_대출채권 Sampling_99Group center-ARP04기말-LHY 4" xfId="1186"/>
    <cellStyle name="-_안진조서요약-유로넥스트(03)(LHY)_유로넥스트(03)(LHY)_유로넥스트(03)(LHY)_동양매직-03(LHY)" xfId="1187"/>
    <cellStyle name="-_안진조서요약-유로넥스트(03)(LHY)_유로넥스트(03)(LHY)_유로넥스트(03)(LHY)_동양매직-03(LHY) 2" xfId="1188"/>
    <cellStyle name="-_안진조서요약-유로넥스트(03)(LHY)_유로넥스트(03)(LHY)_유로넥스트(03)(LHY)_동양매직-03(LHY) 3" xfId="1189"/>
    <cellStyle name="-_안진조서요약-유로넥스트(03)(LHY)_유로넥스트(03)(LHY)_유로넥스트(03)(LHY)_동양매직-03(LHY) 4" xfId="1190"/>
    <cellStyle name="-_안진조서요약-유로넥스트(03)(LHY)_유로넥스트(03)(LHY)_유로넥스트(03)(LHY)_동양매직-03(LHY)_99Group center-04기말-LHY" xfId="1191"/>
    <cellStyle name="-_안진조서요약-유로넥스트(03)(LHY)_유로넥스트(03)(LHY)_유로넥스트(03)(LHY)_동양매직-03(LHY)_99Group center-04기말-LHY 2" xfId="1192"/>
    <cellStyle name="-_안진조서요약-유로넥스트(03)(LHY)_유로넥스트(03)(LHY)_유로넥스트(03)(LHY)_동양매직-03(LHY)_99Group center-04기말-LHY 3" xfId="1193"/>
    <cellStyle name="-_안진조서요약-유로넥스트(03)(LHY)_유로넥스트(03)(LHY)_유로넥스트(03)(LHY)_동양매직-03(LHY)_99Group center-04기말-LHY 4" xfId="1194"/>
    <cellStyle name="-_안진조서요약-유로넥스트(03)(LHY)_유로넥스트(03)(LHY)_유로넥스트(03)(LHY)_동양매직-03(LHY)_99Group center-04중간업데이트기말-LHY" xfId="1195"/>
    <cellStyle name="-_안진조서요약-유로넥스트(03)(LHY)_유로넥스트(03)(LHY)_유로넥스트(03)(LHY)_동양매직-03(LHY)_99Group center-04중간업데이트기말-LHY 2" xfId="1196"/>
    <cellStyle name="-_안진조서요약-유로넥스트(03)(LHY)_유로넥스트(03)(LHY)_유로넥스트(03)(LHY)_동양매직-03(LHY)_99Group center-04중간업데이트기말-LHY 3" xfId="1197"/>
    <cellStyle name="-_안진조서요약-유로넥스트(03)(LHY)_유로넥스트(03)(LHY)_유로넥스트(03)(LHY)_동양매직-03(LHY)_99Group center-04중간업데이트기말-LHY 4" xfId="1198"/>
    <cellStyle name="-_안진조서요약-유로넥스트(03)(LHY)_유로넥스트(03)(LHY)_유로넥스트(03)(LHY)_동양매직-03(LHY)_99Group center-ARP04기말-LHY" xfId="1199"/>
    <cellStyle name="-_안진조서요약-유로넥스트(03)(LHY)_유로넥스트(03)(LHY)_유로넥스트(03)(LHY)_동양매직-03(LHY)_99Group center-ARP04기말-LHY 2" xfId="1200"/>
    <cellStyle name="-_안진조서요약-유로넥스트(03)(LHY)_유로넥스트(03)(LHY)_유로넥스트(03)(LHY)_동양매직-03(LHY)_99Group center-ARP04기말-LHY 3" xfId="1201"/>
    <cellStyle name="-_안진조서요약-유로넥스트(03)(LHY)_유로넥스트(03)(LHY)_유로넥스트(03)(LHY)_동양매직-03(LHY)_99Group center-ARP04기말-LHY 4" xfId="1202"/>
    <cellStyle name="-_안진조서요약-유로넥스트(03)(LHY)_유로넥스트(03)(LHY)_유로넥스트(03)(LHY)_매직산업(03기말-LHY)" xfId="1203"/>
    <cellStyle name="-_안진조서요약-유로넥스트(03)(LHY)_유로넥스트(03)(LHY)_유로넥스트(03)(LHY)_매직산업(03기말-LHY) 2" xfId="1204"/>
    <cellStyle name="-_안진조서요약-유로넥스트(03)(LHY)_유로넥스트(03)(LHY)_유로넥스트(03)(LHY)_매직산업(03기말-LHY) 3" xfId="1205"/>
    <cellStyle name="-_안진조서요약-유로넥스트(03)(LHY)_유로넥스트(03)(LHY)_유로넥스트(03)(LHY)_매직산업(03기말-LHY) 4" xfId="1206"/>
    <cellStyle name="-_안진조서요약-유로넥스트(03)(LHY)_유로넥스트(03)(LHY)_유로넥스트(03)(LHY)_매직산업(03기말-LHY)_99Group center-04기말-LHY" xfId="1207"/>
    <cellStyle name="-_안진조서요약-유로넥스트(03)(LHY)_유로넥스트(03)(LHY)_유로넥스트(03)(LHY)_매직산업(03기말-LHY)_99Group center-04기말-LHY 2" xfId="1208"/>
    <cellStyle name="-_안진조서요약-유로넥스트(03)(LHY)_유로넥스트(03)(LHY)_유로넥스트(03)(LHY)_매직산업(03기말-LHY)_99Group center-04기말-LHY 3" xfId="1209"/>
    <cellStyle name="-_안진조서요약-유로넥스트(03)(LHY)_유로넥스트(03)(LHY)_유로넥스트(03)(LHY)_매직산업(03기말-LHY)_99Group center-04기말-LHY 4" xfId="1210"/>
    <cellStyle name="-_안진조서요약-유로넥스트(03)(LHY)_유로넥스트(03)(LHY)_유로넥스트(03)(LHY)_매직산업(03기말-LHY)_99Group center-04중간업데이트기말-LHY" xfId="1211"/>
    <cellStyle name="-_안진조서요약-유로넥스트(03)(LHY)_유로넥스트(03)(LHY)_유로넥스트(03)(LHY)_매직산업(03기말-LHY)_99Group center-04중간업데이트기말-LHY 2" xfId="1212"/>
    <cellStyle name="-_안진조서요약-유로넥스트(03)(LHY)_유로넥스트(03)(LHY)_유로넥스트(03)(LHY)_매직산업(03기말-LHY)_99Group center-04중간업데이트기말-LHY 3" xfId="1213"/>
    <cellStyle name="-_안진조서요약-유로넥스트(03)(LHY)_유로넥스트(03)(LHY)_유로넥스트(03)(LHY)_매직산업(03기말-LHY)_99Group center-04중간업데이트기말-LHY 4" xfId="1214"/>
    <cellStyle name="-_안진조서요약-유로넥스트(03)(LHY)_유로넥스트(03)(LHY)_유로넥스트(03)(LHY)_매직산업(03기말-LHY)_99Group center-ARP04기말-LHY" xfId="1215"/>
    <cellStyle name="-_안진조서요약-유로넥스트(03)(LHY)_유로넥스트(03)(LHY)_유로넥스트(03)(LHY)_매직산업(03기말-LHY)_99Group center-ARP04기말-LHY 2" xfId="1216"/>
    <cellStyle name="-_안진조서요약-유로넥스트(03)(LHY)_유로넥스트(03)(LHY)_유로넥스트(03)(LHY)_매직산업(03기말-LHY)_99Group center-ARP04기말-LHY 3" xfId="1217"/>
    <cellStyle name="-_안진조서요약-유로넥스트(03)(LHY)_유로넥스트(03)(LHY)_유로넥스트(03)(LHY)_매직산업(03기말-LHY)_99Group center-ARP04기말-LHY 4" xfId="1218"/>
    <cellStyle name="-_안진조서요약-유로넥스트(03)(LHY)_유로넥스트(03)(LHY)_유로넥스트(03)(LHY)_벽산페인트(03,LHY)1" xfId="1219"/>
    <cellStyle name="-_안진조서요약-유로넥스트(03)(LHY)_유로넥스트(03)(LHY)_유로넥스트(03)(LHY)_벽산페인트(03,LHY)1 2" xfId="1220"/>
    <cellStyle name="-_안진조서요약-유로넥스트(03)(LHY)_유로넥스트(03)(LHY)_유로넥스트(03)(LHY)_벽산페인트(03,LHY)1 3" xfId="1221"/>
    <cellStyle name="-_안진조서요약-유로넥스트(03)(LHY)_유로넥스트(03)(LHY)_유로넥스트(03)(LHY)_벽산페인트(03,LHY)1 4" xfId="1222"/>
    <cellStyle name="-_안진조서요약-유로넥스트(03)(LHY)_유로넥스트(03)(LHY)_유로넥스트(03)(LHY)_벽산페인트(03,LHY)1_99Group center-04기말-LHY" xfId="1223"/>
    <cellStyle name="-_안진조서요약-유로넥스트(03)(LHY)_유로넥스트(03)(LHY)_유로넥스트(03)(LHY)_벽산페인트(03,LHY)1_99Group center-04기말-LHY 2" xfId="1224"/>
    <cellStyle name="-_안진조서요약-유로넥스트(03)(LHY)_유로넥스트(03)(LHY)_유로넥스트(03)(LHY)_벽산페인트(03,LHY)1_99Group center-04기말-LHY 3" xfId="1225"/>
    <cellStyle name="-_안진조서요약-유로넥스트(03)(LHY)_유로넥스트(03)(LHY)_유로넥스트(03)(LHY)_벽산페인트(03,LHY)1_99Group center-04기말-LHY 4" xfId="1226"/>
    <cellStyle name="-_안진조서요약-유로넥스트(03)(LHY)_유로넥스트(03)(LHY)_유로넥스트(03)(LHY)_벽산페인트(03,LHY)1_99Group center-04중간업데이트기말-LHY" xfId="1227"/>
    <cellStyle name="-_안진조서요약-유로넥스트(03)(LHY)_유로넥스트(03)(LHY)_유로넥스트(03)(LHY)_벽산페인트(03,LHY)1_99Group center-04중간업데이트기말-LHY 2" xfId="1228"/>
    <cellStyle name="-_안진조서요약-유로넥스트(03)(LHY)_유로넥스트(03)(LHY)_유로넥스트(03)(LHY)_벽산페인트(03,LHY)1_99Group center-04중간업데이트기말-LHY 3" xfId="1229"/>
    <cellStyle name="-_안진조서요약-유로넥스트(03)(LHY)_유로넥스트(03)(LHY)_유로넥스트(03)(LHY)_벽산페인트(03,LHY)1_99Group center-04중간업데이트기말-LHY 4" xfId="1230"/>
    <cellStyle name="-_안진조서요약-유로넥스트(03)(LHY)_유로넥스트(03)(LHY)_유로넥스트(03)(LHY)_벽산페인트(03,LHY)1_99Group center-ARP04기말-LHY" xfId="1231"/>
    <cellStyle name="-_안진조서요약-유로넥스트(03)(LHY)_유로넥스트(03)(LHY)_유로넥스트(03)(LHY)_벽산페인트(03,LHY)1_99Group center-ARP04기말-LHY 2" xfId="1232"/>
    <cellStyle name="-_안진조서요약-유로넥스트(03)(LHY)_유로넥스트(03)(LHY)_유로넥스트(03)(LHY)_벽산페인트(03,LHY)1_99Group center-ARP04기말-LHY 3" xfId="1233"/>
    <cellStyle name="-_안진조서요약-유로넥스트(03)(LHY)_유로넥스트(03)(LHY)_유로넥스트(03)(LHY)_벽산페인트(03,LHY)1_99Group center-ARP04기말-LHY 4" xfId="1234"/>
    <cellStyle name="-_안진조서요약-유로넥스트(03)(LHY)_유로넥스트(03)(LHY)_유로넥스트(03)(LHY)_새누리상호저축(03-LHY)" xfId="1235"/>
    <cellStyle name="-_안진조서요약-유로넥스트(03)(LHY)_유로넥스트(03)(LHY)_유로넥스트(03)(LHY)_새누리상호저축(03-LHY) 2" xfId="1236"/>
    <cellStyle name="-_안진조서요약-유로넥스트(03)(LHY)_유로넥스트(03)(LHY)_유로넥스트(03)(LHY)_새누리상호저축(03-LHY) 3" xfId="1237"/>
    <cellStyle name="-_안진조서요약-유로넥스트(03)(LHY)_유로넥스트(03)(LHY)_유로넥스트(03)(LHY)_새누리상호저축(03-LHY) 4" xfId="1238"/>
    <cellStyle name="-_안진조서요약-유로넥스트(03)(LHY)_유로넥스트(03)(LHY)_유로넥스트(03)(LHY)_새누리상호저축(03-LHY)-new" xfId="1239"/>
    <cellStyle name="-_안진조서요약-유로넥스트(03)(LHY)_유로넥스트(03)(LHY)_유로넥스트(03)(LHY)_새누리상호저축(03-LHY)-new 2" xfId="1240"/>
    <cellStyle name="-_안진조서요약-유로넥스트(03)(LHY)_유로넥스트(03)(LHY)_유로넥스트(03)(LHY)_새누리상호저축(03-LHY)-new 3" xfId="1241"/>
    <cellStyle name="-_안진조서요약-유로넥스트(03)(LHY)_유로넥스트(03)(LHY)_유로넥스트(03)(LHY)_새누리상호저축(03-LHY)-new 4" xfId="1242"/>
    <cellStyle name="-_안진조서요약-유로넥스트(03)(LHY)_유로넥스트(03)(LHY)_유로넥스트(03)(LHY)_새누리상호저축(03-LHY)-new_99Group center-04기말-LHY" xfId="1243"/>
    <cellStyle name="-_안진조서요약-유로넥스트(03)(LHY)_유로넥스트(03)(LHY)_유로넥스트(03)(LHY)_새누리상호저축(03-LHY)-new_99Group center-04기말-LHY 2" xfId="1244"/>
    <cellStyle name="-_안진조서요약-유로넥스트(03)(LHY)_유로넥스트(03)(LHY)_유로넥스트(03)(LHY)_새누리상호저축(03-LHY)-new_99Group center-04기말-LHY 3" xfId="1245"/>
    <cellStyle name="-_안진조서요약-유로넥스트(03)(LHY)_유로넥스트(03)(LHY)_유로넥스트(03)(LHY)_새누리상호저축(03-LHY)-new_99Group center-04기말-LHY 4" xfId="1246"/>
    <cellStyle name="-_안진조서요약-유로넥스트(03)(LHY)_유로넥스트(03)(LHY)_유로넥스트(03)(LHY)_새누리상호저축(03-LHY)-new_99Group center-04중간업데이트기말-LHY" xfId="1247"/>
    <cellStyle name="-_안진조서요약-유로넥스트(03)(LHY)_유로넥스트(03)(LHY)_유로넥스트(03)(LHY)_새누리상호저축(03-LHY)-new_99Group center-04중간업데이트기말-LHY 2" xfId="1248"/>
    <cellStyle name="-_안진조서요약-유로넥스트(03)(LHY)_유로넥스트(03)(LHY)_유로넥스트(03)(LHY)_새누리상호저축(03-LHY)-new_99Group center-04중간업데이트기말-LHY 3" xfId="1249"/>
    <cellStyle name="-_안진조서요약-유로넥스트(03)(LHY)_유로넥스트(03)(LHY)_유로넥스트(03)(LHY)_새누리상호저축(03-LHY)-new_99Group center-04중간업데이트기말-LHY 4" xfId="1250"/>
    <cellStyle name="-_안진조서요약-유로넥스트(03)(LHY)_유로넥스트(03)(LHY)_유로넥스트(03)(LHY)_새누리상호저축(03-LHY)-new_99Group center-ARP04기말-LHY" xfId="1251"/>
    <cellStyle name="-_안진조서요약-유로넥스트(03)(LHY)_유로넥스트(03)(LHY)_유로넥스트(03)(LHY)_새누리상호저축(03-LHY)-new_99Group center-ARP04기말-LHY 2" xfId="1252"/>
    <cellStyle name="-_안진조서요약-유로넥스트(03)(LHY)_유로넥스트(03)(LHY)_유로넥스트(03)(LHY)_새누리상호저축(03-LHY)-new_99Group center-ARP04기말-LHY 3" xfId="1253"/>
    <cellStyle name="-_안진조서요약-유로넥스트(03)(LHY)_유로넥스트(03)(LHY)_유로넥스트(03)(LHY)_새누리상호저축(03-LHY)-new_99Group center-ARP04기말-LHY 4" xfId="1254"/>
    <cellStyle name="-_안진조서요약-유로넥스트(03)(LHY)_유로넥스트(03)(LHY)_유로넥스트(03)(LHY)_새누리상호저축(03-LHY)_99Group center-04기말-LHY" xfId="1255"/>
    <cellStyle name="-_안진조서요약-유로넥스트(03)(LHY)_유로넥스트(03)(LHY)_유로넥스트(03)(LHY)_새누리상호저축(03-LHY)_99Group center-04기말-LHY 2" xfId="1256"/>
    <cellStyle name="-_안진조서요약-유로넥스트(03)(LHY)_유로넥스트(03)(LHY)_유로넥스트(03)(LHY)_새누리상호저축(03-LHY)_99Group center-04기말-LHY 3" xfId="1257"/>
    <cellStyle name="-_안진조서요약-유로넥스트(03)(LHY)_유로넥스트(03)(LHY)_유로넥스트(03)(LHY)_새누리상호저축(03-LHY)_99Group center-04기말-LHY 4" xfId="1258"/>
    <cellStyle name="-_안진조서요약-유로넥스트(03)(LHY)_유로넥스트(03)(LHY)_유로넥스트(03)(LHY)_새누리상호저축(03-LHY)_99Group center-04중간업데이트기말-LHY" xfId="1259"/>
    <cellStyle name="-_안진조서요약-유로넥스트(03)(LHY)_유로넥스트(03)(LHY)_유로넥스트(03)(LHY)_새누리상호저축(03-LHY)_99Group center-04중간업데이트기말-LHY 2" xfId="1260"/>
    <cellStyle name="-_안진조서요약-유로넥스트(03)(LHY)_유로넥스트(03)(LHY)_유로넥스트(03)(LHY)_새누리상호저축(03-LHY)_99Group center-04중간업데이트기말-LHY 3" xfId="1261"/>
    <cellStyle name="-_안진조서요약-유로넥스트(03)(LHY)_유로넥스트(03)(LHY)_유로넥스트(03)(LHY)_새누리상호저축(03-LHY)_99Group center-04중간업데이트기말-LHY 4" xfId="1262"/>
    <cellStyle name="-_안진조서요약-유로넥스트(03)(LHY)_유로넥스트(03)(LHY)_유로넥스트(03)(LHY)_새누리상호저축(03-LHY)_99Group center-ARP04기말-LHY" xfId="1263"/>
    <cellStyle name="-_안진조서요약-유로넥스트(03)(LHY)_유로넥스트(03)(LHY)_유로넥스트(03)(LHY)_새누리상호저축(03-LHY)_99Group center-ARP04기말-LHY 2" xfId="1264"/>
    <cellStyle name="-_안진조서요약-유로넥스트(03)(LHY)_유로넥스트(03)(LHY)_유로넥스트(03)(LHY)_새누리상호저축(03-LHY)_99Group center-ARP04기말-LHY 3" xfId="1265"/>
    <cellStyle name="-_안진조서요약-유로넥스트(03)(LHY)_유로넥스트(03)(LHY)_유로넥스트(03)(LHY)_새누리상호저축(03-LHY)_99Group center-ARP04기말-LHY 4" xfId="1266"/>
    <cellStyle name="-_안진조서요약-유로넥스트(03)(LHY)_유로넥스트(03)(LHY)_유로넥스트(03)(LHY)_쌈지-04반기-(LHY)" xfId="1267"/>
    <cellStyle name="-_안진조서요약-유로넥스트(03)(LHY)_유로넥스트(03)(LHY)_유로넥스트(03)(LHY)_쌈지-04반기-(LHY) 2" xfId="1268"/>
    <cellStyle name="-_안진조서요약-유로넥스트(03)(LHY)_유로넥스트(03)(LHY)_유로넥스트(03)(LHY)_쌈지-04반기-(LHY) 3" xfId="1269"/>
    <cellStyle name="-_안진조서요약-유로넥스트(03)(LHY)_유로넥스트(03)(LHY)_유로넥스트(03)(LHY)_쌈지-04반기-(LHY) 4" xfId="1270"/>
    <cellStyle name="-_안진조서요약-유로넥스트(03)(LHY)_유로넥스트(03)(LHY)_유로넥스트(03)(LHY)_쌈지-04반기-(LHY)_99Group center-04기말-LHY" xfId="1271"/>
    <cellStyle name="-_안진조서요약-유로넥스트(03)(LHY)_유로넥스트(03)(LHY)_유로넥스트(03)(LHY)_쌈지-04반기-(LHY)_99Group center-04기말-LHY 2" xfId="1272"/>
    <cellStyle name="-_안진조서요약-유로넥스트(03)(LHY)_유로넥스트(03)(LHY)_유로넥스트(03)(LHY)_쌈지-04반기-(LHY)_99Group center-04기말-LHY 3" xfId="1273"/>
    <cellStyle name="-_안진조서요약-유로넥스트(03)(LHY)_유로넥스트(03)(LHY)_유로넥스트(03)(LHY)_쌈지-04반기-(LHY)_99Group center-04기말-LHY 4" xfId="1274"/>
    <cellStyle name="-_안진조서요약-유로넥스트(03)(LHY)_유로넥스트(03)(LHY)_유로넥스트(03)(LHY)_쌈지-04반기-(LHY)_99Group center-04중간업데이트기말-LHY" xfId="1275"/>
    <cellStyle name="-_안진조서요약-유로넥스트(03)(LHY)_유로넥스트(03)(LHY)_유로넥스트(03)(LHY)_쌈지-04반기-(LHY)_99Group center-04중간업데이트기말-LHY 2" xfId="1276"/>
    <cellStyle name="-_안진조서요약-유로넥스트(03)(LHY)_유로넥스트(03)(LHY)_유로넥스트(03)(LHY)_쌈지-04반기-(LHY)_99Group center-04중간업데이트기말-LHY 3" xfId="1277"/>
    <cellStyle name="-_안진조서요약-유로넥스트(03)(LHY)_유로넥스트(03)(LHY)_유로넥스트(03)(LHY)_쌈지-04반기-(LHY)_99Group center-04중간업데이트기말-LHY 4" xfId="1278"/>
    <cellStyle name="-_안진조서요약-유로넥스트(03)(LHY)_유로넥스트(03)(LHY)_유로넥스트(03)(LHY)_쌈지-04반기-(LHY)_99Group center-ARP04기말-LHY" xfId="1279"/>
    <cellStyle name="-_안진조서요약-유로넥스트(03)(LHY)_유로넥스트(03)(LHY)_유로넥스트(03)(LHY)_쌈지-04반기-(LHY)_99Group center-ARP04기말-LHY 2" xfId="1280"/>
    <cellStyle name="-_안진조서요약-유로넥스트(03)(LHY)_유로넥스트(03)(LHY)_유로넥스트(03)(LHY)_쌈지-04반기-(LHY)_99Group center-ARP04기말-LHY 3" xfId="1281"/>
    <cellStyle name="-_안진조서요약-유로넥스트(03)(LHY)_유로넥스트(03)(LHY)_유로넥스트(03)(LHY)_쌈지-04반기-(LHY)_99Group center-ARP04기말-LHY 4" xfId="1282"/>
    <cellStyle name="-_안진조서요약-유로넥스트(03)(LHY)_유로넥스트(03)(LHY)_유로넥스트(03)(LHY)_엠비즈-03-기말(LHY)" xfId="1283"/>
    <cellStyle name="-_안진조서요약-유로넥스트(03)(LHY)_유로넥스트(03)(LHY)_유로넥스트(03)(LHY)_엠비즈-03-기말(LHY) 2" xfId="1284"/>
    <cellStyle name="-_안진조서요약-유로넥스트(03)(LHY)_유로넥스트(03)(LHY)_유로넥스트(03)(LHY)_엠비즈-03-기말(LHY) 3" xfId="1285"/>
    <cellStyle name="-_안진조서요약-유로넥스트(03)(LHY)_유로넥스트(03)(LHY)_유로넥스트(03)(LHY)_엠비즈-03-기말(LHY) 4" xfId="1286"/>
    <cellStyle name="-_안진조서요약-유로넥스트(03)(LHY)_유로넥스트(03)(LHY)_유로넥스트(03)(LHY)_엠비즈-03-기말(LHY)_99Group center-04기말-LHY" xfId="1287"/>
    <cellStyle name="-_안진조서요약-유로넥스트(03)(LHY)_유로넥스트(03)(LHY)_유로넥스트(03)(LHY)_엠비즈-03-기말(LHY)_99Group center-04기말-LHY 2" xfId="1288"/>
    <cellStyle name="-_안진조서요약-유로넥스트(03)(LHY)_유로넥스트(03)(LHY)_유로넥스트(03)(LHY)_엠비즈-03-기말(LHY)_99Group center-04기말-LHY 3" xfId="1289"/>
    <cellStyle name="-_안진조서요약-유로넥스트(03)(LHY)_유로넥스트(03)(LHY)_유로넥스트(03)(LHY)_엠비즈-03-기말(LHY)_99Group center-04기말-LHY 4" xfId="1290"/>
    <cellStyle name="-_안진조서요약-유로넥스트(03)(LHY)_유로넥스트(03)(LHY)_유로넥스트(03)(LHY)_엠비즈-03-기말(LHY)_99Group center-04중간업데이트기말-LHY" xfId="1291"/>
    <cellStyle name="-_안진조서요약-유로넥스트(03)(LHY)_유로넥스트(03)(LHY)_유로넥스트(03)(LHY)_엠비즈-03-기말(LHY)_99Group center-04중간업데이트기말-LHY 2" xfId="1292"/>
    <cellStyle name="-_안진조서요약-유로넥스트(03)(LHY)_유로넥스트(03)(LHY)_유로넥스트(03)(LHY)_엠비즈-03-기말(LHY)_99Group center-04중간업데이트기말-LHY 3" xfId="1293"/>
    <cellStyle name="-_안진조서요약-유로넥스트(03)(LHY)_유로넥스트(03)(LHY)_유로넥스트(03)(LHY)_엠비즈-03-기말(LHY)_99Group center-04중간업데이트기말-LHY 4" xfId="1294"/>
    <cellStyle name="-_안진조서요약-유로넥스트(03)(LHY)_유로넥스트(03)(LHY)_유로넥스트(03)(LHY)_엠비즈-03-기말(LHY)_99Group center-ARP04기말-LHY" xfId="1295"/>
    <cellStyle name="-_안진조서요약-유로넥스트(03)(LHY)_유로넥스트(03)(LHY)_유로넥스트(03)(LHY)_엠비즈-03-기말(LHY)_99Group center-ARP04기말-LHY 2" xfId="1296"/>
    <cellStyle name="-_안진조서요약-유로넥스트(03)(LHY)_유로넥스트(03)(LHY)_유로넥스트(03)(LHY)_엠비즈-03-기말(LHY)_99Group center-ARP04기말-LHY 3" xfId="1297"/>
    <cellStyle name="-_안진조서요약-유로넥스트(03)(LHY)_유로넥스트(03)(LHY)_유로넥스트(03)(LHY)_엠비즈-03-기말(LHY)_99Group center-ARP04기말-LHY 4" xfId="1298"/>
    <cellStyle name="-_안진조서요약-유로넥스트(03)(LHY)_유로넥스트(03)(LHY)_유로넥스트(03)(LHY)_원가율검-조정" xfId="1299"/>
    <cellStyle name="-_안진조서요약-유로넥스트(03)(LHY)_유로넥스트(03)(LHY)_유로넥스트(03)(LHY)_원가율검-조정 2" xfId="1300"/>
    <cellStyle name="-_안진조서요약-유로넥스트(03)(LHY)_유로넥스트(03)(LHY)_유로넥스트(03)(LHY)_원가율검-조정 3" xfId="1301"/>
    <cellStyle name="-_안진조서요약-유로넥스트(03)(LHY)_유로넥스트(03)(LHY)_유로넥스트(03)(LHY)_원가율검-조정 4" xfId="1302"/>
    <cellStyle name="-_안진조서요약-유로넥스트(03)(LHY)_유로넥스트(03)(LHY)_유로넥스트(03)(LHY)_원가율검-조정_99Group center-04기말-LHY" xfId="1303"/>
    <cellStyle name="-_안진조서요약-유로넥스트(03)(LHY)_유로넥스트(03)(LHY)_유로넥스트(03)(LHY)_원가율검-조정_99Group center-04기말-LHY 2" xfId="1304"/>
    <cellStyle name="-_안진조서요약-유로넥스트(03)(LHY)_유로넥스트(03)(LHY)_유로넥스트(03)(LHY)_원가율검-조정_99Group center-04기말-LHY 3" xfId="1305"/>
    <cellStyle name="-_안진조서요약-유로넥스트(03)(LHY)_유로넥스트(03)(LHY)_유로넥스트(03)(LHY)_원가율검-조정_99Group center-04기말-LHY 4" xfId="1306"/>
    <cellStyle name="-_안진조서요약-유로넥스트(03)(LHY)_유로넥스트(03)(LHY)_유로넥스트(03)(LHY)_원가율검-조정_99Group center-04중간업데이트기말-LHY" xfId="1307"/>
    <cellStyle name="-_안진조서요약-유로넥스트(03)(LHY)_유로넥스트(03)(LHY)_유로넥스트(03)(LHY)_원가율검-조정_99Group center-04중간업데이트기말-LHY 2" xfId="1308"/>
    <cellStyle name="-_안진조서요약-유로넥스트(03)(LHY)_유로넥스트(03)(LHY)_유로넥스트(03)(LHY)_원가율검-조정_99Group center-04중간업데이트기말-LHY 3" xfId="1309"/>
    <cellStyle name="-_안진조서요약-유로넥스트(03)(LHY)_유로넥스트(03)(LHY)_유로넥스트(03)(LHY)_원가율검-조정_99Group center-04중간업데이트기말-LHY 4" xfId="1310"/>
    <cellStyle name="-_안진조서요약-유로넥스트(03)(LHY)_유로넥스트(03)(LHY)_유로넥스트(03)(LHY)_원가율검-조정_99Group center-ARP04기말-LHY" xfId="1311"/>
    <cellStyle name="-_안진조서요약-유로넥스트(03)(LHY)_유로넥스트(03)(LHY)_유로넥스트(03)(LHY)_원가율검-조정_99Group center-ARP04기말-LHY 2" xfId="1312"/>
    <cellStyle name="-_안진조서요약-유로넥스트(03)(LHY)_유로넥스트(03)(LHY)_유로넥스트(03)(LHY)_원가율검-조정_99Group center-ARP04기말-LHY 3" xfId="1313"/>
    <cellStyle name="-_안진조서요약-유로넥스트(03)(LHY)_유로넥스트(03)(LHY)_유로넥스트(03)(LHY)_원가율검-조정_99Group center-ARP04기말-LHY 4" xfId="1314"/>
    <cellStyle name="-_안진조서요약-유로넥스트(03)(LHY)_유로넥스트(03)(LHY)_유로넥스트(03)(LHY)_유엔젤반기(04-LHY)" xfId="1315"/>
    <cellStyle name="-_안진조서요약-유로넥스트(03)(LHY)_유로넥스트(03)(LHY)_유로넥스트(03)(LHY)_유엔젤반기(04-LHY) 2" xfId="1316"/>
    <cellStyle name="-_안진조서요약-유로넥스트(03)(LHY)_유로넥스트(03)(LHY)_유로넥스트(03)(LHY)_유엔젤반기(04-LHY) 3" xfId="1317"/>
    <cellStyle name="-_안진조서요약-유로넥스트(03)(LHY)_유로넥스트(03)(LHY)_유로넥스트(03)(LHY)_유엔젤반기(04-LHY) 4" xfId="1318"/>
    <cellStyle name="-_안진조서요약-유로넥스트(03)(LHY)_유로넥스트(03)(LHY)_유로넥스트(03)(LHY)_유엔젤반기(04-LHY)_99Group center-04기말-LHY" xfId="1319"/>
    <cellStyle name="-_안진조서요약-유로넥스트(03)(LHY)_유로넥스트(03)(LHY)_유로넥스트(03)(LHY)_유엔젤반기(04-LHY)_99Group center-04기말-LHY 2" xfId="1320"/>
    <cellStyle name="-_안진조서요약-유로넥스트(03)(LHY)_유로넥스트(03)(LHY)_유로넥스트(03)(LHY)_유엔젤반기(04-LHY)_99Group center-04기말-LHY 3" xfId="1321"/>
    <cellStyle name="-_안진조서요약-유로넥스트(03)(LHY)_유로넥스트(03)(LHY)_유로넥스트(03)(LHY)_유엔젤반기(04-LHY)_99Group center-04기말-LHY 4" xfId="1322"/>
    <cellStyle name="-_안진조서요약-유로넥스트(03)(LHY)_유로넥스트(03)(LHY)_유로넥스트(03)(LHY)_유엔젤반기(04-LHY)_99Group center-04중간업데이트기말-LHY" xfId="1323"/>
    <cellStyle name="-_안진조서요약-유로넥스트(03)(LHY)_유로넥스트(03)(LHY)_유로넥스트(03)(LHY)_유엔젤반기(04-LHY)_99Group center-04중간업데이트기말-LHY 2" xfId="1324"/>
    <cellStyle name="-_안진조서요약-유로넥스트(03)(LHY)_유로넥스트(03)(LHY)_유로넥스트(03)(LHY)_유엔젤반기(04-LHY)_99Group center-04중간업데이트기말-LHY 3" xfId="1325"/>
    <cellStyle name="-_안진조서요약-유로넥스트(03)(LHY)_유로넥스트(03)(LHY)_유로넥스트(03)(LHY)_유엔젤반기(04-LHY)_99Group center-04중간업데이트기말-LHY 4" xfId="1326"/>
    <cellStyle name="-_안진조서요약-유로넥스트(03)(LHY)_유로넥스트(03)(LHY)_유로넥스트(03)(LHY)_유엔젤반기(04-LHY)_99Group center-ARP04기말-LHY" xfId="1327"/>
    <cellStyle name="-_안진조서요약-유로넥스트(03)(LHY)_유로넥스트(03)(LHY)_유로넥스트(03)(LHY)_유엔젤반기(04-LHY)_99Group center-ARP04기말-LHY 2" xfId="1328"/>
    <cellStyle name="-_안진조서요약-유로넥스트(03)(LHY)_유로넥스트(03)(LHY)_유로넥스트(03)(LHY)_유엔젤반기(04-LHY)_99Group center-ARP04기말-LHY 3" xfId="1329"/>
    <cellStyle name="-_안진조서요약-유로넥스트(03)(LHY)_유로넥스트(03)(LHY)_유로넥스트(03)(LHY)_유엔젤반기(04-LHY)_99Group center-ARP04기말-LHY 4" xfId="1330"/>
    <cellStyle name="-_안진조서요약-유로넥스트(03)(LHY)_유로넥스트(03)(LHY)_유로넥스트(03)(LHY)_투자유가증권 주석(진짜)03-LHY" xfId="1331"/>
    <cellStyle name="-_안진조서요약-유로넥스트(03)(LHY)_유로넥스트(03)(LHY)_유로넥스트(03)(LHY)_투자유가증권 주석(진짜)03-LHY 2" xfId="1332"/>
    <cellStyle name="-_안진조서요약-유로넥스트(03)(LHY)_유로넥스트(03)(LHY)_유로넥스트(03)(LHY)_투자유가증권 주석(진짜)03-LHY 3" xfId="1333"/>
    <cellStyle name="-_안진조서요약-유로넥스트(03)(LHY)_유로넥스트(03)(LHY)_유로넥스트(03)(LHY)_투자유가증권 주석(진짜)03-LHY 4" xfId="1334"/>
    <cellStyle name="-_안진조서요약-유로넥스트(03)(LHY)_유로넥스트(03)(LHY)_유로넥스트(03)(LHY)_투자유가증권 주석(진짜)03-LHY_99Group center-04기말-LHY" xfId="1335"/>
    <cellStyle name="-_안진조서요약-유로넥스트(03)(LHY)_유로넥스트(03)(LHY)_유로넥스트(03)(LHY)_투자유가증권 주석(진짜)03-LHY_99Group center-04기말-LHY 2" xfId="1336"/>
    <cellStyle name="-_안진조서요약-유로넥스트(03)(LHY)_유로넥스트(03)(LHY)_유로넥스트(03)(LHY)_투자유가증권 주석(진짜)03-LHY_99Group center-04기말-LHY 3" xfId="1337"/>
    <cellStyle name="-_안진조서요약-유로넥스트(03)(LHY)_유로넥스트(03)(LHY)_유로넥스트(03)(LHY)_투자유가증권 주석(진짜)03-LHY_99Group center-04기말-LHY 4" xfId="1338"/>
    <cellStyle name="-_안진조서요약-유로넥스트(03)(LHY)_유로넥스트(03)(LHY)_유로넥스트(03)(LHY)_투자유가증권 주석(진짜)03-LHY_99Group center-04중간업데이트기말-LHY" xfId="1339"/>
    <cellStyle name="-_안진조서요약-유로넥스트(03)(LHY)_유로넥스트(03)(LHY)_유로넥스트(03)(LHY)_투자유가증권 주석(진짜)03-LHY_99Group center-04중간업데이트기말-LHY 2" xfId="1340"/>
    <cellStyle name="-_안진조서요약-유로넥스트(03)(LHY)_유로넥스트(03)(LHY)_유로넥스트(03)(LHY)_투자유가증권 주석(진짜)03-LHY_99Group center-04중간업데이트기말-LHY 3" xfId="1341"/>
    <cellStyle name="-_안진조서요약-유로넥스트(03)(LHY)_유로넥스트(03)(LHY)_유로넥스트(03)(LHY)_투자유가증권 주석(진짜)03-LHY_99Group center-04중간업데이트기말-LHY 4" xfId="1342"/>
    <cellStyle name="-_안진조서요약-유로넥스트(03)(LHY)_유로넥스트(03)(LHY)_유로넥스트(03)(LHY)_투자유가증권 주석(진짜)03-LHY_99Group center-ARP04기말-LHY" xfId="1343"/>
    <cellStyle name="-_안진조서요약-유로넥스트(03)(LHY)_유로넥스트(03)(LHY)_유로넥스트(03)(LHY)_투자유가증권 주석(진짜)03-LHY_99Group center-ARP04기말-LHY 2" xfId="1344"/>
    <cellStyle name="-_안진조서요약-유로넥스트(03)(LHY)_유로넥스트(03)(LHY)_유로넥스트(03)(LHY)_투자유가증권 주석(진짜)03-LHY_99Group center-ARP04기말-LHY 3" xfId="1345"/>
    <cellStyle name="-_안진조서요약-유로넥스트(03)(LHY)_유로넥스트(03)(LHY)_유로넥스트(03)(LHY)_투자유가증권 주석(진짜)03-LHY_99Group center-ARP04기말-LHY 4" xfId="1346"/>
    <cellStyle name="-_안진조서요약-유로넥스트(03)(LHY)_유로넥스트(03)(LHY)_유로넥스트(03)(LHY)_투자유가증권양식" xfId="1347"/>
    <cellStyle name="-_안진조서요약-유로넥스트(03)(LHY)_유로넥스트(03)(LHY)_유로넥스트(03)(LHY)_투자유가증권양식 2" xfId="1348"/>
    <cellStyle name="-_안진조서요약-유로넥스트(03)(LHY)_유로넥스트(03)(LHY)_유로넥스트(03)(LHY)_투자유가증권양식 3" xfId="1349"/>
    <cellStyle name="-_안진조서요약-유로넥스트(03)(LHY)_유로넥스트(03)(LHY)_유로넥스트(03)(LHY)_투자유가증권양식 4" xfId="1350"/>
    <cellStyle name="-_안진조서요약-유로넥스트(03)(LHY)_유로넥스트(03)(LHY)_유로넥스트(03)(LHY)_투자유가증권양식_99Group center-04기말-LHY" xfId="1351"/>
    <cellStyle name="-_안진조서요약-유로넥스트(03)(LHY)_유로넥스트(03)(LHY)_유로넥스트(03)(LHY)_투자유가증권양식_99Group center-04기말-LHY 2" xfId="1352"/>
    <cellStyle name="-_안진조서요약-유로넥스트(03)(LHY)_유로넥스트(03)(LHY)_유로넥스트(03)(LHY)_투자유가증권양식_99Group center-04기말-LHY 3" xfId="1353"/>
    <cellStyle name="-_안진조서요약-유로넥스트(03)(LHY)_유로넥스트(03)(LHY)_유로넥스트(03)(LHY)_투자유가증권양식_99Group center-04기말-LHY 4" xfId="1354"/>
    <cellStyle name="-_안진조서요약-유로넥스트(03)(LHY)_유로넥스트(03)(LHY)_유로넥스트(03)(LHY)_투자유가증권양식_99Group center-04중간업데이트기말-LHY" xfId="1355"/>
    <cellStyle name="-_안진조서요약-유로넥스트(03)(LHY)_유로넥스트(03)(LHY)_유로넥스트(03)(LHY)_투자유가증권양식_99Group center-04중간업데이트기말-LHY 2" xfId="1356"/>
    <cellStyle name="-_안진조서요약-유로넥스트(03)(LHY)_유로넥스트(03)(LHY)_유로넥스트(03)(LHY)_투자유가증권양식_99Group center-04중간업데이트기말-LHY 3" xfId="1357"/>
    <cellStyle name="-_안진조서요약-유로넥스트(03)(LHY)_유로넥스트(03)(LHY)_유로넥스트(03)(LHY)_투자유가증권양식_99Group center-04중간업데이트기말-LHY 4" xfId="1358"/>
    <cellStyle name="-_안진조서요약-유로넥스트(03)(LHY)_유로넥스트(03)(LHY)_유로넥스트(03)(LHY)_투자유가증권양식_99Group center-ARP04기말-LHY" xfId="1359"/>
    <cellStyle name="-_안진조서요약-유로넥스트(03)(LHY)_유로넥스트(03)(LHY)_유로넥스트(03)(LHY)_투자유가증권양식_99Group center-ARP04기말-LHY 2" xfId="1360"/>
    <cellStyle name="-_안진조서요약-유로넥스트(03)(LHY)_유로넥스트(03)(LHY)_유로넥스트(03)(LHY)_투자유가증권양식_99Group center-ARP04기말-LHY 3" xfId="1361"/>
    <cellStyle name="-_안진조서요약-유로넥스트(03)(LHY)_유로넥스트(03)(LHY)_유로넥스트(03)(LHY)_투자유가증권양식_99Group center-ARP04기말-LHY 4" xfId="1362"/>
    <cellStyle name="-_안진조서요약-유로넥스트(03)(LHY)_유로넥스트(03)(LHY)_유로넥스트(03)(LHY)_풀무원스프라우트-04반기-LHY" xfId="1363"/>
    <cellStyle name="-_안진조서요약-유로넥스트(03)(LHY)_유로넥스트(03)(LHY)_유로넥스트(03)(LHY)_풀무원스프라우트-04반기-LHY 2" xfId="1364"/>
    <cellStyle name="-_안진조서요약-유로넥스트(03)(LHY)_유로넥스트(03)(LHY)_유로넥스트(03)(LHY)_풀무원스프라우트-04반기-LHY 3" xfId="1365"/>
    <cellStyle name="-_안진조서요약-유로넥스트(03)(LHY)_유로넥스트(03)(LHY)_유로넥스트(03)(LHY)_풀무원스프라우트-04반기-LHY 4" xfId="1366"/>
    <cellStyle name="-_안진조서요약-유로넥스트(03)(LHY)_유로넥스트(03)(LHY)_유로넥스트(03)(LHY)_풀무원스프라우트-04반기-LHY_99Group center-04기말-LHY" xfId="1367"/>
    <cellStyle name="-_안진조서요약-유로넥스트(03)(LHY)_유로넥스트(03)(LHY)_유로넥스트(03)(LHY)_풀무원스프라우트-04반기-LHY_99Group center-04기말-LHY 2" xfId="1368"/>
    <cellStyle name="-_안진조서요약-유로넥스트(03)(LHY)_유로넥스트(03)(LHY)_유로넥스트(03)(LHY)_풀무원스프라우트-04반기-LHY_99Group center-04기말-LHY 3" xfId="1369"/>
    <cellStyle name="-_안진조서요약-유로넥스트(03)(LHY)_유로넥스트(03)(LHY)_유로넥스트(03)(LHY)_풀무원스프라우트-04반기-LHY_99Group center-04기말-LHY 4" xfId="1370"/>
    <cellStyle name="-_안진조서요약-유로넥스트(03)(LHY)_유로넥스트(03)(LHY)_유로넥스트(03)(LHY)_풀무원스프라우트-04반기-LHY_99Group center-04중간업데이트기말-LHY" xfId="1371"/>
    <cellStyle name="-_안진조서요약-유로넥스트(03)(LHY)_유로넥스트(03)(LHY)_유로넥스트(03)(LHY)_풀무원스프라우트-04반기-LHY_99Group center-04중간업데이트기말-LHY 2" xfId="1372"/>
    <cellStyle name="-_안진조서요약-유로넥스트(03)(LHY)_유로넥스트(03)(LHY)_유로넥스트(03)(LHY)_풀무원스프라우트-04반기-LHY_99Group center-04중간업데이트기말-LHY 3" xfId="1373"/>
    <cellStyle name="-_안진조서요약-유로넥스트(03)(LHY)_유로넥스트(03)(LHY)_유로넥스트(03)(LHY)_풀무원스프라우트-04반기-LHY_99Group center-04중간업데이트기말-LHY 4" xfId="1374"/>
    <cellStyle name="-_안진조서요약-유로넥스트(03)(LHY)_유로넥스트(03)(LHY)_유로넥스트(03)(LHY)_풀무원스프라우트-04반기-LHY_99Group center-ARP04기말-LHY" xfId="1375"/>
    <cellStyle name="-_안진조서요약-유로넥스트(03)(LHY)_유로넥스트(03)(LHY)_유로넥스트(03)(LHY)_풀무원스프라우트-04반기-LHY_99Group center-ARP04기말-LHY 2" xfId="1376"/>
    <cellStyle name="-_안진조서요약-유로넥스트(03)(LHY)_유로넥스트(03)(LHY)_유로넥스트(03)(LHY)_풀무원스프라우트-04반기-LHY_99Group center-ARP04기말-LHY 3" xfId="1377"/>
    <cellStyle name="-_안진조서요약-유로넥스트(03)(LHY)_유로넥스트(03)(LHY)_유로넥스트(03)(LHY)_풀무원스프라우트-04반기-LHY_99Group center-ARP04기말-LHY 4" xfId="1378"/>
    <cellStyle name="-_안진조서요약-유로넥스트(03)(LHY)_유로넥스트(03)(LHY)_유로넥스트(03)(LHY)_한국유업-03(LHY)" xfId="1379"/>
    <cellStyle name="-_안진조서요약-유로넥스트(03)(LHY)_유로넥스트(03)(LHY)_유로넥스트(03)(LHY)_한국유업-03(LHY) 2" xfId="1380"/>
    <cellStyle name="-_안진조서요약-유로넥스트(03)(LHY)_유로넥스트(03)(LHY)_유로넥스트(03)(LHY)_한국유업-03(LHY) 3" xfId="1381"/>
    <cellStyle name="-_안진조서요약-유로넥스트(03)(LHY)_유로넥스트(03)(LHY)_유로넥스트(03)(LHY)_한국유업-03(LHY) 4" xfId="1382"/>
    <cellStyle name="-_안진조서요약-유로넥스트(03)(LHY)_유로넥스트(03)(LHY)_유로넥스트(03)(LHY)_한국유업-03(LHY)_99Group center-04기말-LHY" xfId="1383"/>
    <cellStyle name="-_안진조서요약-유로넥스트(03)(LHY)_유로넥스트(03)(LHY)_유로넥스트(03)(LHY)_한국유업-03(LHY)_99Group center-04기말-LHY 2" xfId="1384"/>
    <cellStyle name="-_안진조서요약-유로넥스트(03)(LHY)_유로넥스트(03)(LHY)_유로넥스트(03)(LHY)_한국유업-03(LHY)_99Group center-04기말-LHY 3" xfId="1385"/>
    <cellStyle name="-_안진조서요약-유로넥스트(03)(LHY)_유로넥스트(03)(LHY)_유로넥스트(03)(LHY)_한국유업-03(LHY)_99Group center-04기말-LHY 4" xfId="1386"/>
    <cellStyle name="-_안진조서요약-유로넥스트(03)(LHY)_유로넥스트(03)(LHY)_유로넥스트(03)(LHY)_한국유업-03(LHY)_99Group center-04중간업데이트기말-LHY" xfId="1387"/>
    <cellStyle name="-_안진조서요약-유로넥스트(03)(LHY)_유로넥스트(03)(LHY)_유로넥스트(03)(LHY)_한국유업-03(LHY)_99Group center-04중간업데이트기말-LHY 2" xfId="1388"/>
    <cellStyle name="-_안진조서요약-유로넥스트(03)(LHY)_유로넥스트(03)(LHY)_유로넥스트(03)(LHY)_한국유업-03(LHY)_99Group center-04중간업데이트기말-LHY 3" xfId="1389"/>
    <cellStyle name="-_안진조서요약-유로넥스트(03)(LHY)_유로넥스트(03)(LHY)_유로넥스트(03)(LHY)_한국유업-03(LHY)_99Group center-04중간업데이트기말-LHY 4" xfId="1390"/>
    <cellStyle name="-_안진조서요약-유로넥스트(03)(LHY)_유로넥스트(03)(LHY)_유로넥스트(03)(LHY)_한국유업-03(LHY)_99Group center-ARP04기말-LHY" xfId="1391"/>
    <cellStyle name="-_안진조서요약-유로넥스트(03)(LHY)_유로넥스트(03)(LHY)_유로넥스트(03)(LHY)_한국유업-03(LHY)_99Group center-ARP04기말-LHY 2" xfId="1392"/>
    <cellStyle name="-_안진조서요약-유로넥스트(03)(LHY)_유로넥스트(03)(LHY)_유로넥스트(03)(LHY)_한국유업-03(LHY)_99Group center-ARP04기말-LHY 3" xfId="1393"/>
    <cellStyle name="-_안진조서요약-유로넥스트(03)(LHY)_유로넥스트(03)(LHY)_유로넥스트(03)(LHY)_한국유업-03(LHY)_99Group center-ARP04기말-LHY 4" xfId="1394"/>
    <cellStyle name="-_안진조서요약-유로넥스트(03)(LHY)_유로넥스트(03)(LHY)_유로넥스트(03)(LHY)_한국유업-03(LHY)_매직산업(03기말-LHY)" xfId="1395"/>
    <cellStyle name="-_안진조서요약-유로넥스트(03)(LHY)_유로넥스트(03)(LHY)_유로넥스트(03)(LHY)_한국유업-03(LHY)_매직산업(03기말-LHY) 2" xfId="1396"/>
    <cellStyle name="-_안진조서요약-유로넥스트(03)(LHY)_유로넥스트(03)(LHY)_유로넥스트(03)(LHY)_한국유업-03(LHY)_매직산업(03기말-LHY) 3" xfId="1397"/>
    <cellStyle name="-_안진조서요약-유로넥스트(03)(LHY)_유로넥스트(03)(LHY)_유로넥스트(03)(LHY)_한국유업-03(LHY)_매직산업(03기말-LHY) 4" xfId="1398"/>
    <cellStyle name="-_안진조서요약-유로넥스트(03)(LHY)_유로넥스트(03)(LHY)_유로넥스트(03)(LHY)_한국유업-03(LHY)_매직산업(03기말-LHY)_99Group center-04기말-LHY" xfId="1399"/>
    <cellStyle name="-_안진조서요약-유로넥스트(03)(LHY)_유로넥스트(03)(LHY)_유로넥스트(03)(LHY)_한국유업-03(LHY)_매직산업(03기말-LHY)_99Group center-04기말-LHY 2" xfId="1400"/>
    <cellStyle name="-_안진조서요약-유로넥스트(03)(LHY)_유로넥스트(03)(LHY)_유로넥스트(03)(LHY)_한국유업-03(LHY)_매직산업(03기말-LHY)_99Group center-04기말-LHY 3" xfId="1401"/>
    <cellStyle name="-_안진조서요약-유로넥스트(03)(LHY)_유로넥스트(03)(LHY)_유로넥스트(03)(LHY)_한국유업-03(LHY)_매직산업(03기말-LHY)_99Group center-04기말-LHY 4" xfId="1402"/>
    <cellStyle name="-_안진조서요약-유로넥스트(03)(LHY)_유로넥스트(03)(LHY)_유로넥스트(03)(LHY)_한국유업-03(LHY)_매직산업(03기말-LHY)_99Group center-04중간업데이트기말-LHY" xfId="1403"/>
    <cellStyle name="-_안진조서요약-유로넥스트(03)(LHY)_유로넥스트(03)(LHY)_유로넥스트(03)(LHY)_한국유업-03(LHY)_매직산업(03기말-LHY)_99Group center-04중간업데이트기말-LHY 2" xfId="1404"/>
    <cellStyle name="-_안진조서요약-유로넥스트(03)(LHY)_유로넥스트(03)(LHY)_유로넥스트(03)(LHY)_한국유업-03(LHY)_매직산업(03기말-LHY)_99Group center-04중간업데이트기말-LHY 3" xfId="1405"/>
    <cellStyle name="-_안진조서요약-유로넥스트(03)(LHY)_유로넥스트(03)(LHY)_유로넥스트(03)(LHY)_한국유업-03(LHY)_매직산업(03기말-LHY)_99Group center-04중간업데이트기말-LHY 4" xfId="1406"/>
    <cellStyle name="-_안진조서요약-유로넥스트(03)(LHY)_유로넥스트(03)(LHY)_유로넥스트(03)(LHY)_한국유업-03(LHY)_매직산업(03기말-LHY)_99Group center-ARP04기말-LHY" xfId="1407"/>
    <cellStyle name="-_안진조서요약-유로넥스트(03)(LHY)_유로넥스트(03)(LHY)_유로넥스트(03)(LHY)_한국유업-03(LHY)_매직산업(03기말-LHY)_99Group center-ARP04기말-LHY 2" xfId="1408"/>
    <cellStyle name="-_안진조서요약-유로넥스트(03)(LHY)_유로넥스트(03)(LHY)_유로넥스트(03)(LHY)_한국유업-03(LHY)_매직산업(03기말-LHY)_99Group center-ARP04기말-LHY 3" xfId="1409"/>
    <cellStyle name="-_안진조서요약-유로넥스트(03)(LHY)_유로넥스트(03)(LHY)_유로넥스트(03)(LHY)_한국유업-03(LHY)_매직산업(03기말-LHY)_99Group center-ARP04기말-LHY 4" xfId="1410"/>
    <cellStyle name="-_안진조서요약-유로넥스트(03)(LHY)_유로넥스트(03)(LHY)_유엔젤반기(04-LHY)" xfId="1411"/>
    <cellStyle name="-_안진조서요약-유로넥스트(03)(LHY)_유로넥스트(03)(LHY)_유엔젤반기(04-LHY) 2" xfId="1412"/>
    <cellStyle name="-_안진조서요약-유로넥스트(03)(LHY)_유로넥스트(03)(LHY)_유엔젤반기(04-LHY) 3" xfId="1413"/>
    <cellStyle name="-_안진조서요약-유로넥스트(03)(LHY)_유로넥스트(03)(LHY)_유엔젤반기(04-LHY) 4" xfId="1414"/>
    <cellStyle name="-_안진조서요약-유로넥스트(03)(LHY)_유로넥스트(03)(LHY)_유엔젤반기(04-LHY)_99Group center-04기말-LHY" xfId="1415"/>
    <cellStyle name="-_안진조서요약-유로넥스트(03)(LHY)_유로넥스트(03)(LHY)_유엔젤반기(04-LHY)_99Group center-04기말-LHY 2" xfId="1416"/>
    <cellStyle name="-_안진조서요약-유로넥스트(03)(LHY)_유로넥스트(03)(LHY)_유엔젤반기(04-LHY)_99Group center-04기말-LHY 3" xfId="1417"/>
    <cellStyle name="-_안진조서요약-유로넥스트(03)(LHY)_유로넥스트(03)(LHY)_유엔젤반기(04-LHY)_99Group center-04기말-LHY 4" xfId="1418"/>
    <cellStyle name="-_안진조서요약-유로넥스트(03)(LHY)_유로넥스트(03)(LHY)_유엔젤반기(04-LHY)_99Group center-04중간업데이트기말-LHY" xfId="1419"/>
    <cellStyle name="-_안진조서요약-유로넥스트(03)(LHY)_유로넥스트(03)(LHY)_유엔젤반기(04-LHY)_99Group center-04중간업데이트기말-LHY 2" xfId="1420"/>
    <cellStyle name="-_안진조서요약-유로넥스트(03)(LHY)_유로넥스트(03)(LHY)_유엔젤반기(04-LHY)_99Group center-04중간업데이트기말-LHY 3" xfId="1421"/>
    <cellStyle name="-_안진조서요약-유로넥스트(03)(LHY)_유로넥스트(03)(LHY)_유엔젤반기(04-LHY)_99Group center-04중간업데이트기말-LHY 4" xfId="1422"/>
    <cellStyle name="-_안진조서요약-유로넥스트(03)(LHY)_유로넥스트(03)(LHY)_유엔젤반기(04-LHY)_99Group center-ARP04기말-LHY" xfId="1423"/>
    <cellStyle name="-_안진조서요약-유로넥스트(03)(LHY)_유로넥스트(03)(LHY)_유엔젤반기(04-LHY)_99Group center-ARP04기말-LHY 2" xfId="1424"/>
    <cellStyle name="-_안진조서요약-유로넥스트(03)(LHY)_유로넥스트(03)(LHY)_유엔젤반기(04-LHY)_99Group center-ARP04기말-LHY 3" xfId="1425"/>
    <cellStyle name="-_안진조서요약-유로넥스트(03)(LHY)_유로넥스트(03)(LHY)_유엔젤반기(04-LHY)_99Group center-ARP04기말-LHY 4" xfId="1426"/>
    <cellStyle name="-_안진조서요약-유로넥스트(03)(LHY)_유로넥스트(03)(LHY)_투자유가증권 주석(진짜)03-LHY" xfId="1427"/>
    <cellStyle name="-_안진조서요약-유로넥스트(03)(LHY)_유로넥스트(03)(LHY)_투자유가증권 주석(진짜)03-LHY 2" xfId="1428"/>
    <cellStyle name="-_안진조서요약-유로넥스트(03)(LHY)_유로넥스트(03)(LHY)_투자유가증권 주석(진짜)03-LHY 3" xfId="1429"/>
    <cellStyle name="-_안진조서요약-유로넥스트(03)(LHY)_유로넥스트(03)(LHY)_투자유가증권 주석(진짜)03-LHY 4" xfId="1430"/>
    <cellStyle name="-_안진조서요약-유로넥스트(03)(LHY)_유로넥스트(03)(LHY)_투자유가증권 주석(진짜)03-LHY_99Group center-04기말-LHY" xfId="1431"/>
    <cellStyle name="-_안진조서요약-유로넥스트(03)(LHY)_유로넥스트(03)(LHY)_투자유가증권 주석(진짜)03-LHY_99Group center-04기말-LHY 2" xfId="1432"/>
    <cellStyle name="-_안진조서요약-유로넥스트(03)(LHY)_유로넥스트(03)(LHY)_투자유가증권 주석(진짜)03-LHY_99Group center-04기말-LHY 3" xfId="1433"/>
    <cellStyle name="-_안진조서요약-유로넥스트(03)(LHY)_유로넥스트(03)(LHY)_투자유가증권 주석(진짜)03-LHY_99Group center-04기말-LHY 4" xfId="1434"/>
    <cellStyle name="-_안진조서요약-유로넥스트(03)(LHY)_유로넥스트(03)(LHY)_투자유가증권 주석(진짜)03-LHY_99Group center-04중간업데이트기말-LHY" xfId="1435"/>
    <cellStyle name="-_안진조서요약-유로넥스트(03)(LHY)_유로넥스트(03)(LHY)_투자유가증권 주석(진짜)03-LHY_99Group center-04중간업데이트기말-LHY 2" xfId="1436"/>
    <cellStyle name="-_안진조서요약-유로넥스트(03)(LHY)_유로넥스트(03)(LHY)_투자유가증권 주석(진짜)03-LHY_99Group center-04중간업데이트기말-LHY 3" xfId="1437"/>
    <cellStyle name="-_안진조서요약-유로넥스트(03)(LHY)_유로넥스트(03)(LHY)_투자유가증권 주석(진짜)03-LHY_99Group center-04중간업데이트기말-LHY 4" xfId="1438"/>
    <cellStyle name="-_안진조서요약-유로넥스트(03)(LHY)_유로넥스트(03)(LHY)_투자유가증권 주석(진짜)03-LHY_99Group center-ARP04기말-LHY" xfId="1439"/>
    <cellStyle name="-_안진조서요약-유로넥스트(03)(LHY)_유로넥스트(03)(LHY)_투자유가증권 주석(진짜)03-LHY_99Group center-ARP04기말-LHY 2" xfId="1440"/>
    <cellStyle name="-_안진조서요약-유로넥스트(03)(LHY)_유로넥스트(03)(LHY)_투자유가증권 주석(진짜)03-LHY_99Group center-ARP04기말-LHY 3" xfId="1441"/>
    <cellStyle name="-_안진조서요약-유로넥스트(03)(LHY)_유로넥스트(03)(LHY)_투자유가증권 주석(진짜)03-LHY_99Group center-ARP04기말-LHY 4" xfId="1442"/>
    <cellStyle name="-_안진조서요약-유로넥스트(03)(LHY)_유로넥스트(03)(LHY)_투자유가증권양식" xfId="1443"/>
    <cellStyle name="-_안진조서요약-유로넥스트(03)(LHY)_유로넥스트(03)(LHY)_투자유가증권양식 2" xfId="1444"/>
    <cellStyle name="-_안진조서요약-유로넥스트(03)(LHY)_유로넥스트(03)(LHY)_투자유가증권양식 3" xfId="1445"/>
    <cellStyle name="-_안진조서요약-유로넥스트(03)(LHY)_유로넥스트(03)(LHY)_투자유가증권양식 4" xfId="1446"/>
    <cellStyle name="-_안진조서요약-유로넥스트(03)(LHY)_유로넥스트(03)(LHY)_투자유가증권양식_99Group center-04기말-LHY" xfId="1447"/>
    <cellStyle name="-_안진조서요약-유로넥스트(03)(LHY)_유로넥스트(03)(LHY)_투자유가증권양식_99Group center-04기말-LHY 2" xfId="1448"/>
    <cellStyle name="-_안진조서요약-유로넥스트(03)(LHY)_유로넥스트(03)(LHY)_투자유가증권양식_99Group center-04기말-LHY 3" xfId="1449"/>
    <cellStyle name="-_안진조서요약-유로넥스트(03)(LHY)_유로넥스트(03)(LHY)_투자유가증권양식_99Group center-04기말-LHY 4" xfId="1450"/>
    <cellStyle name="-_안진조서요약-유로넥스트(03)(LHY)_유로넥스트(03)(LHY)_투자유가증권양식_99Group center-04중간업데이트기말-LHY" xfId="1451"/>
    <cellStyle name="-_안진조서요약-유로넥스트(03)(LHY)_유로넥스트(03)(LHY)_투자유가증권양식_99Group center-04중간업데이트기말-LHY 2" xfId="1452"/>
    <cellStyle name="-_안진조서요약-유로넥스트(03)(LHY)_유로넥스트(03)(LHY)_투자유가증권양식_99Group center-04중간업데이트기말-LHY 3" xfId="1453"/>
    <cellStyle name="-_안진조서요약-유로넥스트(03)(LHY)_유로넥스트(03)(LHY)_투자유가증권양식_99Group center-04중간업데이트기말-LHY 4" xfId="1454"/>
    <cellStyle name="-_안진조서요약-유로넥스트(03)(LHY)_유로넥스트(03)(LHY)_투자유가증권양식_99Group center-ARP04기말-LHY" xfId="1455"/>
    <cellStyle name="-_안진조서요약-유로넥스트(03)(LHY)_유로넥스트(03)(LHY)_투자유가증권양식_99Group center-ARP04기말-LHY 2" xfId="1456"/>
    <cellStyle name="-_안진조서요약-유로넥스트(03)(LHY)_유로넥스트(03)(LHY)_투자유가증권양식_99Group center-ARP04기말-LHY 3" xfId="1457"/>
    <cellStyle name="-_안진조서요약-유로넥스트(03)(LHY)_유로넥스트(03)(LHY)_투자유가증권양식_99Group center-ARP04기말-LHY 4" xfId="1458"/>
    <cellStyle name="-_안진조서요약-유로넥스트(03)(LHY)_유로넥스트(03)(LHY)_풀무원스프라우트-04반기-LHY" xfId="1459"/>
    <cellStyle name="-_안진조서요약-유로넥스트(03)(LHY)_유로넥스트(03)(LHY)_풀무원스프라우트-04반기-LHY 2" xfId="1460"/>
    <cellStyle name="-_안진조서요약-유로넥스트(03)(LHY)_유로넥스트(03)(LHY)_풀무원스프라우트-04반기-LHY 3" xfId="1461"/>
    <cellStyle name="-_안진조서요약-유로넥스트(03)(LHY)_유로넥스트(03)(LHY)_풀무원스프라우트-04반기-LHY 4" xfId="1462"/>
    <cellStyle name="-_안진조서요약-유로넥스트(03)(LHY)_유로넥스트(03)(LHY)_풀무원스프라우트-04반기-LHY_99Group center-04기말-LHY" xfId="1463"/>
    <cellStyle name="-_안진조서요약-유로넥스트(03)(LHY)_유로넥스트(03)(LHY)_풀무원스프라우트-04반기-LHY_99Group center-04기말-LHY 2" xfId="1464"/>
    <cellStyle name="-_안진조서요약-유로넥스트(03)(LHY)_유로넥스트(03)(LHY)_풀무원스프라우트-04반기-LHY_99Group center-04기말-LHY 3" xfId="1465"/>
    <cellStyle name="-_안진조서요약-유로넥스트(03)(LHY)_유로넥스트(03)(LHY)_풀무원스프라우트-04반기-LHY_99Group center-04기말-LHY 4" xfId="1466"/>
    <cellStyle name="-_안진조서요약-유로넥스트(03)(LHY)_유로넥스트(03)(LHY)_풀무원스프라우트-04반기-LHY_99Group center-04중간업데이트기말-LHY" xfId="1467"/>
    <cellStyle name="-_안진조서요약-유로넥스트(03)(LHY)_유로넥스트(03)(LHY)_풀무원스프라우트-04반기-LHY_99Group center-04중간업데이트기말-LHY 2" xfId="1468"/>
    <cellStyle name="-_안진조서요약-유로넥스트(03)(LHY)_유로넥스트(03)(LHY)_풀무원스프라우트-04반기-LHY_99Group center-04중간업데이트기말-LHY 3" xfId="1469"/>
    <cellStyle name="-_안진조서요약-유로넥스트(03)(LHY)_유로넥스트(03)(LHY)_풀무원스프라우트-04반기-LHY_99Group center-04중간업데이트기말-LHY 4" xfId="1470"/>
    <cellStyle name="-_안진조서요약-유로넥스트(03)(LHY)_유로넥스트(03)(LHY)_풀무원스프라우트-04반기-LHY_99Group center-ARP04기말-LHY" xfId="1471"/>
    <cellStyle name="-_안진조서요약-유로넥스트(03)(LHY)_유로넥스트(03)(LHY)_풀무원스프라우트-04반기-LHY_99Group center-ARP04기말-LHY 2" xfId="1472"/>
    <cellStyle name="-_안진조서요약-유로넥스트(03)(LHY)_유로넥스트(03)(LHY)_풀무원스프라우트-04반기-LHY_99Group center-ARP04기말-LHY 3" xfId="1473"/>
    <cellStyle name="-_안진조서요약-유로넥스트(03)(LHY)_유로넥스트(03)(LHY)_풀무원스프라우트-04반기-LHY_99Group center-ARP04기말-LHY 4" xfId="1474"/>
    <cellStyle name="-_안진조서요약-유로넥스트(03)(LHY)_유로넥스트(03)(LHY)_한국유업-03(LHY)" xfId="1475"/>
    <cellStyle name="-_안진조서요약-유로넥스트(03)(LHY)_유로넥스트(03)(LHY)_한국유업-03(LHY) 2" xfId="1476"/>
    <cellStyle name="-_안진조서요약-유로넥스트(03)(LHY)_유로넥스트(03)(LHY)_한국유업-03(LHY) 3" xfId="1477"/>
    <cellStyle name="-_안진조서요약-유로넥스트(03)(LHY)_유로넥스트(03)(LHY)_한국유업-03(LHY) 4" xfId="1478"/>
    <cellStyle name="-_안진조서요약-유로넥스트(03)(LHY)_유로넥스트(03)(LHY)_한국유업-03(LHY)_99Group center-04기말-LHY" xfId="1479"/>
    <cellStyle name="-_안진조서요약-유로넥스트(03)(LHY)_유로넥스트(03)(LHY)_한국유업-03(LHY)_99Group center-04기말-LHY 2" xfId="1480"/>
    <cellStyle name="-_안진조서요약-유로넥스트(03)(LHY)_유로넥스트(03)(LHY)_한국유업-03(LHY)_99Group center-04기말-LHY 3" xfId="1481"/>
    <cellStyle name="-_안진조서요약-유로넥스트(03)(LHY)_유로넥스트(03)(LHY)_한국유업-03(LHY)_99Group center-04기말-LHY 4" xfId="1482"/>
    <cellStyle name="-_안진조서요약-유로넥스트(03)(LHY)_유로넥스트(03)(LHY)_한국유업-03(LHY)_99Group center-04중간업데이트기말-LHY" xfId="1483"/>
    <cellStyle name="-_안진조서요약-유로넥스트(03)(LHY)_유로넥스트(03)(LHY)_한국유업-03(LHY)_99Group center-04중간업데이트기말-LHY 2" xfId="1484"/>
    <cellStyle name="-_안진조서요약-유로넥스트(03)(LHY)_유로넥스트(03)(LHY)_한국유업-03(LHY)_99Group center-04중간업데이트기말-LHY 3" xfId="1485"/>
    <cellStyle name="-_안진조서요약-유로넥스트(03)(LHY)_유로넥스트(03)(LHY)_한국유업-03(LHY)_99Group center-04중간업데이트기말-LHY 4" xfId="1486"/>
    <cellStyle name="-_안진조서요약-유로넥스트(03)(LHY)_유로넥스트(03)(LHY)_한국유업-03(LHY)_99Group center-ARP04기말-LHY" xfId="1487"/>
    <cellStyle name="-_안진조서요약-유로넥스트(03)(LHY)_유로넥스트(03)(LHY)_한국유업-03(LHY)_99Group center-ARP04기말-LHY 2" xfId="1488"/>
    <cellStyle name="-_안진조서요약-유로넥스트(03)(LHY)_유로넥스트(03)(LHY)_한국유업-03(LHY)_99Group center-ARP04기말-LHY 3" xfId="1489"/>
    <cellStyle name="-_안진조서요약-유로넥스트(03)(LHY)_유로넥스트(03)(LHY)_한국유업-03(LHY)_99Group center-ARP04기말-LHY 4" xfId="1490"/>
    <cellStyle name="-_안진조서요약-유로넥스트(03)(LHY)_유로넥스트(03)(LHY)_한국유업-03(LHY)_매직산업(03기말-LHY)" xfId="1491"/>
    <cellStyle name="-_안진조서요약-유로넥스트(03)(LHY)_유로넥스트(03)(LHY)_한국유업-03(LHY)_매직산업(03기말-LHY) 2" xfId="1492"/>
    <cellStyle name="-_안진조서요약-유로넥스트(03)(LHY)_유로넥스트(03)(LHY)_한국유업-03(LHY)_매직산업(03기말-LHY) 3" xfId="1493"/>
    <cellStyle name="-_안진조서요약-유로넥스트(03)(LHY)_유로넥스트(03)(LHY)_한국유업-03(LHY)_매직산업(03기말-LHY) 4" xfId="1494"/>
    <cellStyle name="-_안진조서요약-유로넥스트(03)(LHY)_유로넥스트(03)(LHY)_한국유업-03(LHY)_매직산업(03기말-LHY)_99Group center-04기말-LHY" xfId="1495"/>
    <cellStyle name="-_안진조서요약-유로넥스트(03)(LHY)_유로넥스트(03)(LHY)_한국유업-03(LHY)_매직산업(03기말-LHY)_99Group center-04기말-LHY 2" xfId="1496"/>
    <cellStyle name="-_안진조서요약-유로넥스트(03)(LHY)_유로넥스트(03)(LHY)_한국유업-03(LHY)_매직산업(03기말-LHY)_99Group center-04기말-LHY 3" xfId="1497"/>
    <cellStyle name="-_안진조서요약-유로넥스트(03)(LHY)_유로넥스트(03)(LHY)_한국유업-03(LHY)_매직산업(03기말-LHY)_99Group center-04기말-LHY 4" xfId="1498"/>
    <cellStyle name="-_안진조서요약-유로넥스트(03)(LHY)_유로넥스트(03)(LHY)_한국유업-03(LHY)_매직산업(03기말-LHY)_99Group center-04중간업데이트기말-LHY" xfId="1499"/>
    <cellStyle name="-_안진조서요약-유로넥스트(03)(LHY)_유로넥스트(03)(LHY)_한국유업-03(LHY)_매직산업(03기말-LHY)_99Group center-04중간업데이트기말-LHY 2" xfId="1500"/>
    <cellStyle name="-_안진조서요약-유로넥스트(03)(LHY)_유로넥스트(03)(LHY)_한국유업-03(LHY)_매직산업(03기말-LHY)_99Group center-04중간업데이트기말-LHY 3" xfId="1501"/>
    <cellStyle name="-_안진조서요약-유로넥스트(03)(LHY)_유로넥스트(03)(LHY)_한국유업-03(LHY)_매직산업(03기말-LHY)_99Group center-04중간업데이트기말-LHY 4" xfId="1502"/>
    <cellStyle name="-_안진조서요약-유로넥스트(03)(LHY)_유로넥스트(03)(LHY)_한국유업-03(LHY)_매직산업(03기말-LHY)_99Group center-ARP04기말-LHY" xfId="1503"/>
    <cellStyle name="-_안진조서요약-유로넥스트(03)(LHY)_유로넥스트(03)(LHY)_한국유업-03(LHY)_매직산업(03기말-LHY)_99Group center-ARP04기말-LHY 2" xfId="1504"/>
    <cellStyle name="-_안진조서요약-유로넥스트(03)(LHY)_유로넥스트(03)(LHY)_한국유업-03(LHY)_매직산업(03기말-LHY)_99Group center-ARP04기말-LHY 3" xfId="1505"/>
    <cellStyle name="-_안진조서요약-유로넥스트(03)(LHY)_유로넥스트(03)(LHY)_한국유업-03(LHY)_매직산업(03기말-LHY)_99Group center-ARP04기말-LHY 4" xfId="1506"/>
    <cellStyle name="-_안진조서요약-유로넥스트(03)(LHY)_유엔젤반기(04-LHY)" xfId="1507"/>
    <cellStyle name="-_안진조서요약-유로넥스트(03)(LHY)_유엔젤반기(04-LHY) 2" xfId="1508"/>
    <cellStyle name="-_안진조서요약-유로넥스트(03)(LHY)_유엔젤반기(04-LHY) 3" xfId="1509"/>
    <cellStyle name="-_안진조서요약-유로넥스트(03)(LHY)_유엔젤반기(04-LHY) 4" xfId="1510"/>
    <cellStyle name="-_안진조서요약-유로넥스트(03)(LHY)_유엔젤반기(04-LHY)_99Group center-04기말-LHY" xfId="1511"/>
    <cellStyle name="-_안진조서요약-유로넥스트(03)(LHY)_유엔젤반기(04-LHY)_99Group center-04기말-LHY 2" xfId="1512"/>
    <cellStyle name="-_안진조서요약-유로넥스트(03)(LHY)_유엔젤반기(04-LHY)_99Group center-04기말-LHY 3" xfId="1513"/>
    <cellStyle name="-_안진조서요약-유로넥스트(03)(LHY)_유엔젤반기(04-LHY)_99Group center-04기말-LHY 4" xfId="1514"/>
    <cellStyle name="-_안진조서요약-유로넥스트(03)(LHY)_유엔젤반기(04-LHY)_99Group center-04중간업데이트기말-LHY" xfId="1515"/>
    <cellStyle name="-_안진조서요약-유로넥스트(03)(LHY)_유엔젤반기(04-LHY)_99Group center-04중간업데이트기말-LHY 2" xfId="1516"/>
    <cellStyle name="-_안진조서요약-유로넥스트(03)(LHY)_유엔젤반기(04-LHY)_99Group center-04중간업데이트기말-LHY 3" xfId="1517"/>
    <cellStyle name="-_안진조서요약-유로넥스트(03)(LHY)_유엔젤반기(04-LHY)_99Group center-04중간업데이트기말-LHY 4" xfId="1518"/>
    <cellStyle name="-_안진조서요약-유로넥스트(03)(LHY)_유엔젤반기(04-LHY)_99Group center-ARP04기말-LHY" xfId="1519"/>
    <cellStyle name="-_안진조서요약-유로넥스트(03)(LHY)_유엔젤반기(04-LHY)_99Group center-ARP04기말-LHY 2" xfId="1520"/>
    <cellStyle name="-_안진조서요약-유로넥스트(03)(LHY)_유엔젤반기(04-LHY)_99Group center-ARP04기말-LHY 3" xfId="1521"/>
    <cellStyle name="-_안진조서요약-유로넥스트(03)(LHY)_유엔젤반기(04-LHY)_99Group center-ARP04기말-LHY 4" xfId="1522"/>
    <cellStyle name="-_안진조서요약-유로넥스트(03)(LHY)_투자유가증권 주석(진짜)03-LHY" xfId="1523"/>
    <cellStyle name="-_안진조서요약-유로넥스트(03)(LHY)_투자유가증권 주석(진짜)03-LHY 2" xfId="1524"/>
    <cellStyle name="-_안진조서요약-유로넥스트(03)(LHY)_투자유가증권 주석(진짜)03-LHY 3" xfId="1525"/>
    <cellStyle name="-_안진조서요약-유로넥스트(03)(LHY)_투자유가증권 주석(진짜)03-LHY 4" xfId="1526"/>
    <cellStyle name="-_안진조서요약-유로넥스트(03)(LHY)_투자유가증권 주석(진짜)03-LHY_99Group center-04기말-LHY" xfId="1527"/>
    <cellStyle name="-_안진조서요약-유로넥스트(03)(LHY)_투자유가증권 주석(진짜)03-LHY_99Group center-04기말-LHY 2" xfId="1528"/>
    <cellStyle name="-_안진조서요약-유로넥스트(03)(LHY)_투자유가증권 주석(진짜)03-LHY_99Group center-04기말-LHY 3" xfId="1529"/>
    <cellStyle name="-_안진조서요약-유로넥스트(03)(LHY)_투자유가증권 주석(진짜)03-LHY_99Group center-04기말-LHY 4" xfId="1530"/>
    <cellStyle name="-_안진조서요약-유로넥스트(03)(LHY)_투자유가증권 주석(진짜)03-LHY_99Group center-04중간업데이트기말-LHY" xfId="1531"/>
    <cellStyle name="-_안진조서요약-유로넥스트(03)(LHY)_투자유가증권 주석(진짜)03-LHY_99Group center-04중간업데이트기말-LHY 2" xfId="1532"/>
    <cellStyle name="-_안진조서요약-유로넥스트(03)(LHY)_투자유가증권 주석(진짜)03-LHY_99Group center-04중간업데이트기말-LHY 3" xfId="1533"/>
    <cellStyle name="-_안진조서요약-유로넥스트(03)(LHY)_투자유가증권 주석(진짜)03-LHY_99Group center-04중간업데이트기말-LHY 4" xfId="1534"/>
    <cellStyle name="-_안진조서요약-유로넥스트(03)(LHY)_투자유가증권 주석(진짜)03-LHY_99Group center-ARP04기말-LHY" xfId="1535"/>
    <cellStyle name="-_안진조서요약-유로넥스트(03)(LHY)_투자유가증권 주석(진짜)03-LHY_99Group center-ARP04기말-LHY 2" xfId="1536"/>
    <cellStyle name="-_안진조서요약-유로넥스트(03)(LHY)_투자유가증권 주석(진짜)03-LHY_99Group center-ARP04기말-LHY 3" xfId="1537"/>
    <cellStyle name="-_안진조서요약-유로넥스트(03)(LHY)_투자유가증권 주석(진짜)03-LHY_99Group center-ARP04기말-LHY 4" xfId="1538"/>
    <cellStyle name="-_안진조서요약-유로넥스트(03)(LHY)_투자유가증권양식" xfId="1539"/>
    <cellStyle name="-_안진조서요약-유로넥스트(03)(LHY)_투자유가증권양식 2" xfId="1540"/>
    <cellStyle name="-_안진조서요약-유로넥스트(03)(LHY)_투자유가증권양식 3" xfId="1541"/>
    <cellStyle name="-_안진조서요약-유로넥스트(03)(LHY)_투자유가증권양식 4" xfId="1542"/>
    <cellStyle name="-_안진조서요약-유로넥스트(03)(LHY)_투자유가증권양식_99Group center-04기말-LHY" xfId="1543"/>
    <cellStyle name="-_안진조서요약-유로넥스트(03)(LHY)_투자유가증권양식_99Group center-04기말-LHY 2" xfId="1544"/>
    <cellStyle name="-_안진조서요약-유로넥스트(03)(LHY)_투자유가증권양식_99Group center-04기말-LHY 3" xfId="1545"/>
    <cellStyle name="-_안진조서요약-유로넥스트(03)(LHY)_투자유가증권양식_99Group center-04기말-LHY 4" xfId="1546"/>
    <cellStyle name="-_안진조서요약-유로넥스트(03)(LHY)_투자유가증권양식_99Group center-04중간업데이트기말-LHY" xfId="1547"/>
    <cellStyle name="-_안진조서요약-유로넥스트(03)(LHY)_투자유가증권양식_99Group center-04중간업데이트기말-LHY 2" xfId="1548"/>
    <cellStyle name="-_안진조서요약-유로넥스트(03)(LHY)_투자유가증권양식_99Group center-04중간업데이트기말-LHY 3" xfId="1549"/>
    <cellStyle name="-_안진조서요약-유로넥스트(03)(LHY)_투자유가증권양식_99Group center-04중간업데이트기말-LHY 4" xfId="1550"/>
    <cellStyle name="-_안진조서요약-유로넥스트(03)(LHY)_투자유가증권양식_99Group center-ARP04기말-LHY" xfId="1551"/>
    <cellStyle name="-_안진조서요약-유로넥스트(03)(LHY)_투자유가증권양식_99Group center-ARP04기말-LHY 2" xfId="1552"/>
    <cellStyle name="-_안진조서요약-유로넥스트(03)(LHY)_투자유가증권양식_99Group center-ARP04기말-LHY 3" xfId="1553"/>
    <cellStyle name="-_안진조서요약-유로넥스트(03)(LHY)_투자유가증권양식_99Group center-ARP04기말-LHY 4" xfId="1554"/>
    <cellStyle name="-_안진조서요약-유로넥스트(03)(LHY)_풀무원스프라우트-04반기-LHY" xfId="1555"/>
    <cellStyle name="-_안진조서요약-유로넥스트(03)(LHY)_풀무원스프라우트-04반기-LHY 2" xfId="0"/>
    <cellStyle name="-_안진조서요약-유로넥스트(03)(LHY)_풀무원스프라우트-04반기-LHY 3" xfId="0"/>
    <cellStyle name="-_안진조서요약-유로넥스트(03)(LHY)_풀무원스프라우트-04반기-LHY 4" xfId="0"/>
    <cellStyle name="-_안진조서요약-유로넥스트(03)(LHY)_풀무원스프라우트-04반기-LHY_99Group center-04기말-LHY" xfId="0"/>
    <cellStyle name="-_안진조서요약-유로넥스트(03)(LHY)_풀무원스프라우트-04반기-LHY_99Group center-04기말-LHY 2" xfId="0"/>
    <cellStyle name="-_안진조서요약-유로넥스트(03)(LHY)_풀무원스프라우트-04반기-LHY_99Group center-04기말-LHY 3" xfId="0"/>
    <cellStyle name="-_안진조서요약-유로넥스트(03)(LHY)_풀무원스프라우트-04반기-LHY_99Group center-04기말-LHY 4" xfId="0"/>
    <cellStyle name="-_안진조서요약-유로넥스트(03)(LHY)_풀무원스프라우트-04반기-LHY_99Group center-04중간업데이트기말-LHY" xfId="0"/>
    <cellStyle name="-_안진조서요약-유로넥스트(03)(LHY)_풀무원스프라우트-04반기-LHY_99Group center-04중간업데이트기말-LHY 2" xfId="0"/>
    <cellStyle name="-_안진조서요약-유로넥스트(03)(LHY)_풀무원스프라우트-04반기-LHY_99Group center-04중간업데이트기말-LHY 3" xfId="0"/>
    <cellStyle name="-_안진조서요약-유로넥스트(03)(LHY)_풀무원스프라우트-04반기-LHY_99Group center-04중간업데이트기말-LHY 4" xfId="0"/>
    <cellStyle name="-_안진조서요약-유로넥스트(03)(LHY)_풀무원스프라우트-04반기-LHY_99Group center-ARP04기말-LHY" xfId="0"/>
    <cellStyle name="-_안진조서요약-유로넥스트(03)(LHY)_풀무원스프라우트-04반기-LHY_99Group center-ARP04기말-LHY 2" xfId="0"/>
    <cellStyle name="-_안진조서요약-유로넥스트(03)(LHY)_풀무원스프라우트-04반기-LHY_99Group center-ARP04기말-LHY 3" xfId="0"/>
    <cellStyle name="-_안진조서요약-유로넥스트(03)(LHY)_풀무원스프라우트-04반기-LHY_99Group center-ARP04기말-LHY 4" xfId="0"/>
    <cellStyle name="-_안진조서요약-유로넥스트(03)(LHY)_한국유업-03(LHY)" xfId="0"/>
    <cellStyle name="-_안진조서요약-유로넥스트(03)(LHY)_한국유업-03(LHY) 2" xfId="0"/>
    <cellStyle name="-_안진조서요약-유로넥스트(03)(LHY)_한국유업-03(LHY) 3" xfId="0"/>
    <cellStyle name="-_안진조서요약-유로넥스트(03)(LHY)_한국유업-03(LHY) 4" xfId="0"/>
    <cellStyle name="-_안진조서요약-유로넥스트(03)(LHY)_한국유업-03(LHY)_99Group center-04기말-LHY" xfId="0"/>
    <cellStyle name="-_안진조서요약-유로넥스트(03)(LHY)_한국유업-03(LHY)_99Group center-04기말-LHY 2" xfId="0"/>
    <cellStyle name="-_안진조서요약-유로넥스트(03)(LHY)_한국유업-03(LHY)_99Group center-04기말-LHY 3" xfId="0"/>
    <cellStyle name="-_안진조서요약-유로넥스트(03)(LHY)_한국유업-03(LHY)_99Group center-04기말-LHY 4" xfId="0"/>
    <cellStyle name="-_안진조서요약-유로넥스트(03)(LHY)_한국유업-03(LHY)_99Group center-04중간업데이트기말-LHY" xfId="0"/>
    <cellStyle name="-_안진조서요약-유로넥스트(03)(LHY)_한국유업-03(LHY)_99Group center-04중간업데이트기말-LHY 2" xfId="0"/>
    <cellStyle name="-_안진조서요약-유로넥스트(03)(LHY)_한국유업-03(LHY)_99Group center-04중간업데이트기말-LHY 3" xfId="0"/>
    <cellStyle name="-_안진조서요약-유로넥스트(03)(LHY)_한국유업-03(LHY)_99Group center-04중간업데이트기말-LHY 4" xfId="0"/>
    <cellStyle name="-_안진조서요약-유로넥스트(03)(LHY)_한국유업-03(LHY)_99Group center-ARP04기말-LHY" xfId="0"/>
    <cellStyle name="-_안진조서요약-유로넥스트(03)(LHY)_한국유업-03(LHY)_99Group center-ARP04기말-LHY 2" xfId="0"/>
    <cellStyle name="-_안진조서요약-유로넥스트(03)(LHY)_한국유업-03(LHY)_99Group center-ARP04기말-LHY 3" xfId="0"/>
    <cellStyle name="-_안진조서요약-유로넥스트(03)(LHY)_한국유업-03(LHY)_99Group center-ARP04기말-LHY 4" xfId="0"/>
    <cellStyle name="-_안진조서요약-유로넥스트(03)(LHY)_한국유업-03(LHY)_매직산업(03기말-LHY)" xfId="0"/>
    <cellStyle name="-_안진조서요약-유로넥스트(03)(LHY)_한국유업-03(LHY)_매직산업(03기말-LHY) 2" xfId="0"/>
    <cellStyle name="-_안진조서요약-유로넥스트(03)(LHY)_한국유업-03(LHY)_매직산업(03기말-LHY) 3" xfId="0"/>
    <cellStyle name="-_안진조서요약-유로넥스트(03)(LHY)_한국유업-03(LHY)_매직산업(03기말-LHY) 4" xfId="0"/>
    <cellStyle name="-_안진조서요약-유로넥스트(03)(LHY)_한국유업-03(LHY)_매직산업(03기말-LHY)_99Group center-04기말-LHY" xfId="0"/>
    <cellStyle name="-_안진조서요약-유로넥스트(03)(LHY)_한국유업-03(LHY)_매직산업(03기말-LHY)_99Group center-04기말-LHY 2" xfId="0"/>
    <cellStyle name="-_안진조서요약-유로넥스트(03)(LHY)_한국유업-03(LHY)_매직산업(03기말-LHY)_99Group center-04기말-LHY 3" xfId="0"/>
    <cellStyle name="-_안진조서요약-유로넥스트(03)(LHY)_한국유업-03(LHY)_매직산업(03기말-LHY)_99Group center-04기말-LHY 4" xfId="0"/>
    <cellStyle name="-_안진조서요약-유로넥스트(03)(LHY)_한국유업-03(LHY)_매직산업(03기말-LHY)_99Group center-04중간업데이트기말-LHY" xfId="0"/>
    <cellStyle name="-_안진조서요약-유로넥스트(03)(LHY)_한국유업-03(LHY)_매직산업(03기말-LHY)_99Group center-04중간업데이트기말-LHY 2" xfId="0"/>
    <cellStyle name="-_안진조서요약-유로넥스트(03)(LHY)_한국유업-03(LHY)_매직산업(03기말-LHY)_99Group center-04중간업데이트기말-LHY 3" xfId="0"/>
    <cellStyle name="-_안진조서요약-유로넥스트(03)(LHY)_한국유업-03(LHY)_매직산업(03기말-LHY)_99Group center-04중간업데이트기말-LHY 4" xfId="0"/>
    <cellStyle name="-_안진조서요약-유로넥스트(03)(LHY)_한국유업-03(LHY)_매직산업(03기말-LHY)_99Group center-ARP04기말-LHY" xfId="0"/>
    <cellStyle name="-_안진조서요약-유로넥스트(03)(LHY)_한국유업-03(LHY)_매직산업(03기말-LHY)_99Group center-ARP04기말-LHY 2" xfId="0"/>
    <cellStyle name="-_안진조서요약-유로넥스트(03)(LHY)_한국유업-03(LHY)_매직산업(03기말-LHY)_99Group center-ARP04기말-LHY 3" xfId="0"/>
    <cellStyle name="-_안진조서요약-유로넥스트(03)(LHY)_한국유업-03(LHY)_매직산업(03기말-LHY)_99Group center-ARP04기말-LHY 4" xfId="0"/>
    <cellStyle name="-_에임시스템(WTB-05_반기조서_SIB)" xfId="0"/>
    <cellStyle name="-_엠비즈-03-기말(LHY)" xfId="0"/>
    <cellStyle name="-_엠비즈-03-기말(LHY) 2" xfId="0"/>
    <cellStyle name="-_엠비즈-03-기말(LHY) 3" xfId="0"/>
    <cellStyle name="-_엠비즈-03-기말(LHY) 4" xfId="0"/>
    <cellStyle name="-_엠비즈-03-기말(LHY)_99Group center-04기말-LHY" xfId="0"/>
    <cellStyle name="-_엠비즈-03-기말(LHY)_99Group center-04기말-LHY 2" xfId="0"/>
    <cellStyle name="-_엠비즈-03-기말(LHY)_99Group center-04기말-LHY 3" xfId="0"/>
    <cellStyle name="-_엠비즈-03-기말(LHY)_99Group center-04기말-LHY 4" xfId="0"/>
    <cellStyle name="-_엠비즈-03-기말(LHY)_99Group center-04중간업데이트기말-LHY" xfId="0"/>
    <cellStyle name="-_엠비즈-03-기말(LHY)_99Group center-04중간업데이트기말-LHY 2" xfId="0"/>
    <cellStyle name="-_엠비즈-03-기말(LHY)_99Group center-04중간업데이트기말-LHY 3" xfId="0"/>
    <cellStyle name="-_엠비즈-03-기말(LHY)_99Group center-04중간업데이트기말-LHY 4" xfId="0"/>
    <cellStyle name="-_엠비즈-03-기말(LHY)_99Group center-ARP04기말-LHY" xfId="0"/>
    <cellStyle name="-_엠비즈-03-기말(LHY)_99Group center-ARP04기말-LHY 2" xfId="0"/>
    <cellStyle name="-_엠비즈-03-기말(LHY)_99Group center-ARP04기말-LHY 3" xfId="0"/>
    <cellStyle name="-_엠비즈-03-기말(LHY)_99Group center-ARP04기말-LHY 4" xfId="0"/>
    <cellStyle name="-_원가율검-조정" xfId="0"/>
    <cellStyle name="-_원가율검-조정 2" xfId="0"/>
    <cellStyle name="-_원가율검-조정 3" xfId="0"/>
    <cellStyle name="-_원가율검-조정 4" xfId="0"/>
    <cellStyle name="-_원가율검-조정_99Group center-04기말-LHY" xfId="0"/>
    <cellStyle name="-_원가율검-조정_99Group center-04기말-LHY 2" xfId="0"/>
    <cellStyle name="-_원가율검-조정_99Group center-04기말-LHY 3" xfId="0"/>
    <cellStyle name="-_원가율검-조정_99Group center-04기말-LHY 4" xfId="0"/>
    <cellStyle name="-_원가율검-조정_99Group center-04중간업데이트기말-LHY" xfId="0"/>
    <cellStyle name="-_원가율검-조정_99Group center-04중간업데이트기말-LHY 2" xfId="0"/>
    <cellStyle name="-_원가율검-조정_99Group center-04중간업데이트기말-LHY 3" xfId="0"/>
    <cellStyle name="-_원가율검-조정_99Group center-04중간업데이트기말-LHY 4" xfId="0"/>
    <cellStyle name="-_원가율검-조정_99Group center-ARP04기말-LHY" xfId="0"/>
    <cellStyle name="-_원가율검-조정_99Group center-ARP04기말-LHY 2" xfId="0"/>
    <cellStyle name="-_원가율검-조정_99Group center-ARP04기말-LHY 3" xfId="0"/>
    <cellStyle name="-_원가율검-조정_99Group center-ARP04기말-LHY 4" xfId="0"/>
    <cellStyle name="-_유로넥스트(03)(LHY)" xfId="0"/>
    <cellStyle name="-_유로넥스트(03)(LHY) 2" xfId="0"/>
    <cellStyle name="-_유로넥스트(03)(LHY) 3" xfId="0"/>
    <cellStyle name="-_유로넥스트(03)(LHY) 4" xfId="0"/>
    <cellStyle name="-_유로넥스트(03)(LHY)_단기투자, 장기투자의 양식(회계사요청)(1)" xfId="0"/>
    <cellStyle name="-_유로넥스트(03)(LHY)_단기투자, 장기투자의 양식(회계사요청)(1) 2" xfId="0"/>
    <cellStyle name="-_유로넥스트(03)(LHY)_단기투자, 장기투자의 양식(회계사요청)(1) 3" xfId="0"/>
    <cellStyle name="-_유로넥스트(03)(LHY)_단기투자, 장기투자의 양식(회계사요청)(1) 4" xfId="0"/>
    <cellStyle name="-_유로넥스트(03)(LHY)_단기투자, 장기투자의 양식(회계사요청)(1)_99Group center-04기말-LHY" xfId="0"/>
    <cellStyle name="-_유로넥스트(03)(LHY)_단기투자, 장기투자의 양식(회계사요청)(1)_99Group center-04기말-LHY 2" xfId="0"/>
    <cellStyle name="-_유로넥스트(03)(LHY)_단기투자, 장기투자의 양식(회계사요청)(1)_99Group center-04기말-LHY 3" xfId="0"/>
    <cellStyle name="-_유로넥스트(03)(LHY)_단기투자, 장기투자의 양식(회계사요청)(1)_99Group center-04기말-LHY 4" xfId="0"/>
    <cellStyle name="-_유로넥스트(03)(LHY)_단기투자, 장기투자의 양식(회계사요청)(1)_99Group center-04중간업데이트기말-LHY" xfId="0"/>
    <cellStyle name="-_유로넥스트(03)(LHY)_단기투자, 장기투자의 양식(회계사요청)(1)_99Group center-04중간업데이트기말-LHY 2" xfId="0"/>
    <cellStyle name="-_유로넥스트(03)(LHY)_단기투자, 장기투자의 양식(회계사요청)(1)_99Group center-04중간업데이트기말-LHY 3" xfId="0"/>
    <cellStyle name="-_유로넥스트(03)(LHY)_단기투자, 장기투자의 양식(회계사요청)(1)_99Group center-04중간업데이트기말-LHY 4" xfId="0"/>
    <cellStyle name="-_유로넥스트(03)(LHY)_단기투자, 장기투자의 양식(회계사요청)(1)_99Group center-ARP04기말-LHY" xfId="0"/>
    <cellStyle name="-_유로넥스트(03)(LHY)_단기투자, 장기투자의 양식(회계사요청)(1)_99Group center-ARP04기말-LHY 2" xfId="0"/>
    <cellStyle name="-_유로넥스트(03)(LHY)_단기투자, 장기투자의 양식(회계사요청)(1)_99Group center-ARP04기말-LHY 3" xfId="0"/>
    <cellStyle name="-_유로넥스트(03)(LHY)_단기투자, 장기투자의 양식(회계사요청)(1)_99Group center-ARP04기말-LHY 4" xfId="0"/>
    <cellStyle name="-_유로넥스트(03)(LHY)_대출채권 Sampling" xfId="0"/>
    <cellStyle name="-_유로넥스트(03)(LHY)_대출채권 Sampling 2" xfId="0"/>
    <cellStyle name="-_유로넥스트(03)(LHY)_대출채권 Sampling 3" xfId="0"/>
    <cellStyle name="-_유로넥스트(03)(LHY)_대출채권 Sampling 4" xfId="0"/>
    <cellStyle name="-_유로넥스트(03)(LHY)_대출채권 Sampling_99Group center-04기말-LHY" xfId="0"/>
    <cellStyle name="-_유로넥스트(03)(LHY)_대출채권 Sampling_99Group center-04기말-LHY 2" xfId="0"/>
    <cellStyle name="-_유로넥스트(03)(LHY)_대출채권 Sampling_99Group center-04기말-LHY 3" xfId="0"/>
    <cellStyle name="-_유로넥스트(03)(LHY)_대출채권 Sampling_99Group center-04기말-LHY 4" xfId="0"/>
    <cellStyle name="-_유로넥스트(03)(LHY)_대출채권 Sampling_99Group center-04중간업데이트기말-LHY" xfId="0"/>
    <cellStyle name="-_유로넥스트(03)(LHY)_대출채권 Sampling_99Group center-04중간업데이트기말-LHY 2" xfId="0"/>
    <cellStyle name="-_유로넥스트(03)(LHY)_대출채권 Sampling_99Group center-04중간업데이트기말-LHY 3" xfId="0"/>
    <cellStyle name="-_유로넥스트(03)(LHY)_대출채권 Sampling_99Group center-04중간업데이트기말-LHY 4" xfId="0"/>
    <cellStyle name="-_유로넥스트(03)(LHY)_대출채권 Sampling_99Group center-ARP04기말-LHY" xfId="0"/>
    <cellStyle name="-_유로넥스트(03)(LHY)_대출채권 Sampling_99Group center-ARP04기말-LHY 2" xfId="0"/>
    <cellStyle name="-_유로넥스트(03)(LHY)_대출채권 Sampling_99Group center-ARP04기말-LHY 3" xfId="0"/>
    <cellStyle name="-_유로넥스트(03)(LHY)_대출채권 Sampling_99Group center-ARP04기말-LHY 4" xfId="0"/>
    <cellStyle name="-_유로넥스트(03)(LHY)_동양매직-03(LHY)" xfId="0"/>
    <cellStyle name="-_유로넥스트(03)(LHY)_동양매직-03(LHY) 2" xfId="0"/>
    <cellStyle name="-_유로넥스트(03)(LHY)_동양매직-03(LHY) 3" xfId="0"/>
    <cellStyle name="-_유로넥스트(03)(LHY)_동양매직-03(LHY) 4" xfId="0"/>
    <cellStyle name="-_유로넥스트(03)(LHY)_동양매직-03(LHY)_99Group center-04기말-LHY" xfId="0"/>
    <cellStyle name="-_유로넥스트(03)(LHY)_동양매직-03(LHY)_99Group center-04기말-LHY 2" xfId="0"/>
    <cellStyle name="-_유로넥스트(03)(LHY)_동양매직-03(LHY)_99Group center-04기말-LHY 3" xfId="0"/>
    <cellStyle name="-_유로넥스트(03)(LHY)_동양매직-03(LHY)_99Group center-04기말-LHY 4" xfId="0"/>
    <cellStyle name="-_유로넥스트(03)(LHY)_동양매직-03(LHY)_99Group center-04중간업데이트기말-LHY" xfId="0"/>
    <cellStyle name="-_유로넥스트(03)(LHY)_동양매직-03(LHY)_99Group center-04중간업데이트기말-LHY 2" xfId="0"/>
    <cellStyle name="-_유로넥스트(03)(LHY)_동양매직-03(LHY)_99Group center-04중간업데이트기말-LHY 3" xfId="0"/>
    <cellStyle name="-_유로넥스트(03)(LHY)_동양매직-03(LHY)_99Group center-04중간업데이트기말-LHY 4" xfId="0"/>
    <cellStyle name="-_유로넥스트(03)(LHY)_동양매직-03(LHY)_99Group center-ARP04기말-LHY" xfId="0"/>
    <cellStyle name="-_유로넥스트(03)(LHY)_동양매직-03(LHY)_99Group center-ARP04기말-LHY 2" xfId="0"/>
    <cellStyle name="-_유로넥스트(03)(LHY)_동양매직-03(LHY)_99Group center-ARP04기말-LHY 3" xfId="0"/>
    <cellStyle name="-_유로넥스트(03)(LHY)_동양매직-03(LHY)_99Group center-ARP04기말-LHY 4" xfId="0"/>
    <cellStyle name="-_유로넥스트(03)(LHY)_매직산업(03기말-LHY)" xfId="0"/>
    <cellStyle name="-_유로넥스트(03)(LHY)_매직산업(03기말-LHY) 2" xfId="0"/>
    <cellStyle name="-_유로넥스트(03)(LHY)_매직산업(03기말-LHY) 3" xfId="0"/>
    <cellStyle name="-_유로넥스트(03)(LHY)_매직산업(03기말-LHY) 4" xfId="0"/>
    <cellStyle name="-_유로넥스트(03)(LHY)_매직산업(03기말-LHY)_99Group center-04기말-LHY" xfId="0"/>
    <cellStyle name="-_유로넥스트(03)(LHY)_매직산업(03기말-LHY)_99Group center-04기말-LHY 2" xfId="0"/>
    <cellStyle name="-_유로넥스트(03)(LHY)_매직산업(03기말-LHY)_99Group center-04기말-LHY 3" xfId="0"/>
    <cellStyle name="-_유로넥스트(03)(LHY)_매직산업(03기말-LHY)_99Group center-04기말-LHY 4" xfId="0"/>
    <cellStyle name="-_유로넥스트(03)(LHY)_매직산업(03기말-LHY)_99Group center-04중간업데이트기말-LHY" xfId="0"/>
    <cellStyle name="-_유로넥스트(03)(LHY)_매직산업(03기말-LHY)_99Group center-04중간업데이트기말-LHY 2" xfId="0"/>
    <cellStyle name="-_유로넥스트(03)(LHY)_매직산업(03기말-LHY)_99Group center-04중간업데이트기말-LHY 3" xfId="0"/>
    <cellStyle name="-_유로넥스트(03)(LHY)_매직산업(03기말-LHY)_99Group center-04중간업데이트기말-LHY 4" xfId="0"/>
    <cellStyle name="-_유로넥스트(03)(LHY)_매직산업(03기말-LHY)_99Group center-ARP04기말-LHY" xfId="0"/>
    <cellStyle name="-_유로넥스트(03)(LHY)_매직산업(03기말-LHY)_99Group center-ARP04기말-LHY 2" xfId="0"/>
    <cellStyle name="-_유로넥스트(03)(LHY)_매직산업(03기말-LHY)_99Group center-ARP04기말-LHY 3" xfId="0"/>
    <cellStyle name="-_유로넥스트(03)(LHY)_매직산업(03기말-LHY)_99Group center-ARP04기말-LHY 4" xfId="0"/>
    <cellStyle name="-_유로넥스트(03)(LHY)_벽산페인트(03,LHY)1" xfId="0"/>
    <cellStyle name="-_유로넥스트(03)(LHY)_벽산페인트(03,LHY)1 2" xfId="0"/>
    <cellStyle name="-_유로넥스트(03)(LHY)_벽산페인트(03,LHY)1 3" xfId="0"/>
    <cellStyle name="-_유로넥스트(03)(LHY)_벽산페인트(03,LHY)1 4" xfId="0"/>
    <cellStyle name="-_유로넥스트(03)(LHY)_벽산페인트(03,LHY)1_99Group center-04기말-LHY" xfId="0"/>
    <cellStyle name="-_유로넥스트(03)(LHY)_벽산페인트(03,LHY)1_99Group center-04기말-LHY 2" xfId="0"/>
    <cellStyle name="-_유로넥스트(03)(LHY)_벽산페인트(03,LHY)1_99Group center-04기말-LHY 3" xfId="0"/>
    <cellStyle name="-_유로넥스트(03)(LHY)_벽산페인트(03,LHY)1_99Group center-04기말-LHY 4" xfId="0"/>
    <cellStyle name="-_유로넥스트(03)(LHY)_벽산페인트(03,LHY)1_99Group center-04중간업데이트기말-LHY" xfId="0"/>
    <cellStyle name="-_유로넥스트(03)(LHY)_벽산페인트(03,LHY)1_99Group center-04중간업데이트기말-LHY 2" xfId="0"/>
    <cellStyle name="-_유로넥스트(03)(LHY)_벽산페인트(03,LHY)1_99Group center-04중간업데이트기말-LHY 3" xfId="0"/>
    <cellStyle name="-_유로넥스트(03)(LHY)_벽산페인트(03,LHY)1_99Group center-04중간업데이트기말-LHY 4" xfId="0"/>
    <cellStyle name="-_유로넥스트(03)(LHY)_벽산페인트(03,LHY)1_99Group center-ARP04기말-LHY" xfId="0"/>
    <cellStyle name="-_유로넥스트(03)(LHY)_벽산페인트(03,LHY)1_99Group center-ARP04기말-LHY 2" xfId="0"/>
    <cellStyle name="-_유로넥스트(03)(LHY)_벽산페인트(03,LHY)1_99Group center-ARP04기말-LHY 3" xfId="0"/>
    <cellStyle name="-_유로넥스트(03)(LHY)_벽산페인트(03,LHY)1_99Group center-ARP04기말-LHY 4" xfId="0"/>
    <cellStyle name="-_유로넥스트(03)(LHY)_새누리상호저축(03-LHY)" xfId="0"/>
    <cellStyle name="-_유로넥스트(03)(LHY)_새누리상호저축(03-LHY) 2" xfId="0"/>
    <cellStyle name="-_유로넥스트(03)(LHY)_새누리상호저축(03-LHY) 3" xfId="0"/>
    <cellStyle name="-_유로넥스트(03)(LHY)_새누리상호저축(03-LHY) 4" xfId="0"/>
    <cellStyle name="-_유로넥스트(03)(LHY)_새누리상호저축(03-LHY)-new" xfId="0"/>
    <cellStyle name="-_유로넥스트(03)(LHY)_새누리상호저축(03-LHY)-new 2" xfId="0"/>
    <cellStyle name="-_유로넥스트(03)(LHY)_새누리상호저축(03-LHY)-new 3" xfId="0"/>
    <cellStyle name="-_유로넥스트(03)(LHY)_새누리상호저축(03-LHY)-new 4" xfId="0"/>
    <cellStyle name="-_유로넥스트(03)(LHY)_새누리상호저축(03-LHY)-new_99Group center-04기말-LHY" xfId="0"/>
    <cellStyle name="-_유로넥스트(03)(LHY)_새누리상호저축(03-LHY)-new_99Group center-04기말-LHY 2" xfId="0"/>
    <cellStyle name="-_유로넥스트(03)(LHY)_새누리상호저축(03-LHY)-new_99Group center-04기말-LHY 3" xfId="0"/>
    <cellStyle name="-_유로넥스트(03)(LHY)_새누리상호저축(03-LHY)-new_99Group center-04기말-LHY 4" xfId="0"/>
    <cellStyle name="-_유로넥스트(03)(LHY)_새누리상호저축(03-LHY)-new_99Group center-04중간업데이트기말-LHY" xfId="0"/>
    <cellStyle name="-_유로넥스트(03)(LHY)_새누리상호저축(03-LHY)-new_99Group center-04중간업데이트기말-LHY 2" xfId="0"/>
    <cellStyle name="-_유로넥스트(03)(LHY)_새누리상호저축(03-LHY)-new_99Group center-04중간업데이트기말-LHY 3" xfId="0"/>
    <cellStyle name="-_유로넥스트(03)(LHY)_새누리상호저축(03-LHY)-new_99Group center-04중간업데이트기말-LHY 4" xfId="0"/>
    <cellStyle name="-_유로넥스트(03)(LHY)_새누리상호저축(03-LHY)-new_99Group center-ARP04기말-LHY" xfId="0"/>
    <cellStyle name="-_유로넥스트(03)(LHY)_새누리상호저축(03-LHY)-new_99Group center-ARP04기말-LHY 2" xfId="0"/>
    <cellStyle name="-_유로넥스트(03)(LHY)_새누리상호저축(03-LHY)-new_99Group center-ARP04기말-LHY 3" xfId="0"/>
    <cellStyle name="-_유로넥스트(03)(LHY)_새누리상호저축(03-LHY)-new_99Group center-ARP04기말-LHY 4" xfId="0"/>
    <cellStyle name="-_유로넥스트(03)(LHY)_새누리상호저축(03-LHY)_99Group center-04기말-LHY" xfId="0"/>
    <cellStyle name="-_유로넥스트(03)(LHY)_새누리상호저축(03-LHY)_99Group center-04기말-LHY 2" xfId="0"/>
    <cellStyle name="-_유로넥스트(03)(LHY)_새누리상호저축(03-LHY)_99Group center-04기말-LHY 3" xfId="0"/>
    <cellStyle name="-_유로넥스트(03)(LHY)_새누리상호저축(03-LHY)_99Group center-04기말-LHY 4" xfId="0"/>
    <cellStyle name="-_유로넥스트(03)(LHY)_새누리상호저축(03-LHY)_99Group center-04중간업데이트기말-LHY" xfId="0"/>
    <cellStyle name="-_유로넥스트(03)(LHY)_새누리상호저축(03-LHY)_99Group center-04중간업데이트기말-LHY 2" xfId="0"/>
    <cellStyle name="-_유로넥스트(03)(LHY)_새누리상호저축(03-LHY)_99Group center-04중간업데이트기말-LHY 3" xfId="0"/>
    <cellStyle name="-_유로넥스트(03)(LHY)_새누리상호저축(03-LHY)_99Group center-04중간업데이트기말-LHY 4" xfId="0"/>
    <cellStyle name="-_유로넥스트(03)(LHY)_새누리상호저축(03-LHY)_99Group center-ARP04기말-LHY" xfId="0"/>
    <cellStyle name="-_유로넥스트(03)(LHY)_새누리상호저축(03-LHY)_99Group center-ARP04기말-LHY 2" xfId="0"/>
    <cellStyle name="-_유로넥스트(03)(LHY)_새누리상호저축(03-LHY)_99Group center-ARP04기말-LHY 3" xfId="0"/>
    <cellStyle name="-_유로넥스트(03)(LHY)_새누리상호저축(03-LHY)_99Group center-ARP04기말-LHY 4" xfId="0"/>
    <cellStyle name="-_유로넥스트(03)(LHY)_쌈지-04반기-(LHY)" xfId="0"/>
    <cellStyle name="-_유로넥스트(03)(LHY)_쌈지-04반기-(LHY) 2" xfId="0"/>
    <cellStyle name="-_유로넥스트(03)(LHY)_쌈지-04반기-(LHY) 3" xfId="0"/>
    <cellStyle name="-_유로넥스트(03)(LHY)_쌈지-04반기-(LHY) 4" xfId="0"/>
    <cellStyle name="-_유로넥스트(03)(LHY)_쌈지-04반기-(LHY)_99Group center-04기말-LHY" xfId="0"/>
    <cellStyle name="-_유로넥스트(03)(LHY)_쌈지-04반기-(LHY)_99Group center-04기말-LHY 2" xfId="0"/>
    <cellStyle name="-_유로넥스트(03)(LHY)_쌈지-04반기-(LHY)_99Group center-04기말-LHY 3" xfId="0"/>
    <cellStyle name="-_유로넥스트(03)(LHY)_쌈지-04반기-(LHY)_99Group center-04기말-LHY 4" xfId="0"/>
    <cellStyle name="-_유로넥스트(03)(LHY)_쌈지-04반기-(LHY)_99Group center-04중간업데이트기말-LHY" xfId="0"/>
    <cellStyle name="-_유로넥스트(03)(LHY)_쌈지-04반기-(LHY)_99Group center-04중간업데이트기말-LHY 2" xfId="0"/>
    <cellStyle name="-_유로넥스트(03)(LHY)_쌈지-04반기-(LHY)_99Group center-04중간업데이트기말-LHY 3" xfId="0"/>
    <cellStyle name="-_유로넥스트(03)(LHY)_쌈지-04반기-(LHY)_99Group center-04중간업데이트기말-LHY 4" xfId="0"/>
    <cellStyle name="-_유로넥스트(03)(LHY)_쌈지-04반기-(LHY)_99Group center-ARP04기말-LHY" xfId="0"/>
    <cellStyle name="-_유로넥스트(03)(LHY)_쌈지-04반기-(LHY)_99Group center-ARP04기말-LHY 2" xfId="0"/>
    <cellStyle name="-_유로넥스트(03)(LHY)_쌈지-04반기-(LHY)_99Group center-ARP04기말-LHY 3" xfId="0"/>
    <cellStyle name="-_유로넥스트(03)(LHY)_쌈지-04반기-(LHY)_99Group center-ARP04기말-LHY 4" xfId="0"/>
    <cellStyle name="-_유로넥스트(03)(LHY)_엠비즈-03-기말(LHY)" xfId="0"/>
    <cellStyle name="-_유로넥스트(03)(LHY)_엠비즈-03-기말(LHY) 2" xfId="0"/>
    <cellStyle name="-_유로넥스트(03)(LHY)_엠비즈-03-기말(LHY) 3" xfId="0"/>
    <cellStyle name="-_유로넥스트(03)(LHY)_엠비즈-03-기말(LHY) 4" xfId="0"/>
    <cellStyle name="-_유로넥스트(03)(LHY)_엠비즈-03-기말(LHY)_99Group center-04기말-LHY" xfId="0"/>
    <cellStyle name="-_유로넥스트(03)(LHY)_엠비즈-03-기말(LHY)_99Group center-04기말-LHY 2" xfId="0"/>
    <cellStyle name="-_유로넥스트(03)(LHY)_엠비즈-03-기말(LHY)_99Group center-04기말-LHY 3" xfId="0"/>
    <cellStyle name="-_유로넥스트(03)(LHY)_엠비즈-03-기말(LHY)_99Group center-04기말-LHY 4" xfId="0"/>
    <cellStyle name="-_유로넥스트(03)(LHY)_엠비즈-03-기말(LHY)_99Group center-04중간업데이트기말-LHY" xfId="0"/>
    <cellStyle name="-_유로넥스트(03)(LHY)_엠비즈-03-기말(LHY)_99Group center-04중간업데이트기말-LHY 2" xfId="0"/>
    <cellStyle name="-_유로넥스트(03)(LHY)_엠비즈-03-기말(LHY)_99Group center-04중간업데이트기말-LHY 3" xfId="0"/>
    <cellStyle name="-_유로넥스트(03)(LHY)_엠비즈-03-기말(LHY)_99Group center-04중간업데이트기말-LHY 4" xfId="0"/>
    <cellStyle name="-_유로넥스트(03)(LHY)_엠비즈-03-기말(LHY)_99Group center-ARP04기말-LHY" xfId="0"/>
    <cellStyle name="-_유로넥스트(03)(LHY)_엠비즈-03-기말(LHY)_99Group center-ARP04기말-LHY 2" xfId="0"/>
    <cellStyle name="-_유로넥스트(03)(LHY)_엠비즈-03-기말(LHY)_99Group center-ARP04기말-LHY 3" xfId="0"/>
    <cellStyle name="-_유로넥스트(03)(LHY)_엠비즈-03-기말(LHY)_99Group center-ARP04기말-LHY 4" xfId="0"/>
    <cellStyle name="-_유로넥스트(03)(LHY)_원가율검-조정" xfId="0"/>
    <cellStyle name="-_유로넥스트(03)(LHY)_원가율검-조정 2" xfId="0"/>
    <cellStyle name="-_유로넥스트(03)(LHY)_원가율검-조정 3" xfId="0"/>
    <cellStyle name="-_유로넥스트(03)(LHY)_원가율검-조정 4" xfId="0"/>
    <cellStyle name="-_유로넥스트(03)(LHY)_원가율검-조정_99Group center-04기말-LHY" xfId="0"/>
    <cellStyle name="-_유로넥스트(03)(LHY)_원가율검-조정_99Group center-04기말-LHY 2" xfId="0"/>
    <cellStyle name="-_유로넥스트(03)(LHY)_원가율검-조정_99Group center-04기말-LHY 3" xfId="0"/>
    <cellStyle name="-_유로넥스트(03)(LHY)_원가율검-조정_99Group center-04기말-LHY 4" xfId="0"/>
    <cellStyle name="-_유로넥스트(03)(LHY)_원가율검-조정_99Group center-04중간업데이트기말-LHY" xfId="0"/>
    <cellStyle name="-_유로넥스트(03)(LHY)_원가율검-조정_99Group center-04중간업데이트기말-LHY 2" xfId="0"/>
    <cellStyle name="-_유로넥스트(03)(LHY)_원가율검-조정_99Group center-04중간업데이트기말-LHY 3" xfId="0"/>
    <cellStyle name="-_유로넥스트(03)(LHY)_원가율검-조정_99Group center-04중간업데이트기말-LHY 4" xfId="0"/>
    <cellStyle name="-_유로넥스트(03)(LHY)_원가율검-조정_99Group center-ARP04기말-LHY" xfId="0"/>
    <cellStyle name="-_유로넥스트(03)(LHY)_원가율검-조정_99Group center-ARP04기말-LHY 2" xfId="0"/>
    <cellStyle name="-_유로넥스트(03)(LHY)_원가율검-조정_99Group center-ARP04기말-LHY 3" xfId="0"/>
    <cellStyle name="-_유로넥스트(03)(LHY)_원가율검-조정_99Group center-ARP04기말-LHY 4" xfId="0"/>
    <cellStyle name="-_유로넥스트(03)(LHY)_유엔젤반기(04-LHY)" xfId="0"/>
    <cellStyle name="-_유로넥스트(03)(LHY)_유엔젤반기(04-LHY) 2" xfId="0"/>
    <cellStyle name="-_유로넥스트(03)(LHY)_유엔젤반기(04-LHY) 3" xfId="0"/>
    <cellStyle name="-_유로넥스트(03)(LHY)_유엔젤반기(04-LHY) 4" xfId="0"/>
    <cellStyle name="-_유로넥스트(03)(LHY)_유엔젤반기(04-LHY)_99Group center-04기말-LHY" xfId="0"/>
    <cellStyle name="-_유로넥스트(03)(LHY)_유엔젤반기(04-LHY)_99Group center-04기말-LHY 2" xfId="0"/>
    <cellStyle name="-_유로넥스트(03)(LHY)_유엔젤반기(04-LHY)_99Group center-04기말-LHY 3" xfId="0"/>
    <cellStyle name="-_유로넥스트(03)(LHY)_유엔젤반기(04-LHY)_99Group center-04기말-LHY 4" xfId="0"/>
    <cellStyle name="-_유로넥스트(03)(LHY)_유엔젤반기(04-LHY)_99Group center-04중간업데이트기말-LHY" xfId="0"/>
    <cellStyle name="-_유로넥스트(03)(LHY)_유엔젤반기(04-LHY)_99Group center-04중간업데이트기말-LHY 2" xfId="0"/>
    <cellStyle name="-_유로넥스트(03)(LHY)_유엔젤반기(04-LHY)_99Group center-04중간업데이트기말-LHY 3" xfId="0"/>
    <cellStyle name="-_유로넥스트(03)(LHY)_유엔젤반기(04-LHY)_99Group center-04중간업데이트기말-LHY 4" xfId="0"/>
    <cellStyle name="-_유로넥스트(03)(LHY)_유엔젤반기(04-LHY)_99Group center-ARP04기말-LHY" xfId="0"/>
    <cellStyle name="-_유로넥스트(03)(LHY)_유엔젤반기(04-LHY)_99Group center-ARP04기말-LHY 2" xfId="0"/>
    <cellStyle name="-_유로넥스트(03)(LHY)_유엔젤반기(04-LHY)_99Group center-ARP04기말-LHY 3" xfId="0"/>
    <cellStyle name="-_유로넥스트(03)(LHY)_유엔젤반기(04-LHY)_99Group center-ARP04기말-LHY 4" xfId="0"/>
    <cellStyle name="-_유로넥스트(03)(LHY)_투자유가증권 주석(진짜)03-LHY" xfId="0"/>
    <cellStyle name="-_유로넥스트(03)(LHY)_투자유가증권 주석(진짜)03-LHY 2" xfId="0"/>
    <cellStyle name="-_유로넥스트(03)(LHY)_투자유가증권 주석(진짜)03-LHY 3" xfId="0"/>
    <cellStyle name="-_유로넥스트(03)(LHY)_투자유가증권 주석(진짜)03-LHY 4" xfId="0"/>
    <cellStyle name="-_유로넥스트(03)(LHY)_투자유가증권 주석(진짜)03-LHY_99Group center-04기말-LHY" xfId="0"/>
    <cellStyle name="-_유로넥스트(03)(LHY)_투자유가증권 주석(진짜)03-LHY_99Group center-04기말-LHY 2" xfId="0"/>
    <cellStyle name="-_유로넥스트(03)(LHY)_투자유가증권 주석(진짜)03-LHY_99Group center-04기말-LHY 3" xfId="0"/>
    <cellStyle name="-_유로넥스트(03)(LHY)_투자유가증권 주석(진짜)03-LHY_99Group center-04기말-LHY 4" xfId="0"/>
    <cellStyle name="-_유로넥스트(03)(LHY)_투자유가증권 주석(진짜)03-LHY_99Group center-04중간업데이트기말-LHY" xfId="0"/>
    <cellStyle name="-_유로넥스트(03)(LHY)_투자유가증권 주석(진짜)03-LHY_99Group center-04중간업데이트기말-LHY 2" xfId="0"/>
    <cellStyle name="-_유로넥스트(03)(LHY)_투자유가증권 주석(진짜)03-LHY_99Group center-04중간업데이트기말-LHY 3" xfId="0"/>
    <cellStyle name="-_유로넥스트(03)(LHY)_투자유가증권 주석(진짜)03-LHY_99Group center-04중간업데이트기말-LHY 4" xfId="0"/>
    <cellStyle name="-_유로넥스트(03)(LHY)_투자유가증권 주석(진짜)03-LHY_99Group center-ARP04기말-LHY" xfId="0"/>
    <cellStyle name="-_유로넥스트(03)(LHY)_투자유가증권 주석(진짜)03-LHY_99Group center-ARP04기말-LHY 2" xfId="0"/>
    <cellStyle name="-_유로넥스트(03)(LHY)_투자유가증권 주석(진짜)03-LHY_99Group center-ARP04기말-LHY 3" xfId="0"/>
    <cellStyle name="-_유로넥스트(03)(LHY)_투자유가증권 주석(진짜)03-LHY_99Group center-ARP04기말-LHY 4" xfId="0"/>
    <cellStyle name="-_유로넥스트(03)(LHY)_투자유가증권양식" xfId="0"/>
    <cellStyle name="-_유로넥스트(03)(LHY)_투자유가증권양식 2" xfId="0"/>
    <cellStyle name="-_유로넥스트(03)(LHY)_투자유가증권양식 3" xfId="0"/>
    <cellStyle name="-_유로넥스트(03)(LHY)_투자유가증권양식 4" xfId="0"/>
    <cellStyle name="-_유로넥스트(03)(LHY)_투자유가증권양식_99Group center-04기말-LHY" xfId="0"/>
    <cellStyle name="-_유로넥스트(03)(LHY)_투자유가증권양식_99Group center-04기말-LHY 2" xfId="0"/>
    <cellStyle name="-_유로넥스트(03)(LHY)_투자유가증권양식_99Group center-04기말-LHY 3" xfId="0"/>
    <cellStyle name="-_유로넥스트(03)(LHY)_투자유가증권양식_99Group center-04기말-LHY 4" xfId="0"/>
    <cellStyle name="-_유로넥스트(03)(LHY)_투자유가증권양식_99Group center-04중간업데이트기말-LHY" xfId="0"/>
    <cellStyle name="-_유로넥스트(03)(LHY)_투자유가증권양식_99Group center-04중간업데이트기말-LHY 2" xfId="0"/>
    <cellStyle name="-_유로넥스트(03)(LHY)_투자유가증권양식_99Group center-04중간업데이트기말-LHY 3" xfId="0"/>
    <cellStyle name="-_유로넥스트(03)(LHY)_투자유가증권양식_99Group center-04중간업데이트기말-LHY 4" xfId="0"/>
    <cellStyle name="-_유로넥스트(03)(LHY)_투자유가증권양식_99Group center-ARP04기말-LHY" xfId="0"/>
    <cellStyle name="-_유로넥스트(03)(LHY)_투자유가증권양식_99Group center-ARP04기말-LHY 2" xfId="0"/>
    <cellStyle name="-_유로넥스트(03)(LHY)_투자유가증권양식_99Group center-ARP04기말-LHY 3" xfId="0"/>
    <cellStyle name="-_유로넥스트(03)(LHY)_투자유가증권양식_99Group center-ARP04기말-LHY 4" xfId="0"/>
    <cellStyle name="-_유로넥스트(03)(LHY)_풀무원스프라우트-04반기-LHY" xfId="0"/>
    <cellStyle name="-_유로넥스트(03)(LHY)_풀무원스프라우트-04반기-LHY 2" xfId="0"/>
    <cellStyle name="-_유로넥스트(03)(LHY)_풀무원스프라우트-04반기-LHY 3" xfId="0"/>
    <cellStyle name="-_유로넥스트(03)(LHY)_풀무원스프라우트-04반기-LHY 4" xfId="0"/>
    <cellStyle name="-_유로넥스트(03)(LHY)_풀무원스프라우트-04반기-LHY_99Group center-04기말-LHY" xfId="0"/>
    <cellStyle name="-_유로넥스트(03)(LHY)_풀무원스프라우트-04반기-LHY_99Group center-04기말-LHY 2" xfId="0"/>
    <cellStyle name="-_유로넥스트(03)(LHY)_풀무원스프라우트-04반기-LHY_99Group center-04기말-LHY 3" xfId="0"/>
    <cellStyle name="-_유로넥스트(03)(LHY)_풀무원스프라우트-04반기-LHY_99Group center-04기말-LHY 4" xfId="0"/>
    <cellStyle name="-_유로넥스트(03)(LHY)_풀무원스프라우트-04반기-LHY_99Group center-04중간업데이트기말-LHY" xfId="0"/>
    <cellStyle name="-_유로넥스트(03)(LHY)_풀무원스프라우트-04반기-LHY_99Group center-04중간업데이트기말-LHY 2" xfId="0"/>
    <cellStyle name="-_유로넥스트(03)(LHY)_풀무원스프라우트-04반기-LHY_99Group center-04중간업데이트기말-LHY 3" xfId="0"/>
    <cellStyle name="-_유로넥스트(03)(LHY)_풀무원스프라우트-04반기-LHY_99Group center-04중간업데이트기말-LHY 4" xfId="0"/>
    <cellStyle name="-_유로넥스트(03)(LHY)_풀무원스프라우트-04반기-LHY_99Group center-ARP04기말-LHY" xfId="0"/>
    <cellStyle name="-_유로넥스트(03)(LHY)_풀무원스프라우트-04반기-LHY_99Group center-ARP04기말-LHY 2" xfId="0"/>
    <cellStyle name="-_유로넥스트(03)(LHY)_풀무원스프라우트-04반기-LHY_99Group center-ARP04기말-LHY 3" xfId="0"/>
    <cellStyle name="-_유로넥스트(03)(LHY)_풀무원스프라우트-04반기-LHY_99Group center-ARP04기말-LHY 4" xfId="0"/>
    <cellStyle name="-_유로넥스트(03)(LHY)_한국유업-03(LHY)" xfId="0"/>
    <cellStyle name="-_유로넥스트(03)(LHY)_한국유업-03(LHY) 2" xfId="0"/>
    <cellStyle name="-_유로넥스트(03)(LHY)_한국유업-03(LHY) 3" xfId="0"/>
    <cellStyle name="-_유로넥스트(03)(LHY)_한국유업-03(LHY) 4" xfId="0"/>
    <cellStyle name="-_유로넥스트(03)(LHY)_한국유업-03(LHY)_99Group center-04기말-LHY" xfId="0"/>
    <cellStyle name="-_유로넥스트(03)(LHY)_한국유업-03(LHY)_99Group center-04기말-LHY 2" xfId="0"/>
    <cellStyle name="-_유로넥스트(03)(LHY)_한국유업-03(LHY)_99Group center-04기말-LHY 3" xfId="0"/>
    <cellStyle name="-_유로넥스트(03)(LHY)_한국유업-03(LHY)_99Group center-04기말-LHY 4" xfId="0"/>
    <cellStyle name="-_유로넥스트(03)(LHY)_한국유업-03(LHY)_99Group center-04중간업데이트기말-LHY" xfId="0"/>
    <cellStyle name="-_유로넥스트(03)(LHY)_한국유업-03(LHY)_99Group center-04중간업데이트기말-LHY 2" xfId="0"/>
    <cellStyle name="-_유로넥스트(03)(LHY)_한국유업-03(LHY)_99Group center-04중간업데이트기말-LHY 3" xfId="0"/>
    <cellStyle name="-_유로넥스트(03)(LHY)_한국유업-03(LHY)_99Group center-04중간업데이트기말-LHY 4" xfId="0"/>
    <cellStyle name="-_유로넥스트(03)(LHY)_한국유업-03(LHY)_99Group center-ARP04기말-LHY" xfId="0"/>
    <cellStyle name="-_유로넥스트(03)(LHY)_한국유업-03(LHY)_99Group center-ARP04기말-LHY 2" xfId="0"/>
    <cellStyle name="-_유로넥스트(03)(LHY)_한국유업-03(LHY)_99Group center-ARP04기말-LHY 3" xfId="0"/>
    <cellStyle name="-_유로넥스트(03)(LHY)_한국유업-03(LHY)_99Group center-ARP04기말-LHY 4" xfId="0"/>
    <cellStyle name="-_유로넥스트(03)(LHY)_한국유업-03(LHY)_매직산업(03기말-LHY)" xfId="0"/>
    <cellStyle name="-_유로넥스트(03)(LHY)_한국유업-03(LHY)_매직산업(03기말-LHY) 2" xfId="0"/>
    <cellStyle name="-_유로넥스트(03)(LHY)_한국유업-03(LHY)_매직산업(03기말-LHY) 3" xfId="0"/>
    <cellStyle name="-_유로넥스트(03)(LHY)_한국유업-03(LHY)_매직산업(03기말-LHY) 4" xfId="0"/>
    <cellStyle name="-_유로넥스트(03)(LHY)_한국유업-03(LHY)_매직산업(03기말-LHY)_99Group center-04기말-LHY" xfId="0"/>
    <cellStyle name="-_유로넥스트(03)(LHY)_한국유업-03(LHY)_매직산업(03기말-LHY)_99Group center-04기말-LHY 2" xfId="0"/>
    <cellStyle name="-_유로넥스트(03)(LHY)_한국유업-03(LHY)_매직산업(03기말-LHY)_99Group center-04기말-LHY 3" xfId="0"/>
    <cellStyle name="-_유로넥스트(03)(LHY)_한국유업-03(LHY)_매직산업(03기말-LHY)_99Group center-04기말-LHY 4" xfId="0"/>
    <cellStyle name="-_유로넥스트(03)(LHY)_한국유업-03(LHY)_매직산업(03기말-LHY)_99Group center-04중간업데이트기말-LHY" xfId="0"/>
    <cellStyle name="-_유로넥스트(03)(LHY)_한국유업-03(LHY)_매직산업(03기말-LHY)_99Group center-04중간업데이트기말-LHY 2" xfId="0"/>
    <cellStyle name="-_유로넥스트(03)(LHY)_한국유업-03(LHY)_매직산업(03기말-LHY)_99Group center-04중간업데이트기말-LHY 3" xfId="0"/>
    <cellStyle name="-_유로넥스트(03)(LHY)_한국유업-03(LHY)_매직산업(03기말-LHY)_99Group center-04중간업데이트기말-LHY 4" xfId="0"/>
    <cellStyle name="-_유로넥스트(03)(LHY)_한국유업-03(LHY)_매직산업(03기말-LHY)_99Group center-ARP04기말-LHY" xfId="0"/>
    <cellStyle name="-_유로넥스트(03)(LHY)_한국유업-03(LHY)_매직산업(03기말-LHY)_99Group center-ARP04기말-LHY 2" xfId="0"/>
    <cellStyle name="-_유로넥스트(03)(LHY)_한국유업-03(LHY)_매직산업(03기말-LHY)_99Group center-ARP04기말-LHY 3" xfId="0"/>
    <cellStyle name="-_유로넥스트(03)(LHY)_한국유업-03(LHY)_매직산업(03기말-LHY)_99Group center-ARP04기말-LHY 4" xfId="0"/>
    <cellStyle name="-_유엔젤반기(04-LHY)" xfId="0"/>
    <cellStyle name="-_유엔젤반기(04-LHY) 2" xfId="0"/>
    <cellStyle name="-_유엔젤반기(04-LHY) 3" xfId="0"/>
    <cellStyle name="-_유엔젤반기(04-LHY) 4" xfId="0"/>
    <cellStyle name="-_유엔젤반기(04-LHY)_99Group center-04기말-LHY" xfId="0"/>
    <cellStyle name="-_유엔젤반기(04-LHY)_99Group center-04기말-LHY 2" xfId="0"/>
    <cellStyle name="-_유엔젤반기(04-LHY)_99Group center-04기말-LHY 3" xfId="0"/>
    <cellStyle name="-_유엔젤반기(04-LHY)_99Group center-04기말-LHY 4" xfId="0"/>
    <cellStyle name="-_유엔젤반기(04-LHY)_99Group center-04중간업데이트기말-LHY" xfId="0"/>
    <cellStyle name="-_유엔젤반기(04-LHY)_99Group center-04중간업데이트기말-LHY 2" xfId="0"/>
    <cellStyle name="-_유엔젤반기(04-LHY)_99Group center-04중간업데이트기말-LHY 3" xfId="0"/>
    <cellStyle name="-_유엔젤반기(04-LHY)_99Group center-04중간업데이트기말-LHY 4" xfId="0"/>
    <cellStyle name="-_유엔젤반기(04-LHY)_99Group center-ARP04기말-LHY" xfId="0"/>
    <cellStyle name="-_유엔젤반기(04-LHY)_99Group center-ARP04기말-LHY 2" xfId="0"/>
    <cellStyle name="-_유엔젤반기(04-LHY)_99Group center-ARP04기말-LHY 3" xfId="0"/>
    <cellStyle name="-_유엔젤반기(04-LHY)_99Group center-ARP04기말-LHY 4" xfId="0"/>
    <cellStyle name="-_재무제표ARP" xfId="0"/>
    <cellStyle name="-_재무제표ARP 2" xfId="0"/>
    <cellStyle name="-_재무제표ARP 3" xfId="0"/>
    <cellStyle name="-_재무제표ARP 4" xfId="0"/>
    <cellStyle name="-_재무제표ARP_99Group center-04기말-LHY" xfId="0"/>
    <cellStyle name="-_재무제표ARP_99Group center-04기말-LHY 2" xfId="0"/>
    <cellStyle name="-_재무제표ARP_99Group center-04기말-LHY 3" xfId="0"/>
    <cellStyle name="-_재무제표ARP_99Group center-04기말-LHY 4" xfId="0"/>
    <cellStyle name="-_재무제표ARP_99Group center-04중간업데이트기말-LHY" xfId="0"/>
    <cellStyle name="-_재무제표ARP_99Group center-04중간업데이트기말-LHY 2" xfId="0"/>
    <cellStyle name="-_재무제표ARP_99Group center-04중간업데이트기말-LHY 3" xfId="0"/>
    <cellStyle name="-_재무제표ARP_99Group center-04중간업데이트기말-LHY 4" xfId="0"/>
    <cellStyle name="-_재무제표ARP_99Group center-ARP04기말-LHY" xfId="0"/>
    <cellStyle name="-_재무제표ARP_99Group center-ARP04기말-LHY 2" xfId="0"/>
    <cellStyle name="-_재무제표ARP_99Group center-ARP04기말-LHY 3" xfId="0"/>
    <cellStyle name="-_재무제표ARP_99Group center-ARP04기말-LHY 4" xfId="0"/>
    <cellStyle name="-_투자유가증권 주석(진짜)03-LHY" xfId="0"/>
    <cellStyle name="-_투자유가증권 주석(진짜)03-LHY 2" xfId="0"/>
    <cellStyle name="-_투자유가증권 주석(진짜)03-LHY 3" xfId="0"/>
    <cellStyle name="-_투자유가증권 주석(진짜)03-LHY 4" xfId="0"/>
    <cellStyle name="-_투자유가증권 주석(진짜)03-LHY_99Group center-04기말-LHY" xfId="0"/>
    <cellStyle name="-_투자유가증권 주석(진짜)03-LHY_99Group center-04기말-LHY 2" xfId="0"/>
    <cellStyle name="-_투자유가증권 주석(진짜)03-LHY_99Group center-04기말-LHY 3" xfId="0"/>
    <cellStyle name="-_투자유가증권 주석(진짜)03-LHY_99Group center-04기말-LHY 4" xfId="0"/>
    <cellStyle name="-_투자유가증권 주석(진짜)03-LHY_99Group center-04중간업데이트기말-LHY" xfId="0"/>
    <cellStyle name="-_투자유가증권 주석(진짜)03-LHY_99Group center-04중간업데이트기말-LHY 2" xfId="0"/>
    <cellStyle name="-_투자유가증권 주석(진짜)03-LHY_99Group center-04중간업데이트기말-LHY 3" xfId="0"/>
    <cellStyle name="-_투자유가증권 주석(진짜)03-LHY_99Group center-04중간업데이트기말-LHY 4" xfId="0"/>
    <cellStyle name="-_투자유가증권 주석(진짜)03-LHY_99Group center-ARP04기말-LHY" xfId="0"/>
    <cellStyle name="-_투자유가증권 주석(진짜)03-LHY_99Group center-ARP04기말-LHY 2" xfId="0"/>
    <cellStyle name="-_투자유가증권 주석(진짜)03-LHY_99Group center-ARP04기말-LHY 3" xfId="0"/>
    <cellStyle name="-_투자유가증권 주석(진짜)03-LHY_99Group center-ARP04기말-LHY 4" xfId="0"/>
    <cellStyle name="-_투자유가증권양식" xfId="0"/>
    <cellStyle name="-_투자유가증권양식 2" xfId="0"/>
    <cellStyle name="-_투자유가증권양식 3" xfId="0"/>
    <cellStyle name="-_투자유가증권양식 4" xfId="0"/>
    <cellStyle name="-_투자유가증권양식_99Group center-04기말-LHY" xfId="0"/>
    <cellStyle name="-_투자유가증권양식_99Group center-04기말-LHY 2" xfId="0"/>
    <cellStyle name="-_투자유가증권양식_99Group center-04기말-LHY 3" xfId="0"/>
    <cellStyle name="-_투자유가증권양식_99Group center-04기말-LHY 4" xfId="0"/>
    <cellStyle name="-_투자유가증권양식_99Group center-04중간업데이트기말-LHY" xfId="0"/>
    <cellStyle name="-_투자유가증권양식_99Group center-04중간업데이트기말-LHY 2" xfId="0"/>
    <cellStyle name="-_투자유가증권양식_99Group center-04중간업데이트기말-LHY 3" xfId="0"/>
    <cellStyle name="-_투자유가증권양식_99Group center-04중간업데이트기말-LHY 4" xfId="0"/>
    <cellStyle name="-_투자유가증권양식_99Group center-ARP04기말-LHY" xfId="0"/>
    <cellStyle name="-_투자유가증권양식_99Group center-ARP04기말-LHY 2" xfId="0"/>
    <cellStyle name="-_투자유가증권양식_99Group center-ARP04기말-LHY 3" xfId="0"/>
    <cellStyle name="-_투자유가증권양식_99Group center-ARP04기말-LHY 4" xfId="0"/>
    <cellStyle name="-_풀무원스프라우트-04반기-LHY" xfId="0"/>
    <cellStyle name="-_풀무원스프라우트-04반기-LHY 2" xfId="0"/>
    <cellStyle name="-_풀무원스프라우트-04반기-LHY 3" xfId="0"/>
    <cellStyle name="-_풀무원스프라우트-04반기-LHY 4" xfId="0"/>
    <cellStyle name="-_풀무원스프라우트-04반기-LHY_99Group center-04기말-LHY" xfId="0"/>
    <cellStyle name="-_풀무원스프라우트-04반기-LHY_99Group center-04기말-LHY 2" xfId="0"/>
    <cellStyle name="-_풀무원스프라우트-04반기-LHY_99Group center-04기말-LHY 3" xfId="0"/>
    <cellStyle name="-_풀무원스프라우트-04반기-LHY_99Group center-04기말-LHY 4" xfId="0"/>
    <cellStyle name="-_풀무원스프라우트-04반기-LHY_99Group center-04중간업데이트기말-LHY" xfId="0"/>
    <cellStyle name="-_풀무원스프라우트-04반기-LHY_99Group center-04중간업데이트기말-LHY 2" xfId="0"/>
    <cellStyle name="-_풀무원스프라우트-04반기-LHY_99Group center-04중간업데이트기말-LHY 3" xfId="0"/>
    <cellStyle name="-_풀무원스프라우트-04반기-LHY_99Group center-04중간업데이트기말-LHY 4" xfId="0"/>
    <cellStyle name="-_풀무원스프라우트-04반기-LHY_99Group center-ARP04기말-LHY" xfId="0"/>
    <cellStyle name="-_풀무원스프라우트-04반기-LHY_99Group center-ARP04기말-LHY 2" xfId="0"/>
    <cellStyle name="-_풀무원스프라우트-04반기-LHY_99Group center-ARP04기말-LHY 3" xfId="0"/>
    <cellStyle name="-_풀무원스프라우트-04반기-LHY_99Group center-ARP04기말-LHY 4" xfId="0"/>
    <cellStyle name="-_한국유업-03(LHY)" xfId="0"/>
    <cellStyle name="-_한국유업-03(LHY) 2" xfId="0"/>
    <cellStyle name="-_한국유업-03(LHY) 3" xfId="0"/>
    <cellStyle name="-_한국유업-03(LHY) 4" xfId="0"/>
    <cellStyle name="-_한국유업-03(LHY)_99Group center-04기말-LHY" xfId="0"/>
    <cellStyle name="-_한국유업-03(LHY)_99Group center-04기말-LHY 2" xfId="0"/>
    <cellStyle name="-_한국유업-03(LHY)_99Group center-04기말-LHY 3" xfId="0"/>
    <cellStyle name="-_한국유업-03(LHY)_99Group center-04기말-LHY 4" xfId="0"/>
    <cellStyle name="-_한국유업-03(LHY)_99Group center-04중간업데이트기말-LHY" xfId="0"/>
    <cellStyle name="-_한국유업-03(LHY)_99Group center-04중간업데이트기말-LHY 2" xfId="0"/>
    <cellStyle name="-_한국유업-03(LHY)_99Group center-04중간업데이트기말-LHY 3" xfId="0"/>
    <cellStyle name="-_한국유업-03(LHY)_99Group center-04중간업데이트기말-LHY 4" xfId="0"/>
    <cellStyle name="-_한국유업-03(LHY)_99Group center-ARP04기말-LHY" xfId="0"/>
    <cellStyle name="-_한국유업-03(LHY)_99Group center-ARP04기말-LHY 2" xfId="0"/>
    <cellStyle name="-_한국유업-03(LHY)_99Group center-ARP04기말-LHY 3" xfId="0"/>
    <cellStyle name="-_한국유업-03(LHY)_99Group center-ARP04기말-LHY 4" xfId="0"/>
    <cellStyle name="-_한국유업-03(LHY)_매직산업(03기말-LHY)" xfId="0"/>
    <cellStyle name="-_한국유업-03(LHY)_매직산업(03기말-LHY) 2" xfId="0"/>
    <cellStyle name="-_한국유업-03(LHY)_매직산업(03기말-LHY) 3" xfId="0"/>
    <cellStyle name="-_한국유업-03(LHY)_매직산업(03기말-LHY) 4" xfId="0"/>
    <cellStyle name="-_한국유업-03(LHY)_매직산업(03기말-LHY)_99Group center-04기말-LHY" xfId="0"/>
    <cellStyle name="-_한국유업-03(LHY)_매직산업(03기말-LHY)_99Group center-04기말-LHY 2" xfId="0"/>
    <cellStyle name="-_한국유업-03(LHY)_매직산업(03기말-LHY)_99Group center-04기말-LHY 3" xfId="0"/>
    <cellStyle name="-_한국유업-03(LHY)_매직산업(03기말-LHY)_99Group center-04기말-LHY 4" xfId="0"/>
    <cellStyle name="-_한국유업-03(LHY)_매직산업(03기말-LHY)_99Group center-04중간업데이트기말-LHY" xfId="0"/>
    <cellStyle name="-_한국유업-03(LHY)_매직산업(03기말-LHY)_99Group center-04중간업데이트기말-LHY 2" xfId="0"/>
    <cellStyle name="-_한국유업-03(LHY)_매직산업(03기말-LHY)_99Group center-04중간업데이트기말-LHY 3" xfId="0"/>
    <cellStyle name="-_한국유업-03(LHY)_매직산업(03기말-LHY)_99Group center-04중간업데이트기말-LHY 4" xfId="0"/>
    <cellStyle name="-_한국유업-03(LHY)_매직산업(03기말-LHY)_99Group center-ARP04기말-LHY" xfId="0"/>
    <cellStyle name="-_한국유업-03(LHY)_매직산업(03기말-LHY)_99Group center-ARP04기말-LHY 2" xfId="0"/>
    <cellStyle name="-_한국유업-03(LHY)_매직산업(03기말-LHY)_99Group center-ARP04기말-LHY 3" xfId="0"/>
    <cellStyle name="-_한국유업-03(LHY)_매직산업(03기말-LHY)_99Group center-ARP04기말-LHY 4" xfId="0"/>
    <cellStyle name="-S" xfId="0"/>
    <cellStyle name="-&#10;_x0002__x0002_?&#10;_x0012__x0002_z-&#10;&quot;_x0002_?&#10;2_x0002_?&#10;B_x0002_?y [0]_laroux_2_12~3SO2" xfId="0"/>
    <cellStyle name="0" xfId="0"/>
    <cellStyle name="0%" xfId="0"/>
    <cellStyle name="0,0&#13;&#10;NA&#13;&#10;" xfId="0"/>
    <cellStyle name="0,0&#13;&#10;NA&#13;&#10; 2" xfId="0"/>
    <cellStyle name="0,0&#13;&#10;NA&#13;&#10;_재고자산회전율분석_LGE(2010_1Q)" xfId="0"/>
    <cellStyle name="0.0%" xfId="0"/>
    <cellStyle name="0.00%" xfId="0"/>
    <cellStyle name="0.000%" xfId="0"/>
    <cellStyle name="0.0000%" xfId="0"/>
    <cellStyle name="0_자산손상_(주)LG_v3" xfId="0"/>
    <cellStyle name="1" xfId="0"/>
    <cellStyle name="1 000 K?_RESULTS" xfId="0"/>
    <cellStyle name="1." xfId="0"/>
    <cellStyle name="100" xfId="0"/>
    <cellStyle name="120" xfId="0"/>
    <cellStyle name="16" xfId="0"/>
    <cellStyle name="16ictONiIe4PXBkWMyPCb5O" xfId="0"/>
    <cellStyle name="19990216" xfId="0"/>
    <cellStyle name="1월" xfId="0"/>
    <cellStyle name="1월당월 (2)_1월" xfId="0"/>
    <cellStyle name="20% - Accent1" xfId="0"/>
    <cellStyle name="20% - Accent1 2" xfId="0"/>
    <cellStyle name="20% - Accent1 3" xfId="0"/>
    <cellStyle name="20% - Accent1 4" xfId="0"/>
    <cellStyle name="20% - Accent1 5" xfId="0"/>
    <cellStyle name="20% - Accent2" xfId="0"/>
    <cellStyle name="20% - Accent2 2" xfId="0"/>
    <cellStyle name="20% - Accent2 3" xfId="0"/>
    <cellStyle name="20% - Accent2 4" xfId="0"/>
    <cellStyle name="20% - Accent2 5" xfId="0"/>
    <cellStyle name="20% - Accent3" xfId="0"/>
    <cellStyle name="20% - Accent3 2" xfId="0"/>
    <cellStyle name="20% - Accent3 3" xfId="0"/>
    <cellStyle name="20% - Accent3 4" xfId="0"/>
    <cellStyle name="20% - Accent3 5" xfId="0"/>
    <cellStyle name="20% - Accent4" xfId="0"/>
    <cellStyle name="20% - Accent4 2" xfId="0"/>
    <cellStyle name="20% - Accent4 3" xfId="0"/>
    <cellStyle name="20% - Accent4 4" xfId="0"/>
    <cellStyle name="20% - Accent4 5" xfId="0"/>
    <cellStyle name="20% - Accent5" xfId="0"/>
    <cellStyle name="20% - Accent5 2" xfId="0"/>
    <cellStyle name="20% - Accent5 3" xfId="0"/>
    <cellStyle name="20% - Accent5 4" xfId="0"/>
    <cellStyle name="20% - Accent5 5" xfId="0"/>
    <cellStyle name="20% - Accent6" xfId="0"/>
    <cellStyle name="20% - Accent6 2" xfId="0"/>
    <cellStyle name="20% - Accent6 3" xfId="0"/>
    <cellStyle name="20% - Accent6 4" xfId="0"/>
    <cellStyle name="20% - Accent6 5" xfId="0"/>
    <cellStyle name="20% - 강조색1 10" xfId="0"/>
    <cellStyle name="20% - 강조색1 10 10" xfId="0"/>
    <cellStyle name="20% - 강조색1 10 11" xfId="0"/>
    <cellStyle name="20% - 강조색1 10 12" xfId="0"/>
    <cellStyle name="20% - 강조색1 10 13" xfId="0"/>
    <cellStyle name="20% - 강조색1 10 14" xfId="0"/>
    <cellStyle name="20% - 강조색1 10 15" xfId="0"/>
    <cellStyle name="20% - 강조색1 10 16" xfId="0"/>
    <cellStyle name="20% - 강조색1 10 17" xfId="0"/>
    <cellStyle name="20% - 강조색1 10 18" xfId="0"/>
    <cellStyle name="20% - 강조색1 10 19" xfId="0"/>
    <cellStyle name="20% - 강조색1 10 2" xfId="0"/>
    <cellStyle name="20% - 강조색1 10 2 2" xfId="0"/>
    <cellStyle name="20% - 강조색1 10 2 3" xfId="0"/>
    <cellStyle name="20% - 강조색1 10 20" xfId="0"/>
    <cellStyle name="20% - 강조색1 10 21" xfId="0"/>
    <cellStyle name="20% - 강조색1 10 22" xfId="0"/>
    <cellStyle name="20% - 강조색1 10 23" xfId="0"/>
    <cellStyle name="20% - 강조색1 10 24" xfId="0"/>
    <cellStyle name="20% - 강조색1 10 3" xfId="0"/>
    <cellStyle name="20% - 강조색1 10 3 2" xfId="0"/>
    <cellStyle name="20% - 강조색1 10 3 3" xfId="0"/>
    <cellStyle name="20% - 강조색1 10 4" xfId="0"/>
    <cellStyle name="20% - 강조색1 10 4 2" xfId="0"/>
    <cellStyle name="20% - 강조색1 10 4 3" xfId="0"/>
    <cellStyle name="20% - 강조색1 10 5" xfId="0"/>
    <cellStyle name="20% - 강조색1 10 5 2" xfId="0"/>
    <cellStyle name="20% - 강조색1 10 5 3" xfId="0"/>
    <cellStyle name="20% - 강조색1 10 6" xfId="0"/>
    <cellStyle name="20% - 강조색1 10 6 2" xfId="0"/>
    <cellStyle name="20% - 강조색1 10 6 3" xfId="0"/>
    <cellStyle name="20% - 강조색1 10 7" xfId="0"/>
    <cellStyle name="20% - 강조색1 10 8" xfId="0"/>
    <cellStyle name="20% - 강조색1 10 9" xfId="0"/>
    <cellStyle name="20% - 강조색1 11" xfId="0"/>
    <cellStyle name="20% - 강조색1 11 10" xfId="0"/>
    <cellStyle name="20% - 강조색1 11 2" xfId="0"/>
    <cellStyle name="20% - 강조색1 11 2 2" xfId="0"/>
    <cellStyle name="20% - 강조색1 11 2 3" xfId="0"/>
    <cellStyle name="20% - 강조색1 11 3" xfId="0"/>
    <cellStyle name="20% - 강조색1 11 3 2" xfId="0"/>
    <cellStyle name="20% - 강조색1 11 3 3" xfId="0"/>
    <cellStyle name="20% - 강조색1 11 4" xfId="0"/>
    <cellStyle name="20% - 강조색1 11 4 2" xfId="0"/>
    <cellStyle name="20% - 강조색1 11 4 3" xfId="0"/>
    <cellStyle name="20% - 강조색1 11 5" xfId="0"/>
    <cellStyle name="20% - 강조색1 11 5 2" xfId="0"/>
    <cellStyle name="20% - 강조색1 11 5 3" xfId="0"/>
    <cellStyle name="20% - 강조색1 11 6" xfId="0"/>
    <cellStyle name="20% - 강조색1 11 6 2" xfId="0"/>
    <cellStyle name="20% - 강조색1 11 6 3" xfId="0"/>
    <cellStyle name="20% - 강조색1 11 7" xfId="0"/>
    <cellStyle name="20% - 강조색1 11 8" xfId="0"/>
    <cellStyle name="20% - 강조색1 11 9" xfId="0"/>
    <cellStyle name="20% - 강조색1 12" xfId="0"/>
    <cellStyle name="20% - 강조색1 12 2" xfId="0"/>
    <cellStyle name="20% - 강조색1 12 3" xfId="0"/>
    <cellStyle name="20% - 강조색1 12 4" xfId="0"/>
    <cellStyle name="20% - 강조색1 12 5" xfId="0"/>
    <cellStyle name="20% - 강조색1 12 6" xfId="0"/>
    <cellStyle name="20% - 강조색1 12 7" xfId="0"/>
    <cellStyle name="20% - 강조색1 12 8" xfId="0"/>
    <cellStyle name="20% - 강조색1 12 9" xfId="0"/>
    <cellStyle name="20% - 강조색1 13" xfId="0"/>
    <cellStyle name="20% - 강조색1 13 2" xfId="0"/>
    <cellStyle name="20% - 강조색1 13 3" xfId="0"/>
    <cellStyle name="20% - 강조색1 13 4" xfId="0"/>
    <cellStyle name="20% - 강조색1 13 5" xfId="0"/>
    <cellStyle name="20% - 강조색1 13 6" xfId="0"/>
    <cellStyle name="20% - 강조색1 13 7" xfId="0"/>
    <cellStyle name="20% - 강조색1 13 8" xfId="0"/>
    <cellStyle name="20% - 강조색1 13 9" xfId="0"/>
    <cellStyle name="20% - 강조색1 14" xfId="0"/>
    <cellStyle name="20% - 강조색1 14 2" xfId="0"/>
    <cellStyle name="20% - 강조색1 14 3" xfId="0"/>
    <cellStyle name="20% - 강조색1 14 4" xfId="0"/>
    <cellStyle name="20% - 강조색1 14 5" xfId="0"/>
    <cellStyle name="20% - 강조색1 14 6" xfId="0"/>
    <cellStyle name="20% - 강조색1 14 7" xfId="0"/>
    <cellStyle name="20% - 강조색1 14 8" xfId="0"/>
    <cellStyle name="20% - 강조색1 14 9" xfId="0"/>
    <cellStyle name="20% - 강조색1 15" xfId="0"/>
    <cellStyle name="20% - 강조색1 15 2" xfId="0"/>
    <cellStyle name="20% - 강조색1 15 3" xfId="0"/>
    <cellStyle name="20% - 강조색1 15 4" xfId="0"/>
    <cellStyle name="20% - 강조색1 15 5" xfId="0"/>
    <cellStyle name="20% - 강조색1 15 6" xfId="0"/>
    <cellStyle name="20% - 강조색1 15 7" xfId="0"/>
    <cellStyle name="20% - 강조색1 15 8" xfId="0"/>
    <cellStyle name="20% - 강조색1 15 9" xfId="0"/>
    <cellStyle name="20% - 강조색1 16" xfId="0"/>
    <cellStyle name="20% - 강조색1 16 2" xfId="0"/>
    <cellStyle name="20% - 강조색1 16 3" xfId="0"/>
    <cellStyle name="20% - 강조색1 16 4" xfId="0"/>
    <cellStyle name="20% - 강조색1 16 5" xfId="0"/>
    <cellStyle name="20% - 강조색1 16 6" xfId="0"/>
    <cellStyle name="20% - 강조색1 16 7" xfId="0"/>
    <cellStyle name="20% - 강조색1 16 8" xfId="0"/>
    <cellStyle name="20% - 강조색1 16 9" xfId="0"/>
    <cellStyle name="20% - 강조색1 17" xfId="0"/>
    <cellStyle name="20% - 강조색1 17 2" xfId="0"/>
    <cellStyle name="20% - 강조색1 17 3" xfId="0"/>
    <cellStyle name="20% - 강조색1 17 4" xfId="0"/>
    <cellStyle name="20% - 강조색1 17 5" xfId="0"/>
    <cellStyle name="20% - 강조색1 17 6" xfId="0"/>
    <cellStyle name="20% - 강조색1 17 7" xfId="0"/>
    <cellStyle name="20% - 강조색1 17 8" xfId="0"/>
    <cellStyle name="20% - 강조색1 17 9" xfId="0"/>
    <cellStyle name="20% - 강조색1 18" xfId="0"/>
    <cellStyle name="20% - 강조색1 18 2" xfId="0"/>
    <cellStyle name="20% - 강조색1 18 3" xfId="0"/>
    <cellStyle name="20% - 강조색1 18 4" xfId="0"/>
    <cellStyle name="20% - 강조색1 18 5" xfId="0"/>
    <cellStyle name="20% - 강조색1 18 6" xfId="0"/>
    <cellStyle name="20% - 강조색1 18 7" xfId="0"/>
    <cellStyle name="20% - 강조색1 18 8" xfId="0"/>
    <cellStyle name="20% - 강조색1 18 9" xfId="0"/>
    <cellStyle name="20% - 강조색1 19" xfId="0"/>
    <cellStyle name="20% - 강조색1 19 2" xfId="0"/>
    <cellStyle name="20% - 강조색1 19 3" xfId="0"/>
    <cellStyle name="20% - 강조색1 19 4" xfId="0"/>
    <cellStyle name="20% - 강조색1 19 5" xfId="0"/>
    <cellStyle name="20% - 강조색1 19 6" xfId="0"/>
    <cellStyle name="20% - 강조색1 19 7" xfId="0"/>
    <cellStyle name="20% - 강조색1 19 8" xfId="0"/>
    <cellStyle name="20% - 강조색1 19 9" xfId="0"/>
    <cellStyle name="20% - 강조색1 2" xfId="0"/>
    <cellStyle name="20% - 강조색1 2 10" xfId="0"/>
    <cellStyle name="20% - 강조색1 2 10 2" xfId="0"/>
    <cellStyle name="20% - 강조색1 2 11" xfId="0"/>
    <cellStyle name="20% - 강조색1 2 11 2" xfId="0"/>
    <cellStyle name="20% - 강조색1 2 12" xfId="0"/>
    <cellStyle name="20% - 강조색1 2 12 2" xfId="0"/>
    <cellStyle name="20% - 강조색1 2 13" xfId="0"/>
    <cellStyle name="20% - 강조색1 2 14" xfId="0"/>
    <cellStyle name="20% - 강조색1 2 15" xfId="0"/>
    <cellStyle name="20% - 강조색1 2 16" xfId="0"/>
    <cellStyle name="20% - 강조색1 2 17" xfId="0"/>
    <cellStyle name="20% - 강조색1 2 18" xfId="0"/>
    <cellStyle name="20% - 강조색1 2 19" xfId="0"/>
    <cellStyle name="20% - 강조색1 2 2" xfId="0"/>
    <cellStyle name="20% - 강조색1 2 2 10" xfId="0"/>
    <cellStyle name="20% - 강조색1 2 2 11" xfId="0"/>
    <cellStyle name="20% - 강조색1 2 2 12" xfId="0"/>
    <cellStyle name="20% - 강조색1 2 2 13" xfId="0"/>
    <cellStyle name="20% - 강조색1 2 2 14" xfId="0"/>
    <cellStyle name="20% - 강조색1 2 2 15" xfId="0"/>
    <cellStyle name="20% - 강조색1 2 2 16" xfId="0"/>
    <cellStyle name="20% - 강조색1 2 2 17" xfId="0"/>
    <cellStyle name="20% - 강조색1 2 2 18" xfId="0"/>
    <cellStyle name="20% - 강조색1 2 2 19" xfId="0"/>
    <cellStyle name="20% - 강조색1 2 2 2" xfId="0"/>
    <cellStyle name="20% - 강조색1 2 2 2 2" xfId="0"/>
    <cellStyle name="20% - 강조색1 2 2 2 2 2" xfId="0"/>
    <cellStyle name="20% - 강조색1 2 2 2 2 3" xfId="0"/>
    <cellStyle name="20% - 강조색1 2 2 2 2 4" xfId="0"/>
    <cellStyle name="20% - 강조색1 2 2 2 2 5" xfId="0"/>
    <cellStyle name="20% - 강조색1 2 2 2 2 6" xfId="0"/>
    <cellStyle name="20% - 강조색1 2 2 2 2 7" xfId="0"/>
    <cellStyle name="20% - 강조색1 2 2 2 2 8" xfId="0"/>
    <cellStyle name="20% - 강조색1 2 2 2 2 9" xfId="0"/>
    <cellStyle name="20% - 강조색1 2 2 2 3" xfId="0"/>
    <cellStyle name="20% - 강조색1 2 2 2 4" xfId="0"/>
    <cellStyle name="20% - 강조색1 2 2 2 5" xfId="0"/>
    <cellStyle name="20% - 강조색1 2 2 2 6" xfId="0"/>
    <cellStyle name="20% - 강조색1 2 2 2 7" xfId="0"/>
    <cellStyle name="20% - 강조색1 2 2 2 8" xfId="0"/>
    <cellStyle name="20% - 강조색1 2 2 2 9" xfId="0"/>
    <cellStyle name="20% - 강조색1 2 2 20" xfId="0"/>
    <cellStyle name="20% - 강조색1 2 2 21" xfId="0"/>
    <cellStyle name="20% - 강조색1 2 2 22" xfId="0"/>
    <cellStyle name="20% - 강조색1 2 2 23" xfId="0"/>
    <cellStyle name="20% - 강조색1 2 2 3" xfId="0"/>
    <cellStyle name="20% - 강조색1 2 2 4" xfId="0"/>
    <cellStyle name="20% - 강조색1 2 2 5" xfId="0"/>
    <cellStyle name="20% - 강조색1 2 2 6" xfId="0"/>
    <cellStyle name="20% - 강조색1 2 2 7" xfId="0"/>
    <cellStyle name="20% - 강조색1 2 2 8" xfId="0"/>
    <cellStyle name="20% - 강조색1 2 2 9" xfId="0"/>
    <cellStyle name="20% - 강조색1 2 20" xfId="0"/>
    <cellStyle name="20% - 강조색1 2 21" xfId="0"/>
    <cellStyle name="20% - 강조색1 2 22" xfId="0"/>
    <cellStyle name="20% - 강조색1 2 23" xfId="0"/>
    <cellStyle name="20% - 강조색1 2 3" xfId="0"/>
    <cellStyle name="20% - 강조색1 2 3 10" xfId="0"/>
    <cellStyle name="20% - 강조색1 2 3 2" xfId="0"/>
    <cellStyle name="20% - 강조색1 2 3 3" xfId="0"/>
    <cellStyle name="20% - 강조색1 2 3 4" xfId="0"/>
    <cellStyle name="20% - 강조색1 2 3 5" xfId="0"/>
    <cellStyle name="20% - 강조색1 2 3 6" xfId="0"/>
    <cellStyle name="20% - 강조색1 2 3 7" xfId="0"/>
    <cellStyle name="20% - 강조색1 2 3 8" xfId="0"/>
    <cellStyle name="20% - 강조색1 2 3 9" xfId="0"/>
    <cellStyle name="20% - 강조색1 2 4" xfId="0"/>
    <cellStyle name="20% - 강조색1 2 4 10" xfId="0"/>
    <cellStyle name="20% - 강조색1 2 4 2" xfId="0"/>
    <cellStyle name="20% - 강조색1 2 4 3" xfId="0"/>
    <cellStyle name="20% - 강조색1 2 4 4" xfId="0"/>
    <cellStyle name="20% - 강조색1 2 4 5" xfId="0"/>
    <cellStyle name="20% - 강조색1 2 4 6" xfId="0"/>
    <cellStyle name="20% - 강조색1 2 4 7" xfId="0"/>
    <cellStyle name="20% - 강조색1 2 4 8" xfId="0"/>
    <cellStyle name="20% - 강조색1 2 4 9" xfId="0"/>
    <cellStyle name="20% - 강조색1 2 5" xfId="0"/>
    <cellStyle name="20% - 강조색1 2 5 10" xfId="0"/>
    <cellStyle name="20% - 강조색1 2 5 2" xfId="0"/>
    <cellStyle name="20% - 강조색1 2 5 3" xfId="0"/>
    <cellStyle name="20% - 강조색1 2 5 4" xfId="0"/>
    <cellStyle name="20% - 강조색1 2 5 5" xfId="0"/>
    <cellStyle name="20% - 강조색1 2 5 6" xfId="0"/>
    <cellStyle name="20% - 강조색1 2 5 7" xfId="0"/>
    <cellStyle name="20% - 강조색1 2 5 8" xfId="0"/>
    <cellStyle name="20% - 강조색1 2 5 9" xfId="0"/>
    <cellStyle name="20% - 강조색1 2 6" xfId="0"/>
    <cellStyle name="20% - 강조색1 2 6 10" xfId="0"/>
    <cellStyle name="20% - 강조색1 2 6 2" xfId="0"/>
    <cellStyle name="20% - 강조색1 2 6 3" xfId="0"/>
    <cellStyle name="20% - 강조색1 2 6 4" xfId="0"/>
    <cellStyle name="20% - 강조색1 2 6 5" xfId="0"/>
    <cellStyle name="20% - 강조색1 2 6 6" xfId="0"/>
    <cellStyle name="20% - 강조색1 2 6 7" xfId="0"/>
    <cellStyle name="20% - 강조색1 2 6 8" xfId="0"/>
    <cellStyle name="20% - 강조색1 2 6 9" xfId="0"/>
    <cellStyle name="20% - 강조색1 2 7" xfId="0"/>
    <cellStyle name="20% - 강조색1 2 7 10" xfId="0"/>
    <cellStyle name="20% - 강조색1 2 7 2" xfId="0"/>
    <cellStyle name="20% - 강조색1 2 7 3" xfId="0"/>
    <cellStyle name="20% - 강조색1 2 7 4" xfId="0"/>
    <cellStyle name="20% - 강조색1 2 7 5" xfId="0"/>
    <cellStyle name="20% - 강조색1 2 7 6" xfId="0"/>
    <cellStyle name="20% - 강조색1 2 7 7" xfId="0"/>
    <cellStyle name="20% - 강조색1 2 7 8" xfId="0"/>
    <cellStyle name="20% - 강조색1 2 7 9" xfId="0"/>
    <cellStyle name="20% - 강조색1 2 8" xfId="0"/>
    <cellStyle name="20% - 강조색1 2 8 2" xfId="0"/>
    <cellStyle name="20% - 강조색1 2 9" xfId="0"/>
    <cellStyle name="20% - 강조색1 2 9 2" xfId="0"/>
    <cellStyle name="20% - 강조색1 20" xfId="0"/>
    <cellStyle name="20% - 강조색1 20 2" xfId="0"/>
    <cellStyle name="20% - 강조색1 20 3" xfId="0"/>
    <cellStyle name="20% - 강조색1 20 4" xfId="0"/>
    <cellStyle name="20% - 강조색1 20 5" xfId="0"/>
    <cellStyle name="20% - 강조색1 20 6" xfId="0"/>
    <cellStyle name="20% - 강조색1 20 7" xfId="0"/>
    <cellStyle name="20% - 강조색1 20 8" xfId="0"/>
    <cellStyle name="20% - 강조색1 20 9" xfId="0"/>
    <cellStyle name="20% - 강조색1 21" xfId="0"/>
    <cellStyle name="20% - 강조색1 21 2" xfId="0"/>
    <cellStyle name="20% - 강조색1 21 3" xfId="0"/>
    <cellStyle name="20% - 강조색1 21 4" xfId="0"/>
    <cellStyle name="20% - 강조색1 21 5" xfId="0"/>
    <cellStyle name="20% - 강조색1 21 6" xfId="0"/>
    <cellStyle name="20% - 강조색1 21 7" xfId="0"/>
    <cellStyle name="20% - 강조색1 21 8" xfId="0"/>
    <cellStyle name="20% - 강조색1 21 9" xfId="0"/>
    <cellStyle name="20% - 강조색1 22" xfId="0"/>
    <cellStyle name="20% - 강조색1 22 2" xfId="0"/>
    <cellStyle name="20% - 강조색1 22 3" xfId="0"/>
    <cellStyle name="20% - 강조색1 22 4" xfId="0"/>
    <cellStyle name="20% - 강조색1 22 5" xfId="0"/>
    <cellStyle name="20% - 강조색1 22 6" xfId="0"/>
    <cellStyle name="20% - 강조색1 22 7" xfId="0"/>
    <cellStyle name="20% - 강조색1 22 8" xfId="0"/>
    <cellStyle name="20% - 강조색1 22 9" xfId="0"/>
    <cellStyle name="20% - 강조색1 23" xfId="0"/>
    <cellStyle name="20% - 강조색1 23 2" xfId="0"/>
    <cellStyle name="20% - 강조색1 23 3" xfId="0"/>
    <cellStyle name="20% - 강조색1 23 4" xfId="0"/>
    <cellStyle name="20% - 강조색1 23 5" xfId="0"/>
    <cellStyle name="20% - 강조색1 23 6" xfId="0"/>
    <cellStyle name="20% - 강조색1 23 7" xfId="0"/>
    <cellStyle name="20% - 강조색1 23 8" xfId="0"/>
    <cellStyle name="20% - 강조색1 23 9" xfId="0"/>
    <cellStyle name="20% - 강조색1 24" xfId="0"/>
    <cellStyle name="20% - 강조색1 24 2" xfId="0"/>
    <cellStyle name="20% - 강조색1 24 3" xfId="0"/>
    <cellStyle name="20% - 강조색1 24 4" xfId="0"/>
    <cellStyle name="20% - 강조색1 24 5" xfId="0"/>
    <cellStyle name="20% - 강조색1 24 6" xfId="0"/>
    <cellStyle name="20% - 강조색1 24 7" xfId="0"/>
    <cellStyle name="20% - 강조색1 24 8" xfId="0"/>
    <cellStyle name="20% - 강조색1 24 9" xfId="0"/>
    <cellStyle name="20% - 강조색1 25" xfId="0"/>
    <cellStyle name="20% - 강조색1 25 2" xfId="0"/>
    <cellStyle name="20% - 강조색1 25 3" xfId="0"/>
    <cellStyle name="20% - 강조색1 25 4" xfId="0"/>
    <cellStyle name="20% - 강조색1 25 5" xfId="0"/>
    <cellStyle name="20% - 강조색1 25 6" xfId="0"/>
    <cellStyle name="20% - 강조색1 25 7" xfId="0"/>
    <cellStyle name="20% - 강조색1 25 8" xfId="0"/>
    <cellStyle name="20% - 강조색1 25 9" xfId="0"/>
    <cellStyle name="20% - 강조색1 26" xfId="0"/>
    <cellStyle name="20% - 강조색1 26 2" xfId="0"/>
    <cellStyle name="20% - 강조색1 26 3" xfId="0"/>
    <cellStyle name="20% - 강조색1 26 4" xfId="0"/>
    <cellStyle name="20% - 강조색1 26 5" xfId="0"/>
    <cellStyle name="20% - 강조색1 26 6" xfId="0"/>
    <cellStyle name="20% - 강조색1 26 7" xfId="0"/>
    <cellStyle name="20% - 강조색1 26 8" xfId="0"/>
    <cellStyle name="20% - 강조색1 26 9" xfId="0"/>
    <cellStyle name="20% - 강조색1 27" xfId="0"/>
    <cellStyle name="20% - 강조색1 27 2" xfId="0"/>
    <cellStyle name="20% - 강조색1 27 3" xfId="0"/>
    <cellStyle name="20% - 강조색1 27 4" xfId="0"/>
    <cellStyle name="20% - 강조색1 27 5" xfId="0"/>
    <cellStyle name="20% - 강조색1 27 6" xfId="0"/>
    <cellStyle name="20% - 강조색1 27 7" xfId="0"/>
    <cellStyle name="20% - 강조색1 27 8" xfId="0"/>
    <cellStyle name="20% - 강조색1 27 9" xfId="0"/>
    <cellStyle name="20% - 강조색1 28 2" xfId="0"/>
    <cellStyle name="20% - 강조색1 28 3" xfId="0"/>
    <cellStyle name="20% - 강조색1 28 4" xfId="0"/>
    <cellStyle name="20% - 강조색1 28 5" xfId="0"/>
    <cellStyle name="20% - 강조색1 28 6" xfId="0"/>
    <cellStyle name="20% - 강조색1 28 7" xfId="0"/>
    <cellStyle name="20% - 강조색1 28 8" xfId="0"/>
    <cellStyle name="20% - 강조색1 28 9" xfId="0"/>
    <cellStyle name="20% - 강조색1 29 2" xfId="0"/>
    <cellStyle name="20% - 강조색1 29 3" xfId="0"/>
    <cellStyle name="20% - 강조색1 29 4" xfId="0"/>
    <cellStyle name="20% - 강조색1 29 5" xfId="0"/>
    <cellStyle name="20% - 강조색1 29 6" xfId="0"/>
    <cellStyle name="20% - 강조색1 29 7" xfId="0"/>
    <cellStyle name="20% - 강조색1 29 8" xfId="0"/>
    <cellStyle name="20% - 강조색1 29 9" xfId="0"/>
    <cellStyle name="20% - 강조색1 2_3300현금및예치금" xfId="0"/>
    <cellStyle name="20% - 강조색1 3" xfId="0"/>
    <cellStyle name="20% - 강조색1 3 10" xfId="0"/>
    <cellStyle name="20% - 강조색1 3 10 2" xfId="0"/>
    <cellStyle name="20% - 강조색1 3 10 3" xfId="0"/>
    <cellStyle name="20% - 강조색1 3 11" xfId="0"/>
    <cellStyle name="20% - 강조색1 3 11 2" xfId="0"/>
    <cellStyle name="20% - 강조색1 3 11 3" xfId="0"/>
    <cellStyle name="20% - 강조색1 3 12" xfId="0"/>
    <cellStyle name="20% - 강조색1 3 12 2" xfId="0"/>
    <cellStyle name="20% - 강조색1 3 12 3" xfId="0"/>
    <cellStyle name="20% - 강조색1 3 13" xfId="0"/>
    <cellStyle name="20% - 강조색1 3 14" xfId="0"/>
    <cellStyle name="20% - 강조색1 3 15" xfId="0"/>
    <cellStyle name="20% - 강조색1 3 16" xfId="0"/>
    <cellStyle name="20% - 강조색1 3 17" xfId="0"/>
    <cellStyle name="20% - 강조색1 3 18" xfId="0"/>
    <cellStyle name="20% - 강조색1 3 19" xfId="0"/>
    <cellStyle name="20% - 강조색1 3 19 2" xfId="0"/>
    <cellStyle name="20% - 강조색1 3 2" xfId="0"/>
    <cellStyle name="20% - 강조색1 3 2 2" xfId="0"/>
    <cellStyle name="20% - 강조색1 3 2 3" xfId="0"/>
    <cellStyle name="20% - 강조색1 3 20" xfId="0"/>
    <cellStyle name="20% - 강조색1 3 21" xfId="0"/>
    <cellStyle name="20% - 강조색1 3 22" xfId="0"/>
    <cellStyle name="20% - 강조색1 3 23" xfId="0"/>
    <cellStyle name="20% - 강조색1 3 3" xfId="0"/>
    <cellStyle name="20% - 강조색1 3 3 2" xfId="0"/>
    <cellStyle name="20% - 강조색1 3 3 3" xfId="0"/>
    <cellStyle name="20% - 강조색1 3 4" xfId="0"/>
    <cellStyle name="20% - 강조색1 3 4 2" xfId="0"/>
    <cellStyle name="20% - 강조색1 3 4 3" xfId="0"/>
    <cellStyle name="20% - 강조색1 3 5" xfId="0"/>
    <cellStyle name="20% - 강조색1 3 5 2" xfId="0"/>
    <cellStyle name="20% - 강조색1 3 5 3" xfId="0"/>
    <cellStyle name="20% - 강조색1 3 6" xfId="0"/>
    <cellStyle name="20% - 강조색1 3 6 2" xfId="0"/>
    <cellStyle name="20% - 강조색1 3 6 3" xfId="0"/>
    <cellStyle name="20% - 강조색1 3 7" xfId="0"/>
    <cellStyle name="20% - 강조색1 3 7 2" xfId="0"/>
    <cellStyle name="20% - 강조색1 3 7 3" xfId="0"/>
    <cellStyle name="20% - 강조색1 3 8" xfId="0"/>
    <cellStyle name="20% - 강조색1 3 8 2" xfId="0"/>
    <cellStyle name="20% - 강조색1 3 8 3" xfId="0"/>
    <cellStyle name="20% - 강조색1 3 9" xfId="0"/>
    <cellStyle name="20% - 강조색1 3 9 2" xfId="0"/>
    <cellStyle name="20% - 강조색1 3 9 3" xfId="0"/>
    <cellStyle name="20% - 강조색1 30 2" xfId="0"/>
    <cellStyle name="20% - 강조색1 30 3" xfId="0"/>
    <cellStyle name="20% - 강조색1 30 4" xfId="0"/>
    <cellStyle name="20% - 강조색1 30 5" xfId="0"/>
    <cellStyle name="20% - 강조색1 30 6" xfId="0"/>
    <cellStyle name="20% - 강조색1 30 7" xfId="0"/>
    <cellStyle name="20% - 강조색1 30 8" xfId="0"/>
    <cellStyle name="20% - 강조색1 30 9" xfId="0"/>
    <cellStyle name="20% - 강조색1 31 2" xfId="0"/>
    <cellStyle name="20% - 강조색1 31 3" xfId="0"/>
    <cellStyle name="20% - 강조색1 31 4" xfId="0"/>
    <cellStyle name="20% - 강조색1 31 5" xfId="0"/>
    <cellStyle name="20% - 강조색1 31 6" xfId="0"/>
    <cellStyle name="20% - 강조색1 31 7" xfId="0"/>
    <cellStyle name="20% - 강조색1 31 8" xfId="0"/>
    <cellStyle name="20% - 강조색1 31 9" xfId="0"/>
    <cellStyle name="20% - 강조색1 32 2" xfId="0"/>
    <cellStyle name="20% - 강조색1 32 3" xfId="0"/>
    <cellStyle name="20% - 강조색1 32 4" xfId="0"/>
    <cellStyle name="20% - 강조색1 32 5" xfId="0"/>
    <cellStyle name="20% - 강조색1 32 6" xfId="0"/>
    <cellStyle name="20% - 강조색1 32 7" xfId="0"/>
    <cellStyle name="20% - 강조색1 32 8" xfId="0"/>
    <cellStyle name="20% - 강조색1 32 9" xfId="0"/>
    <cellStyle name="20% - 강조색1 33 2" xfId="0"/>
    <cellStyle name="20% - 강조색1 33 3" xfId="0"/>
    <cellStyle name="20% - 강조색1 33 4" xfId="0"/>
    <cellStyle name="20% - 강조색1 33 5" xfId="0"/>
    <cellStyle name="20% - 강조색1 33 6" xfId="0"/>
    <cellStyle name="20% - 강조색1 33 7" xfId="0"/>
    <cellStyle name="20% - 강조색1 33 8" xfId="0"/>
    <cellStyle name="20% - 강조색1 33 9" xfId="0"/>
    <cellStyle name="20% - 강조색1 34 2" xfId="0"/>
    <cellStyle name="20% - 강조색1 34 3" xfId="0"/>
    <cellStyle name="20% - 강조색1 34 4" xfId="0"/>
    <cellStyle name="20% - 강조색1 34 5" xfId="0"/>
    <cellStyle name="20% - 강조색1 34 6" xfId="0"/>
    <cellStyle name="20% - 강조색1 34 7" xfId="0"/>
    <cellStyle name="20% - 강조색1 34 8" xfId="0"/>
    <cellStyle name="20% - 강조색1 34 9" xfId="0"/>
    <cellStyle name="20% - 강조색1 35 2" xfId="0"/>
    <cellStyle name="20% - 강조색1 35 3" xfId="0"/>
    <cellStyle name="20% - 강조색1 35 4" xfId="0"/>
    <cellStyle name="20% - 강조색1 35 5" xfId="0"/>
    <cellStyle name="20% - 강조색1 35 6" xfId="0"/>
    <cellStyle name="20% - 강조색1 35 7" xfId="0"/>
    <cellStyle name="20% - 강조색1 35 8" xfId="0"/>
    <cellStyle name="20% - 강조색1 35 9" xfId="0"/>
    <cellStyle name="20% - 강조색1 3_운용자산별 손익분석" xfId="0"/>
    <cellStyle name="20% - 강조색1 4" xfId="0"/>
    <cellStyle name="20% - 강조색1 4 10" xfId="0"/>
    <cellStyle name="20% - 강조색1 4 11" xfId="0"/>
    <cellStyle name="20% - 강조색1 4 12" xfId="0"/>
    <cellStyle name="20% - 강조색1 4 13" xfId="0"/>
    <cellStyle name="20% - 강조색1 4 14" xfId="0"/>
    <cellStyle name="20% - 강조색1 4 15" xfId="0"/>
    <cellStyle name="20% - 강조색1 4 16" xfId="0"/>
    <cellStyle name="20% - 강조색1 4 17" xfId="0"/>
    <cellStyle name="20% - 강조색1 4 18" xfId="0"/>
    <cellStyle name="20% - 강조색1 4 19" xfId="0"/>
    <cellStyle name="20% - 강조색1 4 2" xfId="0"/>
    <cellStyle name="20% - 강조색1 4 20" xfId="0"/>
    <cellStyle name="20% - 강조색1 4 21" xfId="0"/>
    <cellStyle name="20% - 강조색1 4 22" xfId="0"/>
    <cellStyle name="20% - 강조색1 4 23" xfId="0"/>
    <cellStyle name="20% - 강조색1 4 24" xfId="0"/>
    <cellStyle name="20% - 강조색1 4 3" xfId="0"/>
    <cellStyle name="20% - 강조색1 4 4" xfId="0"/>
    <cellStyle name="20% - 강조색1 4 5" xfId="0"/>
    <cellStyle name="20% - 강조색1 4 6" xfId="0"/>
    <cellStyle name="20% - 강조색1 4 7" xfId="0"/>
    <cellStyle name="20% - 강조색1 4 8" xfId="0"/>
    <cellStyle name="20% - 강조색1 4 9" xfId="0"/>
    <cellStyle name="20% - 강조색1 4_운용자산별 손익분석" xfId="0"/>
    <cellStyle name="20% - 강조색1 5" xfId="0"/>
    <cellStyle name="20% - 강조색1 5 10" xfId="0"/>
    <cellStyle name="20% - 강조색1 5 11" xfId="0"/>
    <cellStyle name="20% - 강조색1 5 12" xfId="0"/>
    <cellStyle name="20% - 강조색1 5 13" xfId="0"/>
    <cellStyle name="20% - 강조색1 5 14" xfId="0"/>
    <cellStyle name="20% - 강조색1 5 15" xfId="0"/>
    <cellStyle name="20% - 강조색1 5 16" xfId="0"/>
    <cellStyle name="20% - 강조색1 5 17" xfId="0"/>
    <cellStyle name="20% - 강조색1 5 18" xfId="0"/>
    <cellStyle name="20% - 강조색1 5 19" xfId="0"/>
    <cellStyle name="20% - 강조색1 5 2" xfId="0"/>
    <cellStyle name="20% - 강조색1 5 20" xfId="0"/>
    <cellStyle name="20% - 강조색1 5 21" xfId="0"/>
    <cellStyle name="20% - 강조색1 5 22" xfId="0"/>
    <cellStyle name="20% - 강조색1 5 23" xfId="0"/>
    <cellStyle name="20% - 강조색1 5 24" xfId="0"/>
    <cellStyle name="20% - 강조색1 5 25" xfId="0"/>
    <cellStyle name="20% - 강조색1 5 26" xfId="0"/>
    <cellStyle name="20% - 강조색1 5 27" xfId="0"/>
    <cellStyle name="20% - 강조색1 5 28" xfId="0"/>
    <cellStyle name="20% - 강조색1 5 29" xfId="0"/>
    <cellStyle name="20% - 강조색1 5 3" xfId="0"/>
    <cellStyle name="20% - 강조색1 5 30" xfId="0"/>
    <cellStyle name="20% - 강조색1 5 31" xfId="0"/>
    <cellStyle name="20% - 강조색1 5 32" xfId="0"/>
    <cellStyle name="20% - 강조색1 5 33" xfId="0"/>
    <cellStyle name="20% - 강조색1 5 34" xfId="0"/>
    <cellStyle name="20% - 강조색1 5 4" xfId="0"/>
    <cellStyle name="20% - 강조색1 5 5" xfId="0"/>
    <cellStyle name="20% - 강조색1 5 6" xfId="0"/>
    <cellStyle name="20% - 강조색1 5 7" xfId="0"/>
    <cellStyle name="20% - 강조색1 5 8" xfId="0"/>
    <cellStyle name="20% - 강조색1 5 9" xfId="0"/>
    <cellStyle name="20% - 강조색1 6" xfId="0"/>
    <cellStyle name="20% - 강조색1 6 10" xfId="0"/>
    <cellStyle name="20% - 강조색1 6 11" xfId="0"/>
    <cellStyle name="20% - 강조색1 6 12" xfId="0"/>
    <cellStyle name="20% - 강조색1 6 13" xfId="0"/>
    <cellStyle name="20% - 강조색1 6 14" xfId="0"/>
    <cellStyle name="20% - 강조색1 6 15" xfId="0"/>
    <cellStyle name="20% - 강조색1 6 16" xfId="0"/>
    <cellStyle name="20% - 강조색1 6 17" xfId="0"/>
    <cellStyle name="20% - 강조색1 6 18" xfId="0"/>
    <cellStyle name="20% - 강조색1 6 19" xfId="0"/>
    <cellStyle name="20% - 강조색1 6 2" xfId="0"/>
    <cellStyle name="20% - 강조색1 6 20" xfId="0"/>
    <cellStyle name="20% - 강조색1 6 21" xfId="0"/>
    <cellStyle name="20% - 강조색1 6 22" xfId="0"/>
    <cellStyle name="20% - 강조색1 6 23" xfId="0"/>
    <cellStyle name="20% - 강조색1 6 24" xfId="0"/>
    <cellStyle name="20% - 강조색1 6 25" xfId="0"/>
    <cellStyle name="20% - 강조색1 6 26" xfId="0"/>
    <cellStyle name="20% - 강조색1 6 27" xfId="0"/>
    <cellStyle name="20% - 강조색1 6 28" xfId="0"/>
    <cellStyle name="20% - 강조색1 6 29" xfId="0"/>
    <cellStyle name="20% - 강조색1 6 3" xfId="0"/>
    <cellStyle name="20% - 강조색1 6 30" xfId="0"/>
    <cellStyle name="20% - 강조색1 6 4" xfId="0"/>
    <cellStyle name="20% - 강조색1 6 5" xfId="0"/>
    <cellStyle name="20% - 강조색1 6 6" xfId="0"/>
    <cellStyle name="20% - 강조색1 6 7" xfId="0"/>
    <cellStyle name="20% - 강조색1 6 8" xfId="0"/>
    <cellStyle name="20% - 강조색1 6 9" xfId="0"/>
    <cellStyle name="20% - 강조색1 7" xfId="0"/>
    <cellStyle name="20% - 강조색1 7 10" xfId="0"/>
    <cellStyle name="20% - 강조색1 7 11" xfId="0"/>
    <cellStyle name="20% - 강조색1 7 12" xfId="0"/>
    <cellStyle name="20% - 강조색1 7 13" xfId="0"/>
    <cellStyle name="20% - 강조색1 7 14" xfId="0"/>
    <cellStyle name="20% - 강조색1 7 15" xfId="0"/>
    <cellStyle name="20% - 강조색1 7 16" xfId="0"/>
    <cellStyle name="20% - 강조색1 7 17" xfId="0"/>
    <cellStyle name="20% - 강조색1 7 18" xfId="0"/>
    <cellStyle name="20% - 강조색1 7 19" xfId="0"/>
    <cellStyle name="20% - 강조색1 7 2" xfId="0"/>
    <cellStyle name="20% - 강조색1 7 2 2" xfId="0"/>
    <cellStyle name="20% - 강조색1 7 2 3" xfId="0"/>
    <cellStyle name="20% - 강조색1 7 20" xfId="0"/>
    <cellStyle name="20% - 강조색1 7 21" xfId="0"/>
    <cellStyle name="20% - 강조색1 7 22" xfId="0"/>
    <cellStyle name="20% - 강조색1 7 23" xfId="0"/>
    <cellStyle name="20% - 강조색1 7 24" xfId="0"/>
    <cellStyle name="20% - 강조색1 7 3" xfId="0"/>
    <cellStyle name="20% - 강조색1 7 3 2" xfId="0"/>
    <cellStyle name="20% - 강조색1 7 3 3" xfId="0"/>
    <cellStyle name="20% - 강조색1 7 4" xfId="0"/>
    <cellStyle name="20% - 강조색1 7 4 2" xfId="0"/>
    <cellStyle name="20% - 강조색1 7 4 3" xfId="0"/>
    <cellStyle name="20% - 강조색1 7 5" xfId="0"/>
    <cellStyle name="20% - 강조색1 7 5 2" xfId="0"/>
    <cellStyle name="20% - 강조색1 7 5 3" xfId="0"/>
    <cellStyle name="20% - 강조색1 7 6" xfId="0"/>
    <cellStyle name="20% - 강조색1 7 6 2" xfId="0"/>
    <cellStyle name="20% - 강조색1 7 6 3" xfId="0"/>
    <cellStyle name="20% - 강조색1 7 7" xfId="0"/>
    <cellStyle name="20% - 강조색1 7 8" xfId="0"/>
    <cellStyle name="20% - 강조색1 7 9" xfId="0"/>
    <cellStyle name="20% - 강조색1 8" xfId="0"/>
    <cellStyle name="20% - 강조색1 8 10" xfId="0"/>
    <cellStyle name="20% - 강조색1 8 11" xfId="0"/>
    <cellStyle name="20% - 강조색1 8 12" xfId="0"/>
    <cellStyle name="20% - 강조색1 8 13" xfId="0"/>
    <cellStyle name="20% - 강조색1 8 14" xfId="0"/>
    <cellStyle name="20% - 강조색1 8 15" xfId="0"/>
    <cellStyle name="20% - 강조색1 8 16" xfId="0"/>
    <cellStyle name="20% - 강조색1 8 17" xfId="0"/>
    <cellStyle name="20% - 강조색1 8 18" xfId="0"/>
    <cellStyle name="20% - 강조색1 8 19" xfId="0"/>
    <cellStyle name="20% - 강조색1 8 2" xfId="0"/>
    <cellStyle name="20% - 강조색1 8 2 2" xfId="0"/>
    <cellStyle name="20% - 강조색1 8 2 3" xfId="0"/>
    <cellStyle name="20% - 강조색1 8 20" xfId="0"/>
    <cellStyle name="20% - 강조색1 8 21" xfId="0"/>
    <cellStyle name="20% - 강조색1 8 22" xfId="0"/>
    <cellStyle name="20% - 강조색1 8 23" xfId="0"/>
    <cellStyle name="20% - 강조색1 8 24" xfId="0"/>
    <cellStyle name="20% - 강조색1 8 3" xfId="0"/>
    <cellStyle name="20% - 강조색1 8 3 2" xfId="0"/>
    <cellStyle name="20% - 강조색1 8 3 3" xfId="0"/>
    <cellStyle name="20% - 강조색1 8 4" xfId="0"/>
    <cellStyle name="20% - 강조색1 8 4 2" xfId="0"/>
    <cellStyle name="20% - 강조색1 8 4 3" xfId="0"/>
    <cellStyle name="20% - 강조색1 8 5" xfId="0"/>
    <cellStyle name="20% - 강조색1 8 5 2" xfId="0"/>
    <cellStyle name="20% - 강조색1 8 5 3" xfId="0"/>
    <cellStyle name="20% - 강조색1 8 6" xfId="0"/>
    <cellStyle name="20% - 강조색1 8 6 2" xfId="0"/>
    <cellStyle name="20% - 강조색1 8 6 3" xfId="0"/>
    <cellStyle name="20% - 강조색1 8 7" xfId="0"/>
    <cellStyle name="20% - 강조색1 8 8" xfId="0"/>
    <cellStyle name="20% - 강조색1 8 9" xfId="0"/>
    <cellStyle name="20% - 강조색1 9" xfId="0"/>
    <cellStyle name="20% - 강조색1 9 10" xfId="0"/>
    <cellStyle name="20% - 강조색1 9 11" xfId="0"/>
    <cellStyle name="20% - 강조색1 9 12" xfId="0"/>
    <cellStyle name="20% - 강조색1 9 13" xfId="0"/>
    <cellStyle name="20% - 강조색1 9 14" xfId="0"/>
    <cellStyle name="20% - 강조색1 9 15" xfId="0"/>
    <cellStyle name="20% - 강조색1 9 16" xfId="0"/>
    <cellStyle name="20% - 강조색1 9 17" xfId="0"/>
    <cellStyle name="20% - 강조색1 9 18" xfId="0"/>
    <cellStyle name="20% - 강조색1 9 19" xfId="0"/>
    <cellStyle name="20% - 강조색1 9 2" xfId="0"/>
    <cellStyle name="20% - 강조색1 9 2 2" xfId="0"/>
    <cellStyle name="20% - 강조색1 9 2 3" xfId="0"/>
    <cellStyle name="20% - 강조색1 9 20" xfId="0"/>
    <cellStyle name="20% - 강조색1 9 21" xfId="0"/>
    <cellStyle name="20% - 강조색1 9 22" xfId="0"/>
    <cellStyle name="20% - 강조색1 9 23" xfId="0"/>
    <cellStyle name="20% - 강조색1 9 24" xfId="0"/>
    <cellStyle name="20% - 강조색1 9 3" xfId="0"/>
    <cellStyle name="20% - 강조색1 9 3 2" xfId="0"/>
    <cellStyle name="20% - 강조색1 9 3 3" xfId="0"/>
    <cellStyle name="20% - 강조색1 9 4" xfId="0"/>
    <cellStyle name="20% - 강조색1 9 4 2" xfId="0"/>
    <cellStyle name="20% - 강조색1 9 4 3" xfId="0"/>
    <cellStyle name="20% - 강조색1 9 5" xfId="0"/>
    <cellStyle name="20% - 강조색1 9 5 2" xfId="0"/>
    <cellStyle name="20% - 강조색1 9 5 3" xfId="0"/>
    <cellStyle name="20% - 강조색1 9 6" xfId="0"/>
    <cellStyle name="20% - 강조색1 9 6 2" xfId="0"/>
    <cellStyle name="20% - 강조색1 9 6 3" xfId="0"/>
    <cellStyle name="20% - 강조색1 9 7" xfId="0"/>
    <cellStyle name="20% - 강조색1 9 8" xfId="0"/>
    <cellStyle name="20% - 강조색1 9 9" xfId="0"/>
    <cellStyle name="20% - 강조색2 10" xfId="0"/>
    <cellStyle name="20% - 강조색2 10 10" xfId="0"/>
    <cellStyle name="20% - 강조색2 10 11" xfId="0"/>
    <cellStyle name="20% - 강조색2 10 12" xfId="0"/>
    <cellStyle name="20% - 강조색2 10 13" xfId="0"/>
    <cellStyle name="20% - 강조색2 10 14" xfId="0"/>
    <cellStyle name="20% - 강조색2 10 15" xfId="0"/>
    <cellStyle name="20% - 강조색2 10 16" xfId="0"/>
    <cellStyle name="20% - 강조색2 10 17" xfId="0"/>
    <cellStyle name="20% - 강조색2 10 18" xfId="0"/>
    <cellStyle name="20% - 강조색2 10 19" xfId="0"/>
    <cellStyle name="20% - 강조색2 10 2" xfId="0"/>
    <cellStyle name="20% - 강조색2 10 2 2" xfId="0"/>
    <cellStyle name="20% - 강조색2 10 2 3" xfId="0"/>
    <cellStyle name="20% - 강조색2 10 20" xfId="0"/>
    <cellStyle name="20% - 강조색2 10 21" xfId="0"/>
    <cellStyle name="20% - 강조색2 10 22" xfId="0"/>
    <cellStyle name="20% - 강조색2 10 23" xfId="0"/>
    <cellStyle name="20% - 강조색2 10 24" xfId="0"/>
    <cellStyle name="20% - 강조색2 10 3" xfId="0"/>
    <cellStyle name="20% - 강조색2 10 3 2" xfId="0"/>
    <cellStyle name="20% - 강조색2 10 3 3" xfId="0"/>
    <cellStyle name="20% - 강조색2 10 4" xfId="0"/>
    <cellStyle name="20% - 강조색2 10 4 2" xfId="0"/>
    <cellStyle name="20% - 강조색2 10 4 3" xfId="0"/>
    <cellStyle name="20% - 강조색2 10 5" xfId="0"/>
    <cellStyle name="20% - 강조색2 10 5 2" xfId="0"/>
    <cellStyle name="20% - 강조색2 10 5 3" xfId="0"/>
    <cellStyle name="20% - 강조색2 10 6" xfId="0"/>
    <cellStyle name="20% - 강조색2 10 6 2" xfId="0"/>
    <cellStyle name="20% - 강조색2 10 6 3" xfId="0"/>
    <cellStyle name="20% - 강조색2 10 7" xfId="0"/>
    <cellStyle name="20% - 강조색2 10 8" xfId="0"/>
    <cellStyle name="20% - 강조색2 10 9" xfId="0"/>
    <cellStyle name="20% - 강조색2 11" xfId="0"/>
    <cellStyle name="20% - 강조색2 11 10" xfId="0"/>
    <cellStyle name="20% - 강조색2 11 2" xfId="0"/>
    <cellStyle name="20% - 강조색2 11 2 2" xfId="0"/>
    <cellStyle name="20% - 강조색2 11 2 3" xfId="0"/>
    <cellStyle name="20% - 강조색2 11 3" xfId="0"/>
    <cellStyle name="20% - 강조색2 11 3 2" xfId="0"/>
    <cellStyle name="20% - 강조색2 11 3 3" xfId="0"/>
    <cellStyle name="20% - 강조색2 11 4" xfId="0"/>
    <cellStyle name="20% - 강조색2 11 4 2" xfId="0"/>
    <cellStyle name="20% - 강조색2 11 4 3" xfId="0"/>
    <cellStyle name="20% - 강조색2 11 5" xfId="0"/>
    <cellStyle name="20% - 강조색2 11 5 2" xfId="0"/>
    <cellStyle name="20% - 강조색2 11 5 3" xfId="0"/>
    <cellStyle name="20% - 강조색2 11 6" xfId="0"/>
    <cellStyle name="20% - 강조색2 11 6 2" xfId="0"/>
    <cellStyle name="20% - 강조색2 11 6 3" xfId="0"/>
    <cellStyle name="20% - 강조색2 11 7" xfId="0"/>
    <cellStyle name="20% - 강조색2 11 8" xfId="0"/>
    <cellStyle name="20% - 강조색2 11 9" xfId="0"/>
    <cellStyle name="20% - 강조색2 12" xfId="0"/>
    <cellStyle name="20% - 강조색2 12 2" xfId="0"/>
    <cellStyle name="20% - 강조색2 12 3" xfId="0"/>
    <cellStyle name="20% - 강조색2 12 4" xfId="0"/>
    <cellStyle name="20% - 강조색2 12 5" xfId="0"/>
    <cellStyle name="20% - 강조색2 12 6" xfId="0"/>
    <cellStyle name="20% - 강조색2 12 7" xfId="0"/>
    <cellStyle name="20% - 강조색2 12 8" xfId="0"/>
    <cellStyle name="20% - 강조색2 12 9" xfId="0"/>
    <cellStyle name="20% - 강조색2 13" xfId="0"/>
    <cellStyle name="20% - 강조색2 13 2" xfId="0"/>
    <cellStyle name="20% - 강조색2 13 3" xfId="0"/>
    <cellStyle name="20% - 강조색2 13 4" xfId="0"/>
    <cellStyle name="20% - 강조색2 13 5" xfId="0"/>
    <cellStyle name="20% - 강조색2 13 6" xfId="0"/>
    <cellStyle name="20% - 강조색2 13 7" xfId="0"/>
    <cellStyle name="20% - 강조색2 13 8" xfId="0"/>
    <cellStyle name="20% - 강조색2 13 9" xfId="0"/>
    <cellStyle name="20% - 강조색2 14" xfId="0"/>
    <cellStyle name="20% - 강조색2 14 2" xfId="0"/>
    <cellStyle name="20% - 강조색2 14 3" xfId="0"/>
    <cellStyle name="20% - 강조색2 14 4" xfId="0"/>
    <cellStyle name="20% - 강조색2 14 5" xfId="0"/>
    <cellStyle name="20% - 강조색2 14 6" xfId="0"/>
    <cellStyle name="20% - 강조색2 14 7" xfId="0"/>
    <cellStyle name="20% - 강조색2 14 8" xfId="0"/>
    <cellStyle name="20% - 강조색2 14 9" xfId="0"/>
    <cellStyle name="20% - 강조색2 15" xfId="0"/>
    <cellStyle name="20% - 강조색2 15 2" xfId="0"/>
    <cellStyle name="20% - 강조색2 15 3" xfId="0"/>
    <cellStyle name="20% - 강조색2 15 4" xfId="0"/>
    <cellStyle name="20% - 강조색2 15 5" xfId="0"/>
    <cellStyle name="20% - 강조색2 15 6" xfId="0"/>
    <cellStyle name="20% - 강조색2 15 7" xfId="0"/>
    <cellStyle name="20% - 강조색2 15 8" xfId="0"/>
    <cellStyle name="20% - 강조색2 15 9" xfId="0"/>
    <cellStyle name="20% - 강조색2 16" xfId="0"/>
    <cellStyle name="20% - 강조색2 16 2" xfId="0"/>
    <cellStyle name="20% - 강조색2 16 3" xfId="0"/>
    <cellStyle name="20% - 강조색2 16 4" xfId="0"/>
    <cellStyle name="20% - 강조색2 16 5" xfId="0"/>
    <cellStyle name="20% - 강조색2 16 6" xfId="0"/>
    <cellStyle name="20% - 강조색2 16 7" xfId="0"/>
    <cellStyle name="20% - 강조색2 16 8" xfId="0"/>
    <cellStyle name="20% - 강조색2 16 9" xfId="0"/>
    <cellStyle name="20% - 강조색2 17" xfId="0"/>
    <cellStyle name="20% - 강조색2 17 2" xfId="0"/>
    <cellStyle name="20% - 강조색2 17 3" xfId="0"/>
    <cellStyle name="20% - 강조색2 17 4" xfId="0"/>
    <cellStyle name="20% - 강조색2 17 5" xfId="0"/>
    <cellStyle name="20% - 강조색2 17 6" xfId="0"/>
    <cellStyle name="20% - 강조색2 17 7" xfId="0"/>
    <cellStyle name="20% - 강조색2 17 8" xfId="0"/>
    <cellStyle name="20% - 강조색2 17 9" xfId="0"/>
    <cellStyle name="20% - 강조색2 18" xfId="0"/>
    <cellStyle name="20% - 강조색2 18 2" xfId="0"/>
    <cellStyle name="20% - 강조색2 18 3" xfId="0"/>
    <cellStyle name="20% - 강조색2 18 4" xfId="0"/>
    <cellStyle name="20% - 강조색2 18 5" xfId="0"/>
    <cellStyle name="20% - 강조색2 18 6" xfId="0"/>
    <cellStyle name="20% - 강조색2 18 7" xfId="0"/>
    <cellStyle name="20% - 강조색2 18 8" xfId="0"/>
    <cellStyle name="20% - 강조색2 18 9" xfId="0"/>
    <cellStyle name="20% - 강조색2 19" xfId="0"/>
    <cellStyle name="20% - 강조색2 19 2" xfId="0"/>
    <cellStyle name="20% - 강조색2 19 3" xfId="0"/>
    <cellStyle name="20% - 강조색2 19 4" xfId="0"/>
    <cellStyle name="20% - 강조색2 19 5" xfId="0"/>
    <cellStyle name="20% - 강조색2 19 6" xfId="0"/>
    <cellStyle name="20% - 강조색2 19 7" xfId="0"/>
    <cellStyle name="20% - 강조색2 19 8" xfId="0"/>
    <cellStyle name="20% - 강조색2 19 9" xfId="0"/>
    <cellStyle name="20% - 강조색2 2" xfId="0"/>
    <cellStyle name="20% - 강조색2 2 10" xfId="0"/>
    <cellStyle name="20% - 강조색2 2 10 2" xfId="0"/>
    <cellStyle name="20% - 강조색2 2 11" xfId="0"/>
    <cellStyle name="20% - 강조색2 2 11 2" xfId="0"/>
    <cellStyle name="20% - 강조색2 2 12" xfId="0"/>
    <cellStyle name="20% - 강조색2 2 12 2" xfId="0"/>
    <cellStyle name="20% - 강조색2 2 13" xfId="0"/>
    <cellStyle name="20% - 강조색2 2 14" xfId="0"/>
    <cellStyle name="20% - 강조색2 2 15" xfId="0"/>
    <cellStyle name="20% - 강조색2 2 16" xfId="0"/>
    <cellStyle name="20% - 강조색2 2 17" xfId="0"/>
    <cellStyle name="20% - 강조색2 2 18" xfId="0"/>
    <cellStyle name="20% - 강조색2 2 19" xfId="0"/>
    <cellStyle name="20% - 강조색2 2 2" xfId="0"/>
    <cellStyle name="20% - 강조색2 2 2 10" xfId="0"/>
    <cellStyle name="20% - 강조색2 2 2 11" xfId="0"/>
    <cellStyle name="20% - 강조색2 2 2 12" xfId="0"/>
    <cellStyle name="20% - 강조색2 2 2 13" xfId="0"/>
    <cellStyle name="20% - 강조색2 2 2 14" xfId="0"/>
    <cellStyle name="20% - 강조색2 2 2 15" xfId="0"/>
    <cellStyle name="20% - 강조색2 2 2 16" xfId="0"/>
    <cellStyle name="20% - 강조색2 2 2 17" xfId="0"/>
    <cellStyle name="20% - 강조색2 2 2 18" xfId="0"/>
    <cellStyle name="20% - 강조색2 2 2 19" xfId="0"/>
    <cellStyle name="20% - 강조색2 2 2 2" xfId="0"/>
    <cellStyle name="20% - 강조색2 2 2 2 2" xfId="0"/>
    <cellStyle name="20% - 강조색2 2 2 2 2 2" xfId="0"/>
    <cellStyle name="20% - 강조색2 2 2 2 2 3" xfId="0"/>
    <cellStyle name="20% - 강조색2 2 2 2 2 4" xfId="0"/>
    <cellStyle name="20% - 강조색2 2 2 2 2 5" xfId="0"/>
    <cellStyle name="20% - 강조색2 2 2 2 2 6" xfId="0"/>
    <cellStyle name="20% - 강조색2 2 2 2 2 7" xfId="0"/>
    <cellStyle name="20% - 강조색2 2 2 2 2 8" xfId="0"/>
    <cellStyle name="20% - 강조색2 2 2 2 2 9" xfId="0"/>
    <cellStyle name="20% - 강조색2 2 2 2 3" xfId="0"/>
    <cellStyle name="20% - 강조색2 2 2 2 4" xfId="0"/>
    <cellStyle name="20% - 강조색2 2 2 2 5" xfId="0"/>
    <cellStyle name="20% - 강조색2 2 2 2 6" xfId="0"/>
    <cellStyle name="20% - 강조색2 2 2 2 7" xfId="0"/>
    <cellStyle name="20% - 강조색2 2 2 2 8" xfId="0"/>
    <cellStyle name="20% - 강조색2 2 2 2 9" xfId="0"/>
    <cellStyle name="20% - 강조색2 2 2 20" xfId="0"/>
    <cellStyle name="20% - 강조색2 2 2 21" xfId="0"/>
    <cellStyle name="20% - 강조색2 2 2 22" xfId="0"/>
    <cellStyle name="20% - 강조색2 2 2 23" xfId="0"/>
    <cellStyle name="20% - 강조색2 2 2 3" xfId="0"/>
    <cellStyle name="20% - 강조색2 2 2 4" xfId="0"/>
    <cellStyle name="20% - 강조색2 2 2 5" xfId="0"/>
    <cellStyle name="20% - 강조색2 2 2 6" xfId="0"/>
    <cellStyle name="20% - 강조색2 2 2 7" xfId="0"/>
    <cellStyle name="20% - 강조색2 2 2 8" xfId="0"/>
    <cellStyle name="20% - 강조색2 2 2 9" xfId="0"/>
    <cellStyle name="20% - 강조색2 2 20" xfId="0"/>
    <cellStyle name="20% - 강조색2 2 21" xfId="0"/>
    <cellStyle name="20% - 강조색2 2 22" xfId="0"/>
    <cellStyle name="20% - 강조색2 2 23" xfId="0"/>
    <cellStyle name="20% - 강조색2 2 3" xfId="0"/>
    <cellStyle name="20% - 강조색2 2 3 10" xfId="0"/>
    <cellStyle name="20% - 강조색2 2 3 2" xfId="0"/>
    <cellStyle name="20% - 강조색2 2 3 3" xfId="0"/>
    <cellStyle name="20% - 강조색2 2 3 4" xfId="0"/>
    <cellStyle name="20% - 강조색2 2 3 5" xfId="0"/>
    <cellStyle name="20% - 강조색2 2 3 6" xfId="0"/>
    <cellStyle name="20% - 강조색2 2 3 7" xfId="0"/>
    <cellStyle name="20% - 강조색2 2 3 8" xfId="0"/>
    <cellStyle name="20% - 강조색2 2 3 9" xfId="0"/>
    <cellStyle name="20% - 강조색2 2 4" xfId="0"/>
    <cellStyle name="20% - 강조색2 2 4 10" xfId="0"/>
    <cellStyle name="20% - 강조색2 2 4 2" xfId="0"/>
    <cellStyle name="20% - 강조색2 2 4 3" xfId="0"/>
    <cellStyle name="20% - 강조색2 2 4 4" xfId="0"/>
    <cellStyle name="20% - 강조색2 2 4 5" xfId="0"/>
    <cellStyle name="20% - 강조색2 2 4 6" xfId="0"/>
    <cellStyle name="20% - 강조색2 2 4 7" xfId="0"/>
    <cellStyle name="20% - 강조색2 2 4 8" xfId="0"/>
    <cellStyle name="20% - 강조색2 2 4 9" xfId="0"/>
    <cellStyle name="20% - 강조색2 2 5" xfId="0"/>
    <cellStyle name="20% - 강조색2 2 5 10" xfId="0"/>
    <cellStyle name="20% - 강조색2 2 5 2" xfId="0"/>
    <cellStyle name="20% - 강조색2 2 5 3" xfId="0"/>
    <cellStyle name="20% - 강조색2 2 5 4" xfId="0"/>
    <cellStyle name="20% - 강조색2 2 5 5" xfId="0"/>
    <cellStyle name="20% - 강조색2 2 5 6" xfId="0"/>
    <cellStyle name="20% - 강조색2 2 5 7" xfId="0"/>
    <cellStyle name="20% - 강조색2 2 5 8" xfId="0"/>
    <cellStyle name="20% - 강조색2 2 5 9" xfId="0"/>
    <cellStyle name="20% - 강조색2 2 6" xfId="0"/>
    <cellStyle name="20% - 강조색2 2 6 10" xfId="0"/>
    <cellStyle name="20% - 강조색2 2 6 2" xfId="0"/>
    <cellStyle name="20% - 강조색2 2 6 3" xfId="0"/>
    <cellStyle name="20% - 강조색2 2 6 4" xfId="0"/>
    <cellStyle name="20% - 강조색2 2 6 5" xfId="0"/>
    <cellStyle name="20% - 강조색2 2 6 6" xfId="0"/>
    <cellStyle name="20% - 강조색2 2 6 7" xfId="0"/>
    <cellStyle name="20% - 강조색2 2 6 8" xfId="0"/>
    <cellStyle name="20% - 강조색2 2 6 9" xfId="0"/>
    <cellStyle name="20% - 강조색2 2 7" xfId="0"/>
    <cellStyle name="20% - 강조색2 2 7 10" xfId="0"/>
    <cellStyle name="20% - 강조색2 2 7 2" xfId="0"/>
    <cellStyle name="20% - 강조색2 2 7 3" xfId="0"/>
    <cellStyle name="20% - 강조색2 2 7 4" xfId="0"/>
    <cellStyle name="20% - 강조색2 2 7 5" xfId="0"/>
    <cellStyle name="20% - 강조색2 2 7 6" xfId="0"/>
    <cellStyle name="20% - 강조색2 2 7 7" xfId="0"/>
    <cellStyle name="20% - 강조색2 2 7 8" xfId="0"/>
    <cellStyle name="20% - 강조색2 2 7 9" xfId="0"/>
    <cellStyle name="20% - 강조색2 2 8" xfId="0"/>
    <cellStyle name="20% - 강조색2 2 8 2" xfId="0"/>
    <cellStyle name="20% - 강조색2 2 9" xfId="0"/>
    <cellStyle name="20% - 강조색2 2 9 2" xfId="0"/>
    <cellStyle name="20% - 강조색2 20" xfId="0"/>
    <cellStyle name="20% - 강조색2 20 2" xfId="0"/>
    <cellStyle name="20% - 강조색2 20 3" xfId="0"/>
    <cellStyle name="20% - 강조색2 20 4" xfId="0"/>
    <cellStyle name="20% - 강조색2 20 5" xfId="0"/>
    <cellStyle name="20% - 강조색2 20 6" xfId="0"/>
    <cellStyle name="20% - 강조색2 20 7" xfId="0"/>
    <cellStyle name="20% - 강조색2 20 8" xfId="0"/>
    <cellStyle name="20% - 강조색2 20 9" xfId="0"/>
    <cellStyle name="20% - 강조색2 21" xfId="0"/>
    <cellStyle name="20% - 강조색2 21 2" xfId="0"/>
    <cellStyle name="20% - 강조색2 21 3" xfId="0"/>
    <cellStyle name="20% - 강조색2 21 4" xfId="0"/>
    <cellStyle name="20% - 강조색2 21 5" xfId="0"/>
    <cellStyle name="20% - 강조색2 21 6" xfId="0"/>
    <cellStyle name="20% - 강조색2 21 7" xfId="0"/>
    <cellStyle name="20% - 강조색2 21 8" xfId="0"/>
    <cellStyle name="20% - 강조색2 21 9" xfId="0"/>
    <cellStyle name="20% - 강조색2 22" xfId="0"/>
    <cellStyle name="20% - 강조색2 22 2" xfId="0"/>
    <cellStyle name="20% - 강조색2 22 3" xfId="0"/>
    <cellStyle name="20% - 강조색2 22 4" xfId="0"/>
    <cellStyle name="20% - 강조색2 22 5" xfId="0"/>
    <cellStyle name="20% - 강조색2 22 6" xfId="0"/>
    <cellStyle name="20% - 강조색2 22 7" xfId="0"/>
    <cellStyle name="20% - 강조색2 22 8" xfId="0"/>
    <cellStyle name="20% - 강조색2 22 9" xfId="0"/>
    <cellStyle name="20% - 강조색2 23" xfId="0"/>
    <cellStyle name="20% - 강조색2 23 2" xfId="0"/>
    <cellStyle name="20% - 강조색2 23 3" xfId="0"/>
    <cellStyle name="20% - 강조색2 23 4" xfId="0"/>
    <cellStyle name="20% - 강조색2 23 5" xfId="0"/>
    <cellStyle name="20% - 강조색2 23 6" xfId="0"/>
    <cellStyle name="20% - 강조색2 23 7" xfId="0"/>
    <cellStyle name="20% - 강조색2 23 8" xfId="0"/>
    <cellStyle name="20% - 강조색2 23 9" xfId="0"/>
    <cellStyle name="20% - 강조색2 24" xfId="0"/>
    <cellStyle name="20% - 강조색2 24 2" xfId="0"/>
    <cellStyle name="20% - 강조색2 24 3" xfId="0"/>
    <cellStyle name="20% - 강조색2 24 4" xfId="0"/>
    <cellStyle name="20% - 강조색2 24 5" xfId="0"/>
    <cellStyle name="20% - 강조색2 24 6" xfId="0"/>
    <cellStyle name="20% - 강조색2 24 7" xfId="0"/>
    <cellStyle name="20% - 강조색2 24 8" xfId="0"/>
    <cellStyle name="20% - 강조색2 24 9" xfId="0"/>
    <cellStyle name="20% - 강조색2 25" xfId="0"/>
    <cellStyle name="20% - 강조색2 25 2" xfId="0"/>
    <cellStyle name="20% - 강조색2 25 3" xfId="0"/>
    <cellStyle name="20% - 강조색2 25 4" xfId="0"/>
    <cellStyle name="20% - 강조색2 25 5" xfId="0"/>
    <cellStyle name="20% - 강조색2 25 6" xfId="0"/>
    <cellStyle name="20% - 강조색2 25 7" xfId="0"/>
    <cellStyle name="20% - 강조색2 25 8" xfId="0"/>
    <cellStyle name="20% - 강조색2 25 9" xfId="0"/>
    <cellStyle name="20% - 강조색2 26" xfId="0"/>
    <cellStyle name="20% - 강조색2 26 2" xfId="0"/>
    <cellStyle name="20% - 강조색2 26 3" xfId="0"/>
    <cellStyle name="20% - 강조색2 26 4" xfId="0"/>
    <cellStyle name="20% - 강조색2 26 5" xfId="0"/>
    <cellStyle name="20% - 강조색2 26 6" xfId="0"/>
    <cellStyle name="20% - 강조색2 26 7" xfId="0"/>
    <cellStyle name="20% - 강조색2 26 8" xfId="0"/>
    <cellStyle name="20% - 강조색2 26 9" xfId="0"/>
    <cellStyle name="20% - 강조색2 27" xfId="0"/>
    <cellStyle name="20% - 강조색2 27 2" xfId="0"/>
    <cellStyle name="20% - 강조색2 27 3" xfId="0"/>
    <cellStyle name="20% - 강조색2 27 4" xfId="0"/>
    <cellStyle name="20% - 강조색2 27 5" xfId="0"/>
    <cellStyle name="20% - 강조색2 27 6" xfId="0"/>
    <cellStyle name="20% - 강조색2 27 7" xfId="0"/>
    <cellStyle name="20% - 강조색2 27 8" xfId="0"/>
    <cellStyle name="20% - 강조색2 27 9" xfId="0"/>
    <cellStyle name="20% - 강조색2 28 2" xfId="0"/>
    <cellStyle name="20% - 강조색2 28 3" xfId="0"/>
    <cellStyle name="20% - 강조색2 28 4" xfId="0"/>
    <cellStyle name="20% - 강조색2 28 5" xfId="0"/>
    <cellStyle name="20% - 강조색2 28 6" xfId="0"/>
    <cellStyle name="20% - 강조색2 28 7" xfId="0"/>
    <cellStyle name="20% - 강조색2 28 8" xfId="0"/>
    <cellStyle name="20% - 강조색2 28 9" xfId="0"/>
    <cellStyle name="20% - 강조색2 29 2" xfId="0"/>
    <cellStyle name="20% - 강조색2 29 3" xfId="0"/>
    <cellStyle name="20% - 강조색2 29 4" xfId="0"/>
    <cellStyle name="20% - 강조색2 29 5" xfId="0"/>
    <cellStyle name="20% - 강조색2 29 6" xfId="0"/>
    <cellStyle name="20% - 강조색2 29 7" xfId="0"/>
    <cellStyle name="20% - 강조색2 29 8" xfId="0"/>
    <cellStyle name="20% - 강조색2 29 9" xfId="0"/>
    <cellStyle name="20% - 강조색2 2_3300현금및예치금" xfId="0"/>
    <cellStyle name="20% - 강조색2 3" xfId="0"/>
    <cellStyle name="20% - 강조색2 3 10" xfId="0"/>
    <cellStyle name="20% - 강조색2 3 10 2" xfId="0"/>
    <cellStyle name="20% - 강조색2 3 10 3" xfId="0"/>
    <cellStyle name="20% - 강조색2 3 11" xfId="0"/>
    <cellStyle name="20% - 강조색2 3 11 2" xfId="0"/>
    <cellStyle name="20% - 강조색2 3 11 3" xfId="0"/>
    <cellStyle name="20% - 강조색2 3 12" xfId="0"/>
    <cellStyle name="20% - 강조색2 3 12 2" xfId="0"/>
    <cellStyle name="20% - 강조색2 3 12 3" xfId="0"/>
    <cellStyle name="20% - 강조색2 3 13" xfId="0"/>
    <cellStyle name="20% - 강조색2 3 14" xfId="0"/>
    <cellStyle name="20% - 강조색2 3 15" xfId="0"/>
    <cellStyle name="20% - 강조색2 3 16" xfId="0"/>
    <cellStyle name="20% - 강조색2 3 17" xfId="0"/>
    <cellStyle name="20% - 강조색2 3 18" xfId="0"/>
    <cellStyle name="20% - 강조색2 3 19" xfId="0"/>
    <cellStyle name="20% - 강조색2 3 19 2" xfId="0"/>
    <cellStyle name="20% - 강조색2 3 2" xfId="0"/>
    <cellStyle name="20% - 강조색2 3 2 2" xfId="0"/>
    <cellStyle name="20% - 강조색2 3 2 3" xfId="0"/>
    <cellStyle name="20% - 강조색2 3 20" xfId="0"/>
    <cellStyle name="20% - 강조색2 3 21" xfId="0"/>
    <cellStyle name="20% - 강조색2 3 22" xfId="0"/>
    <cellStyle name="20% - 강조색2 3 23" xfId="0"/>
    <cellStyle name="20% - 강조색2 3 3" xfId="0"/>
    <cellStyle name="20% - 강조색2 3 3 2" xfId="0"/>
    <cellStyle name="20% - 강조색2 3 3 3" xfId="0"/>
    <cellStyle name="20% - 강조색2 3 4" xfId="0"/>
    <cellStyle name="20% - 강조색2 3 4 2" xfId="0"/>
    <cellStyle name="20% - 강조색2 3 4 3" xfId="0"/>
    <cellStyle name="20% - 강조색2 3 5" xfId="0"/>
    <cellStyle name="20% - 강조색2 3 5 2" xfId="0"/>
    <cellStyle name="20% - 강조색2 3 5 3" xfId="0"/>
    <cellStyle name="20% - 강조색2 3 6" xfId="0"/>
    <cellStyle name="20% - 강조색2 3 6 2" xfId="0"/>
    <cellStyle name="20% - 강조색2 3 6 3" xfId="0"/>
    <cellStyle name="20% - 강조색2 3 7" xfId="0"/>
    <cellStyle name="20% - 강조색2 3 7 2" xfId="0"/>
    <cellStyle name="20% - 강조색2 3 7 3" xfId="0"/>
    <cellStyle name="20% - 강조색2 3 8" xfId="0"/>
    <cellStyle name="20% - 강조색2 3 8 2" xfId="0"/>
    <cellStyle name="20% - 강조색2 3 8 3" xfId="0"/>
    <cellStyle name="20% - 강조색2 3 9" xfId="0"/>
    <cellStyle name="20% - 강조색2 3 9 2" xfId="0"/>
    <cellStyle name="20% - 강조색2 3 9 3" xfId="0"/>
    <cellStyle name="20% - 강조색2 30 2" xfId="0"/>
    <cellStyle name="20% - 강조색2 30 3" xfId="0"/>
    <cellStyle name="20% - 강조색2 30 4" xfId="0"/>
    <cellStyle name="20% - 강조색2 30 5" xfId="0"/>
    <cellStyle name="20% - 강조색2 30 6" xfId="0"/>
    <cellStyle name="20% - 강조색2 30 7" xfId="0"/>
    <cellStyle name="20% - 강조색2 30 8" xfId="0"/>
    <cellStyle name="20% - 강조색2 30 9" xfId="0"/>
    <cellStyle name="20% - 강조색2 31 2" xfId="0"/>
    <cellStyle name="20% - 강조색2 31 3" xfId="0"/>
    <cellStyle name="20% - 강조색2 31 4" xfId="0"/>
    <cellStyle name="20% - 강조색2 31 5" xfId="0"/>
    <cellStyle name="20% - 강조색2 31 6" xfId="0"/>
    <cellStyle name="20% - 강조색2 31 7" xfId="0"/>
    <cellStyle name="20% - 강조색2 31 8" xfId="0"/>
    <cellStyle name="20% - 강조색2 31 9" xfId="0"/>
    <cellStyle name="20% - 강조색2 32 2" xfId="0"/>
    <cellStyle name="20% - 강조색2 32 3" xfId="0"/>
    <cellStyle name="20% - 강조색2 32 4" xfId="0"/>
    <cellStyle name="20% - 강조색2 32 5" xfId="0"/>
    <cellStyle name="20% - 강조색2 32 6" xfId="0"/>
    <cellStyle name="20% - 강조색2 32 7" xfId="0"/>
    <cellStyle name="20% - 강조색2 32 8" xfId="0"/>
    <cellStyle name="20% - 강조색2 32 9" xfId="0"/>
    <cellStyle name="20% - 강조색2 33 2" xfId="0"/>
    <cellStyle name="20% - 강조색2 33 3" xfId="0"/>
    <cellStyle name="20% - 강조색2 33 4" xfId="0"/>
    <cellStyle name="20% - 강조색2 33 5" xfId="0"/>
    <cellStyle name="20% - 강조색2 33 6" xfId="0"/>
    <cellStyle name="20% - 강조색2 33 7" xfId="0"/>
    <cellStyle name="20% - 강조색2 33 8" xfId="0"/>
    <cellStyle name="20% - 강조색2 33 9" xfId="0"/>
    <cellStyle name="20% - 강조색2 34 2" xfId="0"/>
    <cellStyle name="20% - 강조색2 34 3" xfId="0"/>
    <cellStyle name="20% - 강조색2 34 4" xfId="0"/>
    <cellStyle name="20% - 강조색2 34 5" xfId="0"/>
    <cellStyle name="20% - 강조색2 34 6" xfId="0"/>
    <cellStyle name="20% - 강조색2 34 7" xfId="0"/>
    <cellStyle name="20% - 강조색2 34 8" xfId="0"/>
    <cellStyle name="20% - 강조색2 34 9" xfId="0"/>
    <cellStyle name="20% - 강조색2 35 2" xfId="0"/>
    <cellStyle name="20% - 강조색2 35 3" xfId="0"/>
    <cellStyle name="20% - 강조색2 35 4" xfId="0"/>
    <cellStyle name="20% - 강조색2 35 5" xfId="0"/>
    <cellStyle name="20% - 강조색2 35 6" xfId="0"/>
    <cellStyle name="20% - 강조색2 35 7" xfId="0"/>
    <cellStyle name="20% - 강조색2 35 8" xfId="0"/>
    <cellStyle name="20% - 강조색2 35 9" xfId="0"/>
    <cellStyle name="20% - 강조색2 3_운용자산별 손익분석" xfId="0"/>
    <cellStyle name="20% - 강조색2 4" xfId="0"/>
    <cellStyle name="20% - 강조색2 4 10" xfId="0"/>
    <cellStyle name="20% - 강조색2 4 11" xfId="0"/>
    <cellStyle name="20% - 강조색2 4 12" xfId="0"/>
    <cellStyle name="20% - 강조색2 4 13" xfId="0"/>
    <cellStyle name="20% - 강조색2 4 14" xfId="0"/>
    <cellStyle name="20% - 강조색2 4 15" xfId="0"/>
    <cellStyle name="20% - 강조색2 4 16" xfId="0"/>
    <cellStyle name="20% - 강조색2 4 17" xfId="0"/>
    <cellStyle name="20% - 강조색2 4 18" xfId="0"/>
    <cellStyle name="20% - 강조색2 4 19" xfId="0"/>
    <cellStyle name="20% - 강조색2 4 2" xfId="0"/>
    <cellStyle name="20% - 강조색2 4 20" xfId="0"/>
    <cellStyle name="20% - 강조색2 4 21" xfId="0"/>
    <cellStyle name="20% - 강조색2 4 22" xfId="0"/>
    <cellStyle name="20% - 강조색2 4 23" xfId="0"/>
    <cellStyle name="20% - 강조색2 4 24" xfId="0"/>
    <cellStyle name="20% - 강조색2 4 3" xfId="0"/>
    <cellStyle name="20% - 강조색2 4 4" xfId="0"/>
    <cellStyle name="20% - 강조색2 4 5" xfId="0"/>
    <cellStyle name="20% - 강조색2 4 6" xfId="0"/>
    <cellStyle name="20% - 강조색2 4 7" xfId="0"/>
    <cellStyle name="20% - 강조색2 4 8" xfId="0"/>
    <cellStyle name="20% - 강조색2 4 9" xfId="0"/>
    <cellStyle name="20% - 강조색2 4_운용자산별 손익분석" xfId="0"/>
    <cellStyle name="20% - 강조색2 5" xfId="0"/>
    <cellStyle name="20% - 강조색2 5 10" xfId="0"/>
    <cellStyle name="20% - 강조색2 5 11" xfId="0"/>
    <cellStyle name="20% - 강조색2 5 12" xfId="0"/>
    <cellStyle name="20% - 강조색2 5 13" xfId="0"/>
    <cellStyle name="20% - 강조색2 5 14" xfId="0"/>
    <cellStyle name="20% - 강조색2 5 15" xfId="0"/>
    <cellStyle name="20% - 강조색2 5 16" xfId="0"/>
    <cellStyle name="20% - 강조색2 5 17" xfId="0"/>
    <cellStyle name="20% - 강조색2 5 18" xfId="0"/>
    <cellStyle name="20% - 강조색2 5 19" xfId="0"/>
    <cellStyle name="20% - 강조색2 5 2" xfId="0"/>
    <cellStyle name="20% - 강조색2 5 20" xfId="0"/>
    <cellStyle name="20% - 강조색2 5 21" xfId="0"/>
    <cellStyle name="20% - 강조색2 5 22" xfId="0"/>
    <cellStyle name="20% - 강조색2 5 23" xfId="0"/>
    <cellStyle name="20% - 강조색2 5 24" xfId="0"/>
    <cellStyle name="20% - 강조색2 5 25" xfId="0"/>
    <cellStyle name="20% - 강조색2 5 26" xfId="0"/>
    <cellStyle name="20% - 강조색2 5 27" xfId="0"/>
    <cellStyle name="20% - 강조색2 5 28" xfId="0"/>
    <cellStyle name="20% - 강조색2 5 29" xfId="0"/>
    <cellStyle name="20% - 강조색2 5 3" xfId="0"/>
    <cellStyle name="20% - 강조색2 5 30" xfId="0"/>
    <cellStyle name="20% - 강조색2 5 31" xfId="0"/>
    <cellStyle name="20% - 강조색2 5 32" xfId="0"/>
    <cellStyle name="20% - 강조색2 5 33" xfId="0"/>
    <cellStyle name="20% - 강조색2 5 34" xfId="0"/>
    <cellStyle name="20% - 강조색2 5 4" xfId="0"/>
    <cellStyle name="20% - 강조색2 5 5" xfId="0"/>
    <cellStyle name="20% - 강조색2 5 6" xfId="0"/>
    <cellStyle name="20% - 강조색2 5 7" xfId="0"/>
    <cellStyle name="20% - 강조색2 5 8" xfId="0"/>
    <cellStyle name="20% - 강조색2 5 9" xfId="0"/>
    <cellStyle name="20% - 강조색2 6" xfId="0"/>
    <cellStyle name="20% - 강조색2 6 10" xfId="0"/>
    <cellStyle name="20% - 강조색2 6 11" xfId="0"/>
    <cellStyle name="20% - 강조색2 6 12" xfId="0"/>
    <cellStyle name="20% - 강조색2 6 13" xfId="0"/>
    <cellStyle name="20% - 강조색2 6 14" xfId="0"/>
    <cellStyle name="20% - 강조색2 6 15" xfId="0"/>
    <cellStyle name="20% - 강조색2 6 16" xfId="0"/>
    <cellStyle name="20% - 강조색2 6 17" xfId="0"/>
    <cellStyle name="20% - 강조색2 6 18" xfId="0"/>
    <cellStyle name="20% - 강조색2 6 19" xfId="0"/>
    <cellStyle name="20% - 강조색2 6 2" xfId="0"/>
    <cellStyle name="20% - 강조색2 6 20" xfId="0"/>
    <cellStyle name="20% - 강조색2 6 21" xfId="0"/>
    <cellStyle name="20% - 강조색2 6 22" xfId="0"/>
    <cellStyle name="20% - 강조색2 6 23" xfId="0"/>
    <cellStyle name="20% - 강조색2 6 24" xfId="0"/>
    <cellStyle name="20% - 강조색2 6 25" xfId="0"/>
    <cellStyle name="20% - 강조색2 6 26" xfId="0"/>
    <cellStyle name="20% - 강조색2 6 27" xfId="0"/>
    <cellStyle name="20% - 강조색2 6 28" xfId="0"/>
    <cellStyle name="20% - 강조색2 6 29" xfId="0"/>
    <cellStyle name="20% - 강조색2 6 3" xfId="0"/>
    <cellStyle name="20% - 강조색2 6 30" xfId="0"/>
    <cellStyle name="20% - 강조색2 6 4" xfId="0"/>
    <cellStyle name="20% - 강조색2 6 5" xfId="0"/>
    <cellStyle name="20% - 강조색2 6 6" xfId="0"/>
    <cellStyle name="20% - 강조색2 6 7" xfId="0"/>
    <cellStyle name="20% - 강조색2 6 8" xfId="0"/>
    <cellStyle name="20% - 강조색2 6 9" xfId="0"/>
    <cellStyle name="20% - 강조색2 7" xfId="0"/>
    <cellStyle name="20% - 강조색2 7 10" xfId="0"/>
    <cellStyle name="20% - 강조색2 7 11" xfId="0"/>
    <cellStyle name="20% - 강조색2 7 12" xfId="0"/>
    <cellStyle name="20% - 강조색2 7 13" xfId="0"/>
    <cellStyle name="20% - 강조색2 7 14" xfId="0"/>
    <cellStyle name="20% - 강조색2 7 15" xfId="0"/>
    <cellStyle name="20% - 강조색2 7 16" xfId="0"/>
    <cellStyle name="20% - 강조색2 7 17" xfId="0"/>
    <cellStyle name="20% - 강조색2 7 18" xfId="0"/>
    <cellStyle name="20% - 강조색2 7 19" xfId="0"/>
    <cellStyle name="20% - 강조색2 7 2" xfId="0"/>
    <cellStyle name="20% - 강조색2 7 2 2" xfId="0"/>
    <cellStyle name="20% - 강조색2 7 2 3" xfId="0"/>
    <cellStyle name="20% - 강조색2 7 20" xfId="0"/>
    <cellStyle name="20% - 강조색2 7 21" xfId="0"/>
    <cellStyle name="20% - 강조색2 7 22" xfId="0"/>
    <cellStyle name="20% - 강조색2 7 23" xfId="0"/>
    <cellStyle name="20% - 강조색2 7 24" xfId="0"/>
    <cellStyle name="20% - 강조색2 7 3" xfId="0"/>
    <cellStyle name="20% - 강조색2 7 3 2" xfId="0"/>
    <cellStyle name="20% - 강조색2 7 3 3" xfId="0"/>
    <cellStyle name="20% - 강조색2 7 4" xfId="0"/>
    <cellStyle name="20% - 강조색2 7 4 2" xfId="0"/>
    <cellStyle name="20% - 강조색2 7 4 3" xfId="0"/>
    <cellStyle name="20% - 강조색2 7 5" xfId="0"/>
    <cellStyle name="20% - 강조색2 7 5 2" xfId="0"/>
    <cellStyle name="20% - 강조색2 7 5 3" xfId="0"/>
    <cellStyle name="20% - 강조색2 7 6" xfId="0"/>
    <cellStyle name="20% - 강조색2 7 6 2" xfId="0"/>
    <cellStyle name="20% - 강조색2 7 6 3" xfId="0"/>
    <cellStyle name="20% - 강조색2 7 7" xfId="0"/>
    <cellStyle name="20% - 강조색2 7 8" xfId="0"/>
    <cellStyle name="20% - 강조색2 7 9" xfId="0"/>
    <cellStyle name="20% - 강조색2 8" xfId="0"/>
    <cellStyle name="20% - 강조색2 8 10" xfId="0"/>
    <cellStyle name="20% - 강조색2 8 11" xfId="0"/>
    <cellStyle name="20% - 강조색2 8 12" xfId="0"/>
    <cellStyle name="20% - 강조색2 8 13" xfId="0"/>
    <cellStyle name="20% - 강조색2 8 14" xfId="0"/>
    <cellStyle name="20% - 강조색2 8 15" xfId="0"/>
    <cellStyle name="20% - 강조색2 8 16" xfId="0"/>
    <cellStyle name="20% - 강조색2 8 17" xfId="0"/>
    <cellStyle name="20% - 강조색2 8 18" xfId="0"/>
    <cellStyle name="20% - 강조색2 8 19" xfId="0"/>
    <cellStyle name="20% - 강조색2 8 2" xfId="0"/>
    <cellStyle name="20% - 강조색2 8 2 2" xfId="0"/>
    <cellStyle name="20% - 강조색2 8 2 3" xfId="0"/>
    <cellStyle name="20% - 강조색2 8 20" xfId="0"/>
    <cellStyle name="20% - 강조색2 8 21" xfId="0"/>
    <cellStyle name="20% - 강조색2 8 22" xfId="0"/>
    <cellStyle name="20% - 강조색2 8 23" xfId="0"/>
    <cellStyle name="20% - 강조색2 8 24" xfId="0"/>
    <cellStyle name="20% - 강조색2 8 3" xfId="0"/>
    <cellStyle name="20% - 강조색2 8 3 2" xfId="0"/>
    <cellStyle name="20% - 강조색2 8 3 3" xfId="0"/>
    <cellStyle name="20% - 강조색2 8 4" xfId="0"/>
    <cellStyle name="20% - 강조색2 8 4 2" xfId="0"/>
    <cellStyle name="20% - 강조색2 8 4 3" xfId="0"/>
    <cellStyle name="20% - 강조색2 8 5" xfId="0"/>
    <cellStyle name="20% - 강조색2 8 5 2" xfId="0"/>
    <cellStyle name="20% - 강조색2 8 5 3" xfId="0"/>
    <cellStyle name="20% - 강조색2 8 6" xfId="0"/>
    <cellStyle name="20% - 강조색2 8 6 2" xfId="0"/>
    <cellStyle name="20% - 강조색2 8 6 3" xfId="0"/>
    <cellStyle name="20% - 강조색2 8 7" xfId="0"/>
    <cellStyle name="20% - 강조색2 8 8" xfId="0"/>
    <cellStyle name="20% - 강조색2 8 9" xfId="0"/>
    <cellStyle name="20% - 강조색2 9" xfId="0"/>
    <cellStyle name="20% - 강조색2 9 10" xfId="0"/>
    <cellStyle name="20% - 강조색2 9 11" xfId="0"/>
    <cellStyle name="20% - 강조색2 9 12" xfId="0"/>
    <cellStyle name="20% - 강조색2 9 13" xfId="0"/>
    <cellStyle name="20% - 강조색2 9 14" xfId="0"/>
    <cellStyle name="20% - 강조색2 9 15" xfId="0"/>
    <cellStyle name="20% - 강조색2 9 16" xfId="0"/>
    <cellStyle name="20% - 강조색2 9 17" xfId="0"/>
    <cellStyle name="20% - 강조색2 9 18" xfId="0"/>
    <cellStyle name="20% - 강조색2 9 19" xfId="0"/>
    <cellStyle name="20% - 강조색2 9 2" xfId="0"/>
    <cellStyle name="20% - 강조색2 9 2 2" xfId="0"/>
    <cellStyle name="20% - 강조색2 9 2 3" xfId="0"/>
    <cellStyle name="20% - 강조색2 9 20" xfId="0"/>
    <cellStyle name="20% - 강조색2 9 21" xfId="0"/>
    <cellStyle name="20% - 강조색2 9 22" xfId="0"/>
    <cellStyle name="20% - 강조색2 9 23" xfId="0"/>
    <cellStyle name="20% - 강조색2 9 24" xfId="0"/>
    <cellStyle name="20% - 강조색2 9 3" xfId="0"/>
    <cellStyle name="20% - 강조색2 9 3 2" xfId="0"/>
    <cellStyle name="20% - 강조색2 9 3 3" xfId="0"/>
    <cellStyle name="20% - 강조색2 9 4" xfId="0"/>
    <cellStyle name="20% - 강조색2 9 4 2" xfId="0"/>
    <cellStyle name="20% - 강조색2 9 4 3" xfId="0"/>
    <cellStyle name="20% - 강조색2 9 5" xfId="0"/>
    <cellStyle name="20% - 강조색2 9 5 2" xfId="0"/>
    <cellStyle name="20% - 강조색2 9 5 3" xfId="0"/>
    <cellStyle name="20% - 강조색2 9 6" xfId="0"/>
    <cellStyle name="20% - 강조색2 9 6 2" xfId="0"/>
    <cellStyle name="20% - 강조색2 9 6 3" xfId="0"/>
    <cellStyle name="20% - 강조색2 9 7" xfId="0"/>
    <cellStyle name="20% - 강조색2 9 8" xfId="0"/>
    <cellStyle name="20% - 강조색2 9 9" xfId="0"/>
    <cellStyle name="20% - 강조색3 10" xfId="0"/>
    <cellStyle name="20% - 강조색3 10 10" xfId="0"/>
    <cellStyle name="20% - 강조색3 10 11" xfId="0"/>
    <cellStyle name="20% - 강조색3 10 12" xfId="0"/>
    <cellStyle name="20% - 강조색3 10 13" xfId="0"/>
    <cellStyle name="20% - 강조색3 10 14" xfId="0"/>
    <cellStyle name="20% - 강조색3 10 15" xfId="0"/>
    <cellStyle name="20% - 강조색3 10 16" xfId="0"/>
    <cellStyle name="20% - 강조색3 10 17" xfId="0"/>
    <cellStyle name="20% - 강조색3 10 18" xfId="0"/>
    <cellStyle name="20% - 강조색3 10 19" xfId="0"/>
    <cellStyle name="20% - 강조색3 10 2" xfId="0"/>
    <cellStyle name="20% - 강조색3 10 2 2" xfId="0"/>
    <cellStyle name="20% - 강조색3 10 2 3" xfId="0"/>
    <cellStyle name="20% - 강조색3 10 20" xfId="0"/>
    <cellStyle name="20% - 강조색3 10 21" xfId="0"/>
    <cellStyle name="20% - 강조색3 10 22" xfId="0"/>
    <cellStyle name="20% - 강조색3 10 23" xfId="0"/>
    <cellStyle name="20% - 강조색3 10 24" xfId="0"/>
    <cellStyle name="20% - 강조색3 10 3" xfId="0"/>
    <cellStyle name="20% - 강조색3 10 3 2" xfId="0"/>
    <cellStyle name="20% - 강조색3 10 3 3" xfId="0"/>
    <cellStyle name="20% - 강조색3 10 4" xfId="0"/>
    <cellStyle name="20% - 강조색3 10 4 2" xfId="0"/>
    <cellStyle name="20% - 강조색3 10 4 3" xfId="0"/>
    <cellStyle name="20% - 강조색3 10 5" xfId="0"/>
    <cellStyle name="20% - 강조색3 10 5 2" xfId="0"/>
    <cellStyle name="20% - 강조색3 10 5 3" xfId="0"/>
    <cellStyle name="20% - 강조색3 10 6" xfId="0"/>
    <cellStyle name="20% - 강조색3 10 6 2" xfId="0"/>
    <cellStyle name="20% - 강조색3 10 6 3" xfId="0"/>
    <cellStyle name="20% - 강조색3 10 7" xfId="0"/>
    <cellStyle name="20% - 강조색3 10 8" xfId="0"/>
    <cellStyle name="20% - 강조색3 10 9" xfId="0"/>
    <cellStyle name="20% - 강조색3 11" xfId="0"/>
    <cellStyle name="20% - 강조색3 11 10" xfId="0"/>
    <cellStyle name="20% - 강조색3 11 2" xfId="0"/>
    <cellStyle name="20% - 강조색3 11 2 2" xfId="0"/>
    <cellStyle name="20% - 강조색3 11 2 3" xfId="0"/>
    <cellStyle name="20% - 강조색3 11 3" xfId="0"/>
    <cellStyle name="20% - 강조색3 11 3 2" xfId="0"/>
    <cellStyle name="20% - 강조색3 11 3 3" xfId="0"/>
    <cellStyle name="20% - 강조색3 11 4" xfId="0"/>
    <cellStyle name="20% - 강조색3 11 4 2" xfId="0"/>
    <cellStyle name="20% - 강조색3 11 4 3" xfId="0"/>
    <cellStyle name="20% - 강조색3 11 5" xfId="0"/>
    <cellStyle name="20% - 강조색3 11 5 2" xfId="0"/>
    <cellStyle name="20% - 강조색3 11 5 3" xfId="0"/>
    <cellStyle name="20% - 강조색3 11 6" xfId="0"/>
    <cellStyle name="20% - 강조색3 11 6 2" xfId="0"/>
    <cellStyle name="20% - 강조색3 11 6 3" xfId="0"/>
    <cellStyle name="20% - 강조색3 11 7" xfId="0"/>
    <cellStyle name="20% - 강조색3 11 8" xfId="0"/>
    <cellStyle name="20% - 강조색3 11 9" xfId="0"/>
    <cellStyle name="20% - 강조색3 12" xfId="0"/>
    <cellStyle name="20% - 강조색3 12 2" xfId="0"/>
    <cellStyle name="20% - 강조색3 12 3" xfId="0"/>
    <cellStyle name="20% - 강조색3 12 4" xfId="0"/>
    <cellStyle name="20% - 강조색3 12 5" xfId="0"/>
    <cellStyle name="20% - 강조색3 12 6" xfId="0"/>
    <cellStyle name="20% - 강조색3 12 7" xfId="0"/>
    <cellStyle name="20% - 강조색3 12 8" xfId="0"/>
    <cellStyle name="20% - 강조색3 12 9" xfId="0"/>
    <cellStyle name="20% - 강조색3 13" xfId="0"/>
    <cellStyle name="20% - 강조색3 13 2" xfId="0"/>
    <cellStyle name="20% - 강조색3 13 3" xfId="0"/>
    <cellStyle name="20% - 강조색3 13 4" xfId="0"/>
    <cellStyle name="20% - 강조색3 13 5" xfId="0"/>
    <cellStyle name="20% - 강조색3 13 6" xfId="0"/>
    <cellStyle name="20% - 강조색3 13 7" xfId="0"/>
    <cellStyle name="20% - 강조색3 13 8" xfId="0"/>
    <cellStyle name="20% - 강조색3 13 9" xfId="0"/>
    <cellStyle name="20% - 강조색3 14" xfId="0"/>
    <cellStyle name="20% - 강조색3 14 2" xfId="0"/>
    <cellStyle name="20% - 강조색3 14 3" xfId="0"/>
    <cellStyle name="20% - 강조색3 14 4" xfId="0"/>
    <cellStyle name="20% - 강조색3 14 5" xfId="0"/>
    <cellStyle name="20% - 강조색3 14 6" xfId="0"/>
    <cellStyle name="20% - 강조색3 14 7" xfId="0"/>
    <cellStyle name="20% - 강조색3 14 8" xfId="0"/>
    <cellStyle name="20% - 강조색3 14 9" xfId="0"/>
    <cellStyle name="20% - 강조색3 15" xfId="0"/>
    <cellStyle name="20% - 강조색3 15 2" xfId="0"/>
    <cellStyle name="20% - 강조색3 15 3" xfId="0"/>
    <cellStyle name="20% - 강조색3 15 4" xfId="0"/>
    <cellStyle name="20% - 강조색3 15 5" xfId="0"/>
    <cellStyle name="20% - 강조색3 15 6" xfId="0"/>
    <cellStyle name="20% - 강조색3 15 7" xfId="0"/>
    <cellStyle name="20% - 강조색3 15 8" xfId="0"/>
    <cellStyle name="20% - 강조색3 15 9" xfId="0"/>
    <cellStyle name="20% - 강조색3 16" xfId="0"/>
    <cellStyle name="20% - 강조색3 16 2" xfId="0"/>
    <cellStyle name="20% - 강조색3 16 3" xfId="0"/>
    <cellStyle name="20% - 강조색3 16 4" xfId="0"/>
    <cellStyle name="20% - 강조색3 16 5" xfId="0"/>
    <cellStyle name="20% - 강조색3 16 6" xfId="0"/>
    <cellStyle name="20% - 강조색3 16 7" xfId="0"/>
    <cellStyle name="20% - 강조색3 16 8" xfId="0"/>
    <cellStyle name="20% - 강조색3 16 9" xfId="0"/>
    <cellStyle name="20% - 강조색3 17" xfId="0"/>
    <cellStyle name="20% - 강조색3 17 2" xfId="0"/>
    <cellStyle name="20% - 강조색3 17 3" xfId="0"/>
    <cellStyle name="20% - 강조색3 17 4" xfId="0"/>
    <cellStyle name="20% - 강조색3 17 5" xfId="0"/>
    <cellStyle name="20% - 강조색3 17 6" xfId="0"/>
    <cellStyle name="20% - 강조색3 17 7" xfId="0"/>
    <cellStyle name="20% - 강조색3 17 8" xfId="0"/>
    <cellStyle name="20% - 강조색3 17 9" xfId="0"/>
    <cellStyle name="20% - 강조색3 18" xfId="0"/>
    <cellStyle name="20% - 강조색3 18 2" xfId="0"/>
    <cellStyle name="20% - 강조색3 18 3" xfId="0"/>
    <cellStyle name="20% - 강조색3 18 4" xfId="0"/>
    <cellStyle name="20% - 강조색3 18 5" xfId="0"/>
    <cellStyle name="20% - 강조색3 18 6" xfId="0"/>
    <cellStyle name="20% - 강조색3 18 7" xfId="0"/>
    <cellStyle name="20% - 강조색3 18 8" xfId="0"/>
    <cellStyle name="20% - 강조색3 18 9" xfId="0"/>
    <cellStyle name="20% - 강조색3 19" xfId="0"/>
    <cellStyle name="20% - 강조색3 19 2" xfId="0"/>
    <cellStyle name="20% - 강조색3 19 3" xfId="0"/>
    <cellStyle name="20% - 강조색3 19 4" xfId="0"/>
    <cellStyle name="20% - 강조색3 19 5" xfId="0"/>
    <cellStyle name="20% - 강조색3 19 6" xfId="0"/>
    <cellStyle name="20% - 강조색3 19 7" xfId="0"/>
    <cellStyle name="20% - 강조색3 19 8" xfId="0"/>
    <cellStyle name="20% - 강조색3 19 9" xfId="0"/>
    <cellStyle name="20% - 강조색3 2" xfId="0"/>
    <cellStyle name="20% - 강조색3 2 10" xfId="0"/>
    <cellStyle name="20% - 강조색3 2 10 2" xfId="0"/>
    <cellStyle name="20% - 강조색3 2 11" xfId="0"/>
    <cellStyle name="20% - 강조색3 2 11 2" xfId="0"/>
    <cellStyle name="20% - 강조색3 2 12" xfId="0"/>
    <cellStyle name="20% - 강조색3 2 12 2" xfId="0"/>
    <cellStyle name="20% - 강조색3 2 13" xfId="0"/>
    <cellStyle name="20% - 강조색3 2 14" xfId="0"/>
    <cellStyle name="20% - 강조색3 2 15" xfId="0"/>
    <cellStyle name="20% - 강조색3 2 16" xfId="0"/>
    <cellStyle name="20% - 강조색3 2 17" xfId="0"/>
    <cellStyle name="20% - 강조색3 2 18" xfId="0"/>
    <cellStyle name="20% - 강조색3 2 19" xfId="0"/>
    <cellStyle name="20% - 강조색3 2 2" xfId="0"/>
    <cellStyle name="20% - 강조색3 2 2 10" xfId="0"/>
    <cellStyle name="20% - 강조색3 2 2 11" xfId="0"/>
    <cellStyle name="20% - 강조색3 2 2 12" xfId="0"/>
    <cellStyle name="20% - 강조색3 2 2 13" xfId="0"/>
    <cellStyle name="20% - 강조색3 2 2 14" xfId="0"/>
    <cellStyle name="20% - 강조색3 2 2 15" xfId="0"/>
    <cellStyle name="20% - 강조색3 2 2 16" xfId="0"/>
    <cellStyle name="20% - 강조색3 2 2 17" xfId="0"/>
    <cellStyle name="20% - 강조색3 2 2 18" xfId="0"/>
    <cellStyle name="20% - 강조색3 2 2 19" xfId="0"/>
    <cellStyle name="20% - 강조색3 2 2 2" xfId="0"/>
    <cellStyle name="20% - 강조색3 2 2 2 2" xfId="0"/>
    <cellStyle name="20% - 강조색3 2 2 2 2 2" xfId="0"/>
    <cellStyle name="20% - 강조색3 2 2 2 2 3" xfId="0"/>
    <cellStyle name="20% - 강조색3 2 2 2 2 4" xfId="0"/>
    <cellStyle name="20% - 강조색3 2 2 2 2 5" xfId="0"/>
    <cellStyle name="20% - 강조색3 2 2 2 2 6" xfId="0"/>
    <cellStyle name="20% - 강조색3 2 2 2 2 7" xfId="0"/>
    <cellStyle name="20% - 강조색3 2 2 2 2 8" xfId="0"/>
    <cellStyle name="20% - 강조색3 2 2 2 2 9" xfId="0"/>
    <cellStyle name="20% - 강조색3 2 2 2 3" xfId="0"/>
    <cellStyle name="20% - 강조색3 2 2 2 4" xfId="0"/>
    <cellStyle name="20% - 강조색3 2 2 2 5" xfId="0"/>
    <cellStyle name="20% - 강조색3 2 2 2 6" xfId="0"/>
    <cellStyle name="20% - 강조색3 2 2 2 7" xfId="0"/>
    <cellStyle name="20% - 강조색3 2 2 2 8" xfId="0"/>
    <cellStyle name="20% - 강조색3 2 2 2 9" xfId="0"/>
    <cellStyle name="20% - 강조색3 2 2 20" xfId="0"/>
    <cellStyle name="20% - 강조색3 2 2 21" xfId="0"/>
    <cellStyle name="20% - 강조색3 2 2 22" xfId="0"/>
    <cellStyle name="20% - 강조색3 2 2 23" xfId="0"/>
    <cellStyle name="20% - 강조색3 2 2 3" xfId="0"/>
    <cellStyle name="20% - 강조색3 2 2 4" xfId="0"/>
    <cellStyle name="20% - 강조색3 2 2 5" xfId="0"/>
    <cellStyle name="20% - 강조색3 2 2 6" xfId="0"/>
    <cellStyle name="20% - 강조색3 2 2 7" xfId="0"/>
    <cellStyle name="20% - 강조색3 2 2 8" xfId="0"/>
    <cellStyle name="20% - 강조색3 2 2 9" xfId="0"/>
    <cellStyle name="20% - 강조색3 2 20" xfId="0"/>
    <cellStyle name="20% - 강조색3 2 21" xfId="0"/>
    <cellStyle name="20% - 강조색3 2 22" xfId="0"/>
    <cellStyle name="20% - 강조색3 2 23" xfId="0"/>
    <cellStyle name="20% - 강조색3 2 3" xfId="0"/>
    <cellStyle name="20% - 강조색3 2 3 10" xfId="0"/>
    <cellStyle name="20% - 강조색3 2 3 2" xfId="0"/>
    <cellStyle name="20% - 강조색3 2 3 3" xfId="0"/>
    <cellStyle name="20% - 강조색3 2 3 4" xfId="0"/>
    <cellStyle name="20% - 강조색3 2 3 5" xfId="0"/>
    <cellStyle name="20% - 강조색3 2 3 6" xfId="0"/>
    <cellStyle name="20% - 강조색3 2 3 7" xfId="0"/>
    <cellStyle name="20% - 강조색3 2 3 8" xfId="0"/>
    <cellStyle name="20% - 강조색3 2 3 9" xfId="0"/>
    <cellStyle name="20% - 강조색3 2 4" xfId="0"/>
    <cellStyle name="20% - 강조색3 2 4 10" xfId="0"/>
    <cellStyle name="20% - 강조색3 2 4 2" xfId="0"/>
    <cellStyle name="20% - 강조색3 2 4 3" xfId="0"/>
    <cellStyle name="20% - 강조색3 2 4 4" xfId="0"/>
    <cellStyle name="20% - 강조색3 2 4 5" xfId="0"/>
    <cellStyle name="20% - 강조색3 2 4 6" xfId="0"/>
    <cellStyle name="20% - 강조색3 2 4 7" xfId="0"/>
    <cellStyle name="20% - 강조색3 2 4 8" xfId="0"/>
    <cellStyle name="20% - 강조색3 2 4 9" xfId="0"/>
    <cellStyle name="20% - 강조색3 2 5" xfId="0"/>
    <cellStyle name="20% - 강조색3 2 5 10" xfId="0"/>
    <cellStyle name="20% - 강조색3 2 5 2" xfId="0"/>
    <cellStyle name="20% - 강조색3 2 5 3" xfId="0"/>
    <cellStyle name="20% - 강조색3 2 5 4" xfId="0"/>
    <cellStyle name="20% - 강조색3 2 5 5" xfId="0"/>
    <cellStyle name="20% - 강조색3 2 5 6" xfId="0"/>
    <cellStyle name="20% - 강조색3 2 5 7" xfId="0"/>
    <cellStyle name="20% - 강조색3 2 5 8" xfId="0"/>
    <cellStyle name="20% - 강조색3 2 5 9" xfId="0"/>
    <cellStyle name="20% - 강조색3 2 6" xfId="0"/>
    <cellStyle name="20% - 강조색3 2 6 10" xfId="0"/>
    <cellStyle name="20% - 강조색3 2 6 2" xfId="0"/>
    <cellStyle name="20% - 강조색3 2 6 3" xfId="0"/>
    <cellStyle name="20% - 강조색3 2 6 4" xfId="0"/>
    <cellStyle name="20% - 강조색3 2 6 5" xfId="0"/>
    <cellStyle name="20% - 강조색3 2 6 6" xfId="0"/>
    <cellStyle name="20% - 강조색3 2 6 7" xfId="0"/>
    <cellStyle name="20% - 강조색3 2 6 8" xfId="0"/>
    <cellStyle name="20% - 강조색3 2 6 9" xfId="0"/>
    <cellStyle name="20% - 강조색3 2 7" xfId="0"/>
    <cellStyle name="20% - 강조색3 2 7 10" xfId="0"/>
    <cellStyle name="20% - 강조색3 2 7 2" xfId="0"/>
    <cellStyle name="20% - 강조색3 2 7 3" xfId="0"/>
    <cellStyle name="20% - 강조색3 2 7 4" xfId="0"/>
    <cellStyle name="20% - 강조색3 2 7 5" xfId="0"/>
    <cellStyle name="20% - 강조색3 2 7 6" xfId="0"/>
    <cellStyle name="20% - 강조색3 2 7 7" xfId="0"/>
    <cellStyle name="20% - 강조색3 2 7 8" xfId="0"/>
    <cellStyle name="20% - 강조색3 2 7 9" xfId="0"/>
    <cellStyle name="20% - 강조색3 2 8" xfId="0"/>
    <cellStyle name="20% - 강조색3 2 8 2" xfId="0"/>
    <cellStyle name="20% - 강조색3 2 9" xfId="0"/>
    <cellStyle name="20% - 강조색3 2 9 2" xfId="0"/>
    <cellStyle name="20% - 강조색3 20" xfId="0"/>
    <cellStyle name="20% - 강조색3 20 2" xfId="0"/>
    <cellStyle name="20% - 강조색3 20 3" xfId="0"/>
    <cellStyle name="20% - 강조색3 20 4" xfId="0"/>
    <cellStyle name="20% - 강조색3 20 5" xfId="0"/>
    <cellStyle name="20% - 강조색3 20 6" xfId="0"/>
    <cellStyle name="20% - 강조색3 20 7" xfId="0"/>
    <cellStyle name="20% - 강조색3 20 8" xfId="0"/>
    <cellStyle name="20% - 강조색3 20 9" xfId="0"/>
    <cellStyle name="20% - 강조색3 21" xfId="0"/>
    <cellStyle name="20% - 강조색3 21 2" xfId="0"/>
    <cellStyle name="20% - 강조색3 21 3" xfId="0"/>
    <cellStyle name="20% - 강조색3 21 4" xfId="0"/>
    <cellStyle name="20% - 강조색3 21 5" xfId="0"/>
    <cellStyle name="20% - 강조색3 21 6" xfId="0"/>
    <cellStyle name="20% - 강조색3 21 7" xfId="0"/>
    <cellStyle name="20% - 강조색3 21 8" xfId="0"/>
    <cellStyle name="20% - 강조색3 21 9" xfId="0"/>
    <cellStyle name="20% - 강조색3 22" xfId="0"/>
    <cellStyle name="20% - 강조색3 22 2" xfId="0"/>
    <cellStyle name="20% - 강조색3 22 3" xfId="0"/>
    <cellStyle name="20% - 강조색3 22 4" xfId="0"/>
    <cellStyle name="20% - 강조색3 22 5" xfId="0"/>
    <cellStyle name="20% - 강조색3 22 6" xfId="0"/>
    <cellStyle name="20% - 강조색3 22 7" xfId="0"/>
    <cellStyle name="20% - 강조색3 22 8" xfId="0"/>
    <cellStyle name="20% - 강조색3 22 9" xfId="0"/>
    <cellStyle name="20% - 강조색3 23" xfId="0"/>
    <cellStyle name="20% - 강조색3 23 2" xfId="0"/>
    <cellStyle name="20% - 강조색3 23 3" xfId="0"/>
    <cellStyle name="20% - 강조색3 23 4" xfId="0"/>
    <cellStyle name="20% - 강조색3 23 5" xfId="0"/>
    <cellStyle name="20% - 강조색3 23 6" xfId="0"/>
    <cellStyle name="20% - 강조색3 23 7" xfId="0"/>
    <cellStyle name="20% - 강조색3 23 8" xfId="0"/>
    <cellStyle name="20% - 강조색3 23 9" xfId="0"/>
    <cellStyle name="20% - 강조색3 24" xfId="0"/>
    <cellStyle name="20% - 강조색3 24 2" xfId="0"/>
    <cellStyle name="20% - 강조색3 24 3" xfId="0"/>
    <cellStyle name="20% - 강조색3 24 4" xfId="0"/>
    <cellStyle name="20% - 강조색3 24 5" xfId="0"/>
    <cellStyle name="20% - 강조색3 24 6" xfId="0"/>
    <cellStyle name="20% - 강조색3 24 7" xfId="0"/>
    <cellStyle name="20% - 강조색3 24 8" xfId="0"/>
    <cellStyle name="20% - 강조색3 24 9" xfId="0"/>
    <cellStyle name="20% - 강조색3 25" xfId="0"/>
    <cellStyle name="20% - 강조색3 25 2" xfId="0"/>
    <cellStyle name="20% - 강조색3 25 3" xfId="0"/>
    <cellStyle name="20% - 강조색3 25 4" xfId="0"/>
    <cellStyle name="20% - 강조색3 25 5" xfId="0"/>
    <cellStyle name="20% - 강조색3 25 6" xfId="0"/>
    <cellStyle name="20% - 강조색3 25 7" xfId="0"/>
    <cellStyle name="20% - 강조색3 25 8" xfId="0"/>
    <cellStyle name="20% - 강조색3 25 9" xfId="0"/>
    <cellStyle name="20% - 강조색3 26" xfId="0"/>
    <cellStyle name="20% - 강조색3 26 2" xfId="0"/>
    <cellStyle name="20% - 강조색3 26 3" xfId="0"/>
    <cellStyle name="20% - 강조색3 26 4" xfId="0"/>
    <cellStyle name="20% - 강조색3 26 5" xfId="0"/>
    <cellStyle name="20% - 강조색3 26 6" xfId="0"/>
    <cellStyle name="20% - 강조색3 26 7" xfId="0"/>
    <cellStyle name="20% - 강조색3 26 8" xfId="0"/>
    <cellStyle name="20% - 강조색3 26 9" xfId="0"/>
    <cellStyle name="20% - 강조색3 27" xfId="0"/>
    <cellStyle name="20% - 강조색3 27 2" xfId="0"/>
    <cellStyle name="20% - 강조색3 27 3" xfId="0"/>
    <cellStyle name="20% - 강조색3 27 4" xfId="0"/>
    <cellStyle name="20% - 강조색3 27 5" xfId="0"/>
    <cellStyle name="20% - 강조색3 27 6" xfId="0"/>
    <cellStyle name="20% - 강조색3 27 7" xfId="0"/>
    <cellStyle name="20% - 강조색3 27 8" xfId="0"/>
    <cellStyle name="20% - 강조색3 27 9" xfId="0"/>
    <cellStyle name="20% - 강조색3 28 2" xfId="0"/>
    <cellStyle name="20% - 강조색3 28 3" xfId="0"/>
    <cellStyle name="20% - 강조색3 28 4" xfId="0"/>
    <cellStyle name="20% - 강조색3 28 5" xfId="0"/>
    <cellStyle name="20% - 강조색3 28 6" xfId="0"/>
    <cellStyle name="20% - 강조색3 28 7" xfId="0"/>
    <cellStyle name="20% - 강조색3 28 8" xfId="0"/>
    <cellStyle name="20% - 강조색3 28 9" xfId="0"/>
    <cellStyle name="20% - 강조색3 29 2" xfId="0"/>
    <cellStyle name="20% - 강조색3 29 3" xfId="0"/>
    <cellStyle name="20% - 강조색3 29 4" xfId="0"/>
    <cellStyle name="20% - 강조색3 29 5" xfId="0"/>
    <cellStyle name="20% - 강조색3 29 6" xfId="0"/>
    <cellStyle name="20% - 강조색3 29 7" xfId="0"/>
    <cellStyle name="20% - 강조색3 29 8" xfId="0"/>
    <cellStyle name="20% - 강조색3 29 9" xfId="0"/>
    <cellStyle name="20% - 강조색3 2_3300현금및예치금" xfId="0"/>
    <cellStyle name="20% - 강조색3 3" xfId="0"/>
    <cellStyle name="20% - 강조색3 3 10" xfId="0"/>
    <cellStyle name="20% - 강조색3 3 10 2" xfId="0"/>
    <cellStyle name="20% - 강조색3 3 10 3" xfId="0"/>
    <cellStyle name="20% - 강조색3 3 11" xfId="0"/>
    <cellStyle name="20% - 강조색3 3 11 2" xfId="0"/>
    <cellStyle name="20% - 강조색3 3 11 3" xfId="0"/>
    <cellStyle name="20% - 강조색3 3 12" xfId="0"/>
    <cellStyle name="20% - 강조색3 3 12 2" xfId="0"/>
    <cellStyle name="20% - 강조색3 3 12 3" xfId="0"/>
    <cellStyle name="20% - 강조색3 3 13" xfId="0"/>
    <cellStyle name="20% - 강조색3 3 14" xfId="0"/>
    <cellStyle name="20% - 강조색3 3 15" xfId="0"/>
    <cellStyle name="20% - 강조색3 3 16" xfId="0"/>
    <cellStyle name="20% - 강조색3 3 17" xfId="0"/>
    <cellStyle name="20% - 강조색3 3 18" xfId="0"/>
    <cellStyle name="20% - 강조색3 3 19" xfId="0"/>
    <cellStyle name="20% - 강조색3 3 19 2" xfId="0"/>
    <cellStyle name="20% - 강조색3 3 2" xfId="0"/>
    <cellStyle name="20% - 강조색3 3 2 2" xfId="0"/>
    <cellStyle name="20% - 강조색3 3 2 3" xfId="0"/>
    <cellStyle name="20% - 강조색3 3 20" xfId="0"/>
    <cellStyle name="20% - 강조색3 3 21" xfId="0"/>
    <cellStyle name="20% - 강조색3 3 22" xfId="0"/>
    <cellStyle name="20% - 강조색3 3 23" xfId="0"/>
    <cellStyle name="20% - 강조색3 3 3" xfId="0"/>
    <cellStyle name="20% - 강조색3 3 3 2" xfId="0"/>
    <cellStyle name="20% - 강조색3 3 3 3" xfId="0"/>
    <cellStyle name="20% - 강조색3 3 4" xfId="0"/>
    <cellStyle name="20% - 강조색3 3 4 2" xfId="0"/>
    <cellStyle name="20% - 강조색3 3 4 3" xfId="0"/>
    <cellStyle name="20% - 강조색3 3 5" xfId="0"/>
    <cellStyle name="20% - 강조색3 3 5 2" xfId="0"/>
    <cellStyle name="20% - 강조색3 3 5 3" xfId="0"/>
    <cellStyle name="20% - 강조색3 3 6" xfId="0"/>
    <cellStyle name="20% - 강조색3 3 6 2" xfId="0"/>
    <cellStyle name="20% - 강조색3 3 6 3" xfId="0"/>
    <cellStyle name="20% - 강조색3 3 7" xfId="0"/>
    <cellStyle name="20% - 강조색3 3 7 2" xfId="0"/>
    <cellStyle name="20% - 강조색3 3 7 3" xfId="0"/>
    <cellStyle name="20% - 강조색3 3 8" xfId="0"/>
    <cellStyle name="20% - 강조색3 3 8 2" xfId="0"/>
    <cellStyle name="20% - 강조색3 3 8 3" xfId="0"/>
    <cellStyle name="20% - 강조색3 3 9" xfId="0"/>
    <cellStyle name="20% - 강조색3 3 9 2" xfId="0"/>
    <cellStyle name="20% - 강조색3 3 9 3" xfId="0"/>
    <cellStyle name="20% - 강조색3 30 2" xfId="0"/>
    <cellStyle name="20% - 강조색3 30 3" xfId="0"/>
    <cellStyle name="20% - 강조색3 30 4" xfId="0"/>
    <cellStyle name="20% - 강조색3 30 5" xfId="0"/>
    <cellStyle name="20% - 강조색3 30 6" xfId="0"/>
    <cellStyle name="20% - 강조색3 30 7" xfId="0"/>
    <cellStyle name="20% - 강조색3 30 8" xfId="0"/>
    <cellStyle name="20% - 강조색3 30 9" xfId="0"/>
    <cellStyle name="20% - 강조색3 31 2" xfId="0"/>
    <cellStyle name="20% - 강조색3 31 3" xfId="0"/>
    <cellStyle name="20% - 강조색3 31 4" xfId="0"/>
    <cellStyle name="20% - 강조색3 31 5" xfId="0"/>
    <cellStyle name="20% - 강조색3 31 6" xfId="0"/>
    <cellStyle name="20% - 강조색3 31 7" xfId="0"/>
    <cellStyle name="20% - 강조색3 31 8" xfId="0"/>
    <cellStyle name="20% - 강조색3 31 9" xfId="0"/>
    <cellStyle name="20% - 강조색3 32 2" xfId="0"/>
    <cellStyle name="20% - 강조색3 32 3" xfId="0"/>
    <cellStyle name="20% - 강조색3 32 4" xfId="0"/>
    <cellStyle name="20% - 강조색3 32 5" xfId="0"/>
    <cellStyle name="20% - 강조색3 32 6" xfId="0"/>
    <cellStyle name="20% - 강조색3 32 7" xfId="0"/>
    <cellStyle name="20% - 강조색3 32 8" xfId="0"/>
    <cellStyle name="20% - 강조색3 32 9" xfId="0"/>
    <cellStyle name="20% - 강조색3 33 2" xfId="0"/>
    <cellStyle name="20% - 강조색3 33 3" xfId="0"/>
    <cellStyle name="20% - 강조색3 33 4" xfId="0"/>
    <cellStyle name="20% - 강조색3 33 5" xfId="0"/>
    <cellStyle name="20% - 강조색3 33 6" xfId="0"/>
    <cellStyle name="20% - 강조색3 33 7" xfId="0"/>
    <cellStyle name="20% - 강조색3 33 8" xfId="0"/>
    <cellStyle name="20% - 강조색3 33 9" xfId="0"/>
    <cellStyle name="20% - 강조색3 34 2" xfId="0"/>
    <cellStyle name="20% - 강조색3 34 3" xfId="0"/>
    <cellStyle name="20% - 강조색3 34 4" xfId="0"/>
    <cellStyle name="20% - 강조색3 34 5" xfId="0"/>
    <cellStyle name="20% - 강조색3 34 6" xfId="0"/>
    <cellStyle name="20% - 강조색3 34 7" xfId="0"/>
    <cellStyle name="20% - 강조색3 34 8" xfId="0"/>
    <cellStyle name="20% - 강조색3 34 9" xfId="0"/>
    <cellStyle name="20% - 강조색3 35 2" xfId="0"/>
    <cellStyle name="20% - 강조색3 35 3" xfId="0"/>
    <cellStyle name="20% - 강조색3 35 4" xfId="0"/>
    <cellStyle name="20% - 강조색3 35 5" xfId="0"/>
    <cellStyle name="20% - 강조색3 35 6" xfId="0"/>
    <cellStyle name="20% - 강조색3 35 7" xfId="0"/>
    <cellStyle name="20% - 강조색3 35 8" xfId="0"/>
    <cellStyle name="20% - 강조색3 35 9" xfId="0"/>
    <cellStyle name="20% - 강조색3 3_운용자산별 손익분석" xfId="0"/>
    <cellStyle name="20% - 강조색3 4" xfId="0"/>
    <cellStyle name="20% - 강조색3 4 10" xfId="0"/>
    <cellStyle name="20% - 강조색3 4 11" xfId="0"/>
    <cellStyle name="20% - 강조색3 4 12" xfId="0"/>
    <cellStyle name="20% - 강조색3 4 13" xfId="0"/>
    <cellStyle name="20% - 강조색3 4 14" xfId="0"/>
    <cellStyle name="20% - 강조색3 4 15" xfId="0"/>
    <cellStyle name="20% - 강조색3 4 16" xfId="0"/>
    <cellStyle name="20% - 강조색3 4 17" xfId="0"/>
    <cellStyle name="20% - 강조색3 4 18" xfId="0"/>
    <cellStyle name="20% - 강조색3 4 19" xfId="0"/>
    <cellStyle name="20% - 강조색3 4 2" xfId="0"/>
    <cellStyle name="20% - 강조색3 4 20" xfId="0"/>
    <cellStyle name="20% - 강조색3 4 21" xfId="0"/>
    <cellStyle name="20% - 강조색3 4 22" xfId="0"/>
    <cellStyle name="20% - 강조색3 4 23" xfId="0"/>
    <cellStyle name="20% - 강조색3 4 24" xfId="0"/>
    <cellStyle name="20% - 강조색3 4 3" xfId="0"/>
    <cellStyle name="20% - 강조색3 4 4" xfId="0"/>
    <cellStyle name="20% - 강조색3 4 5" xfId="0"/>
    <cellStyle name="20% - 강조색3 4 6" xfId="0"/>
    <cellStyle name="20% - 강조색3 4 7" xfId="0"/>
    <cellStyle name="20% - 강조색3 4 8" xfId="0"/>
    <cellStyle name="20% - 강조색3 4 9" xfId="0"/>
    <cellStyle name="20% - 강조색3 4_운용자산별 손익분석" xfId="0"/>
    <cellStyle name="20% - 강조색3 5" xfId="0"/>
    <cellStyle name="20% - 강조색3 5 10" xfId="0"/>
    <cellStyle name="20% - 강조색3 5 11" xfId="0"/>
    <cellStyle name="20% - 강조색3 5 12" xfId="0"/>
    <cellStyle name="20% - 강조색3 5 13" xfId="0"/>
    <cellStyle name="20% - 강조색3 5 14" xfId="0"/>
    <cellStyle name="20% - 강조색3 5 15" xfId="0"/>
    <cellStyle name="20% - 강조색3 5 16" xfId="0"/>
    <cellStyle name="20% - 강조색3 5 17" xfId="0"/>
    <cellStyle name="20% - 강조색3 5 18" xfId="0"/>
    <cellStyle name="20% - 강조색3 5 19" xfId="0"/>
    <cellStyle name="20% - 강조색3 5 2" xfId="0"/>
    <cellStyle name="20% - 강조색3 5 20" xfId="0"/>
    <cellStyle name="20% - 강조색3 5 21" xfId="0"/>
    <cellStyle name="20% - 강조색3 5 22" xfId="0"/>
    <cellStyle name="20% - 강조색3 5 23" xfId="0"/>
    <cellStyle name="20% - 강조색3 5 24" xfId="0"/>
    <cellStyle name="20% - 강조색3 5 25" xfId="0"/>
    <cellStyle name="20% - 강조색3 5 26" xfId="0"/>
    <cellStyle name="20% - 강조색3 5 27" xfId="0"/>
    <cellStyle name="20% - 강조색3 5 28" xfId="0"/>
    <cellStyle name="20% - 강조색3 5 29" xfId="0"/>
    <cellStyle name="20% - 강조색3 5 3" xfId="0"/>
    <cellStyle name="20% - 강조색3 5 30" xfId="0"/>
    <cellStyle name="20% - 강조색3 5 31" xfId="0"/>
    <cellStyle name="20% - 강조색3 5 32" xfId="0"/>
    <cellStyle name="20% - 강조색3 5 33" xfId="0"/>
    <cellStyle name="20% - 강조색3 5 34" xfId="0"/>
    <cellStyle name="20% - 강조색3 5 4" xfId="0"/>
    <cellStyle name="20% - 강조색3 5 5" xfId="0"/>
    <cellStyle name="20% - 강조색3 5 6" xfId="0"/>
    <cellStyle name="20% - 강조색3 5 7" xfId="0"/>
    <cellStyle name="20% - 강조색3 5 8" xfId="0"/>
    <cellStyle name="20% - 강조색3 5 9" xfId="0"/>
    <cellStyle name="20% - 강조색3 6" xfId="0"/>
    <cellStyle name="20% - 강조색3 6 10" xfId="0"/>
    <cellStyle name="20% - 강조색3 6 11" xfId="0"/>
    <cellStyle name="20% - 강조색3 6 12" xfId="0"/>
    <cellStyle name="20% - 강조색3 6 13" xfId="0"/>
    <cellStyle name="20% - 강조색3 6 14" xfId="0"/>
    <cellStyle name="20% - 강조색3 6 15" xfId="0"/>
    <cellStyle name="20% - 강조색3 6 16" xfId="0"/>
    <cellStyle name="20% - 강조색3 6 17" xfId="0"/>
    <cellStyle name="20% - 강조색3 6 18" xfId="0"/>
    <cellStyle name="20% - 강조색3 6 19" xfId="0"/>
    <cellStyle name="20% - 강조색3 6 2" xfId="0"/>
    <cellStyle name="20% - 강조색3 6 20" xfId="0"/>
    <cellStyle name="20% - 강조색3 6 21" xfId="0"/>
    <cellStyle name="20% - 강조색3 6 22" xfId="0"/>
    <cellStyle name="20% - 강조색3 6 23" xfId="0"/>
    <cellStyle name="20% - 강조색3 6 24" xfId="0"/>
    <cellStyle name="20% - 강조색3 6 25" xfId="0"/>
    <cellStyle name="20% - 강조색3 6 26" xfId="0"/>
    <cellStyle name="20% - 강조색3 6 27" xfId="0"/>
    <cellStyle name="20% - 강조색3 6 28" xfId="0"/>
    <cellStyle name="20% - 강조색3 6 29" xfId="0"/>
    <cellStyle name="20% - 강조색3 6 3" xfId="0"/>
    <cellStyle name="20% - 강조색3 6 30" xfId="0"/>
    <cellStyle name="20% - 강조색3 6 4" xfId="0"/>
    <cellStyle name="20% - 강조색3 6 5" xfId="0"/>
    <cellStyle name="20% - 강조색3 6 6" xfId="0"/>
    <cellStyle name="20% - 강조색3 6 7" xfId="0"/>
    <cellStyle name="20% - 강조색3 6 8" xfId="0"/>
    <cellStyle name="20% - 강조색3 6 9" xfId="0"/>
    <cellStyle name="20% - 강조색3 7" xfId="0"/>
    <cellStyle name="20% - 강조색3 7 10" xfId="0"/>
    <cellStyle name="20% - 강조색3 7 11" xfId="0"/>
    <cellStyle name="20% - 강조색3 7 12" xfId="0"/>
    <cellStyle name="20% - 강조색3 7 13" xfId="0"/>
    <cellStyle name="20% - 강조색3 7 14" xfId="0"/>
    <cellStyle name="20% - 강조색3 7 15" xfId="0"/>
    <cellStyle name="20% - 강조색3 7 16" xfId="0"/>
    <cellStyle name="20% - 강조색3 7 17" xfId="0"/>
    <cellStyle name="20% - 강조색3 7 18" xfId="0"/>
    <cellStyle name="20% - 강조색3 7 19" xfId="0"/>
    <cellStyle name="20% - 강조색3 7 2" xfId="0"/>
    <cellStyle name="20% - 강조색3 7 2 2" xfId="0"/>
    <cellStyle name="20% - 강조색3 7 2 3" xfId="0"/>
    <cellStyle name="20% - 강조색3 7 20" xfId="0"/>
    <cellStyle name="20% - 강조색3 7 21" xfId="0"/>
    <cellStyle name="20% - 강조색3 7 22" xfId="0"/>
    <cellStyle name="20% - 강조색3 7 23" xfId="0"/>
    <cellStyle name="20% - 강조색3 7 24" xfId="0"/>
    <cellStyle name="20% - 강조색3 7 3" xfId="0"/>
    <cellStyle name="20% - 강조색3 7 3 2" xfId="0"/>
    <cellStyle name="20% - 강조색3 7 3 3" xfId="0"/>
    <cellStyle name="20% - 강조색3 7 4" xfId="0"/>
    <cellStyle name="20% - 강조색3 7 4 2" xfId="0"/>
    <cellStyle name="20% - 강조색3 7 4 3" xfId="0"/>
    <cellStyle name="20% - 강조색3 7 5" xfId="0"/>
    <cellStyle name="20% - 강조색3 7 5 2" xfId="0"/>
    <cellStyle name="20% - 강조색3 7 5 3" xfId="0"/>
    <cellStyle name="20% - 강조색3 7 6" xfId="0"/>
    <cellStyle name="20% - 강조색3 7 6 2" xfId="0"/>
    <cellStyle name="20% - 강조색3 7 6 3" xfId="0"/>
    <cellStyle name="20% - 강조색3 7 7" xfId="0"/>
    <cellStyle name="20% - 강조색3 7 8" xfId="0"/>
    <cellStyle name="20% - 강조색3 7 9" xfId="0"/>
    <cellStyle name="20% - 강조색3 8" xfId="0"/>
    <cellStyle name="20% - 강조색3 8 10" xfId="0"/>
    <cellStyle name="20% - 강조색3 8 11" xfId="0"/>
    <cellStyle name="20% - 강조색3 8 12" xfId="0"/>
    <cellStyle name="20% - 강조색3 8 13" xfId="0"/>
    <cellStyle name="20% - 강조색3 8 14" xfId="0"/>
    <cellStyle name="20% - 강조색3 8 15" xfId="0"/>
    <cellStyle name="20% - 강조색3 8 16" xfId="0"/>
    <cellStyle name="20% - 강조색3 8 17" xfId="0"/>
    <cellStyle name="20% - 강조색3 8 18" xfId="0"/>
    <cellStyle name="20% - 강조색3 8 19" xfId="0"/>
    <cellStyle name="20% - 강조색3 8 2" xfId="0"/>
    <cellStyle name="20% - 강조색3 8 2 2" xfId="0"/>
    <cellStyle name="20% - 강조색3 8 2 3" xfId="0"/>
    <cellStyle name="20% - 강조색3 8 20" xfId="0"/>
    <cellStyle name="20% - 강조색3 8 21" xfId="0"/>
    <cellStyle name="20% - 강조색3 8 22" xfId="0"/>
    <cellStyle name="20% - 강조색3 8 23" xfId="0"/>
    <cellStyle name="20% - 강조색3 8 24" xfId="0"/>
    <cellStyle name="20% - 강조색3 8 3" xfId="0"/>
    <cellStyle name="20% - 강조색3 8 3 2" xfId="0"/>
    <cellStyle name="20% - 강조색3 8 3 3" xfId="0"/>
    <cellStyle name="20% - 강조색3 8 4" xfId="0"/>
    <cellStyle name="20% - 강조색3 8 4 2" xfId="0"/>
    <cellStyle name="20% - 강조색3 8 4 3" xfId="0"/>
    <cellStyle name="20% - 강조색3 8 5" xfId="0"/>
    <cellStyle name="20% - 강조색3 8 5 2" xfId="0"/>
    <cellStyle name="20% - 강조색3 8 5 3" xfId="0"/>
    <cellStyle name="20% - 강조색3 8 6" xfId="0"/>
    <cellStyle name="20% - 강조색3 8 6 2" xfId="0"/>
    <cellStyle name="20% - 강조색3 8 6 3" xfId="0"/>
    <cellStyle name="20% - 강조색3 8 7" xfId="0"/>
    <cellStyle name="20% - 강조색3 8 8" xfId="0"/>
    <cellStyle name="20% - 강조색3 8 9" xfId="0"/>
    <cellStyle name="20% - 강조색3 9" xfId="0"/>
    <cellStyle name="20% - 강조색3 9 10" xfId="0"/>
    <cellStyle name="20% - 강조색3 9 11" xfId="0"/>
    <cellStyle name="20% - 강조색3 9 12" xfId="0"/>
    <cellStyle name="20% - 강조색3 9 13" xfId="0"/>
    <cellStyle name="20% - 강조색3 9 14" xfId="0"/>
    <cellStyle name="20% - 강조색3 9 15" xfId="0"/>
    <cellStyle name="20% - 강조색3 9 16" xfId="0"/>
    <cellStyle name="20% - 강조색3 9 17" xfId="0"/>
    <cellStyle name="20% - 강조색3 9 18" xfId="0"/>
    <cellStyle name="20% - 강조색3 9 19" xfId="0"/>
    <cellStyle name="20% - 강조색3 9 2" xfId="0"/>
    <cellStyle name="20% - 강조색3 9 2 2" xfId="0"/>
    <cellStyle name="20% - 강조색3 9 2 3" xfId="0"/>
    <cellStyle name="20% - 강조색3 9 20" xfId="0"/>
    <cellStyle name="20% - 강조색3 9 21" xfId="0"/>
    <cellStyle name="20% - 강조색3 9 22" xfId="0"/>
    <cellStyle name="20% - 강조색3 9 23" xfId="0"/>
    <cellStyle name="20% - 강조색3 9 24" xfId="0"/>
    <cellStyle name="20% - 강조색3 9 3" xfId="0"/>
    <cellStyle name="20% - 강조색3 9 3 2" xfId="0"/>
    <cellStyle name="20% - 강조색3 9 3 3" xfId="0"/>
    <cellStyle name="20% - 강조색3 9 4" xfId="0"/>
    <cellStyle name="20% - 강조색3 9 4 2" xfId="0"/>
    <cellStyle name="20% - 강조색3 9 4 3" xfId="0"/>
    <cellStyle name="20% - 강조색3 9 5" xfId="0"/>
    <cellStyle name="20% - 강조색3 9 5 2" xfId="0"/>
    <cellStyle name="20% - 강조색3 9 5 3" xfId="0"/>
    <cellStyle name="20% - 강조색3 9 6" xfId="0"/>
    <cellStyle name="20% - 강조색3 9 6 2" xfId="0"/>
    <cellStyle name="20% - 강조색3 9 6 3" xfId="0"/>
    <cellStyle name="20% - 강조색3 9 7" xfId="0"/>
    <cellStyle name="20% - 강조색3 9 8" xfId="0"/>
    <cellStyle name="20% - 강조색3 9 9" xfId="0"/>
    <cellStyle name="20% - 강조색4 10" xfId="0"/>
    <cellStyle name="20% - 강조색4 10 10" xfId="0"/>
    <cellStyle name="20% - 강조색4 10 11" xfId="0"/>
    <cellStyle name="20% - 강조색4 10 12" xfId="0"/>
    <cellStyle name="20% - 강조색4 10 13" xfId="0"/>
    <cellStyle name="20% - 강조색4 10 14" xfId="0"/>
    <cellStyle name="20% - 강조색4 10 15" xfId="0"/>
    <cellStyle name="20% - 강조색4 10 16" xfId="0"/>
    <cellStyle name="20% - 강조색4 10 17" xfId="0"/>
    <cellStyle name="20% - 강조색4 10 18" xfId="0"/>
    <cellStyle name="20% - 강조색4 10 19" xfId="0"/>
    <cellStyle name="20% - 강조색4 10 2" xfId="0"/>
    <cellStyle name="20% - 강조색4 10 2 2" xfId="0"/>
    <cellStyle name="20% - 강조색4 10 2 3" xfId="0"/>
    <cellStyle name="20% - 강조색4 10 20" xfId="0"/>
    <cellStyle name="20% - 강조색4 10 21" xfId="0"/>
    <cellStyle name="20% - 강조색4 10 22" xfId="0"/>
    <cellStyle name="20% - 강조색4 10 23" xfId="0"/>
    <cellStyle name="20% - 강조색4 10 24" xfId="0"/>
    <cellStyle name="20% - 강조색4 10 3" xfId="0"/>
    <cellStyle name="20% - 강조색4 10 3 2" xfId="0"/>
    <cellStyle name="20% - 강조색4 10 3 3" xfId="0"/>
    <cellStyle name="20% - 강조색4 10 4" xfId="0"/>
    <cellStyle name="20% - 강조색4 10 4 2" xfId="0"/>
    <cellStyle name="20% - 강조색4 10 4 3" xfId="0"/>
    <cellStyle name="20% - 강조색4 10 5" xfId="0"/>
    <cellStyle name="20% - 강조색4 10 5 2" xfId="0"/>
    <cellStyle name="20% - 강조색4 10 5 3" xfId="0"/>
    <cellStyle name="20% - 강조색4 10 6" xfId="0"/>
    <cellStyle name="20% - 강조색4 10 6 2" xfId="0"/>
    <cellStyle name="20% - 강조색4 10 6 3" xfId="0"/>
    <cellStyle name="20% - 강조색4 10 7" xfId="0"/>
    <cellStyle name="20% - 강조색4 10 8" xfId="0"/>
    <cellStyle name="20% - 강조색4 10 9" xfId="0"/>
    <cellStyle name="20% - 강조색4 11" xfId="0"/>
    <cellStyle name="20% - 강조색4 11 10" xfId="0"/>
    <cellStyle name="20% - 강조색4 11 2" xfId="0"/>
    <cellStyle name="20% - 강조색4 11 2 2" xfId="0"/>
    <cellStyle name="20% - 강조색4 11 2 3" xfId="0"/>
    <cellStyle name="20% - 강조색4 11 3" xfId="0"/>
    <cellStyle name="20% - 강조색4 11 3 2" xfId="0"/>
    <cellStyle name="20% - 강조색4 11 3 3" xfId="0"/>
    <cellStyle name="20% - 강조색4 11 4" xfId="0"/>
    <cellStyle name="20% - 강조색4 11 4 2" xfId="0"/>
    <cellStyle name="20% - 강조색4 11 4 3" xfId="0"/>
    <cellStyle name="20% - 강조색4 11 5" xfId="0"/>
    <cellStyle name="20% - 강조색4 11 5 2" xfId="0"/>
    <cellStyle name="20% - 강조색4 11 5 3" xfId="0"/>
    <cellStyle name="20% - 강조색4 11 6" xfId="0"/>
    <cellStyle name="20% - 강조색4 11 6 2" xfId="0"/>
    <cellStyle name="20% - 강조색4 11 6 3" xfId="0"/>
    <cellStyle name="20% - 강조색4 11 7" xfId="0"/>
    <cellStyle name="20% - 강조색4 11 8" xfId="0"/>
    <cellStyle name="20% - 강조색4 11 9" xfId="0"/>
    <cellStyle name="20% - 강조색4 12" xfId="0"/>
    <cellStyle name="20% - 강조색4 12 2" xfId="0"/>
    <cellStyle name="20% - 강조색4 12 3" xfId="0"/>
    <cellStyle name="20% - 강조색4 12 4" xfId="0"/>
    <cellStyle name="20% - 강조색4 12 5" xfId="0"/>
    <cellStyle name="20% - 강조색4 12 6" xfId="0"/>
    <cellStyle name="20% - 강조색4 12 7" xfId="0"/>
    <cellStyle name="20% - 강조색4 12 8" xfId="0"/>
    <cellStyle name="20% - 강조색4 12 9" xfId="0"/>
    <cellStyle name="20% - 강조색4 13" xfId="0"/>
    <cellStyle name="20% - 강조색4 13 2" xfId="0"/>
    <cellStyle name="20% - 강조색4 13 3" xfId="0"/>
    <cellStyle name="20% - 강조색4 13 4" xfId="0"/>
    <cellStyle name="20% - 강조색4 13 5" xfId="0"/>
    <cellStyle name="20% - 강조색4 13 6" xfId="0"/>
    <cellStyle name="20% - 강조색4 13 7" xfId="0"/>
    <cellStyle name="20% - 강조색4 13 8" xfId="0"/>
    <cellStyle name="20% - 강조색4 13 9" xfId="0"/>
    <cellStyle name="20% - 강조색4 14" xfId="0"/>
    <cellStyle name="20% - 강조색4 14 2" xfId="0"/>
    <cellStyle name="20% - 강조색4 14 3" xfId="0"/>
    <cellStyle name="20% - 강조색4 14 4" xfId="0"/>
    <cellStyle name="20% - 강조색4 14 5" xfId="0"/>
    <cellStyle name="20% - 강조색4 14 6" xfId="0"/>
    <cellStyle name="20% - 강조색4 14 7" xfId="0"/>
    <cellStyle name="20% - 강조색4 14 8" xfId="0"/>
    <cellStyle name="20% - 강조색4 14 9" xfId="0"/>
    <cellStyle name="20% - 강조색4 15" xfId="0"/>
    <cellStyle name="20% - 강조색4 15 2" xfId="0"/>
    <cellStyle name="20% - 강조색4 15 3" xfId="0"/>
    <cellStyle name="20% - 강조색4 15 4" xfId="0"/>
    <cellStyle name="20% - 강조색4 15 5" xfId="0"/>
    <cellStyle name="20% - 강조색4 15 6" xfId="0"/>
    <cellStyle name="20% - 강조색4 15 7" xfId="0"/>
    <cellStyle name="20% - 강조색4 15 8" xfId="0"/>
    <cellStyle name="20% - 강조색4 15 9" xfId="0"/>
    <cellStyle name="20% - 강조색4 16" xfId="0"/>
    <cellStyle name="20% - 강조색4 16 2" xfId="0"/>
    <cellStyle name="20% - 강조색4 16 3" xfId="0"/>
    <cellStyle name="20% - 강조색4 16 4" xfId="0"/>
    <cellStyle name="20% - 강조색4 16 5" xfId="0"/>
    <cellStyle name="20% - 강조색4 16 6" xfId="0"/>
    <cellStyle name="20% - 강조색4 16 7" xfId="0"/>
    <cellStyle name="20% - 강조색4 16 8" xfId="0"/>
    <cellStyle name="20% - 강조색4 16 9" xfId="0"/>
    <cellStyle name="20% - 강조색4 17" xfId="0"/>
    <cellStyle name="20% - 강조색4 17 2" xfId="0"/>
    <cellStyle name="20% - 강조색4 17 3" xfId="0"/>
    <cellStyle name="20% - 강조색4 17 4" xfId="0"/>
    <cellStyle name="20% - 강조색4 17 5" xfId="0"/>
    <cellStyle name="20% - 강조색4 17 6" xfId="0"/>
    <cellStyle name="20% - 강조색4 17 7" xfId="0"/>
    <cellStyle name="20% - 강조색4 17 8" xfId="0"/>
    <cellStyle name="20% - 강조색4 17 9" xfId="0"/>
    <cellStyle name="20% - 강조색4 18" xfId="0"/>
    <cellStyle name="20% - 강조색4 18 2" xfId="0"/>
    <cellStyle name="20% - 강조색4 18 3" xfId="0"/>
    <cellStyle name="20% - 강조색4 18 4" xfId="0"/>
    <cellStyle name="20% - 강조색4 18 5" xfId="0"/>
    <cellStyle name="20% - 강조색4 18 6" xfId="0"/>
    <cellStyle name="20% - 강조색4 18 7" xfId="0"/>
    <cellStyle name="20% - 강조색4 18 8" xfId="0"/>
    <cellStyle name="20% - 강조색4 18 9" xfId="0"/>
    <cellStyle name="20% - 강조색4 19" xfId="0"/>
    <cellStyle name="20% - 강조색4 19 2" xfId="0"/>
    <cellStyle name="20% - 강조색4 19 3" xfId="0"/>
    <cellStyle name="20% - 강조색4 19 4" xfId="0"/>
    <cellStyle name="20% - 강조색4 19 5" xfId="0"/>
    <cellStyle name="20% - 강조색4 19 6" xfId="0"/>
    <cellStyle name="20% - 강조색4 19 7" xfId="0"/>
    <cellStyle name="20% - 강조색4 19 8" xfId="0"/>
    <cellStyle name="20% - 강조색4 19 9" xfId="0"/>
    <cellStyle name="20% - 강조색4 2" xfId="0"/>
    <cellStyle name="20% - 강조색4 2 10" xfId="0"/>
    <cellStyle name="20% - 강조색4 2 10 2" xfId="0"/>
    <cellStyle name="20% - 강조색4 2 11" xfId="0"/>
    <cellStyle name="20% - 강조색4 2 11 2" xfId="0"/>
    <cellStyle name="20% - 강조색4 2 12" xfId="0"/>
    <cellStyle name="20% - 강조색4 2 12 2" xfId="0"/>
    <cellStyle name="20% - 강조색4 2 13" xfId="0"/>
    <cellStyle name="20% - 강조색4 2 14" xfId="0"/>
    <cellStyle name="20% - 강조색4 2 15" xfId="0"/>
    <cellStyle name="20% - 강조색4 2 16" xfId="0"/>
    <cellStyle name="20% - 강조색4 2 17" xfId="0"/>
    <cellStyle name="20% - 강조색4 2 18" xfId="0"/>
    <cellStyle name="20% - 강조색4 2 19" xfId="0"/>
    <cellStyle name="20% - 강조색4 2 2" xfId="0"/>
    <cellStyle name="20% - 강조색4 2 2 10" xfId="0"/>
    <cellStyle name="20% - 강조색4 2 2 11" xfId="0"/>
    <cellStyle name="20% - 강조색4 2 2 12" xfId="0"/>
    <cellStyle name="20% - 강조색4 2 2 13" xfId="0"/>
    <cellStyle name="20% - 강조색4 2 2 14" xfId="0"/>
    <cellStyle name="20% - 강조색4 2 2 15" xfId="0"/>
    <cellStyle name="20% - 강조색4 2 2 16" xfId="0"/>
    <cellStyle name="20% - 강조색4 2 2 17" xfId="0"/>
    <cellStyle name="20% - 강조색4 2 2 18" xfId="0"/>
    <cellStyle name="20% - 강조색4 2 2 19" xfId="0"/>
    <cellStyle name="20% - 강조색4 2 2 2" xfId="0"/>
    <cellStyle name="20% - 강조색4 2 2 2 2" xfId="0"/>
    <cellStyle name="20% - 강조색4 2 2 2 2 2" xfId="0"/>
    <cellStyle name="20% - 강조색4 2 2 2 2 3" xfId="0"/>
    <cellStyle name="20% - 강조색4 2 2 2 2 4" xfId="0"/>
    <cellStyle name="20% - 강조색4 2 2 2 2 5" xfId="0"/>
    <cellStyle name="20% - 강조색4 2 2 2 2 6" xfId="0"/>
    <cellStyle name="20% - 강조색4 2 2 2 2 7" xfId="0"/>
    <cellStyle name="20% - 강조색4 2 2 2 2 8" xfId="0"/>
    <cellStyle name="20% - 강조색4 2 2 2 2 9" xfId="0"/>
    <cellStyle name="20% - 강조색4 2 2 2 3" xfId="0"/>
    <cellStyle name="20% - 강조색4 2 2 2 4" xfId="0"/>
    <cellStyle name="20% - 강조색4 2 2 2 5" xfId="0"/>
    <cellStyle name="20% - 강조색4 2 2 2 6" xfId="0"/>
    <cellStyle name="20% - 강조색4 2 2 2 7" xfId="0"/>
    <cellStyle name="20% - 강조색4 2 2 2 8" xfId="0"/>
    <cellStyle name="20% - 강조색4 2 2 2 9" xfId="0"/>
    <cellStyle name="20% - 강조색4 2 2 20" xfId="0"/>
    <cellStyle name="20% - 강조색4 2 2 21" xfId="0"/>
    <cellStyle name="20% - 강조색4 2 2 22" xfId="0"/>
    <cellStyle name="20% - 강조색4 2 2 23" xfId="0"/>
    <cellStyle name="20% - 강조색4 2 2 3" xfId="0"/>
    <cellStyle name="20% - 강조색4 2 2 4" xfId="0"/>
    <cellStyle name="20% - 강조색4 2 2 5" xfId="0"/>
    <cellStyle name="20% - 강조색4 2 2 6" xfId="0"/>
    <cellStyle name="20% - 강조색4 2 2 7" xfId="0"/>
    <cellStyle name="20% - 강조색4 2 2 8" xfId="0"/>
    <cellStyle name="20% - 강조색4 2 2 9" xfId="0"/>
    <cellStyle name="20% - 강조색4 2 20" xfId="0"/>
    <cellStyle name="20% - 강조색4 2 21" xfId="0"/>
    <cellStyle name="20% - 강조색4 2 22" xfId="0"/>
    <cellStyle name="20% - 강조색4 2 23" xfId="0"/>
    <cellStyle name="20% - 강조색4 2 3" xfId="0"/>
    <cellStyle name="20% - 강조색4 2 3 10" xfId="0"/>
    <cellStyle name="20% - 강조색4 2 3 2" xfId="0"/>
    <cellStyle name="20% - 강조색4 2 3 3" xfId="0"/>
    <cellStyle name="20% - 강조색4 2 3 4" xfId="0"/>
    <cellStyle name="20% - 강조색4 2 3 5" xfId="0"/>
    <cellStyle name="20% - 강조색4 2 3 6" xfId="0"/>
    <cellStyle name="20% - 강조색4 2 3 7" xfId="0"/>
    <cellStyle name="20% - 강조색4 2 3 8" xfId="0"/>
    <cellStyle name="20% - 강조색4 2 3 9" xfId="0"/>
    <cellStyle name="20% - 강조색4 2 4" xfId="0"/>
    <cellStyle name="20% - 강조색4 2 4 10" xfId="0"/>
    <cellStyle name="20% - 강조색4 2 4 2" xfId="0"/>
    <cellStyle name="20% - 강조색4 2 4 3" xfId="0"/>
    <cellStyle name="20% - 강조색4 2 4 4" xfId="0"/>
    <cellStyle name="20% - 강조색4 2 4 5" xfId="0"/>
    <cellStyle name="20% - 강조색4 2 4 6" xfId="0"/>
    <cellStyle name="20% - 강조색4 2 4 7" xfId="0"/>
    <cellStyle name="20% - 강조색4 2 4 8" xfId="0"/>
    <cellStyle name="20% - 강조색4 2 4 9" xfId="0"/>
    <cellStyle name="20% - 강조색4 2 5" xfId="0"/>
    <cellStyle name="20% - 강조색4 2 5 10" xfId="0"/>
    <cellStyle name="20% - 강조색4 2 5 2" xfId="0"/>
    <cellStyle name="20% - 강조색4 2 5 3" xfId="0"/>
    <cellStyle name="20% - 강조색4 2 5 4" xfId="0"/>
    <cellStyle name="20% - 강조색4 2 5 5" xfId="0"/>
    <cellStyle name="20% - 강조색4 2 5 6" xfId="0"/>
    <cellStyle name="20% - 강조색4 2 5 7" xfId="0"/>
    <cellStyle name="20% - 강조색4 2 5 8" xfId="0"/>
    <cellStyle name="20% - 강조색4 2 5 9" xfId="0"/>
    <cellStyle name="20% - 강조색4 2 6" xfId="0"/>
    <cellStyle name="20% - 강조색4 2 6 10" xfId="0"/>
    <cellStyle name="20% - 강조색4 2 6 2" xfId="0"/>
    <cellStyle name="20% - 강조색4 2 6 3" xfId="0"/>
    <cellStyle name="20% - 강조색4 2 6 4" xfId="0"/>
    <cellStyle name="20% - 강조색4 2 6 5" xfId="0"/>
    <cellStyle name="20% - 강조색4 2 6 6" xfId="0"/>
    <cellStyle name="20% - 강조색4 2 6 7" xfId="0"/>
    <cellStyle name="20% - 강조색4 2 6 8" xfId="0"/>
    <cellStyle name="20% - 강조색4 2 6 9" xfId="0"/>
    <cellStyle name="20% - 강조색4 2 7" xfId="0"/>
    <cellStyle name="20% - 강조색4 2 7 10" xfId="0"/>
    <cellStyle name="20% - 강조색4 2 7 2" xfId="0"/>
    <cellStyle name="20% - 강조색4 2 7 3" xfId="0"/>
    <cellStyle name="20% - 강조색4 2 7 4" xfId="0"/>
    <cellStyle name="20% - 강조색4 2 7 5" xfId="0"/>
    <cellStyle name="20% - 강조색4 2 7 6" xfId="0"/>
    <cellStyle name="20% - 강조색4 2 7 7" xfId="0"/>
    <cellStyle name="20% - 강조색4 2 7 8" xfId="0"/>
    <cellStyle name="20% - 강조색4 2 7 9" xfId="0"/>
    <cellStyle name="20% - 강조색4 2 8" xfId="0"/>
    <cellStyle name="20% - 강조색4 2 8 2" xfId="0"/>
    <cellStyle name="20% - 강조색4 2 9" xfId="0"/>
    <cellStyle name="20% - 강조색4 2 9 2" xfId="0"/>
    <cellStyle name="20% - 강조색4 20" xfId="0"/>
    <cellStyle name="20% - 강조색4 20 2" xfId="0"/>
    <cellStyle name="20% - 강조색4 20 3" xfId="0"/>
    <cellStyle name="20% - 강조색4 20 4" xfId="0"/>
    <cellStyle name="20% - 강조색4 20 5" xfId="0"/>
    <cellStyle name="20% - 강조색4 20 6" xfId="0"/>
    <cellStyle name="20% - 강조색4 20 7" xfId="0"/>
    <cellStyle name="20% - 강조색4 20 8" xfId="0"/>
    <cellStyle name="20% - 강조색4 20 9" xfId="0"/>
    <cellStyle name="20% - 강조색4 21" xfId="0"/>
    <cellStyle name="20% - 강조색4 21 2" xfId="0"/>
    <cellStyle name="20% - 강조색4 21 3" xfId="0"/>
    <cellStyle name="20% - 강조색4 21 4" xfId="0"/>
    <cellStyle name="20% - 강조색4 21 5" xfId="0"/>
    <cellStyle name="20% - 강조색4 21 6" xfId="0"/>
    <cellStyle name="20% - 강조색4 21 7" xfId="0"/>
    <cellStyle name="20% - 강조색4 21 8" xfId="0"/>
    <cellStyle name="20% - 강조색4 21 9" xfId="0"/>
    <cellStyle name="20% - 강조색4 22" xfId="0"/>
    <cellStyle name="20% - 강조색4 22 2" xfId="0"/>
    <cellStyle name="20% - 강조색4 22 3" xfId="0"/>
    <cellStyle name="20% - 강조색4 22 4" xfId="0"/>
    <cellStyle name="20% - 강조색4 22 5" xfId="0"/>
    <cellStyle name="20% - 강조색4 22 6" xfId="0"/>
    <cellStyle name="20% - 강조색4 22 7" xfId="0"/>
    <cellStyle name="20% - 강조색4 22 8" xfId="0"/>
    <cellStyle name="20% - 강조색4 22 9" xfId="0"/>
    <cellStyle name="20% - 강조색4 23" xfId="0"/>
    <cellStyle name="20% - 강조색4 23 2" xfId="0"/>
    <cellStyle name="20% - 강조색4 23 3" xfId="0"/>
    <cellStyle name="20% - 강조색4 23 4" xfId="0"/>
    <cellStyle name="20% - 강조색4 23 5" xfId="0"/>
    <cellStyle name="20% - 강조색4 23 6" xfId="0"/>
    <cellStyle name="20% - 강조색4 23 7" xfId="0"/>
    <cellStyle name="20% - 강조색4 23 8" xfId="0"/>
    <cellStyle name="20% - 강조색4 23 9" xfId="0"/>
    <cellStyle name="20% - 강조색4 24" xfId="0"/>
    <cellStyle name="20% - 강조색4 24 2" xfId="0"/>
    <cellStyle name="20% - 강조색4 24 3" xfId="0"/>
    <cellStyle name="20% - 강조색4 24 4" xfId="0"/>
    <cellStyle name="20% - 강조색4 24 5" xfId="0"/>
    <cellStyle name="20% - 강조색4 24 6" xfId="0"/>
    <cellStyle name="20% - 강조색4 24 7" xfId="0"/>
    <cellStyle name="20% - 강조색4 24 8" xfId="0"/>
    <cellStyle name="20% - 강조색4 24 9" xfId="0"/>
    <cellStyle name="20% - 강조색4 25" xfId="0"/>
    <cellStyle name="20% - 강조색4 25 2" xfId="0"/>
    <cellStyle name="20% - 강조색4 25 3" xfId="0"/>
    <cellStyle name="20% - 강조색4 25 4" xfId="0"/>
    <cellStyle name="20% - 강조색4 25 5" xfId="0"/>
    <cellStyle name="20% - 강조색4 25 6" xfId="0"/>
    <cellStyle name="20% - 강조색4 25 7" xfId="0"/>
    <cellStyle name="20% - 강조색4 25 8" xfId="0"/>
    <cellStyle name="20% - 강조색4 25 9" xfId="0"/>
    <cellStyle name="20% - 강조색4 26" xfId="0"/>
    <cellStyle name="20% - 강조색4 26 2" xfId="0"/>
    <cellStyle name="20% - 강조색4 26 3" xfId="0"/>
    <cellStyle name="20% - 강조색4 26 4" xfId="0"/>
    <cellStyle name="20% - 강조색4 26 5" xfId="0"/>
    <cellStyle name="20% - 강조색4 26 6" xfId="0"/>
    <cellStyle name="20% - 강조색4 26 7" xfId="0"/>
    <cellStyle name="20% - 강조색4 26 8" xfId="0"/>
    <cellStyle name="20% - 강조색4 26 9" xfId="0"/>
    <cellStyle name="20% - 강조색4 27" xfId="0"/>
    <cellStyle name="20% - 강조색4 27 2" xfId="0"/>
    <cellStyle name="20% - 강조색4 27 3" xfId="0"/>
    <cellStyle name="20% - 강조색4 27 4" xfId="0"/>
    <cellStyle name="20% - 강조색4 27 5" xfId="0"/>
    <cellStyle name="20% - 강조색4 27 6" xfId="0"/>
    <cellStyle name="20% - 강조색4 27 7" xfId="0"/>
    <cellStyle name="20% - 강조색4 27 8" xfId="0"/>
    <cellStyle name="20% - 강조색4 27 9" xfId="0"/>
    <cellStyle name="20% - 강조색4 28 2" xfId="0"/>
    <cellStyle name="20% - 강조색4 28 3" xfId="0"/>
    <cellStyle name="20% - 강조색4 28 4" xfId="0"/>
    <cellStyle name="20% - 강조색4 28 5" xfId="0"/>
    <cellStyle name="20% - 강조색4 28 6" xfId="0"/>
    <cellStyle name="20% - 강조색4 28 7" xfId="0"/>
    <cellStyle name="20% - 강조색4 28 8" xfId="0"/>
    <cellStyle name="20% - 강조색4 28 9" xfId="0"/>
    <cellStyle name="20% - 강조색4 29 2" xfId="0"/>
    <cellStyle name="20% - 강조색4 29 3" xfId="0"/>
    <cellStyle name="20% - 강조색4 29 4" xfId="0"/>
    <cellStyle name="20% - 강조색4 29 5" xfId="0"/>
    <cellStyle name="20% - 강조색4 29 6" xfId="0"/>
    <cellStyle name="20% - 강조색4 29 7" xfId="0"/>
    <cellStyle name="20% - 강조색4 29 8" xfId="0"/>
    <cellStyle name="20% - 강조색4 29 9" xfId="0"/>
    <cellStyle name="20% - 강조색4 2_3300현금및예치금" xfId="0"/>
    <cellStyle name="20% - 강조색4 3" xfId="0"/>
    <cellStyle name="20% - 강조색4 3 10" xfId="0"/>
    <cellStyle name="20% - 강조색4 3 10 2" xfId="0"/>
    <cellStyle name="20% - 강조색4 3 10 3" xfId="0"/>
    <cellStyle name="20% - 강조색4 3 11" xfId="0"/>
    <cellStyle name="20% - 강조색4 3 11 2" xfId="0"/>
    <cellStyle name="20% - 강조색4 3 11 3" xfId="0"/>
    <cellStyle name="20% - 강조색4 3 12" xfId="0"/>
    <cellStyle name="20% - 강조색4 3 12 2" xfId="0"/>
    <cellStyle name="20% - 강조색4 3 12 3" xfId="0"/>
    <cellStyle name="20% - 강조색4 3 13" xfId="0"/>
    <cellStyle name="20% - 강조색4 3 14" xfId="0"/>
    <cellStyle name="20% - 강조색4 3 15" xfId="0"/>
    <cellStyle name="20% - 강조색4 3 16" xfId="0"/>
    <cellStyle name="20% - 강조색4 3 17" xfId="0"/>
    <cellStyle name="20% - 강조색4 3 18" xfId="0"/>
    <cellStyle name="20% - 강조색4 3 19" xfId="0"/>
    <cellStyle name="20% - 강조색4 3 19 2" xfId="0"/>
    <cellStyle name="20% - 강조색4 3 2" xfId="0"/>
    <cellStyle name="20% - 강조색4 3 2 2" xfId="0"/>
    <cellStyle name="20% - 강조색4 3 2 3" xfId="0"/>
    <cellStyle name="20% - 강조색4 3 20" xfId="0"/>
    <cellStyle name="20% - 강조색4 3 21" xfId="0"/>
    <cellStyle name="20% - 강조색4 3 22" xfId="0"/>
    <cellStyle name="20% - 강조색4 3 23" xfId="0"/>
    <cellStyle name="20% - 강조색4 3 3" xfId="0"/>
    <cellStyle name="20% - 강조색4 3 3 2" xfId="0"/>
    <cellStyle name="20% - 강조색4 3 3 3" xfId="0"/>
    <cellStyle name="20% - 강조색4 3 4" xfId="0"/>
    <cellStyle name="20% - 강조색4 3 4 2" xfId="0"/>
    <cellStyle name="20% - 강조색4 3 4 3" xfId="0"/>
    <cellStyle name="20% - 강조색4 3 5" xfId="0"/>
    <cellStyle name="20% - 강조색4 3 5 2" xfId="0"/>
    <cellStyle name="20% - 강조색4 3 5 3" xfId="0"/>
    <cellStyle name="20% - 강조색4 3 6" xfId="0"/>
    <cellStyle name="20% - 강조색4 3 6 2" xfId="0"/>
    <cellStyle name="20% - 강조색4 3 6 3" xfId="0"/>
    <cellStyle name="20% - 강조색4 3 7" xfId="0"/>
    <cellStyle name="20% - 강조색4 3 7 2" xfId="0"/>
    <cellStyle name="20% - 강조색4 3 7 3" xfId="0"/>
    <cellStyle name="20% - 강조색4 3 8" xfId="0"/>
    <cellStyle name="20% - 강조색4 3 8 2" xfId="0"/>
    <cellStyle name="20% - 강조색4 3 8 3" xfId="0"/>
    <cellStyle name="20% - 강조색4 3 9" xfId="0"/>
    <cellStyle name="20% - 강조색4 3 9 2" xfId="0"/>
    <cellStyle name="20% - 강조색4 3 9 3" xfId="0"/>
    <cellStyle name="20% - 강조색4 30 2" xfId="0"/>
    <cellStyle name="20% - 강조색4 30 3" xfId="0"/>
    <cellStyle name="20% - 강조색4 30 4" xfId="0"/>
    <cellStyle name="20% - 강조색4 30 5" xfId="0"/>
    <cellStyle name="20% - 강조색4 30 6" xfId="0"/>
    <cellStyle name="20% - 강조색4 30 7" xfId="0"/>
    <cellStyle name="20% - 강조색4 30 8" xfId="0"/>
    <cellStyle name="20% - 강조색4 30 9" xfId="0"/>
    <cellStyle name="20% - 강조색4 31 2" xfId="0"/>
    <cellStyle name="20% - 강조색4 31 3" xfId="0"/>
    <cellStyle name="20% - 강조색4 31 4" xfId="0"/>
    <cellStyle name="20% - 강조색4 31 5" xfId="0"/>
    <cellStyle name="20% - 강조색4 31 6" xfId="0"/>
    <cellStyle name="20% - 강조색4 31 7" xfId="0"/>
    <cellStyle name="20% - 강조색4 31 8" xfId="0"/>
    <cellStyle name="20% - 강조색4 31 9" xfId="0"/>
    <cellStyle name="20% - 강조색4 32 2" xfId="0"/>
    <cellStyle name="20% - 강조색4 32 3" xfId="0"/>
    <cellStyle name="20% - 강조색4 32 4" xfId="0"/>
    <cellStyle name="20% - 강조색4 32 5" xfId="0"/>
    <cellStyle name="20% - 강조색4 32 6" xfId="0"/>
    <cellStyle name="20% - 강조색4 32 7" xfId="0"/>
    <cellStyle name="20% - 강조색4 32 8" xfId="0"/>
    <cellStyle name="20% - 강조색4 32 9" xfId="0"/>
    <cellStyle name="20% - 강조색4 33 2" xfId="0"/>
    <cellStyle name="20% - 강조색4 33 3" xfId="0"/>
    <cellStyle name="20% - 강조색4 33 4" xfId="0"/>
    <cellStyle name="20% - 강조색4 33 5" xfId="0"/>
    <cellStyle name="20% - 강조색4 33 6" xfId="0"/>
    <cellStyle name="20% - 강조색4 33 7" xfId="0"/>
    <cellStyle name="20% - 강조색4 33 8" xfId="0"/>
    <cellStyle name="20% - 강조색4 33 9" xfId="0"/>
    <cellStyle name="20% - 강조색4 34 2" xfId="0"/>
    <cellStyle name="20% - 강조색4 34 3" xfId="0"/>
    <cellStyle name="20% - 강조색4 34 4" xfId="0"/>
    <cellStyle name="20% - 강조색4 34 5" xfId="0"/>
    <cellStyle name="20% - 강조색4 34 6" xfId="0"/>
    <cellStyle name="20% - 강조색4 34 7" xfId="0"/>
    <cellStyle name="20% - 강조색4 34 8" xfId="0"/>
    <cellStyle name="20% - 강조색4 34 9" xfId="0"/>
    <cellStyle name="20% - 강조색4 35 2" xfId="0"/>
    <cellStyle name="20% - 강조색4 35 3" xfId="0"/>
    <cellStyle name="20% - 강조색4 35 4" xfId="0"/>
    <cellStyle name="20% - 강조색4 35 5" xfId="0"/>
    <cellStyle name="20% - 강조색4 35 6" xfId="0"/>
    <cellStyle name="20% - 강조색4 35 7" xfId="0"/>
    <cellStyle name="20% - 강조색4 35 8" xfId="0"/>
    <cellStyle name="20% - 강조색4 35 9" xfId="0"/>
    <cellStyle name="20% - 강조색4 3_운용자산별 손익분석" xfId="0"/>
    <cellStyle name="20% - 강조색4 4" xfId="0"/>
    <cellStyle name="20% - 강조색4 4 10" xfId="0"/>
    <cellStyle name="20% - 강조색4 4 11" xfId="0"/>
    <cellStyle name="20% - 강조색4 4 12" xfId="0"/>
    <cellStyle name="20% - 강조색4 4 13" xfId="0"/>
    <cellStyle name="20% - 강조색4 4 14" xfId="0"/>
    <cellStyle name="20% - 강조색4 4 15" xfId="0"/>
    <cellStyle name="20% - 강조색4 4 16" xfId="0"/>
    <cellStyle name="20% - 강조색4 4 17" xfId="0"/>
    <cellStyle name="20% - 강조색4 4 18" xfId="0"/>
    <cellStyle name="20% - 강조색4 4 19" xfId="0"/>
    <cellStyle name="20% - 강조색4 4 2" xfId="0"/>
    <cellStyle name="20% - 강조색4 4 20" xfId="0"/>
    <cellStyle name="20% - 강조색4 4 21" xfId="0"/>
    <cellStyle name="20% - 강조색4 4 22" xfId="0"/>
    <cellStyle name="20% - 강조색4 4 23" xfId="0"/>
    <cellStyle name="20% - 강조색4 4 24" xfId="0"/>
    <cellStyle name="20% - 강조색4 4 3" xfId="0"/>
    <cellStyle name="20% - 강조색4 4 4" xfId="0"/>
    <cellStyle name="20% - 강조색4 4 5" xfId="0"/>
    <cellStyle name="20% - 강조색4 4 6" xfId="0"/>
    <cellStyle name="20% - 강조색4 4 7" xfId="0"/>
    <cellStyle name="20% - 강조색4 4 8" xfId="0"/>
    <cellStyle name="20% - 강조색4 4 9" xfId="0"/>
    <cellStyle name="20% - 강조색4 4_운용자산별 손익분석" xfId="0"/>
    <cellStyle name="20% - 강조색4 5" xfId="0"/>
    <cellStyle name="20% - 강조색4 5 10" xfId="0"/>
    <cellStyle name="20% - 강조색4 5 11" xfId="0"/>
    <cellStyle name="20% - 강조색4 5 12" xfId="0"/>
    <cellStyle name="20% - 강조색4 5 13" xfId="0"/>
    <cellStyle name="20% - 강조색4 5 14" xfId="0"/>
    <cellStyle name="20% - 강조색4 5 15" xfId="0"/>
    <cellStyle name="20% - 강조색4 5 16" xfId="0"/>
    <cellStyle name="20% - 강조색4 5 17" xfId="0"/>
    <cellStyle name="20% - 강조색4 5 18" xfId="0"/>
    <cellStyle name="20% - 강조색4 5 19" xfId="0"/>
    <cellStyle name="20% - 강조색4 5 2" xfId="0"/>
    <cellStyle name="20% - 강조색4 5 20" xfId="0"/>
    <cellStyle name="20% - 강조색4 5 21" xfId="0"/>
    <cellStyle name="20% - 강조색4 5 22" xfId="0"/>
    <cellStyle name="20% - 강조색4 5 23" xfId="0"/>
    <cellStyle name="20% - 강조색4 5 24" xfId="0"/>
    <cellStyle name="20% - 강조색4 5 25" xfId="0"/>
    <cellStyle name="20% - 강조색4 5 26" xfId="0"/>
    <cellStyle name="20% - 강조색4 5 27" xfId="0"/>
    <cellStyle name="20% - 강조색4 5 28" xfId="0"/>
    <cellStyle name="20% - 강조색4 5 29" xfId="0"/>
    <cellStyle name="20% - 강조색4 5 3" xfId="0"/>
    <cellStyle name="20% - 강조색4 5 30" xfId="0"/>
    <cellStyle name="20% - 강조색4 5 31" xfId="0"/>
    <cellStyle name="20% - 강조색4 5 32" xfId="0"/>
    <cellStyle name="20% - 강조색4 5 33" xfId="0"/>
    <cellStyle name="20% - 강조색4 5 34" xfId="0"/>
    <cellStyle name="20% - 강조색4 5 4" xfId="0"/>
    <cellStyle name="20% - 강조색4 5 5" xfId="0"/>
    <cellStyle name="20% - 강조색4 5 6" xfId="0"/>
    <cellStyle name="20% - 강조색4 5 7" xfId="0"/>
    <cellStyle name="20% - 강조색4 5 8" xfId="0"/>
    <cellStyle name="20% - 강조색4 5 9" xfId="0"/>
    <cellStyle name="20% - 강조색4 6" xfId="0"/>
    <cellStyle name="20% - 강조색4 6 10" xfId="0"/>
    <cellStyle name="20% - 강조색4 6 11" xfId="0"/>
    <cellStyle name="20% - 강조색4 6 12" xfId="0"/>
    <cellStyle name="20% - 강조색4 6 13" xfId="0"/>
    <cellStyle name="20% - 강조색4 6 14" xfId="0"/>
    <cellStyle name="20% - 강조색4 6 15" xfId="0"/>
    <cellStyle name="20% - 강조색4 6 16" xfId="0"/>
    <cellStyle name="20% - 강조색4 6 17" xfId="0"/>
    <cellStyle name="20% - 강조색4 6 18" xfId="0"/>
    <cellStyle name="20% - 강조색4 6 19" xfId="0"/>
    <cellStyle name="20% - 강조색4 6 2" xfId="0"/>
    <cellStyle name="20% - 강조색4 6 20" xfId="0"/>
    <cellStyle name="20% - 강조색4 6 21" xfId="0"/>
    <cellStyle name="20% - 강조색4 6 22" xfId="0"/>
    <cellStyle name="20% - 강조색4 6 23" xfId="0"/>
    <cellStyle name="20% - 강조색4 6 24" xfId="0"/>
    <cellStyle name="20% - 강조색4 6 25" xfId="0"/>
    <cellStyle name="20% - 강조색4 6 26" xfId="0"/>
    <cellStyle name="20% - 강조색4 6 27" xfId="0"/>
    <cellStyle name="20% - 강조색4 6 28" xfId="0"/>
    <cellStyle name="20% - 강조색4 6 29" xfId="0"/>
    <cellStyle name="20% - 강조색4 6 3" xfId="0"/>
    <cellStyle name="20% - 강조색4 6 30" xfId="0"/>
    <cellStyle name="20% - 강조색4 6 4" xfId="0"/>
    <cellStyle name="20% - 강조색4 6 5" xfId="0"/>
    <cellStyle name="20% - 강조색4 6 6" xfId="0"/>
    <cellStyle name="20% - 강조색4 6 7" xfId="0"/>
    <cellStyle name="20% - 강조색4 6 8" xfId="0"/>
    <cellStyle name="20% - 강조색4 6 9" xfId="0"/>
    <cellStyle name="20% - 강조색4 7" xfId="0"/>
    <cellStyle name="20% - 강조색4 7 10" xfId="0"/>
    <cellStyle name="20% - 강조색4 7 11" xfId="0"/>
    <cellStyle name="20% - 강조색4 7 12" xfId="0"/>
    <cellStyle name="20% - 강조색4 7 13" xfId="0"/>
    <cellStyle name="20% - 강조색4 7 14" xfId="0"/>
    <cellStyle name="20% - 강조색4 7 15" xfId="0"/>
    <cellStyle name="20% - 강조색4 7 16" xfId="0"/>
    <cellStyle name="20% - 강조색4 7 17" xfId="0"/>
    <cellStyle name="20% - 강조색4 7 18" xfId="0"/>
    <cellStyle name="20% - 강조색4 7 19" xfId="0"/>
    <cellStyle name="20% - 강조색4 7 2" xfId="0"/>
    <cellStyle name="20% - 강조색4 7 2 2" xfId="0"/>
    <cellStyle name="20% - 강조색4 7 2 3" xfId="0"/>
    <cellStyle name="20% - 강조색4 7 20" xfId="0"/>
    <cellStyle name="20% - 강조색4 7 21" xfId="0"/>
    <cellStyle name="20% - 강조색4 7 22" xfId="0"/>
    <cellStyle name="20% - 강조색4 7 23" xfId="0"/>
    <cellStyle name="20% - 강조색4 7 24" xfId="0"/>
    <cellStyle name="20% - 강조색4 7 3" xfId="0"/>
    <cellStyle name="20% - 강조색4 7 3 2" xfId="0"/>
    <cellStyle name="20% - 강조색4 7 3 3" xfId="0"/>
    <cellStyle name="20% - 강조색4 7 4" xfId="0"/>
    <cellStyle name="20% - 강조색4 7 4 2" xfId="0"/>
    <cellStyle name="20% - 강조색4 7 4 3" xfId="0"/>
    <cellStyle name="20% - 강조색4 7 5" xfId="0"/>
    <cellStyle name="20% - 강조색4 7 5 2" xfId="0"/>
    <cellStyle name="20% - 강조색4 7 5 3" xfId="0"/>
    <cellStyle name="20% - 강조색4 7 6" xfId="0"/>
    <cellStyle name="20% - 강조색4 7 6 2" xfId="0"/>
    <cellStyle name="20% - 강조색4 7 6 3" xfId="0"/>
    <cellStyle name="20% - 강조색4 7 7" xfId="0"/>
    <cellStyle name="20% - 강조색4 7 8" xfId="0"/>
    <cellStyle name="20% - 강조색4 7 9" xfId="0"/>
    <cellStyle name="20% - 강조색4 8" xfId="0"/>
    <cellStyle name="20% - 강조색4 8 10" xfId="0"/>
    <cellStyle name="20% - 강조색4 8 11" xfId="0"/>
    <cellStyle name="20% - 강조색4 8 12" xfId="0"/>
    <cellStyle name="20% - 강조색4 8 13" xfId="0"/>
    <cellStyle name="20% - 강조색4 8 14" xfId="0"/>
    <cellStyle name="20% - 강조색4 8 15" xfId="0"/>
    <cellStyle name="20% - 강조색4 8 16" xfId="0"/>
    <cellStyle name="20% - 강조색4 8 17" xfId="0"/>
    <cellStyle name="20% - 강조색4 8 18" xfId="0"/>
    <cellStyle name="20% - 강조색4 8 19" xfId="0"/>
    <cellStyle name="20% - 강조색4 8 2" xfId="0"/>
    <cellStyle name="20% - 강조색4 8 2 2" xfId="0"/>
    <cellStyle name="20% - 강조색4 8 2 3" xfId="0"/>
    <cellStyle name="20% - 강조색4 8 20" xfId="0"/>
    <cellStyle name="20% - 강조색4 8 21" xfId="0"/>
    <cellStyle name="20% - 강조색4 8 22" xfId="0"/>
    <cellStyle name="20% - 강조색4 8 23" xfId="0"/>
    <cellStyle name="20% - 강조색4 8 24" xfId="0"/>
    <cellStyle name="20% - 강조색4 8 3" xfId="0"/>
    <cellStyle name="20% - 강조색4 8 3 2" xfId="0"/>
    <cellStyle name="20% - 강조색4 8 3 3" xfId="0"/>
    <cellStyle name="20% - 강조색4 8 4" xfId="0"/>
    <cellStyle name="20% - 강조색4 8 4 2" xfId="0"/>
    <cellStyle name="20% - 강조색4 8 4 3" xfId="0"/>
    <cellStyle name="20% - 강조색4 8 5" xfId="0"/>
    <cellStyle name="20% - 강조색4 8 5 2" xfId="0"/>
    <cellStyle name="20% - 강조색4 8 5 3" xfId="0"/>
    <cellStyle name="20% - 강조색4 8 6" xfId="0"/>
    <cellStyle name="20% - 강조색4 8 6 2" xfId="0"/>
    <cellStyle name="20% - 강조색4 8 6 3" xfId="0"/>
    <cellStyle name="20% - 강조색4 8 7" xfId="0"/>
    <cellStyle name="20% - 강조색4 8 8" xfId="0"/>
    <cellStyle name="20% - 강조색4 8 9" xfId="0"/>
    <cellStyle name="20% - 강조색4 9" xfId="0"/>
    <cellStyle name="20% - 강조색4 9 10" xfId="0"/>
    <cellStyle name="20% - 강조색4 9 11" xfId="0"/>
    <cellStyle name="20% - 강조색4 9 12" xfId="0"/>
    <cellStyle name="20% - 강조색4 9 13" xfId="0"/>
    <cellStyle name="20% - 강조색4 9 14" xfId="0"/>
    <cellStyle name="20% - 강조색4 9 15" xfId="0"/>
    <cellStyle name="20% - 강조색4 9 16" xfId="0"/>
    <cellStyle name="20% - 강조색4 9 17" xfId="0"/>
    <cellStyle name="20% - 강조색4 9 18" xfId="0"/>
    <cellStyle name="20% - 강조색4 9 19" xfId="0"/>
    <cellStyle name="20% - 강조색4 9 2" xfId="0"/>
    <cellStyle name="20% - 강조색4 9 2 2" xfId="0"/>
    <cellStyle name="20% - 강조색4 9 2 3" xfId="0"/>
    <cellStyle name="20% - 강조색4 9 20" xfId="0"/>
    <cellStyle name="20% - 강조색4 9 21" xfId="0"/>
    <cellStyle name="20% - 강조색4 9 22" xfId="0"/>
    <cellStyle name="20% - 강조색4 9 23" xfId="0"/>
    <cellStyle name="20% - 강조색4 9 24" xfId="0"/>
    <cellStyle name="20% - 강조색4 9 3" xfId="0"/>
    <cellStyle name="20% - 강조색4 9 3 2" xfId="0"/>
    <cellStyle name="20% - 강조색4 9 3 3" xfId="0"/>
    <cellStyle name="20% - 강조색4 9 4" xfId="0"/>
    <cellStyle name="20% - 강조색4 9 4 2" xfId="0"/>
    <cellStyle name="20% - 강조색4 9 4 3" xfId="0"/>
    <cellStyle name="20% - 강조색4 9 5" xfId="0"/>
    <cellStyle name="20% - 강조색4 9 5 2" xfId="0"/>
    <cellStyle name="20% - 강조색4 9 5 3" xfId="0"/>
    <cellStyle name="20% - 강조색4 9 6" xfId="0"/>
    <cellStyle name="20% - 강조색4 9 6 2" xfId="0"/>
    <cellStyle name="20% - 강조색4 9 6 3" xfId="0"/>
    <cellStyle name="20% - 강조색4 9 7" xfId="0"/>
    <cellStyle name="20% - 강조색4 9 8" xfId="0"/>
    <cellStyle name="20% - 강조색4 9 9" xfId="0"/>
    <cellStyle name="20% - 강조색5 10" xfId="0"/>
    <cellStyle name="20% - 강조색5 10 10" xfId="0"/>
    <cellStyle name="20% - 강조색5 10 11" xfId="0"/>
    <cellStyle name="20% - 강조색5 10 12" xfId="0"/>
    <cellStyle name="20% - 강조색5 10 13" xfId="0"/>
    <cellStyle name="20% - 강조색5 10 14" xfId="0"/>
    <cellStyle name="20% - 강조색5 10 15" xfId="0"/>
    <cellStyle name="20% - 강조색5 10 16" xfId="0"/>
    <cellStyle name="20% - 강조색5 10 17" xfId="0"/>
    <cellStyle name="20% - 강조색5 10 18" xfId="0"/>
    <cellStyle name="20% - 강조색5 10 19" xfId="0"/>
    <cellStyle name="20% - 강조색5 10 2" xfId="0"/>
    <cellStyle name="20% - 강조색5 10 2 2" xfId="0"/>
    <cellStyle name="20% - 강조색5 10 2 3" xfId="0"/>
    <cellStyle name="20% - 강조색5 10 20" xfId="0"/>
    <cellStyle name="20% - 강조색5 10 21" xfId="0"/>
    <cellStyle name="20% - 강조색5 10 22" xfId="0"/>
    <cellStyle name="20% - 강조색5 10 23" xfId="0"/>
    <cellStyle name="20% - 강조색5 10 24" xfId="0"/>
    <cellStyle name="20% - 강조색5 10 3" xfId="0"/>
    <cellStyle name="20% - 강조색5 10 3 2" xfId="0"/>
    <cellStyle name="20% - 강조색5 10 3 3" xfId="0"/>
    <cellStyle name="20% - 강조색5 10 4" xfId="0"/>
    <cellStyle name="20% - 강조색5 10 4 2" xfId="0"/>
    <cellStyle name="20% - 강조색5 10 4 3" xfId="0"/>
    <cellStyle name="20% - 강조색5 10 5" xfId="0"/>
    <cellStyle name="20% - 강조색5 10 5 2" xfId="0"/>
    <cellStyle name="20% - 강조색5 10 5 3" xfId="0"/>
    <cellStyle name="20% - 강조색5 10 6" xfId="0"/>
    <cellStyle name="20% - 강조색5 10 6 2" xfId="0"/>
    <cellStyle name="20% - 강조색5 10 6 3" xfId="0"/>
    <cellStyle name="20% - 강조색5 10 7" xfId="0"/>
    <cellStyle name="20% - 강조색5 10 8" xfId="0"/>
    <cellStyle name="20% - 강조색5 10 9" xfId="0"/>
    <cellStyle name="20% - 강조색5 11" xfId="0"/>
    <cellStyle name="20% - 강조색5 11 10" xfId="0"/>
    <cellStyle name="20% - 강조색5 11 2" xfId="0"/>
    <cellStyle name="20% - 강조색5 11 2 2" xfId="0"/>
    <cellStyle name="20% - 강조색5 11 2 3" xfId="0"/>
    <cellStyle name="20% - 강조색5 11 3" xfId="0"/>
    <cellStyle name="20% - 강조색5 11 3 2" xfId="0"/>
    <cellStyle name="20% - 강조색5 11 3 3" xfId="0"/>
    <cellStyle name="20% - 강조색5 11 4" xfId="0"/>
    <cellStyle name="20% - 강조색5 11 4 2" xfId="0"/>
    <cellStyle name="20% - 강조색5 11 4 3" xfId="0"/>
    <cellStyle name="20% - 강조색5 11 5" xfId="0"/>
    <cellStyle name="20% - 강조색5 11 5 2" xfId="0"/>
    <cellStyle name="20% - 강조색5 11 5 3" xfId="0"/>
    <cellStyle name="20% - 강조색5 11 6" xfId="0"/>
    <cellStyle name="20% - 강조색5 11 6 2" xfId="0"/>
    <cellStyle name="20% - 강조색5 11 6 3" xfId="0"/>
    <cellStyle name="20% - 강조색5 11 7" xfId="0"/>
    <cellStyle name="20% - 강조색5 11 8" xfId="0"/>
    <cellStyle name="20% - 강조색5 11 9" xfId="0"/>
    <cellStyle name="20% - 강조색5 12" xfId="0"/>
    <cellStyle name="20% - 강조색5 12 2" xfId="0"/>
    <cellStyle name="20% - 강조색5 12 3" xfId="0"/>
    <cellStyle name="20% - 강조색5 12 4" xfId="0"/>
    <cellStyle name="20% - 강조색5 12 5" xfId="0"/>
    <cellStyle name="20% - 강조색5 12 6" xfId="0"/>
    <cellStyle name="20% - 강조색5 12 7" xfId="0"/>
    <cellStyle name="20% - 강조색5 12 8" xfId="0"/>
    <cellStyle name="20% - 강조색5 12 9" xfId="0"/>
    <cellStyle name="20% - 강조색5 13" xfId="0"/>
    <cellStyle name="20% - 강조색5 13 2" xfId="0"/>
    <cellStyle name="20% - 강조색5 13 3" xfId="0"/>
    <cellStyle name="20% - 강조색5 13 4" xfId="0"/>
    <cellStyle name="20% - 강조색5 13 5" xfId="0"/>
    <cellStyle name="20% - 강조색5 13 6" xfId="0"/>
    <cellStyle name="20% - 강조색5 13 7" xfId="0"/>
    <cellStyle name="20% - 강조색5 13 8" xfId="0"/>
    <cellStyle name="20% - 강조색5 13 9" xfId="0"/>
    <cellStyle name="20% - 강조색5 14" xfId="0"/>
    <cellStyle name="20% - 강조색5 14 2" xfId="0"/>
    <cellStyle name="20% - 강조색5 14 3" xfId="0"/>
    <cellStyle name="20% - 강조색5 14 4" xfId="0"/>
    <cellStyle name="20% - 강조색5 14 5" xfId="0"/>
    <cellStyle name="20% - 강조색5 14 6" xfId="0"/>
    <cellStyle name="20% - 강조색5 14 7" xfId="0"/>
    <cellStyle name="20% - 강조색5 14 8" xfId="0"/>
    <cellStyle name="20% - 강조색5 14 9" xfId="0"/>
    <cellStyle name="20% - 강조색5 15" xfId="0"/>
    <cellStyle name="20% - 강조색5 15 2" xfId="0"/>
    <cellStyle name="20% - 강조색5 15 3" xfId="0"/>
    <cellStyle name="20% - 강조색5 15 4" xfId="0"/>
    <cellStyle name="20% - 강조색5 15 5" xfId="0"/>
    <cellStyle name="20% - 강조색5 15 6" xfId="0"/>
    <cellStyle name="20% - 강조색5 15 7" xfId="0"/>
    <cellStyle name="20% - 강조색5 15 8" xfId="0"/>
    <cellStyle name="20% - 강조색5 15 9" xfId="0"/>
    <cellStyle name="20% - 강조색5 16" xfId="0"/>
    <cellStyle name="20% - 강조색5 16 2" xfId="0"/>
    <cellStyle name="20% - 강조색5 16 3" xfId="0"/>
    <cellStyle name="20% - 강조색5 16 4" xfId="0"/>
    <cellStyle name="20% - 강조색5 16 5" xfId="0"/>
    <cellStyle name="20% - 강조색5 16 6" xfId="0"/>
    <cellStyle name="20% - 강조색5 16 7" xfId="0"/>
    <cellStyle name="20% - 강조색5 16 8" xfId="0"/>
    <cellStyle name="20% - 강조색5 16 9" xfId="0"/>
    <cellStyle name="20% - 강조색5 17" xfId="0"/>
    <cellStyle name="20% - 강조색5 17 2" xfId="0"/>
    <cellStyle name="20% - 강조색5 17 3" xfId="0"/>
    <cellStyle name="20% - 강조색5 17 4" xfId="0"/>
    <cellStyle name="20% - 강조색5 17 5" xfId="0"/>
    <cellStyle name="20% - 강조색5 17 6" xfId="0"/>
    <cellStyle name="20% - 강조색5 17 7" xfId="0"/>
    <cellStyle name="20% - 강조색5 17 8" xfId="0"/>
    <cellStyle name="20% - 강조색5 17 9" xfId="0"/>
    <cellStyle name="20% - 강조색5 18" xfId="0"/>
    <cellStyle name="20% - 강조색5 18 2" xfId="0"/>
    <cellStyle name="20% - 강조색5 18 3" xfId="0"/>
    <cellStyle name="20% - 강조색5 18 4" xfId="0"/>
    <cellStyle name="20% - 강조색5 18 5" xfId="0"/>
    <cellStyle name="20% - 강조색5 18 6" xfId="0"/>
    <cellStyle name="20% - 강조색5 18 7" xfId="0"/>
    <cellStyle name="20% - 강조색5 18 8" xfId="0"/>
    <cellStyle name="20% - 강조색5 18 9" xfId="0"/>
    <cellStyle name="20% - 강조색5 19" xfId="0"/>
    <cellStyle name="20% - 강조색5 19 2" xfId="0"/>
    <cellStyle name="20% - 강조색5 19 3" xfId="0"/>
    <cellStyle name="20% - 강조색5 19 4" xfId="0"/>
    <cellStyle name="20% - 강조색5 19 5" xfId="0"/>
    <cellStyle name="20% - 강조색5 19 6" xfId="0"/>
    <cellStyle name="20% - 강조색5 19 7" xfId="0"/>
    <cellStyle name="20% - 강조색5 19 8" xfId="0"/>
    <cellStyle name="20% - 강조색5 19 9" xfId="0"/>
    <cellStyle name="20% - 강조색5 2" xfId="0"/>
    <cellStyle name="20% - 강조색5 2 10" xfId="0"/>
    <cellStyle name="20% - 강조색5 2 10 2" xfId="0"/>
    <cellStyle name="20% - 강조색5 2 11" xfId="0"/>
    <cellStyle name="20% - 강조색5 2 11 2" xfId="0"/>
    <cellStyle name="20% - 강조색5 2 12" xfId="0"/>
    <cellStyle name="20% - 강조색5 2 12 2" xfId="0"/>
    <cellStyle name="20% - 강조색5 2 13" xfId="0"/>
    <cellStyle name="20% - 강조색5 2 14" xfId="0"/>
    <cellStyle name="20% - 강조색5 2 15" xfId="0"/>
    <cellStyle name="20% - 강조색5 2 16" xfId="0"/>
    <cellStyle name="20% - 강조색5 2 17" xfId="0"/>
    <cellStyle name="20% - 강조색5 2 18" xfId="0"/>
    <cellStyle name="20% - 강조색5 2 19" xfId="0"/>
    <cellStyle name="20% - 강조색5 2 2" xfId="0"/>
    <cellStyle name="20% - 강조색5 2 2 10" xfId="0"/>
    <cellStyle name="20% - 강조색5 2 2 11" xfId="0"/>
    <cellStyle name="20% - 강조색5 2 2 12" xfId="0"/>
    <cellStyle name="20% - 강조색5 2 2 13" xfId="0"/>
    <cellStyle name="20% - 강조색5 2 2 14" xfId="0"/>
    <cellStyle name="20% - 강조색5 2 2 15" xfId="0"/>
    <cellStyle name="20% - 강조색5 2 2 16" xfId="0"/>
    <cellStyle name="20% - 강조색5 2 2 17" xfId="0"/>
    <cellStyle name="20% - 강조색5 2 2 18" xfId="0"/>
    <cellStyle name="20% - 강조색5 2 2 19" xfId="0"/>
    <cellStyle name="20% - 강조색5 2 2 2" xfId="0"/>
    <cellStyle name="20% - 강조색5 2 2 2 2" xfId="0"/>
    <cellStyle name="20% - 강조색5 2 2 2 2 2" xfId="0"/>
    <cellStyle name="20% - 강조색5 2 2 2 2 3" xfId="0"/>
    <cellStyle name="20% - 강조색5 2 2 2 2 4" xfId="0"/>
    <cellStyle name="20% - 강조색5 2 2 2 2 5" xfId="0"/>
    <cellStyle name="20% - 강조색5 2 2 2 2 6" xfId="0"/>
    <cellStyle name="20% - 강조색5 2 2 2 2 7" xfId="0"/>
    <cellStyle name="20% - 강조색5 2 2 2 2 8" xfId="0"/>
    <cellStyle name="20% - 강조색5 2 2 2 2 9" xfId="0"/>
    <cellStyle name="20% - 강조색5 2 2 2 3" xfId="0"/>
    <cellStyle name="20% - 강조색5 2 2 2 4" xfId="0"/>
    <cellStyle name="20% - 강조색5 2 2 2 5" xfId="0"/>
    <cellStyle name="20% - 강조색5 2 2 2 6" xfId="0"/>
    <cellStyle name="20% - 강조색5 2 2 2 7" xfId="0"/>
    <cellStyle name="20% - 강조색5 2 2 2 8" xfId="0"/>
    <cellStyle name="20% - 강조색5 2 2 2 9" xfId="0"/>
    <cellStyle name="20% - 강조색5 2 2 20" xfId="0"/>
    <cellStyle name="20% - 강조색5 2 2 21" xfId="0"/>
    <cellStyle name="20% - 강조색5 2 2 22" xfId="0"/>
    <cellStyle name="20% - 강조색5 2 2 23" xfId="0"/>
    <cellStyle name="20% - 강조색5 2 2 3" xfId="0"/>
    <cellStyle name="20% - 강조색5 2 2 4" xfId="0"/>
    <cellStyle name="20% - 강조색5 2 2 5" xfId="0"/>
    <cellStyle name="20% - 강조색5 2 2 6" xfId="0"/>
    <cellStyle name="20% - 강조색5 2 2 7" xfId="0"/>
    <cellStyle name="20% - 강조색5 2 2 8" xfId="0"/>
    <cellStyle name="20% - 강조색5 2 2 9" xfId="0"/>
    <cellStyle name="20% - 강조색5 2 20" xfId="0"/>
    <cellStyle name="20% - 강조색5 2 21" xfId="0"/>
    <cellStyle name="20% - 강조색5 2 22" xfId="0"/>
    <cellStyle name="20% - 강조색5 2 23" xfId="0"/>
    <cellStyle name="20% - 강조색5 2 3" xfId="0"/>
    <cellStyle name="20% - 강조색5 2 3 10" xfId="0"/>
    <cellStyle name="20% - 강조색5 2 3 2" xfId="0"/>
    <cellStyle name="20% - 강조색5 2 3 3" xfId="0"/>
    <cellStyle name="20% - 강조색5 2 3 4" xfId="0"/>
    <cellStyle name="20% - 강조색5 2 3 5" xfId="0"/>
    <cellStyle name="20% - 강조색5 2 3 6" xfId="0"/>
    <cellStyle name="20% - 강조색5 2 3 7" xfId="0"/>
    <cellStyle name="20% - 강조색5 2 3 8" xfId="0"/>
    <cellStyle name="20% - 강조색5 2 3 9" xfId="0"/>
    <cellStyle name="20% - 강조색5 2 4" xfId="0"/>
    <cellStyle name="20% - 강조색5 2 4 10" xfId="0"/>
    <cellStyle name="20% - 강조색5 2 4 2" xfId="0"/>
    <cellStyle name="20% - 강조색5 2 4 3" xfId="0"/>
    <cellStyle name="20% - 강조색5 2 4 4" xfId="0"/>
    <cellStyle name="20% - 강조색5 2 4 5" xfId="0"/>
    <cellStyle name="20% - 강조색5 2 4 6" xfId="0"/>
    <cellStyle name="20% - 강조색5 2 4 7" xfId="0"/>
    <cellStyle name="20% - 강조색5 2 4 8" xfId="0"/>
    <cellStyle name="20% - 강조색5 2 4 9" xfId="0"/>
    <cellStyle name="20% - 강조색5 2 5" xfId="0"/>
    <cellStyle name="20% - 강조색5 2 5 10" xfId="0"/>
    <cellStyle name="20% - 강조색5 2 5 2" xfId="0"/>
    <cellStyle name="20% - 강조색5 2 5 3" xfId="0"/>
    <cellStyle name="20% - 강조색5 2 5 4" xfId="0"/>
    <cellStyle name="20% - 강조색5 2 5 5" xfId="0"/>
    <cellStyle name="20% - 강조색5 2 5 6" xfId="0"/>
    <cellStyle name="20% - 강조색5 2 5 7" xfId="0"/>
    <cellStyle name="20% - 강조색5 2 5 8" xfId="0"/>
    <cellStyle name="20% - 강조색5 2 5 9" xfId="0"/>
    <cellStyle name="20% - 강조색5 2 6" xfId="0"/>
    <cellStyle name="20% - 강조색5 2 6 10" xfId="0"/>
    <cellStyle name="20% - 강조색5 2 6 2" xfId="0"/>
    <cellStyle name="20% - 강조색5 2 6 3" xfId="0"/>
    <cellStyle name="20% - 강조색5 2 6 4" xfId="0"/>
    <cellStyle name="20% - 강조색5 2 6 5" xfId="0"/>
    <cellStyle name="20% - 강조색5 2 6 6" xfId="0"/>
    <cellStyle name="20% - 강조색5 2 6 7" xfId="0"/>
    <cellStyle name="20% - 강조색5 2 6 8" xfId="0"/>
    <cellStyle name="20% - 강조색5 2 6 9" xfId="0"/>
    <cellStyle name="20% - 강조색5 2 7" xfId="0"/>
    <cellStyle name="20% - 강조색5 2 7 10" xfId="0"/>
    <cellStyle name="20% - 강조색5 2 7 2" xfId="0"/>
    <cellStyle name="20% - 강조색5 2 7 3" xfId="0"/>
    <cellStyle name="20% - 강조색5 2 7 4" xfId="0"/>
    <cellStyle name="20% - 강조색5 2 7 5" xfId="0"/>
    <cellStyle name="20% - 강조색5 2 7 6" xfId="0"/>
    <cellStyle name="20% - 강조색5 2 7 7" xfId="0"/>
    <cellStyle name="20% - 강조색5 2 7 8" xfId="0"/>
    <cellStyle name="20% - 강조색5 2 7 9" xfId="0"/>
    <cellStyle name="20% - 강조색5 2 8" xfId="0"/>
    <cellStyle name="20% - 강조색5 2 8 2" xfId="0"/>
    <cellStyle name="20% - 강조색5 2 9" xfId="0"/>
    <cellStyle name="20% - 강조색5 2 9 2" xfId="0"/>
    <cellStyle name="20% - 강조색5 20" xfId="0"/>
    <cellStyle name="20% - 강조색5 20 2" xfId="0"/>
    <cellStyle name="20% - 강조색5 20 3" xfId="0"/>
    <cellStyle name="20% - 강조색5 20 4" xfId="0"/>
    <cellStyle name="20% - 강조색5 20 5" xfId="0"/>
    <cellStyle name="20% - 강조색5 20 6" xfId="0"/>
    <cellStyle name="20% - 강조색5 20 7" xfId="0"/>
    <cellStyle name="20% - 강조색5 20 8" xfId="0"/>
    <cellStyle name="20% - 강조색5 20 9" xfId="0"/>
    <cellStyle name="20% - 강조색5 21" xfId="0"/>
    <cellStyle name="20% - 강조색5 21 2" xfId="0"/>
    <cellStyle name="20% - 강조색5 21 3" xfId="0"/>
    <cellStyle name="20% - 강조색5 21 4" xfId="0"/>
    <cellStyle name="20% - 강조색5 21 5" xfId="0"/>
    <cellStyle name="20% - 강조색5 21 6" xfId="0"/>
    <cellStyle name="20% - 강조색5 21 7" xfId="0"/>
    <cellStyle name="20% - 강조색5 21 8" xfId="0"/>
    <cellStyle name="20% - 강조색5 21 9" xfId="0"/>
    <cellStyle name="20% - 강조색5 22" xfId="0"/>
    <cellStyle name="20% - 강조색5 22 2" xfId="0"/>
    <cellStyle name="20% - 강조색5 22 3" xfId="0"/>
    <cellStyle name="20% - 강조색5 22 4" xfId="0"/>
    <cellStyle name="20% - 강조색5 22 5" xfId="0"/>
    <cellStyle name="20% - 강조색5 22 6" xfId="0"/>
    <cellStyle name="20% - 강조색5 22 7" xfId="0"/>
    <cellStyle name="20% - 강조색5 22 8" xfId="0"/>
    <cellStyle name="20% - 강조색5 22 9" xfId="0"/>
    <cellStyle name="20% - 강조색5 23" xfId="0"/>
    <cellStyle name="20% - 강조색5 23 2" xfId="0"/>
    <cellStyle name="20% - 강조색5 23 3" xfId="0"/>
    <cellStyle name="20% - 강조색5 23 4" xfId="0"/>
    <cellStyle name="20% - 강조색5 23 5" xfId="0"/>
    <cellStyle name="20% - 강조색5 23 6" xfId="0"/>
    <cellStyle name="20% - 강조색5 23 7" xfId="0"/>
    <cellStyle name="20% - 강조색5 23 8" xfId="0"/>
    <cellStyle name="20% - 강조색5 23 9" xfId="0"/>
    <cellStyle name="20% - 강조색5 24" xfId="0"/>
    <cellStyle name="20% - 강조색5 24 2" xfId="0"/>
    <cellStyle name="20% - 강조색5 24 3" xfId="0"/>
    <cellStyle name="20% - 강조색5 24 4" xfId="0"/>
    <cellStyle name="20% - 강조색5 24 5" xfId="0"/>
    <cellStyle name="20% - 강조색5 24 6" xfId="0"/>
    <cellStyle name="20% - 강조색5 24 7" xfId="0"/>
    <cellStyle name="20% - 강조색5 24 8" xfId="0"/>
    <cellStyle name="20% - 강조색5 24 9" xfId="0"/>
    <cellStyle name="20% - 강조색5 25" xfId="0"/>
    <cellStyle name="20% - 강조색5 25 2" xfId="0"/>
    <cellStyle name="20% - 강조색5 25 3" xfId="0"/>
    <cellStyle name="20% - 강조색5 25 4" xfId="0"/>
    <cellStyle name="20% - 강조색5 25 5" xfId="0"/>
    <cellStyle name="20% - 강조색5 25 6" xfId="0"/>
    <cellStyle name="20% - 강조색5 25 7" xfId="0"/>
    <cellStyle name="20% - 강조색5 25 8" xfId="0"/>
    <cellStyle name="20% - 강조색5 25 9" xfId="0"/>
    <cellStyle name="20% - 강조색5 26" xfId="0"/>
    <cellStyle name="20% - 강조색5 26 2" xfId="0"/>
    <cellStyle name="20% - 강조색5 26 3" xfId="0"/>
    <cellStyle name="20% - 강조색5 26 4" xfId="0"/>
    <cellStyle name="20% - 강조색5 26 5" xfId="0"/>
    <cellStyle name="20% - 강조색5 26 6" xfId="0"/>
    <cellStyle name="20% - 강조색5 26 7" xfId="0"/>
    <cellStyle name="20% - 강조색5 26 8" xfId="0"/>
    <cellStyle name="20% - 강조색5 26 9" xfId="0"/>
    <cellStyle name="20% - 강조색5 27" xfId="0"/>
    <cellStyle name="20% - 강조색5 27 2" xfId="0"/>
    <cellStyle name="20% - 강조색5 27 3" xfId="0"/>
    <cellStyle name="20% - 강조색5 27 4" xfId="0"/>
    <cellStyle name="20% - 강조색5 27 5" xfId="0"/>
    <cellStyle name="20% - 강조색5 27 6" xfId="0"/>
    <cellStyle name="20% - 강조색5 27 7" xfId="0"/>
    <cellStyle name="20% - 강조색5 27 8" xfId="0"/>
    <cellStyle name="20% - 강조색5 27 9" xfId="0"/>
    <cellStyle name="20% - 강조색5 28 2" xfId="0"/>
    <cellStyle name="20% - 강조색5 28 3" xfId="0"/>
    <cellStyle name="20% - 강조색5 28 4" xfId="0"/>
    <cellStyle name="20% - 강조색5 28 5" xfId="0"/>
    <cellStyle name="20% - 강조색5 28 6" xfId="0"/>
    <cellStyle name="20% - 강조색5 28 7" xfId="0"/>
    <cellStyle name="20% - 강조색5 28 8" xfId="0"/>
    <cellStyle name="20% - 강조색5 28 9" xfId="0"/>
    <cellStyle name="20% - 강조색5 29 2" xfId="0"/>
    <cellStyle name="20% - 강조색5 29 3" xfId="0"/>
    <cellStyle name="20% - 강조색5 29 4" xfId="0"/>
    <cellStyle name="20% - 강조색5 29 5" xfId="0"/>
    <cellStyle name="20% - 강조색5 29 6" xfId="0"/>
    <cellStyle name="20% - 강조색5 29 7" xfId="0"/>
    <cellStyle name="20% - 강조색5 29 8" xfId="0"/>
    <cellStyle name="20% - 강조색5 29 9" xfId="0"/>
    <cellStyle name="20% - 강조색5 2_3300현금및예치금" xfId="0"/>
    <cellStyle name="20% - 강조색5 3" xfId="0"/>
    <cellStyle name="20% - 강조색5 3 10" xfId="0"/>
    <cellStyle name="20% - 강조색5 3 10 2" xfId="0"/>
    <cellStyle name="20% - 강조색5 3 10 3" xfId="0"/>
    <cellStyle name="20% - 강조색5 3 11" xfId="0"/>
    <cellStyle name="20% - 강조색5 3 11 2" xfId="0"/>
    <cellStyle name="20% - 강조색5 3 11 3" xfId="0"/>
    <cellStyle name="20% - 강조색5 3 12" xfId="0"/>
    <cellStyle name="20% - 강조색5 3 12 2" xfId="0"/>
    <cellStyle name="20% - 강조색5 3 12 3" xfId="0"/>
    <cellStyle name="20% - 강조색5 3 13" xfId="0"/>
    <cellStyle name="20% - 강조색5 3 14" xfId="0"/>
    <cellStyle name="20% - 강조색5 3 15" xfId="0"/>
    <cellStyle name="20% - 강조색5 3 16" xfId="0"/>
    <cellStyle name="20% - 강조색5 3 17" xfId="0"/>
    <cellStyle name="20% - 강조색5 3 18" xfId="0"/>
    <cellStyle name="20% - 강조색5 3 19" xfId="0"/>
    <cellStyle name="20% - 강조색5 3 19 2" xfId="0"/>
    <cellStyle name="20% - 강조색5 3 2" xfId="0"/>
    <cellStyle name="20% - 강조색5 3 2 2" xfId="0"/>
    <cellStyle name="20% - 강조색5 3 2 3" xfId="0"/>
    <cellStyle name="20% - 강조색5 3 20" xfId="0"/>
    <cellStyle name="20% - 강조색5 3 21" xfId="0"/>
    <cellStyle name="20% - 강조색5 3 22" xfId="0"/>
    <cellStyle name="20% - 강조색5 3 23" xfId="0"/>
    <cellStyle name="20% - 강조색5 3 3" xfId="0"/>
    <cellStyle name="20% - 강조색5 3 3 2" xfId="0"/>
    <cellStyle name="20% - 강조색5 3 3 3" xfId="0"/>
    <cellStyle name="20% - 강조색5 3 4" xfId="0"/>
    <cellStyle name="20% - 강조색5 3 4 2" xfId="0"/>
    <cellStyle name="20% - 강조색5 3 4 3" xfId="0"/>
    <cellStyle name="20% - 강조색5 3 5" xfId="0"/>
    <cellStyle name="20% - 강조색5 3 5 2" xfId="0"/>
    <cellStyle name="20% - 강조색5 3 5 3" xfId="0"/>
    <cellStyle name="20% - 강조색5 3 6" xfId="0"/>
    <cellStyle name="20% - 강조색5 3 6 2" xfId="0"/>
    <cellStyle name="20% - 강조색5 3 6 3" xfId="0"/>
    <cellStyle name="20% - 강조색5 3 7" xfId="0"/>
    <cellStyle name="20% - 강조색5 3 7 2" xfId="0"/>
    <cellStyle name="20% - 강조색5 3 7 3" xfId="0"/>
    <cellStyle name="20% - 강조색5 3 8" xfId="0"/>
    <cellStyle name="20% - 강조색5 3 8 2" xfId="0"/>
    <cellStyle name="20% - 강조색5 3 8 3" xfId="0"/>
    <cellStyle name="20% - 강조색5 3 9" xfId="0"/>
    <cellStyle name="20% - 강조색5 3 9 2" xfId="0"/>
    <cellStyle name="20% - 강조색5 3 9 3" xfId="0"/>
    <cellStyle name="20% - 강조색5 30 2" xfId="0"/>
    <cellStyle name="20% - 강조색5 30 3" xfId="0"/>
    <cellStyle name="20% - 강조색5 30 4" xfId="0"/>
    <cellStyle name="20% - 강조색5 30 5" xfId="0"/>
    <cellStyle name="20% - 강조색5 30 6" xfId="0"/>
    <cellStyle name="20% - 강조색5 30 7" xfId="0"/>
    <cellStyle name="20% - 강조색5 30 8" xfId="0"/>
    <cellStyle name="20% - 강조색5 30 9" xfId="0"/>
    <cellStyle name="20% - 강조색5 31 2" xfId="0"/>
    <cellStyle name="20% - 강조색5 31 3" xfId="0"/>
    <cellStyle name="20% - 강조색5 31 4" xfId="0"/>
    <cellStyle name="20% - 강조색5 31 5" xfId="0"/>
    <cellStyle name="20% - 강조색5 31 6" xfId="0"/>
    <cellStyle name="20% - 강조색5 31 7" xfId="0"/>
    <cellStyle name="20% - 강조색5 31 8" xfId="0"/>
    <cellStyle name="20% - 강조색5 31 9" xfId="0"/>
    <cellStyle name="20% - 강조색5 32 2" xfId="0"/>
    <cellStyle name="20% - 강조색5 32 3" xfId="0"/>
    <cellStyle name="20% - 강조색5 32 4" xfId="0"/>
    <cellStyle name="20% - 강조색5 32 5" xfId="0"/>
    <cellStyle name="20% - 강조색5 32 6" xfId="0"/>
    <cellStyle name="20% - 강조색5 32 7" xfId="0"/>
    <cellStyle name="20% - 강조색5 32 8" xfId="0"/>
    <cellStyle name="20% - 강조색5 32 9" xfId="0"/>
    <cellStyle name="20% - 강조색5 33 2" xfId="0"/>
    <cellStyle name="20% - 강조색5 33 3" xfId="0"/>
    <cellStyle name="20% - 강조색5 33 4" xfId="0"/>
    <cellStyle name="20% - 강조색5 33 5" xfId="0"/>
    <cellStyle name="20% - 강조색5 33 6" xfId="0"/>
    <cellStyle name="20% - 강조색5 33 7" xfId="0"/>
    <cellStyle name="20% - 강조색5 33 8" xfId="0"/>
    <cellStyle name="20% - 강조색5 33 9" xfId="0"/>
    <cellStyle name="20% - 강조색5 34 2" xfId="0"/>
    <cellStyle name="20% - 강조색5 34 3" xfId="0"/>
    <cellStyle name="20% - 강조색5 34 4" xfId="0"/>
    <cellStyle name="20% - 강조색5 34 5" xfId="0"/>
    <cellStyle name="20% - 강조색5 34 6" xfId="0"/>
    <cellStyle name="20% - 강조색5 34 7" xfId="0"/>
    <cellStyle name="20% - 강조색5 34 8" xfId="0"/>
    <cellStyle name="20% - 강조색5 34 9" xfId="0"/>
    <cellStyle name="20% - 강조색5 35 2" xfId="0"/>
    <cellStyle name="20% - 강조색5 35 3" xfId="0"/>
    <cellStyle name="20% - 강조색5 35 4" xfId="0"/>
    <cellStyle name="20% - 강조색5 35 5" xfId="0"/>
    <cellStyle name="20% - 강조색5 35 6" xfId="0"/>
    <cellStyle name="20% - 강조색5 35 7" xfId="0"/>
    <cellStyle name="20% - 강조색5 35 8" xfId="0"/>
    <cellStyle name="20% - 강조색5 35 9" xfId="0"/>
    <cellStyle name="20% - 강조색5 3_운용자산별 손익분석" xfId="0"/>
    <cellStyle name="20% - 강조색5 4" xfId="0"/>
    <cellStyle name="20% - 강조색5 4 10" xfId="0"/>
    <cellStyle name="20% - 강조색5 4 11" xfId="0"/>
    <cellStyle name="20% - 강조색5 4 12" xfId="0"/>
    <cellStyle name="20% - 강조색5 4 13" xfId="0"/>
    <cellStyle name="20% - 강조색5 4 14" xfId="0"/>
    <cellStyle name="20% - 강조색5 4 15" xfId="0"/>
    <cellStyle name="20% - 강조색5 4 16" xfId="0"/>
    <cellStyle name="20% - 강조색5 4 17" xfId="0"/>
    <cellStyle name="20% - 강조색5 4 18" xfId="0"/>
    <cellStyle name="20% - 강조색5 4 19" xfId="0"/>
    <cellStyle name="20% - 강조색5 4 2" xfId="0"/>
    <cellStyle name="20% - 강조색5 4 20" xfId="0"/>
    <cellStyle name="20% - 강조색5 4 21" xfId="0"/>
    <cellStyle name="20% - 강조색5 4 22" xfId="0"/>
    <cellStyle name="20% - 강조색5 4 23" xfId="0"/>
    <cellStyle name="20% - 강조색5 4 24" xfId="0"/>
    <cellStyle name="20% - 강조색5 4 3" xfId="0"/>
    <cellStyle name="20% - 강조색5 4 4" xfId="0"/>
    <cellStyle name="20% - 강조색5 4 5" xfId="0"/>
    <cellStyle name="20% - 강조색5 4 6" xfId="0"/>
    <cellStyle name="20% - 강조색5 4 7" xfId="0"/>
    <cellStyle name="20% - 강조색5 4 8" xfId="0"/>
    <cellStyle name="20% - 강조색5 4 9" xfId="0"/>
    <cellStyle name="20% - 강조색5 4_운용자산별 손익분석" xfId="0"/>
    <cellStyle name="20% - 강조색5 5" xfId="0"/>
    <cellStyle name="20% - 강조색5 5 10" xfId="0"/>
    <cellStyle name="20% - 강조색5 5 11" xfId="0"/>
    <cellStyle name="20% - 강조색5 5 12" xfId="0"/>
    <cellStyle name="20% - 강조색5 5 13" xfId="0"/>
    <cellStyle name="20% - 강조색5 5 14" xfId="0"/>
    <cellStyle name="20% - 강조색5 5 15" xfId="0"/>
    <cellStyle name="20% - 강조색5 5 16" xfId="0"/>
    <cellStyle name="20% - 강조색5 5 17" xfId="0"/>
    <cellStyle name="20% - 강조색5 5 18" xfId="0"/>
    <cellStyle name="20% - 강조색5 5 19" xfId="0"/>
    <cellStyle name="20% - 강조색5 5 2" xfId="0"/>
    <cellStyle name="20% - 강조색5 5 20" xfId="0"/>
    <cellStyle name="20% - 강조색5 5 21" xfId="0"/>
    <cellStyle name="20% - 강조색5 5 22" xfId="0"/>
    <cellStyle name="20% - 강조색5 5 23" xfId="0"/>
    <cellStyle name="20% - 강조색5 5 24" xfId="0"/>
    <cellStyle name="20% - 강조색5 5 25" xfId="0"/>
    <cellStyle name="20% - 강조색5 5 26" xfId="0"/>
    <cellStyle name="20% - 강조색5 5 27" xfId="0"/>
    <cellStyle name="20% - 강조색5 5 28" xfId="0"/>
    <cellStyle name="20% - 강조색5 5 29" xfId="0"/>
    <cellStyle name="20% - 강조색5 5 3" xfId="0"/>
    <cellStyle name="20% - 강조색5 5 30" xfId="0"/>
    <cellStyle name="20% - 강조색5 5 31" xfId="0"/>
    <cellStyle name="20% - 강조색5 5 32" xfId="0"/>
    <cellStyle name="20% - 강조색5 5 33" xfId="0"/>
    <cellStyle name="20% - 강조색5 5 34" xfId="0"/>
    <cellStyle name="20% - 강조색5 5 4" xfId="0"/>
    <cellStyle name="20% - 강조색5 5 5" xfId="0"/>
    <cellStyle name="20% - 강조색5 5 6" xfId="0"/>
    <cellStyle name="20% - 강조색5 5 7" xfId="0"/>
    <cellStyle name="20% - 강조색5 5 8" xfId="0"/>
    <cellStyle name="20% - 강조색5 5 9" xfId="0"/>
    <cellStyle name="20% - 강조색5 6" xfId="0"/>
    <cellStyle name="20% - 강조색5 6 10" xfId="0"/>
    <cellStyle name="20% - 강조색5 6 11" xfId="0"/>
    <cellStyle name="20% - 강조색5 6 12" xfId="0"/>
    <cellStyle name="20% - 강조색5 6 13" xfId="0"/>
    <cellStyle name="20% - 강조색5 6 14" xfId="0"/>
    <cellStyle name="20% - 강조색5 6 15" xfId="0"/>
    <cellStyle name="20% - 강조색5 6 16" xfId="0"/>
    <cellStyle name="20% - 강조색5 6 17" xfId="0"/>
    <cellStyle name="20% - 강조색5 6 18" xfId="0"/>
    <cellStyle name="20% - 강조색5 6 19" xfId="0"/>
    <cellStyle name="20% - 강조색5 6 2" xfId="0"/>
    <cellStyle name="20% - 강조색5 6 20" xfId="0"/>
    <cellStyle name="20% - 강조색5 6 21" xfId="0"/>
    <cellStyle name="20% - 강조색5 6 22" xfId="0"/>
    <cellStyle name="20% - 강조색5 6 23" xfId="0"/>
    <cellStyle name="20% - 강조색5 6 24" xfId="0"/>
    <cellStyle name="20% - 강조색5 6 25" xfId="0"/>
    <cellStyle name="20% - 강조색5 6 26" xfId="0"/>
    <cellStyle name="20% - 강조색5 6 27" xfId="0"/>
    <cellStyle name="20% - 강조색5 6 28" xfId="0"/>
    <cellStyle name="20% - 강조색5 6 29" xfId="0"/>
    <cellStyle name="20% - 강조색5 6 3" xfId="0"/>
    <cellStyle name="20% - 강조색5 6 30" xfId="0"/>
    <cellStyle name="20% - 강조색5 6 4" xfId="0"/>
    <cellStyle name="20% - 강조색5 6 5" xfId="0"/>
    <cellStyle name="20% - 강조색5 6 6" xfId="0"/>
    <cellStyle name="20% - 강조색5 6 7" xfId="0"/>
    <cellStyle name="20% - 강조색5 6 8" xfId="0"/>
    <cellStyle name="20% - 강조색5 6 9" xfId="0"/>
    <cellStyle name="20% - 강조색5 7" xfId="0"/>
    <cellStyle name="20% - 강조색5 7 10" xfId="0"/>
    <cellStyle name="20% - 강조색5 7 11" xfId="0"/>
    <cellStyle name="20% - 강조색5 7 12" xfId="0"/>
    <cellStyle name="20% - 강조색5 7 13" xfId="0"/>
    <cellStyle name="20% - 강조색5 7 14" xfId="0"/>
    <cellStyle name="20% - 강조색5 7 15" xfId="0"/>
    <cellStyle name="20% - 강조색5 7 16" xfId="0"/>
    <cellStyle name="20% - 강조색5 7 17" xfId="0"/>
    <cellStyle name="20% - 강조색5 7 18" xfId="0"/>
    <cellStyle name="20% - 강조색5 7 19" xfId="0"/>
    <cellStyle name="20% - 강조색5 7 2" xfId="0"/>
    <cellStyle name="20% - 강조색5 7 2 2" xfId="0"/>
    <cellStyle name="20% - 강조색5 7 2 3" xfId="0"/>
    <cellStyle name="20% - 강조색5 7 20" xfId="0"/>
    <cellStyle name="20% - 강조색5 7 21" xfId="0"/>
    <cellStyle name="20% - 강조색5 7 22" xfId="0"/>
    <cellStyle name="20% - 강조색5 7 23" xfId="0"/>
    <cellStyle name="20% - 강조색5 7 24" xfId="0"/>
    <cellStyle name="20% - 강조색5 7 3" xfId="0"/>
    <cellStyle name="20% - 강조색5 7 3 2" xfId="0"/>
    <cellStyle name="20% - 강조색5 7 3 3" xfId="0"/>
    <cellStyle name="20% - 강조색5 7 4" xfId="0"/>
    <cellStyle name="20% - 강조색5 7 4 2" xfId="0"/>
    <cellStyle name="20% - 강조색5 7 4 3" xfId="0"/>
    <cellStyle name="20% - 강조색5 7 5" xfId="0"/>
    <cellStyle name="20% - 강조색5 7 5 2" xfId="0"/>
    <cellStyle name="20% - 강조색5 7 5 3" xfId="0"/>
    <cellStyle name="20% - 강조색5 7 6" xfId="0"/>
    <cellStyle name="20% - 강조색5 7 6 2" xfId="0"/>
    <cellStyle name="20% - 강조색5 7 6 3" xfId="0"/>
    <cellStyle name="20% - 강조색5 7 7" xfId="0"/>
    <cellStyle name="20% - 강조색5 7 8" xfId="0"/>
    <cellStyle name="20% - 강조색5 7 9" xfId="0"/>
    <cellStyle name="20% - 강조색5 8" xfId="0"/>
    <cellStyle name="20% - 강조색5 8 10" xfId="0"/>
    <cellStyle name="20% - 강조색5 8 11" xfId="0"/>
    <cellStyle name="20% - 강조색5 8 12" xfId="0"/>
    <cellStyle name="20% - 강조색5 8 13" xfId="0"/>
    <cellStyle name="20% - 강조색5 8 14" xfId="0"/>
    <cellStyle name="20% - 강조색5 8 15" xfId="0"/>
    <cellStyle name="20% - 강조색5 8 16" xfId="0"/>
    <cellStyle name="20% - 강조색5 8 17" xfId="0"/>
    <cellStyle name="20% - 강조색5 8 18" xfId="0"/>
    <cellStyle name="20% - 강조색5 8 19" xfId="0"/>
    <cellStyle name="20% - 강조색5 8 2" xfId="0"/>
    <cellStyle name="20% - 강조색5 8 2 2" xfId="0"/>
    <cellStyle name="20% - 강조색5 8 2 3" xfId="0"/>
    <cellStyle name="20% - 강조색5 8 20" xfId="0"/>
    <cellStyle name="20% - 강조색5 8 21" xfId="0"/>
    <cellStyle name="20% - 강조색5 8 22" xfId="0"/>
    <cellStyle name="20% - 강조색5 8 23" xfId="0"/>
    <cellStyle name="20% - 강조색5 8 24" xfId="0"/>
    <cellStyle name="20% - 강조색5 8 3" xfId="0"/>
    <cellStyle name="20% - 강조색5 8 3 2" xfId="0"/>
    <cellStyle name="20% - 강조색5 8 3 3" xfId="0"/>
    <cellStyle name="20% - 강조색5 8 4" xfId="0"/>
    <cellStyle name="20% - 강조색5 8 4 2" xfId="0"/>
    <cellStyle name="20% - 강조색5 8 4 3" xfId="0"/>
    <cellStyle name="20% - 강조색5 8 5" xfId="0"/>
    <cellStyle name="20% - 강조색5 8 5 2" xfId="0"/>
    <cellStyle name="20% - 강조색5 8 5 3" xfId="0"/>
    <cellStyle name="20% - 강조색5 8 6" xfId="0"/>
    <cellStyle name="20% - 강조색5 8 6 2" xfId="0"/>
    <cellStyle name="20% - 강조색5 8 6 3" xfId="0"/>
    <cellStyle name="20% - 강조색5 8 7" xfId="0"/>
    <cellStyle name="20% - 강조색5 8 8" xfId="0"/>
    <cellStyle name="20% - 강조색5 8 9" xfId="0"/>
    <cellStyle name="20% - 강조색5 9" xfId="0"/>
    <cellStyle name="20% - 강조색5 9 10" xfId="0"/>
    <cellStyle name="20% - 강조색5 9 11" xfId="0"/>
    <cellStyle name="20% - 강조색5 9 12" xfId="0"/>
    <cellStyle name="20% - 강조색5 9 13" xfId="0"/>
    <cellStyle name="20% - 강조색5 9 14" xfId="0"/>
    <cellStyle name="20% - 강조색5 9 15" xfId="0"/>
    <cellStyle name="20% - 강조색5 9 16" xfId="0"/>
    <cellStyle name="20% - 강조색5 9 17" xfId="0"/>
    <cellStyle name="20% - 강조색5 9 18" xfId="0"/>
    <cellStyle name="20% - 강조색5 9 19" xfId="0"/>
    <cellStyle name="20% - 강조색5 9 2" xfId="0"/>
    <cellStyle name="20% - 강조색5 9 2 2" xfId="0"/>
    <cellStyle name="20% - 강조색5 9 2 3" xfId="0"/>
    <cellStyle name="20% - 강조색5 9 20" xfId="0"/>
    <cellStyle name="20% - 강조색5 9 21" xfId="0"/>
    <cellStyle name="20% - 강조색5 9 22" xfId="0"/>
    <cellStyle name="20% - 강조색5 9 23" xfId="0"/>
    <cellStyle name="20% - 강조색5 9 24" xfId="0"/>
    <cellStyle name="20% - 강조색5 9 3" xfId="0"/>
    <cellStyle name="20% - 강조색5 9 3 2" xfId="0"/>
    <cellStyle name="20% - 강조색5 9 3 3" xfId="0"/>
    <cellStyle name="20% - 강조색5 9 4" xfId="0"/>
    <cellStyle name="20% - 강조색5 9 4 2" xfId="0"/>
    <cellStyle name="20% - 강조색5 9 4 3" xfId="0"/>
    <cellStyle name="20% - 강조색5 9 5" xfId="0"/>
    <cellStyle name="20% - 강조색5 9 5 2" xfId="0"/>
    <cellStyle name="20% - 강조색5 9 5 3" xfId="0"/>
    <cellStyle name="20% - 강조색5 9 6" xfId="0"/>
    <cellStyle name="20% - 강조색5 9 6 2" xfId="0"/>
    <cellStyle name="20% - 강조색5 9 6 3" xfId="0"/>
    <cellStyle name="20% - 강조색5 9 7" xfId="0"/>
    <cellStyle name="20% - 강조색5 9 8" xfId="0"/>
    <cellStyle name="20% - 강조색5 9 9" xfId="0"/>
    <cellStyle name="20% - 강조색6 10" xfId="0"/>
    <cellStyle name="20% - 강조색6 10 10" xfId="0"/>
    <cellStyle name="20% - 강조색6 10 11" xfId="0"/>
    <cellStyle name="20% - 강조색6 10 12" xfId="0"/>
    <cellStyle name="20% - 강조색6 10 13" xfId="0"/>
    <cellStyle name="20% - 강조색6 10 14" xfId="0"/>
    <cellStyle name="20% - 강조색6 10 15" xfId="0"/>
    <cellStyle name="20% - 강조색6 10 16" xfId="0"/>
    <cellStyle name="20% - 강조색6 10 17" xfId="0"/>
    <cellStyle name="20% - 강조색6 10 18" xfId="0"/>
    <cellStyle name="20% - 강조색6 10 19" xfId="0"/>
    <cellStyle name="20% - 강조색6 10 2" xfId="0"/>
    <cellStyle name="20% - 강조색6 10 2 2" xfId="0"/>
    <cellStyle name="20% - 강조색6 10 2 3" xfId="0"/>
    <cellStyle name="20% - 강조색6 10 20" xfId="0"/>
    <cellStyle name="20% - 강조색6 10 21" xfId="0"/>
    <cellStyle name="20% - 강조색6 10 22" xfId="0"/>
    <cellStyle name="20% - 강조색6 10 23" xfId="0"/>
    <cellStyle name="20% - 강조색6 10 24" xfId="0"/>
    <cellStyle name="20% - 강조색6 10 3" xfId="0"/>
    <cellStyle name="20% - 강조색6 10 3 2" xfId="0"/>
    <cellStyle name="20% - 강조색6 10 3 3" xfId="0"/>
    <cellStyle name="20% - 강조색6 10 4" xfId="0"/>
    <cellStyle name="20% - 강조색6 10 4 2" xfId="0"/>
    <cellStyle name="20% - 강조색6 10 4 3" xfId="0"/>
    <cellStyle name="20% - 강조색6 10 5" xfId="0"/>
    <cellStyle name="20% - 강조색6 10 5 2" xfId="0"/>
    <cellStyle name="20% - 강조색6 10 5 3" xfId="0"/>
    <cellStyle name="20% - 강조색6 10 6" xfId="0"/>
    <cellStyle name="20% - 강조색6 10 6 2" xfId="0"/>
    <cellStyle name="20% - 강조색6 10 6 3" xfId="0"/>
    <cellStyle name="20% - 강조색6 10 7" xfId="0"/>
    <cellStyle name="20% - 강조색6 10 8" xfId="0"/>
    <cellStyle name="20% - 강조색6 10 9" xfId="0"/>
    <cellStyle name="20% - 강조색6 11" xfId="0"/>
    <cellStyle name="20% - 강조색6 11 10" xfId="0"/>
    <cellStyle name="20% - 강조색6 11 2" xfId="0"/>
    <cellStyle name="20% - 강조색6 11 2 2" xfId="0"/>
    <cellStyle name="20% - 강조색6 11 2 3" xfId="0"/>
    <cellStyle name="20% - 강조색6 11 3" xfId="0"/>
    <cellStyle name="20% - 강조색6 11 3 2" xfId="0"/>
    <cellStyle name="20% - 강조색6 11 3 3" xfId="0"/>
    <cellStyle name="20% - 강조색6 11 4" xfId="0"/>
    <cellStyle name="20% - 강조색6 11 4 2" xfId="0"/>
    <cellStyle name="20% - 강조색6 11 4 3" xfId="0"/>
    <cellStyle name="20% - 강조색6 11 5" xfId="0"/>
    <cellStyle name="20% - 강조색6 11 5 2" xfId="0"/>
    <cellStyle name="20% - 강조색6 11 5 3" xfId="0"/>
    <cellStyle name="20% - 강조색6 11 6" xfId="0"/>
    <cellStyle name="20% - 강조색6 11 6 2" xfId="0"/>
    <cellStyle name="20% - 강조색6 11 6 3" xfId="0"/>
    <cellStyle name="20% - 강조색6 11 7" xfId="0"/>
    <cellStyle name="20% - 강조색6 11 8" xfId="0"/>
    <cellStyle name="20% - 강조색6 11 9" xfId="0"/>
    <cellStyle name="20% - 강조색6 12" xfId="0"/>
    <cellStyle name="20% - 강조색6 12 2" xfId="0"/>
    <cellStyle name="20% - 강조색6 12 3" xfId="0"/>
    <cellStyle name="20% - 강조색6 12 4" xfId="0"/>
    <cellStyle name="20% - 강조색6 12 5" xfId="0"/>
    <cellStyle name="20% - 강조색6 12 6" xfId="0"/>
    <cellStyle name="20% - 강조색6 12 7" xfId="0"/>
    <cellStyle name="20% - 강조색6 12 8" xfId="0"/>
    <cellStyle name="20% - 강조색6 12 9" xfId="0"/>
    <cellStyle name="20% - 강조색6 13" xfId="0"/>
    <cellStyle name="20% - 강조색6 13 2" xfId="0"/>
    <cellStyle name="20% - 강조색6 13 3" xfId="0"/>
    <cellStyle name="20% - 강조색6 13 4" xfId="0"/>
    <cellStyle name="20% - 강조색6 13 5" xfId="0"/>
    <cellStyle name="20% - 강조색6 13 6" xfId="0"/>
    <cellStyle name="20% - 강조색6 13 7" xfId="0"/>
    <cellStyle name="20% - 강조색6 13 8" xfId="0"/>
    <cellStyle name="20% - 강조색6 13 9" xfId="0"/>
    <cellStyle name="20% - 강조색6 14" xfId="0"/>
    <cellStyle name="20% - 강조색6 14 2" xfId="0"/>
    <cellStyle name="20% - 강조색6 14 3" xfId="0"/>
    <cellStyle name="20% - 강조색6 14 4" xfId="0"/>
    <cellStyle name="20% - 강조색6 14 5" xfId="0"/>
    <cellStyle name="20% - 강조색6 14 6" xfId="0"/>
    <cellStyle name="20% - 강조색6 14 7" xfId="0"/>
    <cellStyle name="20% - 강조색6 14 8" xfId="0"/>
    <cellStyle name="20% - 강조색6 14 9" xfId="0"/>
    <cellStyle name="20% - 강조색6 15" xfId="0"/>
    <cellStyle name="20% - 강조색6 15 2" xfId="0"/>
    <cellStyle name="20% - 강조색6 15 3" xfId="0"/>
    <cellStyle name="20% - 강조색6 15 4" xfId="0"/>
    <cellStyle name="20% - 강조색6 15 5" xfId="0"/>
    <cellStyle name="20% - 강조색6 15 6" xfId="0"/>
    <cellStyle name="20% - 강조색6 15 7" xfId="0"/>
    <cellStyle name="20% - 강조색6 15 8" xfId="0"/>
    <cellStyle name="20% - 강조색6 15 9" xfId="0"/>
    <cellStyle name="20% - 강조색6 16" xfId="0"/>
    <cellStyle name="20% - 강조색6 16 2" xfId="0"/>
    <cellStyle name="20% - 강조색6 16 3" xfId="0"/>
    <cellStyle name="20% - 강조색6 16 4" xfId="0"/>
    <cellStyle name="20% - 강조색6 16 5" xfId="0"/>
    <cellStyle name="20% - 강조색6 16 6" xfId="0"/>
    <cellStyle name="20% - 강조색6 16 7" xfId="0"/>
    <cellStyle name="20% - 강조색6 16 8" xfId="0"/>
    <cellStyle name="20% - 강조색6 16 9" xfId="0"/>
    <cellStyle name="20% - 강조색6 17" xfId="0"/>
    <cellStyle name="20% - 강조색6 17 2" xfId="0"/>
    <cellStyle name="20% - 강조색6 17 3" xfId="0"/>
    <cellStyle name="20% - 강조색6 17 4" xfId="0"/>
    <cellStyle name="20% - 강조색6 17 5" xfId="0"/>
    <cellStyle name="20% - 강조색6 17 6" xfId="0"/>
    <cellStyle name="20% - 강조색6 17 7" xfId="0"/>
    <cellStyle name="20% - 강조색6 17 8" xfId="0"/>
    <cellStyle name="20% - 강조색6 17 9" xfId="0"/>
    <cellStyle name="20% - 강조색6 18" xfId="0"/>
    <cellStyle name="20% - 강조색6 18 2" xfId="0"/>
    <cellStyle name="20% - 강조색6 18 3" xfId="0"/>
    <cellStyle name="20% - 강조색6 18 4" xfId="0"/>
    <cellStyle name="20% - 강조색6 18 5" xfId="0"/>
    <cellStyle name="20% - 강조색6 18 6" xfId="0"/>
    <cellStyle name="20% - 강조색6 18 7" xfId="0"/>
    <cellStyle name="20% - 강조색6 18 8" xfId="0"/>
    <cellStyle name="20% - 강조색6 18 9" xfId="0"/>
    <cellStyle name="20% - 강조색6 19" xfId="0"/>
    <cellStyle name="20% - 강조색6 19 2" xfId="0"/>
    <cellStyle name="20% - 강조색6 19 3" xfId="0"/>
    <cellStyle name="20% - 강조색6 19 4" xfId="0"/>
    <cellStyle name="20% - 강조색6 19 5" xfId="0"/>
    <cellStyle name="20% - 강조색6 19 6" xfId="0"/>
    <cellStyle name="20% - 강조색6 19 7" xfId="0"/>
    <cellStyle name="20% - 강조색6 19 8" xfId="0"/>
    <cellStyle name="20% - 강조색6 19 9" xfId="0"/>
    <cellStyle name="20% - 강조색6 2" xfId="0"/>
    <cellStyle name="20% - 강조색6 2 10" xfId="0"/>
    <cellStyle name="20% - 강조색6 2 10 2" xfId="0"/>
    <cellStyle name="20% - 강조색6 2 11" xfId="0"/>
    <cellStyle name="20% - 강조색6 2 11 2" xfId="0"/>
    <cellStyle name="20% - 강조색6 2 12" xfId="0"/>
    <cellStyle name="20% - 강조색6 2 12 2" xfId="0"/>
    <cellStyle name="20% - 강조색6 2 13" xfId="0"/>
    <cellStyle name="20% - 강조색6 2 14" xfId="0"/>
    <cellStyle name="20% - 강조색6 2 15" xfId="0"/>
    <cellStyle name="20% - 강조색6 2 16" xfId="0"/>
    <cellStyle name="20% - 강조색6 2 17" xfId="0"/>
    <cellStyle name="20% - 강조색6 2 18" xfId="0"/>
    <cellStyle name="20% - 강조색6 2 19" xfId="0"/>
    <cellStyle name="20% - 강조색6 2 2" xfId="0"/>
    <cellStyle name="20% - 강조색6 2 2 10" xfId="0"/>
    <cellStyle name="20% - 강조색6 2 2 11" xfId="0"/>
    <cellStyle name="20% - 강조색6 2 2 12" xfId="0"/>
    <cellStyle name="20% - 강조색6 2 2 13" xfId="0"/>
    <cellStyle name="20% - 강조색6 2 2 14" xfId="0"/>
    <cellStyle name="20% - 강조색6 2 2 15" xfId="0"/>
    <cellStyle name="20% - 강조색6 2 2 16" xfId="0"/>
    <cellStyle name="20% - 강조색6 2 2 17" xfId="0"/>
    <cellStyle name="20% - 강조색6 2 2 18" xfId="0"/>
    <cellStyle name="20% - 강조색6 2 2 19" xfId="0"/>
    <cellStyle name="20% - 강조색6 2 2 2" xfId="0"/>
    <cellStyle name="20% - 강조색6 2 2 2 2" xfId="0"/>
    <cellStyle name="20% - 강조색6 2 2 2 2 2" xfId="0"/>
    <cellStyle name="20% - 강조색6 2 2 2 2 3" xfId="0"/>
    <cellStyle name="20% - 강조색6 2 2 2 2 4" xfId="0"/>
    <cellStyle name="20% - 강조색6 2 2 2 2 5" xfId="0"/>
    <cellStyle name="20% - 강조색6 2 2 2 2 6" xfId="0"/>
    <cellStyle name="20% - 강조색6 2 2 2 2 7" xfId="0"/>
    <cellStyle name="20% - 강조색6 2 2 2 2 8" xfId="0"/>
    <cellStyle name="20% - 강조색6 2 2 2 2 9" xfId="0"/>
    <cellStyle name="20% - 강조색6 2 2 2 3" xfId="0"/>
    <cellStyle name="20% - 강조색6 2 2 2 4" xfId="0"/>
    <cellStyle name="20% - 강조색6 2 2 2 5" xfId="0"/>
    <cellStyle name="20% - 강조색6 2 2 2 6" xfId="0"/>
    <cellStyle name="20% - 강조색6 2 2 2 7" xfId="0"/>
    <cellStyle name="20% - 강조색6 2 2 2 8" xfId="0"/>
    <cellStyle name="20% - 강조색6 2 2 2 9" xfId="0"/>
    <cellStyle name="20% - 강조색6 2 2 20" xfId="0"/>
    <cellStyle name="20% - 강조색6 2 2 21" xfId="0"/>
    <cellStyle name="20% - 강조색6 2 2 22" xfId="0"/>
    <cellStyle name="20% - 강조색6 2 2 23" xfId="0"/>
    <cellStyle name="20% - 강조색6 2 2 3" xfId="0"/>
    <cellStyle name="20% - 강조색6 2 2 4" xfId="0"/>
    <cellStyle name="20% - 강조색6 2 2 5" xfId="0"/>
    <cellStyle name="20% - 강조색6 2 2 6" xfId="0"/>
    <cellStyle name="20% - 강조색6 2 2 7" xfId="0"/>
    <cellStyle name="20% - 강조색6 2 2 8" xfId="0"/>
    <cellStyle name="20% - 강조색6 2 2 9" xfId="0"/>
    <cellStyle name="20% - 강조색6 2 20" xfId="0"/>
    <cellStyle name="20% - 강조색6 2 21" xfId="0"/>
    <cellStyle name="20% - 강조색6 2 22" xfId="0"/>
    <cellStyle name="20% - 강조색6 2 23" xfId="0"/>
    <cellStyle name="20% - 강조색6 2 3" xfId="0"/>
    <cellStyle name="20% - 강조색6 2 3 10" xfId="0"/>
    <cellStyle name="20% - 강조색6 2 3 2" xfId="0"/>
    <cellStyle name="20% - 강조색6 2 3 3" xfId="0"/>
    <cellStyle name="20% - 강조색6 2 3 4" xfId="0"/>
    <cellStyle name="20% - 강조색6 2 3 5" xfId="0"/>
    <cellStyle name="20% - 강조색6 2 3 6" xfId="0"/>
    <cellStyle name="20% - 강조색6 2 3 7" xfId="0"/>
    <cellStyle name="20% - 강조색6 2 3 8" xfId="0"/>
    <cellStyle name="20% - 강조색6 2 3 9" xfId="0"/>
    <cellStyle name="20% - 강조색6 2 4" xfId="0"/>
    <cellStyle name="20% - 강조색6 2 4 10" xfId="0"/>
    <cellStyle name="20% - 강조색6 2 4 2" xfId="0"/>
    <cellStyle name="20% - 강조색6 2 4 3" xfId="0"/>
    <cellStyle name="20% - 강조색6 2 4 4" xfId="0"/>
    <cellStyle name="20% - 강조색6 2 4 5" xfId="0"/>
    <cellStyle name="20% - 강조색6 2 4 6" xfId="0"/>
    <cellStyle name="20% - 강조색6 2 4 7" xfId="0"/>
    <cellStyle name="20% - 강조색6 2 4 8" xfId="0"/>
    <cellStyle name="20% - 강조색6 2 4 9" xfId="0"/>
    <cellStyle name="20% - 강조색6 2 5" xfId="0"/>
    <cellStyle name="20% - 강조색6 2 5 10" xfId="0"/>
    <cellStyle name="20% - 강조색6 2 5 2" xfId="0"/>
    <cellStyle name="20% - 강조색6 2 5 3" xfId="0"/>
    <cellStyle name="20% - 강조색6 2 5 4" xfId="0"/>
    <cellStyle name="20% - 강조색6 2 5 5" xfId="0"/>
    <cellStyle name="20% - 강조색6 2 5 6" xfId="0"/>
    <cellStyle name="20% - 강조색6 2 5 7" xfId="0"/>
    <cellStyle name="20% - 강조색6 2 5 8" xfId="0"/>
    <cellStyle name="20% - 강조색6 2 5 9" xfId="0"/>
    <cellStyle name="20% - 강조색6 2 6" xfId="0"/>
    <cellStyle name="20% - 강조색6 2 6 10" xfId="0"/>
    <cellStyle name="20% - 강조색6 2 6 2" xfId="0"/>
    <cellStyle name="20% - 강조색6 2 6 3" xfId="0"/>
    <cellStyle name="20% - 강조색6 2 6 4" xfId="0"/>
    <cellStyle name="20% - 강조색6 2 6 5" xfId="0"/>
    <cellStyle name="20% - 강조색6 2 6 6" xfId="0"/>
    <cellStyle name="20% - 강조색6 2 6 7" xfId="0"/>
    <cellStyle name="20% - 강조색6 2 6 8" xfId="0"/>
    <cellStyle name="20% - 강조색6 2 6 9" xfId="0"/>
    <cellStyle name="20% - 강조색6 2 7" xfId="0"/>
    <cellStyle name="20% - 강조색6 2 7 10" xfId="0"/>
    <cellStyle name="20% - 강조색6 2 7 2" xfId="0"/>
    <cellStyle name="20% - 강조색6 2 7 3" xfId="0"/>
    <cellStyle name="20% - 강조색6 2 7 4" xfId="0"/>
    <cellStyle name="20% - 강조색6 2 7 5" xfId="0"/>
    <cellStyle name="20% - 강조색6 2 7 6" xfId="0"/>
    <cellStyle name="20% - 강조색6 2 7 7" xfId="0"/>
    <cellStyle name="20% - 강조색6 2 7 8" xfId="0"/>
    <cellStyle name="20% - 강조색6 2 7 9" xfId="0"/>
    <cellStyle name="20% - 강조색6 2 8" xfId="0"/>
    <cellStyle name="20% - 강조색6 2 8 2" xfId="0"/>
    <cellStyle name="20% - 강조색6 2 9" xfId="0"/>
    <cellStyle name="20% - 강조색6 2 9 2" xfId="0"/>
    <cellStyle name="20% - 강조색6 20" xfId="0"/>
    <cellStyle name="20% - 강조색6 20 2" xfId="0"/>
    <cellStyle name="20% - 강조색6 20 3" xfId="0"/>
    <cellStyle name="20% - 강조색6 20 4" xfId="0"/>
    <cellStyle name="20% - 강조색6 20 5" xfId="0"/>
    <cellStyle name="20% - 강조색6 20 6" xfId="0"/>
    <cellStyle name="20% - 강조색6 20 7" xfId="0"/>
    <cellStyle name="20% - 강조색6 20 8" xfId="0"/>
    <cellStyle name="20% - 강조색6 20 9" xfId="0"/>
    <cellStyle name="20% - 강조색6 21" xfId="0"/>
    <cellStyle name="20% - 강조색6 21 2" xfId="0"/>
    <cellStyle name="20% - 강조색6 21 3" xfId="0"/>
    <cellStyle name="20% - 강조색6 21 4" xfId="0"/>
    <cellStyle name="20% - 강조색6 21 5" xfId="0"/>
    <cellStyle name="20% - 강조색6 21 6" xfId="0"/>
    <cellStyle name="20% - 강조색6 21 7" xfId="0"/>
    <cellStyle name="20% - 강조색6 21 8" xfId="0"/>
    <cellStyle name="20% - 강조색6 21 9" xfId="0"/>
    <cellStyle name="20% - 강조색6 22" xfId="0"/>
    <cellStyle name="20% - 강조색6 22 2" xfId="0"/>
    <cellStyle name="20% - 강조색6 22 3" xfId="0"/>
    <cellStyle name="20% - 강조색6 22 4" xfId="0"/>
    <cellStyle name="20% - 강조색6 22 5" xfId="0"/>
    <cellStyle name="20% - 강조색6 22 6" xfId="0"/>
    <cellStyle name="20% - 강조색6 22 7" xfId="0"/>
    <cellStyle name="20% - 강조색6 22 8" xfId="0"/>
    <cellStyle name="20% - 강조색6 22 9" xfId="0"/>
    <cellStyle name="20% - 강조색6 23" xfId="0"/>
    <cellStyle name="20% - 강조색6 23 2" xfId="0"/>
    <cellStyle name="20% - 강조색6 23 3" xfId="0"/>
    <cellStyle name="20% - 강조색6 23 4" xfId="0"/>
    <cellStyle name="20% - 강조색6 23 5" xfId="0"/>
    <cellStyle name="20% - 강조색6 23 6" xfId="0"/>
    <cellStyle name="20% - 강조색6 23 7" xfId="0"/>
    <cellStyle name="20% - 강조색6 23 8" xfId="0"/>
    <cellStyle name="20% - 강조색6 23 9" xfId="0"/>
    <cellStyle name="20% - 강조색6 24" xfId="0"/>
    <cellStyle name="20% - 강조색6 24 2" xfId="0"/>
    <cellStyle name="20% - 강조색6 24 3" xfId="0"/>
    <cellStyle name="20% - 강조색6 24 4" xfId="0"/>
    <cellStyle name="20% - 강조색6 24 5" xfId="0"/>
    <cellStyle name="20% - 강조색6 24 6" xfId="0"/>
    <cellStyle name="20% - 강조색6 24 7" xfId="0"/>
    <cellStyle name="20% - 강조색6 24 8" xfId="0"/>
    <cellStyle name="20% - 강조색6 24 9" xfId="0"/>
    <cellStyle name="20% - 강조색6 25" xfId="0"/>
    <cellStyle name="20% - 강조색6 25 2" xfId="0"/>
    <cellStyle name="20% - 강조색6 25 3" xfId="0"/>
    <cellStyle name="20% - 강조색6 25 4" xfId="0"/>
    <cellStyle name="20% - 강조색6 25 5" xfId="0"/>
    <cellStyle name="20% - 강조색6 25 6" xfId="0"/>
    <cellStyle name="20% - 강조색6 25 7" xfId="0"/>
    <cellStyle name="20% - 강조색6 25 8" xfId="0"/>
    <cellStyle name="20% - 강조색6 25 9" xfId="0"/>
    <cellStyle name="20% - 강조색6 26" xfId="0"/>
    <cellStyle name="20% - 강조색6 26 2" xfId="0"/>
    <cellStyle name="20% - 강조색6 26 3" xfId="0"/>
    <cellStyle name="20% - 강조색6 26 4" xfId="0"/>
    <cellStyle name="20% - 강조색6 26 5" xfId="0"/>
    <cellStyle name="20% - 강조색6 26 6" xfId="0"/>
    <cellStyle name="20% - 강조색6 26 7" xfId="0"/>
    <cellStyle name="20% - 강조색6 26 8" xfId="0"/>
    <cellStyle name="20% - 강조색6 26 9" xfId="0"/>
    <cellStyle name="20% - 강조색6 27" xfId="0"/>
    <cellStyle name="20% - 강조색6 27 2" xfId="0"/>
    <cellStyle name="20% - 강조색6 27 3" xfId="0"/>
    <cellStyle name="20% - 강조색6 27 4" xfId="0"/>
    <cellStyle name="20% - 강조색6 27 5" xfId="0"/>
    <cellStyle name="20% - 강조색6 27 6" xfId="0"/>
    <cellStyle name="20% - 강조색6 27 7" xfId="0"/>
    <cellStyle name="20% - 강조색6 27 8" xfId="0"/>
    <cellStyle name="20% - 강조색6 27 9" xfId="0"/>
    <cellStyle name="20% - 강조색6 28 2" xfId="0"/>
    <cellStyle name="20% - 강조색6 28 3" xfId="0"/>
    <cellStyle name="20% - 강조색6 28 4" xfId="0"/>
    <cellStyle name="20% - 강조색6 28 5" xfId="0"/>
    <cellStyle name="20% - 강조색6 28 6" xfId="0"/>
    <cellStyle name="20% - 강조색6 28 7" xfId="0"/>
    <cellStyle name="20% - 강조색6 28 8" xfId="0"/>
    <cellStyle name="20% - 강조색6 28 9" xfId="0"/>
    <cellStyle name="20% - 강조색6 29 2" xfId="0"/>
    <cellStyle name="20% - 강조색6 29 3" xfId="0"/>
    <cellStyle name="20% - 강조색6 29 4" xfId="0"/>
    <cellStyle name="20% - 강조색6 29 5" xfId="0"/>
    <cellStyle name="20% - 강조색6 29 6" xfId="0"/>
    <cellStyle name="20% - 강조색6 29 7" xfId="0"/>
    <cellStyle name="20% - 강조색6 29 8" xfId="0"/>
    <cellStyle name="20% - 강조색6 29 9" xfId="0"/>
    <cellStyle name="20% - 강조색6 2_3300현금및예치금" xfId="0"/>
    <cellStyle name="20% - 강조색6 3" xfId="0"/>
    <cellStyle name="20% - 강조색6 3 10" xfId="0"/>
    <cellStyle name="20% - 강조색6 3 10 2" xfId="0"/>
    <cellStyle name="20% - 강조색6 3 10 3" xfId="0"/>
    <cellStyle name="20% - 강조색6 3 11" xfId="0"/>
    <cellStyle name="20% - 강조색6 3 11 2" xfId="0"/>
    <cellStyle name="20% - 강조색6 3 11 3" xfId="0"/>
    <cellStyle name="20% - 강조색6 3 12" xfId="0"/>
    <cellStyle name="20% - 강조색6 3 12 2" xfId="0"/>
    <cellStyle name="20% - 강조색6 3 12 3" xfId="0"/>
    <cellStyle name="20% - 강조색6 3 13" xfId="0"/>
    <cellStyle name="20% - 강조색6 3 14" xfId="0"/>
    <cellStyle name="20% - 강조색6 3 15" xfId="0"/>
    <cellStyle name="20% - 강조색6 3 16" xfId="0"/>
    <cellStyle name="20% - 강조색6 3 17" xfId="0"/>
    <cellStyle name="20% - 강조색6 3 18" xfId="0"/>
    <cellStyle name="20% - 강조색6 3 19" xfId="0"/>
    <cellStyle name="20% - 강조색6 3 19 2" xfId="0"/>
    <cellStyle name="20% - 강조색6 3 2" xfId="0"/>
    <cellStyle name="20% - 강조색6 3 2 2" xfId="0"/>
    <cellStyle name="20% - 강조색6 3 2 3" xfId="0"/>
    <cellStyle name="20% - 강조색6 3 20" xfId="0"/>
    <cellStyle name="20% - 강조색6 3 21" xfId="0"/>
    <cellStyle name="20% - 강조색6 3 22" xfId="0"/>
    <cellStyle name="20% - 강조색6 3 23" xfId="0"/>
    <cellStyle name="20% - 강조색6 3 3" xfId="0"/>
    <cellStyle name="20% - 강조색6 3 3 2" xfId="0"/>
    <cellStyle name="20% - 강조색6 3 3 3" xfId="0"/>
    <cellStyle name="20% - 강조색6 3 4" xfId="0"/>
    <cellStyle name="20% - 강조색6 3 4 2" xfId="0"/>
    <cellStyle name="20% - 강조색6 3 4 3" xfId="0"/>
    <cellStyle name="20% - 강조색6 3 5" xfId="0"/>
    <cellStyle name="20% - 강조색6 3 5 2" xfId="0"/>
    <cellStyle name="20% - 강조색6 3 5 3" xfId="0"/>
    <cellStyle name="20% - 강조색6 3 6" xfId="0"/>
    <cellStyle name="20% - 강조색6 3 6 2" xfId="0"/>
    <cellStyle name="20% - 강조색6 3 6 3" xfId="0"/>
    <cellStyle name="20% - 강조색6 3 7" xfId="0"/>
    <cellStyle name="20% - 강조색6 3 7 2" xfId="0"/>
    <cellStyle name="20% - 강조색6 3 7 3" xfId="0"/>
    <cellStyle name="20% - 강조색6 3 8" xfId="0"/>
    <cellStyle name="20% - 강조색6 3 8 2" xfId="0"/>
    <cellStyle name="20% - 강조색6 3 8 3" xfId="0"/>
    <cellStyle name="20% - 강조색6 3 9" xfId="0"/>
    <cellStyle name="20% - 강조색6 3 9 2" xfId="0"/>
    <cellStyle name="20% - 강조색6 3 9 3" xfId="0"/>
    <cellStyle name="20% - 강조색6 30 2" xfId="0"/>
    <cellStyle name="20% - 강조색6 30 3" xfId="0"/>
    <cellStyle name="20% - 강조색6 30 4" xfId="0"/>
    <cellStyle name="20% - 강조색6 30 5" xfId="0"/>
    <cellStyle name="20% - 강조색6 30 6" xfId="0"/>
    <cellStyle name="20% - 강조색6 30 7" xfId="0"/>
    <cellStyle name="20% - 강조색6 30 8" xfId="0"/>
    <cellStyle name="20% - 강조색6 30 9" xfId="0"/>
    <cellStyle name="20% - 강조색6 31 2" xfId="0"/>
    <cellStyle name="20% - 강조색6 31 3" xfId="0"/>
    <cellStyle name="20% - 강조색6 31 4" xfId="0"/>
    <cellStyle name="20% - 강조색6 31 5" xfId="0"/>
    <cellStyle name="20% - 강조색6 31 6" xfId="0"/>
    <cellStyle name="20% - 강조색6 31 7" xfId="0"/>
    <cellStyle name="20% - 강조색6 31 8" xfId="0"/>
    <cellStyle name="20% - 강조색6 31 9" xfId="0"/>
    <cellStyle name="20% - 강조색6 32 2" xfId="0"/>
    <cellStyle name="20% - 강조색6 32 3" xfId="0"/>
    <cellStyle name="20% - 강조색6 32 4" xfId="0"/>
    <cellStyle name="20% - 강조색6 32 5" xfId="0"/>
    <cellStyle name="20% - 강조색6 32 6" xfId="0"/>
    <cellStyle name="20% - 강조색6 32 7" xfId="0"/>
    <cellStyle name="20% - 강조색6 32 8" xfId="0"/>
    <cellStyle name="20% - 강조색6 32 9" xfId="0"/>
    <cellStyle name="20% - 강조색6 33 2" xfId="0"/>
    <cellStyle name="20% - 강조색6 33 3" xfId="0"/>
    <cellStyle name="20% - 강조색6 33 4" xfId="0"/>
    <cellStyle name="20% - 강조색6 33 5" xfId="0"/>
    <cellStyle name="20% - 강조색6 33 6" xfId="0"/>
    <cellStyle name="20% - 강조색6 33 7" xfId="0"/>
    <cellStyle name="20% - 강조색6 33 8" xfId="0"/>
    <cellStyle name="20% - 강조색6 33 9" xfId="0"/>
    <cellStyle name="20% - 강조색6 34 2" xfId="0"/>
    <cellStyle name="20% - 강조색6 34 3" xfId="0"/>
    <cellStyle name="20% - 강조색6 34 4" xfId="0"/>
    <cellStyle name="20% - 강조색6 34 5" xfId="0"/>
    <cellStyle name="20% - 강조색6 34 6" xfId="0"/>
    <cellStyle name="20% - 강조색6 34 7" xfId="0"/>
    <cellStyle name="20% - 강조색6 34 8" xfId="0"/>
    <cellStyle name="20% - 강조색6 34 9" xfId="0"/>
    <cellStyle name="20% - 강조색6 35 2" xfId="0"/>
    <cellStyle name="20% - 강조색6 35 3" xfId="0"/>
    <cellStyle name="20% - 강조색6 35 4" xfId="0"/>
    <cellStyle name="20% - 강조색6 35 5" xfId="0"/>
    <cellStyle name="20% - 강조색6 35 6" xfId="0"/>
    <cellStyle name="20% - 강조색6 35 7" xfId="0"/>
    <cellStyle name="20% - 강조색6 35 8" xfId="0"/>
    <cellStyle name="20% - 강조색6 35 9" xfId="0"/>
    <cellStyle name="20% - 강조색6 3_운용자산별 손익분석" xfId="0"/>
    <cellStyle name="20% - 강조색6 4" xfId="0"/>
    <cellStyle name="20% - 강조색6 4 10" xfId="0"/>
    <cellStyle name="20% - 강조색6 4 11" xfId="0"/>
    <cellStyle name="20% - 강조색6 4 12" xfId="0"/>
    <cellStyle name="20% - 강조색6 4 13" xfId="0"/>
    <cellStyle name="20% - 강조색6 4 14" xfId="0"/>
    <cellStyle name="20% - 강조색6 4 15" xfId="0"/>
    <cellStyle name="20% - 강조색6 4 16" xfId="0"/>
    <cellStyle name="20% - 강조색6 4 17" xfId="0"/>
    <cellStyle name="20% - 강조색6 4 18" xfId="0"/>
    <cellStyle name="20% - 강조색6 4 19" xfId="0"/>
    <cellStyle name="20% - 강조색6 4 2" xfId="0"/>
    <cellStyle name="20% - 강조색6 4 20" xfId="0"/>
    <cellStyle name="20% - 강조색6 4 21" xfId="0"/>
    <cellStyle name="20% - 강조색6 4 22" xfId="0"/>
    <cellStyle name="20% - 강조색6 4 23" xfId="0"/>
    <cellStyle name="20% - 강조색6 4 24" xfId="0"/>
    <cellStyle name="20% - 강조색6 4 3" xfId="0"/>
    <cellStyle name="20% - 강조색6 4 4" xfId="0"/>
    <cellStyle name="20% - 강조색6 4 5" xfId="0"/>
    <cellStyle name="20% - 강조색6 4 6" xfId="0"/>
    <cellStyle name="20% - 강조색6 4 7" xfId="0"/>
    <cellStyle name="20% - 강조색6 4 8" xfId="0"/>
    <cellStyle name="20% - 강조색6 4 9" xfId="0"/>
    <cellStyle name="20% - 강조색6 4_운용자산별 손익분석" xfId="0"/>
    <cellStyle name="20% - 강조색6 5" xfId="0"/>
    <cellStyle name="20% - 강조색6 5 10" xfId="0"/>
    <cellStyle name="20% - 강조색6 5 11" xfId="0"/>
    <cellStyle name="20% - 강조색6 5 12" xfId="0"/>
    <cellStyle name="20% - 강조색6 5 13" xfId="0"/>
    <cellStyle name="20% - 강조색6 5 14" xfId="0"/>
    <cellStyle name="20% - 강조색6 5 15" xfId="0"/>
    <cellStyle name="20% - 강조색6 5 16" xfId="0"/>
    <cellStyle name="20% - 강조색6 5 17" xfId="0"/>
    <cellStyle name="20% - 강조색6 5 18" xfId="0"/>
    <cellStyle name="20% - 강조색6 5 19" xfId="0"/>
    <cellStyle name="20% - 강조색6 5 2" xfId="0"/>
    <cellStyle name="20% - 강조색6 5 20" xfId="0"/>
    <cellStyle name="20% - 강조색6 5 21" xfId="0"/>
    <cellStyle name="20% - 강조색6 5 22" xfId="0"/>
    <cellStyle name="20% - 강조색6 5 23" xfId="0"/>
    <cellStyle name="20% - 강조색6 5 24" xfId="0"/>
    <cellStyle name="20% - 강조색6 5 25" xfId="0"/>
    <cellStyle name="20% - 강조색6 5 26" xfId="0"/>
    <cellStyle name="20% - 강조색6 5 27" xfId="0"/>
    <cellStyle name="20% - 강조색6 5 28" xfId="0"/>
    <cellStyle name="20% - 강조색6 5 29" xfId="0"/>
    <cellStyle name="20% - 강조색6 5 3" xfId="0"/>
    <cellStyle name="20% - 강조색6 5 30" xfId="0"/>
    <cellStyle name="20% - 강조색6 5 31" xfId="0"/>
    <cellStyle name="20% - 강조색6 5 32" xfId="0"/>
    <cellStyle name="20% - 강조색6 5 33" xfId="0"/>
    <cellStyle name="20% - 강조색6 5 34" xfId="0"/>
    <cellStyle name="20% - 강조색6 5 4" xfId="0"/>
    <cellStyle name="20% - 강조색6 5 5" xfId="0"/>
    <cellStyle name="20% - 강조색6 5 6" xfId="0"/>
    <cellStyle name="20% - 강조색6 5 7" xfId="0"/>
    <cellStyle name="20% - 강조색6 5 8" xfId="0"/>
    <cellStyle name="20% - 강조색6 5 9" xfId="0"/>
    <cellStyle name="20% - 강조색6 6" xfId="0"/>
    <cellStyle name="20% - 강조색6 6 10" xfId="0"/>
    <cellStyle name="20% - 강조색6 6 11" xfId="0"/>
    <cellStyle name="20% - 강조색6 6 12" xfId="0"/>
    <cellStyle name="20% - 강조색6 6 13" xfId="0"/>
    <cellStyle name="20% - 강조색6 6 14" xfId="0"/>
    <cellStyle name="20% - 강조색6 6 15" xfId="0"/>
    <cellStyle name="20% - 강조색6 6 16" xfId="0"/>
    <cellStyle name="20% - 강조색6 6 17" xfId="0"/>
    <cellStyle name="20% - 강조색6 6 18" xfId="0"/>
    <cellStyle name="20% - 강조색6 6 19" xfId="0"/>
    <cellStyle name="20% - 강조색6 6 2" xfId="0"/>
    <cellStyle name="20% - 강조색6 6 20" xfId="0"/>
    <cellStyle name="20% - 강조색6 6 21" xfId="0"/>
    <cellStyle name="20% - 강조색6 6 22" xfId="0"/>
    <cellStyle name="20% - 강조색6 6 23" xfId="0"/>
    <cellStyle name="20% - 강조색6 6 24" xfId="0"/>
    <cellStyle name="20% - 강조색6 6 25" xfId="0"/>
    <cellStyle name="20% - 강조색6 6 26" xfId="0"/>
    <cellStyle name="20% - 강조색6 6 27" xfId="0"/>
    <cellStyle name="20% - 강조색6 6 28" xfId="0"/>
    <cellStyle name="20% - 강조색6 6 29" xfId="0"/>
    <cellStyle name="20% - 강조색6 6 3" xfId="0"/>
    <cellStyle name="20% - 강조색6 6 30" xfId="0"/>
    <cellStyle name="20% - 강조색6 6 4" xfId="0"/>
    <cellStyle name="20% - 강조색6 6 5" xfId="0"/>
    <cellStyle name="20% - 강조색6 6 6" xfId="0"/>
    <cellStyle name="20% - 강조색6 6 7" xfId="0"/>
    <cellStyle name="20% - 강조색6 6 8" xfId="0"/>
    <cellStyle name="20% - 강조색6 6 9" xfId="0"/>
    <cellStyle name="20% - 강조색6 7" xfId="0"/>
    <cellStyle name="20% - 강조색6 7 10" xfId="0"/>
    <cellStyle name="20% - 강조색6 7 11" xfId="0"/>
    <cellStyle name="20% - 강조색6 7 12" xfId="0"/>
    <cellStyle name="20% - 강조색6 7 13" xfId="0"/>
    <cellStyle name="20% - 강조색6 7 14" xfId="0"/>
    <cellStyle name="20% - 강조색6 7 15" xfId="0"/>
    <cellStyle name="20% - 강조색6 7 16" xfId="0"/>
    <cellStyle name="20% - 강조색6 7 17" xfId="0"/>
    <cellStyle name="20% - 강조색6 7 18" xfId="0"/>
    <cellStyle name="20% - 강조색6 7 19" xfId="0"/>
    <cellStyle name="20% - 강조색6 7 2" xfId="0"/>
    <cellStyle name="20% - 강조색6 7 2 2" xfId="0"/>
    <cellStyle name="20% - 강조색6 7 2 3" xfId="0"/>
    <cellStyle name="20% - 강조색6 7 20" xfId="0"/>
    <cellStyle name="20% - 강조색6 7 21" xfId="0"/>
    <cellStyle name="20% - 강조색6 7 22" xfId="0"/>
    <cellStyle name="20% - 강조색6 7 23" xfId="0"/>
    <cellStyle name="20% - 강조색6 7 24" xfId="0"/>
    <cellStyle name="20% - 강조색6 7 3" xfId="0"/>
    <cellStyle name="20% - 강조색6 7 3 2" xfId="0"/>
    <cellStyle name="20% - 강조색6 7 3 3" xfId="0"/>
    <cellStyle name="20% - 강조색6 7 4" xfId="0"/>
    <cellStyle name="20% - 강조색6 7 4 2" xfId="0"/>
    <cellStyle name="20% - 강조색6 7 4 3" xfId="0"/>
    <cellStyle name="20% - 강조색6 7 5" xfId="0"/>
    <cellStyle name="20% - 강조색6 7 5 2" xfId="0"/>
    <cellStyle name="20% - 강조색6 7 5 3" xfId="0"/>
    <cellStyle name="20% - 강조색6 7 6" xfId="0"/>
    <cellStyle name="20% - 강조색6 7 6 2" xfId="0"/>
    <cellStyle name="20% - 강조색6 7 6 3" xfId="0"/>
    <cellStyle name="20% - 강조색6 7 7" xfId="0"/>
    <cellStyle name="20% - 강조색6 7 8" xfId="0"/>
    <cellStyle name="20% - 강조색6 7 9" xfId="0"/>
    <cellStyle name="20% - 강조색6 8" xfId="0"/>
    <cellStyle name="20% - 강조색6 8 10" xfId="0"/>
    <cellStyle name="20% - 강조색6 8 11" xfId="0"/>
    <cellStyle name="20% - 강조색6 8 12" xfId="0"/>
    <cellStyle name="20% - 강조색6 8 13" xfId="0"/>
    <cellStyle name="20% - 강조색6 8 14" xfId="0"/>
    <cellStyle name="20% - 강조색6 8 15" xfId="0"/>
    <cellStyle name="20% - 강조색6 8 16" xfId="0"/>
    <cellStyle name="20% - 강조색6 8 17" xfId="0"/>
    <cellStyle name="20% - 강조색6 8 18" xfId="0"/>
    <cellStyle name="20% - 강조색6 8 19" xfId="0"/>
    <cellStyle name="20% - 강조색6 8 2" xfId="0"/>
    <cellStyle name="20% - 강조색6 8 2 2" xfId="0"/>
    <cellStyle name="20% - 강조색6 8 2 3" xfId="0"/>
    <cellStyle name="20% - 강조색6 8 20" xfId="0"/>
    <cellStyle name="20% - 강조색6 8 21" xfId="0"/>
    <cellStyle name="20% - 강조색6 8 22" xfId="0"/>
    <cellStyle name="20% - 강조색6 8 23" xfId="0"/>
    <cellStyle name="20% - 강조색6 8 24" xfId="0"/>
    <cellStyle name="20% - 강조색6 8 3" xfId="0"/>
    <cellStyle name="20% - 강조색6 8 3 2" xfId="0"/>
    <cellStyle name="20% - 강조색6 8 3 3" xfId="0"/>
    <cellStyle name="20% - 강조색6 8 4" xfId="0"/>
    <cellStyle name="20% - 강조색6 8 4 2" xfId="0"/>
    <cellStyle name="20% - 강조색6 8 4 3" xfId="0"/>
    <cellStyle name="20% - 강조색6 8 5" xfId="0"/>
    <cellStyle name="20% - 강조색6 8 5 2" xfId="0"/>
    <cellStyle name="20% - 강조색6 8 5 3" xfId="0"/>
    <cellStyle name="20% - 강조색6 8 6" xfId="0"/>
    <cellStyle name="20% - 강조색6 8 6 2" xfId="0"/>
    <cellStyle name="20% - 강조색6 8 6 3" xfId="0"/>
    <cellStyle name="20% - 강조색6 8 7" xfId="0"/>
    <cellStyle name="20% - 강조색6 8 8" xfId="0"/>
    <cellStyle name="20% - 강조색6 8 9" xfId="0"/>
    <cellStyle name="20% - 강조색6 9" xfId="0"/>
    <cellStyle name="20% - 강조색6 9 10" xfId="0"/>
    <cellStyle name="20% - 강조색6 9 11" xfId="0"/>
    <cellStyle name="20% - 강조색6 9 12" xfId="0"/>
    <cellStyle name="20% - 강조색6 9 13" xfId="0"/>
    <cellStyle name="20% - 강조색6 9 14" xfId="0"/>
    <cellStyle name="20% - 강조색6 9 15" xfId="0"/>
    <cellStyle name="20% - 강조색6 9 16" xfId="0"/>
    <cellStyle name="20% - 강조색6 9 17" xfId="0"/>
    <cellStyle name="20% - 강조색6 9 18" xfId="0"/>
    <cellStyle name="20% - 강조색6 9 19" xfId="0"/>
    <cellStyle name="20% - 강조색6 9 2" xfId="0"/>
    <cellStyle name="20% - 강조색6 9 2 2" xfId="0"/>
    <cellStyle name="20% - 강조색6 9 2 3" xfId="0"/>
    <cellStyle name="20% - 강조색6 9 20" xfId="0"/>
    <cellStyle name="20% - 강조색6 9 21" xfId="0"/>
    <cellStyle name="20% - 강조색6 9 22" xfId="0"/>
    <cellStyle name="20% - 강조색6 9 23" xfId="0"/>
    <cellStyle name="20% - 강조색6 9 24" xfId="0"/>
    <cellStyle name="20% - 강조색6 9 3" xfId="0"/>
    <cellStyle name="20% - 강조색6 9 3 2" xfId="0"/>
    <cellStyle name="20% - 강조색6 9 3 3" xfId="0"/>
    <cellStyle name="20% - 강조색6 9 4" xfId="0"/>
    <cellStyle name="20% - 강조색6 9 4 2" xfId="0"/>
    <cellStyle name="20% - 강조색6 9 4 3" xfId="0"/>
    <cellStyle name="20% - 강조색6 9 5" xfId="0"/>
    <cellStyle name="20% - 강조색6 9 5 2" xfId="0"/>
    <cellStyle name="20% - 강조색6 9 5 3" xfId="0"/>
    <cellStyle name="20% - 강조색6 9 6" xfId="0"/>
    <cellStyle name="20% - 강조색6 9 6 2" xfId="0"/>
    <cellStyle name="20% - 강조색6 9 6 3" xfId="0"/>
    <cellStyle name="20% - 강조색6 9 7" xfId="0"/>
    <cellStyle name="20% - 강조색6 9 8" xfId="0"/>
    <cellStyle name="20% - 강조색6 9 9" xfId="0"/>
    <cellStyle name="32ɢꄪꆡඡܒ㿼ɢ㿤ɢ_x0005__x0005_㿴ɢ" xfId="0"/>
    <cellStyle name="3_99매출" xfId="0"/>
    <cellStyle name="40% - Accent1" xfId="0"/>
    <cellStyle name="40% - Accent1 2" xfId="0"/>
    <cellStyle name="40% - Accent1 3" xfId="0"/>
    <cellStyle name="40% - Accent1 4" xfId="0"/>
    <cellStyle name="40% - Accent1 5" xfId="0"/>
    <cellStyle name="40% - Accent2" xfId="0"/>
    <cellStyle name="40% - Accent2 2" xfId="0"/>
    <cellStyle name="40% - Accent2 3" xfId="0"/>
    <cellStyle name="40% - Accent2 4" xfId="0"/>
    <cellStyle name="40% - Accent2 5" xfId="0"/>
    <cellStyle name="40% - Accent3" xfId="0"/>
    <cellStyle name="40% - Accent3 2" xfId="0"/>
    <cellStyle name="40% - Accent3 3" xfId="0"/>
    <cellStyle name="40% - Accent3 4" xfId="0"/>
    <cellStyle name="40% - Accent3 5" xfId="0"/>
    <cellStyle name="40% - Accent4" xfId="0"/>
    <cellStyle name="40% - Accent4 2" xfId="0"/>
    <cellStyle name="40% - Accent4 3" xfId="0"/>
    <cellStyle name="40% - Accent4 4" xfId="0"/>
    <cellStyle name="40% - Accent4 5" xfId="0"/>
    <cellStyle name="40% - Accent5" xfId="0"/>
    <cellStyle name="40% - Accent5 2" xfId="0"/>
    <cellStyle name="40% - Accent5 3" xfId="0"/>
    <cellStyle name="40% - Accent5 4" xfId="0"/>
    <cellStyle name="40% - Accent5 5" xfId="0"/>
    <cellStyle name="40% - Accent6" xfId="0"/>
    <cellStyle name="40% - Accent6 2" xfId="0"/>
    <cellStyle name="40% - Accent6 3" xfId="0"/>
    <cellStyle name="40% - Accent6 4" xfId="0"/>
    <cellStyle name="40% - Accent6 5" xfId="0"/>
    <cellStyle name="40% - 강조색1 10" xfId="0"/>
    <cellStyle name="40% - 강조색1 10 10" xfId="0"/>
    <cellStyle name="40% - 강조색1 10 11" xfId="0"/>
    <cellStyle name="40% - 강조색1 10 12" xfId="0"/>
    <cellStyle name="40% - 강조색1 10 13" xfId="0"/>
    <cellStyle name="40% - 강조색1 10 14" xfId="0"/>
    <cellStyle name="40% - 강조색1 10 15" xfId="0"/>
    <cellStyle name="40% - 강조색1 10 16" xfId="0"/>
    <cellStyle name="40% - 강조색1 10 17" xfId="0"/>
    <cellStyle name="40% - 강조색1 10 18" xfId="0"/>
    <cellStyle name="40% - 강조색1 10 19" xfId="0"/>
    <cellStyle name="40% - 강조색1 10 2" xfId="0"/>
    <cellStyle name="40% - 강조색1 10 2 2" xfId="0"/>
    <cellStyle name="40% - 강조색1 10 2 3" xfId="0"/>
    <cellStyle name="40% - 강조색1 10 20" xfId="0"/>
    <cellStyle name="40% - 강조색1 10 21" xfId="0"/>
    <cellStyle name="40% - 강조색1 10 22" xfId="0"/>
    <cellStyle name="40% - 강조색1 10 23" xfId="0"/>
    <cellStyle name="40% - 강조색1 10 24" xfId="0"/>
    <cellStyle name="40% - 강조색1 10 3" xfId="0"/>
    <cellStyle name="40% - 강조색1 10 3 2" xfId="0"/>
    <cellStyle name="40% - 강조색1 10 3 3" xfId="0"/>
    <cellStyle name="40% - 강조색1 10 4" xfId="0"/>
    <cellStyle name="40% - 강조색1 10 4 2" xfId="0"/>
    <cellStyle name="40% - 강조색1 10 4 3" xfId="0"/>
    <cellStyle name="40% - 강조색1 10 5" xfId="0"/>
    <cellStyle name="40% - 강조색1 10 5 2" xfId="0"/>
    <cellStyle name="40% - 강조색1 10 5 3" xfId="0"/>
    <cellStyle name="40% - 강조색1 10 6" xfId="0"/>
    <cellStyle name="40% - 강조색1 10 6 2" xfId="0"/>
    <cellStyle name="40% - 강조색1 10 6 3" xfId="0"/>
    <cellStyle name="40% - 강조색1 10 7" xfId="0"/>
    <cellStyle name="40% - 강조색1 10 8" xfId="0"/>
    <cellStyle name="40% - 강조색1 10 9" xfId="0"/>
    <cellStyle name="40% - 강조색1 11" xfId="0"/>
    <cellStyle name="40% - 강조색1 11 10" xfId="0"/>
    <cellStyle name="40% - 강조색1 11 2" xfId="0"/>
    <cellStyle name="40% - 강조색1 11 2 2" xfId="0"/>
    <cellStyle name="40% - 강조색1 11 2 3" xfId="0"/>
    <cellStyle name="40% - 강조색1 11 3" xfId="0"/>
    <cellStyle name="40% - 강조색1 11 3 2" xfId="0"/>
    <cellStyle name="40% - 강조색1 11 3 3" xfId="0"/>
    <cellStyle name="40% - 강조색1 11 4" xfId="0"/>
    <cellStyle name="40% - 강조색1 11 4 2" xfId="0"/>
    <cellStyle name="40% - 강조색1 11 4 3" xfId="0"/>
    <cellStyle name="40% - 강조색1 11 5" xfId="0"/>
    <cellStyle name="40% - 강조색1 11 5 2" xfId="0"/>
    <cellStyle name="40% - 강조색1 11 5 3" xfId="0"/>
    <cellStyle name="40% - 강조색1 11 6" xfId="0"/>
    <cellStyle name="40% - 강조색1 11 6 2" xfId="0"/>
    <cellStyle name="40% - 강조색1 11 6 3" xfId="0"/>
    <cellStyle name="40% - 강조색1 11 7" xfId="0"/>
    <cellStyle name="40% - 강조색1 11 8" xfId="0"/>
    <cellStyle name="40% - 강조색1 11 9" xfId="0"/>
    <cellStyle name="40% - 강조색1 12" xfId="0"/>
    <cellStyle name="40% - 강조색1 12 2" xfId="0"/>
    <cellStyle name="40% - 강조색1 12 3" xfId="0"/>
    <cellStyle name="40% - 강조색1 12 4" xfId="0"/>
    <cellStyle name="40% - 강조색1 12 5" xfId="0"/>
    <cellStyle name="40% - 강조색1 12 6" xfId="0"/>
    <cellStyle name="40% - 강조색1 12 7" xfId="0"/>
    <cellStyle name="40% - 강조색1 12 8" xfId="0"/>
    <cellStyle name="40% - 강조색1 12 9" xfId="0"/>
    <cellStyle name="40% - 강조색1 13" xfId="0"/>
    <cellStyle name="40% - 강조색1 13 2" xfId="0"/>
    <cellStyle name="40% - 강조색1 13 3" xfId="0"/>
    <cellStyle name="40% - 강조색1 13 4" xfId="0"/>
    <cellStyle name="40% - 강조색1 13 5" xfId="0"/>
    <cellStyle name="40% - 강조색1 13 6" xfId="0"/>
    <cellStyle name="40% - 강조색1 13 7" xfId="0"/>
    <cellStyle name="40% - 강조색1 13 8" xfId="0"/>
    <cellStyle name="40% - 강조색1 13 9" xfId="0"/>
    <cellStyle name="40% - 강조색1 14" xfId="0"/>
    <cellStyle name="40% - 강조색1 14 2" xfId="0"/>
    <cellStyle name="40% - 강조색1 14 3" xfId="0"/>
    <cellStyle name="40% - 강조색1 14 4" xfId="0"/>
    <cellStyle name="40% - 강조색1 14 5" xfId="0"/>
    <cellStyle name="40% - 강조색1 14 6" xfId="0"/>
    <cellStyle name="40% - 강조색1 14 7" xfId="0"/>
    <cellStyle name="40% - 강조색1 14 8" xfId="0"/>
    <cellStyle name="40% - 강조색1 14 9" xfId="0"/>
    <cellStyle name="40% - 강조색1 15" xfId="0"/>
    <cellStyle name="40% - 강조색1 15 2" xfId="0"/>
    <cellStyle name="40% - 강조색1 15 3" xfId="0"/>
    <cellStyle name="40% - 강조색1 15 4" xfId="0"/>
    <cellStyle name="40% - 강조색1 15 5" xfId="0"/>
    <cellStyle name="40% - 강조색1 15 6" xfId="0"/>
    <cellStyle name="40% - 강조색1 15 7" xfId="0"/>
    <cellStyle name="40% - 강조색1 15 8" xfId="0"/>
    <cellStyle name="40% - 강조색1 15 9" xfId="0"/>
    <cellStyle name="40% - 강조색1 16" xfId="0"/>
    <cellStyle name="40% - 강조색1 16 2" xfId="0"/>
    <cellStyle name="40% - 강조색1 16 3" xfId="0"/>
    <cellStyle name="40% - 강조색1 16 4" xfId="0"/>
    <cellStyle name="40% - 강조색1 16 5" xfId="0"/>
    <cellStyle name="40% - 강조색1 16 6" xfId="0"/>
    <cellStyle name="40% - 강조색1 16 7" xfId="0"/>
    <cellStyle name="40% - 강조색1 16 8" xfId="0"/>
    <cellStyle name="40% - 강조색1 16 9" xfId="0"/>
    <cellStyle name="40% - 강조색1 17" xfId="0"/>
    <cellStyle name="40% - 강조색1 17 2" xfId="0"/>
    <cellStyle name="40% - 강조색1 17 3" xfId="0"/>
    <cellStyle name="40% - 강조색1 17 4" xfId="0"/>
    <cellStyle name="40% - 강조색1 17 5" xfId="0"/>
    <cellStyle name="40% - 강조색1 17 6" xfId="0"/>
    <cellStyle name="40% - 강조색1 17 7" xfId="0"/>
    <cellStyle name="40% - 강조색1 17 8" xfId="0"/>
    <cellStyle name="40% - 강조색1 17 9" xfId="0"/>
    <cellStyle name="40% - 강조색1 18" xfId="0"/>
    <cellStyle name="40% - 강조색1 18 2" xfId="0"/>
    <cellStyle name="40% - 강조색1 18 3" xfId="0"/>
    <cellStyle name="40% - 강조색1 18 4" xfId="0"/>
    <cellStyle name="40% - 강조색1 18 5" xfId="0"/>
    <cellStyle name="40% - 강조색1 18 6" xfId="0"/>
    <cellStyle name="40% - 강조색1 18 7" xfId="0"/>
    <cellStyle name="40% - 강조색1 18 8" xfId="0"/>
    <cellStyle name="40% - 강조색1 18 9" xfId="0"/>
    <cellStyle name="40% - 강조색1 19" xfId="0"/>
    <cellStyle name="40% - 강조색1 19 2" xfId="0"/>
    <cellStyle name="40% - 강조색1 19 3" xfId="0"/>
    <cellStyle name="40% - 강조색1 19 4" xfId="0"/>
    <cellStyle name="40% - 강조색1 19 5" xfId="0"/>
    <cellStyle name="40% - 강조색1 19 6" xfId="0"/>
    <cellStyle name="40% - 강조색1 19 7" xfId="0"/>
    <cellStyle name="40% - 강조색1 19 8" xfId="0"/>
    <cellStyle name="40% - 강조색1 19 9" xfId="0"/>
    <cellStyle name="40% - 강조색1 2" xfId="0"/>
    <cellStyle name="40% - 강조색1 2 10" xfId="0"/>
    <cellStyle name="40% - 강조색1 2 10 2" xfId="0"/>
    <cellStyle name="40% - 강조색1 2 11" xfId="0"/>
    <cellStyle name="40% - 강조색1 2 11 2" xfId="0"/>
    <cellStyle name="40% - 강조색1 2 12" xfId="0"/>
    <cellStyle name="40% - 강조색1 2 12 2" xfId="0"/>
    <cellStyle name="40% - 강조색1 2 13" xfId="0"/>
    <cellStyle name="40% - 강조색1 2 14" xfId="0"/>
    <cellStyle name="40% - 강조색1 2 15" xfId="0"/>
    <cellStyle name="40% - 강조색1 2 16" xfId="0"/>
    <cellStyle name="40% - 강조색1 2 17" xfId="0"/>
    <cellStyle name="40% - 강조색1 2 18" xfId="0"/>
    <cellStyle name="40% - 강조색1 2 19" xfId="0"/>
    <cellStyle name="40% - 강조색1 2 2" xfId="0"/>
    <cellStyle name="40% - 강조색1 2 2 10" xfId="0"/>
    <cellStyle name="40% - 강조색1 2 2 11" xfId="0"/>
    <cellStyle name="40% - 강조색1 2 2 12" xfId="0"/>
    <cellStyle name="40% - 강조색1 2 2 13" xfId="0"/>
    <cellStyle name="40% - 강조색1 2 2 14" xfId="0"/>
    <cellStyle name="40% - 강조색1 2 2 15" xfId="0"/>
    <cellStyle name="40% - 강조색1 2 2 16" xfId="0"/>
    <cellStyle name="40% - 강조색1 2 2 17" xfId="0"/>
    <cellStyle name="40% - 강조색1 2 2 18" xfId="0"/>
    <cellStyle name="40% - 강조색1 2 2 19" xfId="0"/>
    <cellStyle name="40% - 강조색1 2 2 2" xfId="0"/>
    <cellStyle name="40% - 강조색1 2 2 2 2" xfId="0"/>
    <cellStyle name="40% - 강조색1 2 2 2 2 2" xfId="0"/>
    <cellStyle name="40% - 강조색1 2 2 2 2 3" xfId="0"/>
    <cellStyle name="40% - 강조색1 2 2 2 2 4" xfId="0"/>
    <cellStyle name="40% - 강조색1 2 2 2 2 5" xfId="0"/>
    <cellStyle name="40% - 강조색1 2 2 2 2 6" xfId="0"/>
    <cellStyle name="40% - 강조색1 2 2 2 2 7" xfId="0"/>
    <cellStyle name="40% - 강조색1 2 2 2 2 8" xfId="0"/>
    <cellStyle name="40% - 강조색1 2 2 2 2 9" xfId="0"/>
    <cellStyle name="40% - 강조색1 2 2 2 3" xfId="0"/>
    <cellStyle name="40% - 강조색1 2 2 2 4" xfId="0"/>
    <cellStyle name="40% - 강조색1 2 2 2 5" xfId="0"/>
    <cellStyle name="40% - 강조색1 2 2 2 6" xfId="0"/>
    <cellStyle name="40% - 강조색1 2 2 2 7" xfId="0"/>
    <cellStyle name="40% - 강조색1 2 2 2 8" xfId="0"/>
    <cellStyle name="40% - 강조색1 2 2 2 9" xfId="0"/>
    <cellStyle name="40% - 강조색1 2 2 20" xfId="0"/>
    <cellStyle name="40% - 강조색1 2 2 21" xfId="0"/>
    <cellStyle name="40% - 강조색1 2 2 22" xfId="0"/>
    <cellStyle name="40% - 강조색1 2 2 23" xfId="0"/>
    <cellStyle name="40% - 강조색1 2 2 3" xfId="0"/>
    <cellStyle name="40% - 강조색1 2 2 4" xfId="0"/>
    <cellStyle name="40% - 강조색1 2 2 5" xfId="0"/>
    <cellStyle name="40% - 강조색1 2 2 6" xfId="0"/>
    <cellStyle name="40% - 강조색1 2 2 7" xfId="0"/>
    <cellStyle name="40% - 강조색1 2 2 8" xfId="0"/>
    <cellStyle name="40% - 강조색1 2 2 9" xfId="0"/>
    <cellStyle name="40% - 강조색1 2 20" xfId="0"/>
    <cellStyle name="40% - 강조색1 2 21" xfId="0"/>
    <cellStyle name="40% - 강조색1 2 22" xfId="0"/>
    <cellStyle name="40% - 강조색1 2 23" xfId="0"/>
    <cellStyle name="40% - 강조색1 2 3" xfId="0"/>
    <cellStyle name="40% - 강조색1 2 3 10" xfId="0"/>
    <cellStyle name="40% - 강조색1 2 3 2" xfId="0"/>
    <cellStyle name="40% - 강조색1 2 3 3" xfId="0"/>
    <cellStyle name="40% - 강조색1 2 3 4" xfId="0"/>
    <cellStyle name="40% - 강조색1 2 3 5" xfId="0"/>
    <cellStyle name="40% - 강조색1 2 3 6" xfId="0"/>
    <cellStyle name="40% - 강조색1 2 3 7" xfId="0"/>
    <cellStyle name="40% - 강조색1 2 3 8" xfId="0"/>
    <cellStyle name="40% - 강조색1 2 3 9" xfId="0"/>
    <cellStyle name="40% - 강조색1 2 4" xfId="0"/>
    <cellStyle name="40% - 강조색1 2 4 10" xfId="0"/>
    <cellStyle name="40% - 강조색1 2 4 2" xfId="0"/>
    <cellStyle name="40% - 강조색1 2 4 3" xfId="0"/>
    <cellStyle name="40% - 강조색1 2 4 4" xfId="0"/>
    <cellStyle name="40% - 강조색1 2 4 5" xfId="0"/>
    <cellStyle name="40% - 강조색1 2 4 6" xfId="0"/>
    <cellStyle name="40% - 강조색1 2 4 7" xfId="0"/>
    <cellStyle name="40% - 강조색1 2 4 8" xfId="0"/>
    <cellStyle name="40% - 강조색1 2 4 9" xfId="0"/>
    <cellStyle name="40% - 강조색1 2 5" xfId="0"/>
    <cellStyle name="40% - 강조색1 2 5 10" xfId="0"/>
    <cellStyle name="40% - 강조색1 2 5 2" xfId="0"/>
    <cellStyle name="40% - 강조색1 2 5 3" xfId="0"/>
    <cellStyle name="40% - 강조색1 2 5 4" xfId="0"/>
    <cellStyle name="40% - 강조색1 2 5 5" xfId="0"/>
    <cellStyle name="40% - 강조색1 2 5 6" xfId="0"/>
    <cellStyle name="40% - 강조색1 2 5 7" xfId="0"/>
    <cellStyle name="40% - 강조색1 2 5 8" xfId="0"/>
    <cellStyle name="40% - 강조색1 2 5 9" xfId="0"/>
    <cellStyle name="40% - 강조색1 2 6" xfId="0"/>
    <cellStyle name="40% - 강조색1 2 6 10" xfId="0"/>
    <cellStyle name="40% - 강조색1 2 6 2" xfId="0"/>
    <cellStyle name="40% - 강조색1 2 6 3" xfId="0"/>
    <cellStyle name="40% - 강조색1 2 6 4" xfId="0"/>
    <cellStyle name="40% - 강조색1 2 6 5" xfId="0"/>
    <cellStyle name="40% - 강조색1 2 6 6" xfId="0"/>
    <cellStyle name="40% - 강조색1 2 6 7" xfId="0"/>
    <cellStyle name="40% - 강조색1 2 6 8" xfId="0"/>
    <cellStyle name="40% - 강조색1 2 6 9" xfId="0"/>
    <cellStyle name="40% - 강조색1 2 7" xfId="0"/>
    <cellStyle name="40% - 강조색1 2 7 10" xfId="0"/>
    <cellStyle name="40% - 강조색1 2 7 2" xfId="0"/>
    <cellStyle name="40% - 강조색1 2 7 3" xfId="0"/>
    <cellStyle name="40% - 강조색1 2 7 4" xfId="0"/>
    <cellStyle name="40% - 강조색1 2 7 5" xfId="0"/>
    <cellStyle name="40% - 강조색1 2 7 6" xfId="0"/>
    <cellStyle name="40% - 강조색1 2 7 7" xfId="0"/>
    <cellStyle name="40% - 강조색1 2 7 8" xfId="0"/>
    <cellStyle name="40% - 강조색1 2 7 9" xfId="0"/>
    <cellStyle name="40% - 강조색1 2 8" xfId="0"/>
    <cellStyle name="40% - 강조색1 2 8 2" xfId="0"/>
    <cellStyle name="40% - 강조색1 2 9" xfId="0"/>
    <cellStyle name="40% - 강조색1 2 9 2" xfId="0"/>
    <cellStyle name="40% - 강조색1 20" xfId="0"/>
    <cellStyle name="40% - 강조색1 20 2" xfId="0"/>
    <cellStyle name="40% - 강조색1 20 3" xfId="0"/>
    <cellStyle name="40% - 강조색1 20 4" xfId="0"/>
    <cellStyle name="40% - 강조색1 20 5" xfId="0"/>
    <cellStyle name="40% - 강조색1 20 6" xfId="0"/>
    <cellStyle name="40% - 강조색1 20 7" xfId="0"/>
    <cellStyle name="40% - 강조색1 20 8" xfId="0"/>
    <cellStyle name="40% - 강조색1 20 9" xfId="0"/>
    <cellStyle name="40% - 강조색1 21" xfId="0"/>
    <cellStyle name="40% - 강조색1 21 2" xfId="0"/>
    <cellStyle name="40% - 강조색1 21 3" xfId="0"/>
    <cellStyle name="40% - 강조색1 21 4" xfId="0"/>
    <cellStyle name="40% - 강조색1 21 5" xfId="0"/>
    <cellStyle name="40% - 강조색1 21 6" xfId="0"/>
    <cellStyle name="40% - 강조색1 21 7" xfId="0"/>
    <cellStyle name="40% - 강조색1 21 8" xfId="0"/>
    <cellStyle name="40% - 강조색1 21 9" xfId="0"/>
    <cellStyle name="40% - 강조색1 22" xfId="0"/>
    <cellStyle name="40% - 강조색1 22 2" xfId="0"/>
    <cellStyle name="40% - 강조색1 22 3" xfId="0"/>
    <cellStyle name="40% - 강조색1 22 4" xfId="0"/>
    <cellStyle name="40% - 강조색1 22 5" xfId="0"/>
    <cellStyle name="40% - 강조색1 22 6" xfId="0"/>
    <cellStyle name="40% - 강조색1 22 7" xfId="0"/>
    <cellStyle name="40% - 강조색1 22 8" xfId="0"/>
    <cellStyle name="40% - 강조색1 22 9" xfId="0"/>
    <cellStyle name="40% - 강조색1 23" xfId="0"/>
    <cellStyle name="40% - 강조색1 23 2" xfId="0"/>
    <cellStyle name="40% - 강조색1 23 3" xfId="0"/>
    <cellStyle name="40% - 강조색1 23 4" xfId="0"/>
    <cellStyle name="40% - 강조색1 23 5" xfId="0"/>
    <cellStyle name="40% - 강조색1 23 6" xfId="0"/>
    <cellStyle name="40% - 강조색1 23 7" xfId="0"/>
    <cellStyle name="40% - 강조색1 23 8" xfId="0"/>
    <cellStyle name="40% - 강조색1 23 9" xfId="0"/>
    <cellStyle name="40% - 강조색1 24" xfId="0"/>
    <cellStyle name="40% - 강조색1 24 2" xfId="0"/>
    <cellStyle name="40% - 강조색1 24 3" xfId="0"/>
    <cellStyle name="40% - 강조색1 24 4" xfId="0"/>
    <cellStyle name="40% - 강조색1 24 5" xfId="0"/>
    <cellStyle name="40% - 강조색1 24 6" xfId="0"/>
    <cellStyle name="40% - 강조색1 24 7" xfId="0"/>
    <cellStyle name="40% - 강조색1 24 8" xfId="0"/>
    <cellStyle name="40% - 강조색1 24 9" xfId="0"/>
    <cellStyle name="40% - 강조색1 25" xfId="0"/>
    <cellStyle name="40% - 강조색1 25 2" xfId="0"/>
    <cellStyle name="40% - 강조색1 25 3" xfId="0"/>
    <cellStyle name="40% - 강조색1 25 4" xfId="0"/>
    <cellStyle name="40% - 강조색1 25 5" xfId="0"/>
    <cellStyle name="40% - 강조색1 25 6" xfId="0"/>
    <cellStyle name="40% - 강조색1 25 7" xfId="0"/>
    <cellStyle name="40% - 강조색1 25 8" xfId="0"/>
    <cellStyle name="40% - 강조색1 25 9" xfId="0"/>
    <cellStyle name="40% - 강조색1 26" xfId="0"/>
    <cellStyle name="40% - 강조색1 26 2" xfId="0"/>
    <cellStyle name="40% - 강조색1 26 3" xfId="0"/>
    <cellStyle name="40% - 강조색1 26 4" xfId="0"/>
    <cellStyle name="40% - 강조색1 26 5" xfId="0"/>
    <cellStyle name="40% - 강조색1 26 6" xfId="0"/>
    <cellStyle name="40% - 강조색1 26 7" xfId="0"/>
    <cellStyle name="40% - 강조색1 26 8" xfId="0"/>
    <cellStyle name="40% - 강조색1 26 9" xfId="0"/>
    <cellStyle name="40% - 강조색1 27" xfId="0"/>
    <cellStyle name="40% - 강조색1 27 2" xfId="0"/>
    <cellStyle name="40% - 강조색1 27 3" xfId="0"/>
    <cellStyle name="40% - 강조색1 27 4" xfId="0"/>
    <cellStyle name="40% - 강조색1 27 5" xfId="0"/>
    <cellStyle name="40% - 강조색1 27 6" xfId="0"/>
    <cellStyle name="40% - 강조색1 27 7" xfId="0"/>
    <cellStyle name="40% - 강조색1 27 8" xfId="0"/>
    <cellStyle name="40% - 강조색1 27 9" xfId="0"/>
    <cellStyle name="40% - 강조색1 28 2" xfId="0"/>
    <cellStyle name="40% - 강조색1 28 3" xfId="0"/>
    <cellStyle name="40% - 강조색1 28 4" xfId="0"/>
    <cellStyle name="40% - 강조색1 28 5" xfId="0"/>
    <cellStyle name="40% - 강조색1 28 6" xfId="0"/>
    <cellStyle name="40% - 강조색1 28 7" xfId="0"/>
    <cellStyle name="40% - 강조색1 28 8" xfId="0"/>
    <cellStyle name="40% - 강조색1 28 9" xfId="0"/>
    <cellStyle name="40% - 강조색1 29 2" xfId="0"/>
    <cellStyle name="40% - 강조색1 29 3" xfId="0"/>
    <cellStyle name="40% - 강조색1 29 4" xfId="0"/>
    <cellStyle name="40% - 강조색1 29 5" xfId="0"/>
    <cellStyle name="40% - 강조색1 29 6" xfId="0"/>
    <cellStyle name="40% - 강조색1 29 7" xfId="0"/>
    <cellStyle name="40% - 강조색1 29 8" xfId="0"/>
    <cellStyle name="40% - 강조색1 29 9" xfId="0"/>
    <cellStyle name="40% - 강조색1 2_3300현금및예치금" xfId="0"/>
    <cellStyle name="40% - 강조색1 3" xfId="0"/>
    <cellStyle name="40% - 강조색1 3 10" xfId="0"/>
    <cellStyle name="40% - 강조색1 3 10 2" xfId="0"/>
    <cellStyle name="40% - 강조색1 3 10 3" xfId="0"/>
    <cellStyle name="40% - 강조색1 3 11" xfId="0"/>
    <cellStyle name="40% - 강조색1 3 11 2" xfId="0"/>
    <cellStyle name="40% - 강조색1 3 11 3" xfId="0"/>
    <cellStyle name="40% - 강조색1 3 12" xfId="0"/>
    <cellStyle name="40% - 강조색1 3 12 2" xfId="0"/>
    <cellStyle name="40% - 강조색1 3 12 3" xfId="0"/>
    <cellStyle name="40% - 강조색1 3 13" xfId="0"/>
    <cellStyle name="40% - 강조색1 3 14" xfId="0"/>
    <cellStyle name="40% - 강조색1 3 15" xfId="0"/>
    <cellStyle name="40% - 강조색1 3 16" xfId="0"/>
    <cellStyle name="40% - 강조색1 3 17" xfId="0"/>
    <cellStyle name="40% - 강조색1 3 18" xfId="0"/>
    <cellStyle name="40% - 강조색1 3 19" xfId="0"/>
    <cellStyle name="40% - 강조색1 3 19 2" xfId="0"/>
    <cellStyle name="40% - 강조색1 3 2" xfId="0"/>
    <cellStyle name="40% - 강조색1 3 2 2" xfId="0"/>
    <cellStyle name="40% - 강조색1 3 2 3" xfId="0"/>
    <cellStyle name="40% - 강조색1 3 20" xfId="0"/>
    <cellStyle name="40% - 강조색1 3 21" xfId="0"/>
    <cellStyle name="40% - 강조색1 3 22" xfId="0"/>
    <cellStyle name="40% - 강조색1 3 23" xfId="0"/>
    <cellStyle name="40% - 강조색1 3 3" xfId="0"/>
    <cellStyle name="40% - 강조색1 3 3 2" xfId="0"/>
    <cellStyle name="40% - 강조색1 3 3 3" xfId="0"/>
    <cellStyle name="40% - 강조색1 3 4" xfId="0"/>
    <cellStyle name="40% - 강조색1 3 4 2" xfId="0"/>
    <cellStyle name="40% - 강조색1 3 4 3" xfId="0"/>
    <cellStyle name="40% - 강조색1 3 5" xfId="0"/>
    <cellStyle name="40% - 강조색1 3 5 2" xfId="0"/>
    <cellStyle name="40% - 강조색1 3 5 3" xfId="0"/>
    <cellStyle name="40% - 강조색1 3 6" xfId="0"/>
    <cellStyle name="40% - 강조색1 3 6 2" xfId="0"/>
    <cellStyle name="40% - 강조색1 3 6 3" xfId="0"/>
    <cellStyle name="40% - 강조색1 3 7" xfId="0"/>
    <cellStyle name="40% - 강조색1 3 7 2" xfId="0"/>
    <cellStyle name="40% - 강조색1 3 7 3" xfId="0"/>
    <cellStyle name="40% - 강조색1 3 8" xfId="0"/>
    <cellStyle name="40% - 강조색1 3 8 2" xfId="0"/>
    <cellStyle name="40% - 강조색1 3 8 3" xfId="0"/>
    <cellStyle name="40% - 강조색1 3 9" xfId="0"/>
    <cellStyle name="40% - 강조색1 3 9 2" xfId="0"/>
    <cellStyle name="40% - 강조색1 3 9 3" xfId="0"/>
    <cellStyle name="40% - 강조색1 30 2" xfId="0"/>
    <cellStyle name="40% - 강조색1 30 3" xfId="0"/>
    <cellStyle name="40% - 강조색1 30 4" xfId="0"/>
    <cellStyle name="40% - 강조색1 30 5" xfId="0"/>
    <cellStyle name="40% - 강조색1 30 6" xfId="0"/>
    <cellStyle name="40% - 강조색1 30 7" xfId="0"/>
    <cellStyle name="40% - 강조색1 30 8" xfId="0"/>
    <cellStyle name="40% - 강조색1 30 9" xfId="0"/>
    <cellStyle name="40% - 강조색1 31 2" xfId="0"/>
    <cellStyle name="40% - 강조색1 31 3" xfId="0"/>
    <cellStyle name="40% - 강조색1 31 4" xfId="0"/>
    <cellStyle name="40% - 강조색1 31 5" xfId="0"/>
    <cellStyle name="40% - 강조색1 31 6" xfId="0"/>
    <cellStyle name="40% - 강조색1 31 7" xfId="0"/>
    <cellStyle name="40% - 강조색1 31 8" xfId="0"/>
    <cellStyle name="40% - 강조색1 31 9" xfId="0"/>
    <cellStyle name="40% - 강조색1 32 2" xfId="0"/>
    <cellStyle name="40% - 강조색1 32 3" xfId="0"/>
    <cellStyle name="40% - 강조색1 32 4" xfId="0"/>
    <cellStyle name="40% - 강조색1 32 5" xfId="0"/>
    <cellStyle name="40% - 강조색1 32 6" xfId="0"/>
    <cellStyle name="40% - 강조색1 32 7" xfId="0"/>
    <cellStyle name="40% - 강조색1 32 8" xfId="0"/>
    <cellStyle name="40% - 강조색1 32 9" xfId="0"/>
    <cellStyle name="40% - 강조색1 33 2" xfId="0"/>
    <cellStyle name="40% - 강조색1 33 3" xfId="0"/>
    <cellStyle name="40% - 강조색1 33 4" xfId="0"/>
    <cellStyle name="40% - 강조색1 33 5" xfId="0"/>
    <cellStyle name="40% - 강조색1 33 6" xfId="0"/>
    <cellStyle name="40% - 강조색1 33 7" xfId="0"/>
    <cellStyle name="40% - 강조색1 33 8" xfId="0"/>
    <cellStyle name="40% - 강조색1 33 9" xfId="0"/>
    <cellStyle name="40% - 강조색1 34 2" xfId="0"/>
    <cellStyle name="40% - 강조색1 34 3" xfId="0"/>
    <cellStyle name="40% - 강조색1 34 4" xfId="0"/>
    <cellStyle name="40% - 강조색1 34 5" xfId="0"/>
    <cellStyle name="40% - 강조색1 34 6" xfId="0"/>
    <cellStyle name="40% - 강조색1 34 7" xfId="0"/>
    <cellStyle name="40% - 강조색1 34 8" xfId="0"/>
    <cellStyle name="40% - 강조색1 34 9" xfId="0"/>
    <cellStyle name="40% - 강조색1 35 2" xfId="0"/>
    <cellStyle name="40% - 강조색1 35 3" xfId="0"/>
    <cellStyle name="40% - 강조색1 35 4" xfId="0"/>
    <cellStyle name="40% - 강조색1 35 5" xfId="0"/>
    <cellStyle name="40% - 강조색1 35 6" xfId="0"/>
    <cellStyle name="40% - 강조색1 35 7" xfId="0"/>
    <cellStyle name="40% - 강조색1 35 8" xfId="0"/>
    <cellStyle name="40% - 강조색1 35 9" xfId="0"/>
    <cellStyle name="40% - 강조색1 3_운용자산별 손익분석" xfId="0"/>
    <cellStyle name="40% - 강조색1 4" xfId="0"/>
    <cellStyle name="40% - 강조색1 4 10" xfId="0"/>
    <cellStyle name="40% - 강조색1 4 11" xfId="0"/>
    <cellStyle name="40% - 강조색1 4 12" xfId="0"/>
    <cellStyle name="40% - 강조색1 4 13" xfId="0"/>
    <cellStyle name="40% - 강조색1 4 14" xfId="0"/>
    <cellStyle name="40% - 강조색1 4 15" xfId="0"/>
    <cellStyle name="40% - 강조색1 4 16" xfId="0"/>
    <cellStyle name="40% - 강조색1 4 17" xfId="0"/>
    <cellStyle name="40% - 강조색1 4 18" xfId="0"/>
    <cellStyle name="40% - 강조색1 4 19" xfId="0"/>
    <cellStyle name="40% - 강조색1 4 2" xfId="0"/>
    <cellStyle name="40% - 강조색1 4 20" xfId="0"/>
    <cellStyle name="40% - 강조색1 4 21" xfId="0"/>
    <cellStyle name="40% - 강조색1 4 22" xfId="0"/>
    <cellStyle name="40% - 강조색1 4 23" xfId="0"/>
    <cellStyle name="40% - 강조색1 4 24" xfId="0"/>
    <cellStyle name="40% - 강조색1 4 3" xfId="0"/>
    <cellStyle name="40% - 강조색1 4 4" xfId="0"/>
    <cellStyle name="40% - 강조색1 4 5" xfId="0"/>
    <cellStyle name="40% - 강조색1 4 6" xfId="0"/>
    <cellStyle name="40% - 강조색1 4 7" xfId="0"/>
    <cellStyle name="40% - 강조색1 4 8" xfId="0"/>
    <cellStyle name="40% - 강조색1 4 9" xfId="0"/>
    <cellStyle name="40% - 강조색1 4_운용자산별 손익분석" xfId="0"/>
    <cellStyle name="40% - 강조색1 5" xfId="0"/>
    <cellStyle name="40% - 강조색1 5 10" xfId="0"/>
    <cellStyle name="40% - 강조색1 5 11" xfId="0"/>
    <cellStyle name="40% - 강조색1 5 12" xfId="0"/>
    <cellStyle name="40% - 강조색1 5 13" xfId="0"/>
    <cellStyle name="40% - 강조색1 5 14" xfId="0"/>
    <cellStyle name="40% - 강조색1 5 15" xfId="0"/>
    <cellStyle name="40% - 강조색1 5 16" xfId="0"/>
    <cellStyle name="40% - 강조색1 5 17" xfId="0"/>
    <cellStyle name="40% - 강조색1 5 18" xfId="0"/>
    <cellStyle name="40% - 강조색1 5 19" xfId="0"/>
    <cellStyle name="40% - 강조색1 5 2" xfId="0"/>
    <cellStyle name="40% - 강조색1 5 20" xfId="0"/>
    <cellStyle name="40% - 강조색1 5 21" xfId="0"/>
    <cellStyle name="40% - 강조색1 5 22" xfId="0"/>
    <cellStyle name="40% - 강조색1 5 23" xfId="0"/>
    <cellStyle name="40% - 강조색1 5 24" xfId="0"/>
    <cellStyle name="40% - 강조색1 5 25" xfId="0"/>
    <cellStyle name="40% - 강조색1 5 26" xfId="0"/>
    <cellStyle name="40% - 강조색1 5 27" xfId="0"/>
    <cellStyle name="40% - 강조색1 5 28" xfId="0"/>
    <cellStyle name="40% - 강조색1 5 29" xfId="0"/>
    <cellStyle name="40% - 강조색1 5 3" xfId="0"/>
    <cellStyle name="40% - 강조색1 5 30" xfId="0"/>
    <cellStyle name="40% - 강조색1 5 31" xfId="0"/>
    <cellStyle name="40% - 강조색1 5 32" xfId="0"/>
    <cellStyle name="40% - 강조색1 5 33" xfId="0"/>
    <cellStyle name="40% - 강조색1 5 34" xfId="0"/>
    <cellStyle name="40% - 강조색1 5 4" xfId="0"/>
    <cellStyle name="40% - 강조색1 5 5" xfId="0"/>
    <cellStyle name="40% - 강조색1 5 6" xfId="0"/>
    <cellStyle name="40% - 강조색1 5 7" xfId="0"/>
    <cellStyle name="40% - 강조색1 5 8" xfId="0"/>
    <cellStyle name="40% - 강조색1 5 9" xfId="0"/>
    <cellStyle name="40% - 강조색1 6" xfId="0"/>
    <cellStyle name="40% - 강조색1 6 10" xfId="0"/>
    <cellStyle name="40% - 강조색1 6 11" xfId="0"/>
    <cellStyle name="40% - 강조색1 6 12" xfId="0"/>
    <cellStyle name="40% - 강조색1 6 13" xfId="0"/>
    <cellStyle name="40% - 강조색1 6 14" xfId="0"/>
    <cellStyle name="40% - 강조색1 6 15" xfId="0"/>
    <cellStyle name="40% - 강조색1 6 16" xfId="0"/>
    <cellStyle name="40% - 강조색1 6 17" xfId="0"/>
    <cellStyle name="40% - 강조색1 6 18" xfId="0"/>
    <cellStyle name="40% - 강조색1 6 19" xfId="0"/>
    <cellStyle name="40% - 강조색1 6 2" xfId="0"/>
    <cellStyle name="40% - 강조색1 6 20" xfId="0"/>
    <cellStyle name="40% - 강조색1 6 21" xfId="0"/>
    <cellStyle name="40% - 강조색1 6 22" xfId="0"/>
    <cellStyle name="40% - 강조색1 6 23" xfId="0"/>
    <cellStyle name="40% - 강조색1 6 24" xfId="0"/>
    <cellStyle name="40% - 강조색1 6 25" xfId="0"/>
    <cellStyle name="40% - 강조색1 6 26" xfId="0"/>
    <cellStyle name="40% - 강조색1 6 27" xfId="0"/>
    <cellStyle name="40% - 강조색1 6 28" xfId="0"/>
    <cellStyle name="40% - 강조색1 6 29" xfId="0"/>
    <cellStyle name="40% - 강조색1 6 3" xfId="0"/>
    <cellStyle name="40% - 강조색1 6 30" xfId="0"/>
    <cellStyle name="40% - 강조색1 6 4" xfId="0"/>
    <cellStyle name="40% - 강조색1 6 5" xfId="0"/>
    <cellStyle name="40% - 강조색1 6 6" xfId="0"/>
    <cellStyle name="40% - 강조색1 6 7" xfId="0"/>
    <cellStyle name="40% - 강조색1 6 8" xfId="0"/>
    <cellStyle name="40% - 강조색1 6 9" xfId="0"/>
    <cellStyle name="40% - 강조색1 7" xfId="0"/>
    <cellStyle name="40% - 강조색1 7 10" xfId="0"/>
    <cellStyle name="40% - 강조색1 7 11" xfId="0"/>
    <cellStyle name="40% - 강조색1 7 12" xfId="0"/>
    <cellStyle name="40% - 강조색1 7 13" xfId="0"/>
    <cellStyle name="40% - 강조색1 7 14" xfId="0"/>
    <cellStyle name="40% - 강조색1 7 15" xfId="0"/>
    <cellStyle name="40% - 강조색1 7 16" xfId="0"/>
    <cellStyle name="40% - 강조색1 7 17" xfId="0"/>
    <cellStyle name="40% - 강조색1 7 18" xfId="0"/>
    <cellStyle name="40% - 강조색1 7 19" xfId="0"/>
    <cellStyle name="40% - 강조색1 7 2" xfId="0"/>
    <cellStyle name="40% - 강조색1 7 2 2" xfId="0"/>
    <cellStyle name="40% - 강조색1 7 2 3" xfId="0"/>
    <cellStyle name="40% - 강조색1 7 20" xfId="0"/>
    <cellStyle name="40% - 강조색1 7 21" xfId="0"/>
    <cellStyle name="40% - 강조색1 7 22" xfId="0"/>
    <cellStyle name="40% - 강조색1 7 23" xfId="0"/>
    <cellStyle name="40% - 강조색1 7 24" xfId="0"/>
    <cellStyle name="40% - 강조색1 7 3" xfId="0"/>
    <cellStyle name="40% - 강조색1 7 3 2" xfId="0"/>
    <cellStyle name="40% - 강조색1 7 3 3" xfId="0"/>
    <cellStyle name="40% - 강조색1 7 4" xfId="0"/>
    <cellStyle name="40% - 강조색1 7 4 2" xfId="0"/>
    <cellStyle name="40% - 강조색1 7 4 3" xfId="0"/>
    <cellStyle name="40% - 강조색1 7 5" xfId="0"/>
    <cellStyle name="40% - 강조색1 7 5 2" xfId="0"/>
    <cellStyle name="40% - 강조색1 7 5 3" xfId="0"/>
    <cellStyle name="40% - 강조색1 7 6" xfId="0"/>
    <cellStyle name="40% - 강조색1 7 6 2" xfId="0"/>
    <cellStyle name="40% - 강조색1 7 6 3" xfId="0"/>
    <cellStyle name="40% - 강조색1 7 7" xfId="0"/>
    <cellStyle name="40% - 강조색1 7 8" xfId="0"/>
    <cellStyle name="40% - 강조색1 7 9" xfId="0"/>
    <cellStyle name="40% - 강조색1 8" xfId="0"/>
    <cellStyle name="40% - 강조색1 8 10" xfId="0"/>
    <cellStyle name="40% - 강조색1 8 11" xfId="0"/>
    <cellStyle name="40% - 강조색1 8 12" xfId="0"/>
    <cellStyle name="40% - 강조색1 8 13" xfId="0"/>
    <cellStyle name="40% - 강조색1 8 14" xfId="0"/>
    <cellStyle name="40% - 강조색1 8 15" xfId="0"/>
    <cellStyle name="40% - 강조색1 8 16" xfId="0"/>
    <cellStyle name="40% - 강조색1 8 17" xfId="0"/>
    <cellStyle name="40% - 강조색1 8 18" xfId="0"/>
    <cellStyle name="40% - 강조색1 8 19" xfId="0"/>
    <cellStyle name="40% - 강조색1 8 2" xfId="0"/>
    <cellStyle name="40% - 강조색1 8 2 2" xfId="0"/>
    <cellStyle name="40% - 강조색1 8 2 3" xfId="0"/>
    <cellStyle name="40% - 강조색1 8 20" xfId="0"/>
    <cellStyle name="40% - 강조색1 8 21" xfId="0"/>
    <cellStyle name="40% - 강조색1 8 22" xfId="0"/>
    <cellStyle name="40% - 강조색1 8 23" xfId="0"/>
    <cellStyle name="40% - 강조색1 8 24" xfId="0"/>
    <cellStyle name="40% - 강조색1 8 3" xfId="0"/>
    <cellStyle name="40% - 강조색1 8 3 2" xfId="0"/>
    <cellStyle name="40% - 강조색1 8 3 3" xfId="0"/>
    <cellStyle name="40% - 강조색1 8 4" xfId="0"/>
    <cellStyle name="40% - 강조색1 8 4 2" xfId="0"/>
    <cellStyle name="40% - 강조색1 8 4 3" xfId="0"/>
    <cellStyle name="40% - 강조색1 8 5" xfId="0"/>
    <cellStyle name="40% - 강조색1 8 5 2" xfId="0"/>
    <cellStyle name="40% - 강조색1 8 5 3" xfId="0"/>
    <cellStyle name="40% - 강조색1 8 6" xfId="0"/>
    <cellStyle name="40% - 강조색1 8 6 2" xfId="0"/>
    <cellStyle name="40% - 강조색1 8 6 3" xfId="0"/>
    <cellStyle name="40% - 강조색1 8 7" xfId="0"/>
    <cellStyle name="40% - 강조색1 8 8" xfId="0"/>
    <cellStyle name="40% - 강조색1 8 9" xfId="0"/>
    <cellStyle name="40% - 강조색1 9" xfId="0"/>
    <cellStyle name="40% - 강조색1 9 10" xfId="0"/>
    <cellStyle name="40% - 강조색1 9 11" xfId="0"/>
    <cellStyle name="40% - 강조색1 9 12" xfId="0"/>
    <cellStyle name="40% - 강조색1 9 13" xfId="0"/>
    <cellStyle name="40% - 강조색1 9 14" xfId="0"/>
    <cellStyle name="40% - 강조색1 9 15" xfId="0"/>
    <cellStyle name="40% - 강조색1 9 16" xfId="0"/>
    <cellStyle name="40% - 강조색1 9 17" xfId="0"/>
    <cellStyle name="40% - 강조색1 9 18" xfId="0"/>
    <cellStyle name="40% - 강조색1 9 19" xfId="0"/>
    <cellStyle name="40% - 강조색1 9 2" xfId="0"/>
    <cellStyle name="40% - 강조색1 9 2 2" xfId="0"/>
    <cellStyle name="40% - 강조색1 9 2 3" xfId="0"/>
    <cellStyle name="40% - 강조색1 9 20" xfId="0"/>
    <cellStyle name="40% - 강조색1 9 21" xfId="0"/>
    <cellStyle name="40% - 강조색1 9 22" xfId="0"/>
    <cellStyle name="40% - 강조색1 9 23" xfId="0"/>
    <cellStyle name="40% - 강조색1 9 24" xfId="0"/>
    <cellStyle name="40% - 강조색1 9 3" xfId="0"/>
    <cellStyle name="40% - 강조색1 9 3 2" xfId="0"/>
    <cellStyle name="40% - 강조색1 9 3 3" xfId="0"/>
    <cellStyle name="40% - 강조색1 9 4" xfId="0"/>
    <cellStyle name="40% - 강조색1 9 4 2" xfId="0"/>
    <cellStyle name="40% - 강조색1 9 4 3" xfId="0"/>
    <cellStyle name="40% - 강조색1 9 5" xfId="0"/>
    <cellStyle name="40% - 강조색1 9 5 2" xfId="0"/>
    <cellStyle name="40% - 강조색1 9 5 3" xfId="0"/>
    <cellStyle name="40% - 강조색1 9 6" xfId="0"/>
    <cellStyle name="40% - 강조색1 9 6 2" xfId="0"/>
    <cellStyle name="40% - 강조색1 9 6 3" xfId="0"/>
    <cellStyle name="40% - 강조색1 9 7" xfId="0"/>
    <cellStyle name="40% - 강조색1 9 8" xfId="0"/>
    <cellStyle name="40% - 강조색1 9 9" xfId="0"/>
    <cellStyle name="40% - 강조색2 10" xfId="0"/>
    <cellStyle name="40% - 강조색2 10 10" xfId="0"/>
    <cellStyle name="40% - 강조색2 10 11" xfId="0"/>
    <cellStyle name="40% - 강조색2 10 12" xfId="0"/>
    <cellStyle name="40% - 강조색2 10 13" xfId="0"/>
    <cellStyle name="40% - 강조색2 10 14" xfId="0"/>
    <cellStyle name="40% - 강조색2 10 15" xfId="0"/>
    <cellStyle name="40% - 강조색2 10 16" xfId="0"/>
    <cellStyle name="40% - 강조색2 10 17" xfId="0"/>
    <cellStyle name="40% - 강조색2 10 18" xfId="0"/>
    <cellStyle name="40% - 강조색2 10 19" xfId="0"/>
    <cellStyle name="40% - 강조색2 10 2" xfId="0"/>
    <cellStyle name="40% - 강조색2 10 2 2" xfId="0"/>
    <cellStyle name="40% - 강조색2 10 2 3" xfId="0"/>
    <cellStyle name="40% - 강조색2 10 20" xfId="0"/>
    <cellStyle name="40% - 강조색2 10 21" xfId="0"/>
    <cellStyle name="40% - 강조색2 10 22" xfId="0"/>
    <cellStyle name="40% - 강조색2 10 23" xfId="0"/>
    <cellStyle name="40% - 강조색2 10 24" xfId="0"/>
    <cellStyle name="40% - 강조색2 10 3" xfId="0"/>
    <cellStyle name="40% - 강조색2 10 3 2" xfId="0"/>
    <cellStyle name="40% - 강조색2 10 3 3" xfId="0"/>
    <cellStyle name="40% - 강조색2 10 4" xfId="0"/>
    <cellStyle name="40% - 강조색2 10 4 2" xfId="0"/>
    <cellStyle name="40% - 강조색2 10 4 3" xfId="0"/>
    <cellStyle name="40% - 강조색2 10 5" xfId="0"/>
    <cellStyle name="40% - 강조색2 10 5 2" xfId="0"/>
    <cellStyle name="40% - 강조색2 10 5 3" xfId="0"/>
    <cellStyle name="40% - 강조색2 10 6" xfId="0"/>
    <cellStyle name="40% - 강조색2 10 6 2" xfId="0"/>
    <cellStyle name="40% - 강조색2 10 6 3" xfId="0"/>
    <cellStyle name="40% - 강조색2 10 7" xfId="0"/>
    <cellStyle name="40% - 강조색2 10 8" xfId="0"/>
    <cellStyle name="40% - 강조색2 10 9" xfId="0"/>
    <cellStyle name="40% - 강조색2 11" xfId="0"/>
    <cellStyle name="40% - 강조색2 11 10" xfId="0"/>
    <cellStyle name="40% - 강조색2 11 2" xfId="0"/>
    <cellStyle name="40% - 강조색2 11 2 2" xfId="0"/>
    <cellStyle name="40% - 강조색2 11 2 3" xfId="0"/>
    <cellStyle name="40% - 강조색2 11 3" xfId="0"/>
    <cellStyle name="40% - 강조색2 11 3 2" xfId="0"/>
    <cellStyle name="40% - 강조색2 11 3 3" xfId="0"/>
    <cellStyle name="40% - 강조색2 11 4" xfId="0"/>
    <cellStyle name="40% - 강조색2 11 4 2" xfId="0"/>
    <cellStyle name="40% - 강조색2 11 4 3" xfId="0"/>
    <cellStyle name="40% - 강조색2 11 5" xfId="0"/>
    <cellStyle name="40% - 강조색2 11 5 2" xfId="0"/>
    <cellStyle name="40% - 강조색2 11 5 3" xfId="0"/>
    <cellStyle name="40% - 강조색2 11 6" xfId="0"/>
    <cellStyle name="40% - 강조색2 11 6 2" xfId="0"/>
    <cellStyle name="40% - 강조색2 11 6 3" xfId="0"/>
    <cellStyle name="40% - 강조색2 11 7" xfId="0"/>
    <cellStyle name="40% - 강조색2 11 8" xfId="0"/>
    <cellStyle name="40% - 강조색2 11 9" xfId="0"/>
    <cellStyle name="40% - 강조색2 12" xfId="0"/>
    <cellStyle name="40% - 강조색2 12 2" xfId="0"/>
    <cellStyle name="40% - 강조색2 12 3" xfId="0"/>
    <cellStyle name="40% - 강조색2 12 4" xfId="0"/>
    <cellStyle name="40% - 강조색2 12 5" xfId="0"/>
    <cellStyle name="40% - 강조색2 12 6" xfId="0"/>
    <cellStyle name="40% - 강조색2 12 7" xfId="0"/>
    <cellStyle name="40% - 강조색2 12 8" xfId="0"/>
    <cellStyle name="40% - 강조색2 12 9" xfId="0"/>
    <cellStyle name="40% - 강조색2 13" xfId="0"/>
    <cellStyle name="40% - 강조색2 13 2" xfId="0"/>
    <cellStyle name="40% - 강조색2 13 3" xfId="0"/>
    <cellStyle name="40% - 강조색2 13 4" xfId="0"/>
    <cellStyle name="40% - 강조색2 13 5" xfId="0"/>
    <cellStyle name="40% - 강조색2 13 6" xfId="0"/>
    <cellStyle name="40% - 강조색2 13 7" xfId="0"/>
    <cellStyle name="40% - 강조색2 13 8" xfId="0"/>
    <cellStyle name="40% - 강조색2 13 9" xfId="0"/>
    <cellStyle name="40% - 강조색2 14" xfId="0"/>
    <cellStyle name="40% - 강조색2 14 2" xfId="0"/>
    <cellStyle name="40% - 강조색2 14 3" xfId="0"/>
    <cellStyle name="40% - 강조색2 14 4" xfId="0"/>
    <cellStyle name="40% - 강조색2 14 5" xfId="0"/>
    <cellStyle name="40% - 강조색2 14 6" xfId="0"/>
    <cellStyle name="40% - 강조색2 14 7" xfId="0"/>
    <cellStyle name="40% - 강조색2 14 8" xfId="0"/>
    <cellStyle name="40% - 강조색2 14 9" xfId="0"/>
    <cellStyle name="40% - 강조색2 15" xfId="0"/>
    <cellStyle name="40% - 강조색2 15 2" xfId="0"/>
    <cellStyle name="40% - 강조색2 15 3" xfId="0"/>
    <cellStyle name="40% - 강조색2 15 4" xfId="0"/>
    <cellStyle name="40% - 강조색2 15 5" xfId="0"/>
    <cellStyle name="40% - 강조색2 15 6" xfId="0"/>
    <cellStyle name="40% - 강조색2 15 7" xfId="0"/>
    <cellStyle name="40% - 강조색2 15 8" xfId="0"/>
    <cellStyle name="40% - 강조색2 15 9" xfId="0"/>
    <cellStyle name="40% - 강조색2 16" xfId="0"/>
    <cellStyle name="40% - 강조색2 16 2" xfId="0"/>
    <cellStyle name="40% - 강조색2 16 3" xfId="0"/>
    <cellStyle name="40% - 강조색2 16 4" xfId="0"/>
    <cellStyle name="40% - 강조색2 16 5" xfId="0"/>
    <cellStyle name="40% - 강조색2 16 6" xfId="0"/>
    <cellStyle name="40% - 강조색2 16 7" xfId="0"/>
    <cellStyle name="40% - 강조색2 16 8" xfId="0"/>
    <cellStyle name="40% - 강조색2 16 9" xfId="0"/>
    <cellStyle name="40% - 강조색2 17" xfId="0"/>
    <cellStyle name="40% - 강조색2 17 2" xfId="0"/>
    <cellStyle name="40% - 강조색2 17 3" xfId="0"/>
    <cellStyle name="40% - 강조색2 17 4" xfId="0"/>
    <cellStyle name="40% - 강조색2 17 5" xfId="0"/>
    <cellStyle name="40% - 강조색2 17 6" xfId="0"/>
    <cellStyle name="40% - 강조색2 17 7" xfId="0"/>
    <cellStyle name="40% - 강조색2 17 8" xfId="0"/>
    <cellStyle name="40% - 강조색2 17 9" xfId="0"/>
    <cellStyle name="40% - 강조색2 18" xfId="0"/>
    <cellStyle name="40% - 강조색2 18 2" xfId="0"/>
    <cellStyle name="40% - 강조색2 18 3" xfId="0"/>
    <cellStyle name="40% - 강조색2 18 4" xfId="0"/>
    <cellStyle name="40% - 강조색2 18 5" xfId="0"/>
    <cellStyle name="40% - 강조색2 18 6" xfId="0"/>
    <cellStyle name="40% - 강조색2 18 7" xfId="0"/>
    <cellStyle name="40% - 강조색2 18 8" xfId="0"/>
    <cellStyle name="40% - 강조색2 18 9" xfId="0"/>
    <cellStyle name="40% - 강조색2 19" xfId="0"/>
    <cellStyle name="40% - 강조색2 19 2" xfId="0"/>
    <cellStyle name="40% - 강조색2 19 3" xfId="0"/>
    <cellStyle name="40% - 강조색2 19 4" xfId="0"/>
    <cellStyle name="40% - 강조색2 19 5" xfId="0"/>
    <cellStyle name="40% - 강조색2 19 6" xfId="0"/>
    <cellStyle name="40% - 강조색2 19 7" xfId="0"/>
    <cellStyle name="40% - 강조색2 19 8" xfId="0"/>
    <cellStyle name="40% - 강조색2 19 9" xfId="0"/>
    <cellStyle name="40% - 강조색2 2" xfId="0"/>
    <cellStyle name="40% - 강조색2 2 10" xfId="0"/>
    <cellStyle name="40% - 강조색2 2 10 2" xfId="0"/>
    <cellStyle name="40% - 강조색2 2 11" xfId="0"/>
    <cellStyle name="40% - 강조색2 2 11 2" xfId="0"/>
    <cellStyle name="40% - 강조색2 2 12" xfId="0"/>
    <cellStyle name="40% - 강조색2 2 12 2" xfId="0"/>
    <cellStyle name="40% - 강조색2 2 13" xfId="0"/>
    <cellStyle name="40% - 강조색2 2 14" xfId="0"/>
    <cellStyle name="40% - 강조색2 2 15" xfId="0"/>
    <cellStyle name="40% - 강조색2 2 16" xfId="0"/>
    <cellStyle name="40% - 강조색2 2 17" xfId="0"/>
    <cellStyle name="40% - 강조색2 2 18" xfId="0"/>
    <cellStyle name="40% - 강조색2 2 19" xfId="0"/>
    <cellStyle name="40% - 강조색2 2 2" xfId="0"/>
    <cellStyle name="40% - 강조색2 2 2 10" xfId="0"/>
    <cellStyle name="40% - 강조색2 2 2 11" xfId="0"/>
    <cellStyle name="40% - 강조색2 2 2 12" xfId="0"/>
    <cellStyle name="40% - 강조색2 2 2 13" xfId="0"/>
    <cellStyle name="40% - 강조색2 2 2 14" xfId="0"/>
    <cellStyle name="40% - 강조색2 2 2 15" xfId="0"/>
    <cellStyle name="40% - 강조색2 2 2 16" xfId="0"/>
    <cellStyle name="40% - 강조색2 2 2 17" xfId="0"/>
    <cellStyle name="40% - 강조색2 2 2 18" xfId="0"/>
    <cellStyle name="40% - 강조색2 2 2 19" xfId="0"/>
    <cellStyle name="40% - 강조색2 2 2 2" xfId="0"/>
    <cellStyle name="40% - 강조색2 2 2 2 2" xfId="0"/>
    <cellStyle name="40% - 강조색2 2 2 2 2 2" xfId="0"/>
    <cellStyle name="40% - 강조색2 2 2 2 2 3" xfId="0"/>
    <cellStyle name="40% - 강조색2 2 2 2 2 4" xfId="0"/>
    <cellStyle name="40% - 강조색2 2 2 2 2 5" xfId="0"/>
    <cellStyle name="40% - 강조색2 2 2 2 2 6" xfId="0"/>
    <cellStyle name="40% - 강조색2 2 2 2 2 7" xfId="0"/>
    <cellStyle name="40% - 강조색2 2 2 2 2 8" xfId="0"/>
    <cellStyle name="40% - 강조색2 2 2 2 2 9" xfId="0"/>
    <cellStyle name="40% - 강조색2 2 2 2 3" xfId="0"/>
    <cellStyle name="40% - 강조색2 2 2 2 4" xfId="0"/>
    <cellStyle name="40% - 강조색2 2 2 2 5" xfId="0"/>
    <cellStyle name="40% - 강조색2 2 2 2 6" xfId="0"/>
    <cellStyle name="40% - 강조색2 2 2 2 7" xfId="0"/>
    <cellStyle name="40% - 강조색2 2 2 2 8" xfId="0"/>
    <cellStyle name="40% - 강조색2 2 2 2 9" xfId="0"/>
    <cellStyle name="40% - 강조색2 2 2 20" xfId="0"/>
    <cellStyle name="40% - 강조색2 2 2 21" xfId="0"/>
    <cellStyle name="40% - 강조색2 2 2 22" xfId="0"/>
    <cellStyle name="40% - 강조색2 2 2 23" xfId="0"/>
    <cellStyle name="40% - 강조색2 2 2 3" xfId="0"/>
    <cellStyle name="40% - 강조색2 2 2 4" xfId="0"/>
    <cellStyle name="40% - 강조색2 2 2 5" xfId="0"/>
    <cellStyle name="40% - 강조색2 2 2 6" xfId="0"/>
    <cellStyle name="40% - 강조색2 2 2 7" xfId="0"/>
    <cellStyle name="40% - 강조색2 2 2 8" xfId="0"/>
    <cellStyle name="40% - 강조색2 2 2 9" xfId="0"/>
    <cellStyle name="40% - 강조색2 2 20" xfId="0"/>
    <cellStyle name="40% - 강조색2 2 21" xfId="0"/>
    <cellStyle name="40% - 강조색2 2 22" xfId="0"/>
    <cellStyle name="40% - 강조색2 2 23" xfId="0"/>
    <cellStyle name="40% - 강조색2 2 3" xfId="0"/>
    <cellStyle name="40% - 강조색2 2 3 10" xfId="0"/>
    <cellStyle name="40% - 강조색2 2 3 2" xfId="0"/>
    <cellStyle name="40% - 강조색2 2 3 3" xfId="0"/>
    <cellStyle name="40% - 강조색2 2 3 4" xfId="0"/>
    <cellStyle name="40% - 강조색2 2 3 5" xfId="0"/>
    <cellStyle name="40% - 강조색2 2 3 6" xfId="0"/>
    <cellStyle name="40% - 강조색2 2 3 7" xfId="0"/>
    <cellStyle name="40% - 강조색2 2 3 8" xfId="0"/>
    <cellStyle name="40% - 강조색2 2 3 9" xfId="0"/>
    <cellStyle name="40% - 강조색2 2 4" xfId="0"/>
    <cellStyle name="40% - 강조색2 2 4 10" xfId="0"/>
    <cellStyle name="40% - 강조색2 2 4 2" xfId="0"/>
    <cellStyle name="40% - 강조색2 2 4 3" xfId="0"/>
    <cellStyle name="40% - 강조색2 2 4 4" xfId="0"/>
    <cellStyle name="40% - 강조색2 2 4 5" xfId="0"/>
    <cellStyle name="40% - 강조색2 2 4 6" xfId="0"/>
    <cellStyle name="40% - 강조색2 2 4 7" xfId="0"/>
    <cellStyle name="40% - 강조색2 2 4 8" xfId="0"/>
    <cellStyle name="40% - 강조색2 2 4 9" xfId="0"/>
    <cellStyle name="40% - 강조색2 2 5" xfId="0"/>
    <cellStyle name="40% - 강조색2 2 5 10" xfId="0"/>
    <cellStyle name="40% - 강조색2 2 5 2" xfId="0"/>
    <cellStyle name="40% - 강조색2 2 5 3" xfId="0"/>
    <cellStyle name="40% - 강조색2 2 5 4" xfId="0"/>
    <cellStyle name="40% - 강조색2 2 5 5" xfId="0"/>
    <cellStyle name="40% - 강조색2 2 5 6" xfId="0"/>
    <cellStyle name="40% - 강조색2 2 5 7" xfId="0"/>
    <cellStyle name="40% - 강조색2 2 5 8" xfId="0"/>
    <cellStyle name="40% - 강조색2 2 5 9" xfId="0"/>
    <cellStyle name="40% - 강조색2 2 6" xfId="0"/>
    <cellStyle name="40% - 강조색2 2 6 10" xfId="0"/>
    <cellStyle name="40% - 강조색2 2 6 2" xfId="0"/>
    <cellStyle name="40% - 강조색2 2 6 3" xfId="0"/>
    <cellStyle name="40% - 강조색2 2 6 4" xfId="0"/>
    <cellStyle name="40% - 강조색2 2 6 5" xfId="0"/>
    <cellStyle name="40% - 강조색2 2 6 6" xfId="0"/>
    <cellStyle name="40% - 강조색2 2 6 7" xfId="0"/>
    <cellStyle name="40% - 강조색2 2 6 8" xfId="0"/>
    <cellStyle name="40% - 강조색2 2 6 9" xfId="0"/>
    <cellStyle name="40% - 강조색2 2 7" xfId="0"/>
    <cellStyle name="40% - 강조색2 2 7 10" xfId="0"/>
    <cellStyle name="40% - 강조색2 2 7 2" xfId="0"/>
    <cellStyle name="40% - 강조색2 2 7 3" xfId="0"/>
    <cellStyle name="40% - 강조색2 2 7 4" xfId="0"/>
    <cellStyle name="40% - 강조색2 2 7 5" xfId="0"/>
    <cellStyle name="40% - 강조색2 2 7 6" xfId="0"/>
    <cellStyle name="40% - 강조색2 2 7 7" xfId="0"/>
    <cellStyle name="40% - 강조색2 2 7 8" xfId="0"/>
    <cellStyle name="40% - 강조색2 2 7 9" xfId="0"/>
    <cellStyle name="40% - 강조색2 2 8" xfId="0"/>
    <cellStyle name="40% - 강조색2 2 8 2" xfId="0"/>
    <cellStyle name="40% - 강조색2 2 9" xfId="0"/>
    <cellStyle name="40% - 강조색2 2 9 2" xfId="0"/>
    <cellStyle name="40% - 강조색2 20" xfId="0"/>
    <cellStyle name="40% - 강조색2 20 2" xfId="0"/>
    <cellStyle name="40% - 강조색2 20 3" xfId="0"/>
    <cellStyle name="40% - 강조색2 20 4" xfId="0"/>
    <cellStyle name="40% - 강조색2 20 5" xfId="0"/>
    <cellStyle name="40% - 강조색2 20 6" xfId="0"/>
    <cellStyle name="40% - 강조색2 20 7" xfId="0"/>
    <cellStyle name="40% - 강조색2 20 8" xfId="0"/>
    <cellStyle name="40% - 강조색2 20 9" xfId="0"/>
    <cellStyle name="40% - 강조색2 21" xfId="0"/>
    <cellStyle name="40% - 강조색2 21 2" xfId="0"/>
    <cellStyle name="40% - 강조색2 21 3" xfId="0"/>
    <cellStyle name="40% - 강조색2 21 4" xfId="0"/>
    <cellStyle name="40% - 강조색2 21 5" xfId="0"/>
    <cellStyle name="40% - 강조색2 21 6" xfId="0"/>
    <cellStyle name="40% - 강조색2 21 7" xfId="0"/>
    <cellStyle name="40% - 강조색2 21 8" xfId="0"/>
    <cellStyle name="40% - 강조색2 21 9" xfId="0"/>
    <cellStyle name="40% - 강조색2 22" xfId="0"/>
    <cellStyle name="40% - 강조색2 22 2" xfId="0"/>
    <cellStyle name="40% - 강조색2 22 3" xfId="0"/>
    <cellStyle name="40% - 강조색2 22 4" xfId="0"/>
    <cellStyle name="40% - 강조색2 22 5" xfId="0"/>
    <cellStyle name="40% - 강조색2 22 6" xfId="0"/>
    <cellStyle name="40% - 강조색2 22 7" xfId="0"/>
    <cellStyle name="40% - 강조색2 22 8" xfId="0"/>
    <cellStyle name="40% - 강조색2 22 9" xfId="0"/>
    <cellStyle name="40% - 강조색2 23" xfId="0"/>
    <cellStyle name="40% - 강조색2 23 2" xfId="0"/>
    <cellStyle name="40% - 강조색2 23 3" xfId="0"/>
    <cellStyle name="40% - 강조색2 23 4" xfId="0"/>
    <cellStyle name="40% - 강조색2 23 5" xfId="0"/>
    <cellStyle name="40% - 강조색2 23 6" xfId="0"/>
    <cellStyle name="40% - 강조색2 23 7" xfId="0"/>
    <cellStyle name="40% - 강조색2 23 8" xfId="0"/>
    <cellStyle name="40% - 강조색2 23 9" xfId="0"/>
    <cellStyle name="40% - 강조색2 24" xfId="0"/>
    <cellStyle name="40% - 강조색2 24 2" xfId="0"/>
    <cellStyle name="40% - 강조색2 24 3" xfId="0"/>
    <cellStyle name="40% - 강조색2 24 4" xfId="0"/>
    <cellStyle name="40% - 강조색2 24 5" xfId="0"/>
    <cellStyle name="40% - 강조색2 24 6" xfId="0"/>
    <cellStyle name="40% - 강조색2 24 7" xfId="0"/>
    <cellStyle name="40% - 강조색2 24 8" xfId="0"/>
    <cellStyle name="40% - 강조색2 24 9" xfId="0"/>
    <cellStyle name="40% - 강조색2 25" xfId="0"/>
    <cellStyle name="40% - 강조색2 25 2" xfId="0"/>
    <cellStyle name="40% - 강조색2 25 3" xfId="0"/>
    <cellStyle name="40% - 강조색2 25 4" xfId="0"/>
    <cellStyle name="40% - 강조색2 25 5" xfId="0"/>
    <cellStyle name="40% - 강조색2 25 6" xfId="0"/>
    <cellStyle name="40% - 강조색2 25 7" xfId="0"/>
    <cellStyle name="40% - 강조색2 25 8" xfId="0"/>
    <cellStyle name="40% - 강조색2 25 9" xfId="0"/>
    <cellStyle name="40% - 강조색2 26" xfId="0"/>
    <cellStyle name="40% - 강조색2 26 2" xfId="0"/>
    <cellStyle name="40% - 강조색2 26 3" xfId="0"/>
    <cellStyle name="40% - 강조색2 26 4" xfId="0"/>
    <cellStyle name="40% - 강조색2 26 5" xfId="0"/>
    <cellStyle name="40% - 강조색2 26 6" xfId="0"/>
    <cellStyle name="40% - 강조색2 26 7" xfId="0"/>
    <cellStyle name="40% - 강조색2 26 8" xfId="0"/>
    <cellStyle name="40% - 강조색2 26 9" xfId="0"/>
    <cellStyle name="40% - 강조색2 27" xfId="0"/>
    <cellStyle name="40% - 강조색2 27 2" xfId="0"/>
    <cellStyle name="40% - 강조색2 27 3" xfId="0"/>
    <cellStyle name="40% - 강조색2 27 4" xfId="0"/>
    <cellStyle name="40% - 강조색2 27 5" xfId="0"/>
    <cellStyle name="40% - 강조색2 27 6" xfId="0"/>
    <cellStyle name="40% - 강조색2 27 7" xfId="0"/>
    <cellStyle name="40% - 강조색2 27 8" xfId="0"/>
    <cellStyle name="40% - 강조색2 27 9" xfId="0"/>
    <cellStyle name="40% - 강조색2 28 2" xfId="0"/>
    <cellStyle name="40% - 강조색2 28 3" xfId="0"/>
    <cellStyle name="40% - 강조색2 28 4" xfId="0"/>
    <cellStyle name="40% - 강조색2 28 5" xfId="0"/>
    <cellStyle name="40% - 강조색2 28 6" xfId="0"/>
    <cellStyle name="40% - 강조색2 28 7" xfId="0"/>
    <cellStyle name="40% - 강조색2 28 8" xfId="0"/>
    <cellStyle name="40% - 강조색2 28 9" xfId="0"/>
    <cellStyle name="40% - 강조색2 29 2" xfId="0"/>
    <cellStyle name="40% - 강조색2 29 3" xfId="0"/>
    <cellStyle name="40% - 강조색2 29 4" xfId="0"/>
    <cellStyle name="40% - 강조색2 29 5" xfId="0"/>
    <cellStyle name="40% - 강조색2 29 6" xfId="0"/>
    <cellStyle name="40% - 강조색2 29 7" xfId="0"/>
    <cellStyle name="40% - 강조색2 29 8" xfId="0"/>
    <cellStyle name="40% - 강조색2 29 9" xfId="0"/>
    <cellStyle name="40% - 강조색2 2_3300현금및예치금" xfId="0"/>
    <cellStyle name="40% - 강조색2 3" xfId="0"/>
    <cellStyle name="40% - 강조색2 3 10" xfId="0"/>
    <cellStyle name="40% - 강조색2 3 10 2" xfId="0"/>
    <cellStyle name="40% - 강조색2 3 10 3" xfId="0"/>
    <cellStyle name="40% - 강조색2 3 11" xfId="0"/>
    <cellStyle name="40% - 강조색2 3 11 2" xfId="0"/>
    <cellStyle name="40% - 강조색2 3 11 3" xfId="0"/>
    <cellStyle name="40% - 강조색2 3 12" xfId="0"/>
    <cellStyle name="40% - 강조색2 3 12 2" xfId="0"/>
    <cellStyle name="40% - 강조색2 3 12 3" xfId="0"/>
    <cellStyle name="40% - 강조색2 3 13" xfId="0"/>
    <cellStyle name="40% - 강조색2 3 14" xfId="0"/>
    <cellStyle name="40% - 강조색2 3 15" xfId="0"/>
    <cellStyle name="40% - 강조색2 3 16" xfId="0"/>
    <cellStyle name="40% - 강조색2 3 17" xfId="0"/>
    <cellStyle name="40% - 강조색2 3 18" xfId="0"/>
    <cellStyle name="40% - 강조색2 3 19" xfId="0"/>
    <cellStyle name="40% - 강조색2 3 19 2" xfId="0"/>
    <cellStyle name="40% - 강조색2 3 2" xfId="0"/>
    <cellStyle name="40% - 강조색2 3 2 2" xfId="0"/>
    <cellStyle name="40% - 강조색2 3 2 3" xfId="0"/>
    <cellStyle name="40% - 강조색2 3 20" xfId="0"/>
    <cellStyle name="40% - 강조색2 3 21" xfId="0"/>
    <cellStyle name="40% - 강조색2 3 22" xfId="0"/>
    <cellStyle name="40% - 강조색2 3 23" xfId="0"/>
    <cellStyle name="40% - 강조색2 3 3" xfId="0"/>
    <cellStyle name="40% - 강조색2 3 3 2" xfId="0"/>
    <cellStyle name="40% - 강조색2 3 3 3" xfId="0"/>
    <cellStyle name="40% - 강조색2 3 4" xfId="0"/>
    <cellStyle name="40% - 강조색2 3 4 2" xfId="0"/>
    <cellStyle name="40% - 강조색2 3 4 3" xfId="0"/>
    <cellStyle name="40% - 강조색2 3 5" xfId="0"/>
    <cellStyle name="40% - 강조색2 3 5 2" xfId="0"/>
    <cellStyle name="40% - 강조색2 3 5 3" xfId="0"/>
    <cellStyle name="40% - 강조색2 3 6" xfId="0"/>
    <cellStyle name="40% - 강조색2 3 6 2" xfId="0"/>
    <cellStyle name="40% - 강조색2 3 6 3" xfId="0"/>
    <cellStyle name="40% - 강조색2 3 7" xfId="0"/>
    <cellStyle name="40% - 강조색2 3 7 2" xfId="0"/>
    <cellStyle name="40% - 강조색2 3 7 3" xfId="0"/>
    <cellStyle name="40% - 강조색2 3 8" xfId="0"/>
    <cellStyle name="40% - 강조색2 3 8 2" xfId="0"/>
    <cellStyle name="40% - 강조색2 3 8 3" xfId="0"/>
    <cellStyle name="40% - 강조색2 3 9" xfId="0"/>
    <cellStyle name="40% - 강조색2 3 9 2" xfId="0"/>
    <cellStyle name="40% - 강조색2 3 9 3" xfId="0"/>
    <cellStyle name="40% - 강조색2 30 2" xfId="0"/>
    <cellStyle name="40% - 강조색2 30 3" xfId="0"/>
    <cellStyle name="40% - 강조색2 30 4" xfId="0"/>
    <cellStyle name="40% - 강조색2 30 5" xfId="0"/>
    <cellStyle name="40% - 강조색2 30 6" xfId="0"/>
    <cellStyle name="40% - 강조색2 30 7" xfId="0"/>
    <cellStyle name="40% - 강조색2 30 8" xfId="0"/>
    <cellStyle name="40% - 강조색2 30 9" xfId="0"/>
    <cellStyle name="40% - 강조색2 31 2" xfId="0"/>
    <cellStyle name="40% - 강조색2 31 3" xfId="0"/>
    <cellStyle name="40% - 강조색2 31 4" xfId="0"/>
    <cellStyle name="40% - 강조색2 31 5" xfId="0"/>
    <cellStyle name="40% - 강조색2 31 6" xfId="0"/>
    <cellStyle name="40% - 강조색2 31 7" xfId="0"/>
    <cellStyle name="40% - 강조색2 31 8" xfId="0"/>
    <cellStyle name="40% - 강조색2 31 9" xfId="0"/>
    <cellStyle name="40% - 강조색2 32 2" xfId="0"/>
    <cellStyle name="40% - 강조색2 32 3" xfId="0"/>
    <cellStyle name="40% - 강조색2 32 4" xfId="0"/>
    <cellStyle name="40% - 강조색2 32 5" xfId="0"/>
    <cellStyle name="40% - 강조색2 32 6" xfId="0"/>
    <cellStyle name="40% - 강조색2 32 7" xfId="0"/>
    <cellStyle name="40% - 강조색2 32 8" xfId="0"/>
    <cellStyle name="40% - 강조색2 32 9" xfId="0"/>
    <cellStyle name="40% - 강조색2 33 2" xfId="0"/>
    <cellStyle name="40% - 강조색2 33 3" xfId="0"/>
    <cellStyle name="40% - 강조색2 33 4" xfId="0"/>
    <cellStyle name="40% - 강조색2 33 5" xfId="0"/>
    <cellStyle name="40% - 강조색2 33 6" xfId="0"/>
    <cellStyle name="40% - 강조색2 33 7" xfId="0"/>
    <cellStyle name="40% - 강조색2 33 8" xfId="0"/>
    <cellStyle name="40% - 강조색2 33 9" xfId="0"/>
    <cellStyle name="40% - 강조색2 34 2" xfId="0"/>
    <cellStyle name="40% - 강조색2 34 3" xfId="0"/>
    <cellStyle name="40% - 강조색2 34 4" xfId="0"/>
    <cellStyle name="40% - 강조색2 34 5" xfId="0"/>
    <cellStyle name="40% - 강조색2 34 6" xfId="0"/>
    <cellStyle name="40% - 강조색2 34 7" xfId="0"/>
    <cellStyle name="40% - 강조색2 34 8" xfId="0"/>
    <cellStyle name="40% - 강조색2 34 9" xfId="0"/>
    <cellStyle name="40% - 강조색2 35 2" xfId="0"/>
    <cellStyle name="40% - 강조색2 35 3" xfId="0"/>
    <cellStyle name="40% - 강조색2 35 4" xfId="0"/>
    <cellStyle name="40% - 강조색2 35 5" xfId="0"/>
    <cellStyle name="40% - 강조색2 35 6" xfId="0"/>
    <cellStyle name="40% - 강조색2 35 7" xfId="0"/>
    <cellStyle name="40% - 강조색2 35 8" xfId="0"/>
    <cellStyle name="40% - 강조색2 35 9" xfId="0"/>
    <cellStyle name="40% - 강조색2 3_운용자산별 손익분석" xfId="0"/>
    <cellStyle name="40% - 강조색2 4" xfId="0"/>
    <cellStyle name="40% - 강조색2 4 10" xfId="0"/>
    <cellStyle name="40% - 강조색2 4 11" xfId="0"/>
    <cellStyle name="40% - 강조색2 4 12" xfId="0"/>
    <cellStyle name="40% - 강조색2 4 13" xfId="0"/>
    <cellStyle name="40% - 강조색2 4 14" xfId="0"/>
    <cellStyle name="40% - 강조색2 4 15" xfId="0"/>
    <cellStyle name="40% - 강조색2 4 16" xfId="0"/>
    <cellStyle name="40% - 강조색2 4 17" xfId="0"/>
    <cellStyle name="40% - 강조색2 4 18" xfId="0"/>
    <cellStyle name="40% - 강조색2 4 19" xfId="0"/>
    <cellStyle name="40% - 강조색2 4 2" xfId="0"/>
    <cellStyle name="40% - 강조색2 4 20" xfId="0"/>
    <cellStyle name="40% - 강조색2 4 21" xfId="0"/>
    <cellStyle name="40% - 강조색2 4 22" xfId="0"/>
    <cellStyle name="40% - 강조색2 4 23" xfId="0"/>
    <cellStyle name="40% - 강조색2 4 24" xfId="0"/>
    <cellStyle name="40% - 강조색2 4 3" xfId="0"/>
    <cellStyle name="40% - 강조색2 4 4" xfId="0"/>
    <cellStyle name="40% - 강조색2 4 5" xfId="0"/>
    <cellStyle name="40% - 강조색2 4 6" xfId="0"/>
    <cellStyle name="40% - 강조색2 4 7" xfId="0"/>
    <cellStyle name="40% - 강조색2 4 8" xfId="0"/>
    <cellStyle name="40% - 강조색2 4 9" xfId="0"/>
    <cellStyle name="40% - 강조색2 4_운용자산별 손익분석" xfId="0"/>
    <cellStyle name="40% - 강조색2 5" xfId="0"/>
    <cellStyle name="40% - 강조색2 5 10" xfId="0"/>
    <cellStyle name="40% - 강조색2 5 11" xfId="0"/>
    <cellStyle name="40% - 강조색2 5 12" xfId="0"/>
    <cellStyle name="40% - 강조색2 5 13" xfId="0"/>
    <cellStyle name="40% - 강조색2 5 14" xfId="0"/>
    <cellStyle name="40% - 강조색2 5 15" xfId="0"/>
    <cellStyle name="40% - 강조색2 5 16" xfId="0"/>
    <cellStyle name="40% - 강조색2 5 17" xfId="0"/>
    <cellStyle name="40% - 강조색2 5 18" xfId="0"/>
    <cellStyle name="40% - 강조색2 5 19" xfId="0"/>
    <cellStyle name="40% - 강조색2 5 2" xfId="0"/>
    <cellStyle name="40% - 강조색2 5 20" xfId="0"/>
    <cellStyle name="40% - 강조색2 5 21" xfId="0"/>
    <cellStyle name="40% - 강조색2 5 22" xfId="0"/>
    <cellStyle name="40% - 강조색2 5 23" xfId="0"/>
    <cellStyle name="40% - 강조색2 5 24" xfId="0"/>
    <cellStyle name="40% - 강조색2 5 25" xfId="0"/>
    <cellStyle name="40% - 강조색2 5 26" xfId="0"/>
    <cellStyle name="40% - 강조색2 5 27" xfId="0"/>
    <cellStyle name="40% - 강조색2 5 28" xfId="0"/>
    <cellStyle name="40% - 강조색2 5 29" xfId="0"/>
    <cellStyle name="40% - 강조색2 5 3" xfId="0"/>
    <cellStyle name="40% - 강조색2 5 3 2" xfId="0"/>
    <cellStyle name="40% - 강조색2 5 30" xfId="0"/>
    <cellStyle name="40% - 강조색2 5 31" xfId="0"/>
    <cellStyle name="40% - 강조색2 5 32" xfId="0"/>
    <cellStyle name="40% - 강조색2 5 33" xfId="0"/>
    <cellStyle name="40% - 강조색2 5 34" xfId="0"/>
    <cellStyle name="40% - 강조색2 5 4" xfId="0"/>
    <cellStyle name="40% - 강조색2 5 4 2" xfId="0"/>
    <cellStyle name="40% - 강조색2 5 5" xfId="0"/>
    <cellStyle name="40% - 강조색2 5 5 2" xfId="0"/>
    <cellStyle name="40% - 강조색2 5 6" xfId="0"/>
    <cellStyle name="40% - 강조색2 5 6 2" xfId="0"/>
    <cellStyle name="40% - 강조색2 5 7" xfId="0"/>
    <cellStyle name="40% - 강조색2 5 7 2" xfId="0"/>
    <cellStyle name="40% - 강조색2 5 8" xfId="0"/>
    <cellStyle name="40% - 강조색2 5 8 2" xfId="0"/>
    <cellStyle name="40% - 강조색2 5 9" xfId="0"/>
    <cellStyle name="40% - 강조색2 5 9 2" xfId="0"/>
    <cellStyle name="40% - 강조색2 6" xfId="0"/>
    <cellStyle name="40% - 강조색2 6 10" xfId="0"/>
    <cellStyle name="40% - 강조색2 6 10 2" xfId="0"/>
    <cellStyle name="40% - 강조색2 6 11" xfId="0"/>
    <cellStyle name="40% - 강조색2 6 11 2" xfId="0"/>
    <cellStyle name="40% - 강조색2 6 12" xfId="0"/>
    <cellStyle name="40% - 강조색2 6 12 2" xfId="0"/>
    <cellStyle name="40% - 강조색2 6 13" xfId="0"/>
    <cellStyle name="40% - 강조색2 6 13 2" xfId="0"/>
    <cellStyle name="40% - 강조색2 6 14" xfId="0"/>
    <cellStyle name="40% - 강조색2 6 14 2" xfId="0"/>
    <cellStyle name="40% - 강조색2 6 15" xfId="0"/>
    <cellStyle name="40% - 강조색2 6 15 2" xfId="0"/>
    <cellStyle name="40% - 강조색2 6 16" xfId="0"/>
    <cellStyle name="40% - 강조색2 6 16 2" xfId="0"/>
    <cellStyle name="40% - 강조색2 6 17" xfId="0"/>
    <cellStyle name="40% - 강조색2 6 17 2" xfId="0"/>
    <cellStyle name="40% - 강조색2 6 18" xfId="0"/>
    <cellStyle name="40% - 강조색2 6 18 2" xfId="0"/>
    <cellStyle name="40% - 강조색2 6 19" xfId="0"/>
    <cellStyle name="40% - 강조색2 6 19 2" xfId="0"/>
    <cellStyle name="40% - 강조색2 6 2" xfId="0"/>
    <cellStyle name="40% - 강조색2 6 2 2" xfId="0"/>
    <cellStyle name="40% - 강조색2 6 20" xfId="0"/>
    <cellStyle name="40% - 강조색2 6 20 2" xfId="0"/>
    <cellStyle name="40% - 강조색2 6 21" xfId="0"/>
    <cellStyle name="40% - 강조색2 6 21 2" xfId="0"/>
    <cellStyle name="40% - 강조색2 6 22" xfId="0"/>
    <cellStyle name="40% - 강조색2 6 22 2" xfId="0"/>
    <cellStyle name="40% - 강조색2 6 23" xfId="0"/>
    <cellStyle name="40% - 강조색2 6 23 2" xfId="0"/>
    <cellStyle name="40% - 강조색2 6 24" xfId="0"/>
    <cellStyle name="40% - 강조색2 6 25" xfId="0"/>
    <cellStyle name="40% - 강조색2 6 26" xfId="0"/>
    <cellStyle name="40% - 강조색2 6 27" xfId="0"/>
    <cellStyle name="40% - 강조색2 6 28" xfId="0"/>
    <cellStyle name="40% - 강조색2 6 29" xfId="0"/>
    <cellStyle name="40% - 강조색2 6 3" xfId="0"/>
    <cellStyle name="40% - 강조색2 6 3 2" xfId="0"/>
    <cellStyle name="40% - 강조색2 6 30" xfId="0"/>
    <cellStyle name="40% - 강조색2 6 4" xfId="0"/>
    <cellStyle name="40% - 강조색2 6 4 2" xfId="0"/>
    <cellStyle name="40% - 강조색2 6 5" xfId="0"/>
    <cellStyle name="40% - 강조색2 6 5 2" xfId="0"/>
    <cellStyle name="40% - 강조색2 6 6" xfId="0"/>
    <cellStyle name="40% - 강조색2 6 6 2" xfId="0"/>
    <cellStyle name="40% - 강조색2 6 7" xfId="0"/>
    <cellStyle name="40% - 강조색2 6 7 2" xfId="0"/>
    <cellStyle name="40% - 강조색2 6 8" xfId="0"/>
    <cellStyle name="40% - 강조색2 6 8 2" xfId="0"/>
    <cellStyle name="40% - 강조색2 6 9" xfId="0"/>
    <cellStyle name="40% - 강조색2 6 9 2" xfId="0"/>
    <cellStyle name="40% - 강조색2 7" xfId="0"/>
    <cellStyle name="40% - 강조색2 7 10" xfId="0"/>
    <cellStyle name="40% - 강조색2 7 10 2" xfId="0"/>
    <cellStyle name="40% - 강조색2 7 11" xfId="0"/>
    <cellStyle name="40% - 강조색2 7 11 2" xfId="0"/>
    <cellStyle name="40% - 강조색2 7 12" xfId="0"/>
    <cellStyle name="40% - 강조색2 7 12 2" xfId="0"/>
    <cellStyle name="40% - 강조색2 7 13" xfId="0"/>
    <cellStyle name="40% - 강조색2 7 13 2" xfId="0"/>
    <cellStyle name="40% - 강조색2 7 14" xfId="0"/>
    <cellStyle name="40% - 강조색2 7 14 2" xfId="0"/>
    <cellStyle name="40% - 강조색2 7 15" xfId="0"/>
    <cellStyle name="40% - 강조색2 7 16" xfId="0"/>
    <cellStyle name="40% - 강조색2 7 17" xfId="0"/>
    <cellStyle name="40% - 강조색2 7 18" xfId="0"/>
    <cellStyle name="40% - 강조색2 7 19" xfId="0"/>
    <cellStyle name="40% - 강조색2 7 2" xfId="0"/>
    <cellStyle name="40% - 강조색2 7 2 2" xfId="0"/>
    <cellStyle name="40% - 강조색2 7 2 2 2" xfId="0"/>
    <cellStyle name="40% - 강조색2 7 2 3" xfId="0"/>
    <cellStyle name="40% - 강조색2 7 20" xfId="0"/>
    <cellStyle name="40% - 강조색2 7 21" xfId="0"/>
    <cellStyle name="40% - 강조색2 7 22" xfId="0"/>
    <cellStyle name="40% - 강조색2 7 23" xfId="0"/>
    <cellStyle name="40% - 강조색2 7 24" xfId="0"/>
    <cellStyle name="40% - 강조색2 7 3" xfId="0"/>
    <cellStyle name="40% - 강조색2 7 3 2" xfId="0"/>
    <cellStyle name="40% - 강조색2 7 3 2 2" xfId="0"/>
    <cellStyle name="40% - 강조색2 7 3 3" xfId="0"/>
    <cellStyle name="40% - 강조색2 7 4" xfId="0"/>
    <cellStyle name="40% - 강조색2 7 4 2" xfId="0"/>
    <cellStyle name="40% - 강조색2 7 4 2 2" xfId="0"/>
    <cellStyle name="40% - 강조색2 7 4 3" xfId="0"/>
    <cellStyle name="40% - 강조색2 7 5" xfId="0"/>
    <cellStyle name="40% - 강조색2 7 5 2" xfId="0"/>
    <cellStyle name="40% - 강조색2 7 5 2 2" xfId="0"/>
    <cellStyle name="40% - 강조색2 7 5 3" xfId="0"/>
    <cellStyle name="40% - 강조색2 7 6" xfId="0"/>
    <cellStyle name="40% - 강조색2 7 6 2" xfId="0"/>
    <cellStyle name="40% - 강조색2 7 6 2 2" xfId="0"/>
    <cellStyle name="40% - 강조색2 7 6 3" xfId="0"/>
    <cellStyle name="40% - 강조색2 7 7" xfId="0"/>
    <cellStyle name="40% - 강조색2 7 7 2" xfId="0"/>
    <cellStyle name="40% - 강조색2 7 8" xfId="0"/>
    <cellStyle name="40% - 강조색2 7 8 2" xfId="0"/>
    <cellStyle name="40% - 강조색2 7 9" xfId="0"/>
    <cellStyle name="40% - 강조색2 7 9 2" xfId="0"/>
    <cellStyle name="40% - 강조색2 8" xfId="0"/>
    <cellStyle name="40% - 강조색2 8 10" xfId="0"/>
    <cellStyle name="40% - 강조색2 8 10 2" xfId="0"/>
    <cellStyle name="40% - 강조색2 8 11" xfId="0"/>
    <cellStyle name="40% - 강조색2 8 11 2" xfId="0"/>
    <cellStyle name="40% - 강조색2 8 12" xfId="0"/>
    <cellStyle name="40% - 강조색2 8 12 2" xfId="0"/>
    <cellStyle name="40% - 강조색2 8 13" xfId="0"/>
    <cellStyle name="40% - 강조색2 8 13 2" xfId="0"/>
    <cellStyle name="40% - 강조색2 8 14" xfId="0"/>
    <cellStyle name="40% - 강조색2 8 15" xfId="0"/>
    <cellStyle name="40% - 강조색2 8 16" xfId="0"/>
    <cellStyle name="40% - 강조색2 8 17" xfId="0"/>
    <cellStyle name="40% - 강조색2 8 18" xfId="0"/>
    <cellStyle name="40% - 강조색2 8 19" xfId="0"/>
    <cellStyle name="40% - 강조색2 8 2" xfId="0"/>
    <cellStyle name="40% - 강조색2 8 2 2" xfId="0"/>
    <cellStyle name="40% - 강조색2 8 2 2 2" xfId="0"/>
    <cellStyle name="40% - 강조색2 8 2 3" xfId="0"/>
    <cellStyle name="40% - 강조색2 8 20" xfId="0"/>
    <cellStyle name="40% - 강조색2 8 21" xfId="0"/>
    <cellStyle name="40% - 강조색2 8 22" xfId="0"/>
    <cellStyle name="40% - 강조색2 8 23" xfId="0"/>
    <cellStyle name="40% - 강조색2 8 24" xfId="0"/>
    <cellStyle name="40% - 강조색2 8 3" xfId="0"/>
    <cellStyle name="40% - 강조색2 8 3 2" xfId="0"/>
    <cellStyle name="40% - 강조색2 8 3 2 2" xfId="0"/>
    <cellStyle name="40% - 강조색2 8 3 3" xfId="0"/>
    <cellStyle name="40% - 강조색2 8 4" xfId="0"/>
    <cellStyle name="40% - 강조색2 8 4 2" xfId="0"/>
    <cellStyle name="40% - 강조색2 8 4 2 2" xfId="0"/>
    <cellStyle name="40% - 강조색2 8 4 3" xfId="0"/>
    <cellStyle name="40% - 강조색2 8 5" xfId="0"/>
    <cellStyle name="40% - 강조색2 8 5 2" xfId="0"/>
    <cellStyle name="40% - 강조색2 8 5 2 2" xfId="0"/>
    <cellStyle name="40% - 강조색2 8 5 3" xfId="0"/>
    <cellStyle name="40% - 강조색2 8 6" xfId="0"/>
    <cellStyle name="40% - 강조색2 8 6 2" xfId="0"/>
    <cellStyle name="40% - 강조색2 8 6 2 2" xfId="0"/>
    <cellStyle name="40% - 강조색2 8 6 3" xfId="0"/>
    <cellStyle name="40% - 강조색2 8 7" xfId="0"/>
    <cellStyle name="40% - 강조색2 8 7 2" xfId="0"/>
    <cellStyle name="40% - 강조색2 8 8" xfId="0"/>
    <cellStyle name="40% - 강조색2 8 8 2" xfId="0"/>
    <cellStyle name="40% - 강조색2 8 9" xfId="0"/>
    <cellStyle name="40% - 강조색2 8 9 2" xfId="0"/>
    <cellStyle name="40% - 강조색2 9" xfId="0"/>
    <cellStyle name="40% - 강조색2 9 10" xfId="0"/>
    <cellStyle name="40% - 강조색2 9 10 2" xfId="0"/>
    <cellStyle name="40% - 강조색2 9 11" xfId="0"/>
    <cellStyle name="40% - 강조색2 9 11 2" xfId="0"/>
    <cellStyle name="40% - 강조색2 9 12" xfId="0"/>
    <cellStyle name="40% - 강조색2 9 12 2" xfId="0"/>
    <cellStyle name="40% - 강조색2 9 13" xfId="0"/>
    <cellStyle name="40% - 강조색2 9 13 2" xfId="0"/>
    <cellStyle name="40% - 강조색2 9 14" xfId="0"/>
    <cellStyle name="40% - 강조색2 9 15" xfId="0"/>
    <cellStyle name="40% - 강조색2 9 16" xfId="0"/>
    <cellStyle name="40% - 강조색2 9 17" xfId="0"/>
    <cellStyle name="40% - 강조색2 9 18" xfId="0"/>
    <cellStyle name="40% - 강조색2 9 19" xfId="0"/>
    <cellStyle name="40% - 강조색2 9 2" xfId="0"/>
    <cellStyle name="40% - 강조색2 9 2 2" xfId="0"/>
    <cellStyle name="40% - 강조색2 9 2 2 2" xfId="0"/>
    <cellStyle name="40% - 강조색2 9 2 3" xfId="0"/>
    <cellStyle name="40% - 강조색2 9 20" xfId="0"/>
    <cellStyle name="40% - 강조색2 9 21" xfId="0"/>
    <cellStyle name="40% - 강조색2 9 22" xfId="0"/>
    <cellStyle name="40% - 강조색2 9 23" xfId="0"/>
    <cellStyle name="40% - 강조색2 9 24" xfId="0"/>
    <cellStyle name="40% - 강조색2 9 3" xfId="0"/>
    <cellStyle name="40% - 강조색2 9 3 2" xfId="0"/>
    <cellStyle name="40% - 강조색2 9 3 2 2" xfId="0"/>
    <cellStyle name="40% - 강조색2 9 3 3" xfId="0"/>
    <cellStyle name="40% - 강조색2 9 4" xfId="0"/>
    <cellStyle name="40% - 강조색2 9 4 2" xfId="0"/>
    <cellStyle name="40% - 강조색2 9 4 2 2" xfId="0"/>
    <cellStyle name="40% - 강조색2 9 4 3" xfId="0"/>
    <cellStyle name="40% - 강조색2 9 5" xfId="0"/>
    <cellStyle name="40% - 강조색2 9 5 2" xfId="0"/>
    <cellStyle name="40% - 강조색2 9 5 2 2" xfId="0"/>
    <cellStyle name="40% - 강조색2 9 5 3" xfId="0"/>
    <cellStyle name="40% - 강조색2 9 6" xfId="0"/>
    <cellStyle name="40% - 강조색2 9 6 2" xfId="0"/>
    <cellStyle name="40% - 강조색2 9 6 2 2" xfId="0"/>
    <cellStyle name="40% - 강조색2 9 6 3" xfId="0"/>
    <cellStyle name="40% - 강조색2 9 7" xfId="0"/>
    <cellStyle name="40% - 강조색2 9 7 2" xfId="0"/>
    <cellStyle name="40% - 강조색2 9 8" xfId="0"/>
    <cellStyle name="40% - 강조색2 9 8 2" xfId="0"/>
    <cellStyle name="40% - 강조색2 9 9" xfId="0"/>
    <cellStyle name="40% - 강조색2 9 9 2" xfId="0"/>
    <cellStyle name="40% - 강조색3 10" xfId="0"/>
    <cellStyle name="40% - 강조색3 10 10" xfId="0"/>
    <cellStyle name="40% - 강조색3 10 11" xfId="0"/>
    <cellStyle name="40% - 강조색3 10 12" xfId="0"/>
    <cellStyle name="40% - 강조색3 10 13" xfId="0"/>
    <cellStyle name="40% - 강조색3 10 14" xfId="0"/>
    <cellStyle name="40% - 강조색3 10 15" xfId="0"/>
    <cellStyle name="40% - 강조색3 10 16" xfId="0"/>
    <cellStyle name="40% - 강조색3 10 17" xfId="0"/>
    <cellStyle name="40% - 강조색3 10 18" xfId="0"/>
    <cellStyle name="40% - 강조색3 10 19" xfId="0"/>
    <cellStyle name="40% - 강조색3 10 2" xfId="0"/>
    <cellStyle name="40% - 강조색3 10 2 2" xfId="0"/>
    <cellStyle name="40% - 강조색3 10 2 2 2" xfId="0"/>
    <cellStyle name="40% - 강조색3 10 2 3" xfId="0"/>
    <cellStyle name="40% - 강조색3 10 20" xfId="0"/>
    <cellStyle name="40% - 강조색3 10 21" xfId="0"/>
    <cellStyle name="40% - 강조색3 10 22" xfId="0"/>
    <cellStyle name="40% - 강조색3 10 23" xfId="0"/>
    <cellStyle name="40% - 강조색3 10 24" xfId="0"/>
    <cellStyle name="40% - 강조색3 10 3" xfId="0"/>
    <cellStyle name="40% - 강조색3 10 3 2" xfId="0"/>
    <cellStyle name="40% - 강조색3 10 3 2 2" xfId="0"/>
    <cellStyle name="40% - 강조색3 10 3 3" xfId="0"/>
    <cellStyle name="40% - 강조색3 10 4" xfId="0"/>
    <cellStyle name="40% - 강조색3 10 4 2" xfId="0"/>
    <cellStyle name="40% - 강조색3 10 4 2 2" xfId="0"/>
    <cellStyle name="40% - 강조색3 10 4 3" xfId="0"/>
    <cellStyle name="40% - 강조색3 10 5" xfId="0"/>
    <cellStyle name="40% - 강조색3 10 5 2" xfId="0"/>
    <cellStyle name="40% - 강조색3 10 5 3" xfId="0"/>
    <cellStyle name="40% - 강조색3 10 6" xfId="0"/>
    <cellStyle name="40% - 강조색3 10 6 2" xfId="0"/>
    <cellStyle name="40% - 강조색3 10 6 3" xfId="0"/>
    <cellStyle name="40% - 강조색3 10 7" xfId="0"/>
    <cellStyle name="40% - 강조색3 10 8" xfId="0"/>
    <cellStyle name="40% - 강조색3 10 9" xfId="0"/>
    <cellStyle name="40% - 강조색3 11" xfId="0"/>
    <cellStyle name="40% - 강조색3 11 10" xfId="0"/>
    <cellStyle name="40% - 강조색3 11 2" xfId="0"/>
    <cellStyle name="40% - 강조색3 11 2 2" xfId="0"/>
    <cellStyle name="40% - 강조색3 11 2 2 2" xfId="0"/>
    <cellStyle name="40% - 강조색3 11 2 3" xfId="0"/>
    <cellStyle name="40% - 강조색3 11 3" xfId="0"/>
    <cellStyle name="40% - 강조색3 11 3 2" xfId="0"/>
    <cellStyle name="40% - 강조색3 11 3 2 2" xfId="0"/>
    <cellStyle name="40% - 강조색3 11 3 3" xfId="0"/>
    <cellStyle name="40% - 강조색3 11 4" xfId="0"/>
    <cellStyle name="40% - 강조색3 11 4 2" xfId="0"/>
    <cellStyle name="40% - 강조색3 11 4 2 2" xfId="0"/>
    <cellStyle name="40% - 강조색3 11 4 3" xfId="0"/>
    <cellStyle name="40% - 강조색3 11 5" xfId="0"/>
    <cellStyle name="40% - 강조색3 11 5 2" xfId="0"/>
    <cellStyle name="40% - 강조색3 11 5 3" xfId="0"/>
    <cellStyle name="40% - 강조색3 11 6" xfId="0"/>
    <cellStyle name="40% - 강조색3 11 6 2" xfId="0"/>
    <cellStyle name="40% - 강조색3 11 6 3" xfId="0"/>
    <cellStyle name="40% - 강조색3 11 7" xfId="0"/>
    <cellStyle name="40% - 강조색3 11 8" xfId="0"/>
    <cellStyle name="40% - 강조색3 11 9" xfId="0"/>
    <cellStyle name="40% - 강조색3 12" xfId="0"/>
    <cellStyle name="40% - 강조색3 12 2" xfId="0"/>
    <cellStyle name="40% - 강조색3 12 2 2" xfId="0"/>
    <cellStyle name="40% - 강조색3 12 3" xfId="0"/>
    <cellStyle name="40% - 강조색3 12 3 2" xfId="0"/>
    <cellStyle name="40% - 강조색3 12 4" xfId="0"/>
    <cellStyle name="40% - 강조색3 12 4 2" xfId="0"/>
    <cellStyle name="40% - 강조색3 12 5" xfId="0"/>
    <cellStyle name="40% - 강조색3 12 6" xfId="0"/>
    <cellStyle name="40% - 강조색3 12 7" xfId="0"/>
    <cellStyle name="40% - 강조색3 12 8" xfId="0"/>
    <cellStyle name="40% - 강조색3 12 9" xfId="0"/>
    <cellStyle name="40% - 강조색3 13" xfId="0"/>
    <cellStyle name="40% - 강조색3 13 2" xfId="0"/>
    <cellStyle name="40% - 강조색3 13 2 2" xfId="0"/>
    <cellStyle name="40% - 강조색3 13 3" xfId="0"/>
    <cellStyle name="40% - 강조색3 13 3 2" xfId="0"/>
    <cellStyle name="40% - 강조색3 13 4" xfId="0"/>
    <cellStyle name="40% - 강조색3 13 4 2" xfId="0"/>
    <cellStyle name="40% - 강조색3 13 5" xfId="0"/>
    <cellStyle name="40% - 강조색3 13 6" xfId="0"/>
    <cellStyle name="40% - 강조색3 13 7" xfId="0"/>
    <cellStyle name="40% - 강조색3 13 8" xfId="0"/>
    <cellStyle name="40% - 강조색3 13 9" xfId="0"/>
    <cellStyle name="40% - 강조색3 14" xfId="0"/>
    <cellStyle name="40% - 강조색3 14 2" xfId="0"/>
    <cellStyle name="40% - 강조색3 14 3" xfId="0"/>
    <cellStyle name="40% - 강조색3 14 4" xfId="0"/>
    <cellStyle name="40% - 강조색3 14 5" xfId="0"/>
    <cellStyle name="40% - 강조색3 14 6" xfId="0"/>
    <cellStyle name="40% - 강조색3 14 7" xfId="0"/>
    <cellStyle name="40% - 강조색3 14 8" xfId="0"/>
    <cellStyle name="40% - 강조색3 14 9" xfId="0"/>
    <cellStyle name="40% - 강조색3 15" xfId="0"/>
    <cellStyle name="40% - 강조색3 15 2" xfId="0"/>
    <cellStyle name="40% - 강조색3 15 3" xfId="0"/>
    <cellStyle name="40% - 강조색3 15 4" xfId="0"/>
    <cellStyle name="40% - 강조색3 15 5" xfId="0"/>
    <cellStyle name="40% - 강조색3 15 6" xfId="0"/>
    <cellStyle name="40% - 강조색3 15 7" xfId="0"/>
    <cellStyle name="40% - 강조색3 15 8" xfId="0"/>
    <cellStyle name="40% - 강조색3 15 9" xfId="0"/>
    <cellStyle name="40% - 강조색3 16" xfId="0"/>
    <cellStyle name="40% - 강조색3 16 2" xfId="0"/>
    <cellStyle name="40% - 강조색3 16 3" xfId="0"/>
    <cellStyle name="40% - 강조색3 16 4" xfId="0"/>
    <cellStyle name="40% - 강조색3 16 5" xfId="0"/>
    <cellStyle name="40% - 강조색3 16 6" xfId="0"/>
    <cellStyle name="40% - 강조색3 16 7" xfId="0"/>
    <cellStyle name="40% - 강조색3 16 8" xfId="0"/>
    <cellStyle name="40% - 강조색3 16 9" xfId="0"/>
    <cellStyle name="40% - 강조색3 17" xfId="0"/>
    <cellStyle name="40% - 강조색3 17 2" xfId="0"/>
    <cellStyle name="40% - 강조색3 17 3" xfId="0"/>
    <cellStyle name="40% - 강조색3 17 4" xfId="0"/>
    <cellStyle name="40% - 강조색3 17 5" xfId="0"/>
    <cellStyle name="40% - 강조색3 17 6" xfId="0"/>
    <cellStyle name="40% - 강조색3 17 7" xfId="0"/>
    <cellStyle name="40% - 강조색3 17 8" xfId="0"/>
    <cellStyle name="40% - 강조색3 17 9" xfId="0"/>
    <cellStyle name="40% - 강조색3 18" xfId="0"/>
    <cellStyle name="40% - 강조색3 18 2" xfId="0"/>
    <cellStyle name="40% - 강조색3 18 3" xfId="0"/>
    <cellStyle name="40% - 강조색3 18 4" xfId="0"/>
    <cellStyle name="40% - 강조색3 18 5" xfId="0"/>
    <cellStyle name="40% - 강조색3 18 6" xfId="0"/>
    <cellStyle name="40% - 강조색3 18 7" xfId="0"/>
    <cellStyle name="40% - 강조색3 18 8" xfId="0"/>
    <cellStyle name="40% - 강조색3 18 9" xfId="0"/>
    <cellStyle name="40% - 강조색3 19" xfId="0"/>
    <cellStyle name="40% - 강조색3 19 2" xfId="0"/>
    <cellStyle name="40% - 강조색3 19 3" xfId="0"/>
    <cellStyle name="40% - 강조색3 19 4" xfId="0"/>
    <cellStyle name="40% - 강조색3 19 5" xfId="0"/>
    <cellStyle name="40% - 강조색3 2" xfId="0"/>
    <cellStyle name="40% - 강조색3 2 10" xfId="0"/>
    <cellStyle name="40% - 강조색3 2 11" xfId="0"/>
    <cellStyle name="40% - 강조색3 2 12" xfId="0"/>
    <cellStyle name="40% - 강조색3 2 13" xfId="0"/>
    <cellStyle name="40% - 강조색3 2 2" xfId="0"/>
    <cellStyle name="40% - 강조색3 2 2 10" xfId="0"/>
    <cellStyle name="40% - 강조색3 2 2 2" xfId="0"/>
    <cellStyle name="40% - 강조색3 2 2 3" xfId="0"/>
    <cellStyle name="40% - 강조색3 2 2 4" xfId="0"/>
    <cellStyle name="40% - 강조색3 2 2 5" xfId="0"/>
    <cellStyle name="40% - 강조색3 2 2 6" xfId="0"/>
    <cellStyle name="40% - 강조색3 2 2 7" xfId="0"/>
    <cellStyle name="40% - 강조색3 2 2 8" xfId="0"/>
    <cellStyle name="40% - 강조색3 2 2 9" xfId="0"/>
    <cellStyle name="40% - 강조색3 2 3" xfId="0"/>
    <cellStyle name="40% - 강조색3 2 3 10" xfId="0"/>
    <cellStyle name="40% - 강조색3 2 3 2" xfId="0"/>
    <cellStyle name="40% - 강조색3 2 3 3" xfId="0"/>
    <cellStyle name="40% - 강조색3 2 3 4" xfId="0"/>
    <cellStyle name="40% - 강조색3 2 3 5" xfId="0"/>
    <cellStyle name="40% - 강조색3 2 3 6" xfId="0"/>
    <cellStyle name="40% - 강조색3 2 3 7" xfId="0"/>
    <cellStyle name="40% - 강조색3 2 3 8" xfId="0"/>
    <cellStyle name="40% - 강조색3 2 3 9" xfId="0"/>
    <cellStyle name="40% - 강조색3 2 4" xfId="0"/>
    <cellStyle name="40% - 강조색3 2 4 10" xfId="0"/>
    <cellStyle name="40% - 강조색3 2 4 2" xfId="0"/>
    <cellStyle name="40% - 강조색3 2 4 3" xfId="0"/>
    <cellStyle name="40% - 강조색3 2 4 4" xfId="0"/>
    <cellStyle name="40% - 강조색3 2 4 5" xfId="0"/>
    <cellStyle name="40% - 강조색3 2 4 6" xfId="0"/>
    <cellStyle name="40% - 강조색3 2 4 7" xfId="0"/>
    <cellStyle name="40% - 강조색3 2 4 8" xfId="0"/>
    <cellStyle name="40% - 강조색3 2 4 9" xfId="0"/>
    <cellStyle name="40% - 강조색3 2 5" xfId="0"/>
    <cellStyle name="40% - 강조색3 2 5 10" xfId="0"/>
    <cellStyle name="40% - 강조색3 2 5 2" xfId="0"/>
    <cellStyle name="40% - 강조색3 2 5 3" xfId="0"/>
    <cellStyle name="40% - 강조색3 2 5 4" xfId="0"/>
    <cellStyle name="40% - 강조색3 2 5 5" xfId="0"/>
    <cellStyle name="40% - 강조색3 2 5 6" xfId="0"/>
    <cellStyle name="40% - 강조색3 2 5 7" xfId="0"/>
    <cellStyle name="40% - 강조색3 2 5 8" xfId="0"/>
    <cellStyle name="40% - 강조색3 2 5 9" xfId="0"/>
    <cellStyle name="40% - 강조색3 2 6" xfId="0"/>
    <cellStyle name="40% - 강조색3 2 6 10" xfId="0"/>
    <cellStyle name="40% - 강조색3 2 6 2" xfId="0"/>
    <cellStyle name="40% - 강조색3 2 6 3" xfId="0"/>
    <cellStyle name="40% - 강조색3 2 6 4" xfId="0"/>
    <cellStyle name="40% - 강조색3 2 6 5" xfId="0"/>
    <cellStyle name="40% - 강조색3 2 6 6" xfId="0"/>
    <cellStyle name="40% - 강조색3 2 6 7" xfId="0"/>
    <cellStyle name="40% - 강조색3 2 6 8" xfId="0"/>
    <cellStyle name="40% - 강조색3 2 6 9" xfId="0"/>
    <cellStyle name="40% - 강조색3 2 7" xfId="0"/>
    <cellStyle name="40% - 강조색3 2 7 10" xfId="0"/>
    <cellStyle name="40% - 강조색3 2 7 2" xfId="0"/>
    <cellStyle name="40% - 강조색3 2 7 3" xfId="0"/>
    <cellStyle name="40% - 강조색3 2 7 4" xfId="0"/>
    <cellStyle name="40% - 강조색3 2 7 5" xfId="0"/>
    <cellStyle name="40% - 강조색3 2 7 6" xfId="0"/>
    <cellStyle name="40% - 강조색3 2 7 7" xfId="0"/>
    <cellStyle name="40% - 강조색3 2 7 8" xfId="0"/>
    <cellStyle name="40% - 강조색3 2 7 9" xfId="0"/>
    <cellStyle name="40% - 강조색3 2 8" xfId="0"/>
    <cellStyle name="40% - 강조색3 2 8 2" xfId="0"/>
    <cellStyle name="40% - 강조색3 2 9" xfId="0"/>
    <cellStyle name="40% - 강조색3 20" xfId="0"/>
    <cellStyle name="40% - 강조색3 21" xfId="0"/>
    <cellStyle name="40% - 강조색3 22" xfId="0"/>
    <cellStyle name="40% - 강조색3 23" xfId="0"/>
    <cellStyle name="40% - 강조색3 24" xfId="0"/>
    <cellStyle name="40% - 강조색3 25" xfId="0"/>
    <cellStyle name="40% - 강조색3 26" xfId="0"/>
    <cellStyle name="40% - 강조색3 27" xfId="0"/>
    <cellStyle name="40% - 강조색3 2_3300현금및예치금" xfId="0"/>
    <cellStyle name="40% - 강조색3 3" xfId="0"/>
    <cellStyle name="40% - 강조색3 3 10" xfId="0"/>
    <cellStyle name="40% - 강조색3 3 10 2" xfId="0"/>
    <cellStyle name="40% - 강조색3 3 11" xfId="0"/>
    <cellStyle name="40% - 강조색3 3 11 2" xfId="0"/>
    <cellStyle name="40% - 강조색3 3 12" xfId="0"/>
    <cellStyle name="40% - 강조색3 3 12 2" xfId="0"/>
    <cellStyle name="40% - 강조색3 3 13" xfId="0"/>
    <cellStyle name="40% - 강조색3 3 14" xfId="0"/>
    <cellStyle name="40% - 강조색3 3 15" xfId="0"/>
    <cellStyle name="40% - 강조색3 3 16" xfId="0"/>
    <cellStyle name="40% - 강조색3 3 17" xfId="0"/>
    <cellStyle name="40% - 강조색3 3 18" xfId="0"/>
    <cellStyle name="40% - 강조색3 3 19" xfId="0"/>
    <cellStyle name="40% - 강조색3 3 2" xfId="0"/>
    <cellStyle name="40% - 강조색3 3 2 2" xfId="0"/>
    <cellStyle name="40% - 강조색3 3 2 3" xfId="0"/>
    <cellStyle name="40% - 강조색3 3 20" xfId="0"/>
    <cellStyle name="40% - 강조색3 3 3" xfId="0"/>
    <cellStyle name="40% - 강조색3 3 3 2" xfId="0"/>
    <cellStyle name="40% - 강조색3 3 3 3" xfId="0"/>
    <cellStyle name="40% - 강조색3 3 4" xfId="0"/>
    <cellStyle name="40% - 강조색3 3 4 2" xfId="0"/>
    <cellStyle name="40% - 강조색3 3 4 3" xfId="0"/>
    <cellStyle name="40% - 강조색3 3 5" xfId="0"/>
    <cellStyle name="40% - 강조색3 3 5 2" xfId="0"/>
    <cellStyle name="40% - 강조색3 3 5 3" xfId="0"/>
    <cellStyle name="40% - 강조색3 3 6" xfId="0"/>
    <cellStyle name="40% - 강조색3 3 6 2" xfId="0"/>
    <cellStyle name="40% - 강조색3 3 6 3" xfId="0"/>
    <cellStyle name="40% - 강조색3 3 7" xfId="0"/>
    <cellStyle name="40% - 강조색3 3 7 2" xfId="0"/>
    <cellStyle name="40% - 강조색3 3 7 3" xfId="0"/>
    <cellStyle name="40% - 강조색3 3 8" xfId="0"/>
    <cellStyle name="40% - 강조색3 3 8 2" xfId="0"/>
    <cellStyle name="40% - 강조색3 3 8 3" xfId="0"/>
    <cellStyle name="40% - 강조색3 3 9" xfId="0"/>
    <cellStyle name="40% - 강조색3 3 9 2" xfId="0"/>
    <cellStyle name="40% - 강조색3 3_운용자산별 손익분석" xfId="0"/>
    <cellStyle name="40% - 강조색3 4" xfId="0"/>
    <cellStyle name="40% - 강조색3 4 10" xfId="0"/>
    <cellStyle name="40% - 강조색3 4 11" xfId="0"/>
    <cellStyle name="40% - 강조색3 4 12" xfId="0"/>
    <cellStyle name="40% - 강조색3 4 13" xfId="0"/>
    <cellStyle name="40% - 강조색3 4 2" xfId="0"/>
    <cellStyle name="40% - 강조색3 4 3" xfId="0"/>
    <cellStyle name="40% - 강조색3 4 4" xfId="0"/>
    <cellStyle name="40% - 강조색3 4 5" xfId="0"/>
    <cellStyle name="40% - 강조색3 4 6" xfId="0"/>
    <cellStyle name="40% - 강조색3 4 7" xfId="0"/>
    <cellStyle name="40% - 강조색3 4 8" xfId="0"/>
    <cellStyle name="40% - 강조색3 4 9" xfId="0"/>
    <cellStyle name="40% - 강조색3 4_운용자산별 손익분석" xfId="0"/>
    <cellStyle name="40% - 강조색3 5" xfId="0"/>
    <cellStyle name="40% - 강조색3 5 10" xfId="0"/>
    <cellStyle name="40% - 강조색3 5 11" xfId="0"/>
    <cellStyle name="40% - 강조색3 5 12" xfId="0"/>
    <cellStyle name="40% - 강조색3 5 13" xfId="0"/>
    <cellStyle name="40% - 강조색3 5 14" xfId="0"/>
    <cellStyle name="40% - 강조색3 5 15" xfId="0"/>
    <cellStyle name="40% - 강조색3 5 16" xfId="0"/>
    <cellStyle name="40% - 강조색3 5 17" xfId="0"/>
    <cellStyle name="40% - 강조색3 5 18" xfId="0"/>
    <cellStyle name="40% - 강조색3 5 19" xfId="0"/>
    <cellStyle name="40% - 강조색3 5 2" xfId="0"/>
    <cellStyle name="40% - 강조색3 5 20" xfId="0"/>
    <cellStyle name="40% - 강조색3 5 21" xfId="0"/>
    <cellStyle name="40% - 강조색3 5 22" xfId="0"/>
    <cellStyle name="40% - 강조색3 5 23" xfId="0"/>
    <cellStyle name="40% - 강조색3 5 24" xfId="0"/>
    <cellStyle name="40% - 강조색3 5 25" xfId="0"/>
    <cellStyle name="40% - 강조색3 5 26" xfId="0"/>
    <cellStyle name="40% - 강조색3 5 27" xfId="0"/>
    <cellStyle name="40% - 강조색3 5 28" xfId="0"/>
    <cellStyle name="40% - 강조색3 5 29" xfId="0"/>
    <cellStyle name="40% - 강조색3 5 3" xfId="0"/>
    <cellStyle name="40% - 강조색3 5 30" xfId="0"/>
    <cellStyle name="40% - 강조색3 5 31" xfId="0"/>
    <cellStyle name="40% - 강조색3 5 32" xfId="0"/>
    <cellStyle name="40% - 강조색3 5 33" xfId="0"/>
    <cellStyle name="40% - 강조색3 5 34" xfId="0"/>
    <cellStyle name="40% - 강조색3 5 4" xfId="0"/>
    <cellStyle name="40% - 강조색3 5 5" xfId="0"/>
    <cellStyle name="40% - 강조색3 5 6" xfId="0"/>
    <cellStyle name="40% - 강조색3 5 7" xfId="0"/>
    <cellStyle name="40% - 강조색3 5 8" xfId="0"/>
    <cellStyle name="40% - 강조색3 5 9" xfId="0"/>
    <cellStyle name="40% - 강조색3 6" xfId="0"/>
    <cellStyle name="40% - 강조색3 6 10" xfId="0"/>
    <cellStyle name="40% - 강조색3 6 11" xfId="0"/>
    <cellStyle name="40% - 강조색3 6 12" xfId="0"/>
    <cellStyle name="40% - 강조색3 6 13" xfId="0"/>
    <cellStyle name="40% - 강조색3 6 14" xfId="0"/>
    <cellStyle name="40% - 강조색3 6 15" xfId="0"/>
    <cellStyle name="40% - 강조색3 6 16" xfId="0"/>
    <cellStyle name="40% - 강조색3 6 17" xfId="0"/>
    <cellStyle name="40% - 강조색3 6 18" xfId="0"/>
    <cellStyle name="40% - 강조색3 6 19" xfId="0"/>
    <cellStyle name="40% - 강조색3 6 2" xfId="0"/>
    <cellStyle name="40% - 강조색3 6 20" xfId="0"/>
    <cellStyle name="40% - 강조색3 6 21" xfId="0"/>
    <cellStyle name="40% - 강조색3 6 22" xfId="0"/>
    <cellStyle name="40% - 강조색3 6 23" xfId="0"/>
    <cellStyle name="40% - 강조색3 6 24" xfId="0"/>
    <cellStyle name="40% - 강조색3 6 25" xfId="0"/>
    <cellStyle name="40% - 강조색3 6 26" xfId="0"/>
    <cellStyle name="40% - 강조색3 6 27" xfId="0"/>
    <cellStyle name="40% - 강조색3 6 28" xfId="0"/>
    <cellStyle name="40% - 강조색3 6 29" xfId="0"/>
    <cellStyle name="40% - 강조색3 6 3" xfId="0"/>
    <cellStyle name="40% - 강조색3 6 30" xfId="0"/>
    <cellStyle name="40% - 강조색3 6 4" xfId="0"/>
    <cellStyle name="40% - 강조색3 6 5" xfId="0"/>
    <cellStyle name="40% - 강조색3 6 6" xfId="0"/>
    <cellStyle name="40% - 강조색3 6 7" xfId="0"/>
    <cellStyle name="40% - 강조색3 6 8" xfId="0"/>
    <cellStyle name="40% - 강조색3 6 9" xfId="0"/>
    <cellStyle name="40% - 강조색3 7" xfId="0"/>
    <cellStyle name="40% - 강조색3 7 10" xfId="0"/>
    <cellStyle name="40% - 강조색3 7 11" xfId="0"/>
    <cellStyle name="40% - 강조색3 7 12" xfId="0"/>
    <cellStyle name="40% - 강조색3 7 13" xfId="0"/>
    <cellStyle name="40% - 강조색3 7 14" xfId="0"/>
    <cellStyle name="40% - 강조색3 7 15" xfId="0"/>
    <cellStyle name="40% - 강조색3 7 2" xfId="0"/>
    <cellStyle name="40% - 강조색3 7 2 2" xfId="0"/>
    <cellStyle name="40% - 강조색3 7 3" xfId="0"/>
    <cellStyle name="40% - 강조색3 7 3 2" xfId="0"/>
    <cellStyle name="40% - 강조색3 7 4" xfId="0"/>
    <cellStyle name="40% - 강조색3 7 4 2" xfId="0"/>
    <cellStyle name="40% - 강조색3 7 5" xfId="0"/>
    <cellStyle name="40% - 강조색3 7 5 2" xfId="0"/>
    <cellStyle name="40% - 강조색3 7 6" xfId="0"/>
    <cellStyle name="40% - 강조색3 7 6 2" xfId="0"/>
    <cellStyle name="40% - 강조색3 7 7" xfId="0"/>
    <cellStyle name="40% - 강조색3 7 8" xfId="0"/>
    <cellStyle name="40% - 강조색3 7 9" xfId="0"/>
    <cellStyle name="40% - 강조색3 8" xfId="0"/>
    <cellStyle name="40% - 강조색3 8 10" xfId="0"/>
    <cellStyle name="40% - 강조색3 8 11" xfId="0"/>
    <cellStyle name="40% - 강조색3 8 12" xfId="0"/>
    <cellStyle name="40% - 강조색3 8 13" xfId="0"/>
    <cellStyle name="40% - 강조색3 8 14" xfId="0"/>
    <cellStyle name="40% - 강조색3 8 2" xfId="0"/>
    <cellStyle name="40% - 강조색3 8 2 2" xfId="0"/>
    <cellStyle name="40% - 강조색3 8 3" xfId="0"/>
    <cellStyle name="40% - 강조색3 8 3 2" xfId="0"/>
    <cellStyle name="40% - 강조색3 8 4" xfId="0"/>
    <cellStyle name="40% - 강조색3 8 4 2" xfId="0"/>
    <cellStyle name="40% - 강조색3 8 5" xfId="0"/>
    <cellStyle name="40% - 강조색3 8 5 2" xfId="0"/>
    <cellStyle name="40% - 강조색3 8 6" xfId="0"/>
    <cellStyle name="40% - 강조색3 8 6 2" xfId="0"/>
    <cellStyle name="40% - 강조색3 8 7" xfId="0"/>
    <cellStyle name="40% - 강조색3 8 8" xfId="0"/>
    <cellStyle name="40% - 강조색3 8 9" xfId="0"/>
    <cellStyle name="40% - 강조색3 9" xfId="0"/>
    <cellStyle name="40% - 강조색3 9 10" xfId="0"/>
    <cellStyle name="40% - 강조색3 9 11" xfId="0"/>
    <cellStyle name="40% - 강조색3 9 12" xfId="0"/>
    <cellStyle name="40% - 강조색3 9 13" xfId="0"/>
    <cellStyle name="40% - 강조색3 9 14" xfId="0"/>
    <cellStyle name="40% - 강조색3 9 2" xfId="0"/>
    <cellStyle name="40% - 강조색3 9 2 2" xfId="0"/>
    <cellStyle name="40% - 강조색3 9 3" xfId="0"/>
    <cellStyle name="40% - 강조색3 9 3 2" xfId="0"/>
    <cellStyle name="40% - 강조색3 9 4" xfId="0"/>
    <cellStyle name="40% - 강조색3 9 4 2" xfId="0"/>
    <cellStyle name="40% - 강조색3 9 5" xfId="0"/>
    <cellStyle name="40% - 강조색3 9 5 2" xfId="0"/>
    <cellStyle name="40% - 강조색3 9 6" xfId="0"/>
    <cellStyle name="40% - 강조색3 9 6 2" xfId="0"/>
    <cellStyle name="40% - 강조색3 9 7" xfId="0"/>
    <cellStyle name="40% - 강조색3 9 8" xfId="0"/>
    <cellStyle name="40% - 강조색3 9 9" xfId="0"/>
    <cellStyle name="40% - 강조색4 10" xfId="0"/>
    <cellStyle name="40% - 강조색4 10 2" xfId="0"/>
    <cellStyle name="40% - 강조색4 10 2 2" xfId="0"/>
    <cellStyle name="40% - 강조색4 10 3" xfId="0"/>
    <cellStyle name="40% - 강조색4 10 3 2" xfId="0"/>
    <cellStyle name="40% - 강조색4 10 4" xfId="0"/>
    <cellStyle name="40% - 강조색4 10 4 2" xfId="0"/>
    <cellStyle name="40% - 강조색4 10 5" xfId="0"/>
    <cellStyle name="40% - 강조색4 10 6" xfId="0"/>
    <cellStyle name="40% - 강조색4 10 7" xfId="0"/>
    <cellStyle name="40% - 강조색4 11" xfId="0"/>
    <cellStyle name="40% - 강조색4 11 2" xfId="0"/>
    <cellStyle name="40% - 강조색4 11 2 2" xfId="0"/>
    <cellStyle name="40% - 강조색4 11 3" xfId="0"/>
    <cellStyle name="40% - 강조색4 11 3 2" xfId="0"/>
    <cellStyle name="40% - 강조색4 11 4" xfId="0"/>
    <cellStyle name="40% - 강조색4 11 4 2" xfId="0"/>
    <cellStyle name="40% - 강조색4 11 5" xfId="0"/>
    <cellStyle name="40% - 강조색4 11 6" xfId="0"/>
    <cellStyle name="40% - 강조색4 11 7" xfId="0"/>
    <cellStyle name="40% - 강조색4 12" xfId="0"/>
    <cellStyle name="40% - 강조색4 12 2" xfId="0"/>
    <cellStyle name="40% - 강조색4 12 3" xfId="0"/>
    <cellStyle name="40% - 강조색4 12 4" xfId="0"/>
    <cellStyle name="40% - 강조색4 13" xfId="0"/>
    <cellStyle name="40% - 강조색4 13 2" xfId="0"/>
    <cellStyle name="40% - 강조색4 13 3" xfId="0"/>
    <cellStyle name="40% - 강조색4 13 4" xfId="0"/>
    <cellStyle name="40% - 강조색4 14" xfId="0"/>
    <cellStyle name="40% - 강조색4 14 2" xfId="0"/>
    <cellStyle name="40% - 강조색4 15" xfId="0"/>
    <cellStyle name="40% - 강조색4 15 2" xfId="0"/>
    <cellStyle name="40% - 강조색4 16" xfId="0"/>
    <cellStyle name="40% - 강조색4 16 2" xfId="0"/>
    <cellStyle name="40% - 강조색4 17" xfId="0"/>
    <cellStyle name="40% - 강조색4 17 2" xfId="0"/>
    <cellStyle name="40% - 강조색4 18" xfId="0"/>
    <cellStyle name="40% - 강조색4 18 2" xfId="0"/>
    <cellStyle name="40% - 강조색4 19" xfId="0"/>
    <cellStyle name="40% - 강조색4 19 2" xfId="0"/>
    <cellStyle name="40% - 강조색4 19 3" xfId="0"/>
    <cellStyle name="40% - 강조색4 2" xfId="0"/>
    <cellStyle name="40% - 강조색4 2 10" xfId="0"/>
    <cellStyle name="40% - 강조색4 2 11" xfId="0"/>
    <cellStyle name="40% - 강조색4 2 12" xfId="0"/>
    <cellStyle name="40% - 강조색4 2 13" xfId="0"/>
    <cellStyle name="40% - 강조색4 2 2" xfId="0"/>
    <cellStyle name="40% - 강조색4 2 2 10" xfId="0"/>
    <cellStyle name="40% - 강조색4 2 2 2" xfId="0"/>
    <cellStyle name="40% - 강조색4 2 2 3" xfId="0"/>
    <cellStyle name="40% - 강조색4 2 2 4" xfId="0"/>
    <cellStyle name="40% - 강조색4 2 2 5" xfId="0"/>
    <cellStyle name="40% - 강조색4 2 2 6" xfId="0"/>
    <cellStyle name="40% - 강조색4 2 2 7" xfId="0"/>
    <cellStyle name="40% - 강조색4 2 2 8" xfId="0"/>
    <cellStyle name="40% - 강조색4 2 2 9" xfId="0"/>
    <cellStyle name="40% - 강조색4 2 3" xfId="0"/>
    <cellStyle name="40% - 강조색4 2 3 10" xfId="0"/>
    <cellStyle name="40% - 강조색4 2 3 2" xfId="0"/>
    <cellStyle name="40% - 강조색4 2 3 3" xfId="0"/>
    <cellStyle name="40% - 강조색4 2 3 4" xfId="0"/>
    <cellStyle name="40% - 강조색4 2 3 5" xfId="0"/>
    <cellStyle name="40% - 강조색4 2 3 6" xfId="0"/>
    <cellStyle name="40% - 강조색4 2 3 7" xfId="0"/>
    <cellStyle name="40% - 강조색4 2 3 8" xfId="0"/>
    <cellStyle name="40% - 강조색4 2 3 9" xfId="0"/>
    <cellStyle name="40% - 강조색4 2 4" xfId="0"/>
    <cellStyle name="40% - 강조색4 2 4 10" xfId="0"/>
    <cellStyle name="40% - 강조색4 2 4 2" xfId="0"/>
    <cellStyle name="40% - 강조색4 2 4 3" xfId="0"/>
    <cellStyle name="40% - 강조색4 2 4 4" xfId="0"/>
    <cellStyle name="40% - 강조색4 2 4 5" xfId="0"/>
    <cellStyle name="40% - 강조색4 2 4 6" xfId="0"/>
    <cellStyle name="40% - 강조색4 2 4 7" xfId="0"/>
    <cellStyle name="40% - 강조색4 2 4 8" xfId="0"/>
    <cellStyle name="40% - 강조색4 2 4 9" xfId="0"/>
    <cellStyle name="40% - 강조색4 2 5" xfId="0"/>
    <cellStyle name="40% - 강조색4 2 5 10" xfId="0"/>
    <cellStyle name="40% - 강조색4 2 5 2" xfId="0"/>
    <cellStyle name="40% - 강조색4 2 5 3" xfId="0"/>
    <cellStyle name="40% - 강조색4 2 5 4" xfId="0"/>
    <cellStyle name="40% - 강조색4 2 5 5" xfId="0"/>
    <cellStyle name="40% - 강조색4 2 5 6" xfId="0"/>
    <cellStyle name="40% - 강조색4 2 5 7" xfId="0"/>
    <cellStyle name="40% - 강조색4 2 5 8" xfId="0"/>
    <cellStyle name="40% - 강조색4 2 5 9" xfId="0"/>
    <cellStyle name="40% - 강조색4 2 6" xfId="0"/>
    <cellStyle name="40% - 강조색4 2 6 10" xfId="0"/>
    <cellStyle name="40% - 강조색4 2 6 2" xfId="0"/>
    <cellStyle name="40% - 강조색4 2 6 3" xfId="0"/>
    <cellStyle name="40% - 강조색4 2 6 4" xfId="0"/>
    <cellStyle name="40% - 강조색4 2 6 5" xfId="0"/>
    <cellStyle name="40% - 강조색4 2 6 6" xfId="0"/>
    <cellStyle name="40% - 강조색4 2 6 7" xfId="0"/>
    <cellStyle name="40% - 강조색4 2 6 8" xfId="0"/>
    <cellStyle name="40% - 강조색4 2 6 9" xfId="0"/>
    <cellStyle name="40% - 강조색4 2 7" xfId="0"/>
    <cellStyle name="40% - 강조색4 2 7 10" xfId="0"/>
    <cellStyle name="40% - 강조색4 2 7 2" xfId="0"/>
    <cellStyle name="40% - 강조색4 2 7 3" xfId="0"/>
    <cellStyle name="40% - 강조색4 2 7 4" xfId="0"/>
    <cellStyle name="40% - 강조색4 2 7 5" xfId="0"/>
    <cellStyle name="40% - 강조색4 2 7 6" xfId="0"/>
    <cellStyle name="40% - 강조색4 2 7 7" xfId="0"/>
    <cellStyle name="40% - 강조색4 2 7 8" xfId="0"/>
    <cellStyle name="40% - 강조색4 2 7 9" xfId="0"/>
    <cellStyle name="40% - 강조색4 2 8" xfId="0"/>
    <cellStyle name="40% - 강조색4 2 8 2" xfId="0"/>
    <cellStyle name="40% - 강조색4 2 9" xfId="0"/>
    <cellStyle name="40% - 강조색4 20" xfId="0"/>
    <cellStyle name="40% - 강조색4 21" xfId="0"/>
    <cellStyle name="40% - 강조색4 22" xfId="0"/>
    <cellStyle name="40% - 강조색4 23" xfId="0"/>
    <cellStyle name="40% - 강조색4 24" xfId="0"/>
    <cellStyle name="40% - 강조색4 25" xfId="0"/>
    <cellStyle name="40% - 강조색4 26" xfId="0"/>
    <cellStyle name="40% - 강조색4 27" xfId="0"/>
    <cellStyle name="40% - 강조색4 2_3300현금및예치금" xfId="0"/>
    <cellStyle name="40% - 강조색4 3" xfId="0"/>
    <cellStyle name="40% - 강조색4 3 10" xfId="0"/>
    <cellStyle name="40% - 강조색4 3 10 2" xfId="0"/>
    <cellStyle name="40% - 강조색4 3 11" xfId="0"/>
    <cellStyle name="40% - 강조색4 3 11 2" xfId="0"/>
    <cellStyle name="40% - 강조색4 3 12" xfId="0"/>
    <cellStyle name="40% - 강조색4 3 12 2" xfId="0"/>
    <cellStyle name="40% - 강조색4 3 13" xfId="0"/>
    <cellStyle name="40% - 강조색4 3 14" xfId="0"/>
    <cellStyle name="40% - 강조색4 3 15" xfId="0"/>
    <cellStyle name="40% - 강조색4 3 16" xfId="0"/>
    <cellStyle name="40% - 강조색4 3 17" xfId="0"/>
    <cellStyle name="40% - 강조색4 3 18" xfId="0"/>
    <cellStyle name="40% - 강조색4 3 19" xfId="0"/>
    <cellStyle name="40% - 강조색4 3 2" xfId="0"/>
    <cellStyle name="40% - 강조색4 3 2 2" xfId="0"/>
    <cellStyle name="40% - 강조색4 3 2 3" xfId="0"/>
    <cellStyle name="40% - 강조색4 3 20" xfId="0"/>
    <cellStyle name="40% - 강조색4 3 3" xfId="0"/>
    <cellStyle name="40% - 강조색4 3 3 2" xfId="0"/>
    <cellStyle name="40% - 강조색4 3 3 3" xfId="0"/>
    <cellStyle name="40% - 강조색4 3 4" xfId="0"/>
    <cellStyle name="40% - 강조색4 3 4 2" xfId="0"/>
    <cellStyle name="40% - 강조색4 3 4 3" xfId="0"/>
    <cellStyle name="40% - 강조색4 3 5" xfId="0"/>
    <cellStyle name="40% - 강조색4 3 5 2" xfId="0"/>
    <cellStyle name="40% - 강조색4 3 5 3" xfId="0"/>
    <cellStyle name="40% - 강조색4 3 6" xfId="0"/>
    <cellStyle name="40% - 강조색4 3 6 2" xfId="0"/>
    <cellStyle name="40% - 강조색4 3 6 3" xfId="0"/>
    <cellStyle name="40% - 강조색4 3 7" xfId="0"/>
    <cellStyle name="40% - 강조색4 3 7 2" xfId="0"/>
    <cellStyle name="40% - 강조색4 3 7 3" xfId="0"/>
    <cellStyle name="40% - 강조색4 3 8" xfId="0"/>
    <cellStyle name="40% - 강조색4 3 8 2" xfId="0"/>
    <cellStyle name="40% - 강조색4 3 8 3" xfId="0"/>
    <cellStyle name="40% - 강조색4 3 9" xfId="0"/>
    <cellStyle name="40% - 강조색4 3 9 2" xfId="0"/>
    <cellStyle name="40% - 강조색4 3_운용자산별 손익분석" xfId="0"/>
    <cellStyle name="40% - 강조색4 4" xfId="0"/>
    <cellStyle name="40% - 강조색4 4 10" xfId="0"/>
    <cellStyle name="40% - 강조색4 4 11" xfId="0"/>
    <cellStyle name="40% - 강조색4 4 12" xfId="0"/>
    <cellStyle name="40% - 강조색4 4 13" xfId="0"/>
    <cellStyle name="40% - 강조색4 4 2" xfId="0"/>
    <cellStyle name="40% - 강조색4 4 3" xfId="0"/>
    <cellStyle name="40% - 강조색4 4 4" xfId="0"/>
    <cellStyle name="40% - 강조색4 4 5" xfId="0"/>
    <cellStyle name="40% - 강조색4 4 6" xfId="0"/>
    <cellStyle name="40% - 강조색4 4 7" xfId="0"/>
    <cellStyle name="40% - 강조색4 4 8" xfId="0"/>
    <cellStyle name="40% - 강조색4 4 9" xfId="0"/>
    <cellStyle name="40% - 강조색4 4_운용자산별 손익분석" xfId="0"/>
    <cellStyle name="40% - 강조색4 5" xfId="0"/>
    <cellStyle name="40% - 강조색4 5 10" xfId="0"/>
    <cellStyle name="40% - 강조색4 5 11" xfId="0"/>
    <cellStyle name="40% - 강조색4 5 12" xfId="0"/>
    <cellStyle name="40% - 강조색4 5 13" xfId="0"/>
    <cellStyle name="40% - 강조색4 5 14" xfId="0"/>
    <cellStyle name="40% - 강조색4 5 15" xfId="0"/>
    <cellStyle name="40% - 강조색4 5 16" xfId="0"/>
    <cellStyle name="40% - 강조색4 5 17" xfId="0"/>
    <cellStyle name="40% - 강조색4 5 18" xfId="0"/>
    <cellStyle name="40% - 강조색4 5 19" xfId="0"/>
    <cellStyle name="40% - 강조색4 5 2" xfId="0"/>
    <cellStyle name="40% - 강조색4 5 20" xfId="0"/>
    <cellStyle name="40% - 강조색4 5 21" xfId="0"/>
    <cellStyle name="40% - 강조색4 5 22" xfId="0"/>
    <cellStyle name="40% - 강조색4 5 23" xfId="0"/>
    <cellStyle name="40% - 강조색4 5 24" xfId="0"/>
    <cellStyle name="40% - 강조색4 5 25" xfId="0"/>
    <cellStyle name="40% - 강조색4 5 26" xfId="0"/>
    <cellStyle name="40% - 강조색4 5 27" xfId="0"/>
    <cellStyle name="40% - 강조색4 5 28" xfId="0"/>
    <cellStyle name="40% - 강조색4 5 29" xfId="0"/>
    <cellStyle name="40% - 강조색4 5 3" xfId="0"/>
    <cellStyle name="40% - 강조색4 5 30" xfId="0"/>
    <cellStyle name="40% - 강조색4 5 31" xfId="0"/>
    <cellStyle name="40% - 강조색4 5 32" xfId="0"/>
    <cellStyle name="40% - 강조색4 5 33" xfId="0"/>
    <cellStyle name="40% - 강조색4 5 34" xfId="0"/>
    <cellStyle name="40% - 강조색4 5 4" xfId="0"/>
    <cellStyle name="40% - 강조색4 5 5" xfId="0"/>
    <cellStyle name="40% - 강조색4 5 6" xfId="0"/>
    <cellStyle name="40% - 강조색4 5 7" xfId="0"/>
    <cellStyle name="40% - 강조색4 5 8" xfId="0"/>
    <cellStyle name="40% - 강조색4 5 9" xfId="0"/>
    <cellStyle name="40% - 강조색4 6" xfId="0"/>
    <cellStyle name="40% - 강조색4 6 10" xfId="0"/>
    <cellStyle name="40% - 강조색4 6 11" xfId="0"/>
    <cellStyle name="40% - 강조색4 6 12" xfId="0"/>
    <cellStyle name="40% - 강조색4 6 13" xfId="0"/>
    <cellStyle name="40% - 강조색4 6 14" xfId="0"/>
    <cellStyle name="40% - 강조색4 6 15" xfId="0"/>
    <cellStyle name="40% - 강조색4 6 16" xfId="0"/>
    <cellStyle name="40% - 강조색4 6 17" xfId="0"/>
    <cellStyle name="40% - 강조색4 6 18" xfId="0"/>
    <cellStyle name="40% - 강조색4 6 19" xfId="0"/>
    <cellStyle name="40% - 강조색4 6 2" xfId="0"/>
    <cellStyle name="40% - 강조색4 6 20" xfId="0"/>
    <cellStyle name="40% - 강조색4 6 21" xfId="0"/>
    <cellStyle name="40% - 강조색4 6 22" xfId="0"/>
    <cellStyle name="40% - 강조색4 6 23" xfId="0"/>
    <cellStyle name="40% - 강조색4 6 24" xfId="0"/>
    <cellStyle name="40% - 강조색4 6 25" xfId="0"/>
    <cellStyle name="40% - 강조색4 6 26" xfId="0"/>
    <cellStyle name="40% - 강조색4 6 27" xfId="0"/>
    <cellStyle name="40% - 강조색4 6 28" xfId="0"/>
    <cellStyle name="40% - 강조색4 6 29" xfId="0"/>
    <cellStyle name="40% - 강조색4 6 3" xfId="0"/>
    <cellStyle name="40% - 강조색4 6 30" xfId="0"/>
    <cellStyle name="40% - 강조색4 6 4" xfId="0"/>
    <cellStyle name="40% - 강조색4 6 5" xfId="0"/>
    <cellStyle name="40% - 강조색4 6 6" xfId="0"/>
    <cellStyle name="40% - 강조색4 6 7" xfId="0"/>
    <cellStyle name="40% - 강조색4 6 8" xfId="0"/>
    <cellStyle name="40% - 강조색4 6 9" xfId="0"/>
    <cellStyle name="40% - 강조색4 7" xfId="0"/>
    <cellStyle name="40% - 강조색4 7 10" xfId="0"/>
    <cellStyle name="40% - 강조색4 7 11" xfId="0"/>
    <cellStyle name="40% - 강조색4 7 12" xfId="0"/>
    <cellStyle name="40% - 강조색4 7 13" xfId="0"/>
    <cellStyle name="40% - 강조색4 7 14" xfId="0"/>
    <cellStyle name="40% - 강조색4 7 15" xfId="0"/>
    <cellStyle name="40% - 강조색4 7 2" xfId="0"/>
    <cellStyle name="40% - 강조색4 7 2 2" xfId="0"/>
    <cellStyle name="40% - 강조색4 7 3" xfId="0"/>
    <cellStyle name="40% - 강조색4 7 3 2" xfId="0"/>
    <cellStyle name="40% - 강조색4 7 4" xfId="0"/>
    <cellStyle name="40% - 강조색4 7 4 2" xfId="0"/>
    <cellStyle name="40% - 강조색4 7 5" xfId="0"/>
    <cellStyle name="40% - 강조색4 7 5 2" xfId="0"/>
    <cellStyle name="40% - 강조색4 7 6" xfId="0"/>
    <cellStyle name="40% - 강조색4 7 6 2" xfId="0"/>
    <cellStyle name="40% - 강조색4 7 7" xfId="0"/>
    <cellStyle name="40% - 강조색4 7 8" xfId="0"/>
    <cellStyle name="40% - 강조색4 7 9" xfId="0"/>
    <cellStyle name="40% - 강조색4 8" xfId="0"/>
    <cellStyle name="40% - 강조색4 8 10" xfId="0"/>
    <cellStyle name="40% - 강조색4 8 11" xfId="0"/>
    <cellStyle name="40% - 강조색4 8 12" xfId="0"/>
    <cellStyle name="40% - 강조색4 8 13" xfId="0"/>
    <cellStyle name="40% - 강조색4 8 14" xfId="0"/>
    <cellStyle name="40% - 강조색4 8 2" xfId="0"/>
    <cellStyle name="40% - 강조색4 8 2 2" xfId="0"/>
    <cellStyle name="40% - 강조색4 8 3" xfId="0"/>
    <cellStyle name="40% - 강조색4 8 3 2" xfId="0"/>
    <cellStyle name="40% - 강조색4 8 4" xfId="0"/>
    <cellStyle name="40% - 강조색4 8 4 2" xfId="0"/>
    <cellStyle name="40% - 강조색4 8 5" xfId="0"/>
    <cellStyle name="40% - 강조색4 8 5 2" xfId="0"/>
    <cellStyle name="40% - 강조색4 8 6" xfId="0"/>
    <cellStyle name="40% - 강조색4 8 6 2" xfId="0"/>
    <cellStyle name="40% - 강조색4 8 7" xfId="0"/>
    <cellStyle name="40% - 강조색4 8 8" xfId="0"/>
    <cellStyle name="40% - 강조색4 8 9" xfId="0"/>
    <cellStyle name="40% - 강조색4 9" xfId="0"/>
    <cellStyle name="40% - 강조색4 9 10" xfId="0"/>
    <cellStyle name="40% - 강조색4 9 11" xfId="0"/>
    <cellStyle name="40% - 강조색4 9 12" xfId="0"/>
    <cellStyle name="40% - 강조색4 9 13" xfId="0"/>
    <cellStyle name="40% - 강조색4 9 14" xfId="0"/>
    <cellStyle name="40% - 강조색4 9 2" xfId="0"/>
    <cellStyle name="40% - 강조색4 9 2 2" xfId="0"/>
    <cellStyle name="40% - 강조색4 9 3" xfId="0"/>
    <cellStyle name="40% - 강조색4 9 3 2" xfId="0"/>
    <cellStyle name="40% - 강조색4 9 4" xfId="0"/>
    <cellStyle name="40% - 강조색4 9 4 2" xfId="0"/>
    <cellStyle name="40% - 강조색4 9 5" xfId="0"/>
    <cellStyle name="40% - 강조색4 9 5 2" xfId="0"/>
    <cellStyle name="40% - 강조색4 9 6" xfId="0"/>
    <cellStyle name="40% - 강조색4 9 6 2" xfId="0"/>
    <cellStyle name="40% - 강조색4 9 7" xfId="0"/>
    <cellStyle name="40% - 강조색4 9 8" xfId="0"/>
    <cellStyle name="40% - 강조색4 9 9" xfId="0"/>
    <cellStyle name="40% - 강조색5 10" xfId="0"/>
    <cellStyle name="40% - 강조색5 10 2" xfId="0"/>
    <cellStyle name="40% - 강조색5 10 2 2" xfId="0"/>
    <cellStyle name="40% - 강조색5 10 3" xfId="0"/>
    <cellStyle name="40% - 강조색5 10 3 2" xfId="0"/>
    <cellStyle name="40% - 강조색5 10 4" xfId="0"/>
    <cellStyle name="40% - 강조색5 10 4 2" xfId="0"/>
    <cellStyle name="40% - 강조색5 10 5" xfId="0"/>
    <cellStyle name="40% - 강조색5 10 6" xfId="0"/>
    <cellStyle name="40% - 강조색5 10 7" xfId="0"/>
    <cellStyle name="40% - 강조색5 11" xfId="0"/>
    <cellStyle name="40% - 강조색5 11 2" xfId="0"/>
    <cellStyle name="40% - 강조색5 11 2 2" xfId="0"/>
    <cellStyle name="40% - 강조색5 11 3" xfId="0"/>
    <cellStyle name="40% - 강조색5 11 3 2" xfId="0"/>
    <cellStyle name="40% - 강조색5 11 4" xfId="0"/>
    <cellStyle name="40% - 강조색5 11 4 2" xfId="0"/>
    <cellStyle name="40% - 강조색5 11 5" xfId="0"/>
    <cellStyle name="40% - 강조색5 11 6" xfId="0"/>
    <cellStyle name="40% - 강조색5 11 7" xfId="0"/>
    <cellStyle name="40% - 강조색5 12" xfId="0"/>
    <cellStyle name="40% - 강조색5 12 2" xfId="0"/>
    <cellStyle name="40% - 강조색5 12 3" xfId="0"/>
    <cellStyle name="40% - 강조색5 12 4" xfId="0"/>
    <cellStyle name="40% - 강조색5 13" xfId="0"/>
    <cellStyle name="40% - 강조색5 13 2" xfId="0"/>
    <cellStyle name="40% - 강조색5 13 3" xfId="0"/>
    <cellStyle name="40% - 강조색5 13 4" xfId="0"/>
    <cellStyle name="40% - 강조색5 14" xfId="0"/>
    <cellStyle name="40% - 강조색5 14 2" xfId="0"/>
    <cellStyle name="40% - 강조색5 15" xfId="0"/>
    <cellStyle name="40% - 강조색5 15 2" xfId="0"/>
    <cellStyle name="40% - 강조색5 16" xfId="0"/>
    <cellStyle name="40% - 강조색5 16 2" xfId="0"/>
    <cellStyle name="40% - 강조색5 17" xfId="0"/>
    <cellStyle name="40% - 강조색5 17 2" xfId="0"/>
    <cellStyle name="40% - 강조색5 18" xfId="0"/>
    <cellStyle name="40% - 강조색5 18 2" xfId="0"/>
    <cellStyle name="40% - 강조색5 19" xfId="0"/>
    <cellStyle name="40% - 강조색5 19 2" xfId="0"/>
    <cellStyle name="40% - 강조색5 19 3" xfId="0"/>
    <cellStyle name="40% - 강조색5 2" xfId="0"/>
    <cellStyle name="40% - 강조색5 2 10" xfId="0"/>
    <cellStyle name="40% - 강조색5 2 11" xfId="0"/>
    <cellStyle name="40% - 강조색5 2 12" xfId="0"/>
    <cellStyle name="40% - 강조색5 2 13" xfId="0"/>
    <cellStyle name="40% - 강조색5 2 2" xfId="0"/>
    <cellStyle name="40% - 강조색5 2 2 10" xfId="0"/>
    <cellStyle name="40% - 강조색5 2 2 2" xfId="0"/>
    <cellStyle name="40% - 강조색5 2 2 3" xfId="0"/>
    <cellStyle name="40% - 강조색5 2 2 4" xfId="0"/>
    <cellStyle name="40% - 강조색5 2 2 5" xfId="0"/>
    <cellStyle name="40% - 강조색5 2 2 6" xfId="0"/>
    <cellStyle name="40% - 강조색5 2 2 7" xfId="0"/>
    <cellStyle name="40% - 강조색5 2 2 8" xfId="0"/>
    <cellStyle name="40% - 강조색5 2 2 9" xfId="0"/>
    <cellStyle name="40% - 강조색5 2 3" xfId="0"/>
    <cellStyle name="40% - 강조색5 2 3 10" xfId="0"/>
    <cellStyle name="40% - 강조색5 2 3 2" xfId="0"/>
    <cellStyle name="40% - 강조색5 2 3 3" xfId="0"/>
    <cellStyle name="40% - 강조색5 2 3 4" xfId="0"/>
    <cellStyle name="40% - 강조색5 2 3 5" xfId="0"/>
    <cellStyle name="40% - 강조색5 2 3 6" xfId="0"/>
    <cellStyle name="40% - 강조색5 2 3 7" xfId="0"/>
    <cellStyle name="40% - 강조색5 2 3 8" xfId="0"/>
    <cellStyle name="40% - 강조색5 2 3 9" xfId="0"/>
    <cellStyle name="40% - 강조색5 2 4" xfId="0"/>
    <cellStyle name="40% - 강조색5 2 4 10" xfId="0"/>
    <cellStyle name="40% - 강조색5 2 4 2" xfId="0"/>
    <cellStyle name="40% - 강조색5 2 4 3" xfId="0"/>
    <cellStyle name="40% - 강조색5 2 4 4" xfId="0"/>
    <cellStyle name="40% - 강조색5 2 4 5" xfId="0"/>
    <cellStyle name="40% - 강조색5 2 4 6" xfId="0"/>
    <cellStyle name="40% - 강조색5 2 4 7" xfId="0"/>
    <cellStyle name="40% - 강조색5 2 4 8" xfId="0"/>
    <cellStyle name="40% - 강조색5 2 4 9" xfId="0"/>
    <cellStyle name="40% - 강조색5 2 5" xfId="0"/>
    <cellStyle name="40% - 강조색5 2 5 10" xfId="0"/>
    <cellStyle name="40% - 강조색5 2 5 2" xfId="0"/>
    <cellStyle name="40% - 강조색5 2 5 3" xfId="0"/>
    <cellStyle name="40% - 강조색5 2 5 4" xfId="0"/>
    <cellStyle name="40% - 강조색5 2 5 5" xfId="0"/>
    <cellStyle name="40% - 강조색5 2 5 6" xfId="0"/>
    <cellStyle name="40% - 강조색5 2 5 7" xfId="0"/>
    <cellStyle name="40% - 강조색5 2 5 8" xfId="0"/>
    <cellStyle name="40% - 강조색5 2 5 9" xfId="0"/>
    <cellStyle name="40% - 강조색5 2 6" xfId="0"/>
    <cellStyle name="40% - 강조색5 2 6 10" xfId="0"/>
    <cellStyle name="40% - 강조색5 2 6 2" xfId="0"/>
    <cellStyle name="40% - 강조색5 2 6 3" xfId="0"/>
    <cellStyle name="40% - 강조색5 2 6 4" xfId="0"/>
    <cellStyle name="40% - 강조색5 2 6 5" xfId="0"/>
    <cellStyle name="40% - 강조색5 2 6 6" xfId="0"/>
    <cellStyle name="40% - 강조색5 2 6 7" xfId="0"/>
    <cellStyle name="40% - 강조색5 2 6 8" xfId="0"/>
    <cellStyle name="40% - 강조색5 2 6 9" xfId="0"/>
    <cellStyle name="40% - 강조색5 2 7" xfId="0"/>
    <cellStyle name="40% - 강조색5 2 7 10" xfId="0"/>
    <cellStyle name="40% - 강조색5 2 7 2" xfId="0"/>
    <cellStyle name="40% - 강조색5 2 7 3" xfId="0"/>
    <cellStyle name="40% - 강조색5 2 7 4" xfId="0"/>
    <cellStyle name="40% - 강조색5 2 7 5" xfId="0"/>
    <cellStyle name="40% - 강조색5 2 7 6" xfId="0"/>
    <cellStyle name="40% - 강조색5 2 7 7" xfId="0"/>
    <cellStyle name="40% - 강조색5 2 7 8" xfId="0"/>
    <cellStyle name="40% - 강조색5 2 7 9" xfId="0"/>
    <cellStyle name="40% - 강조색5 2 8" xfId="0"/>
    <cellStyle name="40% - 강조색5 2 8 2" xfId="0"/>
    <cellStyle name="40% - 강조색5 2 9" xfId="0"/>
    <cellStyle name="40% - 강조색5 20" xfId="0"/>
    <cellStyle name="40% - 강조색5 21" xfId="0"/>
    <cellStyle name="40% - 강조색5 22" xfId="0"/>
    <cellStyle name="40% - 강조색5 23" xfId="0"/>
    <cellStyle name="40% - 강조색5 24" xfId="0"/>
    <cellStyle name="40% - 강조색5 25" xfId="0"/>
    <cellStyle name="40% - 강조색5 26" xfId="0"/>
    <cellStyle name="40% - 강조색5 27" xfId="0"/>
    <cellStyle name="40% - 강조색5 2_3300현금및예치금" xfId="0"/>
    <cellStyle name="40% - 강조색5 3" xfId="0"/>
    <cellStyle name="40% - 강조색5 3 10" xfId="0"/>
    <cellStyle name="40% - 강조색5 3 10 2" xfId="0"/>
    <cellStyle name="40% - 강조색5 3 11" xfId="0"/>
    <cellStyle name="40% - 강조색5 3 11 2" xfId="0"/>
    <cellStyle name="40% - 강조색5 3 12" xfId="0"/>
    <cellStyle name="40% - 강조색5 3 12 2" xfId="0"/>
    <cellStyle name="40% - 강조색5 3 13" xfId="0"/>
    <cellStyle name="40% - 강조색5 3 14" xfId="0"/>
    <cellStyle name="40% - 강조색5 3 15" xfId="0"/>
    <cellStyle name="40% - 강조색5 3 16" xfId="0"/>
    <cellStyle name="40% - 강조색5 3 17" xfId="0"/>
    <cellStyle name="40% - 강조색5 3 18" xfId="0"/>
    <cellStyle name="40% - 강조색5 3 19" xfId="0"/>
    <cellStyle name="40% - 강조색5 3 2" xfId="0"/>
    <cellStyle name="40% - 강조색5 3 2 2" xfId="0"/>
    <cellStyle name="40% - 강조색5 3 2 3" xfId="0"/>
    <cellStyle name="40% - 강조색5 3 20" xfId="0"/>
    <cellStyle name="40% - 강조색5 3 3" xfId="0"/>
    <cellStyle name="40% - 강조색5 3 3 2" xfId="0"/>
    <cellStyle name="40% - 강조색5 3 3 3" xfId="0"/>
    <cellStyle name="40% - 강조색5 3 4" xfId="0"/>
    <cellStyle name="40% - 강조색5 3 4 2" xfId="0"/>
    <cellStyle name="40% - 강조색5 3 4 3" xfId="0"/>
    <cellStyle name="40% - 강조색5 3 5" xfId="0"/>
    <cellStyle name="40% - 강조색5 3 5 2" xfId="0"/>
    <cellStyle name="40% - 강조색5 3 5 3" xfId="0"/>
    <cellStyle name="40% - 강조색5 3 6" xfId="0"/>
    <cellStyle name="40% - 강조색5 3 6 2" xfId="0"/>
    <cellStyle name="40% - 강조색5 3 6 3" xfId="0"/>
    <cellStyle name="40% - 강조색5 3 7" xfId="0"/>
    <cellStyle name="40% - 강조색5 3 7 2" xfId="0"/>
    <cellStyle name="40% - 강조색5 3 7 3" xfId="0"/>
    <cellStyle name="40% - 강조색5 3 8" xfId="0"/>
    <cellStyle name="40% - 강조색5 3 8 2" xfId="0"/>
    <cellStyle name="40% - 강조색5 3 8 3" xfId="0"/>
    <cellStyle name="40% - 강조색5 3 9" xfId="0"/>
    <cellStyle name="40% - 강조색5 3 9 2" xfId="0"/>
    <cellStyle name="40% - 강조색5 3_운용자산별 손익분석" xfId="0"/>
    <cellStyle name="40% - 강조색5 4" xfId="0"/>
    <cellStyle name="40% - 강조색5 4 10" xfId="0"/>
    <cellStyle name="40% - 강조색5 4 11" xfId="0"/>
    <cellStyle name="40% - 강조색5 4 12" xfId="0"/>
    <cellStyle name="40% - 강조색5 4 13" xfId="0"/>
    <cellStyle name="40% - 강조색5 4 2" xfId="0"/>
    <cellStyle name="40% - 강조색5 4 3" xfId="0"/>
    <cellStyle name="40% - 강조색5 4 4" xfId="0"/>
    <cellStyle name="40% - 강조색5 4 5" xfId="0"/>
    <cellStyle name="40% - 강조색5 4 6" xfId="0"/>
    <cellStyle name="40% - 강조색5 4 7" xfId="0"/>
    <cellStyle name="40% - 강조색5 4 8" xfId="0"/>
    <cellStyle name="40% - 강조색5 4 9" xfId="0"/>
    <cellStyle name="40% - 강조색5 4_운용자산별 손익분석" xfId="0"/>
    <cellStyle name="40% - 강조색5 5" xfId="0"/>
    <cellStyle name="40% - 강조색5 5 10" xfId="0"/>
    <cellStyle name="40% - 강조색5 5 11" xfId="0"/>
    <cellStyle name="40% - 강조색5 5 12" xfId="0"/>
    <cellStyle name="40% - 강조색5 5 13" xfId="0"/>
    <cellStyle name="40% - 강조색5 5 14" xfId="0"/>
    <cellStyle name="40% - 강조색5 5 15" xfId="0"/>
    <cellStyle name="40% - 강조색5 5 16" xfId="0"/>
    <cellStyle name="40% - 강조색5 5 17" xfId="0"/>
    <cellStyle name="40% - 강조색5 5 18" xfId="0"/>
    <cellStyle name="40% - 강조색5 5 19" xfId="0"/>
    <cellStyle name="40% - 강조색5 5 2" xfId="0"/>
    <cellStyle name="40% - 강조색5 5 20" xfId="0"/>
    <cellStyle name="40% - 강조색5 5 21" xfId="0"/>
    <cellStyle name="40% - 강조색5 5 22" xfId="0"/>
    <cellStyle name="40% - 강조색5 5 23" xfId="0"/>
    <cellStyle name="40% - 강조색5 5 24" xfId="0"/>
    <cellStyle name="40% - 강조색5 5 25" xfId="0"/>
    <cellStyle name="40% - 강조색5 5 26" xfId="0"/>
    <cellStyle name="40% - 강조색5 5 27" xfId="0"/>
    <cellStyle name="40% - 강조색5 5 28" xfId="0"/>
    <cellStyle name="40% - 강조색5 5 29" xfId="0"/>
    <cellStyle name="40% - 강조색5 5 3" xfId="0"/>
    <cellStyle name="40% - 강조색5 5 30" xfId="0"/>
    <cellStyle name="40% - 강조색5 5 31" xfId="0"/>
    <cellStyle name="40% - 강조색5 5 32" xfId="0"/>
    <cellStyle name="40% - 강조색5 5 33" xfId="0"/>
    <cellStyle name="40% - 강조색5 5 34" xfId="0"/>
    <cellStyle name="40% - 강조색5 5 4" xfId="0"/>
    <cellStyle name="40% - 강조색5 5 5" xfId="0"/>
    <cellStyle name="40% - 강조색5 5 6" xfId="0"/>
    <cellStyle name="40% - 강조색5 5 7" xfId="0"/>
    <cellStyle name="40% - 강조색5 5 8" xfId="0"/>
    <cellStyle name="40% - 강조색5 5 9" xfId="0"/>
    <cellStyle name="40% - 강조색5 6" xfId="0"/>
    <cellStyle name="40% - 강조색5 6 10" xfId="0"/>
    <cellStyle name="40% - 강조색5 6 11" xfId="0"/>
    <cellStyle name="40% - 강조색5 6 12" xfId="0"/>
    <cellStyle name="40% - 강조색5 6 13" xfId="0"/>
    <cellStyle name="40% - 강조색5 6 14" xfId="0"/>
    <cellStyle name="40% - 강조색5 6 15" xfId="0"/>
    <cellStyle name="40% - 강조색5 6 16" xfId="0"/>
    <cellStyle name="40% - 강조색5 6 17" xfId="0"/>
    <cellStyle name="40% - 강조색5 6 18" xfId="0"/>
    <cellStyle name="40% - 강조색5 6 19" xfId="0"/>
    <cellStyle name="40% - 강조색5 6 2" xfId="0"/>
    <cellStyle name="40% - 강조색5 6 20" xfId="0"/>
    <cellStyle name="40% - 강조색5 6 21" xfId="0"/>
    <cellStyle name="40% - 강조색5 6 22" xfId="0"/>
    <cellStyle name="40% - 강조색5 6 23" xfId="0"/>
    <cellStyle name="40% - 강조색5 6 24" xfId="0"/>
    <cellStyle name="40% - 강조색5 6 25" xfId="0"/>
    <cellStyle name="40% - 강조색5 6 26" xfId="0"/>
    <cellStyle name="40% - 강조색5 6 27" xfId="0"/>
    <cellStyle name="40% - 강조색5 6 28" xfId="0"/>
    <cellStyle name="40% - 강조색5 6 29" xfId="0"/>
    <cellStyle name="40% - 강조색5 6 3" xfId="0"/>
    <cellStyle name="40% - 강조색5 6 30" xfId="0"/>
    <cellStyle name="40% - 강조색5 6 4" xfId="0"/>
    <cellStyle name="40% - 강조색5 6 5" xfId="0"/>
    <cellStyle name="40% - 강조색5 6 6" xfId="0"/>
    <cellStyle name="40% - 강조색5 6 7" xfId="0"/>
    <cellStyle name="40% - 강조색5 6 8" xfId="0"/>
    <cellStyle name="40% - 강조색5 6 9" xfId="0"/>
    <cellStyle name="40% - 강조색5 7" xfId="0"/>
    <cellStyle name="40% - 강조색5 7 10" xfId="0"/>
    <cellStyle name="40% - 강조색5 7 11" xfId="0"/>
    <cellStyle name="40% - 강조색5 7 12" xfId="0"/>
    <cellStyle name="40% - 강조색5 7 13" xfId="0"/>
    <cellStyle name="40% - 강조색5 7 14" xfId="0"/>
    <cellStyle name="40% - 강조색5 7 15" xfId="0"/>
    <cellStyle name="40% - 강조색5 7 2" xfId="0"/>
    <cellStyle name="40% - 강조색5 7 2 2" xfId="0"/>
    <cellStyle name="40% - 강조색5 7 3" xfId="0"/>
    <cellStyle name="40% - 강조색5 7 3 2" xfId="0"/>
    <cellStyle name="40% - 강조색5 7 4" xfId="0"/>
    <cellStyle name="40% - 강조색5 7 4 2" xfId="0"/>
    <cellStyle name="40% - 강조색5 7 5" xfId="0"/>
    <cellStyle name="40% - 강조색5 7 5 2" xfId="0"/>
    <cellStyle name="40% - 강조색5 7 6" xfId="0"/>
    <cellStyle name="40% - 강조색5 7 6 2" xfId="0"/>
    <cellStyle name="40% - 강조색5 7 7" xfId="0"/>
    <cellStyle name="40% - 강조색5 7 8" xfId="0"/>
    <cellStyle name="40% - 강조색5 7 9" xfId="0"/>
    <cellStyle name="40% - 강조색5 8" xfId="0"/>
    <cellStyle name="40% - 강조색5 8 10" xfId="0"/>
    <cellStyle name="40% - 강조색5 8 11" xfId="0"/>
    <cellStyle name="40% - 강조색5 8 12" xfId="0"/>
    <cellStyle name="40% - 강조색5 8 13" xfId="0"/>
    <cellStyle name="40% - 강조색5 8 14" xfId="0"/>
    <cellStyle name="40% - 강조색5 8 2" xfId="0"/>
    <cellStyle name="40% - 강조색5 8 2 2" xfId="0"/>
    <cellStyle name="40% - 강조색5 8 3" xfId="0"/>
    <cellStyle name="40% - 강조색5 8 3 2" xfId="0"/>
    <cellStyle name="40% - 강조색5 8 4" xfId="0"/>
    <cellStyle name="40% - 강조색5 8 4 2" xfId="0"/>
    <cellStyle name="40% - 강조색5 8 5" xfId="0"/>
    <cellStyle name="40% - 강조색5 8 5 2" xfId="0"/>
    <cellStyle name="40% - 강조색5 8 6" xfId="0"/>
    <cellStyle name="40% - 강조색5 8 6 2" xfId="0"/>
    <cellStyle name="40% - 강조색5 8 7" xfId="0"/>
    <cellStyle name="40% - 강조색5 8 8" xfId="0"/>
    <cellStyle name="40% - 강조색5 8 9" xfId="0"/>
    <cellStyle name="40% - 강조색5 9" xfId="0"/>
    <cellStyle name="40% - 강조색5 9 10" xfId="0"/>
    <cellStyle name="40% - 강조색5 9 11" xfId="0"/>
    <cellStyle name="40% - 강조색5 9 12" xfId="0"/>
    <cellStyle name="40% - 강조색5 9 13" xfId="0"/>
    <cellStyle name="40% - 강조색5 9 14" xfId="0"/>
    <cellStyle name="40% - 강조색5 9 2" xfId="0"/>
    <cellStyle name="40% - 강조색5 9 2 2" xfId="0"/>
    <cellStyle name="40% - 강조색5 9 3" xfId="0"/>
    <cellStyle name="40% - 강조색5 9 3 2" xfId="0"/>
    <cellStyle name="40% - 강조색5 9 4" xfId="0"/>
    <cellStyle name="40% - 강조색5 9 4 2" xfId="0"/>
    <cellStyle name="40% - 강조색5 9 5" xfId="0"/>
    <cellStyle name="40% - 강조색5 9 5 2" xfId="0"/>
    <cellStyle name="40% - 강조색5 9 6" xfId="0"/>
    <cellStyle name="40% - 강조색5 9 6 2" xfId="0"/>
    <cellStyle name="40% - 강조색5 9 7" xfId="0"/>
    <cellStyle name="40% - 강조색5 9 8" xfId="0"/>
    <cellStyle name="40% - 강조색5 9 9" xfId="0"/>
    <cellStyle name="40% - 강조색6 10" xfId="0"/>
    <cellStyle name="40% - 강조색6 10 2" xfId="0"/>
    <cellStyle name="40% - 강조색6 10 2 2" xfId="0"/>
    <cellStyle name="40% - 강조색6 10 3" xfId="0"/>
    <cellStyle name="40% - 강조색6 10 3 2" xfId="0"/>
    <cellStyle name="40% - 강조색6 10 4" xfId="0"/>
    <cellStyle name="40% - 강조색6 10 4 2" xfId="0"/>
    <cellStyle name="40% - 강조색6 10 5" xfId="0"/>
    <cellStyle name="40% - 강조색6 10 6" xfId="0"/>
    <cellStyle name="40% - 강조색6 10 7" xfId="0"/>
    <cellStyle name="40% - 강조색6 11" xfId="0"/>
    <cellStyle name="40% - 강조색6 11 2" xfId="0"/>
    <cellStyle name="40% - 강조색6 11 2 2" xfId="0"/>
    <cellStyle name="40% - 강조색6 11 3" xfId="0"/>
    <cellStyle name="40% - 강조색6 11 3 2" xfId="0"/>
    <cellStyle name="40% - 강조색6 11 4" xfId="0"/>
    <cellStyle name="40% - 강조색6 11 4 2" xfId="0"/>
    <cellStyle name="40% - 강조색6 11 5" xfId="0"/>
    <cellStyle name="40% - 강조색6 11 6" xfId="0"/>
    <cellStyle name="40% - 강조색6 11 7" xfId="0"/>
    <cellStyle name="40% - 강조색6 12" xfId="0"/>
    <cellStyle name="40% - 강조색6 12 2" xfId="0"/>
    <cellStyle name="40% - 강조색6 12 3" xfId="0"/>
    <cellStyle name="40% - 강조색6 12 4" xfId="0"/>
    <cellStyle name="40% - 강조색6 13" xfId="0"/>
    <cellStyle name="40% - 강조색6 13 2" xfId="0"/>
    <cellStyle name="40% - 강조색6 13 3" xfId="0"/>
    <cellStyle name="40% - 강조색6 13 4" xfId="0"/>
    <cellStyle name="40% - 강조색6 14" xfId="0"/>
    <cellStyle name="40% - 강조색6 14 2" xfId="0"/>
    <cellStyle name="40% - 강조색6 15" xfId="0"/>
    <cellStyle name="40% - 강조색6 15 2" xfId="0"/>
    <cellStyle name="40% - 강조색6 16" xfId="0"/>
    <cellStyle name="40% - 강조색6 16 2" xfId="0"/>
    <cellStyle name="40% - 강조색6 17" xfId="0"/>
    <cellStyle name="40% - 강조색6 17 2" xfId="0"/>
    <cellStyle name="40% - 강조색6 18" xfId="0"/>
    <cellStyle name="40% - 강조색6 18 2" xfId="0"/>
    <cellStyle name="40% - 강조색6 19" xfId="0"/>
    <cellStyle name="40% - 강조색6 19 2" xfId="0"/>
    <cellStyle name="40% - 강조색6 19 3" xfId="0"/>
    <cellStyle name="40% - 강조색6 2" xfId="0"/>
    <cellStyle name="40% - 강조색6 2 10" xfId="0"/>
    <cellStyle name="40% - 강조색6 2 11" xfId="0"/>
    <cellStyle name="40% - 강조색6 2 12" xfId="0"/>
    <cellStyle name="40% - 강조색6 2 13" xfId="0"/>
    <cellStyle name="40% - 강조색6 2 2" xfId="0"/>
    <cellStyle name="40% - 강조색6 2 2 10" xfId="0"/>
    <cellStyle name="40% - 강조색6 2 2 2" xfId="0"/>
    <cellStyle name="40% - 강조색6 2 2 3" xfId="0"/>
    <cellStyle name="40% - 강조색6 2 2 4" xfId="0"/>
    <cellStyle name="40% - 강조색6 2 2 5" xfId="0"/>
    <cellStyle name="40% - 강조색6 2 2 6" xfId="0"/>
    <cellStyle name="40% - 강조색6 2 2 7" xfId="0"/>
    <cellStyle name="40% - 강조색6 2 2 8" xfId="0"/>
    <cellStyle name="40% - 강조색6 2 2 9" xfId="0"/>
    <cellStyle name="40% - 강조색6 2 3" xfId="0"/>
    <cellStyle name="40% - 강조색6 2 3 10" xfId="0"/>
    <cellStyle name="40% - 강조색6 2 3 2" xfId="0"/>
    <cellStyle name="40% - 강조색6 2 3 3" xfId="0"/>
    <cellStyle name="40% - 강조색6 2 3 4" xfId="0"/>
    <cellStyle name="40% - 강조색6 2 3 5" xfId="0"/>
    <cellStyle name="40% - 강조색6 2 3 6" xfId="0"/>
    <cellStyle name="40% - 강조색6 2 3 7" xfId="0"/>
    <cellStyle name="40% - 강조색6 2 3 8" xfId="0"/>
    <cellStyle name="40% - 강조색6 2 3 9" xfId="0"/>
    <cellStyle name="40% - 강조색6 2 4" xfId="0"/>
    <cellStyle name="40% - 강조색6 2 4 10" xfId="0"/>
    <cellStyle name="40% - 강조색6 2 4 2" xfId="0"/>
    <cellStyle name="40% - 강조색6 2 4 3" xfId="0"/>
    <cellStyle name="40% - 강조색6 2 4 4" xfId="0"/>
    <cellStyle name="40% - 강조색6 2 4 5" xfId="0"/>
    <cellStyle name="40% - 강조색6 2 4 6" xfId="0"/>
    <cellStyle name="40% - 강조색6 2 4 7" xfId="0"/>
    <cellStyle name="40% - 강조색6 2 4 8" xfId="0"/>
    <cellStyle name="40% - 강조색6 2 4 9" xfId="0"/>
    <cellStyle name="40% - 강조색6 2 5" xfId="0"/>
    <cellStyle name="40% - 강조색6 2 5 10" xfId="0"/>
    <cellStyle name="40% - 강조색6 2 5 2" xfId="0"/>
    <cellStyle name="40% - 강조색6 2 5 3" xfId="0"/>
    <cellStyle name="40% - 강조색6 2 5 4" xfId="0"/>
    <cellStyle name="40% - 강조색6 2 5 5" xfId="0"/>
    <cellStyle name="40% - 강조색6 2 5 6" xfId="0"/>
    <cellStyle name="40% - 강조색6 2 5 7" xfId="0"/>
    <cellStyle name="40% - 강조색6 2 5 8" xfId="0"/>
    <cellStyle name="40% - 강조색6 2 5 9" xfId="0"/>
    <cellStyle name="40% - 강조색6 2 6" xfId="0"/>
    <cellStyle name="40% - 강조색6 2 6 10" xfId="0"/>
    <cellStyle name="40% - 강조색6 2 6 2" xfId="0"/>
    <cellStyle name="40% - 강조색6 2 6 3" xfId="0"/>
    <cellStyle name="40% - 강조색6 2 6 4" xfId="0"/>
    <cellStyle name="40% - 강조색6 2 6 5" xfId="0"/>
    <cellStyle name="40% - 강조색6 2 6 6" xfId="0"/>
    <cellStyle name="40% - 강조색6 2 6 7" xfId="0"/>
    <cellStyle name="40% - 강조색6 2 6 8" xfId="0"/>
    <cellStyle name="40% - 강조색6 2 6 9" xfId="0"/>
    <cellStyle name="40% - 강조색6 2 7" xfId="0"/>
    <cellStyle name="40% - 강조색6 2 7 10" xfId="0"/>
    <cellStyle name="40% - 강조색6 2 7 2" xfId="0"/>
    <cellStyle name="40% - 강조색6 2 7 3" xfId="0"/>
    <cellStyle name="40% - 강조색6 2 7 4" xfId="0"/>
    <cellStyle name="40% - 강조색6 2 7 5" xfId="0"/>
    <cellStyle name="40% - 강조색6 2 7 6" xfId="0"/>
    <cellStyle name="40% - 강조색6 2 7 7" xfId="0"/>
    <cellStyle name="40% - 강조색6 2 7 8" xfId="0"/>
    <cellStyle name="40% - 강조색6 2 7 9" xfId="0"/>
    <cellStyle name="40% - 강조색6 2 8" xfId="0"/>
    <cellStyle name="40% - 강조색6 2 8 2" xfId="0"/>
    <cellStyle name="40% - 강조색6 2 9" xfId="0"/>
    <cellStyle name="40% - 강조색6 20" xfId="0"/>
    <cellStyle name="40% - 강조색6 21" xfId="0"/>
    <cellStyle name="40% - 강조색6 22" xfId="0"/>
    <cellStyle name="40% - 강조색6 23" xfId="0"/>
    <cellStyle name="40% - 강조색6 24" xfId="0"/>
    <cellStyle name="40% - 강조색6 25" xfId="0"/>
    <cellStyle name="40% - 강조색6 26" xfId="0"/>
    <cellStyle name="40% - 강조색6 27" xfId="0"/>
    <cellStyle name="40% - 강조색6 2_3300현금및예치금" xfId="0"/>
    <cellStyle name="40% - 강조색6 3" xfId="0"/>
    <cellStyle name="40% - 강조색6 3 10" xfId="0"/>
    <cellStyle name="40% - 강조색6 3 10 2" xfId="0"/>
    <cellStyle name="40% - 강조색6 3 11" xfId="0"/>
    <cellStyle name="40% - 강조색6 3 11 2" xfId="0"/>
    <cellStyle name="40% - 강조색6 3 12" xfId="0"/>
    <cellStyle name="40% - 강조색6 3 12 2" xfId="0"/>
    <cellStyle name="40% - 강조색6 3 13" xfId="0"/>
    <cellStyle name="40% - 강조색6 3 14" xfId="0"/>
    <cellStyle name="40% - 강조색6 3 15" xfId="0"/>
    <cellStyle name="40% - 강조색6 3 16" xfId="0"/>
    <cellStyle name="40% - 강조색6 3 17" xfId="0"/>
    <cellStyle name="40% - 강조색6 3 18" xfId="0"/>
    <cellStyle name="40% - 강조색6 3 19" xfId="0"/>
    <cellStyle name="40% - 강조색6 3 2" xfId="0"/>
    <cellStyle name="40% - 강조색6 3 2 2" xfId="0"/>
    <cellStyle name="40% - 강조색6 3 2 3" xfId="0"/>
    <cellStyle name="40% - 강조색6 3 20" xfId="0"/>
    <cellStyle name="40% - 강조색6 3 3" xfId="0"/>
    <cellStyle name="40% - 강조색6 3 3 2" xfId="0"/>
    <cellStyle name="40% - 강조색6 3 3 3" xfId="0"/>
    <cellStyle name="40% - 강조색6 3 4" xfId="0"/>
    <cellStyle name="40% - 강조색6 3 4 2" xfId="0"/>
    <cellStyle name="40% - 강조색6 3 4 3" xfId="0"/>
    <cellStyle name="40% - 강조색6 3 5" xfId="0"/>
    <cellStyle name="40% - 강조색6 3 5 2" xfId="0"/>
    <cellStyle name="40% - 강조색6 3 5 3" xfId="0"/>
    <cellStyle name="40% - 강조색6 3 6" xfId="0"/>
    <cellStyle name="40% - 강조색6 3 6 2" xfId="0"/>
    <cellStyle name="40% - 강조색6 3 6 3" xfId="0"/>
    <cellStyle name="40% - 강조색6 3 7" xfId="0"/>
    <cellStyle name="40% - 강조색6 3 7 2" xfId="0"/>
    <cellStyle name="40% - 강조색6 3 7 3" xfId="0"/>
    <cellStyle name="40% - 강조색6 3 8" xfId="0"/>
    <cellStyle name="40% - 강조색6 3 8 2" xfId="0"/>
    <cellStyle name="40% - 강조색6 3 8 3" xfId="0"/>
    <cellStyle name="40% - 강조색6 3 9" xfId="0"/>
    <cellStyle name="40% - 강조색6 3 9 2" xfId="0"/>
    <cellStyle name="40% - 강조색6 3_운용자산별 손익분석" xfId="0"/>
    <cellStyle name="40% - 강조색6 4" xfId="0"/>
    <cellStyle name="40% - 강조색6 4 10" xfId="0"/>
    <cellStyle name="40% - 강조색6 4 11" xfId="0"/>
    <cellStyle name="40% - 강조색6 4 12" xfId="0"/>
    <cellStyle name="40% - 강조색6 4 13" xfId="0"/>
    <cellStyle name="40% - 강조색6 4 2" xfId="0"/>
    <cellStyle name="40% - 강조색6 4 3" xfId="0"/>
    <cellStyle name="40% - 강조색6 4 4" xfId="0"/>
    <cellStyle name="40% - 강조색6 4 5" xfId="0"/>
    <cellStyle name="40% - 강조색6 4 6" xfId="0"/>
    <cellStyle name="40% - 강조색6 4 7" xfId="0"/>
    <cellStyle name="40% - 강조색6 4 8" xfId="0"/>
    <cellStyle name="40% - 강조색6 4 9" xfId="0"/>
    <cellStyle name="40% - 강조색6 4_운용자산별 손익분석" xfId="0"/>
    <cellStyle name="40% - 강조색6 5" xfId="0"/>
    <cellStyle name="40% - 강조색6 5 10" xfId="0"/>
    <cellStyle name="40% - 강조색6 5 11" xfId="0"/>
    <cellStyle name="40% - 강조색6 5 12" xfId="0"/>
    <cellStyle name="40% - 강조색6 5 13" xfId="0"/>
    <cellStyle name="40% - 강조색6 5 14" xfId="0"/>
    <cellStyle name="40% - 강조색6 5 15" xfId="0"/>
    <cellStyle name="40% - 강조색6 5 16" xfId="0"/>
    <cellStyle name="40% - 강조색6 5 17" xfId="0"/>
    <cellStyle name="40% - 강조색6 5 18" xfId="0"/>
    <cellStyle name="40% - 강조색6 5 19" xfId="0"/>
    <cellStyle name="40% - 강조색6 5 2" xfId="0"/>
    <cellStyle name="40% - 강조색6 5 20" xfId="0"/>
    <cellStyle name="40% - 강조색6 5 21" xfId="0"/>
    <cellStyle name="40% - 강조색6 5 22" xfId="0"/>
    <cellStyle name="40% - 강조색6 5 23" xfId="0"/>
    <cellStyle name="40% - 강조색6 5 24" xfId="0"/>
    <cellStyle name="40% - 강조색6 5 25" xfId="0"/>
    <cellStyle name="40% - 강조색6 5 26" xfId="0"/>
    <cellStyle name="40% - 강조색6 5 27" xfId="0"/>
    <cellStyle name="40% - 강조색6 5 28" xfId="0"/>
    <cellStyle name="40% - 강조색6 5 29" xfId="0"/>
    <cellStyle name="40% - 강조색6 5 3" xfId="0"/>
    <cellStyle name="40% - 강조색6 5 30" xfId="0"/>
    <cellStyle name="40% - 강조색6 5 31" xfId="0"/>
    <cellStyle name="40% - 강조색6 5 32" xfId="0"/>
    <cellStyle name="40% - 강조색6 5 33" xfId="0"/>
    <cellStyle name="40% - 강조색6 5 34" xfId="0"/>
    <cellStyle name="40% - 강조색6 5 4" xfId="0"/>
    <cellStyle name="40% - 강조색6 5 5" xfId="0"/>
    <cellStyle name="40% - 강조색6 5 6" xfId="0"/>
    <cellStyle name="40% - 강조색6 5 7" xfId="0"/>
    <cellStyle name="40% - 강조색6 5 8" xfId="0"/>
    <cellStyle name="40% - 강조색6 5 9" xfId="0"/>
    <cellStyle name="40% - 강조색6 6" xfId="0"/>
    <cellStyle name="40% - 강조색6 6 10" xfId="0"/>
    <cellStyle name="40% - 강조색6 6 11" xfId="0"/>
    <cellStyle name="40% - 강조색6 6 12" xfId="0"/>
    <cellStyle name="40% - 강조색6 6 13" xfId="0"/>
    <cellStyle name="40% - 강조색6 6 14" xfId="0"/>
    <cellStyle name="40% - 강조색6 6 15" xfId="0"/>
    <cellStyle name="40% - 강조색6 6 16" xfId="0"/>
    <cellStyle name="40% - 강조색6 6 17" xfId="0"/>
    <cellStyle name="40% - 강조색6 6 18" xfId="0"/>
    <cellStyle name="40% - 강조색6 6 19" xfId="0"/>
    <cellStyle name="40% - 강조색6 6 2" xfId="0"/>
    <cellStyle name="40% - 강조색6 6 20" xfId="0"/>
    <cellStyle name="40% - 강조색6 6 21" xfId="0"/>
    <cellStyle name="40% - 강조색6 6 22" xfId="0"/>
    <cellStyle name="40% - 강조색6 6 23" xfId="0"/>
    <cellStyle name="40% - 강조색6 6 24" xfId="0"/>
    <cellStyle name="40% - 강조색6 6 25" xfId="0"/>
    <cellStyle name="40% - 강조색6 6 26" xfId="0"/>
    <cellStyle name="40% - 강조색6 6 27" xfId="0"/>
    <cellStyle name="40% - 강조색6 6 28" xfId="0"/>
    <cellStyle name="40% - 강조색6 6 29" xfId="0"/>
    <cellStyle name="40% - 강조색6 6 3" xfId="0"/>
    <cellStyle name="40% - 강조색6 6 30" xfId="0"/>
    <cellStyle name="40% - 강조색6 6 4" xfId="0"/>
    <cellStyle name="40% - 강조색6 6 5" xfId="0"/>
    <cellStyle name="40% - 강조색6 6 6" xfId="0"/>
    <cellStyle name="40% - 강조색6 6 7" xfId="0"/>
    <cellStyle name="40% - 강조색6 6 8" xfId="0"/>
    <cellStyle name="40% - 강조색6 6 9" xfId="0"/>
    <cellStyle name="40% - 강조색6 7" xfId="0"/>
    <cellStyle name="40% - 강조색6 7 10" xfId="0"/>
    <cellStyle name="40% - 강조색6 7 11" xfId="0"/>
    <cellStyle name="40% - 강조색6 7 12" xfId="0"/>
    <cellStyle name="40% - 강조색6 7 13" xfId="0"/>
    <cellStyle name="40% - 강조색6 7 14" xfId="0"/>
    <cellStyle name="40% - 강조색6 7 15" xfId="0"/>
    <cellStyle name="40% - 강조색6 7 2" xfId="0"/>
    <cellStyle name="40% - 강조색6 7 2 2" xfId="0"/>
    <cellStyle name="40% - 강조색6 7 3" xfId="0"/>
    <cellStyle name="40% - 강조색6 7 3 2" xfId="0"/>
    <cellStyle name="40% - 강조색6 7 4" xfId="0"/>
    <cellStyle name="40% - 강조색6 7 4 2" xfId="0"/>
    <cellStyle name="40% - 강조색6 7 5" xfId="0"/>
    <cellStyle name="40% - 강조색6 7 5 2" xfId="0"/>
    <cellStyle name="40% - 강조색6 7 6" xfId="0"/>
    <cellStyle name="40% - 강조색6 7 6 2" xfId="0"/>
    <cellStyle name="40% - 강조색6 7 7" xfId="0"/>
    <cellStyle name="40% - 강조색6 7 8" xfId="0"/>
    <cellStyle name="40% - 강조색6 7 9" xfId="0"/>
    <cellStyle name="40% - 강조색6 8" xfId="0"/>
    <cellStyle name="40% - 강조색6 8 10" xfId="0"/>
    <cellStyle name="40% - 강조색6 8 11" xfId="0"/>
    <cellStyle name="40% - 강조색6 8 12" xfId="0"/>
    <cellStyle name="40% - 강조색6 8 13" xfId="0"/>
    <cellStyle name="40% - 강조색6 8 14" xfId="0"/>
    <cellStyle name="40% - 강조색6 8 2" xfId="0"/>
    <cellStyle name="40% - 강조색6 8 2 2" xfId="0"/>
    <cellStyle name="40% - 강조색6 8 3" xfId="0"/>
    <cellStyle name="40% - 강조색6 8 3 2" xfId="0"/>
    <cellStyle name="40% - 강조색6 8 4" xfId="0"/>
    <cellStyle name="40% - 강조색6 8 4 2" xfId="0"/>
    <cellStyle name="40% - 강조색6 8 5" xfId="0"/>
    <cellStyle name="40% - 강조색6 8 5 2" xfId="0"/>
    <cellStyle name="40% - 강조색6 8 6" xfId="0"/>
    <cellStyle name="40% - 강조색6 8 6 2" xfId="0"/>
    <cellStyle name="40% - 강조색6 8 7" xfId="0"/>
    <cellStyle name="40% - 강조색6 8 8" xfId="0"/>
    <cellStyle name="40% - 강조색6 8 9" xfId="0"/>
    <cellStyle name="40% - 강조색6 9" xfId="0"/>
    <cellStyle name="40% - 강조색6 9 10" xfId="0"/>
    <cellStyle name="40% - 강조색6 9 11" xfId="0"/>
    <cellStyle name="40% - 강조색6 9 12" xfId="0"/>
    <cellStyle name="40% - 강조색6 9 13" xfId="0"/>
    <cellStyle name="40% - 강조색6 9 14" xfId="0"/>
    <cellStyle name="40% - 강조색6 9 2" xfId="0"/>
    <cellStyle name="40% - 강조색6 9 2 2" xfId="0"/>
    <cellStyle name="40% - 강조색6 9 3" xfId="0"/>
    <cellStyle name="40% - 강조색6 9 3 2" xfId="0"/>
    <cellStyle name="40% - 강조색6 9 4" xfId="0"/>
    <cellStyle name="40% - 강조색6 9 4 2" xfId="0"/>
    <cellStyle name="40% - 강조색6 9 5" xfId="0"/>
    <cellStyle name="40% - 강조색6 9 5 2" xfId="0"/>
    <cellStyle name="40% - 강조색6 9 6" xfId="0"/>
    <cellStyle name="40% - 강조색6 9 6 2" xfId="0"/>
    <cellStyle name="40% - 강조색6 9 7" xfId="0"/>
    <cellStyle name="40% - 강조색6 9 8" xfId="0"/>
    <cellStyle name="40% - 강조색6 9 9" xfId="0"/>
    <cellStyle name="60" xfId="0"/>
    <cellStyle name="60% - Accent1" xfId="0"/>
    <cellStyle name="60% - Accent1 2" xfId="0"/>
    <cellStyle name="60% - Accent1 3" xfId="0"/>
    <cellStyle name="60% - Accent1 4" xfId="0"/>
    <cellStyle name="60% - Accent1 5" xfId="0"/>
    <cellStyle name="60% - Accent2" xfId="0"/>
    <cellStyle name="60% - Accent2 2" xfId="0"/>
    <cellStyle name="60% - Accent2 3" xfId="0"/>
    <cellStyle name="60% - Accent2 4" xfId="0"/>
    <cellStyle name="60% - Accent2 5" xfId="0"/>
    <cellStyle name="60% - Accent3" xfId="0"/>
    <cellStyle name="60% - Accent3 2" xfId="0"/>
    <cellStyle name="60% - Accent3 3" xfId="0"/>
    <cellStyle name="60% - Accent3 4" xfId="0"/>
    <cellStyle name="60% - Accent3 5" xfId="0"/>
    <cellStyle name="60% - Accent4" xfId="0"/>
    <cellStyle name="60% - Accent4 2" xfId="0"/>
    <cellStyle name="60% - Accent4 3" xfId="0"/>
    <cellStyle name="60% - Accent4 4" xfId="0"/>
    <cellStyle name="60% - Accent4 5" xfId="0"/>
    <cellStyle name="60% - Accent5" xfId="0"/>
    <cellStyle name="60% - Accent5 2" xfId="0"/>
    <cellStyle name="60% - Accent5 3" xfId="0"/>
    <cellStyle name="60% - Accent5 4" xfId="0"/>
    <cellStyle name="60% - Accent5 5" xfId="0"/>
    <cellStyle name="60% - Accent6" xfId="0"/>
    <cellStyle name="60% - Accent6 2" xfId="0"/>
    <cellStyle name="60% - Accent6 3" xfId="0"/>
    <cellStyle name="60% - Accent6 4" xfId="0"/>
    <cellStyle name="60% - Accent6 5" xfId="0"/>
    <cellStyle name="60% - 강조색1 10" xfId="0"/>
    <cellStyle name="60% - 강조색1 10 2" xfId="0"/>
    <cellStyle name="60% - 강조색1 10 2 2" xfId="0"/>
    <cellStyle name="60% - 강조색1 10 3" xfId="0"/>
    <cellStyle name="60% - 강조색1 10 3 2" xfId="0"/>
    <cellStyle name="60% - 강조색1 10 4" xfId="0"/>
    <cellStyle name="60% - 강조색1 10 4 2" xfId="0"/>
    <cellStyle name="60% - 강조색1 10 5" xfId="0"/>
    <cellStyle name="60% - 강조색1 10 6" xfId="0"/>
    <cellStyle name="60% - 강조색1 10 7" xfId="0"/>
    <cellStyle name="60% - 강조색1 11" xfId="0"/>
    <cellStyle name="60% - 강조색1 11 2" xfId="0"/>
    <cellStyle name="60% - 강조색1 11 2 2" xfId="0"/>
    <cellStyle name="60% - 강조색1 11 3" xfId="0"/>
    <cellStyle name="60% - 강조색1 11 3 2" xfId="0"/>
    <cellStyle name="60% - 강조색1 11 4" xfId="0"/>
    <cellStyle name="60% - 강조색1 11 4 2" xfId="0"/>
    <cellStyle name="60% - 강조색1 11 5" xfId="0"/>
    <cellStyle name="60% - 강조색1 11 6" xfId="0"/>
    <cellStyle name="60% - 강조색1 11 7" xfId="0"/>
    <cellStyle name="60% - 강조색1 12" xfId="0"/>
    <cellStyle name="60% - 강조색1 12 2" xfId="0"/>
    <cellStyle name="60% - 강조색1 12 3" xfId="0"/>
    <cellStyle name="60% - 강조색1 12 4" xfId="0"/>
    <cellStyle name="60% - 강조색1 12 5" xfId="0"/>
    <cellStyle name="60% - 강조색1 13" xfId="0"/>
    <cellStyle name="60% - 강조색1 13 2" xfId="0"/>
    <cellStyle name="60% - 강조색1 13 3" xfId="0"/>
    <cellStyle name="60% - 강조색1 13 4" xfId="0"/>
    <cellStyle name="60% - 강조색1 13 5" xfId="0"/>
    <cellStyle name="60% - 강조색1 14" xfId="0"/>
    <cellStyle name="60% - 강조색1 14 2" xfId="0"/>
    <cellStyle name="60% - 강조색1 15" xfId="0"/>
    <cellStyle name="60% - 강조색1 15 2" xfId="0"/>
    <cellStyle name="60% - 강조색1 16" xfId="0"/>
    <cellStyle name="60% - 강조색1 16 2" xfId="0"/>
    <cellStyle name="60% - 강조색1 17" xfId="0"/>
    <cellStyle name="60% - 강조색1 17 2" xfId="0"/>
    <cellStyle name="60% - 강조색1 18" xfId="0"/>
    <cellStyle name="60% - 강조색1 19" xfId="0"/>
    <cellStyle name="60% - 강조색1 2" xfId="0"/>
    <cellStyle name="60% - 강조색1 2 10" xfId="0"/>
    <cellStyle name="60% - 강조색1 2 11" xfId="0"/>
    <cellStyle name="60% - 강조색1 2 12" xfId="0"/>
    <cellStyle name="60% - 강조색1 2 13" xfId="0"/>
    <cellStyle name="60% - 강조색1 2 2" xfId="0"/>
    <cellStyle name="60% - 강조색1 2 2 10" xfId="0"/>
    <cellStyle name="60% - 강조색1 2 2 2" xfId="0"/>
    <cellStyle name="60% - 강조색1 2 2 3" xfId="0"/>
    <cellStyle name="60% - 강조색1 2 2 4" xfId="0"/>
    <cellStyle name="60% - 강조색1 2 2 5" xfId="0"/>
    <cellStyle name="60% - 강조색1 2 2 6" xfId="0"/>
    <cellStyle name="60% - 강조색1 2 2 7" xfId="0"/>
    <cellStyle name="60% - 강조색1 2 2 8" xfId="0"/>
    <cellStyle name="60% - 강조색1 2 2 9" xfId="0"/>
    <cellStyle name="60% - 강조색1 2 3" xfId="0"/>
    <cellStyle name="60% - 강조색1 2 3 10" xfId="0"/>
    <cellStyle name="60% - 강조색1 2 3 2" xfId="0"/>
    <cellStyle name="60% - 강조색1 2 3 3" xfId="0"/>
    <cellStyle name="60% - 강조색1 2 3 4" xfId="0"/>
    <cellStyle name="60% - 강조색1 2 3 5" xfId="0"/>
    <cellStyle name="60% - 강조색1 2 3 6" xfId="0"/>
    <cellStyle name="60% - 강조색1 2 3 7" xfId="0"/>
    <cellStyle name="60% - 강조색1 2 3 8" xfId="0"/>
    <cellStyle name="60% - 강조색1 2 3 9" xfId="0"/>
    <cellStyle name="60% - 강조색1 2 4" xfId="0"/>
    <cellStyle name="60% - 강조색1 2 4 10" xfId="0"/>
    <cellStyle name="60% - 강조색1 2 4 2" xfId="0"/>
    <cellStyle name="60% - 강조색1 2 4 3" xfId="0"/>
    <cellStyle name="60% - 강조색1 2 4 4" xfId="0"/>
    <cellStyle name="60% - 강조색1 2 4 5" xfId="0"/>
    <cellStyle name="60% - 강조색1 2 4 6" xfId="0"/>
    <cellStyle name="60% - 강조색1 2 4 7" xfId="0"/>
    <cellStyle name="60% - 강조색1 2 4 8" xfId="0"/>
    <cellStyle name="60% - 강조색1 2 4 9" xfId="0"/>
    <cellStyle name="60% - 강조색1 2 5" xfId="0"/>
    <cellStyle name="60% - 강조색1 2 5 10" xfId="0"/>
    <cellStyle name="60% - 강조색1 2 5 2" xfId="0"/>
    <cellStyle name="60% - 강조색1 2 5 3" xfId="0"/>
    <cellStyle name="60% - 강조색1 2 5 4" xfId="0"/>
    <cellStyle name="60% - 강조색1 2 5 5" xfId="0"/>
    <cellStyle name="60% - 강조색1 2 5 6" xfId="0"/>
    <cellStyle name="60% - 강조색1 2 5 7" xfId="0"/>
    <cellStyle name="60% - 강조색1 2 5 8" xfId="0"/>
    <cellStyle name="60% - 강조색1 2 5 9" xfId="0"/>
    <cellStyle name="60% - 강조색1 2 6" xfId="0"/>
    <cellStyle name="60% - 강조색1 2 6 10" xfId="0"/>
    <cellStyle name="60% - 강조색1 2 6 2" xfId="0"/>
    <cellStyle name="60% - 강조색1 2 6 3" xfId="0"/>
    <cellStyle name="60% - 강조색1 2 6 4" xfId="0"/>
    <cellStyle name="60% - 강조색1 2 6 5" xfId="0"/>
    <cellStyle name="60% - 강조색1 2 6 6" xfId="0"/>
    <cellStyle name="60% - 강조색1 2 6 7" xfId="0"/>
    <cellStyle name="60% - 강조색1 2 6 8" xfId="0"/>
    <cellStyle name="60% - 강조색1 2 6 9" xfId="0"/>
    <cellStyle name="60% - 강조색1 2 7" xfId="0"/>
    <cellStyle name="60% - 강조색1 2 7 10" xfId="0"/>
    <cellStyle name="60% - 강조색1 2 7 2" xfId="0"/>
    <cellStyle name="60% - 강조색1 2 7 3" xfId="0"/>
    <cellStyle name="60% - 강조색1 2 7 4" xfId="0"/>
    <cellStyle name="60% - 강조색1 2 7 5" xfId="0"/>
    <cellStyle name="60% - 강조색1 2 7 6" xfId="0"/>
    <cellStyle name="60% - 강조색1 2 7 7" xfId="0"/>
    <cellStyle name="60% - 강조색1 2 7 8" xfId="0"/>
    <cellStyle name="60% - 강조색1 2 7 9" xfId="0"/>
    <cellStyle name="60% - 강조색1 2 8" xfId="0"/>
    <cellStyle name="60% - 강조색1 2 8 2" xfId="0"/>
    <cellStyle name="60% - 강조색1 2 9" xfId="0"/>
    <cellStyle name="60% - 강조색1 20" xfId="0"/>
    <cellStyle name="60% - 강조색1 21" xfId="0"/>
    <cellStyle name="60% - 강조색1 22" xfId="0"/>
    <cellStyle name="60% - 강조색1 23" xfId="0"/>
    <cellStyle name="60% - 강조색1 24" xfId="0"/>
    <cellStyle name="60% - 강조색1 25" xfId="0"/>
    <cellStyle name="60% - 강조색1 26" xfId="0"/>
    <cellStyle name="60% - 강조색1 27" xfId="0"/>
    <cellStyle name="60% - 강조색1 2_3300현금및예치금" xfId="0"/>
    <cellStyle name="60% - 강조색1 3" xfId="0"/>
    <cellStyle name="60% - 강조색1 3 10" xfId="0"/>
    <cellStyle name="60% - 강조색1 3 10 2" xfId="0"/>
    <cellStyle name="60% - 강조색1 3 11" xfId="0"/>
    <cellStyle name="60% - 강조색1 3 11 2" xfId="0"/>
    <cellStyle name="60% - 강조색1 3 12" xfId="0"/>
    <cellStyle name="60% - 강조색1 3 12 2" xfId="0"/>
    <cellStyle name="60% - 강조색1 3 13" xfId="0"/>
    <cellStyle name="60% - 강조색1 3 14" xfId="0"/>
    <cellStyle name="60% - 강조색1 3 15" xfId="0"/>
    <cellStyle name="60% - 강조색1 3 16" xfId="0"/>
    <cellStyle name="60% - 강조색1 3 17" xfId="0"/>
    <cellStyle name="60% - 강조색1 3 18" xfId="0"/>
    <cellStyle name="60% - 강조색1 3 19" xfId="0"/>
    <cellStyle name="60% - 강조색1 3 2" xfId="0"/>
    <cellStyle name="60% - 강조색1 3 2 2" xfId="0"/>
    <cellStyle name="60% - 강조색1 3 2 3" xfId="0"/>
    <cellStyle name="60% - 강조색1 3 20" xfId="0"/>
    <cellStyle name="60% - 강조색1 3 3" xfId="0"/>
    <cellStyle name="60% - 강조색1 3 3 2" xfId="0"/>
    <cellStyle name="60% - 강조색1 3 3 3" xfId="0"/>
    <cellStyle name="60% - 강조색1 3 4" xfId="0"/>
    <cellStyle name="60% - 강조색1 3 4 2" xfId="0"/>
    <cellStyle name="60% - 강조색1 3 4 3" xfId="0"/>
    <cellStyle name="60% - 강조색1 3 5" xfId="0"/>
    <cellStyle name="60% - 강조색1 3 5 2" xfId="0"/>
    <cellStyle name="60% - 강조색1 3 5 3" xfId="0"/>
    <cellStyle name="60% - 강조색1 3 6" xfId="0"/>
    <cellStyle name="60% - 강조색1 3 6 2" xfId="0"/>
    <cellStyle name="60% - 강조색1 3 6 3" xfId="0"/>
    <cellStyle name="60% - 강조색1 3 7" xfId="0"/>
    <cellStyle name="60% - 강조색1 3 7 2" xfId="0"/>
    <cellStyle name="60% - 강조색1 3 7 3" xfId="0"/>
    <cellStyle name="60% - 강조색1 3 8" xfId="0"/>
    <cellStyle name="60% - 강조색1 3 8 2" xfId="0"/>
    <cellStyle name="60% - 강조색1 3 8 3" xfId="0"/>
    <cellStyle name="60% - 강조색1 3 9" xfId="0"/>
    <cellStyle name="60% - 강조색1 3 9 2" xfId="0"/>
    <cellStyle name="60% - 강조색1 3_운용자산별 손익분석" xfId="0"/>
    <cellStyle name="60% - 강조색1 4" xfId="0"/>
    <cellStyle name="60% - 강조색1 4 10" xfId="0"/>
    <cellStyle name="60% - 강조색1 4 11" xfId="0"/>
    <cellStyle name="60% - 강조색1 4 12" xfId="0"/>
    <cellStyle name="60% - 강조색1 4 13" xfId="0"/>
    <cellStyle name="60% - 강조색1 4 2" xfId="0"/>
    <cellStyle name="60% - 강조색1 4 3" xfId="0"/>
    <cellStyle name="60% - 강조색1 4 4" xfId="0"/>
    <cellStyle name="60% - 강조색1 4 5" xfId="0"/>
    <cellStyle name="60% - 강조색1 4 6" xfId="0"/>
    <cellStyle name="60% - 강조색1 4 7" xfId="0"/>
    <cellStyle name="60% - 강조색1 4 8" xfId="0"/>
    <cellStyle name="60% - 강조색1 4 9" xfId="0"/>
    <cellStyle name="60% - 강조색1 4_운용자산별 손익분석" xfId="0"/>
    <cellStyle name="60% - 강조색1 5" xfId="0"/>
    <cellStyle name="60% - 강조색1 5 10" xfId="0"/>
    <cellStyle name="60% - 강조색1 5 11" xfId="0"/>
    <cellStyle name="60% - 강조색1 5 12" xfId="0"/>
    <cellStyle name="60% - 강조색1 5 13" xfId="0"/>
    <cellStyle name="60% - 강조색1 5 14" xfId="0"/>
    <cellStyle name="60% - 강조색1 5 15" xfId="0"/>
    <cellStyle name="60% - 강조색1 5 16" xfId="0"/>
    <cellStyle name="60% - 강조색1 5 17" xfId="0"/>
    <cellStyle name="60% - 강조색1 5 18" xfId="0"/>
    <cellStyle name="60% - 강조색1 5 19" xfId="0"/>
    <cellStyle name="60% - 강조색1 5 2" xfId="0"/>
    <cellStyle name="60% - 강조색1 5 20" xfId="0"/>
    <cellStyle name="60% - 강조색1 5 21" xfId="0"/>
    <cellStyle name="60% - 강조색1 5 22" xfId="0"/>
    <cellStyle name="60% - 강조색1 5 23" xfId="0"/>
    <cellStyle name="60% - 강조색1 5 24" xfId="0"/>
    <cellStyle name="60% - 강조색1 5 25" xfId="0"/>
    <cellStyle name="60% - 강조색1 5 26" xfId="0"/>
    <cellStyle name="60% - 강조색1 5 27" xfId="0"/>
    <cellStyle name="60% - 강조색1 5 28" xfId="0"/>
    <cellStyle name="60% - 강조색1 5 29" xfId="0"/>
    <cellStyle name="60% - 강조색1 5 3" xfId="0"/>
    <cellStyle name="60% - 강조색1 5 30" xfId="0"/>
    <cellStyle name="60% - 강조색1 5 31" xfId="0"/>
    <cellStyle name="60% - 강조색1 5 32" xfId="0"/>
    <cellStyle name="60% - 강조색1 5 33" xfId="0"/>
    <cellStyle name="60% - 강조색1 5 34" xfId="0"/>
    <cellStyle name="60% - 강조색1 5 4" xfId="0"/>
    <cellStyle name="60% - 강조색1 5 5" xfId="0"/>
    <cellStyle name="60% - 강조색1 5 6" xfId="0"/>
    <cellStyle name="60% - 강조색1 5 7" xfId="0"/>
    <cellStyle name="60% - 강조색1 5 8" xfId="0"/>
    <cellStyle name="60% - 강조색1 5 9" xfId="0"/>
    <cellStyle name="60% - 강조색1 6" xfId="0"/>
    <cellStyle name="60% - 강조색1 6 10" xfId="0"/>
    <cellStyle name="60% - 강조색1 6 11" xfId="0"/>
    <cellStyle name="60% - 강조색1 6 12" xfId="0"/>
    <cellStyle name="60% - 강조색1 6 13" xfId="0"/>
    <cellStyle name="60% - 강조색1 6 14" xfId="0"/>
    <cellStyle name="60% - 강조색1 6 15" xfId="0"/>
    <cellStyle name="60% - 강조색1 6 16" xfId="0"/>
    <cellStyle name="60% - 강조색1 6 17" xfId="0"/>
    <cellStyle name="60% - 강조색1 6 18" xfId="0"/>
    <cellStyle name="60% - 강조색1 6 19" xfId="0"/>
    <cellStyle name="60% - 강조색1 6 2" xfId="0"/>
    <cellStyle name="60% - 강조색1 6 20" xfId="0"/>
    <cellStyle name="60% - 강조색1 6 21" xfId="0"/>
    <cellStyle name="60% - 강조색1 6 22" xfId="0"/>
    <cellStyle name="60% - 강조색1 6 23" xfId="0"/>
    <cellStyle name="60% - 강조색1 6 24" xfId="0"/>
    <cellStyle name="60% - 강조색1 6 25" xfId="0"/>
    <cellStyle name="60% - 강조색1 6 26" xfId="0"/>
    <cellStyle name="60% - 강조색1 6 27" xfId="0"/>
    <cellStyle name="60% - 강조색1 6 28" xfId="0"/>
    <cellStyle name="60% - 강조색1 6 29" xfId="0"/>
    <cellStyle name="60% - 강조색1 6 3" xfId="0"/>
    <cellStyle name="60% - 강조색1 6 30" xfId="0"/>
    <cellStyle name="60% - 강조색1 6 4" xfId="0"/>
    <cellStyle name="60% - 강조색1 6 5" xfId="0"/>
    <cellStyle name="60% - 강조색1 6 6" xfId="0"/>
    <cellStyle name="60% - 강조색1 6 7" xfId="0"/>
    <cellStyle name="60% - 강조색1 6 8" xfId="0"/>
    <cellStyle name="60% - 강조색1 6 9" xfId="0"/>
    <cellStyle name="60% - 강조색1 7" xfId="0"/>
    <cellStyle name="60% - 강조색1 7 10" xfId="0"/>
    <cellStyle name="60% - 강조색1 7 11" xfId="0"/>
    <cellStyle name="60% - 강조색1 7 12" xfId="0"/>
    <cellStyle name="60% - 강조색1 7 13" xfId="0"/>
    <cellStyle name="60% - 강조색1 7 14" xfId="0"/>
    <cellStyle name="60% - 강조색1 7 15" xfId="0"/>
    <cellStyle name="60% - 강조색1 7 2" xfId="0"/>
    <cellStyle name="60% - 강조색1 7 2 2" xfId="0"/>
    <cellStyle name="60% - 강조색1 7 3" xfId="0"/>
    <cellStyle name="60% - 강조색1 7 3 2" xfId="0"/>
    <cellStyle name="60% - 강조색1 7 4" xfId="0"/>
    <cellStyle name="60% - 강조색1 7 4 2" xfId="0"/>
    <cellStyle name="60% - 강조색1 7 5" xfId="0"/>
    <cellStyle name="60% - 강조색1 7 5 2" xfId="0"/>
    <cellStyle name="60% - 강조색1 7 6" xfId="0"/>
    <cellStyle name="60% - 강조색1 7 6 2" xfId="0"/>
    <cellStyle name="60% - 강조색1 7 7" xfId="0"/>
    <cellStyle name="60% - 강조색1 7 8" xfId="0"/>
    <cellStyle name="60% - 강조색1 7 9" xfId="0"/>
    <cellStyle name="60% - 강조색1 8" xfId="0"/>
    <cellStyle name="60% - 강조색1 8 10" xfId="0"/>
    <cellStyle name="60% - 강조색1 8 11" xfId="0"/>
    <cellStyle name="60% - 강조색1 8 12" xfId="0"/>
    <cellStyle name="60% - 강조색1 8 13" xfId="0"/>
    <cellStyle name="60% - 강조색1 8 14" xfId="0"/>
    <cellStyle name="60% - 강조색1 8 2" xfId="0"/>
    <cellStyle name="60% - 강조색1 8 2 2" xfId="0"/>
    <cellStyle name="60% - 강조색1 8 3" xfId="0"/>
    <cellStyle name="60% - 강조색1 8 3 2" xfId="0"/>
    <cellStyle name="60% - 강조색1 8 4" xfId="0"/>
    <cellStyle name="60% - 강조색1 8 4 2" xfId="0"/>
    <cellStyle name="60% - 강조색1 8 5" xfId="0"/>
    <cellStyle name="60% - 강조색1 8 5 2" xfId="0"/>
    <cellStyle name="60% - 강조색1 8 6" xfId="0"/>
    <cellStyle name="60% - 강조색1 8 6 2" xfId="0"/>
    <cellStyle name="60% - 강조색1 8 7" xfId="0"/>
    <cellStyle name="60% - 강조색1 8 8" xfId="0"/>
    <cellStyle name="60% - 강조색1 8 9" xfId="0"/>
    <cellStyle name="60% - 강조색1 9" xfId="0"/>
    <cellStyle name="60% - 강조색1 9 10" xfId="0"/>
    <cellStyle name="60% - 강조색1 9 11" xfId="0"/>
    <cellStyle name="60% - 강조색1 9 12" xfId="0"/>
    <cellStyle name="60% - 강조색1 9 13" xfId="0"/>
    <cellStyle name="60% - 강조색1 9 14" xfId="0"/>
    <cellStyle name="60% - 강조색1 9 2" xfId="0"/>
    <cellStyle name="60% - 강조색1 9 2 2" xfId="0"/>
    <cellStyle name="60% - 강조색1 9 3" xfId="0"/>
    <cellStyle name="60% - 강조색1 9 3 2" xfId="0"/>
    <cellStyle name="60% - 강조색1 9 4" xfId="0"/>
    <cellStyle name="60% - 강조색1 9 4 2" xfId="0"/>
    <cellStyle name="60% - 강조색1 9 5" xfId="0"/>
    <cellStyle name="60% - 강조색1 9 5 2" xfId="0"/>
    <cellStyle name="60% - 강조색1 9 6" xfId="0"/>
    <cellStyle name="60% - 강조색1 9 6 2" xfId="0"/>
    <cellStyle name="60% - 강조색1 9 7" xfId="0"/>
    <cellStyle name="60% - 강조색1 9 8" xfId="0"/>
    <cellStyle name="60% - 강조색1 9 9" xfId="0"/>
    <cellStyle name="60% - 강조색2 10" xfId="0"/>
    <cellStyle name="60% - 강조색2 10 2" xfId="0"/>
    <cellStyle name="60% - 강조색2 10 2 2" xfId="0"/>
    <cellStyle name="60% - 강조색2 10 3" xfId="0"/>
    <cellStyle name="60% - 강조색2 10 3 2" xfId="0"/>
    <cellStyle name="60% - 강조색2 10 4" xfId="0"/>
    <cellStyle name="60% - 강조색2 10 4 2" xfId="0"/>
    <cellStyle name="60% - 강조색2 10 5" xfId="0"/>
    <cellStyle name="60% - 강조색2 10 6" xfId="0"/>
    <cellStyle name="60% - 강조색2 10 7" xfId="0"/>
    <cellStyle name="60% - 강조색2 11" xfId="0"/>
    <cellStyle name="60% - 강조색2 11 2" xfId="0"/>
    <cellStyle name="60% - 강조색2 11 2 2" xfId="0"/>
    <cellStyle name="60% - 강조색2 11 3" xfId="0"/>
    <cellStyle name="60% - 강조색2 11 3 2" xfId="0"/>
    <cellStyle name="60% - 강조색2 11 4" xfId="0"/>
    <cellStyle name="60% - 강조색2 11 4 2" xfId="0"/>
    <cellStyle name="60% - 강조색2 11 5" xfId="0"/>
    <cellStyle name="60% - 강조색2 11 6" xfId="0"/>
    <cellStyle name="60% - 강조색2 11 7" xfId="0"/>
    <cellStyle name="60% - 강조색2 12" xfId="0"/>
    <cellStyle name="60% - 강조색2 12 2" xfId="0"/>
    <cellStyle name="60% - 강조색2 12 3" xfId="0"/>
    <cellStyle name="60% - 강조색2 12 4" xfId="0"/>
    <cellStyle name="60% - 강조색2 12 5" xfId="0"/>
    <cellStyle name="60% - 강조색2 13" xfId="0"/>
    <cellStyle name="60% - 강조색2 13 2" xfId="0"/>
    <cellStyle name="60% - 강조색2 13 3" xfId="0"/>
    <cellStyle name="60% - 강조색2 13 4" xfId="0"/>
    <cellStyle name="60% - 강조색2 13 5" xfId="0"/>
    <cellStyle name="60% - 강조색2 14" xfId="0"/>
    <cellStyle name="60% - 강조색2 14 2" xfId="0"/>
    <cellStyle name="60% - 강조색2 15" xfId="0"/>
    <cellStyle name="60% - 강조색2 15 2" xfId="0"/>
    <cellStyle name="60% - 강조색2 16" xfId="0"/>
    <cellStyle name="60% - 강조색2 16 2" xfId="0"/>
    <cellStyle name="60% - 강조색2 17" xfId="0"/>
    <cellStyle name="60% - 강조색2 17 2" xfId="0"/>
    <cellStyle name="60% - 강조색2 18" xfId="0"/>
    <cellStyle name="60% - 강조색2 19" xfId="0"/>
    <cellStyle name="60% - 강조색2 2" xfId="0"/>
    <cellStyle name="60% - 강조색2 2 10" xfId="0"/>
    <cellStyle name="60% - 강조색2 2 11" xfId="0"/>
    <cellStyle name="60% - 강조색2 2 12" xfId="0"/>
    <cellStyle name="60% - 강조색2 2 13" xfId="0"/>
    <cellStyle name="60% - 강조색2 2 2" xfId="0"/>
    <cellStyle name="60% - 강조색2 2 2 10" xfId="0"/>
    <cellStyle name="60% - 강조색2 2 2 2" xfId="0"/>
    <cellStyle name="60% - 강조색2 2 2 3" xfId="0"/>
    <cellStyle name="60% - 강조색2 2 2 4" xfId="0"/>
    <cellStyle name="60% - 강조색2 2 2 5" xfId="0"/>
    <cellStyle name="60% - 강조색2 2 2 6" xfId="0"/>
    <cellStyle name="60% - 강조색2 2 2 7" xfId="0"/>
    <cellStyle name="60% - 강조색2 2 2 8" xfId="0"/>
    <cellStyle name="60% - 강조색2 2 2 9" xfId="0"/>
    <cellStyle name="60% - 강조색2 2 3" xfId="0"/>
    <cellStyle name="60% - 강조색2 2 3 10" xfId="0"/>
    <cellStyle name="60% - 강조색2 2 3 2" xfId="0"/>
    <cellStyle name="60% - 강조색2 2 3 3" xfId="0"/>
    <cellStyle name="60% - 강조색2 2 3 4" xfId="0"/>
    <cellStyle name="60% - 강조색2 2 3 5" xfId="0"/>
    <cellStyle name="60% - 강조색2 2 3 6" xfId="0"/>
    <cellStyle name="60% - 강조색2 2 3 7" xfId="0"/>
    <cellStyle name="60% - 강조색2 2 3 8" xfId="0"/>
    <cellStyle name="60% - 강조색2 2 3 9" xfId="0"/>
    <cellStyle name="60% - 강조색2 2 4" xfId="0"/>
    <cellStyle name="60% - 강조색2 2 4 10" xfId="0"/>
    <cellStyle name="60% - 강조색2 2 4 2" xfId="0"/>
    <cellStyle name="60% - 강조색2 2 4 3" xfId="0"/>
    <cellStyle name="60% - 강조색2 2 4 4" xfId="0"/>
    <cellStyle name="60% - 강조색2 2 4 5" xfId="0"/>
    <cellStyle name="60% - 강조색2 2 4 6" xfId="0"/>
    <cellStyle name="60% - 강조색2 2 4 7" xfId="0"/>
    <cellStyle name="60% - 강조색2 2 4 8" xfId="0"/>
    <cellStyle name="60% - 강조색2 2 4 9" xfId="0"/>
    <cellStyle name="60% - 강조색2 2 5" xfId="0"/>
    <cellStyle name="60% - 강조색2 2 5 10" xfId="0"/>
    <cellStyle name="60% - 강조색2 2 5 2" xfId="0"/>
    <cellStyle name="60% - 강조색2 2 5 3" xfId="0"/>
    <cellStyle name="60% - 강조색2 2 5 4" xfId="0"/>
    <cellStyle name="60% - 강조색2 2 5 5" xfId="0"/>
    <cellStyle name="60% - 강조색2 2 5 6" xfId="0"/>
    <cellStyle name="60% - 강조색2 2 5 7" xfId="0"/>
    <cellStyle name="60% - 강조색2 2 5 8" xfId="0"/>
    <cellStyle name="60% - 강조색2 2 5 9" xfId="0"/>
    <cellStyle name="60% - 강조색2 2 6" xfId="0"/>
    <cellStyle name="60% - 강조색2 2 6 10" xfId="0"/>
    <cellStyle name="60% - 강조색2 2 6 2" xfId="0"/>
    <cellStyle name="60% - 강조색2 2 6 3" xfId="0"/>
    <cellStyle name="60% - 강조색2 2 6 4" xfId="0"/>
    <cellStyle name="60% - 강조색2 2 6 5" xfId="0"/>
    <cellStyle name="60% - 강조색2 2 6 6" xfId="0"/>
    <cellStyle name="60% - 강조색2 2 6 7" xfId="0"/>
    <cellStyle name="60% - 강조색2 2 6 8" xfId="0"/>
    <cellStyle name="60% - 강조색2 2 6 9" xfId="0"/>
    <cellStyle name="60% - 강조색2 2 7" xfId="0"/>
    <cellStyle name="60% - 강조색2 2 7 10" xfId="0"/>
    <cellStyle name="60% - 강조색2 2 7 2" xfId="0"/>
    <cellStyle name="60% - 강조색2 2 7 3" xfId="0"/>
    <cellStyle name="60% - 강조색2 2 7 4" xfId="0"/>
    <cellStyle name="60% - 강조색2 2 7 5" xfId="0"/>
    <cellStyle name="60% - 강조색2 2 7 6" xfId="0"/>
    <cellStyle name="60% - 강조색2 2 7 7" xfId="0"/>
    <cellStyle name="60% - 강조색2 2 7 8" xfId="0"/>
    <cellStyle name="60% - 강조색2 2 7 9" xfId="0"/>
    <cellStyle name="60% - 강조색2 2 8" xfId="0"/>
    <cellStyle name="60% - 강조색2 2 8 2" xfId="0"/>
    <cellStyle name="60% - 강조색2 2 9" xfId="0"/>
    <cellStyle name="60% - 강조색2 20" xfId="0"/>
    <cellStyle name="60% - 강조색2 21" xfId="0"/>
    <cellStyle name="60% - 강조색2 22" xfId="0"/>
    <cellStyle name="60% - 강조색2 23" xfId="0"/>
    <cellStyle name="60% - 강조색2 24" xfId="0"/>
    <cellStyle name="60% - 강조색2 25" xfId="0"/>
    <cellStyle name="60% - 강조색2 26" xfId="0"/>
    <cellStyle name="60% - 강조색2 27" xfId="0"/>
    <cellStyle name="60% - 강조색2 2_3300현금및예치금" xfId="0"/>
    <cellStyle name="60% - 강조색2 3" xfId="0"/>
    <cellStyle name="60% - 강조색2 3 10" xfId="0"/>
    <cellStyle name="60% - 강조색2 3 10 2" xfId="0"/>
    <cellStyle name="60% - 강조색2 3 11" xfId="0"/>
    <cellStyle name="60% - 강조색2 3 11 2" xfId="0"/>
    <cellStyle name="60% - 강조색2 3 12" xfId="0"/>
    <cellStyle name="60% - 강조색2 3 12 2" xfId="0"/>
    <cellStyle name="60% - 강조색2 3 13" xfId="0"/>
    <cellStyle name="60% - 강조색2 3 14" xfId="0"/>
    <cellStyle name="60% - 강조색2 3 15" xfId="0"/>
    <cellStyle name="60% - 강조색2 3 16" xfId="0"/>
    <cellStyle name="60% - 강조색2 3 17" xfId="0"/>
    <cellStyle name="60% - 강조색2 3 18" xfId="0"/>
    <cellStyle name="60% - 강조색2 3 19" xfId="0"/>
    <cellStyle name="60% - 강조색2 3 2" xfId="0"/>
    <cellStyle name="60% - 강조색2 3 2 2" xfId="0"/>
    <cellStyle name="60% - 강조색2 3 2 3" xfId="0"/>
    <cellStyle name="60% - 강조색2 3 20" xfId="0"/>
    <cellStyle name="60% - 강조색2 3 3" xfId="0"/>
    <cellStyle name="60% - 강조색2 3 3 2" xfId="0"/>
    <cellStyle name="60% - 강조색2 3 3 3" xfId="0"/>
    <cellStyle name="60% - 강조색2 3 4" xfId="0"/>
    <cellStyle name="60% - 강조색2 3 4 2" xfId="0"/>
    <cellStyle name="60% - 강조색2 3 4 3" xfId="0"/>
    <cellStyle name="60% - 강조색2 3 5" xfId="0"/>
    <cellStyle name="60% - 강조색2 3 5 2" xfId="0"/>
    <cellStyle name="60% - 강조색2 3 5 3" xfId="0"/>
    <cellStyle name="60% - 강조색2 3 6" xfId="0"/>
    <cellStyle name="60% - 강조색2 3 6 2" xfId="0"/>
    <cellStyle name="60% - 강조색2 3 6 3" xfId="0"/>
    <cellStyle name="60% - 강조색2 3 7" xfId="0"/>
    <cellStyle name="60% - 강조색2 3 7 2" xfId="0"/>
    <cellStyle name="60% - 강조색2 3 7 3" xfId="0"/>
    <cellStyle name="60% - 강조색2 3 8" xfId="0"/>
    <cellStyle name="60% - 강조색2 3 8 2" xfId="0"/>
    <cellStyle name="60% - 강조색2 3 8 3" xfId="0"/>
    <cellStyle name="60% - 강조색2 3 9" xfId="0"/>
    <cellStyle name="60% - 강조색2 3 9 2" xfId="0"/>
    <cellStyle name="60% - 강조색2 3_운용자산별 손익분석" xfId="0"/>
    <cellStyle name="60% - 강조색2 4" xfId="0"/>
    <cellStyle name="60% - 강조색2 4 10" xfId="0"/>
    <cellStyle name="60% - 강조색2 4 11" xfId="0"/>
    <cellStyle name="60% - 강조색2 4 12" xfId="0"/>
    <cellStyle name="60% - 강조색2 4 13" xfId="0"/>
    <cellStyle name="60% - 강조색2 4 2" xfId="0"/>
    <cellStyle name="60% - 강조색2 4 3" xfId="0"/>
    <cellStyle name="60% - 강조색2 4 4" xfId="0"/>
    <cellStyle name="60% - 강조색2 4 5" xfId="0"/>
    <cellStyle name="60% - 강조색2 4 6" xfId="0"/>
    <cellStyle name="60% - 강조색2 4 7" xfId="0"/>
    <cellStyle name="60% - 강조색2 4 8" xfId="0"/>
    <cellStyle name="60% - 강조색2 4 9" xfId="0"/>
    <cellStyle name="60% - 강조색2 4_운용자산별 손익분석" xfId="0"/>
    <cellStyle name="60% - 강조색2 5" xfId="0"/>
    <cellStyle name="60% - 강조색2 5 10" xfId="0"/>
    <cellStyle name="60% - 강조색2 5 11" xfId="0"/>
    <cellStyle name="60% - 강조색2 5 12" xfId="0"/>
    <cellStyle name="60% - 강조색2 5 13" xfId="0"/>
    <cellStyle name="60% - 강조색2 5 14" xfId="0"/>
    <cellStyle name="60% - 강조색2 5 15" xfId="0"/>
    <cellStyle name="60% - 강조색2 5 16" xfId="0"/>
    <cellStyle name="60% - 강조색2 5 17" xfId="0"/>
    <cellStyle name="60% - 강조색2 5 18" xfId="0"/>
    <cellStyle name="60% - 강조색2 5 19" xfId="0"/>
    <cellStyle name="60% - 강조색2 5 2" xfId="0"/>
    <cellStyle name="60% - 강조색2 5 20" xfId="0"/>
    <cellStyle name="60% - 강조색2 5 21" xfId="0"/>
    <cellStyle name="60% - 강조색2 5 22" xfId="0"/>
    <cellStyle name="60% - 강조색2 5 23" xfId="0"/>
    <cellStyle name="60% - 강조색2 5 24" xfId="0"/>
    <cellStyle name="60% - 강조색2 5 25" xfId="0"/>
    <cellStyle name="60% - 강조색2 5 26" xfId="0"/>
    <cellStyle name="60% - 강조색2 5 27" xfId="0"/>
    <cellStyle name="60% - 강조색2 5 28" xfId="0"/>
    <cellStyle name="60% - 강조색2 5 29" xfId="0"/>
    <cellStyle name="60% - 강조색2 5 3" xfId="0"/>
    <cellStyle name="60% - 강조색2 5 30" xfId="0"/>
    <cellStyle name="60% - 강조색2 5 31" xfId="0"/>
    <cellStyle name="60% - 강조색2 5 32" xfId="0"/>
    <cellStyle name="60% - 강조색2 5 33" xfId="0"/>
    <cellStyle name="60% - 강조색2 5 34" xfId="0"/>
    <cellStyle name="60% - 강조색2 5 4" xfId="0"/>
    <cellStyle name="60% - 강조색2 5 5" xfId="0"/>
    <cellStyle name="60% - 강조색2 5 6" xfId="0"/>
    <cellStyle name="60% - 강조색2 5 7" xfId="0"/>
    <cellStyle name="60% - 강조색2 5 8" xfId="0"/>
    <cellStyle name="60% - 강조색2 5 9" xfId="0"/>
    <cellStyle name="60% - 강조색2 6" xfId="0"/>
    <cellStyle name="60% - 강조색2 6 10" xfId="0"/>
    <cellStyle name="60% - 강조색2 6 11" xfId="0"/>
    <cellStyle name="60% - 강조색2 6 12" xfId="0"/>
    <cellStyle name="60% - 강조색2 6 13" xfId="0"/>
    <cellStyle name="60% - 강조색2 6 14" xfId="0"/>
    <cellStyle name="60% - 강조색2 6 15" xfId="0"/>
    <cellStyle name="60% - 강조색2 6 16" xfId="0"/>
    <cellStyle name="60% - 강조색2 6 17" xfId="0"/>
    <cellStyle name="60% - 강조색2 6 18" xfId="0"/>
    <cellStyle name="60% - 강조색2 6 19" xfId="0"/>
    <cellStyle name="60% - 강조색2 6 2" xfId="0"/>
    <cellStyle name="60% - 강조색2 6 20" xfId="0"/>
    <cellStyle name="60% - 강조색2 6 21" xfId="0"/>
    <cellStyle name="60% - 강조색2 6 22" xfId="0"/>
    <cellStyle name="60% - 강조색2 6 23" xfId="0"/>
    <cellStyle name="60% - 강조색2 6 24" xfId="0"/>
    <cellStyle name="60% - 강조색2 6 25" xfId="0"/>
    <cellStyle name="60% - 강조색2 6 26" xfId="0"/>
    <cellStyle name="60% - 강조색2 6 27" xfId="0"/>
    <cellStyle name="60% - 강조색2 6 28" xfId="0"/>
    <cellStyle name="60% - 강조색2 6 29" xfId="0"/>
    <cellStyle name="60% - 강조색2 6 3" xfId="0"/>
    <cellStyle name="60% - 강조색2 6 30" xfId="0"/>
    <cellStyle name="60% - 강조색2 6 4" xfId="0"/>
    <cellStyle name="60% - 강조색2 6 5" xfId="0"/>
    <cellStyle name="60% - 강조색2 6 6" xfId="0"/>
    <cellStyle name="60% - 강조색2 6 7" xfId="0"/>
    <cellStyle name="60% - 강조색2 6 8" xfId="0"/>
    <cellStyle name="60% - 강조색2 6 9" xfId="0"/>
    <cellStyle name="60% - 강조색2 7" xfId="0"/>
    <cellStyle name="60% - 강조색2 7 10" xfId="0"/>
    <cellStyle name="60% - 강조색2 7 11" xfId="0"/>
    <cellStyle name="60% - 강조색2 7 12" xfId="0"/>
    <cellStyle name="60% - 강조색2 7 13" xfId="0"/>
    <cellStyle name="60% - 강조색2 7 14" xfId="0"/>
    <cellStyle name="60% - 강조색2 7 15" xfId="0"/>
    <cellStyle name="60% - 강조색2 7 2" xfId="0"/>
    <cellStyle name="60% - 강조색2 7 2 2" xfId="0"/>
    <cellStyle name="60% - 강조색2 7 3" xfId="0"/>
    <cellStyle name="60% - 강조색2 7 3 2" xfId="0"/>
    <cellStyle name="60% - 강조색2 7 4" xfId="0"/>
    <cellStyle name="60% - 강조색2 7 4 2" xfId="0"/>
    <cellStyle name="60% - 강조색2 7 5" xfId="0"/>
    <cellStyle name="60% - 강조색2 7 5 2" xfId="0"/>
    <cellStyle name="60% - 강조색2 7 6" xfId="0"/>
    <cellStyle name="60% - 강조색2 7 6 2" xfId="0"/>
    <cellStyle name="60% - 강조색2 7 7" xfId="0"/>
    <cellStyle name="60% - 강조색2 7 8" xfId="0"/>
    <cellStyle name="60% - 강조색2 7 9" xfId="0"/>
    <cellStyle name="60% - 강조색2 8" xfId="0"/>
    <cellStyle name="60% - 강조색2 8 10" xfId="0"/>
    <cellStyle name="60% - 강조색2 8 11" xfId="0"/>
    <cellStyle name="60% - 강조색2 8 12" xfId="0"/>
    <cellStyle name="60% - 강조색2 8 13" xfId="0"/>
    <cellStyle name="60% - 강조색2 8 14" xfId="0"/>
    <cellStyle name="60% - 강조색2 8 2" xfId="0"/>
    <cellStyle name="60% - 강조색2 8 2 2" xfId="0"/>
    <cellStyle name="60% - 강조색2 8 3" xfId="0"/>
    <cellStyle name="60% - 강조색2 8 3 2" xfId="0"/>
    <cellStyle name="60% - 강조색2 8 4" xfId="0"/>
    <cellStyle name="60% - 강조색2 8 4 2" xfId="0"/>
    <cellStyle name="60% - 강조색2 8 5" xfId="0"/>
    <cellStyle name="60% - 강조색2 8 5 2" xfId="0"/>
    <cellStyle name="60% - 강조색2 8 6" xfId="0"/>
    <cellStyle name="60% - 강조색2 8 6 2" xfId="0"/>
    <cellStyle name="60% - 강조색2 8 7" xfId="0"/>
    <cellStyle name="60% - 강조색2 8 8" xfId="0"/>
    <cellStyle name="60% - 강조색2 8 9" xfId="0"/>
    <cellStyle name="60% - 강조색2 9" xfId="0"/>
    <cellStyle name="60% - 강조색2 9 10" xfId="0"/>
    <cellStyle name="60% - 강조색2 9 11" xfId="0"/>
    <cellStyle name="60% - 강조색2 9 12" xfId="0"/>
    <cellStyle name="60% - 강조색2 9 13" xfId="0"/>
    <cellStyle name="60% - 강조색2 9 14" xfId="0"/>
    <cellStyle name="60% - 강조색2 9 2" xfId="0"/>
    <cellStyle name="60% - 강조색2 9 2 2" xfId="0"/>
    <cellStyle name="60% - 강조색2 9 3" xfId="0"/>
    <cellStyle name="60% - 강조색2 9 3 2" xfId="0"/>
    <cellStyle name="60% - 강조색2 9 4" xfId="0"/>
    <cellStyle name="60% - 강조색2 9 4 2" xfId="0"/>
    <cellStyle name="60% - 강조색2 9 5" xfId="0"/>
    <cellStyle name="60% - 강조색2 9 5 2" xfId="0"/>
    <cellStyle name="60% - 강조색2 9 6" xfId="0"/>
    <cellStyle name="60% - 강조색2 9 6 2" xfId="0"/>
    <cellStyle name="60% - 강조색2 9 7" xfId="0"/>
    <cellStyle name="60% - 강조색2 9 8" xfId="0"/>
    <cellStyle name="60% - 강조색2 9 9" xfId="0"/>
    <cellStyle name="60% - 강조색3 10" xfId="0"/>
    <cellStyle name="60% - 강조색3 10 2" xfId="0"/>
    <cellStyle name="60% - 강조색3 10 2 2" xfId="0"/>
    <cellStyle name="60% - 강조색3 10 3" xfId="0"/>
    <cellStyle name="60% - 강조색3 10 3 2" xfId="0"/>
    <cellStyle name="60% - 강조색3 10 4" xfId="0"/>
    <cellStyle name="60% - 강조색3 10 4 2" xfId="0"/>
    <cellStyle name="60% - 강조색3 10 5" xfId="0"/>
    <cellStyle name="60% - 강조색3 10 6" xfId="0"/>
    <cellStyle name="60% - 강조색3 10 7" xfId="0"/>
    <cellStyle name="60% - 강조색3 11" xfId="0"/>
    <cellStyle name="60% - 강조색3 11 2" xfId="0"/>
    <cellStyle name="60% - 강조색3 11 2 2" xfId="0"/>
    <cellStyle name="60% - 강조색3 11 3" xfId="0"/>
    <cellStyle name="60% - 강조색3 11 3 2" xfId="0"/>
    <cellStyle name="60% - 강조색3 11 4" xfId="0"/>
    <cellStyle name="60% - 강조색3 11 4 2" xfId="0"/>
    <cellStyle name="60% - 강조색3 11 5" xfId="0"/>
    <cellStyle name="60% - 강조색3 11 6" xfId="0"/>
    <cellStyle name="60% - 강조색3 11 7" xfId="0"/>
    <cellStyle name="60% - 강조색3 12" xfId="0"/>
    <cellStyle name="60% - 강조색3 12 2" xfId="0"/>
    <cellStyle name="60% - 강조색3 12 3" xfId="0"/>
    <cellStyle name="60% - 강조색3 12 4" xfId="0"/>
    <cellStyle name="60% - 강조색3 12 5" xfId="0"/>
    <cellStyle name="60% - 강조색3 13" xfId="0"/>
    <cellStyle name="60% - 강조색3 13 2" xfId="0"/>
    <cellStyle name="60% - 강조색3 13 3" xfId="0"/>
    <cellStyle name="60% - 강조색3 13 4" xfId="0"/>
    <cellStyle name="60% - 강조색3 13 5" xfId="0"/>
    <cellStyle name="60% - 강조색3 14" xfId="0"/>
    <cellStyle name="60% - 강조색3 14 2" xfId="0"/>
    <cellStyle name="60% - 강조색3 15" xfId="0"/>
    <cellStyle name="60% - 강조색3 15 2" xfId="0"/>
    <cellStyle name="60% - 강조색3 16" xfId="0"/>
    <cellStyle name="60% - 강조색3 16 2" xfId="0"/>
    <cellStyle name="60% - 강조색3 17" xfId="0"/>
    <cellStyle name="60% - 강조색3 17 2" xfId="0"/>
    <cellStyle name="60% - 강조색3 18" xfId="0"/>
    <cellStyle name="60% - 강조색3 19" xfId="0"/>
    <cellStyle name="60% - 강조색3 2" xfId="0"/>
    <cellStyle name="60% - 강조색3 2 10" xfId="0"/>
    <cellStyle name="60% - 강조색3 2 11" xfId="0"/>
    <cellStyle name="60% - 강조색3 2 12" xfId="0"/>
    <cellStyle name="60% - 강조색3 2 13" xfId="0"/>
    <cellStyle name="60% - 강조색3 2 2" xfId="0"/>
    <cellStyle name="60% - 강조색3 2 2 10" xfId="0"/>
    <cellStyle name="60% - 강조색3 2 2 2" xfId="0"/>
    <cellStyle name="60% - 강조색3 2 2 3" xfId="0"/>
    <cellStyle name="60% - 강조색3 2 2 4" xfId="0"/>
    <cellStyle name="60% - 강조색3 2 2 5" xfId="0"/>
    <cellStyle name="60% - 강조색3 2 2 6" xfId="0"/>
    <cellStyle name="60% - 강조색3 2 2 7" xfId="0"/>
    <cellStyle name="60% - 강조색3 2 2 8" xfId="0"/>
    <cellStyle name="60% - 강조색3 2 2 9" xfId="0"/>
    <cellStyle name="60% - 강조색3 2 3" xfId="0"/>
    <cellStyle name="60% - 강조색3 2 3 10" xfId="0"/>
    <cellStyle name="60% - 강조색3 2 3 2" xfId="0"/>
    <cellStyle name="60% - 강조색3 2 3 3" xfId="0"/>
    <cellStyle name="60% - 강조색3 2 3 4" xfId="0"/>
    <cellStyle name="60% - 강조색3 2 3 5" xfId="0"/>
    <cellStyle name="60% - 강조색3 2 3 6" xfId="0"/>
    <cellStyle name="60% - 강조색3 2 3 7" xfId="0"/>
    <cellStyle name="60% - 강조색3 2 3 8" xfId="0"/>
    <cellStyle name="60% - 강조색3 2 3 9" xfId="0"/>
    <cellStyle name="60% - 강조색3 2 4" xfId="0"/>
    <cellStyle name="60% - 강조색3 2 4 10" xfId="0"/>
    <cellStyle name="60% - 강조색3 2 4 2" xfId="0"/>
    <cellStyle name="60% - 강조색3 2 4 3" xfId="0"/>
    <cellStyle name="60% - 강조색3 2 4 4" xfId="0"/>
    <cellStyle name="60% - 강조색3 2 4 5" xfId="0"/>
    <cellStyle name="60% - 강조색3 2 4 6" xfId="0"/>
    <cellStyle name="60% - 강조색3 2 4 7" xfId="0"/>
    <cellStyle name="60% - 강조색3 2 4 8" xfId="0"/>
    <cellStyle name="60% - 강조색3 2 4 9" xfId="0"/>
    <cellStyle name="60% - 강조색3 2 5" xfId="0"/>
    <cellStyle name="60% - 강조색3 2 5 10" xfId="0"/>
    <cellStyle name="60% - 강조색3 2 5 2" xfId="0"/>
    <cellStyle name="60% - 강조색3 2 5 3" xfId="0"/>
    <cellStyle name="60% - 강조색3 2 5 4" xfId="0"/>
    <cellStyle name="60% - 강조색3 2 5 5" xfId="0"/>
    <cellStyle name="60% - 강조색3 2 5 6" xfId="0"/>
    <cellStyle name="60% - 강조색3 2 5 7" xfId="0"/>
    <cellStyle name="60% - 강조색3 2 5 8" xfId="0"/>
    <cellStyle name="60% - 강조색3 2 5 9" xfId="0"/>
    <cellStyle name="60% - 강조색3 2 6" xfId="0"/>
    <cellStyle name="60% - 강조색3 2 6 10" xfId="0"/>
    <cellStyle name="60% - 강조색3 2 6 2" xfId="0"/>
    <cellStyle name="60% - 강조색3 2 6 3" xfId="0"/>
    <cellStyle name="60% - 강조색3 2 6 4" xfId="0"/>
    <cellStyle name="60% - 강조색3 2 6 5" xfId="0"/>
    <cellStyle name="60% - 강조색3 2 6 6" xfId="0"/>
    <cellStyle name="60% - 강조색3 2 6 7" xfId="0"/>
    <cellStyle name="60% - 강조색3 2 6 8" xfId="0"/>
    <cellStyle name="60% - 강조색3 2 6 9" xfId="0"/>
    <cellStyle name="60% - 강조색3 2 7" xfId="0"/>
    <cellStyle name="60% - 강조색3 2 7 10" xfId="0"/>
    <cellStyle name="60% - 강조색3 2 7 2" xfId="0"/>
    <cellStyle name="60% - 강조색3 2 7 3" xfId="0"/>
    <cellStyle name="60% - 강조색3 2 7 4" xfId="0"/>
    <cellStyle name="60% - 강조색3 2 7 5" xfId="0"/>
    <cellStyle name="60% - 강조색3 2 7 6" xfId="0"/>
    <cellStyle name="60% - 강조색3 2 7 7" xfId="0"/>
    <cellStyle name="60% - 강조색3 2 7 8" xfId="0"/>
    <cellStyle name="60% - 강조색3 2 7 9" xfId="0"/>
    <cellStyle name="60% - 강조색3 2 8" xfId="0"/>
    <cellStyle name="60% - 강조색3 2 8 2" xfId="0"/>
    <cellStyle name="60% - 강조색3 2 9" xfId="0"/>
    <cellStyle name="60% - 강조색3 20" xfId="0"/>
    <cellStyle name="60% - 강조색3 21" xfId="0"/>
    <cellStyle name="60% - 강조색3 22" xfId="0"/>
    <cellStyle name="60% - 강조색3 23" xfId="0"/>
    <cellStyle name="60% - 강조색3 24" xfId="0"/>
    <cellStyle name="60% - 강조색3 25" xfId="0"/>
    <cellStyle name="60% - 강조색3 26" xfId="0"/>
    <cellStyle name="60% - 강조색3 27" xfId="0"/>
    <cellStyle name="60% - 강조색3 2_3300현금및예치금" xfId="0"/>
    <cellStyle name="60% - 강조색3 3" xfId="0"/>
    <cellStyle name="60% - 강조색3 3 10" xfId="0"/>
    <cellStyle name="60% - 강조색3 3 10 2" xfId="0"/>
    <cellStyle name="60% - 강조색3 3 11" xfId="0"/>
    <cellStyle name="60% - 강조색3 3 11 2" xfId="0"/>
    <cellStyle name="60% - 강조색3 3 12" xfId="0"/>
    <cellStyle name="60% - 강조색3 3 12 2" xfId="0"/>
    <cellStyle name="60% - 강조색3 3 13" xfId="0"/>
    <cellStyle name="60% - 강조색3 3 14" xfId="0"/>
    <cellStyle name="60% - 강조색3 3 15" xfId="0"/>
    <cellStyle name="60% - 강조색3 3 16" xfId="0"/>
    <cellStyle name="60% - 강조색3 3 17" xfId="0"/>
    <cellStyle name="60% - 강조색3 3 18" xfId="0"/>
    <cellStyle name="60% - 강조색3 3 19" xfId="0"/>
    <cellStyle name="60% - 강조색3 3 2" xfId="0"/>
    <cellStyle name="60% - 강조색3 3 2 2" xfId="0"/>
    <cellStyle name="60% - 강조색3 3 2 3" xfId="0"/>
    <cellStyle name="60% - 강조색3 3 20" xfId="0"/>
    <cellStyle name="60% - 강조색3 3 3" xfId="0"/>
    <cellStyle name="60% - 강조색3 3 3 2" xfId="0"/>
    <cellStyle name="60% - 강조색3 3 3 3" xfId="0"/>
    <cellStyle name="60% - 강조색3 3 4" xfId="0"/>
    <cellStyle name="60% - 강조색3 3 4 2" xfId="0"/>
    <cellStyle name="60% - 강조색3 3 4 3" xfId="0"/>
    <cellStyle name="60% - 강조색3 3 5" xfId="0"/>
    <cellStyle name="60% - 강조색3 3 5 2" xfId="0"/>
    <cellStyle name="60% - 강조색3 3 5 3" xfId="0"/>
    <cellStyle name="60% - 강조색3 3 6" xfId="0"/>
    <cellStyle name="60% - 강조색3 3 6 2" xfId="0"/>
    <cellStyle name="60% - 강조색3 3 6 3" xfId="0"/>
    <cellStyle name="60% - 강조색3 3 7" xfId="0"/>
    <cellStyle name="60% - 강조색3 3 7 2" xfId="0"/>
    <cellStyle name="60% - 강조색3 3 7 3" xfId="0"/>
    <cellStyle name="60% - 강조색3 3 8" xfId="0"/>
    <cellStyle name="60% - 강조색3 3 8 2" xfId="0"/>
    <cellStyle name="60% - 강조색3 3 8 3" xfId="0"/>
    <cellStyle name="60% - 강조색3 3 9" xfId="0"/>
    <cellStyle name="60% - 강조색3 3 9 2" xfId="0"/>
    <cellStyle name="60% - 강조색3 3_운용자산별 손익분석" xfId="0"/>
    <cellStyle name="60% - 강조색3 4" xfId="0"/>
    <cellStyle name="60% - 강조색3 4 10" xfId="0"/>
    <cellStyle name="60% - 강조색3 4 11" xfId="0"/>
    <cellStyle name="60% - 강조색3 4 12" xfId="0"/>
    <cellStyle name="60% - 강조색3 4 13" xfId="0"/>
    <cellStyle name="60% - 강조색3 4 2" xfId="0"/>
    <cellStyle name="60% - 강조색3 4 3" xfId="0"/>
    <cellStyle name="60% - 강조색3 4 4" xfId="0"/>
    <cellStyle name="60% - 강조색3 4 5" xfId="0"/>
    <cellStyle name="60% - 강조색3 4 6" xfId="0"/>
    <cellStyle name="60% - 강조색3 4 7" xfId="0"/>
    <cellStyle name="60% - 강조색3 4 8" xfId="0"/>
    <cellStyle name="60% - 강조색3 4 9" xfId="0"/>
    <cellStyle name="60% - 강조색3 4_운용자산별 손익분석" xfId="0"/>
    <cellStyle name="60% - 강조색3 5" xfId="0"/>
    <cellStyle name="60% - 강조색3 5 10" xfId="0"/>
    <cellStyle name="60% - 강조색3 5 11" xfId="0"/>
    <cellStyle name="60% - 강조색3 5 12" xfId="0"/>
    <cellStyle name="60% - 강조색3 5 13" xfId="0"/>
    <cellStyle name="60% - 강조색3 5 14" xfId="0"/>
    <cellStyle name="60% - 강조색3 5 15" xfId="0"/>
    <cellStyle name="60% - 강조색3 5 16" xfId="0"/>
    <cellStyle name="60% - 강조색3 5 17" xfId="0"/>
    <cellStyle name="60% - 강조색3 5 18" xfId="0"/>
    <cellStyle name="60% - 강조색3 5 19" xfId="0"/>
    <cellStyle name="60% - 강조색3 5 2" xfId="0"/>
    <cellStyle name="60% - 강조색3 5 20" xfId="0"/>
    <cellStyle name="60% - 강조색3 5 21" xfId="0"/>
    <cellStyle name="60% - 강조색3 5 22" xfId="0"/>
    <cellStyle name="60% - 강조색3 5 23" xfId="0"/>
    <cellStyle name="60% - 강조색3 5 24" xfId="0"/>
    <cellStyle name="60% - 강조색3 5 25" xfId="0"/>
    <cellStyle name="60% - 강조색3 5 26" xfId="0"/>
    <cellStyle name="60% - 강조색3 5 27" xfId="0"/>
    <cellStyle name="60% - 강조색3 5 28" xfId="0"/>
    <cellStyle name="60% - 강조색3 5 29" xfId="0"/>
    <cellStyle name="60% - 강조색3 5 3" xfId="0"/>
    <cellStyle name="60% - 강조색3 5 30" xfId="0"/>
    <cellStyle name="60% - 강조색3 5 31" xfId="0"/>
    <cellStyle name="60% - 강조색3 5 32" xfId="0"/>
    <cellStyle name="60% - 강조색3 5 33" xfId="0"/>
    <cellStyle name="60% - 강조색3 5 34" xfId="0"/>
    <cellStyle name="60% - 강조색3 5 4" xfId="0"/>
    <cellStyle name="60% - 강조색3 5 5" xfId="0"/>
    <cellStyle name="60% - 강조색3 5 6" xfId="0"/>
    <cellStyle name="60% - 강조색3 5 7" xfId="0"/>
    <cellStyle name="60% - 강조색3 5 8" xfId="0"/>
    <cellStyle name="60% - 강조색3 5 9" xfId="0"/>
    <cellStyle name="60% - 강조색3 6" xfId="0"/>
    <cellStyle name="60% - 강조색3 6 10" xfId="0"/>
    <cellStyle name="60% - 강조색3 6 11" xfId="0"/>
    <cellStyle name="60% - 강조색3 6 12" xfId="0"/>
    <cellStyle name="60% - 강조색3 6 13" xfId="0"/>
    <cellStyle name="60% - 강조색3 6 14" xfId="0"/>
    <cellStyle name="60% - 강조색3 6 15" xfId="0"/>
    <cellStyle name="60% - 강조색3 6 16" xfId="0"/>
    <cellStyle name="60% - 강조색3 6 17" xfId="0"/>
    <cellStyle name="60% - 강조색3 6 18" xfId="0"/>
    <cellStyle name="60% - 강조색3 6 19" xfId="0"/>
    <cellStyle name="60% - 강조색3 6 2" xfId="0"/>
    <cellStyle name="60% - 강조색3 6 20" xfId="0"/>
    <cellStyle name="60% - 강조색3 6 21" xfId="0"/>
    <cellStyle name="60% - 강조색3 6 22" xfId="0"/>
    <cellStyle name="60% - 강조색3 6 23" xfId="0"/>
    <cellStyle name="60% - 강조색3 6 24" xfId="0"/>
    <cellStyle name="60% - 강조색3 6 25" xfId="0"/>
    <cellStyle name="60% - 강조색3 6 26" xfId="0"/>
    <cellStyle name="60% - 강조색3 6 27" xfId="0"/>
    <cellStyle name="60% - 강조색3 6 28" xfId="0"/>
    <cellStyle name="60% - 강조색3 6 29" xfId="0"/>
    <cellStyle name="60% - 강조색3 6 3" xfId="0"/>
    <cellStyle name="60% - 강조색3 6 30" xfId="0"/>
    <cellStyle name="60% - 강조색3 6 4" xfId="0"/>
    <cellStyle name="60% - 강조색3 6 5" xfId="0"/>
    <cellStyle name="60% - 강조색3 6 6" xfId="0"/>
    <cellStyle name="60% - 강조색3 6 7" xfId="0"/>
    <cellStyle name="60% - 강조색3 6 8" xfId="0"/>
    <cellStyle name="60% - 강조색3 6 9" xfId="0"/>
    <cellStyle name="60% - 강조색3 7" xfId="0"/>
    <cellStyle name="60% - 강조색3 7 10" xfId="0"/>
    <cellStyle name="60% - 강조색3 7 11" xfId="0"/>
    <cellStyle name="60% - 강조색3 7 12" xfId="0"/>
    <cellStyle name="60% - 강조색3 7 13" xfId="0"/>
    <cellStyle name="60% - 강조색3 7 14" xfId="0"/>
    <cellStyle name="60% - 강조색3 7 15" xfId="0"/>
    <cellStyle name="60% - 강조색3 7 2" xfId="0"/>
    <cellStyle name="60% - 강조색3 7 2 2" xfId="0"/>
    <cellStyle name="60% - 강조색3 7 3" xfId="0"/>
    <cellStyle name="60% - 강조색3 7 3 2" xfId="0"/>
    <cellStyle name="60% - 강조색3 7 4" xfId="0"/>
    <cellStyle name="60% - 강조색3 7 4 2" xfId="0"/>
    <cellStyle name="60% - 강조색3 7 5" xfId="0"/>
    <cellStyle name="60% - 강조색3 7 5 2" xfId="0"/>
    <cellStyle name="60% - 강조색3 7 6" xfId="0"/>
    <cellStyle name="60% - 강조색3 7 6 2" xfId="0"/>
    <cellStyle name="60% - 강조색3 7 7" xfId="0"/>
    <cellStyle name="60% - 강조색3 7 8" xfId="0"/>
    <cellStyle name="60% - 강조색3 7 9" xfId="0"/>
    <cellStyle name="60% - 강조색3 8" xfId="0"/>
    <cellStyle name="60% - 강조색3 8 10" xfId="0"/>
    <cellStyle name="60% - 강조색3 8 11" xfId="0"/>
    <cellStyle name="60% - 강조색3 8 12" xfId="0"/>
    <cellStyle name="60% - 강조색3 8 13" xfId="0"/>
    <cellStyle name="60% - 강조색3 8 14" xfId="0"/>
    <cellStyle name="60% - 강조색3 8 2" xfId="0"/>
    <cellStyle name="60% - 강조색3 8 2 2" xfId="0"/>
    <cellStyle name="60% - 강조색3 8 3" xfId="0"/>
    <cellStyle name="60% - 강조색3 8 3 2" xfId="0"/>
    <cellStyle name="60% - 강조색3 8 4" xfId="0"/>
    <cellStyle name="60% - 강조색3 8 4 2" xfId="0"/>
    <cellStyle name="60% - 강조색3 8 5" xfId="0"/>
    <cellStyle name="60% - 강조색3 8 5 2" xfId="0"/>
    <cellStyle name="60% - 강조색3 8 6" xfId="0"/>
    <cellStyle name="60% - 강조색3 8 6 2" xfId="0"/>
    <cellStyle name="60% - 강조색3 8 7" xfId="0"/>
    <cellStyle name="60% - 강조색3 8 8" xfId="0"/>
    <cellStyle name="60% - 강조색3 8 9" xfId="0"/>
    <cellStyle name="60% - 강조색3 9" xfId="0"/>
    <cellStyle name="60% - 강조색3 9 10" xfId="0"/>
    <cellStyle name="60% - 강조색3 9 11" xfId="0"/>
    <cellStyle name="60% - 강조색3 9 12" xfId="0"/>
    <cellStyle name="60% - 강조색3 9 13" xfId="0"/>
    <cellStyle name="60% - 강조색3 9 14" xfId="0"/>
    <cellStyle name="60% - 강조색3 9 2" xfId="0"/>
    <cellStyle name="60% - 강조색3 9 2 2" xfId="0"/>
    <cellStyle name="60% - 강조색3 9 3" xfId="0"/>
    <cellStyle name="60% - 강조색3 9 3 2" xfId="0"/>
    <cellStyle name="60% - 강조색3 9 4" xfId="0"/>
    <cellStyle name="60% - 강조색3 9 4 2" xfId="0"/>
    <cellStyle name="60% - 강조색3 9 5" xfId="0"/>
    <cellStyle name="60% - 강조색3 9 5 2" xfId="0"/>
    <cellStyle name="60% - 강조색3 9 6" xfId="0"/>
    <cellStyle name="60% - 강조색3 9 6 2" xfId="0"/>
    <cellStyle name="60% - 강조색3 9 7" xfId="0"/>
    <cellStyle name="60% - 강조색3 9 8" xfId="0"/>
    <cellStyle name="60% - 강조색3 9 9" xfId="0"/>
    <cellStyle name="60% - 강조색4 10" xfId="0"/>
    <cellStyle name="60% - 강조색4 10 2" xfId="0"/>
    <cellStyle name="60% - 강조색4 10 2 2" xfId="0"/>
    <cellStyle name="60% - 강조색4 10 3" xfId="0"/>
    <cellStyle name="60% - 강조색4 10 3 2" xfId="0"/>
    <cellStyle name="60% - 강조색4 10 4" xfId="0"/>
    <cellStyle name="60% - 강조색4 10 4 2" xfId="0"/>
    <cellStyle name="60% - 강조색4 10 5" xfId="0"/>
    <cellStyle name="60% - 강조색4 10 6" xfId="0"/>
    <cellStyle name="60% - 강조색4 10 7" xfId="0"/>
    <cellStyle name="60% - 강조색4 11" xfId="0"/>
    <cellStyle name="60% - 강조색4 11 2" xfId="0"/>
    <cellStyle name="60% - 강조색4 11 2 2" xfId="0"/>
    <cellStyle name="60% - 강조색4 11 3" xfId="0"/>
    <cellStyle name="60% - 강조색4 11 3 2" xfId="0"/>
    <cellStyle name="60% - 강조색4 11 4" xfId="0"/>
    <cellStyle name="60% - 강조색4 11 4 2" xfId="0"/>
    <cellStyle name="60% - 강조색4 11 5" xfId="0"/>
    <cellStyle name="60% - 강조색4 11 6" xfId="0"/>
    <cellStyle name="60% - 강조색4 11 7" xfId="0"/>
    <cellStyle name="60% - 강조색4 12" xfId="0"/>
    <cellStyle name="60% - 강조색4 12 2" xfId="0"/>
    <cellStyle name="60% - 강조색4 12 3" xfId="0"/>
    <cellStyle name="60% - 강조색4 12 4" xfId="0"/>
    <cellStyle name="60% - 강조색4 12 5" xfId="0"/>
    <cellStyle name="60% - 강조색4 13" xfId="0"/>
    <cellStyle name="60% - 강조색4 13 2" xfId="0"/>
    <cellStyle name="60% - 강조색4 13 3" xfId="0"/>
    <cellStyle name="60% - 강조색4 13 4" xfId="0"/>
    <cellStyle name="60% - 강조색4 13 5" xfId="0"/>
    <cellStyle name="60% - 강조색4 14" xfId="0"/>
    <cellStyle name="60% - 강조색4 14 2" xfId="0"/>
    <cellStyle name="60% - 강조색4 15" xfId="0"/>
    <cellStyle name="60% - 강조색4 15 2" xfId="0"/>
    <cellStyle name="60% - 강조색4 16" xfId="0"/>
    <cellStyle name="60% - 강조색4 16 2" xfId="0"/>
    <cellStyle name="60% - 강조색4 17" xfId="0"/>
    <cellStyle name="60% - 강조색4 17 2" xfId="0"/>
    <cellStyle name="60% - 강조색4 18" xfId="0"/>
    <cellStyle name="60% - 강조색4 19" xfId="0"/>
    <cellStyle name="60% - 강조색4 2" xfId="0"/>
    <cellStyle name="60% - 강조색4 2 10" xfId="0"/>
    <cellStyle name="60% - 강조색4 2 11" xfId="0"/>
    <cellStyle name="60% - 강조색4 2 12" xfId="0"/>
    <cellStyle name="60% - 강조색4 2 13" xfId="0"/>
    <cellStyle name="60% - 강조색4 2 2" xfId="0"/>
    <cellStyle name="60% - 강조색4 2 2 10" xfId="0"/>
    <cellStyle name="60% - 강조색4 2 2 2" xfId="0"/>
    <cellStyle name="60% - 강조색4 2 2 3" xfId="0"/>
    <cellStyle name="60% - 강조색4 2 2 4" xfId="0"/>
    <cellStyle name="60% - 강조색4 2 2 5" xfId="0"/>
    <cellStyle name="60% - 강조색4 2 2 6" xfId="0"/>
    <cellStyle name="60% - 강조색4 2 2 7" xfId="0"/>
    <cellStyle name="60% - 강조색4 2 2 8" xfId="0"/>
    <cellStyle name="60% - 강조색4 2 2 9" xfId="0"/>
    <cellStyle name="60% - 강조색4 2 3" xfId="0"/>
    <cellStyle name="60% - 강조색4 2 3 10" xfId="0"/>
    <cellStyle name="60% - 강조색4 2 3 2" xfId="0"/>
    <cellStyle name="60% - 강조색4 2 3 3" xfId="0"/>
    <cellStyle name="60% - 강조색4 2 3 4" xfId="0"/>
    <cellStyle name="60% - 강조색4 2 3 5" xfId="0"/>
    <cellStyle name="60% - 강조색4 2 3 6" xfId="0"/>
    <cellStyle name="60% - 강조색4 2 3 7" xfId="0"/>
    <cellStyle name="60% - 강조색4 2 3 8" xfId="0"/>
    <cellStyle name="60% - 강조색4 2 3 9" xfId="0"/>
    <cellStyle name="60% - 강조색4 2 4" xfId="0"/>
    <cellStyle name="60% - 강조색4 2 4 10" xfId="0"/>
    <cellStyle name="60% - 강조색4 2 4 2" xfId="0"/>
    <cellStyle name="60% - 강조색4 2 4 3" xfId="0"/>
    <cellStyle name="60% - 강조색4 2 4 4" xfId="0"/>
    <cellStyle name="60% - 강조색4 2 4 5" xfId="0"/>
    <cellStyle name="60% - 강조색4 2 4 6" xfId="0"/>
    <cellStyle name="60% - 강조색4 2 4 7" xfId="0"/>
    <cellStyle name="60% - 강조색4 2 4 8" xfId="0"/>
    <cellStyle name="60% - 강조색4 2 4 9" xfId="0"/>
    <cellStyle name="60% - 강조색4 2 5" xfId="0"/>
    <cellStyle name="60% - 강조색4 2 5 10" xfId="0"/>
    <cellStyle name="60% - 강조색4 2 5 2" xfId="0"/>
    <cellStyle name="60% - 강조색4 2 5 3" xfId="0"/>
    <cellStyle name="60% - 강조색4 2 5 4" xfId="0"/>
    <cellStyle name="60% - 강조색4 2 5 5" xfId="0"/>
    <cellStyle name="60% - 강조색4 2 5 6" xfId="0"/>
    <cellStyle name="60% - 강조색4 2 5 7" xfId="0"/>
    <cellStyle name="60% - 강조색4 2 5 8" xfId="0"/>
    <cellStyle name="60% - 강조색4 2 5 9" xfId="0"/>
    <cellStyle name="60% - 강조색4 2 6" xfId="0"/>
    <cellStyle name="60% - 강조색4 2 6 10" xfId="0"/>
    <cellStyle name="60% - 강조색4 2 6 2" xfId="0"/>
    <cellStyle name="60% - 강조색4 2 6 3" xfId="0"/>
    <cellStyle name="60% - 강조색4 2 6 4" xfId="0"/>
    <cellStyle name="60% - 강조색4 2 6 5" xfId="0"/>
    <cellStyle name="60% - 강조색4 2 6 6" xfId="0"/>
    <cellStyle name="60% - 강조색4 2 6 7" xfId="0"/>
    <cellStyle name="60% - 강조색4 2 6 8" xfId="0"/>
    <cellStyle name="60% - 강조색4 2 6 9" xfId="0"/>
    <cellStyle name="60% - 강조색4 2 7" xfId="0"/>
    <cellStyle name="60% - 강조색4 2 7 10" xfId="0"/>
    <cellStyle name="60% - 강조색4 2 7 2" xfId="0"/>
    <cellStyle name="60% - 강조색4 2 7 3" xfId="0"/>
    <cellStyle name="60% - 강조색4 2 7 4" xfId="0"/>
    <cellStyle name="60% - 강조색4 2 7 5" xfId="0"/>
    <cellStyle name="60% - 강조색4 2 7 6" xfId="0"/>
    <cellStyle name="60% - 강조색4 2 7 7" xfId="0"/>
    <cellStyle name="60% - 강조색4 2 7 8" xfId="0"/>
    <cellStyle name="60% - 강조색4 2 7 9" xfId="0"/>
    <cellStyle name="60% - 강조색4 2 8" xfId="0"/>
    <cellStyle name="60% - 강조색4 2 8 2" xfId="0"/>
    <cellStyle name="60% - 강조색4 2 9" xfId="0"/>
    <cellStyle name="60% - 강조색4 20" xfId="0"/>
    <cellStyle name="60% - 강조색4 21" xfId="0"/>
    <cellStyle name="60% - 강조색4 22" xfId="0"/>
    <cellStyle name="60% - 강조색4 23" xfId="0"/>
    <cellStyle name="60% - 강조색4 24" xfId="0"/>
    <cellStyle name="60% - 강조색4 25" xfId="0"/>
    <cellStyle name="60% - 강조색4 26" xfId="0"/>
    <cellStyle name="60% - 강조색4 27" xfId="0"/>
    <cellStyle name="60% - 강조색4 2_3300현금및예치금" xfId="0"/>
    <cellStyle name="60% - 강조색4 3" xfId="0"/>
    <cellStyle name="60% - 강조색4 3 10" xfId="0"/>
    <cellStyle name="60% - 강조색4 3 10 2" xfId="0"/>
    <cellStyle name="60% - 강조색4 3 11" xfId="0"/>
    <cellStyle name="60% - 강조색4 3 11 2" xfId="0"/>
    <cellStyle name="60% - 강조색4 3 12" xfId="0"/>
    <cellStyle name="60% - 강조색4 3 12 2" xfId="0"/>
    <cellStyle name="60% - 강조색4 3 13" xfId="0"/>
    <cellStyle name="60% - 강조색4 3 14" xfId="0"/>
    <cellStyle name="60% - 강조색4 3 15" xfId="0"/>
    <cellStyle name="60% - 강조색4 3 16" xfId="0"/>
    <cellStyle name="60% - 강조색4 3 17" xfId="0"/>
    <cellStyle name="60% - 강조색4 3 18" xfId="0"/>
    <cellStyle name="60% - 강조색4 3 19" xfId="0"/>
    <cellStyle name="60% - 강조색4 3 2" xfId="0"/>
    <cellStyle name="60% - 강조색4 3 2 2" xfId="0"/>
    <cellStyle name="60% - 강조색4 3 2 3" xfId="0"/>
    <cellStyle name="60% - 강조색4 3 20" xfId="0"/>
    <cellStyle name="60% - 강조색4 3 3" xfId="0"/>
    <cellStyle name="60% - 강조색4 3 3 2" xfId="0"/>
    <cellStyle name="60% - 강조색4 3 3 3" xfId="0"/>
    <cellStyle name="60% - 강조색4 3 4" xfId="0"/>
    <cellStyle name="60% - 강조색4 3 4 2" xfId="0"/>
    <cellStyle name="60% - 강조색4 3 4 3" xfId="0"/>
    <cellStyle name="60% - 강조색4 3 5" xfId="0"/>
    <cellStyle name="60% - 강조색4 3 5 2" xfId="0"/>
    <cellStyle name="60% - 강조색4 3 5 3" xfId="0"/>
    <cellStyle name="60% - 강조색4 3 6" xfId="0"/>
    <cellStyle name="60% - 강조색4 3 6 2" xfId="0"/>
    <cellStyle name="60% - 강조색4 3 6 3" xfId="0"/>
    <cellStyle name="60% - 강조색4 3 7" xfId="0"/>
    <cellStyle name="60% - 강조색4 3 7 2" xfId="0"/>
    <cellStyle name="60% - 강조색4 3 7 3" xfId="0"/>
    <cellStyle name="60% - 강조색4 3 8" xfId="0"/>
    <cellStyle name="60% - 강조색4 3 8 2" xfId="0"/>
    <cellStyle name="60% - 강조색4 3 8 3" xfId="0"/>
    <cellStyle name="60% - 강조색4 3 9" xfId="0"/>
    <cellStyle name="60% - 강조색4 3 9 2" xfId="0"/>
    <cellStyle name="60% - 강조색4 3_운용자산별 손익분석" xfId="0"/>
    <cellStyle name="60% - 강조색4 4" xfId="0"/>
    <cellStyle name="60% - 강조색4 4 10" xfId="0"/>
    <cellStyle name="60% - 강조색4 4 11" xfId="0"/>
    <cellStyle name="60% - 강조색4 4 12" xfId="0"/>
    <cellStyle name="60% - 강조색4 4 13" xfId="0"/>
    <cellStyle name="60% - 강조색4 4 2" xfId="0"/>
    <cellStyle name="60% - 강조색4 4 3" xfId="0"/>
    <cellStyle name="60% - 강조색4 4 4" xfId="0"/>
    <cellStyle name="60% - 강조색4 4 5" xfId="0"/>
    <cellStyle name="60% - 강조색4 4 6" xfId="0"/>
    <cellStyle name="60% - 강조색4 4 7" xfId="0"/>
    <cellStyle name="60% - 강조색4 4 8" xfId="0"/>
    <cellStyle name="60% - 강조색4 4 9" xfId="0"/>
    <cellStyle name="60% - 강조색4 4_운용자산별 손익분석" xfId="0"/>
    <cellStyle name="60% - 강조색4 5" xfId="0"/>
    <cellStyle name="60% - 강조색4 5 10" xfId="0"/>
    <cellStyle name="60% - 강조색4 5 11" xfId="0"/>
    <cellStyle name="60% - 강조색4 5 12" xfId="0"/>
    <cellStyle name="60% - 강조색4 5 13" xfId="0"/>
    <cellStyle name="60% - 강조색4 5 14" xfId="0"/>
    <cellStyle name="60% - 강조색4 5 15" xfId="0"/>
    <cellStyle name="60% - 강조색4 5 16" xfId="0"/>
    <cellStyle name="60% - 강조색4 5 17" xfId="0"/>
    <cellStyle name="60% - 강조색4 5 18" xfId="0"/>
    <cellStyle name="60% - 강조색4 5 19" xfId="0"/>
    <cellStyle name="60% - 강조색4 5 2" xfId="0"/>
    <cellStyle name="60% - 강조색4 5 20" xfId="0"/>
    <cellStyle name="60% - 강조색4 5 21" xfId="0"/>
    <cellStyle name="60% - 강조색4 5 22" xfId="0"/>
    <cellStyle name="60% - 강조색4 5 23" xfId="0"/>
    <cellStyle name="60% - 강조색4 5 24" xfId="0"/>
    <cellStyle name="60% - 강조색4 5 25" xfId="0"/>
    <cellStyle name="60% - 강조색4 5 26" xfId="0"/>
    <cellStyle name="60% - 강조색4 5 27" xfId="0"/>
    <cellStyle name="60% - 강조색4 5 28" xfId="0"/>
    <cellStyle name="60% - 강조색4 5 29" xfId="0"/>
    <cellStyle name="60% - 강조색4 5 3" xfId="0"/>
    <cellStyle name="60% - 강조색4 5 30" xfId="0"/>
    <cellStyle name="60% - 강조색4 5 31" xfId="0"/>
    <cellStyle name="60% - 강조색4 5 32" xfId="0"/>
    <cellStyle name="60% - 강조색4 5 33" xfId="0"/>
    <cellStyle name="60% - 강조색4 5 34" xfId="0"/>
    <cellStyle name="60% - 강조색4 5 4" xfId="0"/>
    <cellStyle name="60% - 강조색4 5 5" xfId="0"/>
    <cellStyle name="60% - 강조색4 5 6" xfId="0"/>
    <cellStyle name="60% - 강조색4 5 7" xfId="0"/>
    <cellStyle name="60% - 강조색4 5 8" xfId="0"/>
    <cellStyle name="60% - 강조색4 5 9" xfId="0"/>
    <cellStyle name="60% - 강조색4 6" xfId="0"/>
    <cellStyle name="60% - 강조색4 6 10" xfId="0"/>
    <cellStyle name="60% - 강조색4 6 11" xfId="0"/>
    <cellStyle name="60% - 강조색4 6 12" xfId="0"/>
    <cellStyle name="60% - 강조색4 6 13" xfId="0"/>
    <cellStyle name="60% - 강조색4 6 14" xfId="0"/>
    <cellStyle name="60% - 강조색4 6 15" xfId="0"/>
    <cellStyle name="60% - 강조색4 6 16" xfId="0"/>
    <cellStyle name="60% - 강조색4 6 17" xfId="0"/>
    <cellStyle name="60% - 강조색4 6 18" xfId="0"/>
    <cellStyle name="60% - 강조색4 6 19" xfId="0"/>
    <cellStyle name="60% - 강조색4 6 2" xfId="0"/>
    <cellStyle name="60% - 강조색4 6 20" xfId="0"/>
    <cellStyle name="60% - 강조색4 6 21" xfId="0"/>
    <cellStyle name="60% - 강조색4 6 22" xfId="0"/>
    <cellStyle name="60% - 강조색4 6 23" xfId="0"/>
    <cellStyle name="60% - 강조색4 6 24" xfId="0"/>
    <cellStyle name="60% - 강조색4 6 25" xfId="0"/>
    <cellStyle name="60% - 강조색4 6 26" xfId="0"/>
    <cellStyle name="60% - 강조색4 6 27" xfId="0"/>
    <cellStyle name="60% - 강조색4 6 28" xfId="0"/>
    <cellStyle name="60% - 강조색4 6 29" xfId="0"/>
    <cellStyle name="60% - 강조색4 6 3" xfId="0"/>
    <cellStyle name="60% - 강조색4 6 30" xfId="0"/>
    <cellStyle name="60% - 강조색4 6 4" xfId="0"/>
    <cellStyle name="60% - 강조색4 6 5" xfId="0"/>
    <cellStyle name="60% - 강조색4 6 6" xfId="0"/>
    <cellStyle name="60% - 강조색4 6 7" xfId="0"/>
    <cellStyle name="60% - 강조색4 6 8" xfId="0"/>
    <cellStyle name="60% - 강조색4 6 9" xfId="0"/>
    <cellStyle name="60% - 강조색4 7" xfId="0"/>
    <cellStyle name="60% - 강조색4 7 10" xfId="0"/>
    <cellStyle name="60% - 강조색4 7 11" xfId="0"/>
    <cellStyle name="60% - 강조색4 7 12" xfId="0"/>
    <cellStyle name="60% - 강조색4 7 13" xfId="0"/>
    <cellStyle name="60% - 강조색4 7 14" xfId="0"/>
    <cellStyle name="60% - 강조색4 7 15" xfId="0"/>
    <cellStyle name="60% - 강조색4 7 2" xfId="0"/>
    <cellStyle name="60% - 강조색4 7 2 2" xfId="0"/>
    <cellStyle name="60% - 강조색4 7 3" xfId="0"/>
    <cellStyle name="60% - 강조색4 7 3 2" xfId="0"/>
    <cellStyle name="60% - 강조색4 7 4" xfId="0"/>
    <cellStyle name="60% - 강조색4 7 4 2" xfId="0"/>
    <cellStyle name="60% - 강조색4 7 5" xfId="0"/>
    <cellStyle name="60% - 강조색4 7 5 2" xfId="0"/>
    <cellStyle name="60% - 강조색4 7 6" xfId="0"/>
    <cellStyle name="60% - 강조색4 7 6 2" xfId="0"/>
    <cellStyle name="60% - 강조색4 7 7" xfId="0"/>
    <cellStyle name="60% - 강조색4 7 8" xfId="0"/>
    <cellStyle name="60% - 강조색4 7 9" xfId="0"/>
    <cellStyle name="60% - 강조색4 8" xfId="0"/>
    <cellStyle name="60% - 강조색4 8 10" xfId="0"/>
    <cellStyle name="60% - 강조색4 8 11" xfId="0"/>
    <cellStyle name="60% - 강조색4 8 12" xfId="0"/>
    <cellStyle name="60% - 강조색4 8 13" xfId="0"/>
    <cellStyle name="60% - 강조색4 8 14" xfId="0"/>
    <cellStyle name="60% - 강조색4 8 2" xfId="0"/>
    <cellStyle name="60% - 강조색4 8 2 2" xfId="0"/>
    <cellStyle name="60% - 강조색4 8 3" xfId="0"/>
    <cellStyle name="60% - 강조색4 8 3 2" xfId="0"/>
    <cellStyle name="60% - 강조색4 8 4" xfId="0"/>
    <cellStyle name="60% - 강조색4 8 4 2" xfId="0"/>
    <cellStyle name="60% - 강조색4 8 5" xfId="0"/>
    <cellStyle name="60% - 강조색4 8 5 2" xfId="0"/>
    <cellStyle name="60% - 강조색4 8 6" xfId="0"/>
    <cellStyle name="60% - 강조색4 8 6 2" xfId="0"/>
    <cellStyle name="60% - 강조색4 8 7" xfId="0"/>
    <cellStyle name="60% - 강조색4 8 8" xfId="0"/>
    <cellStyle name="60% - 강조색4 8 9" xfId="0"/>
    <cellStyle name="60% - 강조색4 9" xfId="0"/>
    <cellStyle name="60% - 강조색4 9 10" xfId="0"/>
    <cellStyle name="60% - 강조색4 9 11" xfId="0"/>
    <cellStyle name="60% - 강조색4 9 12" xfId="0"/>
    <cellStyle name="60% - 강조색4 9 13" xfId="0"/>
    <cellStyle name="60% - 강조색4 9 14" xfId="0"/>
    <cellStyle name="60% - 강조색4 9 2" xfId="0"/>
    <cellStyle name="60% - 강조색4 9 2 2" xfId="0"/>
    <cellStyle name="60% - 강조색4 9 3" xfId="0"/>
    <cellStyle name="60% - 강조색4 9 3 2" xfId="0"/>
    <cellStyle name="60% - 강조색4 9 4" xfId="0"/>
    <cellStyle name="60% - 강조색4 9 4 2" xfId="0"/>
    <cellStyle name="60% - 강조색4 9 5" xfId="0"/>
    <cellStyle name="60% - 강조색4 9 5 2" xfId="0"/>
    <cellStyle name="60% - 강조색4 9 6" xfId="0"/>
    <cellStyle name="60% - 강조색4 9 6 2" xfId="0"/>
    <cellStyle name="60% - 강조색4 9 7" xfId="0"/>
    <cellStyle name="60% - 강조색4 9 8" xfId="0"/>
    <cellStyle name="60% - 강조색4 9 9" xfId="0"/>
    <cellStyle name="60% - 강조색5 10" xfId="0"/>
    <cellStyle name="60% - 강조색5 10 2" xfId="0"/>
    <cellStyle name="60% - 강조색5 10 2 2" xfId="0"/>
    <cellStyle name="60% - 강조색5 10 3" xfId="0"/>
    <cellStyle name="60% - 강조색5 10 3 2" xfId="0"/>
    <cellStyle name="60% - 강조색5 10 4" xfId="0"/>
    <cellStyle name="60% - 강조색5 10 4 2" xfId="0"/>
    <cellStyle name="60% - 강조색5 10 5" xfId="0"/>
    <cellStyle name="60% - 강조색5 10 6" xfId="0"/>
    <cellStyle name="60% - 강조색5 10 7" xfId="0"/>
    <cellStyle name="60% - 강조색5 11" xfId="0"/>
    <cellStyle name="60% - 강조색5 11 2" xfId="0"/>
    <cellStyle name="60% - 강조색5 11 2 2" xfId="0"/>
    <cellStyle name="60% - 강조색5 11 3" xfId="0"/>
    <cellStyle name="60% - 강조색5 11 3 2" xfId="0"/>
    <cellStyle name="60% - 강조색5 11 4" xfId="0"/>
    <cellStyle name="60% - 강조색5 11 4 2" xfId="0"/>
    <cellStyle name="60% - 강조색5 11 5" xfId="0"/>
    <cellStyle name="60% - 강조색5 11 6" xfId="0"/>
    <cellStyle name="60% - 강조색5 11 7" xfId="0"/>
    <cellStyle name="60% - 강조색5 12" xfId="0"/>
    <cellStyle name="60% - 강조색5 12 2" xfId="0"/>
    <cellStyle name="60% - 강조색5 12 3" xfId="0"/>
    <cellStyle name="60% - 강조색5 12 4" xfId="0"/>
    <cellStyle name="60% - 강조색5 12 5" xfId="0"/>
    <cellStyle name="60% - 강조색5 13" xfId="0"/>
    <cellStyle name="60% - 강조색5 13 2" xfId="0"/>
    <cellStyle name="60% - 강조색5 13 3" xfId="0"/>
    <cellStyle name="60% - 강조색5 13 4" xfId="0"/>
    <cellStyle name="60% - 강조색5 13 5" xfId="0"/>
    <cellStyle name="60% - 강조색5 14" xfId="0"/>
    <cellStyle name="60% - 강조색5 14 2" xfId="0"/>
    <cellStyle name="60% - 강조색5 15" xfId="0"/>
    <cellStyle name="60% - 강조색5 15 2" xfId="0"/>
    <cellStyle name="60% - 강조색5 16" xfId="0"/>
    <cellStyle name="60% - 강조색5 16 2" xfId="0"/>
    <cellStyle name="60% - 강조색5 17" xfId="0"/>
    <cellStyle name="60% - 강조색5 17 2" xfId="0"/>
    <cellStyle name="60% - 강조색5 18" xfId="0"/>
    <cellStyle name="60% - 강조색5 19" xfId="0"/>
    <cellStyle name="60% - 강조색5 2" xfId="0"/>
    <cellStyle name="60% - 강조색5 2 10" xfId="0"/>
    <cellStyle name="60% - 강조색5 2 11" xfId="0"/>
    <cellStyle name="60% - 강조색5 2 12" xfId="0"/>
    <cellStyle name="60% - 강조색5 2 13" xfId="0"/>
    <cellStyle name="60% - 강조색5 2 2" xfId="0"/>
    <cellStyle name="60% - 강조색5 2 2 10" xfId="0"/>
    <cellStyle name="60% - 강조색5 2 2 2" xfId="0"/>
    <cellStyle name="60% - 강조색5 2 2 3" xfId="0"/>
    <cellStyle name="60% - 강조색5 2 2 4" xfId="0"/>
    <cellStyle name="60% - 강조색5 2 2 5" xfId="0"/>
    <cellStyle name="60% - 강조색5 2 2 6" xfId="0"/>
    <cellStyle name="60% - 강조색5 2 2 7" xfId="0"/>
    <cellStyle name="60% - 강조색5 2 2 8" xfId="0"/>
    <cellStyle name="60% - 강조색5 2 2 9" xfId="0"/>
    <cellStyle name="60% - 강조색5 2 3" xfId="0"/>
    <cellStyle name="60% - 강조색5 2 3 10" xfId="0"/>
    <cellStyle name="60% - 강조색5 2 3 2" xfId="0"/>
    <cellStyle name="60% - 강조색5 2 3 3" xfId="0"/>
    <cellStyle name="60% - 강조색5 2 3 4" xfId="0"/>
    <cellStyle name="60% - 강조색5 2 3 5" xfId="0"/>
    <cellStyle name="60% - 강조색5 2 3 6" xfId="0"/>
    <cellStyle name="60% - 강조색5 2 3 7" xfId="0"/>
    <cellStyle name="60% - 강조색5 2 3 8" xfId="0"/>
    <cellStyle name="60% - 강조색5 2 3 9" xfId="0"/>
    <cellStyle name="60% - 강조색5 2 4" xfId="0"/>
    <cellStyle name="60% - 강조색5 2 4 10" xfId="0"/>
    <cellStyle name="60% - 강조색5 2 4 2" xfId="0"/>
    <cellStyle name="60% - 강조색5 2 4 3" xfId="0"/>
    <cellStyle name="60% - 강조색5 2 4 4" xfId="0"/>
    <cellStyle name="60% - 강조색5 2 4 5" xfId="0"/>
    <cellStyle name="60% - 강조색5 2 4 6" xfId="0"/>
    <cellStyle name="60% - 강조색5 2 4 7" xfId="0"/>
    <cellStyle name="60% - 강조색5 2 4 8" xfId="0"/>
    <cellStyle name="60% - 강조색5 2 4 9" xfId="0"/>
    <cellStyle name="60% - 강조색5 2 5" xfId="0"/>
    <cellStyle name="60% - 강조색5 2 5 10" xfId="0"/>
    <cellStyle name="60% - 강조색5 2 5 2" xfId="0"/>
    <cellStyle name="60% - 강조색5 2 5 3" xfId="0"/>
    <cellStyle name="60% - 강조색5 2 5 4" xfId="0"/>
    <cellStyle name="60% - 강조색5 2 5 5" xfId="0"/>
    <cellStyle name="60% - 강조색5 2 5 6" xfId="0"/>
    <cellStyle name="60% - 강조색5 2 5 7" xfId="0"/>
    <cellStyle name="60% - 강조색5 2 5 8" xfId="0"/>
    <cellStyle name="60% - 강조색5 2 5 9" xfId="0"/>
    <cellStyle name="60% - 강조색5 2 6" xfId="0"/>
    <cellStyle name="60% - 강조색5 2 6 10" xfId="0"/>
    <cellStyle name="60% - 강조색5 2 6 2" xfId="0"/>
    <cellStyle name="60% - 강조색5 2 6 3" xfId="0"/>
    <cellStyle name="60% - 강조색5 2 6 4" xfId="0"/>
    <cellStyle name="60% - 강조색5 2 6 5" xfId="0"/>
    <cellStyle name="60% - 강조색5 2 6 6" xfId="0"/>
    <cellStyle name="60% - 강조색5 2 6 7" xfId="0"/>
    <cellStyle name="60% - 강조색5 2 6 8" xfId="0"/>
    <cellStyle name="60% - 강조색5 2 6 9" xfId="0"/>
    <cellStyle name="60% - 강조색5 2 7" xfId="0"/>
    <cellStyle name="60% - 강조색5 2 7 10" xfId="0"/>
    <cellStyle name="60% - 강조색5 2 7 2" xfId="0"/>
    <cellStyle name="60% - 강조색5 2 7 3" xfId="0"/>
    <cellStyle name="60% - 강조색5 2 7 4" xfId="0"/>
    <cellStyle name="60% - 강조색5 2 7 5" xfId="0"/>
    <cellStyle name="60% - 강조색5 2 7 6" xfId="0"/>
    <cellStyle name="60% - 강조색5 2 7 7" xfId="0"/>
    <cellStyle name="60% - 강조색5 2 7 8" xfId="0"/>
    <cellStyle name="60% - 강조색5 2 7 9" xfId="0"/>
    <cellStyle name="60% - 강조색5 2 8" xfId="0"/>
    <cellStyle name="60% - 강조색5 2 8 2" xfId="0"/>
    <cellStyle name="60% - 강조색5 2 9" xfId="0"/>
    <cellStyle name="60% - 강조색5 20" xfId="0"/>
    <cellStyle name="60% - 강조색5 21" xfId="0"/>
    <cellStyle name="60% - 강조색5 22" xfId="0"/>
    <cellStyle name="60% - 강조색5 23" xfId="0"/>
    <cellStyle name="60% - 강조색5 24" xfId="0"/>
    <cellStyle name="60% - 강조색5 25" xfId="0"/>
    <cellStyle name="60% - 강조색5 26" xfId="0"/>
    <cellStyle name="60% - 강조색5 27" xfId="0"/>
    <cellStyle name="60% - 강조색5 2_3300현금및예치금" xfId="0"/>
    <cellStyle name="60% - 강조색5 3" xfId="0"/>
    <cellStyle name="60% - 강조색5 3 10" xfId="0"/>
    <cellStyle name="60% - 강조색5 3 10 2" xfId="0"/>
    <cellStyle name="60% - 강조색5 3 11" xfId="0"/>
    <cellStyle name="60% - 강조색5 3 11 2" xfId="0"/>
    <cellStyle name="60% - 강조색5 3 12" xfId="0"/>
    <cellStyle name="60% - 강조색5 3 12 2" xfId="0"/>
    <cellStyle name="60% - 강조색5 3 13" xfId="0"/>
    <cellStyle name="60% - 강조색5 3 14" xfId="0"/>
    <cellStyle name="60% - 강조색5 3 15" xfId="0"/>
    <cellStyle name="60% - 강조색5 3 16" xfId="0"/>
    <cellStyle name="60% - 강조색5 3 17" xfId="0"/>
    <cellStyle name="60% - 강조색5 3 18" xfId="0"/>
    <cellStyle name="60% - 강조색5 3 19" xfId="0"/>
    <cellStyle name="60% - 강조색5 3 2" xfId="0"/>
    <cellStyle name="60% - 강조색5 3 2 2" xfId="0"/>
    <cellStyle name="60% - 강조색5 3 2 3" xfId="0"/>
    <cellStyle name="60% - 강조색5 3 20" xfId="0"/>
    <cellStyle name="60% - 강조색5 3 3" xfId="0"/>
    <cellStyle name="60% - 강조색5 3 3 2" xfId="0"/>
    <cellStyle name="60% - 강조색5 3 3 3" xfId="0"/>
    <cellStyle name="60% - 강조색5 3 4" xfId="0"/>
    <cellStyle name="60% - 강조색5 3 4 2" xfId="0"/>
    <cellStyle name="60% - 강조색5 3 4 3" xfId="0"/>
    <cellStyle name="60% - 강조색5 3 5" xfId="0"/>
    <cellStyle name="60% - 강조색5 3 5 2" xfId="0"/>
    <cellStyle name="60% - 강조색5 3 5 3" xfId="0"/>
    <cellStyle name="60% - 강조색5 3 6" xfId="0"/>
    <cellStyle name="60% - 강조색5 3 6 2" xfId="0"/>
    <cellStyle name="60% - 강조색5 3 6 3" xfId="0"/>
    <cellStyle name="60% - 강조색5 3 7" xfId="0"/>
    <cellStyle name="60% - 강조색5 3 7 2" xfId="0"/>
    <cellStyle name="60% - 강조색5 3 7 3" xfId="0"/>
    <cellStyle name="60% - 강조색5 3 8" xfId="0"/>
    <cellStyle name="60% - 강조색5 3 8 2" xfId="0"/>
    <cellStyle name="60% - 강조색5 3 8 3" xfId="0"/>
    <cellStyle name="60% - 강조색5 3 9" xfId="0"/>
    <cellStyle name="60% - 강조색5 3 9 2" xfId="0"/>
    <cellStyle name="60% - 강조색5 3_운용자산별 손익분석" xfId="0"/>
    <cellStyle name="60% - 강조색5 4" xfId="0"/>
    <cellStyle name="60% - 강조색5 4 10" xfId="0"/>
    <cellStyle name="60% - 강조색5 4 11" xfId="0"/>
    <cellStyle name="60% - 강조색5 4 12" xfId="0"/>
    <cellStyle name="60% - 강조색5 4 13" xfId="0"/>
    <cellStyle name="60% - 강조색5 4 2" xfId="0"/>
    <cellStyle name="60% - 강조색5 4 3" xfId="0"/>
    <cellStyle name="60% - 강조색5 4 4" xfId="0"/>
    <cellStyle name="60% - 강조색5 4 5" xfId="0"/>
    <cellStyle name="60% - 강조색5 4 6" xfId="0"/>
    <cellStyle name="60% - 강조색5 4 7" xfId="0"/>
    <cellStyle name="60% - 강조색5 4 8" xfId="0"/>
    <cellStyle name="60% - 강조색5 4 9" xfId="0"/>
    <cellStyle name="60% - 강조색5 4_운용자산별 손익분석" xfId="0"/>
    <cellStyle name="60% - 강조색5 5" xfId="0"/>
    <cellStyle name="60% - 강조색5 5 10" xfId="0"/>
    <cellStyle name="60% - 강조색5 5 11" xfId="0"/>
    <cellStyle name="60% - 강조색5 5 12" xfId="0"/>
    <cellStyle name="60% - 강조색5 5 13" xfId="0"/>
    <cellStyle name="60% - 강조색5 5 14" xfId="0"/>
    <cellStyle name="60% - 강조색5 5 15" xfId="0"/>
    <cellStyle name="60% - 강조색5 5 16" xfId="0"/>
    <cellStyle name="60% - 강조색5 5 17" xfId="0"/>
    <cellStyle name="60% - 강조색5 5 18" xfId="0"/>
    <cellStyle name="60% - 강조색5 5 19" xfId="0"/>
    <cellStyle name="60% - 강조색5 5 2" xfId="0"/>
    <cellStyle name="60% - 강조색5 5 20" xfId="0"/>
    <cellStyle name="60% - 강조색5 5 21" xfId="0"/>
    <cellStyle name="60% - 강조색5 5 22" xfId="0"/>
    <cellStyle name="60% - 강조색5 5 23" xfId="0"/>
    <cellStyle name="60% - 강조색5 5 24" xfId="0"/>
    <cellStyle name="60% - 강조색5 5 25" xfId="0"/>
    <cellStyle name="60% - 강조색5 5 26" xfId="0"/>
    <cellStyle name="60% - 강조색5 5 27" xfId="0"/>
    <cellStyle name="60% - 강조색5 5 28" xfId="0"/>
    <cellStyle name="60% - 강조색5 5 29" xfId="0"/>
    <cellStyle name="60% - 강조색5 5 3" xfId="0"/>
    <cellStyle name="60% - 강조색5 5 30" xfId="0"/>
    <cellStyle name="60% - 강조색5 5 31" xfId="0"/>
    <cellStyle name="60% - 강조색5 5 32" xfId="0"/>
    <cellStyle name="60% - 강조색5 5 33" xfId="0"/>
    <cellStyle name="60% - 강조색5 5 34" xfId="0"/>
    <cellStyle name="60% - 강조색5 5 4" xfId="0"/>
    <cellStyle name="60% - 강조색5 5 5" xfId="0"/>
    <cellStyle name="60% - 강조색5 5 6" xfId="0"/>
    <cellStyle name="60% - 강조색5 5 7" xfId="0"/>
    <cellStyle name="60% - 강조색5 5 8" xfId="0"/>
    <cellStyle name="60% - 강조색5 5 9" xfId="0"/>
    <cellStyle name="60% - 강조색5 6" xfId="0"/>
    <cellStyle name="60% - 강조색5 6 10" xfId="0"/>
    <cellStyle name="60% - 강조색5 6 11" xfId="0"/>
    <cellStyle name="60% - 강조색5 6 12" xfId="0"/>
    <cellStyle name="60% - 강조색5 6 13" xfId="0"/>
    <cellStyle name="60% - 강조색5 6 14" xfId="0"/>
    <cellStyle name="60% - 강조색5 6 15" xfId="0"/>
    <cellStyle name="60% - 강조색5 6 16" xfId="0"/>
    <cellStyle name="60% - 강조색5 6 17" xfId="0"/>
    <cellStyle name="60% - 강조색5 6 18" xfId="0"/>
    <cellStyle name="60% - 강조색5 6 19" xfId="0"/>
    <cellStyle name="60% - 강조색5 6 2" xfId="0"/>
    <cellStyle name="60% - 강조색5 6 20" xfId="0"/>
    <cellStyle name="60% - 강조색5 6 21" xfId="0"/>
    <cellStyle name="60% - 강조색5 6 22" xfId="0"/>
    <cellStyle name="60% - 강조색5 6 23" xfId="0"/>
    <cellStyle name="60% - 강조색5 6 24" xfId="0"/>
    <cellStyle name="60% - 강조색5 6 25" xfId="0"/>
    <cellStyle name="60% - 강조색5 6 26" xfId="0"/>
    <cellStyle name="60% - 강조색5 6 27" xfId="0"/>
    <cellStyle name="60% - 강조색5 6 28" xfId="0"/>
    <cellStyle name="60% - 강조색5 6 29" xfId="0"/>
    <cellStyle name="60% - 강조색5 6 3" xfId="0"/>
    <cellStyle name="60% - 강조색5 6 30" xfId="0"/>
    <cellStyle name="60% - 강조색5 6 4" xfId="0"/>
    <cellStyle name="60% - 강조색5 6 5" xfId="0"/>
    <cellStyle name="60% - 강조색5 6 6" xfId="0"/>
    <cellStyle name="60% - 강조색5 6 7" xfId="0"/>
    <cellStyle name="60% - 강조색5 6 8" xfId="0"/>
    <cellStyle name="60% - 강조색5 6 9" xfId="0"/>
    <cellStyle name="60% - 강조색5 7" xfId="0"/>
    <cellStyle name="60% - 강조색5 7 10" xfId="0"/>
    <cellStyle name="60% - 강조색5 7 11" xfId="0"/>
    <cellStyle name="60% - 강조색5 7 12" xfId="0"/>
    <cellStyle name="60% - 강조색5 7 13" xfId="0"/>
    <cellStyle name="60% - 강조색5 7 14" xfId="0"/>
    <cellStyle name="60% - 강조색5 7 15" xfId="0"/>
    <cellStyle name="60% - 강조색5 7 2" xfId="0"/>
    <cellStyle name="60% - 강조색5 7 2 2" xfId="0"/>
    <cellStyle name="60% - 강조색5 7 3" xfId="0"/>
    <cellStyle name="60% - 강조색5 7 3 2" xfId="0"/>
    <cellStyle name="60% - 강조색5 7 4" xfId="0"/>
    <cellStyle name="60% - 강조색5 7 4 2" xfId="0"/>
    <cellStyle name="60% - 강조색5 7 5" xfId="0"/>
    <cellStyle name="60% - 강조색5 7 5 2" xfId="0"/>
    <cellStyle name="60% - 강조색5 7 6" xfId="0"/>
    <cellStyle name="60% - 강조색5 7 6 2" xfId="0"/>
    <cellStyle name="60% - 강조색5 7 7" xfId="0"/>
    <cellStyle name="60% - 강조색5 7 8" xfId="0"/>
    <cellStyle name="60% - 강조색5 7 9" xfId="0"/>
    <cellStyle name="60% - 강조색5 8" xfId="0"/>
    <cellStyle name="60% - 강조색5 8 10" xfId="0"/>
    <cellStyle name="60% - 강조색5 8 11" xfId="0"/>
    <cellStyle name="60% - 강조색5 8 12" xfId="0"/>
    <cellStyle name="60% - 강조색5 8 13" xfId="0"/>
    <cellStyle name="60% - 강조색5 8 14" xfId="0"/>
    <cellStyle name="60% - 강조색5 8 2" xfId="0"/>
    <cellStyle name="60% - 강조색5 8 2 2" xfId="0"/>
    <cellStyle name="60% - 강조색5 8 3" xfId="0"/>
    <cellStyle name="60% - 강조색5 8 3 2" xfId="0"/>
    <cellStyle name="60% - 강조색5 8 4" xfId="0"/>
    <cellStyle name="60% - 강조색5 8 4 2" xfId="0"/>
    <cellStyle name="60% - 강조색5 8 5" xfId="0"/>
    <cellStyle name="60% - 강조색5 8 5 2" xfId="0"/>
    <cellStyle name="60% - 강조색5 8 6" xfId="0"/>
    <cellStyle name="60% - 강조색5 8 6 2" xfId="0"/>
    <cellStyle name="60% - 강조색5 8 7" xfId="0"/>
    <cellStyle name="60% - 강조색5 8 8" xfId="0"/>
    <cellStyle name="60% - 강조색5 8 9" xfId="0"/>
    <cellStyle name="60% - 강조색5 9" xfId="0"/>
    <cellStyle name="60% - 강조색5 9 10" xfId="0"/>
    <cellStyle name="60% - 강조색5 9 11" xfId="0"/>
    <cellStyle name="60% - 강조색5 9 12" xfId="0"/>
    <cellStyle name="60% - 강조색5 9 13" xfId="0"/>
    <cellStyle name="60% - 강조색5 9 14" xfId="0"/>
    <cellStyle name="60% - 강조색5 9 2" xfId="0"/>
    <cellStyle name="60% - 강조색5 9 2 2" xfId="0"/>
    <cellStyle name="60% - 강조색5 9 3" xfId="0"/>
    <cellStyle name="60% - 강조색5 9 3 2" xfId="0"/>
    <cellStyle name="60% - 강조색5 9 4" xfId="0"/>
    <cellStyle name="60% - 강조색5 9 4 2" xfId="0"/>
    <cellStyle name="60% - 강조색5 9 5" xfId="0"/>
    <cellStyle name="60% - 강조색5 9 5 2" xfId="0"/>
    <cellStyle name="60% - 강조색5 9 6" xfId="0"/>
    <cellStyle name="60% - 강조색5 9 6 2" xfId="0"/>
    <cellStyle name="60% - 강조색5 9 7" xfId="0"/>
    <cellStyle name="60% - 강조색5 9 8" xfId="0"/>
    <cellStyle name="60% - 강조색5 9 9" xfId="0"/>
    <cellStyle name="60% - 강조색6 10" xfId="0"/>
    <cellStyle name="60% - 강조색6 10 2" xfId="0"/>
    <cellStyle name="60% - 강조색6 10 2 2" xfId="0"/>
    <cellStyle name="60% - 강조색6 10 3" xfId="0"/>
    <cellStyle name="60% - 강조색6 10 3 2" xfId="0"/>
    <cellStyle name="60% - 강조색6 10 4" xfId="0"/>
    <cellStyle name="60% - 강조색6 10 4 2" xfId="0"/>
    <cellStyle name="60% - 강조색6 10 5" xfId="0"/>
    <cellStyle name="60% - 강조색6 10 6" xfId="0"/>
    <cellStyle name="60% - 강조색6 10 7" xfId="0"/>
    <cellStyle name="60% - 강조색6 11" xfId="0"/>
    <cellStyle name="60% - 강조색6 11 2" xfId="0"/>
    <cellStyle name="60% - 강조색6 11 2 2" xfId="0"/>
    <cellStyle name="60% - 강조색6 11 3" xfId="0"/>
    <cellStyle name="60% - 강조색6 11 3 2" xfId="0"/>
    <cellStyle name="60% - 강조색6 11 4" xfId="0"/>
    <cellStyle name="60% - 강조색6 11 4 2" xfId="0"/>
    <cellStyle name="60% - 강조색6 11 5" xfId="0"/>
    <cellStyle name="60% - 강조색6 11 6" xfId="0"/>
    <cellStyle name="60% - 강조색6 11 7" xfId="0"/>
    <cellStyle name="60% - 강조색6 12" xfId="0"/>
    <cellStyle name="60% - 강조색6 12 2" xfId="0"/>
    <cellStyle name="60% - 강조색6 12 3" xfId="0"/>
    <cellStyle name="60% - 강조색6 12 4" xfId="0"/>
    <cellStyle name="60% - 강조색6 12 5" xfId="0"/>
    <cellStyle name="60% - 강조색6 13" xfId="0"/>
    <cellStyle name="60% - 강조색6 13 2" xfId="0"/>
    <cellStyle name="60% - 강조색6 13 3" xfId="0"/>
    <cellStyle name="60% - 강조색6 13 4" xfId="0"/>
    <cellStyle name="60% - 강조색6 13 5" xfId="0"/>
    <cellStyle name="60% - 강조색6 14" xfId="0"/>
    <cellStyle name="60% - 강조색6 14 2" xfId="0"/>
    <cellStyle name="60% - 강조색6 15" xfId="0"/>
    <cellStyle name="60% - 강조색6 15 2" xfId="0"/>
    <cellStyle name="60% - 강조색6 16" xfId="0"/>
    <cellStyle name="60% - 강조색6 16 2" xfId="0"/>
    <cellStyle name="60% - 강조색6 17" xfId="0"/>
    <cellStyle name="60% - 강조색6 17 2" xfId="0"/>
    <cellStyle name="60% - 강조색6 18" xfId="0"/>
    <cellStyle name="60% - 강조색6 19" xfId="0"/>
    <cellStyle name="60% - 강조색6 2" xfId="0"/>
    <cellStyle name="60% - 강조색6 2 10" xfId="0"/>
    <cellStyle name="60% - 강조색6 2 11" xfId="0"/>
    <cellStyle name="60% - 강조색6 2 12" xfId="0"/>
    <cellStyle name="60% - 강조색6 2 13" xfId="0"/>
    <cellStyle name="60% - 강조색6 2 2" xfId="0"/>
    <cellStyle name="60% - 강조색6 2 2 10" xfId="0"/>
    <cellStyle name="60% - 강조색6 2 2 2" xfId="0"/>
    <cellStyle name="60% - 강조색6 2 2 3" xfId="0"/>
    <cellStyle name="60% - 강조색6 2 2 4" xfId="0"/>
    <cellStyle name="60% - 강조색6 2 2 5" xfId="0"/>
    <cellStyle name="60% - 강조색6 2 2 6" xfId="0"/>
    <cellStyle name="60% - 강조색6 2 2 7" xfId="0"/>
    <cellStyle name="60% - 강조색6 2 2 8" xfId="0"/>
    <cellStyle name="60% - 강조색6 2 2 9" xfId="0"/>
    <cellStyle name="60% - 강조색6 2 3" xfId="0"/>
    <cellStyle name="60% - 강조색6 2 3 10" xfId="0"/>
    <cellStyle name="60% - 강조색6 2 3 2" xfId="0"/>
    <cellStyle name="60% - 강조색6 2 3 3" xfId="0"/>
    <cellStyle name="60% - 강조색6 2 3 4" xfId="0"/>
    <cellStyle name="60% - 강조색6 2 3 5" xfId="0"/>
    <cellStyle name="60% - 강조색6 2 3 6" xfId="0"/>
    <cellStyle name="60% - 강조색6 2 3 7" xfId="0"/>
    <cellStyle name="60% - 강조색6 2 3 8" xfId="0"/>
    <cellStyle name="60% - 강조색6 2 3 9" xfId="0"/>
    <cellStyle name="60% - 강조색6 2 4" xfId="0"/>
    <cellStyle name="60% - 강조색6 2 4 10" xfId="0"/>
    <cellStyle name="60% - 강조색6 2 4 2" xfId="0"/>
    <cellStyle name="60% - 강조색6 2 4 3" xfId="0"/>
    <cellStyle name="60% - 강조색6 2 4 4" xfId="0"/>
    <cellStyle name="60% - 강조색6 2 4 5" xfId="0"/>
    <cellStyle name="60% - 강조색6 2 4 6" xfId="0"/>
    <cellStyle name="60% - 강조색6 2 4 7" xfId="0"/>
    <cellStyle name="60% - 강조색6 2 4 8" xfId="0"/>
    <cellStyle name="60% - 강조색6 2 4 9" xfId="0"/>
    <cellStyle name="60% - 강조색6 2 5" xfId="0"/>
    <cellStyle name="60% - 강조색6 2 5 10" xfId="0"/>
    <cellStyle name="60% - 강조색6 2 5 2" xfId="0"/>
    <cellStyle name="60% - 강조색6 2 5 3" xfId="0"/>
    <cellStyle name="60% - 강조색6 2 5 4" xfId="0"/>
    <cellStyle name="60% - 강조색6 2 5 5" xfId="0"/>
    <cellStyle name="60% - 강조색6 2 5 6" xfId="0"/>
    <cellStyle name="60% - 강조색6 2 5 7" xfId="0"/>
    <cellStyle name="60% - 강조색6 2 5 8" xfId="0"/>
    <cellStyle name="60% - 강조색6 2 5 9" xfId="0"/>
    <cellStyle name="60% - 강조색6 2 6" xfId="0"/>
    <cellStyle name="60% - 강조색6 2 6 10" xfId="0"/>
    <cellStyle name="60% - 강조색6 2 6 2" xfId="0"/>
    <cellStyle name="60% - 강조색6 2 6 3" xfId="0"/>
    <cellStyle name="60% - 강조색6 2 6 4" xfId="0"/>
    <cellStyle name="60% - 강조색6 2 6 5" xfId="0"/>
    <cellStyle name="60% - 강조색6 2 6 6" xfId="0"/>
    <cellStyle name="60% - 강조색6 2 6 7" xfId="0"/>
    <cellStyle name="60% - 강조색6 2 6 8" xfId="0"/>
    <cellStyle name="60% - 강조색6 2 6 9" xfId="0"/>
    <cellStyle name="60% - 강조색6 2 7" xfId="0"/>
    <cellStyle name="60% - 강조색6 2 7 10" xfId="0"/>
    <cellStyle name="60% - 강조색6 2 7 2" xfId="0"/>
    <cellStyle name="60% - 강조색6 2 7 3" xfId="0"/>
    <cellStyle name="60% - 강조색6 2 7 4" xfId="0"/>
    <cellStyle name="60% - 강조색6 2 7 5" xfId="0"/>
    <cellStyle name="60% - 강조색6 2 7 6" xfId="0"/>
    <cellStyle name="60% - 강조색6 2 7 7" xfId="0"/>
    <cellStyle name="60% - 강조색6 2 7 8" xfId="0"/>
    <cellStyle name="60% - 강조색6 2 7 9" xfId="0"/>
    <cellStyle name="60% - 강조색6 2 8" xfId="0"/>
    <cellStyle name="60% - 강조색6 2 8 2" xfId="0"/>
    <cellStyle name="60% - 강조색6 2 9" xfId="0"/>
    <cellStyle name="60% - 강조색6 20" xfId="0"/>
    <cellStyle name="60% - 강조색6 21" xfId="0"/>
    <cellStyle name="60% - 강조색6 22" xfId="0"/>
    <cellStyle name="60% - 강조색6 23" xfId="0"/>
    <cellStyle name="60% - 강조색6 24" xfId="0"/>
    <cellStyle name="60% - 강조색6 25" xfId="0"/>
    <cellStyle name="60% - 강조색6 26" xfId="0"/>
    <cellStyle name="60% - 강조색6 27" xfId="0"/>
    <cellStyle name="60% - 강조색6 2_3300현금및예치금" xfId="0"/>
    <cellStyle name="60% - 강조색6 3" xfId="0"/>
    <cellStyle name="60% - 강조색6 3 10" xfId="0"/>
    <cellStyle name="60% - 강조색6 3 10 2" xfId="0"/>
    <cellStyle name="60% - 강조색6 3 11" xfId="0"/>
    <cellStyle name="60% - 강조색6 3 11 2" xfId="0"/>
    <cellStyle name="60% - 강조색6 3 12" xfId="0"/>
    <cellStyle name="60% - 강조색6 3 12 2" xfId="0"/>
    <cellStyle name="60% - 강조색6 3 13" xfId="0"/>
    <cellStyle name="60% - 강조색6 3 14" xfId="0"/>
    <cellStyle name="60% - 강조색6 3 15" xfId="0"/>
    <cellStyle name="60% - 강조색6 3 16" xfId="0"/>
    <cellStyle name="60% - 강조색6 3 17" xfId="0"/>
    <cellStyle name="60% - 강조색6 3 18" xfId="0"/>
    <cellStyle name="60% - 강조색6 3 19" xfId="0"/>
    <cellStyle name="60% - 강조색6 3 2" xfId="0"/>
    <cellStyle name="60% - 강조색6 3 2 2" xfId="0"/>
    <cellStyle name="60% - 강조색6 3 2 3" xfId="0"/>
    <cellStyle name="60% - 강조색6 3 20" xfId="0"/>
    <cellStyle name="60% - 강조색6 3 3" xfId="0"/>
    <cellStyle name="60% - 강조색6 3 3 2" xfId="0"/>
    <cellStyle name="60% - 강조색6 3 3 3" xfId="0"/>
    <cellStyle name="60% - 강조색6 3 4" xfId="0"/>
    <cellStyle name="60% - 강조색6 3 4 2" xfId="0"/>
    <cellStyle name="60% - 강조색6 3 4 3" xfId="0"/>
    <cellStyle name="60% - 강조색6 3 5" xfId="0"/>
    <cellStyle name="60% - 강조색6 3 5 2" xfId="0"/>
    <cellStyle name="60% - 강조색6 3 5 3" xfId="0"/>
    <cellStyle name="60% - 강조색6 3 6" xfId="0"/>
    <cellStyle name="60% - 강조색6 3 6 2" xfId="0"/>
    <cellStyle name="60% - 강조색6 3 6 3" xfId="0"/>
    <cellStyle name="60% - 강조색6 3 7" xfId="0"/>
    <cellStyle name="60% - 강조색6 3 7 2" xfId="0"/>
    <cellStyle name="60% - 강조색6 3 7 3" xfId="0"/>
    <cellStyle name="60% - 강조색6 3 8" xfId="0"/>
    <cellStyle name="60% - 강조색6 3 8 2" xfId="0"/>
    <cellStyle name="60% - 강조색6 3 8 3" xfId="0"/>
    <cellStyle name="60% - 강조색6 3 9" xfId="0"/>
    <cellStyle name="60% - 강조색6 3 9 2" xfId="0"/>
    <cellStyle name="60% - 강조색6 3_운용자산별 손익분석" xfId="0"/>
    <cellStyle name="60% - 강조색6 4" xfId="0"/>
    <cellStyle name="60% - 강조색6 4 10" xfId="0"/>
    <cellStyle name="60% - 강조색6 4 11" xfId="0"/>
    <cellStyle name="60% - 강조색6 4 12" xfId="0"/>
    <cellStyle name="60% - 강조색6 4 13" xfId="0"/>
    <cellStyle name="60% - 강조색6 4 2" xfId="0"/>
    <cellStyle name="60% - 강조색6 4 3" xfId="0"/>
    <cellStyle name="60% - 강조색6 4 4" xfId="0"/>
    <cellStyle name="60% - 강조색6 4 5" xfId="0"/>
    <cellStyle name="60% - 강조색6 4 6" xfId="0"/>
    <cellStyle name="60% - 강조색6 4 7" xfId="0"/>
    <cellStyle name="60% - 강조색6 4 8" xfId="0"/>
    <cellStyle name="60% - 강조색6 4 9" xfId="0"/>
    <cellStyle name="60% - 강조색6 4_운용자산별 손익분석" xfId="0"/>
    <cellStyle name="60% - 강조색6 5" xfId="0"/>
    <cellStyle name="60% - 강조색6 5 10" xfId="0"/>
    <cellStyle name="60% - 강조색6 5 11" xfId="0"/>
    <cellStyle name="60% - 강조색6 5 12" xfId="0"/>
    <cellStyle name="60% - 강조색6 5 13" xfId="0"/>
    <cellStyle name="60% - 강조색6 5 14" xfId="0"/>
    <cellStyle name="60% - 강조색6 5 15" xfId="0"/>
    <cellStyle name="60% - 강조색6 5 16" xfId="0"/>
    <cellStyle name="60% - 강조색6 5 17" xfId="0"/>
    <cellStyle name="60% - 강조색6 5 18" xfId="0"/>
    <cellStyle name="60% - 강조색6 5 19" xfId="0"/>
    <cellStyle name="60% - 강조색6 5 2" xfId="0"/>
    <cellStyle name="60% - 강조색6 5 20" xfId="0"/>
    <cellStyle name="60% - 강조색6 5 21" xfId="0"/>
    <cellStyle name="60% - 강조색6 5 22" xfId="0"/>
    <cellStyle name="60% - 강조색6 5 23" xfId="0"/>
    <cellStyle name="60% - 강조색6 5 24" xfId="0"/>
    <cellStyle name="60% - 강조색6 5 25" xfId="0"/>
    <cellStyle name="60% - 강조색6 5 26" xfId="0"/>
    <cellStyle name="60% - 강조색6 5 27" xfId="0"/>
    <cellStyle name="60% - 강조색6 5 28" xfId="0"/>
    <cellStyle name="60% - 강조색6 5 29" xfId="0"/>
    <cellStyle name="60% - 강조색6 5 3" xfId="0"/>
    <cellStyle name="60% - 강조색6 5 30" xfId="0"/>
    <cellStyle name="60% - 강조색6 5 31" xfId="0"/>
    <cellStyle name="60% - 강조색6 5 32" xfId="0"/>
    <cellStyle name="60% - 강조색6 5 33" xfId="0"/>
    <cellStyle name="60% - 강조색6 5 34" xfId="0"/>
    <cellStyle name="60% - 강조색6 5 4" xfId="0"/>
    <cellStyle name="60% - 강조색6 5 5" xfId="0"/>
    <cellStyle name="60% - 강조색6 5 6" xfId="0"/>
    <cellStyle name="60% - 강조색6 5 7" xfId="0"/>
    <cellStyle name="60% - 강조색6 5 8" xfId="0"/>
    <cellStyle name="60% - 강조색6 5 9" xfId="0"/>
    <cellStyle name="60% - 강조색6 6" xfId="0"/>
    <cellStyle name="60% - 강조색6 6 10" xfId="0"/>
    <cellStyle name="60% - 강조색6 6 11" xfId="0"/>
    <cellStyle name="60% - 강조색6 6 12" xfId="0"/>
    <cellStyle name="60% - 강조색6 6 13" xfId="0"/>
    <cellStyle name="60% - 강조색6 6 14" xfId="0"/>
    <cellStyle name="60% - 강조색6 6 15" xfId="0"/>
    <cellStyle name="60% - 강조색6 6 16" xfId="0"/>
    <cellStyle name="60% - 강조색6 6 17" xfId="0"/>
    <cellStyle name="60% - 강조색6 6 18" xfId="0"/>
    <cellStyle name="60% - 강조색6 6 19" xfId="0"/>
    <cellStyle name="60% - 강조색6 6 2" xfId="0"/>
    <cellStyle name="60% - 강조색6 6 20" xfId="0"/>
    <cellStyle name="60% - 강조색6 6 21" xfId="0"/>
    <cellStyle name="60% - 강조색6 6 22" xfId="0"/>
    <cellStyle name="60% - 강조색6 6 23" xfId="0"/>
    <cellStyle name="60% - 강조색6 6 24" xfId="0"/>
    <cellStyle name="60% - 강조색6 6 25" xfId="0"/>
    <cellStyle name="60% - 강조색6 6 26" xfId="0"/>
    <cellStyle name="60% - 강조색6 6 27" xfId="0"/>
    <cellStyle name="60% - 강조색6 6 28" xfId="0"/>
    <cellStyle name="60% - 강조색6 6 29" xfId="0"/>
    <cellStyle name="60% - 강조색6 6 3" xfId="0"/>
    <cellStyle name="60% - 강조색6 6 30" xfId="0"/>
    <cellStyle name="60% - 강조색6 6 4" xfId="0"/>
    <cellStyle name="60% - 강조색6 6 5" xfId="0"/>
    <cellStyle name="60% - 강조색6 6 6" xfId="0"/>
    <cellStyle name="60% - 강조색6 6 7" xfId="0"/>
    <cellStyle name="60% - 강조색6 6 8" xfId="0"/>
    <cellStyle name="60% - 강조색6 6 9" xfId="0"/>
    <cellStyle name="60% - 강조색6 7" xfId="0"/>
    <cellStyle name="60% - 강조색6 7 10" xfId="0"/>
    <cellStyle name="60% - 강조색6 7 11" xfId="0"/>
    <cellStyle name="60% - 강조색6 7 12" xfId="0"/>
    <cellStyle name="60% - 강조색6 7 13" xfId="0"/>
    <cellStyle name="60% - 강조색6 7 14" xfId="0"/>
    <cellStyle name="60% - 강조색6 7 15" xfId="0"/>
    <cellStyle name="60% - 강조색6 7 2" xfId="0"/>
    <cellStyle name="60% - 강조색6 7 2 2" xfId="0"/>
    <cellStyle name="60% - 강조색6 7 3" xfId="0"/>
    <cellStyle name="60% - 강조색6 7 3 2" xfId="0"/>
    <cellStyle name="60% - 강조색6 7 4" xfId="0"/>
    <cellStyle name="60% - 강조색6 7 4 2" xfId="0"/>
    <cellStyle name="60% - 강조색6 7 5" xfId="0"/>
    <cellStyle name="60% - 강조색6 7 5 2" xfId="0"/>
    <cellStyle name="60% - 강조색6 7 6" xfId="0"/>
    <cellStyle name="60% - 강조색6 7 6 2" xfId="0"/>
    <cellStyle name="60% - 강조색6 7 7" xfId="0"/>
    <cellStyle name="60% - 강조색6 7 8" xfId="0"/>
    <cellStyle name="60% - 강조색6 7 9" xfId="0"/>
    <cellStyle name="60% - 강조색6 8" xfId="0"/>
    <cellStyle name="60% - 강조색6 8 10" xfId="0"/>
    <cellStyle name="60% - 강조색6 8 11" xfId="0"/>
    <cellStyle name="60% - 강조색6 8 12" xfId="0"/>
    <cellStyle name="60% - 강조색6 8 13" xfId="0"/>
    <cellStyle name="60% - 강조색6 8 14" xfId="0"/>
    <cellStyle name="60% - 강조색6 8 2" xfId="0"/>
    <cellStyle name="60% - 강조색6 8 2 2" xfId="0"/>
    <cellStyle name="60% - 강조색6 8 3" xfId="0"/>
    <cellStyle name="60% - 강조색6 8 3 2" xfId="0"/>
    <cellStyle name="60% - 강조색6 8 4" xfId="0"/>
    <cellStyle name="60% - 강조색6 8 4 2" xfId="0"/>
    <cellStyle name="60% - 강조색6 8 5" xfId="0"/>
    <cellStyle name="60% - 강조색6 8 5 2" xfId="0"/>
    <cellStyle name="60% - 강조색6 8 6" xfId="0"/>
    <cellStyle name="60% - 강조색6 8 6 2" xfId="0"/>
    <cellStyle name="60% - 강조색6 8 7" xfId="0"/>
    <cellStyle name="60% - 강조색6 8 8" xfId="0"/>
    <cellStyle name="60% - 강조색6 8 9" xfId="0"/>
    <cellStyle name="60% - 강조색6 9" xfId="0"/>
    <cellStyle name="60% - 강조색6 9 10" xfId="0"/>
    <cellStyle name="60% - 강조색6 9 11" xfId="0"/>
    <cellStyle name="60% - 강조색6 9 12" xfId="0"/>
    <cellStyle name="60% - 강조색6 9 13" xfId="0"/>
    <cellStyle name="60% - 강조색6 9 14" xfId="0"/>
    <cellStyle name="60% - 강조색6 9 2" xfId="0"/>
    <cellStyle name="60% - 강조색6 9 2 2" xfId="0"/>
    <cellStyle name="60% - 강조색6 9 3" xfId="0"/>
    <cellStyle name="60% - 강조색6 9 3 2" xfId="0"/>
    <cellStyle name="60% - 강조색6 9 4" xfId="0"/>
    <cellStyle name="60% - 강조색6 9 4 2" xfId="0"/>
    <cellStyle name="60% - 강조색6 9 5" xfId="0"/>
    <cellStyle name="60% - 강조색6 9 5 2" xfId="0"/>
    <cellStyle name="60% - 강조색6 9 6" xfId="0"/>
    <cellStyle name="60% - 강조색6 9 6 2" xfId="0"/>
    <cellStyle name="60% - 강조색6 9 7" xfId="0"/>
    <cellStyle name="60% - 강조색6 9 8" xfId="0"/>
    <cellStyle name="60% - 강조색6 9 9" xfId="0"/>
    <cellStyle name="7" xfId="0"/>
    <cellStyle name="7_(주)LG 정산표 2005반기" xfId="0"/>
    <cellStyle name="7_03네오디스정산표" xfId="0"/>
    <cellStyle name="7_05년1분기실적보고자료" xfId="0"/>
    <cellStyle name="7_05년1분기실적보고자료_2005년1분기_BSPL_v2" xfId="0"/>
    <cellStyle name="7_05년1분기실적보고자료_2005년1분기_BSPL_추정_050505" xfId="0"/>
    <cellStyle name="7_08Q3_CFS_081021_담당자용_v3.4" xfId="0"/>
    <cellStyle name="7_1월 계정명세" xfId="0"/>
    <cellStyle name="7_1월 계정명세_2004 미지급비용 총괄_법인세신고" xfId="0"/>
    <cellStyle name="7_1월 계정명세_고정자산 명세" xfId="0"/>
    <cellStyle name="7_1월 계정명세_고정자산 명세_2004 미지급비용 총괄_법인세신고" xfId="0"/>
    <cellStyle name="7_1월 고정성 보증금 명세" xfId="0"/>
    <cellStyle name="7_1월 고정성 보증금 명세_2004 미지급비용 총괄_법인세신고" xfId="0"/>
    <cellStyle name="7_1월 고정성 보증금 명세_고정자산 명세" xfId="0"/>
    <cellStyle name="7_1월 고정성 보증금 명세_고정자산 명세_2004 미지급비용 총괄_법인세신고" xfId="0"/>
    <cellStyle name="7_1월 보증금 계정명세서" xfId="0"/>
    <cellStyle name="7_1월 보증금 계정명세서_2004 미지급비용 총괄_법인세신고" xfId="0"/>
    <cellStyle name="7_1월 보증금 계정명세서_고정자산 명세" xfId="0"/>
    <cellStyle name="7_1월 보증금 계정명세서_고정자산 명세_2004 미지급비용 총괄_법인세신고" xfId="0"/>
    <cellStyle name="7_1월 전신전화 계정명세서" xfId="0"/>
    <cellStyle name="7_1월 전신전화 계정명세서_2004 미지급비용 총괄_법인세신고" xfId="0"/>
    <cellStyle name="7_1월 전신전화 계정명세서_고정자산 명세" xfId="0"/>
    <cellStyle name="7_1월 전신전화 계정명세서_고정자산 명세_2004 미지급비용 총괄_법인세신고" xfId="0"/>
    <cellStyle name="7_1월_계정명세" xfId="0"/>
    <cellStyle name="7_1월_계정명세_2004 미지급비용 총괄_법인세신고" xfId="0"/>
    <cellStyle name="7_1월_계정명세_고정자산 명세" xfId="0"/>
    <cellStyle name="7_1월_계정명세_고정자산 명세_2004 미지급비용 총괄_법인세신고" xfId="0"/>
    <cellStyle name="7_1월_장기채권_및_대지급채권현황" xfId="0"/>
    <cellStyle name="7_1월_장기채권_및_대지급채권현황_2004 미지급비용 총괄_법인세신고" xfId="0"/>
    <cellStyle name="7_1월_장기채권_및_대지급채권현황_고정자산 명세" xfId="0"/>
    <cellStyle name="7_1월_장기채권_및_대지급채권현황_고정자산 명세_2004 미지급비용 총괄_법인세신고" xfId="0"/>
    <cellStyle name="7_200201월(수출채권명세)" xfId="0"/>
    <cellStyle name="7_200201월(수출채권명세)_2004 미지급비용 총괄_법인세신고" xfId="0"/>
    <cellStyle name="7_200201월(수출채권명세)_고정자산 명세" xfId="0"/>
    <cellStyle name="7_200201월(수출채권명세)_고정자산 명세_2004 미지급비용 총괄_법인세신고" xfId="0"/>
    <cellStyle name="7_2002FS-영문" xfId="0"/>
    <cellStyle name="7_2002FS-영문_08Q3_CFS_081021_담당자용_v3.4" xfId="0"/>
    <cellStyle name="7_2002FS-영문_2008_3Q정산표(LGE)_V8(1023)" xfId="0"/>
    <cellStyle name="7_2002FS-영문_LGE 2006 4Q-FS_070302" xfId="0"/>
    <cellStyle name="7_2002FS-영문_LGE 2006 4Q-FS_070302_08Q3_CFS_081021_담당자용_v3.4" xfId="0"/>
    <cellStyle name="7_2002FS-영문_LGE 2006 4Q-FS_070302_2008_3Q정산표(LGE)_V8(1023)" xfId="0"/>
    <cellStyle name="7_2002FS-영문_LGE 2006 4Q-FS_070302_LGE071Q_Non-con-FS(Eng)-우원식" xfId="0"/>
    <cellStyle name="7_2002FS-영문_LGE 2006 4Q-FS_070302_LGE071Q_Non-con-FS(Eng)-우원식_08Q3_CFS_081021_담당자용_v3.4" xfId="0"/>
    <cellStyle name="7_2002FS-영문_LGE 2006 4Q-FS_070302_LGE071Q_Non-con-FS(Eng)-우원식_2008_3Q정산표(LGE)_V8(1023)" xfId="0"/>
    <cellStyle name="7_2002FS-영문_LGE 2006 4Q-FS_070302_LGE071Q_Non-con-FS(Eng)-우원식_LGE2008-1Q정산표_v25(0421)" xfId="0"/>
    <cellStyle name="7_2002FS-영문_LGE 2006 4Q-FS_070302_LGE071Q_Non-con-FS(Eng)-우원식_LGE2008-1Q정산표_v27(0428)" xfId="0"/>
    <cellStyle name="7_2002FS-영문_LGE 2006 4Q-FS_070302_LGE071Q_Non-con-FS(Eng)-우원식_LGE2008-1Q정산표_v28(0430)" xfId="0"/>
    <cellStyle name="7_2002FS-영문_LGE 2006 4Q-FS_070302_LGE071Q_Non-con-FS(Eng)-우원식_정산표072Q_최종" xfId="0"/>
    <cellStyle name="7_2002FS-영문_LGE 2006 4Q-FS_070302_LGE071Q_Non-con-FS(Eng)-우원식_정산표FY2008-2Q_0704" xfId="0"/>
    <cellStyle name="7_2002FS-영문_LGE 2006 4Q-FS_070302_LGE2008-1Q정산표_v25(0421)" xfId="0"/>
    <cellStyle name="7_2002FS-영문_LGE 2006 4Q-FS_070302_LGE2008-1Q정산표_v27(0428)" xfId="0"/>
    <cellStyle name="7_2002FS-영문_LGE 2006 4Q-FS_070302_LGE2008-1Q정산표_v28(0430)" xfId="0"/>
    <cellStyle name="7_2002FS-영문_LGE 2006 4Q-FS_070302_정산표072Q_최종" xfId="0"/>
    <cellStyle name="7_2002FS-영문_LGE 2006 4Q-FS_070302_정산표FY2008-2Q_0704" xfId="0"/>
    <cellStyle name="7_2002FS-영문_LGE05 200512-Non-con FS(Eng)_060323" xfId="0"/>
    <cellStyle name="7_2002FS-영문_LGE05 200512-Non-con FS(Eng)_060323_08Q3_CFS_081021_담당자용_v3.4" xfId="0"/>
    <cellStyle name="7_2002FS-영문_LGE05 200512-Non-con FS(Eng)_060323_2008_3Q정산표(LGE)_V8(1023)" xfId="0"/>
    <cellStyle name="7_2002FS-영문_LGE05 200512-Non-con FS(Eng)_060323_LGE071Q_Non-con-FS(Eng)-우원식" xfId="0"/>
    <cellStyle name="7_2002FS-영문_LGE05 200512-Non-con FS(Eng)_060323_LGE071Q_Non-con-FS(Eng)-우원식_08Q3_CFS_081021_담당자용_v3.4" xfId="0"/>
    <cellStyle name="7_2002FS-영문_LGE05 200512-Non-con FS(Eng)_060323_LGE071Q_Non-con-FS(Eng)-우원식_2008_3Q정산표(LGE)_V8(1023)" xfId="0"/>
    <cellStyle name="7_2002FS-영문_LGE05 200512-Non-con FS(Eng)_060323_LGE071Q_Non-con-FS(Eng)-우원식_LGE2008-1Q정산표_v25(0421)" xfId="0"/>
    <cellStyle name="7_2002FS-영문_LGE05 200512-Non-con FS(Eng)_060323_LGE071Q_Non-con-FS(Eng)-우원식_LGE2008-1Q정산표_v27(0428)" xfId="0"/>
    <cellStyle name="7_2002FS-영문_LGE05 200512-Non-con FS(Eng)_060323_LGE071Q_Non-con-FS(Eng)-우원식_LGE2008-1Q정산표_v28(0430)" xfId="0"/>
    <cellStyle name="7_2002FS-영문_LGE05 200512-Non-con FS(Eng)_060323_LGE071Q_Non-con-FS(Eng)-우원식_정산표072Q_최종" xfId="0"/>
    <cellStyle name="7_2002FS-영문_LGE05 200512-Non-con FS(Eng)_060323_LGE071Q_Non-con-FS(Eng)-우원식_정산표FY2008-2Q_0704" xfId="0"/>
    <cellStyle name="7_2002FS-영문_LGE05 200512-Non-con FS(Eng)_060323_LGE2008-1Q정산표_v25(0421)" xfId="0"/>
    <cellStyle name="7_2002FS-영문_LGE05 200512-Non-con FS(Eng)_060323_LGE2008-1Q정산표_v27(0428)" xfId="0"/>
    <cellStyle name="7_2002FS-영문_LGE05 200512-Non-con FS(Eng)_060323_LGE2008-1Q정산표_v28(0430)" xfId="0"/>
    <cellStyle name="7_2002FS-영문_LGE05 200512-Non-con FS(Eng)_060323_정산표072Q_최종" xfId="0"/>
    <cellStyle name="7_2002FS-영문_LGE05 200512-Non-con FS(Eng)_060323_정산표FY2008-2Q_0704" xfId="0"/>
    <cellStyle name="7_2002FS-영문_LGE071Q_Non-con-FS(Eng)-우원식" xfId="0"/>
    <cellStyle name="7_2002FS-영문_LGE071Q_Non-con-FS(Eng)-우원식_08Q3_CFS_081021_담당자용_v3.4" xfId="0"/>
    <cellStyle name="7_2002FS-영문_LGE071Q_Non-con-FS(Eng)-우원식_2008_3Q정산표(LGE)_V8(1023)" xfId="0"/>
    <cellStyle name="7_2002FS-영문_LGE071Q_Non-con-FS(Eng)-우원식_LGE2008-1Q정산표_v25(0421)" xfId="0"/>
    <cellStyle name="7_2002FS-영문_LGE071Q_Non-con-FS(Eng)-우원식_LGE2008-1Q정산표_v27(0428)" xfId="0"/>
    <cellStyle name="7_2002FS-영문_LGE071Q_Non-con-FS(Eng)-우원식_LGE2008-1Q정산표_v28(0430)" xfId="0"/>
    <cellStyle name="7_2002FS-영문_LGE071Q_Non-con-FS(Eng)-우원식_정산표072Q_최종" xfId="0"/>
    <cellStyle name="7_2002FS-영문_LGE071Q_Non-con-FS(Eng)-우원식_정산표FY2008-2Q_0704" xfId="0"/>
    <cellStyle name="7_2002FS-영문_LGE2008-1Q정산표_v25(0421)" xfId="0"/>
    <cellStyle name="7_2002FS-영문_LGE2008-1Q정산표_v27(0428)" xfId="0"/>
    <cellStyle name="7_2002FS-영문_LGE2008-1Q정산표_v28(0430)" xfId="0"/>
    <cellStyle name="7_2002FS-영문_LGE_200612_Con_FS(draft)" xfId="0"/>
    <cellStyle name="7_2002FS-영문_LGE_200612_Con_FS(draft)_08Q3_CFS_081021_담당자용_v3.4" xfId="0"/>
    <cellStyle name="7_2002FS-영문_LGE_200612_Con_FS(draft)_2008_3Q정산표(LGE)_V8(1023)" xfId="0"/>
    <cellStyle name="7_2002FS-영문_LGE_200612_Con_FS(draft)_LGE2008-1Q정산표_v25(0421)" xfId="0"/>
    <cellStyle name="7_2002FS-영문_LGE_200612_Con_FS(draft)_LGE2008-1Q정산표_v27(0428)" xfId="0"/>
    <cellStyle name="7_2002FS-영문_LGE_200612_Con_FS(draft)_LGE2008-1Q정산표_v28(0430)" xfId="0"/>
    <cellStyle name="7_2002FS-영문_LGE_200612_Con_FS(draft)_정산표072Q_최종" xfId="0"/>
    <cellStyle name="7_2002FS-영문_LGE_200612_Con_FS(draft)_정산표FY2008-2Q_0704" xfId="0"/>
    <cellStyle name="7_2002FS-영문_LG전자2005연결영문보고서_재무제표" xfId="0"/>
    <cellStyle name="7_2002FS-영문_LG전자2005연결영문보고서_재무제표_08Q3_CFS_081021_담당자용_v3.4" xfId="0"/>
    <cellStyle name="7_2002FS-영문_LG전자2005연결영문보고서_재무제표_2008_3Q정산표(LGE)_V8(1023)" xfId="0"/>
    <cellStyle name="7_2002FS-영문_LG전자2005연결영문보고서_재무제표_LGE2008-1Q정산표_v25(0421)" xfId="0"/>
    <cellStyle name="7_2002FS-영문_LG전자2005연결영문보고서_재무제표_LGE2008-1Q정산표_v27(0428)" xfId="0"/>
    <cellStyle name="7_2002FS-영문_LG전자2005연결영문보고서_재무제표_LGE2008-1Q정산표_v28(0430)" xfId="0"/>
    <cellStyle name="7_2002FS-영문_LG전자2005연결영문보고서_재무제표_정산표072Q_최종" xfId="0"/>
    <cellStyle name="7_2002FS-영문_LG전자2005연결영문보고서_재무제표_정산표FY2008-2Q_0704" xfId="0"/>
    <cellStyle name="7_2002FS-영문_~5283006" xfId="0"/>
    <cellStyle name="7_2002FS-영문_~5283006_08Q3_CFS_081021_담당자용_v3.4" xfId="0"/>
    <cellStyle name="7_2002FS-영문_~5283006_2008_3Q정산표(LGE)_V8(1023)" xfId="0"/>
    <cellStyle name="7_2002FS-영문_~5283006_LGE2008-1Q정산표_v25(0421)" xfId="0"/>
    <cellStyle name="7_2002FS-영문_~5283006_LGE2008-1Q정산표_v27(0428)" xfId="0"/>
    <cellStyle name="7_2002FS-영문_~5283006_LGE2008-1Q정산표_v28(0430)" xfId="0"/>
    <cellStyle name="7_2002FS-영문_~5283006_정산표072Q_최종" xfId="0"/>
    <cellStyle name="7_2002FS-영문_~5283006_정산표FY2008-2Q_0704" xfId="0"/>
    <cellStyle name="7_2002FS-영문_정산표072Q_최종" xfId="0"/>
    <cellStyle name="7_2002FS-영문_정산표FY2008-2Q_0704" xfId="0"/>
    <cellStyle name="7_2002년하반기공정업적보고(채권부문)" xfId="0"/>
    <cellStyle name="7_2002년하반기공정업적보고(채권부문)_부실보고양식(03.06)" xfId="0"/>
    <cellStyle name="7_2002년하반기공정업적보고(채권부문)_부실보고양식(03.06)_지급이자_2005법인세 신고_v2_최종" xfId="0"/>
    <cellStyle name="7_2002년하반기공정업적보고(채권부문)_지급이자_2005법인세 신고_v2_최종" xfId="0"/>
    <cellStyle name="7_2004 미지급비용 총괄_법인세신고" xfId="0"/>
    <cellStyle name="7_2005년1분기_BSPL" xfId="0"/>
    <cellStyle name="7_2005년1분기_BSPL_2005년1분기_BSPL_v2" xfId="0"/>
    <cellStyle name="7_2005년1분기_BSPL_2005년1분기_BSPL_추정_050505" xfId="0"/>
    <cellStyle name="7_2005년2분기_BSPL_회사제시_v1" xfId="0"/>
    <cellStyle name="7_2008_3Q정산표(LGE)_V8(1023)" xfId="0"/>
    <cellStyle name="7_DraftFS-LGEI2002(patrick-version)-1" xfId="0"/>
    <cellStyle name="7_DraftFS-LGEI2002(patrick-version)-1_(주)LG 정산표 2005반기" xfId="0"/>
    <cellStyle name="7_DraftFS-LGEI2002(patrick-version)-1_05년1분기실적보고자료" xfId="0"/>
    <cellStyle name="7_DraftFS-LGEI2002(patrick-version)-1_05년1분기실적보고자료_2005년1분기_BSPL_v2" xfId="0"/>
    <cellStyle name="7_DraftFS-LGEI2002(patrick-version)-1_05년1분기실적보고자료_2005년1분기_BSPL_추정_050505" xfId="0"/>
    <cellStyle name="7_DraftFS-LGEI2002(patrick-version)-1_2005년1분기_BSPL" xfId="0"/>
    <cellStyle name="7_DraftFS-LGEI2002(patrick-version)-1_2005년1분기_BSPL_2005년1분기_BSPL_v2" xfId="0"/>
    <cellStyle name="7_DraftFS-LGEI2002(patrick-version)-1_2005년1분기_BSPL_2005년1분기_BSPL_추정_050505" xfId="0"/>
    <cellStyle name="7_DraftFS-LGEI2002(patrick-version)-1_2005년2분기_BSPL_회사제시_v1" xfId="0"/>
    <cellStyle name="7_DraftFS-LGEI2002(patrick-version)-1_DraftFS-LGEI2002(pku)0207" xfId="0"/>
    <cellStyle name="7_DraftFS-LGEI2002(patrick-version)-1_DraftFS-LGEI2002(pku)0207_(주)LG 정산표 2005반기" xfId="0"/>
    <cellStyle name="7_DraftFS-LGEI2002(patrick-version)-1_전기재무제표 restate(최종)" xfId="0"/>
    <cellStyle name="7_DraftFS-LGEI2002(patrick-version)-1_지분법평가원장" xfId="0"/>
    <cellStyle name="7_DraftFS-LGEI2002(patrick-version)-1_지분법평가원장_05년1분기_지분법보고자료" xfId="0"/>
    <cellStyle name="7_DraftFS-LGEI2002(patrick-version)-1_지분법평가원장_05년1분기지분법실적보고자료" xfId="0"/>
    <cellStyle name="7_DraftFS-LGEI2002(patrick-version)-1_지분법평가원장_2005년1분기_BSPL_v2" xfId="0"/>
    <cellStyle name="7_DraftFS-LGEI2002(patrick-version)-1_지분법평가원장_2005년1분기_BSPL_추정_050505" xfId="0"/>
    <cellStyle name="7_LGE 2006 4Q-FS_070302" xfId="0"/>
    <cellStyle name="7_LGE 2006 4Q-FS_070302_08Q3_CFS_081021_담당자용_v3.4" xfId="0"/>
    <cellStyle name="7_LGE 2006 4Q-FS_070302_2008_3Q정산표(LGE)_V8(1023)" xfId="0"/>
    <cellStyle name="7_LGE 2006 4Q-FS_070302_LGE071Q_Non-con-FS(Eng)-우원식" xfId="0"/>
    <cellStyle name="7_LGE 2006 4Q-FS_070302_LGE071Q_Non-con-FS(Eng)-우원식_08Q3_CFS_081021_담당자용_v3.4" xfId="0"/>
    <cellStyle name="7_LGE 2006 4Q-FS_070302_LGE071Q_Non-con-FS(Eng)-우원식_2008_3Q정산표(LGE)_V8(1023)" xfId="0"/>
    <cellStyle name="7_LGE 2006 4Q-FS_070302_LGE071Q_Non-con-FS(Eng)-우원식_LGE2008-1Q정산표_v25(0421)" xfId="0"/>
    <cellStyle name="7_LGE 2006 4Q-FS_070302_LGE071Q_Non-con-FS(Eng)-우원식_LGE2008-1Q정산표_v27(0428)" xfId="0"/>
    <cellStyle name="7_LGE 2006 4Q-FS_070302_LGE071Q_Non-con-FS(Eng)-우원식_LGE2008-1Q정산표_v28(0430)" xfId="0"/>
    <cellStyle name="7_LGE 2006 4Q-FS_070302_LGE071Q_Non-con-FS(Eng)-우원식_정산표072Q_최종" xfId="0"/>
    <cellStyle name="7_LGE 2006 4Q-FS_070302_LGE071Q_Non-con-FS(Eng)-우원식_정산표FY2008-2Q_0704" xfId="0"/>
    <cellStyle name="7_LGE 2006 4Q-FS_070302_LGE2008-1Q정산표_v25(0421)" xfId="0"/>
    <cellStyle name="7_LGE 2006 4Q-FS_070302_LGE2008-1Q정산표_v27(0428)" xfId="0"/>
    <cellStyle name="7_LGE 2006 4Q-FS_070302_LGE2008-1Q정산표_v28(0430)" xfId="0"/>
    <cellStyle name="7_LGE 2006 4Q-FS_070302_정산표072Q_최종" xfId="0"/>
    <cellStyle name="7_LGE 2006 4Q-FS_070302_정산표FY2008-2Q_0704" xfId="0"/>
    <cellStyle name="7_LGE05 200512-Non-con FS(Eng)_060323" xfId="0"/>
    <cellStyle name="7_LGE05 200512-Non-con FS(Eng)_060323_08Q3_CFS_081021_담당자용_v3.4" xfId="0"/>
    <cellStyle name="7_LGE05 200512-Non-con FS(Eng)_060323_2008_3Q정산표(LGE)_V8(1023)" xfId="0"/>
    <cellStyle name="7_LGE05 200512-Non-con FS(Eng)_060323_LGE071Q_Non-con-FS(Eng)-우원식" xfId="0"/>
    <cellStyle name="7_LGE05 200512-Non-con FS(Eng)_060323_LGE071Q_Non-con-FS(Eng)-우원식_08Q3_CFS_081021_담당자용_v3.4" xfId="0"/>
    <cellStyle name="7_LGE05 200512-Non-con FS(Eng)_060323_LGE071Q_Non-con-FS(Eng)-우원식_2008_3Q정산표(LGE)_V8(1023)" xfId="0"/>
    <cellStyle name="7_LGE05 200512-Non-con FS(Eng)_060323_LGE071Q_Non-con-FS(Eng)-우원식_LGE2008-1Q정산표_v25(0421)" xfId="0"/>
    <cellStyle name="7_LGE05 200512-Non-con FS(Eng)_060323_LGE071Q_Non-con-FS(Eng)-우원식_LGE2008-1Q정산표_v27(0428)" xfId="0"/>
    <cellStyle name="7_LGE05 200512-Non-con FS(Eng)_060323_LGE071Q_Non-con-FS(Eng)-우원식_LGE2008-1Q정산표_v28(0430)" xfId="0"/>
    <cellStyle name="7_LGE05 200512-Non-con FS(Eng)_060323_LGE071Q_Non-con-FS(Eng)-우원식_정산표072Q_최종" xfId="0"/>
    <cellStyle name="7_LGE05 200512-Non-con FS(Eng)_060323_LGE071Q_Non-con-FS(Eng)-우원식_정산표FY2008-2Q_0704" xfId="0"/>
    <cellStyle name="7_LGE05 200512-Non-con FS(Eng)_060323_LGE2008-1Q정산표_v25(0421)" xfId="0"/>
    <cellStyle name="7_LGE05 200512-Non-con FS(Eng)_060323_LGE2008-1Q정산표_v27(0428)" xfId="0"/>
    <cellStyle name="7_LGE05 200512-Non-con FS(Eng)_060323_LGE2008-1Q정산표_v28(0430)" xfId="0"/>
    <cellStyle name="7_LGE05 200512-Non-con FS(Eng)_060323_정산표072Q_최종" xfId="0"/>
    <cellStyle name="7_LGE05 200512-Non-con FS(Eng)_060323_정산표FY2008-2Q_0704" xfId="0"/>
    <cellStyle name="7_LGE071Q_Non-con-FS(Eng)-우원식" xfId="0"/>
    <cellStyle name="7_LGE071Q_Non-con-FS(Eng)-우원식_08Q3_CFS_081021_담당자용_v3.4" xfId="0"/>
    <cellStyle name="7_LGE071Q_Non-con-FS(Eng)-우원식_2008_3Q정산표(LGE)_V8(1023)" xfId="0"/>
    <cellStyle name="7_LGE071Q_Non-con-FS(Eng)-우원식_LGE2008-1Q정산표_v25(0421)" xfId="0"/>
    <cellStyle name="7_LGE071Q_Non-con-FS(Eng)-우원식_LGE2008-1Q정산표_v27(0428)" xfId="0"/>
    <cellStyle name="7_LGE071Q_Non-con-FS(Eng)-우원식_LGE2008-1Q정산표_v28(0430)" xfId="0"/>
    <cellStyle name="7_LGE071Q_Non-con-FS(Eng)-우원식_정산표072Q_최종" xfId="0"/>
    <cellStyle name="7_LGE071Q_Non-con-FS(Eng)-우원식_정산표FY2008-2Q_0704" xfId="0"/>
    <cellStyle name="7_LGE2008-1Q정산표_v25(0421)" xfId="0"/>
    <cellStyle name="7_LGE2008-1Q정산표_v27(0428)" xfId="0"/>
    <cellStyle name="7_LGE2008-1Q정산표_v28(0430)" xfId="0"/>
    <cellStyle name="7_LGE연결영문200312-FS" xfId="0"/>
    <cellStyle name="7_LGE연결영문200312-FS_08Q3_CFS_081021_담당자용_v3.4" xfId="0"/>
    <cellStyle name="7_LGE연결영문200312-FS_2008_3Q정산표(LGE)_V8(1023)" xfId="0"/>
    <cellStyle name="7_LGE연결영문200312-FS_LGE2008-1Q정산표_v25(0421)" xfId="0"/>
    <cellStyle name="7_LGE연결영문200312-FS_LGE2008-1Q정산표_v27(0428)" xfId="0"/>
    <cellStyle name="7_LGE연결영문200312-FS_LGE2008-1Q정산표_v28(0430)" xfId="0"/>
    <cellStyle name="7_LGE연결영문200312-FS_LGE_200612_Con_FS(draft)" xfId="0"/>
    <cellStyle name="7_LGE연결영문200312-FS_LGE_200612_Con_FS(draft)_08Q3_CFS_081021_담당자용_v3.4" xfId="0"/>
    <cellStyle name="7_LGE연결영문200312-FS_LGE_200612_Con_FS(draft)_2008_3Q정산표(LGE)_V8(1023)" xfId="0"/>
    <cellStyle name="7_LGE연결영문200312-FS_LGE_200612_Con_FS(draft)_LGE2008-1Q정산표_v25(0421)" xfId="0"/>
    <cellStyle name="7_LGE연결영문200312-FS_LGE_200612_Con_FS(draft)_LGE2008-1Q정산표_v27(0428)" xfId="0"/>
    <cellStyle name="7_LGE연결영문200312-FS_LGE_200612_Con_FS(draft)_LGE2008-1Q정산표_v28(0430)" xfId="0"/>
    <cellStyle name="7_LGE연결영문200312-FS_LGE_200612_Con_FS(draft)_정산표072Q_최종" xfId="0"/>
    <cellStyle name="7_LGE연결영문200312-FS_LGE_200612_Con_FS(draft)_정산표FY2008-2Q_0704" xfId="0"/>
    <cellStyle name="7_LGE연결영문200312-FS_LG전자2005연결영문보고서_재무제표" xfId="0"/>
    <cellStyle name="7_LGE연결영문200312-FS_LG전자2005연결영문보고서_재무제표_08Q3_CFS_081021_담당자용_v3.4" xfId="0"/>
    <cellStyle name="7_LGE연결영문200312-FS_LG전자2005연결영문보고서_재무제표_2008_3Q정산표(LGE)_V8(1023)" xfId="0"/>
    <cellStyle name="7_LGE연결영문200312-FS_LG전자2005연결영문보고서_재무제표_LGE2008-1Q정산표_v25(0421)" xfId="0"/>
    <cellStyle name="7_LGE연결영문200312-FS_LG전자2005연결영문보고서_재무제표_LGE2008-1Q정산표_v27(0428)" xfId="0"/>
    <cellStyle name="7_LGE연결영문200312-FS_LG전자2005연결영문보고서_재무제표_LGE2008-1Q정산표_v28(0430)" xfId="0"/>
    <cellStyle name="7_LGE연결영문200312-FS_LG전자2005연결영문보고서_재무제표_정산표072Q_최종" xfId="0"/>
    <cellStyle name="7_LGE연결영문200312-FS_LG전자2005연결영문보고서_재무제표_정산표FY2008-2Q_0704" xfId="0"/>
    <cellStyle name="7_LGE연결영문200312-FS_~5283006" xfId="0"/>
    <cellStyle name="7_LGE연결영문200312-FS_~5283006_08Q3_CFS_081021_담당자용_v3.4" xfId="0"/>
    <cellStyle name="7_LGE연결영문200312-FS_~5283006_2008_3Q정산표(LGE)_V8(1023)" xfId="0"/>
    <cellStyle name="7_LGE연결영문200312-FS_~5283006_LGE2008-1Q정산표_v25(0421)" xfId="0"/>
    <cellStyle name="7_LGE연결영문200312-FS_~5283006_LGE2008-1Q정산표_v27(0428)" xfId="0"/>
    <cellStyle name="7_LGE연결영문200312-FS_~5283006_LGE2008-1Q정산표_v28(0430)" xfId="0"/>
    <cellStyle name="7_LGE연결영문200312-FS_~5283006_정산표072Q_최종" xfId="0"/>
    <cellStyle name="7_LGE연결영문200312-FS_~5283006_정산표FY2008-2Q_0704" xfId="0"/>
    <cellStyle name="7_LGE연결영문200312-FS_정산표072Q_최종" xfId="0"/>
    <cellStyle name="7_LGE연결영문200312-FS_정산표FY2008-2Q_0704" xfId="0"/>
    <cellStyle name="7_Sheet1" xfId="0"/>
    <cellStyle name="7_Sheet1_2002년하반기공정업적보고(채권부문)" xfId="0"/>
    <cellStyle name="7_Sheet1_2002년하반기공정업적보고(채권부문)_부실보고양식(03.06)" xfId="0"/>
    <cellStyle name="7_Sheet1_2002년하반기공정업적보고(채권부문)_부실보고양식(03.06)_지급이자_2005법인세 신고_v2_최종" xfId="0"/>
    <cellStyle name="7_Sheet1_2002년하반기공정업적보고(채권부문)_지급이자_2005법인세 신고_v2_최종" xfId="0"/>
    <cellStyle name="7_Sheet1_부실보고양식(03.06)" xfId="0"/>
    <cellStyle name="7_Sheet1_부실보고양식(03.06)_지급이자_2005법인세 신고_v2_최종" xfId="0"/>
    <cellStyle name="7_Sheet1_부실보고정리(0209_2차)" xfId="0"/>
    <cellStyle name="7_Sheet1_부실보고정리(0209_2차)_부실보고양식(03.06)" xfId="0"/>
    <cellStyle name="7_Sheet1_부실보고정리(0209_2차)_부실보고양식(03.06)_지급이자_2005법인세 신고_v2_최종" xfId="0"/>
    <cellStyle name="7_Sheet1_부실보고정리(0209_2차)_지급이자_2005법인세 신고_v2_최종" xfId="0"/>
    <cellStyle name="7_Sheet1_부실보고정리(0212_3차)" xfId="0"/>
    <cellStyle name="7_Sheet1_부실보고정리(0212_3차)_부실보고양식(03.06)" xfId="0"/>
    <cellStyle name="7_Sheet1_부실보고정리(0212_3차)_부실보고양식(03.06)_지급이자_2005법인세 신고_v2_최종" xfId="0"/>
    <cellStyle name="7_Sheet1_부실보고정리(0212_3차)_지급이자_2005법인세 신고_v2_최종" xfId="0"/>
    <cellStyle name="7_Sheet1_사고채권내역" xfId="0"/>
    <cellStyle name="7_Sheet1_사고채권내역_부실보고양식(03.06)" xfId="0"/>
    <cellStyle name="7_Sheet1_사고채권내역_부실보고양식(03.06)_지급이자_2005법인세 신고_v2_최종" xfId="0"/>
    <cellStyle name="7_Sheet1_사고채권내역_지급이자_2005법인세 신고_v2_최종" xfId="0"/>
    <cellStyle name="7_Sheet1_지급이자_2005법인세 신고_v2_최종" xfId="0"/>
    <cellStyle name="7_가지급명세요약" xfId="0"/>
    <cellStyle name="7_가지급명세요약_2004 미지급비용 총괄_법인세신고" xfId="0"/>
    <cellStyle name="7_가지급명세요약_고정자산 명세" xfId="0"/>
    <cellStyle name="7_가지급명세요약_고정자산 명세_2004 미지급비용 총괄_법인세신고" xfId="0"/>
    <cellStyle name="7_개발비명세" xfId="0"/>
    <cellStyle name="7_개발비명세_2004 미지급비용 총괄_법인세신고" xfId="0"/>
    <cellStyle name="7_결산진실성EVA" xfId="0"/>
    <cellStyle name="7_결산진실성EVA_2002년하반기공정업적보고(채권부문)" xfId="0"/>
    <cellStyle name="7_결산진실성EVA_2002년하반기공정업적보고(채권부문)_부실보고양식(03.06)" xfId="0"/>
    <cellStyle name="7_결산진실성EVA_2002년하반기공정업적보고(채권부문)_부실보고양식(03.06)_지급이자_2005법인세 신고_v2_최종" xfId="0"/>
    <cellStyle name="7_결산진실성EVA_2002년하반기공정업적보고(채권부문)_지급이자_2005법인세 신고_v2_최종" xfId="0"/>
    <cellStyle name="7_결산진실성EVA_Sheet1" xfId="0"/>
    <cellStyle name="7_결산진실성EVA_Sheet1_2002년하반기공정업적보고(채권부문)" xfId="0"/>
    <cellStyle name="7_결산진실성EVA_Sheet1_2002년하반기공정업적보고(채권부문)_부실보고양식(03.06)" xfId="0"/>
    <cellStyle name="7_결산진실성EVA_Sheet1_2002년하반기공정업적보고(채권부문)_부실보고양식(03.06)_지급이자_2005법인세 신고_v2_최종" xfId="0"/>
    <cellStyle name="7_결산진실성EVA_Sheet1_2002년하반기공정업적보고(채권부문)_지급이자_2005법인세 신고_v2_최종" xfId="0"/>
    <cellStyle name="7_결산진실성EVA_Sheet1_부실보고양식(03.06)" xfId="0"/>
    <cellStyle name="7_결산진실성EVA_Sheet1_부실보고양식(03.06)_지급이자_2005법인세 신고_v2_최종" xfId="0"/>
    <cellStyle name="7_결산진실성EVA_Sheet1_부실보고정리(0209_2차)" xfId="0"/>
    <cellStyle name="7_결산진실성EVA_Sheet1_부실보고정리(0209_2차)_부실보고양식(03.06)" xfId="0"/>
    <cellStyle name="7_결산진실성EVA_Sheet1_부실보고정리(0209_2차)_부실보고양식(03.06)_지급이자_2005법인세 신고_v2_최종" xfId="0"/>
    <cellStyle name="7_결산진실성EVA_Sheet1_부실보고정리(0209_2차)_지급이자_2005법인세 신고_v2_최종" xfId="0"/>
    <cellStyle name="7_결산진실성EVA_Sheet1_부실보고정리(0212_3차)" xfId="0"/>
    <cellStyle name="7_결산진실성EVA_Sheet1_부실보고정리(0212_3차)_부실보고양식(03.06)" xfId="0"/>
    <cellStyle name="7_결산진실성EVA_Sheet1_부실보고정리(0212_3차)_부실보고양식(03.06)_지급이자_2005법인세 신고_v2_최종" xfId="0"/>
    <cellStyle name="7_결산진실성EVA_Sheet1_부실보고정리(0212_3차)_지급이자_2005법인세 신고_v2_최종" xfId="0"/>
    <cellStyle name="7_결산진실성EVA_Sheet1_사고채권내역" xfId="0"/>
    <cellStyle name="7_결산진실성EVA_Sheet1_사고채권내역_부실보고양식(03.06)" xfId="0"/>
    <cellStyle name="7_결산진실성EVA_Sheet1_사고채권내역_부실보고양식(03.06)_지급이자_2005법인세 신고_v2_최종" xfId="0"/>
    <cellStyle name="7_결산진실성EVA_Sheet1_사고채권내역_지급이자_2005법인세 신고_v2_최종" xfId="0"/>
    <cellStyle name="7_결산진실성EVA_Sheet1_지급이자_2005법인세 신고_v2_최종" xfId="0"/>
    <cellStyle name="7_결산진실성EVA_부실보고양식(03.06)" xfId="0"/>
    <cellStyle name="7_결산진실성EVA_부실보고양식(03.06)_지급이자_2005법인세 신고_v2_최종" xfId="0"/>
    <cellStyle name="7_결산진실성EVA_부실보고정리(0209_2차)" xfId="0"/>
    <cellStyle name="7_결산진실성EVA_부실보고정리(0209_2차)_부실보고양식(03.06)" xfId="0"/>
    <cellStyle name="7_결산진실성EVA_부실보고정리(0209_2차)_부실보고양식(03.06)_지급이자_2005법인세 신고_v2_최종" xfId="0"/>
    <cellStyle name="7_결산진실성EVA_부실보고정리(0209_2차)_지급이자_2005법인세 신고_v2_최종" xfId="0"/>
    <cellStyle name="7_결산진실성EVA_지급이자_2005법인세 신고_v2_최종" xfId="0"/>
    <cellStyle name="7_계정명세서(2002년1말)" xfId="0"/>
    <cellStyle name="7_계정명세서(2002년1말)_2004 미지급비용 총괄_법인세신고" xfId="0"/>
    <cellStyle name="7_계정명세서(2002년1말)_고정자산 명세" xfId="0"/>
    <cellStyle name="7_계정명세서(2002년1말)_고정자산 명세_2004 미지급비용 총괄_법인세신고" xfId="0"/>
    <cellStyle name="7_고정자산 명세" xfId="0"/>
    <cellStyle name="7_고정자산 명세_2004 미지급비용 총괄_법인세신고" xfId="0"/>
    <cellStyle name="7_대손(2004)신고_확정" xfId="0"/>
    <cellStyle name="7_매출" xfId="0"/>
    <cellStyle name="7_부실보고양식(03.06)" xfId="0"/>
    <cellStyle name="7_부실보고양식(03.06)_지급이자_2005법인세 신고_v2_최종" xfId="0"/>
    <cellStyle name="7_부실보고정리(0209_2차)" xfId="0"/>
    <cellStyle name="7_부실보고정리(0209_2차)_부실보고양식(03.06)" xfId="0"/>
    <cellStyle name="7_부실보고정리(0209_2차)_부실보고양식(03.06)_지급이자_2005법인세 신고_v2_최종" xfId="0"/>
    <cellStyle name="7_부실보고정리(0209_2차)_지급이자_2005법인세 신고_v2_최종" xfId="0"/>
    <cellStyle name="7_선급금.out" xfId="0"/>
    <cellStyle name="7_선급금.out_2004 미지급비용 총괄_법인세신고" xfId="0"/>
    <cellStyle name="7_선급금.out_고정자산 명세" xfId="0"/>
    <cellStyle name="7_선급금.out_고정자산 명세_2004 미지급비용 총괄_법인세신고" xfId="0"/>
    <cellStyle name="7_선급금명세_0201" xfId="0"/>
    <cellStyle name="7_선급금명세_0201_2004 미지급비용 총괄_법인세신고" xfId="0"/>
    <cellStyle name="7_선급금명세_0201_고정자산 명세" xfId="0"/>
    <cellStyle name="7_선급금명세_0201_고정자산 명세_2004 미지급비용 총괄_법인세신고" xfId="0"/>
    <cellStyle name="7_예수금1월2명세서" xfId="0"/>
    <cellStyle name="7_예수금1월2명세서_2004 미지급비용 총괄_법인세신고" xfId="0"/>
    <cellStyle name="7_예수금1월2명세서_고정자산 명세" xfId="0"/>
    <cellStyle name="7_예수금1월2명세서_고정자산 명세_2004 미지급비용 총괄_법인세신고" xfId="0"/>
    <cellStyle name="7_예수금1월명세서(최종)" xfId="0"/>
    <cellStyle name="7_예수금1월명세서(최종)_2004 미지급비용 총괄_법인세신고" xfId="0"/>
    <cellStyle name="7_예수금1월명세서(최종)_고정자산 명세" xfId="0"/>
    <cellStyle name="7_예수금1월명세서(최종)_고정자산 명세_2004 미지급비용 총괄_법인세신고" xfId="0"/>
    <cellStyle name="7_자적을_8월" xfId="0"/>
    <cellStyle name="7_장기대여금" xfId="0"/>
    <cellStyle name="7_장기대여금_2004 미지급비용 총괄_법인세신고" xfId="0"/>
    <cellStyle name="7_장기대여금_고정자산 명세" xfId="0"/>
    <cellStyle name="7_장기대여금_고정자산 명세_2004 미지급비용 총괄_법인세신고" xfId="0"/>
    <cellStyle name="7_재무제표" xfId="0"/>
    <cellStyle name="7_재무제표(이준호)" xfId="0"/>
    <cellStyle name="7_재무제표(이준호)_08Q3_CFS_081021_담당자용_v3.4" xfId="0"/>
    <cellStyle name="7_재무제표(이준호)_2008_3Q정산표(LGE)_V8(1023)" xfId="0"/>
    <cellStyle name="7_재무제표(이준호)_LGE 2006 4Q-FS_070302" xfId="0"/>
    <cellStyle name="7_재무제표(이준호)_LGE 2006 4Q-FS_070302_08Q3_CFS_081021_담당자용_v3.4" xfId="0"/>
    <cellStyle name="7_재무제표(이준호)_LGE 2006 4Q-FS_070302_2008_3Q정산표(LGE)_V8(1023)" xfId="0"/>
    <cellStyle name="7_재무제표(이준호)_LGE 2006 4Q-FS_070302_LGE071Q_Non-con-FS(Eng)-우원식" xfId="0"/>
    <cellStyle name="7_재무제표(이준호)_LGE 2006 4Q-FS_070302_LGE071Q_Non-con-FS(Eng)-우원식_08Q3_CFS_081021_담당자용_v3.4" xfId="0"/>
    <cellStyle name="7_재무제표(이준호)_LGE 2006 4Q-FS_070302_LGE071Q_Non-con-FS(Eng)-우원식_2008_3Q정산표(LGE)_V8(1023)" xfId="0"/>
    <cellStyle name="7_재무제표(이준호)_LGE 2006 4Q-FS_070302_LGE071Q_Non-con-FS(Eng)-우원식_LGE2008-1Q정산표_v25(0421)" xfId="0"/>
    <cellStyle name="7_재무제표(이준호)_LGE 2006 4Q-FS_070302_LGE071Q_Non-con-FS(Eng)-우원식_LGE2008-1Q정산표_v27(0428)" xfId="0"/>
    <cellStyle name="7_재무제표(이준호)_LGE 2006 4Q-FS_070302_LGE071Q_Non-con-FS(Eng)-우원식_LGE2008-1Q정산표_v28(0430)" xfId="0"/>
    <cellStyle name="7_재무제표(이준호)_LGE 2006 4Q-FS_070302_LGE071Q_Non-con-FS(Eng)-우원식_정산표072Q_최종" xfId="0"/>
    <cellStyle name="7_재무제표(이준호)_LGE 2006 4Q-FS_070302_LGE071Q_Non-con-FS(Eng)-우원식_정산표FY2008-2Q_0704" xfId="0"/>
    <cellStyle name="7_재무제표(이준호)_LGE 2006 4Q-FS_070302_LGE2008-1Q정산표_v25(0421)" xfId="0"/>
    <cellStyle name="7_재무제표(이준호)_LGE 2006 4Q-FS_070302_LGE2008-1Q정산표_v27(0428)" xfId="0"/>
    <cellStyle name="7_재무제표(이준호)_LGE 2006 4Q-FS_070302_LGE2008-1Q정산표_v28(0430)" xfId="0"/>
    <cellStyle name="7_재무제표(이준호)_LGE 2006 4Q-FS_070302_정산표072Q_최종" xfId="0"/>
    <cellStyle name="7_재무제표(이준호)_LGE 2006 4Q-FS_070302_정산표FY2008-2Q_0704" xfId="0"/>
    <cellStyle name="7_재무제표(이준호)_LGE05 200512-Non-con FS(Eng)_060323" xfId="0"/>
    <cellStyle name="7_재무제표(이준호)_LGE05 200512-Non-con FS(Eng)_060323_08Q3_CFS_081021_담당자용_v3.4" xfId="0"/>
    <cellStyle name="7_재무제표(이준호)_LGE05 200512-Non-con FS(Eng)_060323_2008_3Q정산표(LGE)_V8(1023)" xfId="0"/>
    <cellStyle name="7_재무제표(이준호)_LGE05 200512-Non-con FS(Eng)_060323_LGE071Q_Non-con-FS(Eng)-우원식" xfId="0"/>
    <cellStyle name="7_재무제표(이준호)_LGE05 200512-Non-con FS(Eng)_060323_LGE071Q_Non-con-FS(Eng)-우원식_08Q3_CFS_081021_담당자용_v3.4" xfId="0"/>
    <cellStyle name="7_재무제표(이준호)_LGE05 200512-Non-con FS(Eng)_060323_LGE071Q_Non-con-FS(Eng)-우원식_2008_3Q정산표(LGE)_V8(1023)" xfId="0"/>
    <cellStyle name="7_재무제표(이준호)_LGE05 200512-Non-con FS(Eng)_060323_LGE071Q_Non-con-FS(Eng)-우원식_LGE2008-1Q정산표_v25(0421)" xfId="0"/>
    <cellStyle name="7_재무제표(이준호)_LGE05 200512-Non-con FS(Eng)_060323_LGE071Q_Non-con-FS(Eng)-우원식_LGE2008-1Q정산표_v27(0428)" xfId="0"/>
    <cellStyle name="7_재무제표(이준호)_LGE05 200512-Non-con FS(Eng)_060323_LGE071Q_Non-con-FS(Eng)-우원식_LGE2008-1Q정산표_v28(0430)" xfId="0"/>
    <cellStyle name="7_재무제표(이준호)_LGE05 200512-Non-con FS(Eng)_060323_LGE071Q_Non-con-FS(Eng)-우원식_정산표072Q_최종" xfId="0"/>
    <cellStyle name="7_재무제표(이준호)_LGE05 200512-Non-con FS(Eng)_060323_LGE071Q_Non-con-FS(Eng)-우원식_정산표FY2008-2Q_0704" xfId="0"/>
    <cellStyle name="7_재무제표(이준호)_LGE05 200512-Non-con FS(Eng)_060323_LGE2008-1Q정산표_v25(0421)" xfId="0"/>
    <cellStyle name="7_재무제표(이준호)_LGE05 200512-Non-con FS(Eng)_060323_LGE2008-1Q정산표_v27(0428)" xfId="0"/>
    <cellStyle name="7_재무제표(이준호)_LGE05 200512-Non-con FS(Eng)_060323_LGE2008-1Q정산표_v28(0430)" xfId="0"/>
    <cellStyle name="7_재무제표(이준호)_LGE05 200512-Non-con FS(Eng)_060323_정산표072Q_최종" xfId="0"/>
    <cellStyle name="7_재무제표(이준호)_LGE05 200512-Non-con FS(Eng)_060323_정산표FY2008-2Q_0704" xfId="0"/>
    <cellStyle name="7_재무제표(이준호)_LGE071Q_Non-con-FS(Eng)-우원식" xfId="0"/>
    <cellStyle name="7_재무제표(이준호)_LGE071Q_Non-con-FS(Eng)-우원식_08Q3_CFS_081021_담당자용_v3.4" xfId="0"/>
    <cellStyle name="7_재무제표(이준호)_LGE071Q_Non-con-FS(Eng)-우원식_2008_3Q정산표(LGE)_V8(1023)" xfId="0"/>
    <cellStyle name="7_재무제표(이준호)_LGE071Q_Non-con-FS(Eng)-우원식_LGE2008-1Q정산표_v25(0421)" xfId="0"/>
    <cellStyle name="7_재무제표(이준호)_LGE071Q_Non-con-FS(Eng)-우원식_LGE2008-1Q정산표_v27(0428)" xfId="0"/>
    <cellStyle name="7_재무제표(이준호)_LGE071Q_Non-con-FS(Eng)-우원식_LGE2008-1Q정산표_v28(0430)" xfId="0"/>
    <cellStyle name="7_재무제표(이준호)_LGE071Q_Non-con-FS(Eng)-우원식_정산표072Q_최종" xfId="0"/>
    <cellStyle name="7_재무제표(이준호)_LGE071Q_Non-con-FS(Eng)-우원식_정산표FY2008-2Q_0704" xfId="0"/>
    <cellStyle name="7_재무제표(이준호)_LGE2008-1Q정산표_v25(0421)" xfId="0"/>
    <cellStyle name="7_재무제표(이준호)_LGE2008-1Q정산표_v27(0428)" xfId="0"/>
    <cellStyle name="7_재무제표(이준호)_LGE2008-1Q정산표_v28(0430)" xfId="0"/>
    <cellStyle name="7_재무제표(이준호)_LGE_200612_Con_FS(draft)" xfId="0"/>
    <cellStyle name="7_재무제표(이준호)_LGE_200612_Con_FS(draft)_08Q3_CFS_081021_담당자용_v3.4" xfId="0"/>
    <cellStyle name="7_재무제표(이준호)_LGE_200612_Con_FS(draft)_2008_3Q정산표(LGE)_V8(1023)" xfId="0"/>
    <cellStyle name="7_재무제표(이준호)_LGE_200612_Con_FS(draft)_LGE2008-1Q정산표_v25(0421)" xfId="0"/>
    <cellStyle name="7_재무제표(이준호)_LGE_200612_Con_FS(draft)_LGE2008-1Q정산표_v27(0428)" xfId="0"/>
    <cellStyle name="7_재무제표(이준호)_LGE_200612_Con_FS(draft)_LGE2008-1Q정산표_v28(0430)" xfId="0"/>
    <cellStyle name="7_재무제표(이준호)_LGE_200612_Con_FS(draft)_정산표072Q_최종" xfId="0"/>
    <cellStyle name="7_재무제표(이준호)_LGE_200612_Con_FS(draft)_정산표FY2008-2Q_0704" xfId="0"/>
    <cellStyle name="7_재무제표(이준호)_LG전자2005연결영문보고서_재무제표" xfId="0"/>
    <cellStyle name="7_재무제표(이준호)_LG전자2005연결영문보고서_재무제표_08Q3_CFS_081021_담당자용_v3.4" xfId="0"/>
    <cellStyle name="7_재무제표(이준호)_LG전자2005연결영문보고서_재무제표_2008_3Q정산표(LGE)_V8(1023)" xfId="0"/>
    <cellStyle name="7_재무제표(이준호)_LG전자2005연결영문보고서_재무제표_LGE2008-1Q정산표_v25(0421)" xfId="0"/>
    <cellStyle name="7_재무제표(이준호)_LG전자2005연결영문보고서_재무제표_LGE2008-1Q정산표_v27(0428)" xfId="0"/>
    <cellStyle name="7_재무제표(이준호)_LG전자2005연결영문보고서_재무제표_LGE2008-1Q정산표_v28(0430)" xfId="0"/>
    <cellStyle name="7_재무제표(이준호)_LG전자2005연결영문보고서_재무제표_정산표072Q_최종" xfId="0"/>
    <cellStyle name="7_재무제표(이준호)_LG전자2005연결영문보고서_재무제표_정산표FY2008-2Q_0704" xfId="0"/>
    <cellStyle name="7_재무제표(이준호)_~5283006" xfId="0"/>
    <cellStyle name="7_재무제표(이준호)_~5283006_08Q3_CFS_081021_담당자용_v3.4" xfId="0"/>
    <cellStyle name="7_재무제표(이준호)_~5283006_2008_3Q정산표(LGE)_V8(1023)" xfId="0"/>
    <cellStyle name="7_재무제표(이준호)_~5283006_LGE2008-1Q정산표_v25(0421)" xfId="0"/>
    <cellStyle name="7_재무제표(이준호)_~5283006_LGE2008-1Q정산표_v27(0428)" xfId="0"/>
    <cellStyle name="7_재무제표(이준호)_~5283006_LGE2008-1Q정산표_v28(0430)" xfId="0"/>
    <cellStyle name="7_재무제표(이준호)_~5283006_정산표072Q_최종" xfId="0"/>
    <cellStyle name="7_재무제표(이준호)_~5283006_정산표FY2008-2Q_0704" xfId="0"/>
    <cellStyle name="7_재무제표(이준호)_정산표072Q_최종" xfId="0"/>
    <cellStyle name="7_재무제표(이준호)_정산표FY2008-2Q_0704" xfId="0"/>
    <cellStyle name="7_재무제표_08Q3_CFS_081021_담당자용_v3.4" xfId="0"/>
    <cellStyle name="7_재무제표_2008_3Q정산표(LGE)_V8(1023)" xfId="0"/>
    <cellStyle name="7_재무제표_LGE 2006 4Q-FS_070302" xfId="0"/>
    <cellStyle name="7_재무제표_LGE 2006 4Q-FS_070302_08Q3_CFS_081021_담당자용_v3.4" xfId="0"/>
    <cellStyle name="7_재무제표_LGE 2006 4Q-FS_070302_2008_3Q정산표(LGE)_V8(1023)" xfId="0"/>
    <cellStyle name="7_재무제표_LGE 2006 4Q-FS_070302_LGE071Q_Non-con-FS(Eng)-우원식" xfId="0"/>
    <cellStyle name="7_재무제표_LGE 2006 4Q-FS_070302_LGE071Q_Non-con-FS(Eng)-우원식_08Q3_CFS_081021_담당자용_v3.4" xfId="0"/>
    <cellStyle name="7_재무제표_LGE 2006 4Q-FS_070302_LGE071Q_Non-con-FS(Eng)-우원식_2008_3Q정산표(LGE)_V8(1023)" xfId="0"/>
    <cellStyle name="7_재무제표_LGE 2006 4Q-FS_070302_LGE071Q_Non-con-FS(Eng)-우원식_LGE2008-1Q정산표_v25(0421)" xfId="0"/>
    <cellStyle name="7_재무제표_LGE 2006 4Q-FS_070302_LGE071Q_Non-con-FS(Eng)-우원식_LGE2008-1Q정산표_v27(0428)" xfId="0"/>
    <cellStyle name="7_재무제표_LGE 2006 4Q-FS_070302_LGE071Q_Non-con-FS(Eng)-우원식_LGE2008-1Q정산표_v28(0430)" xfId="0"/>
    <cellStyle name="7_재무제표_LGE 2006 4Q-FS_070302_LGE071Q_Non-con-FS(Eng)-우원식_정산표072Q_최종" xfId="0"/>
    <cellStyle name="7_재무제표_LGE 2006 4Q-FS_070302_LGE071Q_Non-con-FS(Eng)-우원식_정산표FY2008-2Q_0704" xfId="0"/>
    <cellStyle name="7_재무제표_LGE 2006 4Q-FS_070302_LGE2008-1Q정산표_v25(0421)" xfId="0"/>
    <cellStyle name="7_재무제표_LGE 2006 4Q-FS_070302_LGE2008-1Q정산표_v27(0428)" xfId="0"/>
    <cellStyle name="7_재무제표_LGE 2006 4Q-FS_070302_LGE2008-1Q정산표_v28(0430)" xfId="0"/>
    <cellStyle name="7_재무제표_LGE 2006 4Q-FS_070302_정산표072Q_최종" xfId="0"/>
    <cellStyle name="7_재무제표_LGE 2006 4Q-FS_070302_정산표FY2008-2Q_0704" xfId="0"/>
    <cellStyle name="7_재무제표_LGE05 200512-Non-con FS(Eng)_060323" xfId="0"/>
    <cellStyle name="7_재무제표_LGE05 200512-Non-con FS(Eng)_060323_08Q3_CFS_081021_담당자용_v3.4" xfId="0"/>
    <cellStyle name="7_재무제표_LGE05 200512-Non-con FS(Eng)_060323_2008_3Q정산표(LGE)_V8(1023)" xfId="0"/>
    <cellStyle name="7_재무제표_LGE05 200512-Non-con FS(Eng)_060323_LGE071Q_Non-con-FS(Eng)-우원식" xfId="0"/>
    <cellStyle name="7_재무제표_LGE05 200512-Non-con FS(Eng)_060323_LGE071Q_Non-con-FS(Eng)-우원식_08Q3_CFS_081021_담당자용_v3.4" xfId="0"/>
    <cellStyle name="7_재무제표_LGE05 200512-Non-con FS(Eng)_060323_LGE071Q_Non-con-FS(Eng)-우원식_2008_3Q정산표(LGE)_V8(1023)" xfId="0"/>
    <cellStyle name="7_재무제표_LGE05 200512-Non-con FS(Eng)_060323_LGE071Q_Non-con-FS(Eng)-우원식_LGE2008-1Q정산표_v25(0421)" xfId="0"/>
    <cellStyle name="7_재무제표_LGE05 200512-Non-con FS(Eng)_060323_LGE071Q_Non-con-FS(Eng)-우원식_LGE2008-1Q정산표_v27(0428)" xfId="0"/>
    <cellStyle name="7_재무제표_LGE05 200512-Non-con FS(Eng)_060323_LGE071Q_Non-con-FS(Eng)-우원식_LGE2008-1Q정산표_v28(0430)" xfId="0"/>
    <cellStyle name="7_재무제표_LGE05 200512-Non-con FS(Eng)_060323_LGE071Q_Non-con-FS(Eng)-우원식_정산표072Q_최종" xfId="0"/>
    <cellStyle name="7_재무제표_LGE05 200512-Non-con FS(Eng)_060323_LGE071Q_Non-con-FS(Eng)-우원식_정산표FY2008-2Q_0704" xfId="0"/>
    <cellStyle name="7_재무제표_LGE05 200512-Non-con FS(Eng)_060323_LGE2008-1Q정산표_v25(0421)" xfId="0"/>
    <cellStyle name="7_재무제표_LGE05 200512-Non-con FS(Eng)_060323_LGE2008-1Q정산표_v27(0428)" xfId="0"/>
    <cellStyle name="7_재무제표_LGE05 200512-Non-con FS(Eng)_060323_LGE2008-1Q정산표_v28(0430)" xfId="0"/>
    <cellStyle name="7_재무제표_LGE05 200512-Non-con FS(Eng)_060323_정산표072Q_최종" xfId="0"/>
    <cellStyle name="7_재무제표_LGE05 200512-Non-con FS(Eng)_060323_정산표FY2008-2Q_0704" xfId="0"/>
    <cellStyle name="7_재무제표_LGE071Q_Non-con-FS(Eng)-우원식" xfId="0"/>
    <cellStyle name="7_재무제표_LGE071Q_Non-con-FS(Eng)-우원식_08Q3_CFS_081021_담당자용_v3.4" xfId="0"/>
    <cellStyle name="7_재무제표_LGE071Q_Non-con-FS(Eng)-우원식_2008_3Q정산표(LGE)_V8(1023)" xfId="0"/>
    <cellStyle name="7_재무제표_LGE071Q_Non-con-FS(Eng)-우원식_LGE2008-1Q정산표_v25(0421)" xfId="0"/>
    <cellStyle name="7_재무제표_LGE071Q_Non-con-FS(Eng)-우원식_LGE2008-1Q정산표_v27(0428)" xfId="0"/>
    <cellStyle name="7_재무제표_LGE071Q_Non-con-FS(Eng)-우원식_LGE2008-1Q정산표_v28(0430)" xfId="0"/>
    <cellStyle name="7_재무제표_LGE071Q_Non-con-FS(Eng)-우원식_정산표072Q_최종" xfId="0"/>
    <cellStyle name="7_재무제표_LGE071Q_Non-con-FS(Eng)-우원식_정산표FY2008-2Q_0704" xfId="0"/>
    <cellStyle name="7_재무제표_LGE2008-1Q정산표_v25(0421)" xfId="0"/>
    <cellStyle name="7_재무제표_LGE2008-1Q정산표_v27(0428)" xfId="0"/>
    <cellStyle name="7_재무제표_LGE2008-1Q정산표_v28(0430)" xfId="0"/>
    <cellStyle name="7_재무제표_LGE_200612_Con_FS(draft)" xfId="0"/>
    <cellStyle name="7_재무제표_LGE_200612_Con_FS(draft)_08Q3_CFS_081021_담당자용_v3.4" xfId="0"/>
    <cellStyle name="7_재무제표_LGE_200612_Con_FS(draft)_2008_3Q정산표(LGE)_V8(1023)" xfId="0"/>
    <cellStyle name="7_재무제표_LGE_200612_Con_FS(draft)_LGE2008-1Q정산표_v25(0421)" xfId="0"/>
    <cellStyle name="7_재무제표_LGE_200612_Con_FS(draft)_LGE2008-1Q정산표_v27(0428)" xfId="0"/>
    <cellStyle name="7_재무제표_LGE_200612_Con_FS(draft)_LGE2008-1Q정산표_v28(0430)" xfId="0"/>
    <cellStyle name="7_재무제표_LGE_200612_Con_FS(draft)_정산표072Q_최종" xfId="0"/>
    <cellStyle name="7_재무제표_LGE_200612_Con_FS(draft)_정산표FY2008-2Q_0704" xfId="0"/>
    <cellStyle name="7_재무제표_LG전자2005연결영문보고서_재무제표" xfId="0"/>
    <cellStyle name="7_재무제표_LG전자2005연결영문보고서_재무제표_08Q3_CFS_081021_담당자용_v3.4" xfId="0"/>
    <cellStyle name="7_재무제표_LG전자2005연결영문보고서_재무제표_2008_3Q정산표(LGE)_V8(1023)" xfId="0"/>
    <cellStyle name="7_재무제표_LG전자2005연결영문보고서_재무제표_LGE2008-1Q정산표_v25(0421)" xfId="0"/>
    <cellStyle name="7_재무제표_LG전자2005연결영문보고서_재무제표_LGE2008-1Q정산표_v27(0428)" xfId="0"/>
    <cellStyle name="7_재무제표_LG전자2005연결영문보고서_재무제표_LGE2008-1Q정산표_v28(0430)" xfId="0"/>
    <cellStyle name="7_재무제표_LG전자2005연결영문보고서_재무제표_정산표072Q_최종" xfId="0"/>
    <cellStyle name="7_재무제표_LG전자2005연결영문보고서_재무제표_정산표FY2008-2Q_0704" xfId="0"/>
    <cellStyle name="7_재무제표_~5283006" xfId="0"/>
    <cellStyle name="7_재무제표_~5283006_08Q3_CFS_081021_담당자용_v3.4" xfId="0"/>
    <cellStyle name="7_재무제표_~5283006_2008_3Q정산표(LGE)_V8(1023)" xfId="0"/>
    <cellStyle name="7_재무제표_~5283006_LGE2008-1Q정산표_v25(0421)" xfId="0"/>
    <cellStyle name="7_재무제표_~5283006_LGE2008-1Q정산표_v27(0428)" xfId="0"/>
    <cellStyle name="7_재무제표_~5283006_LGE2008-1Q정산표_v28(0430)" xfId="0"/>
    <cellStyle name="7_재무제표_~5283006_정산표072Q_최종" xfId="0"/>
    <cellStyle name="7_재무제표_~5283006_정산표FY2008-2Q_0704" xfId="0"/>
    <cellStyle name="7_재무제표_정산표072Q_최종" xfId="0"/>
    <cellStyle name="7_재무제표_정산표FY2008-2Q_0704" xfId="0"/>
    <cellStyle name="7_전기재무제표 restate(최종)" xfId="0"/>
    <cellStyle name="7_전자00상결산진실1" xfId="0"/>
    <cellStyle name="7_전자00상결산진실1_2002년하반기공정업적보고(채권부문)" xfId="0"/>
    <cellStyle name="7_전자00상결산진실1_2002년하반기공정업적보고(채권부문)_부실보고양식(03.06)" xfId="0"/>
    <cellStyle name="7_전자00상결산진실1_2002년하반기공정업적보고(채권부문)_부실보고양식(03.06)_지급이자_2005법인세 신고_v2_최종" xfId="0"/>
    <cellStyle name="7_전자00상결산진실1_2002년하반기공정업적보고(채권부문)_지급이자_2005법인세 신고_v2_최종" xfId="0"/>
    <cellStyle name="7_전자00상결산진실1_Sheet1" xfId="0"/>
    <cellStyle name="7_전자00상결산진실1_Sheet1_2002년하반기공정업적보고(채권부문)" xfId="0"/>
    <cellStyle name="7_전자00상결산진실1_Sheet1_2002년하반기공정업적보고(채권부문)_부실보고양식(03.06)" xfId="0"/>
    <cellStyle name="7_전자00상결산진실1_Sheet1_2002년하반기공정업적보고(채권부문)_부실보고양식(03.06)_지급이자_2005법인세 신고_v2_최종" xfId="0"/>
    <cellStyle name="7_전자00상결산진실1_Sheet1_2002년하반기공정업적보고(채권부문)_지급이자_2005법인세 신고_v2_최종" xfId="0"/>
    <cellStyle name="7_전자00상결산진실1_Sheet1_부실보고양식(03.06)" xfId="0"/>
    <cellStyle name="7_전자00상결산진실1_Sheet1_부실보고양식(03.06)_지급이자_2005법인세 신고_v2_최종" xfId="0"/>
    <cellStyle name="7_전자00상결산진실1_Sheet1_부실보고정리(0209_2차)" xfId="0"/>
    <cellStyle name="7_전자00상결산진실1_Sheet1_부실보고정리(0209_2차)_부실보고양식(03.06)" xfId="0"/>
    <cellStyle name="7_전자00상결산진실1_Sheet1_부실보고정리(0209_2차)_부실보고양식(03.06)_지급이자_2005법인세 신고_v2_최종" xfId="0"/>
    <cellStyle name="7_전자00상결산진실1_Sheet1_부실보고정리(0209_2차)_지급이자_2005법인세 신고_v2_최종" xfId="0"/>
    <cellStyle name="7_전자00상결산진실1_Sheet1_부실보고정리(0212_3차)" xfId="0"/>
    <cellStyle name="7_전자00상결산진실1_Sheet1_부실보고정리(0212_3차)_부실보고양식(03.06)" xfId="0"/>
    <cellStyle name="7_전자00상결산진실1_Sheet1_부실보고정리(0212_3차)_부실보고양식(03.06)_지급이자_2005법인세 신고_v2_최종" xfId="0"/>
    <cellStyle name="7_전자00상결산진실1_Sheet1_부실보고정리(0212_3차)_지급이자_2005법인세 신고_v2_최종" xfId="0"/>
    <cellStyle name="7_전자00상결산진실1_Sheet1_사고채권내역" xfId="0"/>
    <cellStyle name="7_전자00상결산진실1_Sheet1_사고채권내역_부실보고양식(03.06)" xfId="0"/>
    <cellStyle name="7_전자00상결산진실1_Sheet1_사고채권내역_부실보고양식(03.06)_지급이자_2005법인세 신고_v2_최종" xfId="0"/>
    <cellStyle name="7_전자00상결산진실1_Sheet1_사고채권내역_지급이자_2005법인세 신고_v2_최종" xfId="0"/>
    <cellStyle name="7_전자00상결산진실1_Sheet1_지급이자_2005법인세 신고_v2_최종" xfId="0"/>
    <cellStyle name="7_전자00상결산진실1_부실보고양식(03.06)" xfId="0"/>
    <cellStyle name="7_전자00상결산진실1_부실보고양식(03.06)_지급이자_2005법인세 신고_v2_최종" xfId="0"/>
    <cellStyle name="7_전자00상결산진실1_부실보고정리(0209_2차)" xfId="0"/>
    <cellStyle name="7_전자00상결산진실1_부실보고정리(0209_2차)_부실보고양식(03.06)" xfId="0"/>
    <cellStyle name="7_전자00상결산진실1_부실보고정리(0209_2차)_부실보고양식(03.06)_지급이자_2005법인세 신고_v2_최종" xfId="0"/>
    <cellStyle name="7_전자00상결산진실1_부실보고정리(0209_2차)_지급이자_2005법인세 신고_v2_최종" xfId="0"/>
    <cellStyle name="7_전자00상결산진실1_지급이자_2005법인세 신고_v2_최종" xfId="0"/>
    <cellStyle name="7_전자00상결산진실1_최종" xfId="0"/>
    <cellStyle name="7_전자00상결산진실1_최종_2002년하반기공정업적보고(채권부문)" xfId="0"/>
    <cellStyle name="7_전자00상결산진실1_최종_2002년하반기공정업적보고(채권부문)_부실보고양식(03.06)" xfId="0"/>
    <cellStyle name="7_전자00상결산진실1_최종_2002년하반기공정업적보고(채권부문)_부실보고양식(03.06)_지급이자_2005법인세 신고_v2_최종" xfId="0"/>
    <cellStyle name="7_전자00상결산진실1_최종_2002년하반기공정업적보고(채권부문)_지급이자_2005법인세 신고_v2_최종" xfId="0"/>
    <cellStyle name="7_전자00상결산진실1_최종_Sheet1" xfId="0"/>
    <cellStyle name="7_전자00상결산진실1_최종_Sheet1_2002년하반기공정업적보고(채권부문)" xfId="0"/>
    <cellStyle name="7_전자00상결산진실1_최종_Sheet1_2002년하반기공정업적보고(채권부문)_부실보고양식(03.06)" xfId="0"/>
    <cellStyle name="7_전자00상결산진실1_최종_Sheet1_2002년하반기공정업적보고(채권부문)_부실보고양식(03.06)_지급이자_2005법인세 신고_v2_최종" xfId="0"/>
    <cellStyle name="7_전자00상결산진실1_최종_Sheet1_2002년하반기공정업적보고(채권부문)_지급이자_2005법인세 신고_v2_최종" xfId="0"/>
    <cellStyle name="7_전자00상결산진실1_최종_Sheet1_부실보고양식(03.06)" xfId="0"/>
    <cellStyle name="7_전자00상결산진실1_최종_Sheet1_부실보고양식(03.06)_지급이자_2005법인세 신고_v2_최종" xfId="0"/>
    <cellStyle name="7_전자00상결산진실1_최종_Sheet1_부실보고정리(0209_2차)" xfId="0"/>
    <cellStyle name="7_전자00상결산진실1_최종_Sheet1_부실보고정리(0209_2차)_부실보고양식(03.06)" xfId="0"/>
    <cellStyle name="7_전자00상결산진실1_최종_Sheet1_부실보고정리(0209_2차)_부실보고양식(03.06)_지급이자_2005법인세 신고_v2_최종" xfId="0"/>
    <cellStyle name="7_전자00상결산진실1_최종_Sheet1_부실보고정리(0209_2차)_지급이자_2005법인세 신고_v2_최종" xfId="0"/>
    <cellStyle name="7_전자00상결산진실1_최종_Sheet1_부실보고정리(0212_3차)" xfId="0"/>
    <cellStyle name="7_전자00상결산진실1_최종_Sheet1_부실보고정리(0212_3차)_부실보고양식(03.06)" xfId="0"/>
    <cellStyle name="7_전자00상결산진실1_최종_Sheet1_부실보고정리(0212_3차)_부실보고양식(03.06)_지급이자_2005법인세 신고_v2_최종" xfId="0"/>
    <cellStyle name="7_전자00상결산진실1_최종_Sheet1_부실보고정리(0212_3차)_지급이자_2005법인세 신고_v2_최종" xfId="0"/>
    <cellStyle name="7_전자00상결산진실1_최종_Sheet1_사고채권내역" xfId="0"/>
    <cellStyle name="7_전자00상결산진실1_최종_Sheet1_사고채권내역_부실보고양식(03.06)" xfId="0"/>
    <cellStyle name="7_전자00상결산진실1_최종_Sheet1_사고채권내역_부실보고양식(03.06)_지급이자_2005법인세 신고_v2_최종" xfId="0"/>
    <cellStyle name="7_전자00상결산진실1_최종_Sheet1_사고채권내역_지급이자_2005법인세 신고_v2_최종" xfId="0"/>
    <cellStyle name="7_전자00상결산진실1_최종_Sheet1_지급이자_2005법인세 신고_v2_최종" xfId="0"/>
    <cellStyle name="7_전자00상결산진실1_최종_부실보고양식(03.06)" xfId="0"/>
    <cellStyle name="7_전자00상결산진실1_최종_부실보고양식(03.06)_지급이자_2005법인세 신고_v2_최종" xfId="0"/>
    <cellStyle name="7_전자00상결산진실1_최종_부실보고정리(0209_2차)" xfId="0"/>
    <cellStyle name="7_전자00상결산진실1_최종_부실보고정리(0209_2차)_부실보고양식(03.06)" xfId="0"/>
    <cellStyle name="7_전자00상결산진실1_최종_부실보고정리(0209_2차)_부실보고양식(03.06)_지급이자_2005법인세 신고_v2_최종" xfId="0"/>
    <cellStyle name="7_전자00상결산진실1_최종_부실보고정리(0209_2차)_지급이자_2005법인세 신고_v2_최종" xfId="0"/>
    <cellStyle name="7_전자00상결산진실1_최종_지급이자_2005법인세 신고_v2_최종" xfId="0"/>
    <cellStyle name="7_전자00연간결산진실" xfId="0"/>
    <cellStyle name="7_전자00연간결산진실_0205_송부" xfId="0"/>
    <cellStyle name="7_전자00연간결산진실_0205_송부_2002년하반기공정업적보고(채권부문)" xfId="0"/>
    <cellStyle name="7_전자00연간결산진실_0205_송부_2002년하반기공정업적보고(채권부문)_부실보고양식(03.06)" xfId="0"/>
    <cellStyle name="7_전자00연간결산진실_0205_송부_2002년하반기공정업적보고(채권부문)_부실보고양식(03.06)_지급이자_2005법인세 신고_v2_최종" xfId="0"/>
    <cellStyle name="7_전자00연간결산진실_0205_송부_2002년하반기공정업적보고(채권부문)_지급이자_2005법인세 신고_v2_최종" xfId="0"/>
    <cellStyle name="7_전자00연간결산진실_0205_송부_Sheet1" xfId="0"/>
    <cellStyle name="7_전자00연간결산진실_0205_송부_Sheet1_2002년하반기공정업적보고(채권부문)" xfId="0"/>
    <cellStyle name="7_전자00연간결산진실_0205_송부_Sheet1_2002년하반기공정업적보고(채권부문)_부실보고양식(03.06)" xfId="0"/>
    <cellStyle name="7_전자00연간결산진실_0205_송부_Sheet1_2002년하반기공정업적보고(채권부문)_부실보고양식(03.06)_지급이자_2005법인세 신고_v2_최종" xfId="0"/>
    <cellStyle name="7_전자00연간결산진실_0205_송부_Sheet1_2002년하반기공정업적보고(채권부문)_지급이자_2005법인세 신고_v2_최종" xfId="0"/>
    <cellStyle name="7_전자00연간결산진실_0205_송부_Sheet1_부실보고양식(03.06)" xfId="0"/>
    <cellStyle name="7_전자00연간결산진실_0205_송부_Sheet1_부실보고양식(03.06)_지급이자_2005법인세 신고_v2_최종" xfId="0"/>
    <cellStyle name="7_전자00연간결산진실_0205_송부_Sheet1_부실보고정리(0209_2차)" xfId="0"/>
    <cellStyle name="7_전자00연간결산진실_0205_송부_Sheet1_부실보고정리(0209_2차)_부실보고양식(03.06)" xfId="0"/>
    <cellStyle name="7_전자00연간결산진실_0205_송부_Sheet1_부실보고정리(0209_2차)_부실보고양식(03.06)_지급이자_2005법인세 신고_v2_최종" xfId="0"/>
    <cellStyle name="7_전자00연간결산진실_0205_송부_Sheet1_부실보고정리(0209_2차)_지급이자_2005법인세 신고_v2_최종" xfId="0"/>
    <cellStyle name="7_전자00연간결산진실_0205_송부_Sheet1_부실보고정리(0212_3차)" xfId="0"/>
    <cellStyle name="7_전자00연간결산진실_0205_송부_Sheet1_부실보고정리(0212_3차)_부실보고양식(03.06)" xfId="0"/>
    <cellStyle name="7_전자00연간결산진실_0205_송부_Sheet1_부실보고정리(0212_3차)_부실보고양식(03.06)_지급이자_2005법인세 신고_v2_최종" xfId="0"/>
    <cellStyle name="7_전자00연간결산진실_0205_송부_Sheet1_부실보고정리(0212_3차)_지급이자_2005법인세 신고_v2_최종" xfId="0"/>
    <cellStyle name="7_전자00연간결산진실_0205_송부_Sheet1_사고채권내역" xfId="0"/>
    <cellStyle name="7_전자00연간결산진실_0205_송부_Sheet1_사고채권내역_부실보고양식(03.06)" xfId="0"/>
    <cellStyle name="7_전자00연간결산진실_0205_송부_Sheet1_사고채권내역_부실보고양식(03.06)_지급이자_2005법인세 신고_v2_최종" xfId="0"/>
    <cellStyle name="7_전자00연간결산진실_0205_송부_Sheet1_사고채권내역_지급이자_2005법인세 신고_v2_최종" xfId="0"/>
    <cellStyle name="7_전자00연간결산진실_0205_송부_Sheet1_지급이자_2005법인세 신고_v2_최종" xfId="0"/>
    <cellStyle name="7_전자00연간결산진실_0205_송부_부실보고양식(03.06)" xfId="0"/>
    <cellStyle name="7_전자00연간결산진실_0205_송부_부실보고양식(03.06)_지급이자_2005법인세 신고_v2_최종" xfId="0"/>
    <cellStyle name="7_전자00연간결산진실_0205_송부_부실보고정리(0209_2차)" xfId="0"/>
    <cellStyle name="7_전자00연간결산진실_0205_송부_부실보고정리(0209_2차)_부실보고양식(03.06)" xfId="0"/>
    <cellStyle name="7_전자00연간결산진실_0205_송부_부실보고정리(0209_2차)_부실보고양식(03.06)_지급이자_2005법인세 신고_v2_최종" xfId="0"/>
    <cellStyle name="7_전자00연간결산진실_0205_송부_부실보고정리(0209_2차)_지급이자_2005법인세 신고_v2_최종" xfId="0"/>
    <cellStyle name="7_전자00연간결산진실_0205_송부_지급이자_2005법인세 신고_v2_최종" xfId="0"/>
    <cellStyle name="7_전자00연간결산진실_2002년하반기공정업적보고(채권부문)" xfId="0"/>
    <cellStyle name="7_전자00연간결산진실_2002년하반기공정업적보고(채권부문)_부실보고양식(03.06)" xfId="0"/>
    <cellStyle name="7_전자00연간결산진실_2002년하반기공정업적보고(채권부문)_부실보고양식(03.06)_지급이자_2005법인세 신고_v2_최종" xfId="0"/>
    <cellStyle name="7_전자00연간결산진실_2002년하반기공정업적보고(채권부문)_지급이자_2005법인세 신고_v2_최종" xfId="0"/>
    <cellStyle name="7_전자00연간결산진실_Sheet1" xfId="0"/>
    <cellStyle name="7_전자00연간결산진실_Sheet1_2002년하반기공정업적보고(채권부문)" xfId="0"/>
    <cellStyle name="7_전자00연간결산진실_Sheet1_2002년하반기공정업적보고(채권부문)_부실보고양식(03.06)" xfId="0"/>
    <cellStyle name="7_전자00연간결산진실_Sheet1_2002년하반기공정업적보고(채권부문)_부실보고양식(03.06)_지급이자_2005법인세 신고_v2_최종" xfId="0"/>
    <cellStyle name="7_전자00연간결산진실_Sheet1_2002년하반기공정업적보고(채권부문)_지급이자_2005법인세 신고_v2_최종" xfId="0"/>
    <cellStyle name="7_전자00연간결산진실_Sheet1_부실보고양식(03.06)" xfId="0"/>
    <cellStyle name="7_전자00연간결산진실_Sheet1_부실보고양식(03.06)_지급이자_2005법인세 신고_v2_최종" xfId="0"/>
    <cellStyle name="7_전자00연간결산진실_Sheet1_부실보고정리(0209_2차)" xfId="0"/>
    <cellStyle name="7_전자00연간결산진실_Sheet1_부실보고정리(0209_2차)_부실보고양식(03.06)" xfId="0"/>
    <cellStyle name="7_전자00연간결산진실_Sheet1_부실보고정리(0209_2차)_부실보고양식(03.06)_지급이자_2005법인세 신고_v2_최종" xfId="0"/>
    <cellStyle name="7_전자00연간결산진실_Sheet1_부실보고정리(0209_2차)_지급이자_2005법인세 신고_v2_최종" xfId="0"/>
    <cellStyle name="7_전자00연간결산진실_Sheet1_부실보고정리(0212_3차)" xfId="0"/>
    <cellStyle name="7_전자00연간결산진실_Sheet1_부실보고정리(0212_3차)_부실보고양식(03.06)" xfId="0"/>
    <cellStyle name="7_전자00연간결산진실_Sheet1_부실보고정리(0212_3차)_부실보고양식(03.06)_지급이자_2005법인세 신고_v2_최종" xfId="0"/>
    <cellStyle name="7_전자00연간결산진실_Sheet1_부실보고정리(0212_3차)_지급이자_2005법인세 신고_v2_최종" xfId="0"/>
    <cellStyle name="7_전자00연간결산진실_Sheet1_사고채권내역" xfId="0"/>
    <cellStyle name="7_전자00연간결산진실_Sheet1_사고채권내역_부실보고양식(03.06)" xfId="0"/>
    <cellStyle name="7_전자00연간결산진실_Sheet1_사고채권내역_부실보고양식(03.06)_지급이자_2005법인세 신고_v2_최종" xfId="0"/>
    <cellStyle name="7_전자00연간결산진실_Sheet1_사고채권내역_지급이자_2005법인세 신고_v2_최종" xfId="0"/>
    <cellStyle name="7_전자00연간결산진실_Sheet1_지급이자_2005법인세 신고_v2_최종" xfId="0"/>
    <cellStyle name="7_전자00연간결산진실_부실보고양식(03.06)" xfId="0"/>
    <cellStyle name="7_전자00연간결산진실_부실보고양식(03.06)_지급이자_2005법인세 신고_v2_최종" xfId="0"/>
    <cellStyle name="7_전자00연간결산진실_부실보고정리(0209_2차)" xfId="0"/>
    <cellStyle name="7_전자00연간결산진실_부실보고정리(0209_2차)_부실보고양식(03.06)" xfId="0"/>
    <cellStyle name="7_전자00연간결산진실_부실보고정리(0209_2차)_부실보고양식(03.06)_지급이자_2005법인세 신고_v2_최종" xfId="0"/>
    <cellStyle name="7_전자00연간결산진실_부실보고정리(0209_2차)_지급이자_2005법인세 신고_v2_최종" xfId="0"/>
    <cellStyle name="7_전자00연간결산진실_지급이자_2005법인세 신고_v2_최종" xfId="0"/>
    <cellStyle name="7_전자98결산진실" xfId="0"/>
    <cellStyle name="7_전자98결산진실_2002년하반기공정업적보고(채권부문)" xfId="0"/>
    <cellStyle name="7_전자98결산진실_2002년하반기공정업적보고(채권부문)_부실보고양식(03.06)" xfId="0"/>
    <cellStyle name="7_전자98결산진실_2002년하반기공정업적보고(채권부문)_부실보고양식(03.06)_지급이자_2005법인세 신고_v2_최종" xfId="0"/>
    <cellStyle name="7_전자98결산진실_2002년하반기공정업적보고(채권부문)_지급이자_2005법인세 신고_v2_최종" xfId="0"/>
    <cellStyle name="7_전자98결산진실_Sheet1" xfId="0"/>
    <cellStyle name="7_전자98결산진실_Sheet1_2002년하반기공정업적보고(채권부문)" xfId="0"/>
    <cellStyle name="7_전자98결산진실_Sheet1_2002년하반기공정업적보고(채권부문)_부실보고양식(03.06)" xfId="0"/>
    <cellStyle name="7_전자98결산진실_Sheet1_2002년하반기공정업적보고(채권부문)_부실보고양식(03.06)_지급이자_2005법인세 신고_v2_최종" xfId="0"/>
    <cellStyle name="7_전자98결산진실_Sheet1_2002년하반기공정업적보고(채권부문)_지급이자_2005법인세 신고_v2_최종" xfId="0"/>
    <cellStyle name="7_전자98결산진실_Sheet1_부실보고양식(03.06)" xfId="0"/>
    <cellStyle name="7_전자98결산진실_Sheet1_부실보고양식(03.06)_지급이자_2005법인세 신고_v2_최종" xfId="0"/>
    <cellStyle name="7_전자98결산진실_Sheet1_부실보고정리(0209_2차)" xfId="0"/>
    <cellStyle name="7_전자98결산진실_Sheet1_부실보고정리(0209_2차)_부실보고양식(03.06)" xfId="0"/>
    <cellStyle name="7_전자98결산진실_Sheet1_부실보고정리(0209_2차)_부실보고양식(03.06)_지급이자_2005법인세 신고_v2_최종" xfId="0"/>
    <cellStyle name="7_전자98결산진실_Sheet1_부실보고정리(0209_2차)_지급이자_2005법인세 신고_v2_최종" xfId="0"/>
    <cellStyle name="7_전자98결산진실_Sheet1_부실보고정리(0212_3차)" xfId="0"/>
    <cellStyle name="7_전자98결산진실_Sheet1_부실보고정리(0212_3차)_부실보고양식(03.06)" xfId="0"/>
    <cellStyle name="7_전자98결산진실_Sheet1_부실보고정리(0212_3차)_부실보고양식(03.06)_지급이자_2005법인세 신고_v2_최종" xfId="0"/>
    <cellStyle name="7_전자98결산진실_Sheet1_부실보고정리(0212_3차)_지급이자_2005법인세 신고_v2_최종" xfId="0"/>
    <cellStyle name="7_전자98결산진실_Sheet1_사고채권내역" xfId="0"/>
    <cellStyle name="7_전자98결산진실_Sheet1_사고채권내역_부실보고양식(03.06)" xfId="0"/>
    <cellStyle name="7_전자98결산진실_Sheet1_사고채권내역_부실보고양식(03.06)_지급이자_2005법인세 신고_v2_최종" xfId="0"/>
    <cellStyle name="7_전자98결산진실_Sheet1_사고채권내역_지급이자_2005법인세 신고_v2_최종" xfId="0"/>
    <cellStyle name="7_전자98결산진실_Sheet1_지급이자_2005법인세 신고_v2_최종" xfId="0"/>
    <cellStyle name="7_전자98결산진실_부실보고양식(03.06)" xfId="0"/>
    <cellStyle name="7_전자98결산진실_부실보고양식(03.06)_지급이자_2005법인세 신고_v2_최종" xfId="0"/>
    <cellStyle name="7_전자98결산진실_부실보고정리(0209_2차)" xfId="0"/>
    <cellStyle name="7_전자98결산진실_부실보고정리(0209_2차)_부실보고양식(03.06)" xfId="0"/>
    <cellStyle name="7_전자98결산진실_부실보고정리(0209_2차)_부실보고양식(03.06)_지급이자_2005법인세 신고_v2_최종" xfId="0"/>
    <cellStyle name="7_전자98결산진실_부실보고정리(0209_2차)_지급이자_2005법인세 신고_v2_최종" xfId="0"/>
    <cellStyle name="7_전자98결산진실_지급이자_2005법인세 신고_v2_최종" xfId="0"/>
    <cellStyle name="7_전자99상결산진실" xfId="0"/>
    <cellStyle name="7_전자99상결산진실_2002년하반기공정업적보고(채권부문)" xfId="0"/>
    <cellStyle name="7_전자99상결산진실_2002년하반기공정업적보고(채권부문)_부실보고양식(03.06)" xfId="0"/>
    <cellStyle name="7_전자99상결산진실_2002년하반기공정업적보고(채권부문)_부실보고양식(03.06)_지급이자_2005법인세 신고_v2_최종" xfId="0"/>
    <cellStyle name="7_전자99상결산진실_2002년하반기공정업적보고(채권부문)_지급이자_2005법인세 신고_v2_최종" xfId="0"/>
    <cellStyle name="7_전자99상결산진실_Sheet1" xfId="0"/>
    <cellStyle name="7_전자99상결산진실_Sheet1_2002년하반기공정업적보고(채권부문)" xfId="0"/>
    <cellStyle name="7_전자99상결산진실_Sheet1_2002년하반기공정업적보고(채권부문)_부실보고양식(03.06)" xfId="0"/>
    <cellStyle name="7_전자99상결산진실_Sheet1_2002년하반기공정업적보고(채권부문)_부실보고양식(03.06)_지급이자_2005법인세 신고_v2_최종" xfId="0"/>
    <cellStyle name="7_전자99상결산진실_Sheet1_2002년하반기공정업적보고(채권부문)_지급이자_2005법인세 신고_v2_최종" xfId="0"/>
    <cellStyle name="7_전자99상결산진실_Sheet1_부실보고양식(03.06)" xfId="0"/>
    <cellStyle name="7_전자99상결산진실_Sheet1_부실보고양식(03.06)_지급이자_2005법인세 신고_v2_최종" xfId="0"/>
    <cellStyle name="7_전자99상결산진실_Sheet1_부실보고정리(0209_2차)" xfId="0"/>
    <cellStyle name="7_전자99상결산진실_Sheet1_부실보고정리(0209_2차)_부실보고양식(03.06)" xfId="0"/>
    <cellStyle name="7_전자99상결산진실_Sheet1_부실보고정리(0209_2차)_부실보고양식(03.06)_지급이자_2005법인세 신고_v2_최종" xfId="0"/>
    <cellStyle name="7_전자99상결산진실_Sheet1_부실보고정리(0209_2차)_지급이자_2005법인세 신고_v2_최종" xfId="0"/>
    <cellStyle name="7_전자99상결산진실_Sheet1_부실보고정리(0212_3차)" xfId="0"/>
    <cellStyle name="7_전자99상결산진실_Sheet1_부실보고정리(0212_3차)_부실보고양식(03.06)" xfId="0"/>
    <cellStyle name="7_전자99상결산진실_Sheet1_부실보고정리(0212_3차)_부실보고양식(03.06)_지급이자_2005법인세 신고_v2_최종" xfId="0"/>
    <cellStyle name="7_전자99상결산진실_Sheet1_부실보고정리(0212_3차)_지급이자_2005법인세 신고_v2_최종" xfId="0"/>
    <cellStyle name="7_전자99상결산진실_Sheet1_사고채권내역" xfId="0"/>
    <cellStyle name="7_전자99상결산진실_Sheet1_사고채권내역_부실보고양식(03.06)" xfId="0"/>
    <cellStyle name="7_전자99상결산진실_Sheet1_사고채권내역_부실보고양식(03.06)_지급이자_2005법인세 신고_v2_최종" xfId="0"/>
    <cellStyle name="7_전자99상결산진실_Sheet1_사고채권내역_지급이자_2005법인세 신고_v2_최종" xfId="0"/>
    <cellStyle name="7_전자99상결산진실_Sheet1_지급이자_2005법인세 신고_v2_최종" xfId="0"/>
    <cellStyle name="7_전자99상결산진실_부실보고양식(03.06)" xfId="0"/>
    <cellStyle name="7_전자99상결산진실_부실보고양식(03.06)_지급이자_2005법인세 신고_v2_최종" xfId="0"/>
    <cellStyle name="7_전자99상결산진실_부실보고정리(0209_2차)" xfId="0"/>
    <cellStyle name="7_전자99상결산진실_부실보고정리(0209_2차)_부실보고양식(03.06)" xfId="0"/>
    <cellStyle name="7_전자99상결산진실_부실보고정리(0209_2차)_부실보고양식(03.06)_지급이자_2005법인세 신고_v2_최종" xfId="0"/>
    <cellStyle name="7_전자99상결산진실_부실보고정리(0209_2차)_지급이자_2005법인세 신고_v2_최종" xfId="0"/>
    <cellStyle name="7_전자99상결산진실_지급이자_2005법인세 신고_v2_최종" xfId="0"/>
    <cellStyle name="7_전자99연간결산진실" xfId="0"/>
    <cellStyle name="7_전자99연간결산진실_2002년하반기공정업적보고(채권부문)" xfId="0"/>
    <cellStyle name="7_전자99연간결산진실_2002년하반기공정업적보고(채권부문)_부실보고양식(03.06)" xfId="0"/>
    <cellStyle name="7_전자99연간결산진실_2002년하반기공정업적보고(채권부문)_부실보고양식(03.06)_지급이자_2005법인세 신고_v2_최종" xfId="0"/>
    <cellStyle name="7_전자99연간결산진실_2002년하반기공정업적보고(채권부문)_지급이자_2005법인세 신고_v2_최종" xfId="0"/>
    <cellStyle name="7_전자99연간결산진실_Sheet1" xfId="0"/>
    <cellStyle name="7_전자99연간결산진실_Sheet1_2002년하반기공정업적보고(채권부문)" xfId="0"/>
    <cellStyle name="7_전자99연간결산진실_Sheet1_2002년하반기공정업적보고(채권부문)_부실보고양식(03.06)" xfId="0"/>
    <cellStyle name="7_전자99연간결산진실_Sheet1_2002년하반기공정업적보고(채권부문)_부실보고양식(03.06)_지급이자_2005법인세 신고_v2_최종" xfId="0"/>
    <cellStyle name="7_전자99연간결산진실_Sheet1_2002년하반기공정업적보고(채권부문)_지급이자_2005법인세 신고_v2_최종" xfId="0"/>
    <cellStyle name="7_전자99연간결산진실_Sheet1_부실보고양식(03.06)" xfId="0"/>
    <cellStyle name="7_전자99연간결산진실_Sheet1_부실보고양식(03.06)_지급이자_2005법인세 신고_v2_최종" xfId="0"/>
    <cellStyle name="7_전자99연간결산진실_Sheet1_부실보고정리(0209_2차)" xfId="0"/>
    <cellStyle name="7_전자99연간결산진실_Sheet1_부실보고정리(0209_2차)_부실보고양식(03.06)" xfId="0"/>
    <cellStyle name="7_전자99연간결산진실_Sheet1_부실보고정리(0209_2차)_부실보고양식(03.06)_지급이자_2005법인세 신고_v2_최종" xfId="0"/>
    <cellStyle name="7_전자99연간결산진실_Sheet1_부실보고정리(0209_2차)_지급이자_2005법인세 신고_v2_최종" xfId="0"/>
    <cellStyle name="7_전자99연간결산진실_Sheet1_부실보고정리(0212_3차)" xfId="0"/>
    <cellStyle name="7_전자99연간결산진실_Sheet1_부실보고정리(0212_3차)_부실보고양식(03.06)" xfId="0"/>
    <cellStyle name="7_전자99연간결산진실_Sheet1_부실보고정리(0212_3차)_부실보고양식(03.06)_지급이자_2005법인세 신고_v2_최종" xfId="0"/>
    <cellStyle name="7_전자99연간결산진실_Sheet1_부실보고정리(0212_3차)_지급이자_2005법인세 신고_v2_최종" xfId="0"/>
    <cellStyle name="7_전자99연간결산진실_Sheet1_사고채권내역" xfId="0"/>
    <cellStyle name="7_전자99연간결산진실_Sheet1_사고채권내역_부실보고양식(03.06)" xfId="0"/>
    <cellStyle name="7_전자99연간결산진실_Sheet1_사고채권내역_부실보고양식(03.06)_지급이자_2005법인세 신고_v2_최종" xfId="0"/>
    <cellStyle name="7_전자99연간결산진실_Sheet1_사고채권내역_지급이자_2005법인세 신고_v2_최종" xfId="0"/>
    <cellStyle name="7_전자99연간결산진실_Sheet1_지급이자_2005법인세 신고_v2_최종" xfId="0"/>
    <cellStyle name="7_전자99연간결산진실_부실보고양식(03.06)" xfId="0"/>
    <cellStyle name="7_전자99연간결산진실_부실보고양식(03.06)_지급이자_2005법인세 신고_v2_최종" xfId="0"/>
    <cellStyle name="7_전자99연간결산진실_부실보고정리(0209_2차)" xfId="0"/>
    <cellStyle name="7_전자99연간결산진실_부실보고정리(0209_2차)_부실보고양식(03.06)" xfId="0"/>
    <cellStyle name="7_전자99연간결산진실_부실보고정리(0209_2차)_부실보고양식(03.06)_지급이자_2005법인세 신고_v2_최종" xfId="0"/>
    <cellStyle name="7_전자99연간결산진실_부실보고정리(0209_2차)_지급이자_2005법인세 신고_v2_최종" xfId="0"/>
    <cellStyle name="7_전자99연간결산진실_지급이자_2005법인세 신고_v2_최종" xfId="0"/>
    <cellStyle name="7_전자_국내법인EVA_김익환0808" xfId="0"/>
    <cellStyle name="7_전자_국내법인EVA_김익환0808_2002년하반기공정업적보고(채권부문)" xfId="0"/>
    <cellStyle name="7_전자_국내법인EVA_김익환0808_2002년하반기공정업적보고(채권부문)_부실보고양식(03.06)" xfId="0"/>
    <cellStyle name="7_전자_국내법인EVA_김익환0808_2002년하반기공정업적보고(채권부문)_부실보고양식(03.06)_지급이자_2005법인세 신고_v2_최종" xfId="0"/>
    <cellStyle name="7_전자_국내법인EVA_김익환0808_2002년하반기공정업적보고(채권부문)_지급이자_2005법인세 신고_v2_최종" xfId="0"/>
    <cellStyle name="7_전자_국내법인EVA_김익환0808_Sheet1" xfId="0"/>
    <cellStyle name="7_전자_국내법인EVA_김익환0808_Sheet1_2002년하반기공정업적보고(채권부문)" xfId="0"/>
    <cellStyle name="7_전자_국내법인EVA_김익환0808_Sheet1_2002년하반기공정업적보고(채권부문)_부실보고양식(03.06)" xfId="0"/>
    <cellStyle name="7_전자_국내법인EVA_김익환0808_Sheet1_2002년하반기공정업적보고(채권부문)_부실보고양식(03.06)_지급이자_2005법인세 신고_v2_최종" xfId="0"/>
    <cellStyle name="7_전자_국내법인EVA_김익환0808_Sheet1_2002년하반기공정업적보고(채권부문)_지급이자_2005법인세 신고_v2_최종" xfId="0"/>
    <cellStyle name="7_전자_국내법인EVA_김익환0808_Sheet1_부실보고양식(03.06)" xfId="0"/>
    <cellStyle name="7_전자_국내법인EVA_김익환0808_Sheet1_부실보고양식(03.06)_지급이자_2005법인세 신고_v2_최종" xfId="0"/>
    <cellStyle name="7_전자_국내법인EVA_김익환0808_Sheet1_부실보고정리(0209_2차)" xfId="0"/>
    <cellStyle name="7_전자_국내법인EVA_김익환0808_Sheet1_부실보고정리(0209_2차)_부실보고양식(03.06)" xfId="0"/>
    <cellStyle name="7_전자_국내법인EVA_김익환0808_Sheet1_부실보고정리(0209_2차)_부실보고양식(03.06)_지급이자_2005법인세 신고_v2_최종" xfId="0"/>
    <cellStyle name="7_전자_국내법인EVA_김익환0808_Sheet1_부실보고정리(0209_2차)_지급이자_2005법인세 신고_v2_최종" xfId="0"/>
    <cellStyle name="7_전자_국내법인EVA_김익환0808_Sheet1_부실보고정리(0212_3차)" xfId="0"/>
    <cellStyle name="7_전자_국내법인EVA_김익환0808_Sheet1_부실보고정리(0212_3차)_부실보고양식(03.06)" xfId="0"/>
    <cellStyle name="7_전자_국내법인EVA_김익환0808_Sheet1_부실보고정리(0212_3차)_부실보고양식(03.06)_지급이자_2005법인세 신고_v2_최종" xfId="0"/>
    <cellStyle name="7_전자_국내법인EVA_김익환0808_Sheet1_부실보고정리(0212_3차)_지급이자_2005법인세 신고_v2_최종" xfId="0"/>
    <cellStyle name="7_전자_국내법인EVA_김익환0808_Sheet1_사고채권내역" xfId="0"/>
    <cellStyle name="7_전자_국내법인EVA_김익환0808_Sheet1_사고채권내역_부실보고양식(03.06)" xfId="0"/>
    <cellStyle name="7_전자_국내법인EVA_김익환0808_Sheet1_사고채권내역_부실보고양식(03.06)_지급이자_2005법인세 신고_v2_최종" xfId="0"/>
    <cellStyle name="7_전자_국내법인EVA_김익환0808_Sheet1_사고채권내역_지급이자_2005법인세 신고_v2_최종" xfId="0"/>
    <cellStyle name="7_전자_국내법인EVA_김익환0808_Sheet1_지급이자_2005법인세 신고_v2_최종" xfId="0"/>
    <cellStyle name="7_전자_국내법인EVA_김익환0808_부실보고양식(03.06)" xfId="0"/>
    <cellStyle name="7_전자_국내법인EVA_김익환0808_부실보고양식(03.06)_지급이자_2005법인세 신고_v2_최종" xfId="0"/>
    <cellStyle name="7_전자_국내법인EVA_김익환0808_부실보고정리(0209_2차)" xfId="0"/>
    <cellStyle name="7_전자_국내법인EVA_김익환0808_부실보고정리(0209_2차)_부실보고양식(03.06)" xfId="0"/>
    <cellStyle name="7_전자_국내법인EVA_김익환0808_부실보고정리(0209_2차)_부실보고양식(03.06)_지급이자_2005법인세 신고_v2_최종" xfId="0"/>
    <cellStyle name="7_전자_국내법인EVA_김익환0808_부실보고정리(0209_2차)_지급이자_2005법인세 신고_v2_최종" xfId="0"/>
    <cellStyle name="7_전자_국내법인EVA_김익환0808_지급이자_2005법인세 신고_v2_최종" xfId="0"/>
    <cellStyle name="7_정산표072Q_최종" xfId="0"/>
    <cellStyle name="7_정산표FY2008-2Q_0704" xfId="0"/>
    <cellStyle name="7_정산표및 현금흐름표" xfId="0"/>
    <cellStyle name="7_정산표및 현금흐름표_08Q3_CFS_081021_담당자용_v3.4" xfId="0"/>
    <cellStyle name="7_정산표및 현금흐름표_2008_3Q정산표(LGE)_V8(1023)" xfId="0"/>
    <cellStyle name="7_정산표및 현금흐름표_LGE 2006 4Q-FS_070302" xfId="0"/>
    <cellStyle name="7_정산표및 현금흐름표_LGE 2006 4Q-FS_070302_08Q3_CFS_081021_담당자용_v3.4" xfId="0"/>
    <cellStyle name="7_정산표및 현금흐름표_LGE 2006 4Q-FS_070302_2008_3Q정산표(LGE)_V8(1023)" xfId="0"/>
    <cellStyle name="7_정산표및 현금흐름표_LGE 2006 4Q-FS_070302_LGE071Q_Non-con-FS(Eng)-우원식" xfId="0"/>
    <cellStyle name="7_정산표및 현금흐름표_LGE 2006 4Q-FS_070302_LGE071Q_Non-con-FS(Eng)-우원식_08Q3_CFS_081021_담당자용_v3.4" xfId="0"/>
    <cellStyle name="7_정산표및 현금흐름표_LGE 2006 4Q-FS_070302_LGE071Q_Non-con-FS(Eng)-우원식_2008_3Q정산표(LGE)_V8(1023)" xfId="0"/>
    <cellStyle name="7_정산표및 현금흐름표_LGE 2006 4Q-FS_070302_LGE071Q_Non-con-FS(Eng)-우원식_LGE2008-1Q정산표_v25(0421)" xfId="0"/>
    <cellStyle name="7_정산표및 현금흐름표_LGE 2006 4Q-FS_070302_LGE071Q_Non-con-FS(Eng)-우원식_LGE2008-1Q정산표_v27(0428)" xfId="0"/>
    <cellStyle name="7_정산표및 현금흐름표_LGE 2006 4Q-FS_070302_LGE071Q_Non-con-FS(Eng)-우원식_LGE2008-1Q정산표_v28(0430)" xfId="0"/>
    <cellStyle name="7_정산표및 현금흐름표_LGE 2006 4Q-FS_070302_LGE071Q_Non-con-FS(Eng)-우원식_정산표072Q_최종" xfId="0"/>
    <cellStyle name="7_정산표및 현금흐름표_LGE 2006 4Q-FS_070302_LGE071Q_Non-con-FS(Eng)-우원식_정산표FY2008-2Q_0704" xfId="0"/>
    <cellStyle name="7_정산표및 현금흐름표_LGE 2006 4Q-FS_070302_LGE2008-1Q정산표_v25(0421)" xfId="0"/>
    <cellStyle name="7_정산표및 현금흐름표_LGE 2006 4Q-FS_070302_LGE2008-1Q정산표_v27(0428)" xfId="0"/>
    <cellStyle name="7_정산표및 현금흐름표_LGE 2006 4Q-FS_070302_LGE2008-1Q정산표_v28(0430)" xfId="0"/>
    <cellStyle name="7_정산표및 현금흐름표_LGE 2006 4Q-FS_070302_정산표072Q_최종" xfId="0"/>
    <cellStyle name="7_정산표및 현금흐름표_LGE 2006 4Q-FS_070302_정산표FY2008-2Q_0704" xfId="0"/>
    <cellStyle name="7_정산표및 현금흐름표_LGE05 200512-Non-con FS(Eng)_060323" xfId="0"/>
    <cellStyle name="7_정산표및 현금흐름표_LGE05 200512-Non-con FS(Eng)_060323_08Q3_CFS_081021_담당자용_v3.4" xfId="0"/>
    <cellStyle name="7_정산표및 현금흐름표_LGE05 200512-Non-con FS(Eng)_060323_2008_3Q정산표(LGE)_V8(1023)" xfId="0"/>
    <cellStyle name="7_정산표및 현금흐름표_LGE05 200512-Non-con FS(Eng)_060323_LGE071Q_Non-con-FS(Eng)-우원식" xfId="0"/>
    <cellStyle name="7_정산표및 현금흐름표_LGE05 200512-Non-con FS(Eng)_060323_LGE071Q_Non-con-FS(Eng)-우원식_08Q3_CFS_081021_담당자용_v3.4" xfId="0"/>
    <cellStyle name="7_정산표및 현금흐름표_LGE05 200512-Non-con FS(Eng)_060323_LGE071Q_Non-con-FS(Eng)-우원식_2008_3Q정산표(LGE)_V8(1023)" xfId="0"/>
    <cellStyle name="7_정산표및 현금흐름표_LGE05 200512-Non-con FS(Eng)_060323_LGE071Q_Non-con-FS(Eng)-우원식_LGE2008-1Q정산표_v25(0421)" xfId="0"/>
    <cellStyle name="7_정산표및 현금흐름표_LGE05 200512-Non-con FS(Eng)_060323_LGE071Q_Non-con-FS(Eng)-우원식_LGE2008-1Q정산표_v27(0428)" xfId="0"/>
    <cellStyle name="7_정산표및 현금흐름표_LGE05 200512-Non-con FS(Eng)_060323_LGE071Q_Non-con-FS(Eng)-우원식_LGE2008-1Q정산표_v28(0430)" xfId="0"/>
    <cellStyle name="7_정산표및 현금흐름표_LGE05 200512-Non-con FS(Eng)_060323_LGE071Q_Non-con-FS(Eng)-우원식_정산표072Q_최종" xfId="0"/>
    <cellStyle name="7_정산표및 현금흐름표_LGE05 200512-Non-con FS(Eng)_060323_LGE071Q_Non-con-FS(Eng)-우원식_정산표FY2008-2Q_0704" xfId="0"/>
    <cellStyle name="7_정산표및 현금흐름표_LGE05 200512-Non-con FS(Eng)_060323_LGE2008-1Q정산표_v25(0421)" xfId="0"/>
    <cellStyle name="7_정산표및 현금흐름표_LGE05 200512-Non-con FS(Eng)_060323_LGE2008-1Q정산표_v27(0428)" xfId="0"/>
    <cellStyle name="7_정산표및 현금흐름표_LGE05 200512-Non-con FS(Eng)_060323_LGE2008-1Q정산표_v28(0430)" xfId="0"/>
    <cellStyle name="7_정산표및 현금흐름표_LGE05 200512-Non-con FS(Eng)_060323_정산표072Q_최종" xfId="0"/>
    <cellStyle name="7_정산표및 현금흐름표_LGE05 200512-Non-con FS(Eng)_060323_정산표FY2008-2Q_0704" xfId="0"/>
    <cellStyle name="7_정산표및 현금흐름표_LGE071Q_Non-con-FS(Eng)-우원식" xfId="0"/>
    <cellStyle name="7_정산표및 현금흐름표_LGE071Q_Non-con-FS(Eng)-우원식_08Q3_CFS_081021_담당자용_v3.4" xfId="0"/>
    <cellStyle name="7_정산표및 현금흐름표_LGE071Q_Non-con-FS(Eng)-우원식_2008_3Q정산표(LGE)_V8(1023)" xfId="0"/>
    <cellStyle name="7_정산표및 현금흐름표_LGE071Q_Non-con-FS(Eng)-우원식_LGE2008-1Q정산표_v25(0421)" xfId="0"/>
    <cellStyle name="7_정산표및 현금흐름표_LGE071Q_Non-con-FS(Eng)-우원식_LGE2008-1Q정산표_v27(0428)" xfId="0"/>
    <cellStyle name="7_정산표및 현금흐름표_LGE071Q_Non-con-FS(Eng)-우원식_LGE2008-1Q정산표_v28(0430)" xfId="0"/>
    <cellStyle name="7_정산표및 현금흐름표_LGE071Q_Non-con-FS(Eng)-우원식_정산표072Q_최종" xfId="0"/>
    <cellStyle name="7_정산표및 현금흐름표_LGE071Q_Non-con-FS(Eng)-우원식_정산표FY2008-2Q_0704" xfId="0"/>
    <cellStyle name="7_정산표및 현금흐름표_LGE2008-1Q정산표_v25(0421)" xfId="0"/>
    <cellStyle name="7_정산표및 현금흐름표_LGE2008-1Q정산표_v27(0428)" xfId="0"/>
    <cellStyle name="7_정산표및 현금흐름표_LGE2008-1Q정산표_v28(0430)" xfId="0"/>
    <cellStyle name="7_정산표및 현금흐름표_LGE_200612_Con_FS(draft)" xfId="0"/>
    <cellStyle name="7_정산표및 현금흐름표_LGE_200612_Con_FS(draft)_08Q3_CFS_081021_담당자용_v3.4" xfId="0"/>
    <cellStyle name="7_정산표및 현금흐름표_LGE_200612_Con_FS(draft)_2008_3Q정산표(LGE)_V8(1023)" xfId="0"/>
    <cellStyle name="7_정산표및 현금흐름표_LGE_200612_Con_FS(draft)_LGE2008-1Q정산표_v25(0421)" xfId="0"/>
    <cellStyle name="7_정산표및 현금흐름표_LGE_200612_Con_FS(draft)_LGE2008-1Q정산표_v27(0428)" xfId="0"/>
    <cellStyle name="7_정산표및 현금흐름표_LGE_200612_Con_FS(draft)_LGE2008-1Q정산표_v28(0430)" xfId="0"/>
    <cellStyle name="7_정산표및 현금흐름표_LGE_200612_Con_FS(draft)_정산표072Q_최종" xfId="0"/>
    <cellStyle name="7_정산표및 현금흐름표_LGE_200612_Con_FS(draft)_정산표FY2008-2Q_0704" xfId="0"/>
    <cellStyle name="7_정산표및 현금흐름표_LG전자2005연결영문보고서_재무제표" xfId="0"/>
    <cellStyle name="7_정산표및 현금흐름표_LG전자2005연결영문보고서_재무제표_08Q3_CFS_081021_담당자용_v3.4" xfId="0"/>
    <cellStyle name="7_정산표및 현금흐름표_LG전자2005연결영문보고서_재무제표_2008_3Q정산표(LGE)_V8(1023)" xfId="0"/>
    <cellStyle name="7_정산표및 현금흐름표_LG전자2005연결영문보고서_재무제표_LGE2008-1Q정산표_v25(0421)" xfId="0"/>
    <cellStyle name="7_정산표및 현금흐름표_LG전자2005연결영문보고서_재무제표_LGE2008-1Q정산표_v27(0428)" xfId="0"/>
    <cellStyle name="7_정산표및 현금흐름표_LG전자2005연결영문보고서_재무제표_LGE2008-1Q정산표_v28(0430)" xfId="0"/>
    <cellStyle name="7_정산표및 현금흐름표_LG전자2005연결영문보고서_재무제표_정산표072Q_최종" xfId="0"/>
    <cellStyle name="7_정산표및 현금흐름표_LG전자2005연결영문보고서_재무제표_정산표FY2008-2Q_0704" xfId="0"/>
    <cellStyle name="7_정산표및 현금흐름표_~5283006" xfId="0"/>
    <cellStyle name="7_정산표및 현금흐름표_~5283006_08Q3_CFS_081021_담당자용_v3.4" xfId="0"/>
    <cellStyle name="7_정산표및 현금흐름표_~5283006_2008_3Q정산표(LGE)_V8(1023)" xfId="0"/>
    <cellStyle name="7_정산표및 현금흐름표_~5283006_LGE2008-1Q정산표_v25(0421)" xfId="0"/>
    <cellStyle name="7_정산표및 현금흐름표_~5283006_LGE2008-1Q정산표_v27(0428)" xfId="0"/>
    <cellStyle name="7_정산표및 현금흐름표_~5283006_LGE2008-1Q정산표_v28(0430)" xfId="0"/>
    <cellStyle name="7_정산표및 현금흐름표_~5283006_정산표072Q_최종" xfId="0"/>
    <cellStyle name="7_정산표및 현금흐름표_~5283006_정산표FY2008-2Q_0704" xfId="0"/>
    <cellStyle name="7_정산표및 현금흐름표_정산표072Q_최종" xfId="0"/>
    <cellStyle name="7_정산표및 현금흐름표_정산표FY2008-2Q_0704" xfId="0"/>
    <cellStyle name="7_지급이자_2005법인세 신고_v2_최종" xfId="0"/>
    <cellStyle name="7_지분법평가원장" xfId="0"/>
    <cellStyle name="7_지분법평가원장_05년1분기_지분법보고자료" xfId="0"/>
    <cellStyle name="7_지분법평가원장_05년1분기지분법실적보고자료" xfId="0"/>
    <cellStyle name="7_지분법평가원장_2005년1분기_BSPL_v2" xfId="0"/>
    <cellStyle name="7_지분법평가원장_2005년1분기_BSPL_추정_050505" xfId="0"/>
    <cellStyle name="7_퇴충+예치금(2004)_신고" xfId="0"/>
    <cellStyle name="7_퇴충세무조정_0803" xfId="0"/>
    <cellStyle name="7_퇴충조정명세" xfId="0"/>
    <cellStyle name="9" xfId="0"/>
    <cellStyle name="9_2005정보통신 공제조합검토조서cha" xfId="0"/>
    <cellStyle name="9_WTB_KBDS" xfId="0"/>
    <cellStyle name="9_WTB정보통신공제조합" xfId="0"/>
    <cellStyle name="9_정보통신기말조서JK" xfId="0"/>
    <cellStyle name="9_정산표05(CGV시네마)" xfId="0"/>
    <cellStyle name="9_정산표05(CGV시네마)V3" xfId="0"/>
    <cellStyle name="=C:\WINNT35\SYSTEM32\COMMAND.COM" xfId="0"/>
    <cellStyle name="=C:\WINNT\SYSTEM32\COMMAND.COM" xfId="0"/>
    <cellStyle name="?" xfId="0"/>
    <cellStyle name="?_x0001_" xfId="0"/>
    <cellStyle name="?_x0001_&#10;" xfId="0"/>
    <cellStyle name="?_x000f__x0001_?잡_x0002_" xfId="0"/>
    <cellStyle name="?503_99매출" xfId="0"/>
    <cellStyle name="??" xfId="0"/>
    <cellStyle name="??_x000c_@?&#13;3?_x0001__x000b_" xfId="0"/>
    <cellStyle name="??_x000c_卄'&#13;署U_x0001__x0004__x0005_M_x0006__x0007__x0001__x0001_" xfId="0"/>
    <cellStyle name="??_x000c_蕓&quot;&#13;婦U_x0001_&quot;_x0004_?_x0007__x0001__x0001_" xfId="0"/>
    <cellStyle name="??_x000c_溜_x0012_&#13;肥U_x0001_?_x0006_?_x0007__x0001__x0001_" xfId="0"/>
    <cellStyle name="?? [0]_ ???? " xfId="0"/>
    <cellStyle name="??&amp;O?&amp;H?_x0008__x000f__x0007_?_x0007__x0001__x0001_" xfId="0"/>
    <cellStyle name="??&amp;O?&amp;H?_x0008__x000f__x0007_?_x0007__x0001__x0001_?_x0002_yyyyyyyyyyyyyyy_x0001_(_x0002_c&#9;????yyyy????_x0007_??????????????????????????           ?????           ?????????&#13;C:\WINDOWS\COUNTRY.SYS&#13;??????????????????????????????????????????????????????????????????????????????????????????????" xfId="0"/>
    <cellStyle name="??&amp;O?&amp;H?_x0008__x000f__x0007_?_x0007__x0001__x0001_?_x0002__x0001_(_x0002_c&#9;????????_x0007_??????????????????????????           ?????           ?????????&#13;C:\WINDOWS\COUNTRY.SYS&#13;??????????????????????????????????????????????????????????????????????????????????????????????" xfId="0"/>
    <cellStyle name="??&amp;O?&amp;H?_x0008__x0013__x0008_?_x0007__x0001__x0001_" xfId="0"/>
    <cellStyle name="??&amp;O?&amp;H?_x0008_??_x0007__x0001__x0001_" xfId="0"/>
    <cellStyle name="??&amp;O?&amp;H?_x0008_??_x0007__x0001__x0001_?_x0002_yyyyyyyyyyyyyyy_x0001_(_x0002_&gt;_x000f_???v!yyyy????_x0007_??????????????????????????           ?????           ?????????&#13;?????????????????????????????????????????????????????????????????????????????????????????????????????????????????????" xfId="0"/>
    <cellStyle name="??&amp;O?&amp;H?_x0008_??_x0007__x0001__x0001_?_x0002__x0001_(_x0002_&gt;_x000f_???v!????_x0007_??????????????????????????           ?????           ?????????&#13;?????????????????????????????????????????????????????????????????????????????????????????????????????????????????????" xfId="0"/>
    <cellStyle name="??&amp;O?&amp;H?_x0008_??_x000f__x0001__x0001_" xfId="0"/>
    <cellStyle name="??&amp;O?&amp;H?_x0008_x_x000b_P_x000c__x0007__x0001__x0001_" xfId="0"/>
    <cellStyle name="??&amp;쏗?뷐9_x0008__x0011__x0007_?_x0007__x0001__x0001_" xfId="0"/>
    <cellStyle name="???? [0]_???? " xfId="0"/>
    <cellStyle name="?????" xfId="0"/>
    <cellStyle name="???????o? (2)" xfId="0"/>
    <cellStyle name="?????_VERA" xfId="0"/>
    <cellStyle name="????_???? " xfId="0"/>
    <cellStyle name="???­ [0]_0420" xfId="0"/>
    <cellStyle name="???­_ °ß??±??Ø FLOW " xfId="0"/>
    <cellStyle name="???Ø_ °ß??±??Ø FLOW " xfId="0"/>
    <cellStyle name="??_ ???? " xfId="0"/>
    <cellStyle name="?W?_BOOKSHIP_½??????² " xfId="0"/>
    <cellStyle name="?Þ¸¶ [0]_ °ß??±??Ø FLOW " xfId="0"/>
    <cellStyle name="?Þ¸¶_ °ß??±??Ø FLOW " xfId="0"/>
    <cellStyle name="?曹%U?&amp;H?_x0008_?s&#10;_x0007__x0001__x0001_" xfId="0"/>
    <cellStyle name="?餡_x000c_k?&#13;^黇_x0001_??_x0007__x0001__x0001_" xfId="0"/>
    <cellStyle name="?렑띙귒궻긪귽긬?깏깛긏" xfId="0"/>
    <cellStyle name="?칮E0899intecosch" xfId="0"/>
    <cellStyle name="?칮E0899M1RP" xfId="0"/>
    <cellStyle name="?칮E1999Year End Provision" xfId="0"/>
    <cellStyle name="?핺_CASH FLOW " xfId="0"/>
    <cellStyle name="]_x0004_" xfId="0"/>
    <cellStyle name="]_^[꺞_x0008_?" xfId="0"/>
    <cellStyle name="_  수정사항집계의 워크시트" xfId="0"/>
    <cellStyle name="_  재무제표(루미-최종)의 워크시트" xfId="0"/>
    <cellStyle name="_'01년중포국소설치현황-SK건설" xfId="0"/>
    <cellStyle name="_'07_1qr_남경지분법회계처리_수정" xfId="0"/>
    <cellStyle name="_'07_2qr_남경지분법회계처리_수정" xfId="0"/>
    <cellStyle name="_'99상반기경영개선활동결과(게시용)" xfId="0"/>
    <cellStyle name="_(WTB-05_반기조서_SIB)_중간" xfId="0"/>
    <cellStyle name="_(이성욱)포스데이타 조정서식" xfId="0"/>
    <cellStyle name="_0.종합" xfId="0"/>
    <cellStyle name="_0000 Valuation" xfId="0"/>
    <cellStyle name="_00년중포국소조사현황(SK건설-대일)" xfId="0"/>
    <cellStyle name="_01 고정자산(FY2007 1분기)" xfId="0"/>
    <cellStyle name="_01 자산(FY2007 1분기)" xfId="0"/>
    <cellStyle name="_01 자산(FY2007 2분기)" xfId="0"/>
    <cellStyle name="_01 자산(FY2007 3분기)" xfId="0"/>
    <cellStyle name="_01,RF중계기(사급자재-총괄)만인10월20일" xfId="0"/>
    <cellStyle name="_01,RF중계기(사급자재-총괄)만인9월30일" xfId="0"/>
    <cellStyle name="_01-4속보" xfId="0"/>
    <cellStyle name="_0107RF중계기작업일보-SK건설" xfId="0"/>
    <cellStyle name="_01경영종합보고" xfId="0"/>
    <cellStyle name="_01년 중계기 시설현황-강남(05-21)" xfId="0"/>
    <cellStyle name="_01년 중계기 시설현황-강남(06-04)" xfId="0"/>
    <cellStyle name="_01년 중계기 시설현황-강남(06-11)" xfId="0"/>
    <cellStyle name="_01년 중계기 시설현황-강남(06-14)" xfId="0"/>
    <cellStyle name="_01년 중계기 시설현황-강남(06-26)" xfId="0"/>
    <cellStyle name="_01년 중계기 시설현황-강남(07-23)" xfId="0"/>
    <cellStyle name="_01년 중계기 시설현황-강남(10-16)" xfId="0"/>
    <cellStyle name="_01년 중계기 시설현황-강남(11-12)" xfId="0"/>
    <cellStyle name="_01년 중계기 시설현황-강남(11-20)" xfId="0"/>
    <cellStyle name="_02,RF중계기(사급자재-총괄)" xfId="0"/>
    <cellStyle name="_02경영종합보고" xfId="0"/>
    <cellStyle name="_02경영종합보고(진짜내부)" xfId="0"/>
    <cellStyle name="_02경영종합보고_1" xfId="0"/>
    <cellStyle name="_02내부03" xfId="0"/>
    <cellStyle name="_02년RF중계기 사급자재" xfId="0"/>
    <cellStyle name="_03 비용(FY2006 4분기)부동산" xfId="0"/>
    <cellStyle name="_03 비용(FY2007 1분기)" xfId="0"/>
    <cellStyle name="_03 비용(FY2007 2분기)" xfId="0"/>
    <cellStyle name="_03 비용(FY2007 3분기)" xfId="0"/>
    <cellStyle name="_030820 Final 확정업무보고서(2003.2분기)" xfId="0"/>
    <cellStyle name="_031011통합" xfId="0"/>
    <cellStyle name="_031018통합" xfId="0"/>
    <cellStyle name="_031024통합" xfId="0"/>
    <cellStyle name="_03_1Q(감사제출)" xfId="0"/>
    <cellStyle name="_03Ltech감사xls" xfId="0"/>
    <cellStyle name="_03다산JSH-최종" xfId="0"/>
    <cellStyle name="_03로커스JSH" xfId="0"/>
    <cellStyle name="_04기말_RJH(우석)" xfId="0"/>
    <cellStyle name="_04년 03월재무제표" xfId="0"/>
    <cellStyle name="_04년 06월재무제표" xfId="0"/>
    <cellStyle name="_04년 06월재무제표-감사확정V" xfId="0"/>
    <cellStyle name="_04년 11월재무제표-Y(최종)V" xfId="0"/>
    <cellStyle name="_04로커스1Q-JSH" xfId="0"/>
    <cellStyle name="_04로커스반기검토(손동식)" xfId="0"/>
    <cellStyle name="_04반기검토(로커스) WTB" xfId="0"/>
    <cellStyle name="_05 RFT fs" xfId="0"/>
    <cellStyle name="_05 rft fs-2nd" xfId="0"/>
    <cellStyle name="_05 인포뱅크 반기WTB" xfId="0"/>
    <cellStyle name="_05-서주관광개발WTB" xfId="0"/>
    <cellStyle name="_05반기-유니테스트WTB2" xfId="0"/>
    <cellStyle name="_05인포뱅크-반기검토(손동식)" xfId="0"/>
    <cellStyle name="_060511 12인치 170K 투자비-MES" xfId="0"/>
    <cellStyle name="_063분기원가산출표" xfId="0"/>
    <cellStyle name="_0704CDMA중계기작업일보-SK건설" xfId="0"/>
    <cellStyle name="_0712CDMA중계기작업일보-SK건설" xfId="0"/>
    <cellStyle name="_0801CDMA중계기작업일보-SK건설" xfId="0"/>
    <cellStyle name="_0808CDMA중계기작업일보-SK건설" xfId="0"/>
    <cellStyle name="_0813CDMA중계기작업일보-SK건설" xfId="0"/>
    <cellStyle name="_0817RF중계기작업일보-SK건설" xfId="0"/>
    <cellStyle name="_0821RF중계기작업일보-SK건설" xfId="0"/>
    <cellStyle name="_0831RF중계기작업일보-SK건설" xfId="0"/>
    <cellStyle name="_08년6월금융거래실적및실물관리현황보고_서준(080710)" xfId="0"/>
    <cellStyle name="_08년6월금융거래실적및실물관리현황보고_진아씨(080709)" xfId="0"/>
    <cellStyle name="_0905RF중계기작업일보-SK건설" xfId="0"/>
    <cellStyle name="_0911RF중계기작업일보-SK건설" xfId="0"/>
    <cellStyle name="_0915RF중계기작업일보(0915)" xfId="0"/>
    <cellStyle name="_0926RF중계기작업일보-SK건설" xfId="0"/>
    <cellStyle name="_1. '99년 대비 '00년 부문별 비교-XXX" xfId="0"/>
    <cellStyle name="_1.월간(10월)-마감" xfId="0"/>
    <cellStyle name="_1.총계 (2)" xfId="0"/>
    <cellStyle name="_1008RF중계기작업일보-SK건설" xfId="0"/>
    <cellStyle name="_1013RF중계기작업일보-SK건설" xfId="0"/>
    <cellStyle name="_1023RF중계기작업일보-SK건설" xfId="0"/>
    <cellStyle name="_10월(총괄)" xfId="0"/>
    <cellStyle name="_10월24일최종" xfId="0"/>
    <cellStyle name="_10월2주금요일" xfId="0"/>
    <cellStyle name="_10월실적-ENG-가마감2" xfId="0"/>
    <cellStyle name="_10월주간" xfId="0"/>
    <cellStyle name="_1106RF중계기작업일보-SK건설" xfId="0"/>
    <cellStyle name="_111" xfId="0"/>
    <cellStyle name="_1124RF중계기작업일보-SK건설" xfId="0"/>
    <cellStyle name="_11월 주간보고 및 마감" xfId="0"/>
    <cellStyle name="_11월14일최종" xfId="0"/>
    <cellStyle name="_11월20일" xfId="0"/>
    <cellStyle name="_11월2주" xfId="0"/>
    <cellStyle name="_11월실적-가마감1-ENG" xfId="0"/>
    <cellStyle name="_12.30순기보고-금산" xfId="0"/>
    <cellStyle name="_1201RF중계기작업일보-SK건설" xfId="0"/>
    <cellStyle name="_1210RF중계기작업일보-SK건설" xfId="0"/>
    <cellStyle name="_1220RF중계기작업일보-SK건설" xfId="0"/>
    <cellStyle name="_1228RF중계기작업일보-SK건설" xfId="0"/>
    <cellStyle name="_1230RF중계기작업일보-SK건설" xfId="0"/>
    <cellStyle name="_12월실적-가마감1-ENG" xfId="0"/>
    <cellStyle name="_12월실적-가마감2-ENG" xfId="0"/>
    <cellStyle name="_12월실적-가마감3-ENG" xfId="0"/>
    <cellStyle name="_12월실적-가마감4-ENG" xfId="0"/>
    <cellStyle name="_12월퇴충" xfId="0"/>
    <cellStyle name="_18최종" xfId="0"/>
    <cellStyle name="_1순기보고서-태현" xfId="0"/>
    <cellStyle name="_1월1주" xfId="0"/>
    <cellStyle name="_1월실적-2-가마감-ENG" xfId="0"/>
    <cellStyle name="_1월실적-가마감-ENG" xfId="0"/>
    <cellStyle name="_1차순기보고서-세하" xfId="0"/>
    <cellStyle name="_1회순기보고서-금산" xfId="0"/>
    <cellStyle name="_1회순기보고서-대일(0228)" xfId="0"/>
    <cellStyle name="_1회순기보고서-대일(0228)_1" xfId="0"/>
    <cellStyle name="_1회순기보고서-파이오넷" xfId="0"/>
    <cellStyle name="_2" xfId="0"/>
    <cellStyle name="_2. pa_bond" xfId="0"/>
    <cellStyle name="_2001년12월분 재고(상품)" xfId="0"/>
    <cellStyle name="_20021231final" xfId="0"/>
    <cellStyle name="_20021231final_030216" xfId="0"/>
    <cellStyle name="_20021231final_030216_2002FS_FINAL" xfId="0"/>
    <cellStyle name="_20021231final_030216_2322 WBS_WPL-07.1.29" xfId="0"/>
    <cellStyle name="_20021231final_030216_승구리- 코바이오SCF2003" xfId="0"/>
    <cellStyle name="_2002FS_FINAL" xfId="0"/>
    <cellStyle name="_2002년=매출실적현황...." xfId="0"/>
    <cellStyle name="_2002전기포스데이타" xfId="0"/>
    <cellStyle name="_2003.3_4분기_경영관리팀_82~83_제출_현호씨" xfId="0"/>
    <cellStyle name="_2003.3_4분기_경영관리팀_할부금융,비용" xfId="0"/>
    <cellStyle name="_20030915_APO_비용_시뮬레이션2" xfId="0"/>
    <cellStyle name="_2003_FS_hyundam" xfId="0"/>
    <cellStyle name="_2004.12 현금흐름표작성sheet" xfId="0"/>
    <cellStyle name="_2004년 1분기 재무제표(감사전)" xfId="0"/>
    <cellStyle name="_2004년 3분기 재무제표(감사전)" xfId="0"/>
    <cellStyle name="_2005 FS1" xfId="0"/>
    <cellStyle name="_2005FS" xfId="0"/>
    <cellStyle name="_2005WTB_인포뱅크V2" xfId="0"/>
    <cellStyle name="_2005年재무제표-부속명세서-2Q" xfId="0"/>
    <cellStyle name="_2005보고서_CJCGV" xfId="0"/>
    <cellStyle name="_2005정보통신 공제조합검토조서cha" xfId="0"/>
    <cellStyle name="_2006년 3분기 검토요청자료목록_20061010_작업" xfId="0"/>
    <cellStyle name="_2006년 반기재무제표" xfId="0"/>
    <cellStyle name="_2007.6월계약보전지원팀미결현황" xfId="0"/>
    <cellStyle name="_2007.9월계약보전지원팀미결현황" xfId="0"/>
    <cellStyle name="_200805_재무제표" xfId="0"/>
    <cellStyle name="_200807_재무제표 (2)" xfId="0"/>
    <cellStyle name="_200808_재무제표" xfId="0"/>
    <cellStyle name="_2008_10_계정명세서(중간감사용)" xfId="0"/>
    <cellStyle name="_2211  한주금속-2005FS의 워크시트" xfId="0"/>
    <cellStyle name="_2251 현금흐름정산표(05)의 워크시트" xfId="0"/>
    <cellStyle name="_2262 WTB2003-sck의 워크시트" xfId="0"/>
    <cellStyle name="_2262 WTB2003_이채널의 워크시트" xfId="0"/>
    <cellStyle name="_2262 수정사항 정산표" xfId="0"/>
    <cellStyle name="_2262 정산표 및 수정사항집계" xfId="0"/>
    <cellStyle name="_2321 재무제표(현금흐름표)의 워크시트" xfId="0"/>
    <cellStyle name="_2322 WBS_WPL-07.1.29" xfId="0"/>
    <cellStyle name="_2기lead" xfId="0"/>
    <cellStyle name="_2기lead_04FS_KID산업" xfId="0"/>
    <cellStyle name="_2기lead_2002FS_FINAL" xfId="0"/>
    <cellStyle name="_2기lead_2322 WBS_WPL-07.1.29" xfId="0"/>
    <cellStyle name="_2기lead_8720 18기이연법인세의 워크시트" xfId="0"/>
    <cellStyle name="_2기lead_미니스톱_2006FS_20070211" xfId="0"/>
    <cellStyle name="_2기lead_승구리- 코바이오SCF2003" xfId="0"/>
    <cellStyle name="_2기lead_크리스탈지노믹스CF" xfId="0"/>
    <cellStyle name="_2기lead_현금흐름표-삼애정밀 20051231" xfId="0"/>
    <cellStyle name="_2기리드" xfId="0"/>
    <cellStyle name="_2반기 결산 부속명세" xfId="0"/>
    <cellStyle name="_2월3주" xfId="0"/>
    <cellStyle name="_2천종합" xfId="0"/>
    <cellStyle name="_2최종WTB리폼" xfId="0"/>
    <cellStyle name="_3. Summ" xfId="0"/>
    <cellStyle name="_34A월별재료비" xfId="0"/>
    <cellStyle name="_3Group" xfId="0"/>
    <cellStyle name="_3월월간" xfId="0"/>
    <cellStyle name="_4100 현금및현금등가물, 장단기금융상품" xfId="0"/>
    <cellStyle name="_4200 매출채권" xfId="0"/>
    <cellStyle name="_4300 기타당좌자산" xfId="0"/>
    <cellStyle name="_4400 재고자산" xfId="0"/>
    <cellStyle name="_4500 유가증권" xfId="0"/>
    <cellStyle name="_4600 투자자산" xfId="0"/>
    <cellStyle name="_4700 유형자산" xfId="0"/>
    <cellStyle name="_4800 무형자산" xfId="0"/>
    <cellStyle name="_4_계획단계에서의분석적검토" xfId="0"/>
    <cellStyle name="_4기 감사" xfId="0"/>
    <cellStyle name="_4기 감사_04FS_KID산업" xfId="0"/>
    <cellStyle name="_4기 감사_18최종" xfId="0"/>
    <cellStyle name="_4기 감사_2322 WBS_WPL-07.1.29" xfId="0"/>
    <cellStyle name="_4기 감사_미니스톱_2006FS_20070211" xfId="0"/>
    <cellStyle name="_4기 감사_크리스탈지노믹스CF" xfId="0"/>
    <cellStyle name="_4기 감사_현금흐름표-삼애정밀 20051231" xfId="0"/>
    <cellStyle name="_4기 세무조정" xfId="0"/>
    <cellStyle name="_4기 세무조정_04FS_KID산업" xfId="0"/>
    <cellStyle name="_4기 세무조정_18최종" xfId="0"/>
    <cellStyle name="_4기 세무조정_미니스톱_2006FS_20070211" xfId="0"/>
    <cellStyle name="_4기 세무조정_크리스탈지노믹스CF" xfId="0"/>
    <cellStyle name="_4기리드" xfId="0"/>
    <cellStyle name="_4월월간" xfId="0"/>
    <cellStyle name="_5100 매입채무" xfId="0"/>
    <cellStyle name="_5200 부외부채" xfId="0"/>
    <cellStyle name="_5300 기타유동부채" xfId="0"/>
    <cellStyle name="_5400 장단기차입금" xfId="0"/>
    <cellStyle name="_5500 퇴직급여충당금과 급여" xfId="0"/>
    <cellStyle name="_5600 기타고정부채" xfId="0"/>
    <cellStyle name="_5631 유형자산 substantive work의 워크시트" xfId="0"/>
    <cellStyle name="_56기재무제표" xfId="0"/>
    <cellStyle name="_5기세무" xfId="0"/>
    <cellStyle name="_5기세무_미니스톱_2006FS_20070211" xfId="0"/>
    <cellStyle name="_5기세무_크리스탈지노믹스CF" xfId="0"/>
    <cellStyle name="_5기세무최종" xfId="0"/>
    <cellStyle name="_5기세무최종_미니스톱_2006FS_20070211" xfId="0"/>
    <cellStyle name="_5기세무최종_크리스탈지노믹스CF" xfId="0"/>
    <cellStyle name="_5반기Rorze(참고용)" xfId="0"/>
    <cellStyle name="_5월 월간실적 6월 계획 (ENG)" xfId="0"/>
    <cellStyle name="_5월 월간실적 6월 계획(ENG)........" xfId="0"/>
    <cellStyle name="_5월월간" xfId="0"/>
    <cellStyle name="_6100 자본계정" xfId="0"/>
    <cellStyle name="_6431 법인세비용 lead의 워크시트" xfId="0"/>
    <cellStyle name="_6432 이연법인세 검토의 워크시트" xfId="0"/>
    <cellStyle name="_6기 lead" xfId="0"/>
    <cellStyle name="_6기법인세" xfId="0"/>
    <cellStyle name="_6기일반조서" xfId="0"/>
    <cellStyle name="_6기일반조서_18최종" xfId="0"/>
    <cellStyle name="_6기일반조서_미니스톱_2006FS_20070211" xfId="0"/>
    <cellStyle name="_6월자산건전성분류(최종)8월26일s" xfId="0"/>
    <cellStyle name="_6월자산건전성분류_최종" xfId="0"/>
    <cellStyle name="_7" xfId="0"/>
    <cellStyle name="_7100 매출액" xfId="0"/>
    <cellStyle name="_7110 자본의 워크시트" xfId="0"/>
    <cellStyle name="_7200 매출원가" xfId="0"/>
    <cellStyle name="_7300 판매비와 관리비" xfId="0"/>
    <cellStyle name="_7400 영업외손익" xfId="0"/>
    <cellStyle name="_7600 법인세와 이연법인세" xfId="0"/>
    <cellStyle name="_7기 lead" xfId="0"/>
    <cellStyle name="_7기 기말분석" xfId="0"/>
    <cellStyle name="_7기 에자이 현금흐름표" xfId="0"/>
    <cellStyle name="_7기일반조서" xfId="0"/>
    <cellStyle name="_7월실적-가마감" xfId="0"/>
    <cellStyle name="_7월주간" xfId="0"/>
    <cellStyle name="_8340 인건비 Overall test" xfId="0"/>
    <cellStyle name="_8612 법인세-2005년4Q" xfId="0"/>
    <cellStyle name="_8720 7기이연법인세의 워크시트" xfId="0"/>
    <cellStyle name="_8720 7반기이연법인세의 워크시트" xfId="0"/>
    <cellStyle name="_8720 이연법인세최종의 워크시트" xfId="0"/>
    <cellStyle name="_8월07일" xfId="0"/>
    <cellStyle name="_8월22일" xfId="0"/>
    <cellStyle name="_8월가마감" xfId="0"/>
    <cellStyle name="_8월실적-가마감3" xfId="0"/>
    <cellStyle name="_99 Lead" xfId="0"/>
    <cellStyle name="_9903현지" xfId="0"/>
    <cellStyle name="_9904VPM" xfId="0"/>
    <cellStyle name="_9905본사" xfId="0"/>
    <cellStyle name="_9905표준양식" xfId="0"/>
    <cellStyle name="_99GROUP-A2.2 SAD(04LHY)" xfId="0"/>
    <cellStyle name="_9월 월간실적 10월 계획(ENG'G)" xfId="0"/>
    <cellStyle name="_9월가마감eng" xfId="0"/>
    <cellStyle name="_9월실적-ENG-가마감2" xfId="0"/>
    <cellStyle name="_9월실적-가마감eng" xfId="0"/>
    <cellStyle name="_`01예상집계" xfId="0"/>
    <cellStyle name="_`02투자비비교" xfId="0"/>
    <cellStyle name="_A" xfId="0"/>
    <cellStyle name="_A.Save" xfId="0"/>
    <cellStyle name="_A.Save_2. pa_bond" xfId="0"/>
    <cellStyle name="_A.Save_3. Summ" xfId="0"/>
    <cellStyle name="_A.Save_pa_bond" xfId="0"/>
    <cellStyle name="_A.Save_pc_swap" xfId="0"/>
    <cellStyle name="_A.Save_pd_swap payment" xfId="0"/>
    <cellStyle name="_A.Save_pf_fx" xfId="0"/>
    <cellStyle name="_A_2. pa_bond" xfId="0"/>
    <cellStyle name="_A_3. Summ" xfId="0"/>
    <cellStyle name="_A_pa_bond" xfId="0"/>
    <cellStyle name="_A_pc_swap" xfId="0"/>
    <cellStyle name="_A_pd_swap payment" xfId="0"/>
    <cellStyle name="_A_pf_fx" xfId="0"/>
    <cellStyle name="_Ab" xfId="0"/>
    <cellStyle name="_AJE LIST" xfId="0"/>
    <cellStyle name="_AJE List (총괄) #5" xfId="0"/>
    <cellStyle name="_AJE-SUD-WS-FS-CF#5" xfId="0"/>
    <cellStyle name="_Amway leadsheet(최이현)" xfId="0"/>
    <cellStyle name="_Amway leadsheet(최이현)_Book1" xfId="0"/>
    <cellStyle name="_Amway leadsheet(최이현)_MTV leadsheet" xfId="0"/>
    <cellStyle name="_Amway leadsheet(최이현)_대림외화환산손익재계산" xfId="0"/>
    <cellStyle name="_Amway leadsheet(최이현)_대림통상 leadsheet(J,K,L,M)" xfId="0"/>
    <cellStyle name="_Amway leadsheet(최이현)_대신메탈라이징leadsheet(J,L,M)" xfId="0"/>
    <cellStyle name="_Amway leadsheet(최이현)_디지온 leadsheet" xfId="0"/>
    <cellStyle name="_Amway leadsheet(최이현)_온게임네트워크 leadsheet" xfId="0"/>
    <cellStyle name="_Amway leadsheet(최이현)_퇴직충당금 - 2004" xfId="0"/>
    <cellStyle name="_AS04월" xfId="0"/>
    <cellStyle name="_a생산기술1026" xfId="0"/>
    <cellStyle name="_Bd" xfId="0"/>
    <cellStyle name="_Bd_2. pa_bond" xfId="0"/>
    <cellStyle name="_Bd_3. Summ" xfId="0"/>
    <cellStyle name="_Bd_pa_bond" xfId="0"/>
    <cellStyle name="_Bd_pc_swap" xfId="0"/>
    <cellStyle name="_Bd_pd_swap payment" xfId="0"/>
    <cellStyle name="_Bd_pf_fx" xfId="0"/>
    <cellStyle name="_Bloomberg Data" xfId="0"/>
    <cellStyle name="_Bloomberg Data_2. pa_bond" xfId="0"/>
    <cellStyle name="_Bloomberg Data_3. Summ" xfId="0"/>
    <cellStyle name="_Bloomberg Data_pa_bond" xfId="0"/>
    <cellStyle name="_Bloomberg Data_pc_swap" xfId="0"/>
    <cellStyle name="_Bloomberg Data_pd_swap payment" xfId="0"/>
    <cellStyle name="_Bloomberg Data_pf_fx" xfId="0"/>
    <cellStyle name="_Book1" xfId="0"/>
    <cellStyle name="_Book5" xfId="0"/>
    <cellStyle name="_BRD200412-Asset" xfId="0"/>
    <cellStyle name="_BRD200412-조정후1" xfId="0"/>
    <cellStyle name="_BRD200412-조정후2" xfId="0"/>
    <cellStyle name="_C.Loader" xfId="0"/>
    <cellStyle name="_C.Loader_2. pa_bond" xfId="0"/>
    <cellStyle name="_C.Loader_3. Summ" xfId="0"/>
    <cellStyle name="_C.Loader_pa_bond" xfId="0"/>
    <cellStyle name="_C.Loader_pc_swap" xfId="0"/>
    <cellStyle name="_C.Loader_pd_swap payment" xfId="0"/>
    <cellStyle name="_C.Loader_pf_fx" xfId="0"/>
    <cellStyle name="_Cell설치(호남)2차,3차" xfId="0"/>
    <cellStyle name="_CF-0312" xfId="0"/>
    <cellStyle name="_cjk1" xfId="0"/>
    <cellStyle name="_CreditBonds" xfId="0"/>
    <cellStyle name="_CreditBonds_2. pa_bond" xfId="0"/>
    <cellStyle name="_CreditBonds_3. Summ" xfId="0"/>
    <cellStyle name="_CreditBonds_pa_bond" xfId="0"/>
    <cellStyle name="_CreditBonds_pc_swap" xfId="0"/>
    <cellStyle name="_CreditBonds_pd_swap payment" xfId="0"/>
    <cellStyle name="_CreditBonds_pf_fx" xfId="0"/>
    <cellStyle name="_dimon" xfId="0"/>
    <cellStyle name="_DMPSGC34A" xfId="0"/>
    <cellStyle name="_DUE00802_FS" xfId="0"/>
    <cellStyle name="_DW08S_재료비_040902" xfId="0"/>
    <cellStyle name="_E88B0-가수금명세" xfId="0"/>
    <cellStyle name="_E88B0-가수금명세_1" xfId="0"/>
    <cellStyle name="_Ea" xfId="0"/>
    <cellStyle name="_EIU(20060509)" xfId="0"/>
    <cellStyle name="_ems10223_my" xfId="0"/>
    <cellStyle name="_ems10223_my_2. pa_bond" xfId="0"/>
    <cellStyle name="_ems10223_my_3. Summ" xfId="0"/>
    <cellStyle name="_ems10223_my_pa_bond" xfId="0"/>
    <cellStyle name="_ems10223_my_pc_swap" xfId="0"/>
    <cellStyle name="_ems10223_my_pd_swap payment" xfId="0"/>
    <cellStyle name="_ems10223_my_pf_fx" xfId="0"/>
    <cellStyle name="_ENG" xfId="0"/>
    <cellStyle name="_ENG 매출" xfId="0"/>
    <cellStyle name="_ENG매출" xfId="0"/>
    <cellStyle name="_Extracted_Stuff" xfId="0"/>
    <cellStyle name="_Extracted_Stuff_2. pa_bond" xfId="0"/>
    <cellStyle name="_Extracted_Stuff_3. Summ" xfId="0"/>
    <cellStyle name="_Extracted_Stuff_pa_bond" xfId="0"/>
    <cellStyle name="_Extracted_Stuff_pc_swap" xfId="0"/>
    <cellStyle name="_Extracted_Stuff_pd_swap payment" xfId="0"/>
    <cellStyle name="_Extracted_Stuff_pf_fx" xfId="0"/>
    <cellStyle name="_F(케미라04)" xfId="0"/>
    <cellStyle name="_foxz" xfId="0"/>
    <cellStyle name="_FS021231" xfId="0"/>
    <cellStyle name="_FS_Agilent2004_20050130-FINAL" xfId="0"/>
    <cellStyle name="_FS_Eng_HGI_0712" xfId="0"/>
    <cellStyle name="_FY2006 결산-일반계정(완성)" xfId="0"/>
    <cellStyle name="_G-110 (2)" xfId="0"/>
    <cellStyle name="_GD08월16" xfId="0"/>
    <cellStyle name="_Hardclosing" xfId="0"/>
    <cellStyle name="_IT + DVD REC 재료비 041110" xfId="0"/>
    <cellStyle name="_JL(2004)" xfId="0"/>
    <cellStyle name="_job" xfId="0"/>
    <cellStyle name="_JOB(KB데이타시스템)" xfId="0"/>
    <cellStyle name="_JOB(정보통신_05)" xfId="0"/>
    <cellStyle name="_JOB(챔프비전)" xfId="0"/>
    <cellStyle name="_JobAssign(에임시스템_05반기)" xfId="0"/>
    <cellStyle name="_junk" xfId="0"/>
    <cellStyle name="_junk_2. pa_bond" xfId="0"/>
    <cellStyle name="_junk_3. Summ" xfId="0"/>
    <cellStyle name="_junk_pa_bond" xfId="0"/>
    <cellStyle name="_junk_pc_swap" xfId="0"/>
    <cellStyle name="_junk_pd_swap payment" xfId="0"/>
    <cellStyle name="_junk_pf_fx" xfId="0"/>
    <cellStyle name="_KIG기말hdh유형" xfId="0"/>
    <cellStyle name="_k조서" xfId="0"/>
    <cellStyle name="_laroux" xfId="0"/>
    <cellStyle name="_laroux_PERSONAL" xfId="0"/>
    <cellStyle name="_laroux_구매2" xfId="0"/>
    <cellStyle name="_laroux_기안품의" xfId="0"/>
    <cellStyle name="_laroux_내건작물" xfId="0"/>
    <cellStyle name="_laroux_사택" xfId="0"/>
    <cellStyle name="_laroux_양식" xfId="0"/>
    <cellStyle name="_laroux_업무2" xfId="0"/>
    <cellStyle name="_laroux_인원사항" xfId="0"/>
    <cellStyle name="_laroux_자료집" xfId="0"/>
    <cellStyle name="_laroux_조골세포" xfId="0"/>
    <cellStyle name="_laroux_천연고무" xfId="0"/>
    <cellStyle name="_LatAm" xfId="0"/>
    <cellStyle name="_LatAm_2. pa_bond" xfId="0"/>
    <cellStyle name="_LatAm_3. Summ" xfId="0"/>
    <cellStyle name="_LatAm_pa_bond" xfId="0"/>
    <cellStyle name="_LatAm_pc_swap" xfId="0"/>
    <cellStyle name="_LatAm_pd_swap payment" xfId="0"/>
    <cellStyle name="_LatAm_pf_fx" xfId="0"/>
    <cellStyle name="_lead schedule" xfId="0"/>
    <cellStyle name="_lead schedule(2001년기말)" xfId="0"/>
    <cellStyle name="_lead schedule2" xfId="0"/>
    <cellStyle name="_lead sheet" xfId="0"/>
    <cellStyle name="_Lead Sheet(SSamzie,2003)(1)" xfId="0"/>
    <cellStyle name="_Leadschedule" xfId="0"/>
    <cellStyle name="_leadschedule _sample" xfId="0"/>
    <cellStyle name="_Leadschedule(마로)" xfId="0"/>
    <cellStyle name="_Leadschedule(마로)_Book1" xfId="0"/>
    <cellStyle name="_Leadschedule(마로)_Book1_leadsheet-나래" xfId="0"/>
    <cellStyle name="_Leadschedule(마로)_Book1_페타 Leadschedule2001-final" xfId="0"/>
    <cellStyle name="_Leadschedule(마로)_imm창투기말" xfId="0"/>
    <cellStyle name="_Leadschedule(마로)_leadsheet-나래" xfId="0"/>
    <cellStyle name="_Leadschedule(마로)_워커힐_2001_반기검토" xfId="0"/>
    <cellStyle name="_Leadschedule(마로)_테코스(2001_반기검토)" xfId="0"/>
    <cellStyle name="_Leadschedule(마로)_테코스(2001_반기검토)_leadsheet-나래" xfId="0"/>
    <cellStyle name="_Leadschedule(마로)_테코스(2001_반기검토)_페타 Leadschedule2001-final" xfId="0"/>
    <cellStyle name="_Leadschedule(마로)_페타 Leadschedule2001-final" xfId="0"/>
    <cellStyle name="_Leadschedule_페타 Leadschedule2001(1)" xfId="0"/>
    <cellStyle name="_Leadschedule_페타 Leadschedule2001(1)_페타 Leadschedule2001-final" xfId="0"/>
    <cellStyle name="_Leadschedule_페타 Leadschedule2001(영중)" xfId="0"/>
    <cellStyle name="_Leadschedule_페타 Leadschedule2001(영중)_페타 Leadschedule2001-final" xfId="0"/>
    <cellStyle name="_Leadschedule_페타 Leadschedule2001-최종" xfId="0"/>
    <cellStyle name="_Leadschedule_페타 Leadschedule2001-최종_페타 Leadschedule2001-final" xfId="0"/>
    <cellStyle name="_leadsheet(스파클)" xfId="0"/>
    <cellStyle name="_leadsheet-cjk" xfId="0"/>
    <cellStyle name="_leadsheet-버텍" xfId="0"/>
    <cellStyle name="_leadsheet-앤캐쉬" xfId="0"/>
    <cellStyle name="_leadsheet-앤캐쉬1" xfId="0"/>
    <cellStyle name="_leadsheet-앤캐쉬LJW" xfId="0"/>
    <cellStyle name="_LGS3MES_비용_HWSW_031119(제출)" xfId="0"/>
    <cellStyle name="_LGS3MES_비용_HWSW_031121(제출)" xfId="0"/>
    <cellStyle name="_LGS3MES_비용_HWSW_031125(제출)" xfId="0"/>
    <cellStyle name="_LGS3MES_비용SIM_031205_수정제출_v5" xfId="0"/>
    <cellStyle name="_LGS3MES_비용산정_HWSW_031106_제출" xfId="0"/>
    <cellStyle name="_LS-링크테크21(2001)-이덕근" xfId="0"/>
    <cellStyle name="_LS-링크테크21(매출_매입_재고자산)" xfId="0"/>
    <cellStyle name="_LS-중부-KHO" xfId="0"/>
    <cellStyle name="_LS-중부-LDK" xfId="0"/>
    <cellStyle name="_man swaps" xfId="0"/>
    <cellStyle name="_man swaps_2. pa_bond" xfId="0"/>
    <cellStyle name="_man swaps_3. Summ" xfId="0"/>
    <cellStyle name="_man swaps_pa_bond" xfId="0"/>
    <cellStyle name="_man swaps_pc_swap" xfId="0"/>
    <cellStyle name="_man swaps_pd_swap payment" xfId="0"/>
    <cellStyle name="_man swaps_pf_fx" xfId="0"/>
    <cellStyle name="_mir-2000-Nov-03_eod " xfId="0"/>
    <cellStyle name="_mir-2000-Nov-03_eod _2. pa_bond" xfId="0"/>
    <cellStyle name="_mir-2000-Nov-03_eod _3. Summ" xfId="0"/>
    <cellStyle name="_mir-2000-Nov-03_eod _pa_bond" xfId="0"/>
    <cellStyle name="_mir-2000-Nov-03_eod _pc_swap" xfId="0"/>
    <cellStyle name="_mir-2000-Nov-03_eod _pd_swap payment" xfId="0"/>
    <cellStyle name="_mir-2000-Nov-03_eod _pf_fx" xfId="0"/>
    <cellStyle name="_MK 4월간" xfId="0"/>
    <cellStyle name="_New Business Plan_final(1)" xfId="0"/>
    <cellStyle name="_P2002결산" xfId="0"/>
    <cellStyle name="_P2002결산서-2(자산)" xfId="0"/>
    <cellStyle name="_pa_bond" xfId="0"/>
    <cellStyle name="_pageO" xfId="0"/>
    <cellStyle name="_pageO_2. pa_bond" xfId="0"/>
    <cellStyle name="_pageO_3. Summ" xfId="0"/>
    <cellStyle name="_pageO_pa_bond" xfId="0"/>
    <cellStyle name="_pageO_pc_swap" xfId="0"/>
    <cellStyle name="_pageO_pd_swap payment" xfId="0"/>
    <cellStyle name="_pageO_pf_fx" xfId="0"/>
    <cellStyle name="_pc_swap" xfId="0"/>
    <cellStyle name="_pd_swap payment" xfId="0"/>
    <cellStyle name="_pf_fx" xfId="0"/>
    <cellStyle name="_Poly 수급 Simulation_0318" xfId="0"/>
    <cellStyle name="_PQT" xfId="0"/>
    <cellStyle name="_PQT_04FS_KID산업" xfId="0"/>
    <cellStyle name="_PQT_1" xfId="0"/>
    <cellStyle name="_PQT_1_04FS_KID산업" xfId="0"/>
    <cellStyle name="_PQT_1_2002FS_FINAL" xfId="0"/>
    <cellStyle name="_PQT_1_2211  한주금속-2005FS의 워크시트" xfId="0"/>
    <cellStyle name="_PQT_1_2322 WBS_WPL-07.1.29" xfId="0"/>
    <cellStyle name="_PQT_1_7기 에자이 현금흐름표" xfId="0"/>
    <cellStyle name="_PQT_1_8720 18기이연법인세의 워크시트" xfId="0"/>
    <cellStyle name="_PQT_1_Worksheet in (C) 8730 7기이연법인세검토" xfId="0"/>
    <cellStyle name="_PQT_1_마이콤-2004fs(05.2.25)" xfId="0"/>
    <cellStyle name="_PQT_1_미니스톱_2006FS_20070211" xfId="0"/>
    <cellStyle name="_PQT_1_부원05FS-최종" xfId="0"/>
    <cellStyle name="_PQT_1_승구리- 코바이오SCF2003" xfId="0"/>
    <cellStyle name="_PQT_1_크리스탈지노믹스CF" xfId="0"/>
    <cellStyle name="_PQT_1_현금흐름표-삼애정밀 20051231" xfId="0"/>
    <cellStyle name="_PQT_2002FS_FINAL" xfId="0"/>
    <cellStyle name="_PQT_2211  한주금속-2005FS의 워크시트" xfId="0"/>
    <cellStyle name="_PQT_2322 WBS_WPL-07.1.29" xfId="0"/>
    <cellStyle name="_PQT_7기 에자이 현금흐름표" xfId="0"/>
    <cellStyle name="_PQT_8720 18기이연법인세의 워크시트" xfId="0"/>
    <cellStyle name="_PQT_Worksheet in (C) 8730 7기이연법인세검토" xfId="0"/>
    <cellStyle name="_PQT_마이콤-2004fs(05.2.25)" xfId="0"/>
    <cellStyle name="_PQT_미니스톱_2006FS_20070211" xfId="0"/>
    <cellStyle name="_PQT_부원05FS-최종" xfId="0"/>
    <cellStyle name="_PQT_승구리- 코바이오SCF2003" xfId="0"/>
    <cellStyle name="_PQT_크리스탈지노믹스CF" xfId="0"/>
    <cellStyle name="_PQT_현금흐름표-삼애정밀 20051231" xfId="0"/>
    <cellStyle name="_Proxy Company" xfId="0"/>
    <cellStyle name="_Raw Data" xfId="0"/>
    <cellStyle name="_Raw Data_2. pa_bond" xfId="0"/>
    <cellStyle name="_Raw Data_3. Summ" xfId="0"/>
    <cellStyle name="_Raw Data_pa_bond" xfId="0"/>
    <cellStyle name="_Raw Data_pc_swap" xfId="0"/>
    <cellStyle name="_Raw Data_pd_swap payment" xfId="0"/>
    <cellStyle name="_Raw Data_pf_fx" xfId="0"/>
    <cellStyle name="_Research_Report용(2001년말).xls Chart 1" xfId="0"/>
    <cellStyle name="_Research_Report용(2001년말).xls Chart 10" xfId="0"/>
    <cellStyle name="_Research_Report용(2001년말).xls Chart 11" xfId="0"/>
    <cellStyle name="_Research_Report용(2001년말).xls Chart 12" xfId="0"/>
    <cellStyle name="_Research_Report용(2001년말).xls Chart 13" xfId="0"/>
    <cellStyle name="_Research_Report용(2001년말).xls Chart 14" xfId="0"/>
    <cellStyle name="_Research_Report용(2001년말).xls Chart 15" xfId="0"/>
    <cellStyle name="_Research_Report용(2001년말).xls Chart 16" xfId="0"/>
    <cellStyle name="_Research_Report용(2001년말).xls Chart 17" xfId="0"/>
    <cellStyle name="_Research_Report용(2001년말).xls Chart 18" xfId="0"/>
    <cellStyle name="_Research_Report용(2001년말).xls Chart 19" xfId="0"/>
    <cellStyle name="_Research_Report용(2001년말).xls Chart 2" xfId="0"/>
    <cellStyle name="_Research_Report용(2001년말).xls Chart 20" xfId="0"/>
    <cellStyle name="_Research_Report용(2001년말).xls Chart 21" xfId="0"/>
    <cellStyle name="_Research_Report용(2001년말).xls Chart 3" xfId="0"/>
    <cellStyle name="_Research_Report용(2001년말).xls Chart 4" xfId="0"/>
    <cellStyle name="_Research_Report용(2001년말).xls Chart 5" xfId="0"/>
    <cellStyle name="_Research_Report용(2001년말).xls Chart 6" xfId="0"/>
    <cellStyle name="_Research_Report용(2001년말).xls Chart 7" xfId="0"/>
    <cellStyle name="_Research_Report용(2001년말).xls Chart 8" xfId="0"/>
    <cellStyle name="_Research_Report용(2001년말).xls Chart 9" xfId="0"/>
    <cellStyle name="_RESULTS" xfId="0"/>
    <cellStyle name="_RESULTS_(속보2002)MAIN" xfId="0"/>
    <cellStyle name="_RESULTS_(속보2002)MAIN 2" xfId="0"/>
    <cellStyle name="_RESULTS_(속보2002)MAIN 3" xfId="0"/>
    <cellStyle name="_RESULTS_(속보2002)MAIN 4" xfId="0"/>
    <cellStyle name="_RESULTS_1" xfId="0"/>
    <cellStyle name="_RESULTS_2" xfId="0"/>
    <cellStyle name="_RESULTS_30212030" xfId="0"/>
    <cellStyle name="_RESULTS_30212030 2" xfId="0"/>
    <cellStyle name="_RESULTS_30212030 3" xfId="0"/>
    <cellStyle name="_RESULTS_30212030 4" xfId="0"/>
    <cellStyle name="_RESULTS_31124856" xfId="0"/>
    <cellStyle name="_RESULTS_31124856 2" xfId="0"/>
    <cellStyle name="_RESULTS_31124856 3" xfId="0"/>
    <cellStyle name="_RESULTS_31124856 4" xfId="0"/>
    <cellStyle name="_Reuters Strip Curve" xfId="0"/>
    <cellStyle name="_Reuters Strip Curve_2. pa_bond" xfId="0"/>
    <cellStyle name="_Reuters Strip Curve_3. Summ" xfId="0"/>
    <cellStyle name="_Reuters Strip Curve_pa_bond" xfId="0"/>
    <cellStyle name="_Reuters Strip Curve_pc_swap" xfId="0"/>
    <cellStyle name="_Reuters Strip Curve_pd_swap payment" xfId="0"/>
    <cellStyle name="_Reuters Strip Curve_pf_fx" xfId="0"/>
    <cellStyle name="_RF매출+영업실적" xfId="0"/>
    <cellStyle name="_RHD (2)" xfId="0"/>
    <cellStyle name="_RHD (2)_04FS_KID산업" xfId="0"/>
    <cellStyle name="_RHD (2)_1" xfId="0"/>
    <cellStyle name="_RHD (2)_1_04FS_KID산업" xfId="0"/>
    <cellStyle name="_RHD (2)_1_2002FS_FINAL" xfId="0"/>
    <cellStyle name="_RHD (2)_1_2211  한주금속-2005FS의 워크시트" xfId="0"/>
    <cellStyle name="_RHD (2)_1_2322 WBS_WPL-07.1.29" xfId="0"/>
    <cellStyle name="_RHD (2)_1_7기 에자이 현금흐름표" xfId="0"/>
    <cellStyle name="_RHD (2)_1_8720 18기이연법인세의 워크시트" xfId="0"/>
    <cellStyle name="_RHD (2)_1_Worksheet in (C) 8730 7기이연법인세검토" xfId="0"/>
    <cellStyle name="_RHD (2)_1_마이콤-2004fs(05.2.25)" xfId="0"/>
    <cellStyle name="_RHD (2)_1_미니스톱_2006FS_20070211" xfId="0"/>
    <cellStyle name="_RHD (2)_1_부원05FS-최종" xfId="0"/>
    <cellStyle name="_RHD (2)_1_승구리- 코바이오SCF2003" xfId="0"/>
    <cellStyle name="_RHD (2)_1_크리스탈지노믹스CF" xfId="0"/>
    <cellStyle name="_RHD (2)_1_현금흐름표-삼애정밀 20051231" xfId="0"/>
    <cellStyle name="_RHD (2)_2002FS_FINAL" xfId="0"/>
    <cellStyle name="_RHD (2)_2211  한주금속-2005FS의 워크시트" xfId="0"/>
    <cellStyle name="_RHD (2)_2322 WBS_WPL-07.1.29" xfId="0"/>
    <cellStyle name="_RHD (2)_7기 에자이 현금흐름표" xfId="0"/>
    <cellStyle name="_RHD (2)_8720 18기이연법인세의 워크시트" xfId="0"/>
    <cellStyle name="_RHD (2)_Worksheet in (C) 8730 7기이연법인세검토" xfId="0"/>
    <cellStyle name="_RHD (2)_마이콤-2004fs(05.2.25)" xfId="0"/>
    <cellStyle name="_RHD (2)_미니스톱_2006FS_20070211" xfId="0"/>
    <cellStyle name="_RHD (2)_부원05FS-최종" xfId="0"/>
    <cellStyle name="_RHD (2)_승구리- 코바이오SCF2003" xfId="0"/>
    <cellStyle name="_RHD (2)_크리스탈지노믹스CF" xfId="0"/>
    <cellStyle name="_RHD (2)_현금흐름표-삼애정밀 20051231" xfId="0"/>
    <cellStyle name="_S&amp;T Sheet" xfId="0"/>
    <cellStyle name="_S&amp;T Sheet_2. pa_bond" xfId="0"/>
    <cellStyle name="_S&amp;T Sheet_3. Summ" xfId="0"/>
    <cellStyle name="_S&amp;T Sheet_pa_bond" xfId="0"/>
    <cellStyle name="_S&amp;T Sheet_pc_swap" xfId="0"/>
    <cellStyle name="_S&amp;T Sheet_pd_swap payment" xfId="0"/>
    <cellStyle name="_S&amp;T Sheet_pf_fx" xfId="0"/>
    <cellStyle name="_sales" xfId="0"/>
    <cellStyle name="_samduk_leadsheet(통합)_공식" xfId="0"/>
    <cellStyle name="_Sheet1" xfId="0"/>
    <cellStyle name="_Sheet1_2. pa_bond" xfId="0"/>
    <cellStyle name="_Sheet1_3. Summ" xfId="0"/>
    <cellStyle name="_Sheet1_pa_bond" xfId="0"/>
    <cellStyle name="_Sheet1_pc_swap" xfId="0"/>
    <cellStyle name="_Sheet1_pd_swap payment" xfId="0"/>
    <cellStyle name="_Sheet1_pf_fx" xfId="0"/>
    <cellStyle name="_Sheet1_WTB_2005(CJCGV)최종v5" xfId="0"/>
    <cellStyle name="_Sheet1_보고서" xfId="0"/>
    <cellStyle name="_Sheet1_정산표05(CGV시네마)V3" xfId="0"/>
    <cellStyle name="_Sheet4" xfId="0"/>
    <cellStyle name="_ShowLetter" xfId="0"/>
    <cellStyle name="_SK Corp_01 3 반기_투자자산(투유제외)" xfId="0"/>
    <cellStyle name="_SK Corp_01 3 분기 투자유가증권" xfId="0"/>
    <cellStyle name="_SK Corp_01반기_장단기차입금" xfId="0"/>
    <cellStyle name="_sk 조정구파트" xfId="0"/>
    <cellStyle name="_SLIM COMBO OASIS " xfId="0"/>
    <cellStyle name="_SSA03202_FS_기말" xfId="0"/>
    <cellStyle name="_SSA03203_FS_1분기" xfId="0"/>
    <cellStyle name="_Stock revaluation 200709" xfId="0"/>
    <cellStyle name="_Swatch_FS_2006_20070331" xfId="0"/>
    <cellStyle name="_Swatch_FS_20071231_080215" xfId="0"/>
    <cellStyle name="_SYN FX" xfId="0"/>
    <cellStyle name="_SYN FX_2. pa_bond" xfId="0"/>
    <cellStyle name="_SYN FX_3. Summ" xfId="0"/>
    <cellStyle name="_SYN FX_pa_bond" xfId="0"/>
    <cellStyle name="_SYN FX_pc_swap" xfId="0"/>
    <cellStyle name="_SYN FX_pd_swap payment" xfId="0"/>
    <cellStyle name="_SYN FX_pf_fx" xfId="0"/>
    <cellStyle name="_TabExport" xfId="0"/>
    <cellStyle name="_TabExport_2. pa_bond" xfId="0"/>
    <cellStyle name="_TabExport_3. Summ" xfId="0"/>
    <cellStyle name="_TabExport_pa_bond" xfId="0"/>
    <cellStyle name="_TabExport_pc_swap" xfId="0"/>
    <cellStyle name="_TabExport_pd_swap payment" xfId="0"/>
    <cellStyle name="_TabExport_pf_fx" xfId="0"/>
    <cellStyle name="_TCXO_Valuation_Ver1.0" xfId="0"/>
    <cellStyle name="_Template Stats" xfId="0"/>
    <cellStyle name="_TURKEYBALANCESHEET" xfId="0"/>
    <cellStyle name="_TURKEYBALANCESHEET_2. pa_bond" xfId="0"/>
    <cellStyle name="_TURKEYBALANCESHEET_3. Summ" xfId="0"/>
    <cellStyle name="_TURKEYBALANCESHEET_pa_bond" xfId="0"/>
    <cellStyle name="_TURKEYBALANCESHEET_pc_swap" xfId="0"/>
    <cellStyle name="_TURKEYBALANCESHEET_pd_swap payment" xfId="0"/>
    <cellStyle name="_TURKEYBALANCESHEET_pf_fx" xfId="0"/>
    <cellStyle name="_TY01" xfId="0"/>
    <cellStyle name="_V2002회계감사" xfId="0"/>
    <cellStyle name="_valuation(SD)-1_수정" xfId="0"/>
    <cellStyle name="_Valuation_(주)젠츄어_20061206_최종" xfId="0"/>
    <cellStyle name="_Valuation_기초소재_1117" xfId="0"/>
    <cellStyle name="_Valuation_기초소재_1117 (version 1)" xfId="0"/>
    <cellStyle name="_Valuation_천안레미콘" xfId="0"/>
    <cellStyle name="_Valuation_프로토타입_0920_추정안" xfId="0"/>
    <cellStyle name="_valuation작업" xfId="0"/>
    <cellStyle name="_Worksheet in (C) 8730 7기이연법인세검토" xfId="0"/>
    <cellStyle name="_WP(CJ CGV-2008 3Q)_RKM" xfId="0"/>
    <cellStyle name="_WP_Posdata_2003" xfId="0"/>
    <cellStyle name="_WP_전기오류_200706_Final_0808" xfId="0"/>
    <cellStyle name="_WP_지분법_HGI 07Q2_Final_0808" xfId="0"/>
    <cellStyle name="_WTB_Ltec_2003_기말" xfId="0"/>
    <cellStyle name="_Xx" xfId="0"/>
    <cellStyle name="_Xx_2. pa_bond" xfId="0"/>
    <cellStyle name="_Xx_3. Summ" xfId="0"/>
    <cellStyle name="_Xx_pa_bond" xfId="0"/>
    <cellStyle name="_Xx_pc_swap" xfId="0"/>
    <cellStyle name="_Xx_pd_swap payment" xfId="0"/>
    <cellStyle name="_Xx_pf_fx" xfId="0"/>
    <cellStyle name="_Ya" xfId="0"/>
    <cellStyle name="_Ya_2. pa_bond" xfId="0"/>
    <cellStyle name="_Ya_3. Summ" xfId="0"/>
    <cellStyle name="_Ya_pa_bond" xfId="0"/>
    <cellStyle name="_Ya_pc_swap" xfId="0"/>
    <cellStyle name="_Ya_pd_swap payment" xfId="0"/>
    <cellStyle name="_Ya_pf_fx" xfId="0"/>
    <cellStyle name="_Z_FRONT" xfId="0"/>
    <cellStyle name="_Z_FRONT_2. pa_bond" xfId="0"/>
    <cellStyle name="_Z_FRONT_3. Summ" xfId="0"/>
    <cellStyle name="_Z_FRONT_pa_bond" xfId="0"/>
    <cellStyle name="_Z_FRONT_pc_swap" xfId="0"/>
    <cellStyle name="_Z_FRONT_pd_swap payment" xfId="0"/>
    <cellStyle name="_Z_FRONT_pf_fx" xfId="0"/>
    <cellStyle name="_~0010017" xfId="0"/>
    <cellStyle name="_~0065317" xfId="0"/>
    <cellStyle name="_★ 스마트카드연구소CF_반기_JHJ" xfId="0"/>
    <cellStyle name="_★ 한국지엠디_CF_ver.2" xfId="0"/>
    <cellStyle name="_가수명세(1월말)" xfId="0"/>
    <cellStyle name="_가수명세(1월말)_1" xfId="0"/>
    <cellStyle name="_감가상각시부인 200812_v7" xfId="0"/>
    <cellStyle name="_감사보고서(챔프)" xfId="0"/>
    <cellStyle name="_감사보고서(챔프)2차" xfId="0"/>
    <cellStyle name="_감사요청자료_KBDS" xfId="0"/>
    <cellStyle name="_감사조서(링스텍2000)" xfId="0"/>
    <cellStyle name="_감사조서(링스텍2000)_Book1" xfId="0"/>
    <cellStyle name="_감사조서(링스텍2000)_Book1_leadsheet-나래" xfId="0"/>
    <cellStyle name="_감사조서(링스텍2000)_Book1_페타 Leadschedule2001-final" xfId="0"/>
    <cellStyle name="_감사조서(링스텍2000)_imm창투기말" xfId="0"/>
    <cellStyle name="_감사조서(링스텍2000)_leadsheet-나래" xfId="0"/>
    <cellStyle name="_감사조서(링스텍2000)_워커힐_2001_반기검토" xfId="0"/>
    <cellStyle name="_감사조서(링스텍2000)_테코스(2001_반기검토)" xfId="0"/>
    <cellStyle name="_감사조서(링스텍2000)_테코스(2001_반기검토)_leadsheet-나래" xfId="0"/>
    <cellStyle name="_감사조서(링스텍2000)_테코스(2001_반기검토)_페타 Leadschedule2001-final" xfId="0"/>
    <cellStyle name="_감사조서(링스텍2000)_페타 Leadschedule2001-final" xfId="0"/>
    <cellStyle name="_감사조서(표준)" xfId="0"/>
    <cellStyle name="_감사조서(표준)_Book1" xfId="0"/>
    <cellStyle name="_감사조서(표준)_Book1_leadsheet-나래" xfId="0"/>
    <cellStyle name="_감사조서(표준)_Book1_페타 Leadschedule2001-final" xfId="0"/>
    <cellStyle name="_감사조서(표준)_imm창투기말" xfId="0"/>
    <cellStyle name="_감사조서(표준)_leadsheet-나래" xfId="0"/>
    <cellStyle name="_감사조서(표준)_워커힐_2001_반기검토" xfId="0"/>
    <cellStyle name="_감사조서(표준)_테코스(2001_반기검토)" xfId="0"/>
    <cellStyle name="_감사조서(표준)_테코스(2001_반기검토)_leadsheet-나래" xfId="0"/>
    <cellStyle name="_감사조서(표준)_테코스(2001_반기검토)_페타 Leadschedule2001-final" xfId="0"/>
    <cellStyle name="_감사조서(표준)_페타 Leadschedule2001-final" xfId="0"/>
    <cellStyle name="_감사조서00" xfId="0"/>
    <cellStyle name="_감사조서00_2002FS_FINAL" xfId="0"/>
    <cellStyle name="_감사조서00_2322 WBS_WPL-07.1.29" xfId="0"/>
    <cellStyle name="_감사조서00_승구리- 코바이오SCF2003" xfId="0"/>
    <cellStyle name="_감사조서1" xfId="0"/>
    <cellStyle name="_감사조서99-1" xfId="0"/>
    <cellStyle name="_감사조서99-1_2002FS_FINAL" xfId="0"/>
    <cellStyle name="_감사조서99-1_2322 WBS_WPL-07.1.29" xfId="0"/>
    <cellStyle name="_감사조서99-1_승구리- 코바이오SCF2003" xfId="0"/>
    <cellStyle name="_개발비 LEADSHEET-다산-2002_2ND" xfId="0"/>
    <cellStyle name="_견본" xfId="0"/>
    <cellStyle name="_견본 (2)" xfId="0"/>
    <cellStyle name="_견본 (2)_1" xfId="0"/>
    <cellStyle name="_견본_1" xfId="0"/>
    <cellStyle name="_경영관리3분기_박정호대리비용" xfId="0"/>
    <cellStyle name="_경영관리팀(2002.4_4분기)" xfId="0"/>
    <cellStyle name="_경영지표" xfId="0"/>
    <cellStyle name="_경주" xfId="0"/>
    <cellStyle name="_계정별조서(2004)" xfId="0"/>
    <cellStyle name="_과거3개년손익계산서" xfId="0"/>
    <cellStyle name="_광픽업_전체기종모델재료비_041006(정리)" xfId="0"/>
    <cellStyle name="_교보증권 57기 - 조정구파트" xfId="0"/>
    <cellStyle name="_구매(매입)-한화국토-WP" xfId="0"/>
    <cellStyle name="_극동전선 수정사항-04" xfId="0"/>
    <cellStyle name="_근저당권현황(12월보고)_final(2)" xfId="0"/>
    <cellStyle name="_금융상품_서브원v1" xfId="0"/>
    <cellStyle name="_금형" xfId="0"/>
    <cellStyle name="_금형_04FS_KID산업" xfId="0"/>
    <cellStyle name="_금형_2002FS_FINAL" xfId="0"/>
    <cellStyle name="_금형_2211  한주금속-2005FS의 워크시트" xfId="0"/>
    <cellStyle name="_금형_2322 WBS_WPL-07.1.29" xfId="0"/>
    <cellStyle name="_금형_7기 에자이 현금흐름표" xfId="0"/>
    <cellStyle name="_금형_8720 18기이연법인세의 워크시트" xfId="0"/>
    <cellStyle name="_금형_Worksheet in (C) 8730 7기이연법인세검토" xfId="0"/>
    <cellStyle name="_금형_마이콤-2004fs(05.2.25)" xfId="0"/>
    <cellStyle name="_금형_미니스톱_2006FS_20070211" xfId="0"/>
    <cellStyle name="_금형_부원05FS-최종" xfId="0"/>
    <cellStyle name="_금형_승구리- 코바이오SCF2003" xfId="0"/>
    <cellStyle name="_금형_크리스탈지노믹스CF" xfId="0"/>
    <cellStyle name="_금형_현금흐름표-삼애정밀 20051231" xfId="0"/>
    <cellStyle name="_급여및 퇴직급여" xfId="0"/>
    <cellStyle name="_급여테스트" xfId="0"/>
    <cellStyle name="_기말감사" xfId="0"/>
    <cellStyle name="_기말감사(대신) J.L,M" xfId="0"/>
    <cellStyle name="_기말감사조서(리드온)" xfId="0"/>
    <cellStyle name="_기말조서..ㅠㅠ" xfId="0"/>
    <cellStyle name="_기말조서리폼" xfId="0"/>
    <cellStyle name="_기종별구매인하2001" xfId="0"/>
    <cellStyle name="_기타부채 충당금(신용선샘)" xfId="0"/>
    <cellStyle name="_김영삼 월간" xfId="0"/>
    <cellStyle name="_년도별본부capa" xfId="0"/>
    <cellStyle name="_다산-2004년-기말감사-서무성조서-최종" xfId="0"/>
    <cellStyle name="_다함이텍030630-F123459FS0811" xfId="0"/>
    <cellStyle name="_다함이텍F1234569-FS20021231" xfId="0"/>
    <cellStyle name="_대출금조서" xfId="0"/>
    <cellStyle name="_드라마 valuation_CJM_112405" xfId="0"/>
    <cellStyle name="_로체 반기 검토" xfId="0"/>
    <cellStyle name="_로체시스템즈 정산표" xfId="0"/>
    <cellStyle name="_로커스반기_KMS" xfId="0"/>
    <cellStyle name="_리스자산전기수정자료" xfId="0"/>
    <cellStyle name="_마이콤-2004fs(05.2.25)" xfId="0"/>
    <cellStyle name="_마케팅9월말" xfId="0"/>
    <cellStyle name="_매각완료결과(080417)" xfId="0"/>
    <cellStyle name="_매출" xfId="0"/>
    <cellStyle name="_매출-수금현황" xfId="0"/>
    <cellStyle name="_매출03(쌍용)" xfId="0"/>
    <cellStyle name="_매출분석" xfId="0"/>
    <cellStyle name="_멀7월" xfId="0"/>
    <cellStyle name="_멀티8월" xfId="0"/>
    <cellStyle name="_멀티9월" xfId="0"/>
    <cellStyle name="_멀티_주간" xfId="0"/>
    <cellStyle name="_멀티매출8월" xfId="0"/>
    <cellStyle name="_명세서" xfId="0"/>
    <cellStyle name="_명세서 위주" xfId="0"/>
    <cellStyle name="_목표량변경(RF중계기)" xfId="0"/>
    <cellStyle name="_무선망현황중계기-99 4사분기" xfId="0"/>
    <cellStyle name="_무선망현황중계기-99 4사분기_1" xfId="0"/>
    <cellStyle name="_무선망현황중계기-99 4사분기_2" xfId="0"/>
    <cellStyle name="_무선망현황중계기-99 4사분기_3" xfId="0"/>
    <cellStyle name="_무선망현황중계기-99 4사분기_4" xfId="0"/>
    <cellStyle name="_무선망현황중계기-99 4사분기_5" xfId="0"/>
    <cellStyle name="_무형자산_VCEK_20051231" xfId="0"/>
    <cellStyle name="_무형자산원가별명세서(삼정문의자료)" xfId="0"/>
    <cellStyle name="_미니스톱_2006FS_20070211" xfId="0"/>
    <cellStyle name="_미쓰미-기말감사(2nd)" xfId="0"/>
    <cellStyle name="_미확정비용명세" xfId="0"/>
    <cellStyle name="_반기-인디" xfId="0"/>
    <cellStyle name="_반기-인디_imm창투기말" xfId="0"/>
    <cellStyle name="_반기-인디_leadsheet-나래" xfId="0"/>
    <cellStyle name="_반기-인디_페타 Leadschedule2001-final" xfId="0"/>
    <cellStyle name="_반기-인츠" xfId="0"/>
    <cellStyle name="_반기-인츠1" xfId="0"/>
    <cellStyle name="_반기-인츠1_imm창투기말" xfId="0"/>
    <cellStyle name="_반기-인츠1_leadsheet-나래" xfId="0"/>
    <cellStyle name="_반기-인츠1_페타 Leadschedule2001-final" xfId="0"/>
    <cellStyle name="_반기-인츠_imm창투기말" xfId="0"/>
    <cellStyle name="_반기-인츠_leadsheet-나래" xfId="0"/>
    <cellStyle name="_반기-인츠_페타 Leadschedule2001-final" xfId="0"/>
    <cellStyle name="_반기-진영" xfId="0"/>
    <cellStyle name="_반기-진영2" xfId="0"/>
    <cellStyle name="_반기-크림" xfId="0"/>
    <cellStyle name="_반기검토" xfId="0"/>
    <cellStyle name="_반기검토_04FS_KID산업" xfId="0"/>
    <cellStyle name="_반기검토_2002FS_FINAL" xfId="0"/>
    <cellStyle name="_반기검토_2322 WBS_WPL-07.1.29" xfId="0"/>
    <cellStyle name="_반기검토_8720 18기이연법인세의 워크시트" xfId="0"/>
    <cellStyle name="_반기검토_미니스톱_2006FS_20070211" xfId="0"/>
    <cellStyle name="_반기검토_승구리- 코바이오SCF2003" xfId="0"/>
    <cellStyle name="_반기검토_크리스탈지노믹스CF" xfId="0"/>
    <cellStyle name="_반기검토_현금흐름표-삼애정밀 20051231" xfId="0"/>
    <cellStyle name="_반기검토결과 보고_작업" xfId="0"/>
    <cellStyle name="_반기원가시트 (version 1)수정3차" xfId="0"/>
    <cellStyle name="_법인세비용2" xfId="0"/>
    <cellStyle name="_법인세비용2_Book1" xfId="0"/>
    <cellStyle name="_법인세비용2_Book1_leadsheet-나래" xfId="0"/>
    <cellStyle name="_법인세비용2_Book1_페타 Leadschedule2001-final" xfId="0"/>
    <cellStyle name="_법인세비용2_imm창투기말" xfId="0"/>
    <cellStyle name="_법인세비용2_leadsheet-나래" xfId="0"/>
    <cellStyle name="_법인세비용2_워커힐_2001_반기검토" xfId="0"/>
    <cellStyle name="_법인세비용2_테코스(2001_반기검토)" xfId="0"/>
    <cellStyle name="_법인세비용2_테코스(2001_반기검토)_leadsheet-나래" xfId="0"/>
    <cellStyle name="_법인세비용2_테코스(2001_반기검토)_페타 Leadschedule2001-final" xfId="0"/>
    <cellStyle name="_법인세비용2_페타 Leadschedule2001-final" xfId="0"/>
    <cellStyle name="_별첨(계획서및실적서양식)" xfId="0"/>
    <cellStyle name="_별첨(계획서및실적서양식)_1" xfId="0"/>
    <cellStyle name="_별첨(계획서및실적서양식)_1_Book1" xfId="0"/>
    <cellStyle name="_별첨(계획서및실적서양식)_1_MTV leadsheet" xfId="0"/>
    <cellStyle name="_별첨(계획서및실적서양식)_1_계정별조서(2004)" xfId="0"/>
    <cellStyle name="_별첨(계획서및실적서양식)_1_대림외화환산손익재계산" xfId="0"/>
    <cellStyle name="_별첨(계획서및실적서양식)_1_대림통상 leadsheet(J,K,L,M)" xfId="0"/>
    <cellStyle name="_별첨(계획서및실적서양식)_1_대신메탈라이징leadsheet(J,L,M)" xfId="0"/>
    <cellStyle name="_별첨(계획서및실적서양식)_1_디지온 leadsheet" xfId="0"/>
    <cellStyle name="_별첨(계획서및실적서양식)_1_온게임네트워크 leadsheet" xfId="0"/>
    <cellStyle name="_별첨(계획서및실적서양식)_1_퇴직충당금 - 2004" xfId="0"/>
    <cellStyle name="_보험료정산특약미지급금(200706)" xfId="0"/>
    <cellStyle name="_보험료정산특약미지급금(200709)" xfId="0"/>
    <cellStyle name="_보험료정산특약미지급금(200712)_허희" xfId="0"/>
    <cellStyle name="_복사본 감가상각overall" xfId="0"/>
    <cellStyle name="_부원05FS-최종" xfId="0"/>
    <cellStyle name="_분석적검토 자료" xfId="0"/>
    <cellStyle name="_분석조서 손익-tklee" xfId="0"/>
    <cellStyle name="_비젼2015 wafer(유강원K)_070405" xfId="0"/>
    <cellStyle name="_사급자재관리-SK건설(0228)" xfId="0"/>
    <cellStyle name="_사급자재사용현황-금산" xfId="0"/>
    <cellStyle name="_사급자재이월현황-SK건설" xfId="0"/>
    <cellStyle name="_사급자재입출고량(SK건설)" xfId="0"/>
    <cellStyle name="_사급자재현황(0304)-업체명" xfId="0"/>
    <cellStyle name="_사급자재현황-SK건설(0302)" xfId="0"/>
    <cellStyle name="_사업계획(02년)일본어(변경3-2)프린트용의 워크시트" xfId="0"/>
    <cellStyle name="_사업위험반영베타_0520_21시" xfId="0"/>
    <cellStyle name="_사진첩" xfId="0"/>
    <cellStyle name="_산림복구충당금계정명세" xfId="0"/>
    <cellStyle name="_삼성-기술지원그룹" xfId="0"/>
    <cellStyle name="_삼영중간" xfId="0"/>
    <cellStyle name="_삼정회계법인감사요청자료_챔프비전" xfId="0"/>
    <cellStyle name="_상대가치산정" xfId="0"/>
    <cellStyle name="_샤시 (2)" xfId="0"/>
    <cellStyle name="_샤시 (2)_04FS_KID산업" xfId="0"/>
    <cellStyle name="_샤시 (2)_1" xfId="0"/>
    <cellStyle name="_샤시 (2)_1_04FS_KID산업" xfId="0"/>
    <cellStyle name="_샤시 (2)_1_2002FS_FINAL" xfId="0"/>
    <cellStyle name="_샤시 (2)_1_2211  한주금속-2005FS의 워크시트" xfId="0"/>
    <cellStyle name="_샤시 (2)_1_2322 WBS_WPL-07.1.29" xfId="0"/>
    <cellStyle name="_샤시 (2)_1_7기 에자이 현금흐름표" xfId="0"/>
    <cellStyle name="_샤시 (2)_1_8720 18기이연법인세의 워크시트" xfId="0"/>
    <cellStyle name="_샤시 (2)_1_Worksheet in (C) 8730 7기이연법인세검토" xfId="0"/>
    <cellStyle name="_샤시 (2)_1_마이콤-2004fs(05.2.25)" xfId="0"/>
    <cellStyle name="_샤시 (2)_1_미니스톱_2006FS_20070211" xfId="0"/>
    <cellStyle name="_샤시 (2)_1_부원05FS-최종" xfId="0"/>
    <cellStyle name="_샤시 (2)_1_승구리- 코바이오SCF2003" xfId="0"/>
    <cellStyle name="_샤시 (2)_1_크리스탈지노믹스CF" xfId="0"/>
    <cellStyle name="_샤시 (2)_1_현금흐름표-삼애정밀 20051231" xfId="0"/>
    <cellStyle name="_샤시 (2)_2" xfId="0"/>
    <cellStyle name="_샤시 (2)_2002FS_FINAL" xfId="0"/>
    <cellStyle name="_샤시 (2)_2211  한주금속-2005FS의 워크시트" xfId="0"/>
    <cellStyle name="_샤시 (2)_2322 WBS_WPL-07.1.29" xfId="0"/>
    <cellStyle name="_샤시 (2)_2_04FS_KID산업" xfId="0"/>
    <cellStyle name="_샤시 (2)_2_2002FS_FINAL" xfId="0"/>
    <cellStyle name="_샤시 (2)_2_2211  한주금속-2005FS의 워크시트" xfId="0"/>
    <cellStyle name="_샤시 (2)_2_2322 WBS_WPL-07.1.29" xfId="0"/>
    <cellStyle name="_샤시 (2)_2_7기 에자이 현금흐름표" xfId="0"/>
    <cellStyle name="_샤시 (2)_2_8720 18기이연법인세의 워크시트" xfId="0"/>
    <cellStyle name="_샤시 (2)_2_Worksheet in (C) 8730 7기이연법인세검토" xfId="0"/>
    <cellStyle name="_샤시 (2)_2_마이콤-2004fs(05.2.25)" xfId="0"/>
    <cellStyle name="_샤시 (2)_2_미니스톱_2006FS_20070211" xfId="0"/>
    <cellStyle name="_샤시 (2)_2_부원05FS-최종" xfId="0"/>
    <cellStyle name="_샤시 (2)_2_승구리- 코바이오SCF2003" xfId="0"/>
    <cellStyle name="_샤시 (2)_2_크리스탈지노믹스CF" xfId="0"/>
    <cellStyle name="_샤시 (2)_2_현금흐름표-삼애정밀 20051231" xfId="0"/>
    <cellStyle name="_샤시 (2)_7기 에자이 현금흐름표" xfId="0"/>
    <cellStyle name="_샤시 (2)_8720 18기이연법인세의 워크시트" xfId="0"/>
    <cellStyle name="_샤시 (2)_Worksheet in (C) 8730 7기이연법인세검토" xfId="0"/>
    <cellStyle name="_샤시 (2)_마이콤-2004fs(05.2.25)" xfId="0"/>
    <cellStyle name="_샤시 (2)_미니스톱_2006FS_20070211" xfId="0"/>
    <cellStyle name="_샤시 (2)_부원05FS-최종" xfId="0"/>
    <cellStyle name="_샤시 (2)_승구리- 코바이오SCF2003" xfId="0"/>
    <cellStyle name="_샤시 (2)_크리스탈지노믹스CF" xfId="0"/>
    <cellStyle name="_샤시 (2)_현금흐름표-삼애정밀 20051231" xfId="0"/>
    <cellStyle name="_서울미라마02FS" xfId="0"/>
    <cellStyle name="_세무조정6기" xfId="0"/>
    <cellStyle name="_세무조정6기_18최종" xfId="0"/>
    <cellStyle name="_세무조정6기_미니스톱_2006FS_20070211" xfId="0"/>
    <cellStyle name="_소코드1" xfId="0"/>
    <cellStyle name="_솔7월말_최종" xfId="0"/>
    <cellStyle name="_솔8월말" xfId="0"/>
    <cellStyle name="_솔수금" xfId="0"/>
    <cellStyle name="_수금현황" xfId="0"/>
    <cellStyle name="_수원_05년 재료비 이정표_041105" xfId="0"/>
    <cellStyle name="_수정-3월 월간실적 4월 계획(ENG)" xfId="0"/>
    <cellStyle name="_수정사항" xfId="0"/>
    <cellStyle name="_수정사항 및 정산표" xfId="0"/>
    <cellStyle name="_수정사항(0218)" xfId="0"/>
    <cellStyle name="_수정사항(8월26일)" xfId="0"/>
    <cellStyle name="_순기보고(1순기)-GT&amp;T" xfId="0"/>
    <cellStyle name="_순기보고서(1순기)-시스텍" xfId="0"/>
    <cellStyle name="_순기보고서(2순기)-GT&amp;T" xfId="0"/>
    <cellStyle name="_순기보고서-광문(1회)" xfId="0"/>
    <cellStyle name="_승구리- 코바이오SCF2003" xfId="0"/>
    <cellStyle name="_신일제약 조정구 분석조서(1)" xfId="0"/>
    <cellStyle name="_실트론 연결 정산표_03_24_현금흐름표수정_ver2 0" xfId="0"/>
    <cellStyle name="_실트론_지분법_이용_0114" xfId="0"/>
    <cellStyle name="_쌍용03기말-전현수" xfId="0"/>
    <cellStyle name="_쌍용자동차_02_반기" xfId="0"/>
    <cellStyle name="_쌍용자동차_현금흐름표_02" xfId="0"/>
    <cellStyle name="_쌍용차02 현금흐름표_kth " xfId="0"/>
    <cellStyle name="_썬테크윈 할인율 자료" xfId="0"/>
    <cellStyle name="_씨오텍2006-WP" xfId="0"/>
    <cellStyle name="_아산제약 조정구 파트" xfId="0"/>
    <cellStyle name="_아이원스 06 3분기 결산서" xfId="0"/>
    <cellStyle name="_아크-기말감사" xfId="0"/>
    <cellStyle name="_아크-기말감사_미니스톱_2006FS_20070211" xfId="0"/>
    <cellStyle name="_아크-기말감사_크리스탈지노믹스CF" xfId="0"/>
    <cellStyle name="_양식" xfId="0"/>
    <cellStyle name="_양식_1" xfId="0"/>
    <cellStyle name="_양식_2" xfId="0"/>
    <cellStyle name="_양식_Book1" xfId="0"/>
    <cellStyle name="_양식_MTV leadsheet" xfId="0"/>
    <cellStyle name="_양식_계정별조서(2004)" xfId="0"/>
    <cellStyle name="_양식_대림외화환산손익재계산" xfId="0"/>
    <cellStyle name="_양식_대림통상 leadsheet(J,K,L,M)" xfId="0"/>
    <cellStyle name="_양식_대신메탈라이징leadsheet(J,L,M)" xfId="0"/>
    <cellStyle name="_양식_디지온 leadsheet" xfId="0"/>
    <cellStyle name="_양식_온게임네트워크 leadsheet" xfId="0"/>
    <cellStyle name="_양식_퇴직충당금 - 2004" xfId="0"/>
    <cellStyle name="_양양레미콘" xfId="0"/>
    <cellStyle name="_어음수표및 부외부채-거제" xfId="0"/>
    <cellStyle name="_업무보고서(2003.6월)미수금예수금조정" xfId="0"/>
    <cellStyle name="_업체별사급자재사용현황-광문(2-26)" xfId="0"/>
    <cellStyle name="_에임시스템(WTB-05_반기조서_SIB)_중간" xfId="0"/>
    <cellStyle name="_엘텍1분기검토(손동식)" xfId="0"/>
    <cellStyle name="_연구개발비" xfId="0"/>
    <cellStyle name="_영업권평가 기초자료 (사본1)" xfId="0"/>
    <cellStyle name="_영업실적" xfId="0"/>
    <cellStyle name="_영업외손익 LS" xfId="0"/>
    <cellStyle name="_영업월말보고 및 마감" xfId="0"/>
    <cellStyle name="_예적금명세" xfId="0"/>
    <cellStyle name="_오아시스 Target재료비" xfId="0"/>
    <cellStyle name="_외상매출금 및 기타요청자료" xfId="0"/>
    <cellStyle name="_외화환산" xfId="0"/>
    <cellStyle name="_우석 어음검토" xfId="0"/>
    <cellStyle name="_우석기말_강민석" xfId="0"/>
    <cellStyle name="_우석반기_KMS" xfId="0"/>
    <cellStyle name="_우석에스텍_기말_2003_상수" xfId="0"/>
    <cellStyle name="_원가0002(작업용)" xfId="0"/>
    <cellStyle name="_원가0002(작업용)_1" xfId="0"/>
    <cellStyle name="_원가0002(작업용)_2" xfId="0"/>
    <cellStyle name="_원가0002(작업용)_2 2" xfId="0"/>
    <cellStyle name="_원가0002(작업용)_2 3" xfId="0"/>
    <cellStyle name="_원가0002(작업용)_2 4" xfId="0"/>
    <cellStyle name="_원가0105" xfId="0"/>
    <cellStyle name="_원가0105_1" xfId="0"/>
    <cellStyle name="_원가0105_2" xfId="0"/>
    <cellStyle name="_원가0105_2 2" xfId="0"/>
    <cellStyle name="_원가0105_2 3" xfId="0"/>
    <cellStyle name="_원가0105_2 4" xfId="0"/>
    <cellStyle name="_월간보고" xfId="0"/>
    <cellStyle name="_월례매출_1_상반기_11월당월 (2)_1월" xfId="0"/>
    <cellStyle name="_월말(겉표지)" xfId="0"/>
    <cellStyle name="_월말보고서 5월" xfId="0"/>
    <cellStyle name="_월말보고서(11월)" xfId="0"/>
    <cellStyle name="_월말보고서(1월)" xfId="0"/>
    <cellStyle name="_월말보고서(3월)" xfId="0"/>
    <cellStyle name="_월말보고서(4월)" xfId="0"/>
    <cellStyle name="_위드 전성호" xfId="0"/>
    <cellStyle name="_위드 전성호_Book1" xfId="0"/>
    <cellStyle name="_위드 전성호_F(케미라04)" xfId="0"/>
    <cellStyle name="_위드 전성호_JL(2004)" xfId="0"/>
    <cellStyle name="_위드 전성호_MTV leadsheet" xfId="0"/>
    <cellStyle name="_위드 전성호_기말감사(대신) J.L,M" xfId="0"/>
    <cellStyle name="_위드 전성호_대림외화환산손익재계산" xfId="0"/>
    <cellStyle name="_위드 전성호_대림통상 leadsheet(J,K,L,M)" xfId="0"/>
    <cellStyle name="_위드 전성호_대신메탈라이징leadsheet(J,L,M)" xfId="0"/>
    <cellStyle name="_위드 전성호_디지온 leadsheet" xfId="0"/>
    <cellStyle name="_위드 전성호_온게임네트워크 leadsheet" xfId="0"/>
    <cellStyle name="_위드 전성호_조서표준-KLMX" xfId="0"/>
    <cellStyle name="_위드 전성호_퇴직충당금 - 2004" xfId="0"/>
    <cellStyle name="_위즈맥스지분법평가" xfId="0"/>
    <cellStyle name="_유니퀘스트(이월)" xfId="0"/>
    <cellStyle name="_유니텍반기검토" xfId="0"/>
    <cellStyle name="_유웨이+중앙 합산FS_0526" xfId="0"/>
    <cellStyle name="_유첨3(서식)" xfId="0"/>
    <cellStyle name="_유첨3(서식)_1" xfId="0"/>
    <cellStyle name="_유첨3(서식)_Book1" xfId="0"/>
    <cellStyle name="_유첨3(서식)_MTV leadsheet" xfId="0"/>
    <cellStyle name="_유첨3(서식)_계정별조서(2004)" xfId="0"/>
    <cellStyle name="_유첨3(서식)_대림외화환산손익재계산" xfId="0"/>
    <cellStyle name="_유첨3(서식)_대림통상 leadsheet(J,K,L,M)" xfId="0"/>
    <cellStyle name="_유첨3(서식)_대신메탈라이징leadsheet(J,L,M)" xfId="0"/>
    <cellStyle name="_유첨3(서식)_디지온 leadsheet" xfId="0"/>
    <cellStyle name="_유첨3(서식)_온게임네트워크 leadsheet" xfId="0"/>
    <cellStyle name="_유첨3(서식)_퇴직충당금 - 2004" xfId="0"/>
    <cellStyle name="_유형자산처분이익(IT전략팀)" xfId="0"/>
    <cellStyle name="_유형자산처분이익(IT전략팀최종)" xfId="0"/>
    <cellStyle name="_유형자산처분이익(손익0 포함)" xfId="0"/>
    <cellStyle name="_인건비" xfId="0"/>
    <cellStyle name="_인네트_2001_기말" xfId="0"/>
    <cellStyle name="_인네트_2001_기말감사" xfId="0"/>
    <cellStyle name="_인네트_2001_중간감사(1205)" xfId="0"/>
    <cellStyle name="_인네트_2001_중간감사(1205)_페타 Leadschedule2001-final" xfId="0"/>
    <cellStyle name="_인력자원" xfId="0"/>
    <cellStyle name="_인츠2001-1" xfId="0"/>
    <cellStyle name="_자본 UNIT1" xfId="0"/>
    <cellStyle name="_자산손상_(주)LG_v3" xfId="0"/>
    <cellStyle name="_장기채권등현가" xfId="0"/>
    <cellStyle name="_재무재표-부속명세서-050211" xfId="0"/>
    <cellStyle name="_재무제표(현금흐름표)" xfId="0"/>
    <cellStyle name="_재무제표(현금흐름표)_2002FS_FINAL" xfId="0"/>
    <cellStyle name="_재무제표(현금흐름표)_2322 WBS_WPL-07.1.29" xfId="0"/>
    <cellStyle name="_재무제표(현금흐름표)_승구리- 코바이오SCF2003" xfId="0"/>
    <cellStyle name="_재무제표-3Q" xfId="0"/>
    <cellStyle name="_재무제표-4Q-050204" xfId="0"/>
    <cellStyle name="_재무제표-4Q-감사확정(최종)V" xfId="0"/>
    <cellStyle name="_재무제표-4Q-감사확정(최종분)" xfId="0"/>
    <cellStyle name="_재무제표V-06" xfId="0"/>
    <cellStyle name="_재무제표V-공서식" xfId="0"/>
    <cellStyle name="_재무제표최종(전기대사)" xfId="0"/>
    <cellStyle name="_전기개발비조서" xfId="0"/>
    <cellStyle name="_전기수정효과_HGI_0930" xfId="0"/>
    <cellStyle name="_정보" xfId="0"/>
    <cellStyle name="_정보통신기말조서JK" xfId="0"/>
    <cellStyle name="_정산-2" xfId="0"/>
    <cellStyle name="_정산표 및 수정분개" xfId="0"/>
    <cellStyle name="_정산표 및 수정분개_04FS_KID산업" xfId="0"/>
    <cellStyle name="_정산표 및 수정분개_2002FS_FINAL" xfId="0"/>
    <cellStyle name="_정산표 및 수정분개_2322 WBS_WPL-07.1.29" xfId="0"/>
    <cellStyle name="_정산표 및 수정분개_8720 18기이연법인세의 워크시트" xfId="0"/>
    <cellStyle name="_정산표 및 수정분개_미니스톱_2006FS_20070211" xfId="0"/>
    <cellStyle name="_정산표 및 수정분개_부원05FS-최종" xfId="0"/>
    <cellStyle name="_정산표 및 수정분개_승구리- 코바이오SCF2003" xfId="0"/>
    <cellStyle name="_정산표 및 수정분개_크리스탈지노믹스CF" xfId="0"/>
    <cellStyle name="_정산표 및 수정분개_현금흐름표-삼애정밀 20051231" xfId="0"/>
    <cellStyle name="_제무제표V-07" xfId="0"/>
    <cellStyle name="_제무제표V-서식" xfId="0"/>
    <cellStyle name="_제조기술팀 " xfId="0"/>
    <cellStyle name="_제조원가 " xfId="0"/>
    <cellStyle name="_제품관련부속자료" xfId="0"/>
    <cellStyle name="_조서(퇴충급여)" xfId="0"/>
    <cellStyle name="_조서표준-HIJ " xfId="0"/>
    <cellStyle name="_조서표준-KLMX" xfId="0"/>
    <cellStyle name="_조서표준-KLMX_1" xfId="0"/>
    <cellStyle name="_조서표준-KLMX_Book1" xfId="0"/>
    <cellStyle name="_조서표준-KLMX_MTV leadsheet" xfId="0"/>
    <cellStyle name="_조서표준-KLMX_대림외화환산손익재계산" xfId="0"/>
    <cellStyle name="_조서표준-KLMX_대림통상 leadsheet(J,K,L,M)" xfId="0"/>
    <cellStyle name="_조서표준-KLMX_대신메탈라이징leadsheet(J,L,M)" xfId="0"/>
    <cellStyle name="_조서표준-KLMX_디지온 leadsheet" xfId="0"/>
    <cellStyle name="_조서표준-KLMX_온게임네트워크 leadsheet" xfId="0"/>
    <cellStyle name="_조서표준-KLMX_퇴직충당금 - 2004" xfId="0"/>
    <cellStyle name="_조직유지_총괄표" xfId="0"/>
    <cellStyle name="_조회리스트" xfId="0"/>
    <cellStyle name="_종합보고" xfId="0"/>
    <cellStyle name="_주간보고표지" xfId="0"/>
    <cellStyle name="_주간업무-2월3주(ENG'G)최종" xfId="0"/>
    <cellStyle name="_주간업무-3월3주(ENG'G)" xfId="0"/>
    <cellStyle name="_주간업무-4월1주(ENG)" xfId="0"/>
    <cellStyle name="_주간업무-4월4주(ENG'G)" xfId="0"/>
    <cellStyle name="_주간업무-5월-가마감" xfId="0"/>
    <cellStyle name="_주간업무-5월2주" xfId="0"/>
    <cellStyle name="_주간업무-5월2주(ENG'G)" xfId="0"/>
    <cellStyle name="_주간업무보고(RF)" xfId="0"/>
    <cellStyle name="_주당순이익" xfId="0"/>
    <cellStyle name="_주당순이익_2002FS_FINAL" xfId="0"/>
    <cellStyle name="_주당순이익_2322 WBS_WPL-07.1.29" xfId="0"/>
    <cellStyle name="_주당순이익_승구리- 코바이오SCF2003" xfId="0"/>
    <cellStyle name="_중간WTB(시스원-05)_수정" xfId="0"/>
    <cellStyle name="_중앙연구소 월간보고(02월)" xfId="0"/>
    <cellStyle name="_중앙연구소 월간보고(05월)" xfId="0"/>
    <cellStyle name="_중요성금액결정" xfId="0"/>
    <cellStyle name="_지니텍 2003년 재무제표(최종)" xfId="0"/>
    <cellStyle name="_지니텍 2003년 재무제표(최종)_미니스톱_2006FS_20070211" xfId="0"/>
    <cellStyle name="_지분법, 매도가능증권" xfId="0"/>
    <cellStyle name="_지정과제2차심의list" xfId="0"/>
    <cellStyle name="_지정과제2차심의list_1" xfId="0"/>
    <cellStyle name="_지정과제2차심의list_2" xfId="0"/>
    <cellStyle name="_지정과제2차심의list_2_Book1" xfId="0"/>
    <cellStyle name="_지정과제2차심의list_2_MTV leadsheet" xfId="0"/>
    <cellStyle name="_지정과제2차심의list_2_계정별조서(2004)" xfId="0"/>
    <cellStyle name="_지정과제2차심의list_2_대림외화환산손익재계산" xfId="0"/>
    <cellStyle name="_지정과제2차심의list_2_대림통상 leadsheet(J,K,L,M)" xfId="0"/>
    <cellStyle name="_지정과제2차심의list_2_대신메탈라이징leadsheet(J,L,M)" xfId="0"/>
    <cellStyle name="_지정과제2차심의list_2_디지온 leadsheet" xfId="0"/>
    <cellStyle name="_지정과제2차심의list_2_온게임네트워크 leadsheet" xfId="0"/>
    <cellStyle name="_지정과제2차심의list_2_퇴직충당금 - 2004" xfId="0"/>
    <cellStyle name="_지정과제2차심의결과" xfId="0"/>
    <cellStyle name="_지정과제2차심의결과(금액조정후최종)" xfId="0"/>
    <cellStyle name="_지정과제2차심의결과(금액조정후최종)_1" xfId="0"/>
    <cellStyle name="_지정과제2차심의결과(금액조정후최종)_Book1" xfId="0"/>
    <cellStyle name="_지정과제2차심의결과(금액조정후최종)_MTV leadsheet" xfId="0"/>
    <cellStyle name="_지정과제2차심의결과(금액조정후최종)_계정별조서(2004)" xfId="0"/>
    <cellStyle name="_지정과제2차심의결과(금액조정후최종)_대림외화환산손익재계산" xfId="0"/>
    <cellStyle name="_지정과제2차심의결과(금액조정후최종)_대림통상 leadsheet(J,K,L,M)" xfId="0"/>
    <cellStyle name="_지정과제2차심의결과(금액조정후최종)_대신메탈라이징leadsheet(J,L,M)" xfId="0"/>
    <cellStyle name="_지정과제2차심의결과(금액조정후최종)_디지온 leadsheet" xfId="0"/>
    <cellStyle name="_지정과제2차심의결과(금액조정후최종)_온게임네트워크 leadsheet" xfId="0"/>
    <cellStyle name="_지정과제2차심의결과(금액조정후최종)_퇴직충당금 - 2004" xfId="0"/>
    <cellStyle name="_지정과제2차심의결과_1" xfId="0"/>
    <cellStyle name="_지정과제2차심의결과_Book1" xfId="0"/>
    <cellStyle name="_지정과제2차심의결과_MTV leadsheet" xfId="0"/>
    <cellStyle name="_지정과제2차심의결과_계정별조서(2004)" xfId="0"/>
    <cellStyle name="_지정과제2차심의결과_대림외화환산손익재계산" xfId="0"/>
    <cellStyle name="_지정과제2차심의결과_대림통상 leadsheet(J,K,L,M)" xfId="0"/>
    <cellStyle name="_지정과제2차심의결과_대신메탈라이징leadsheet(J,L,M)" xfId="0"/>
    <cellStyle name="_지정과제2차심의결과_디지온 leadsheet" xfId="0"/>
    <cellStyle name="_지정과제2차심의결과_온게임네트워크 leadsheet" xfId="0"/>
    <cellStyle name="_지정과제2차심의결과_퇴직충당금 - 2004" xfId="0"/>
    <cellStyle name="_진영.xls(신우회계법인)" xfId="0"/>
    <cellStyle name="_집중관리(981231)" xfId="0"/>
    <cellStyle name="_집중관리(981231)_1" xfId="0"/>
    <cellStyle name="_집중관리(981231)_1_Book1" xfId="0"/>
    <cellStyle name="_집중관리(981231)_1_MTV leadsheet" xfId="0"/>
    <cellStyle name="_집중관리(981231)_1_계정별조서(2004)" xfId="0"/>
    <cellStyle name="_집중관리(981231)_1_대림외화환산손익재계산" xfId="0"/>
    <cellStyle name="_집중관리(981231)_1_대림통상 leadsheet(J,K,L,M)" xfId="0"/>
    <cellStyle name="_집중관리(981231)_1_대신메탈라이징leadsheet(J,L,M)" xfId="0"/>
    <cellStyle name="_집중관리(981231)_1_디지온 leadsheet" xfId="0"/>
    <cellStyle name="_집중관리(981231)_1_온게임네트워크 leadsheet" xfId="0"/>
    <cellStyle name="_집중관리(981231)_1_퇴직충당금 - 2004" xfId="0"/>
    <cellStyle name="_집중관리(지정과제및 양식)" xfId="0"/>
    <cellStyle name="_집중관리(지정과제및 양식)_1" xfId="0"/>
    <cellStyle name="_집중관리(지정과제및 양식)_Book1" xfId="0"/>
    <cellStyle name="_집중관리(지정과제및 양식)_MTV leadsheet" xfId="0"/>
    <cellStyle name="_집중관리(지정과제및 양식)_계정별조서(2004)" xfId="0"/>
    <cellStyle name="_집중관리(지정과제및 양식)_대림외화환산손익재계산" xfId="0"/>
    <cellStyle name="_집중관리(지정과제및 양식)_대림통상 leadsheet(J,K,L,M)" xfId="0"/>
    <cellStyle name="_집중관리(지정과제및 양식)_대신메탈라이징leadsheet(J,L,M)" xfId="0"/>
    <cellStyle name="_집중관리(지정과제및 양식)_디지온 leadsheet" xfId="0"/>
    <cellStyle name="_집중관리(지정과제및 양식)_온게임네트워크 leadsheet" xfId="0"/>
    <cellStyle name="_집중관리(지정과제및 양식)_퇴직충당금 - 2004" xfId="0"/>
    <cellStyle name="_차체 (2)" xfId="0"/>
    <cellStyle name="_차체 (2)_04FS_KID산업" xfId="0"/>
    <cellStyle name="_차체 (2)_1" xfId="0"/>
    <cellStyle name="_차체 (2)_1_04FS_KID산업" xfId="0"/>
    <cellStyle name="_차체 (2)_1_2002FS_FINAL" xfId="0"/>
    <cellStyle name="_차체 (2)_1_2211  한주금속-2005FS의 워크시트" xfId="0"/>
    <cellStyle name="_차체 (2)_1_2322 WBS_WPL-07.1.29" xfId="0"/>
    <cellStyle name="_차체 (2)_1_7기 에자이 현금흐름표" xfId="0"/>
    <cellStyle name="_차체 (2)_1_8720 18기이연법인세의 워크시트" xfId="0"/>
    <cellStyle name="_차체 (2)_1_Worksheet in (C) 8730 7기이연법인세검토" xfId="0"/>
    <cellStyle name="_차체 (2)_1_마이콤-2004fs(05.2.25)" xfId="0"/>
    <cellStyle name="_차체 (2)_1_미니스톱_2006FS_20070211" xfId="0"/>
    <cellStyle name="_차체 (2)_1_부원05FS-최종" xfId="0"/>
    <cellStyle name="_차체 (2)_1_승구리- 코바이오SCF2003" xfId="0"/>
    <cellStyle name="_차체 (2)_1_크리스탈지노믹스CF" xfId="0"/>
    <cellStyle name="_차체 (2)_1_현금흐름표-삼애정밀 20051231" xfId="0"/>
    <cellStyle name="_차체 (2)_2002FS_FINAL" xfId="0"/>
    <cellStyle name="_차체 (2)_2211  한주금속-2005FS의 워크시트" xfId="0"/>
    <cellStyle name="_차체 (2)_2322 WBS_WPL-07.1.29" xfId="0"/>
    <cellStyle name="_차체 (2)_7기 에자이 현금흐름표" xfId="0"/>
    <cellStyle name="_차체 (2)_8720 18기이연법인세의 워크시트" xfId="0"/>
    <cellStyle name="_차체 (2)_Worksheet in (C) 8730 7기이연법인세검토" xfId="0"/>
    <cellStyle name="_차체 (2)_마이콤-2004fs(05.2.25)" xfId="0"/>
    <cellStyle name="_차체 (2)_미니스톱_2006FS_20070211" xfId="0"/>
    <cellStyle name="_차체 (2)_부원05FS-최종" xfId="0"/>
    <cellStyle name="_차체 (2)_승구리- 코바이오SCF2003" xfId="0"/>
    <cellStyle name="_차체 (2)_크리스탈지노믹스CF" xfId="0"/>
    <cellStyle name="_차체 (2)_현금흐름표-삼애정밀 20051231" xfId="0"/>
    <cellStyle name="_천진영상" xfId="0"/>
    <cellStyle name="_철거-AS-재배치" xfId="0"/>
    <cellStyle name="_총 9월간" xfId="0"/>
    <cellStyle name="_총 향후 2개월" xfId="0"/>
    <cellStyle name="_총 향후 2개월 최종본 (11.1)" xfId="0"/>
    <cellStyle name="_최종 분석조서 2001 3 분기" xfId="0"/>
    <cellStyle name="_최종3월10일03fs-한도" xfId="0"/>
    <cellStyle name="_카나레_2기정산" xfId="0"/>
    <cellStyle name="_카나레_2기정산_18최종" xfId="0"/>
    <cellStyle name="_카나레_2기정산_미니스톱_2006FS_20070211" xfId="0"/>
    <cellStyle name="_케이블넷_컨버터매출제로" xfId="0"/>
    <cellStyle name="_크리스탈지노믹스CF" xfId="0"/>
    <cellStyle name="_테코스" xfId="0"/>
    <cellStyle name="_테코스2001반기조서" xfId="0"/>
    <cellStyle name="_테코스2001반기조서_Book1" xfId="0"/>
    <cellStyle name="_테코스2001반기조서_Book1_leadsheet-나래" xfId="0"/>
    <cellStyle name="_테코스2001반기조서_Book1_페타 Leadschedule2001-final" xfId="0"/>
    <cellStyle name="_테코스2001반기조서_imm창투기말" xfId="0"/>
    <cellStyle name="_테코스2001반기조서_leadsheet-나래" xfId="0"/>
    <cellStyle name="_테코스2001반기조서_워커힐_2001_반기검토" xfId="0"/>
    <cellStyle name="_테코스2001반기조서_테코스(2001_반기검토)" xfId="0"/>
    <cellStyle name="_테코스2001반기조서_테코스(2001_반기검토)_leadsheet-나래" xfId="0"/>
    <cellStyle name="_테코스2001반기조서_테코스(2001_반기검토)_페타 Leadschedule2001-final" xfId="0"/>
    <cellStyle name="_테코스2001반기조서_페타 Leadschedule2001-final" xfId="0"/>
    <cellStyle name="_테코스_imm창투기말" xfId="0"/>
    <cellStyle name="_테코스_leadsheet-나래" xfId="0"/>
    <cellStyle name="_테코스_테코스(2001_반기검토)" xfId="0"/>
    <cellStyle name="_테코스_테코스(2001_반기검토)_leadsheet-나래" xfId="0"/>
    <cellStyle name="_테코스_테코스(2001_반기검토)_페타 Leadschedule2001-final" xfId="0"/>
    <cellStyle name="_테코스_페타 Leadschedule2001-final" xfId="0"/>
    <cellStyle name="_통합형고장접수-강북" xfId="0"/>
    <cellStyle name="_퇴직급여충당금" xfId="0"/>
    <cellStyle name="_퇴직급여충당금_미니스톱_2006FS_20070211" xfId="0"/>
    <cellStyle name="_퇴직급여충당금_크리스탈지노믹스CF" xfId="0"/>
    <cellStyle name="_퇴충" xfId="0"/>
    <cellStyle name="_퇴충 2004-12(결산)" xfId="0"/>
    <cellStyle name="_퇴충세무조정_0803" xfId="0"/>
    <cellStyle name="_투자자산03" xfId="0"/>
    <cellStyle name="_팀별 매출변경(03.03.06)" xfId="0"/>
    <cellStyle name="_판관,제조경비" xfId="0"/>
    <cellStyle name="_판관비 LS" xfId="0"/>
    <cellStyle name="_페타 Leadschedule2001(1)" xfId="0"/>
    <cellStyle name="_페타 Leadschedule2001(1)_페타 Leadschedule2001-final" xfId="0"/>
    <cellStyle name="_페타 Leadschedule2001(영중)" xfId="0"/>
    <cellStyle name="_페타 Leadschedule2001(영중)_페타 Leadschedule2001-final" xfId="0"/>
    <cellStyle name="_페타 Leadschedule2001-final" xfId="0"/>
    <cellStyle name="_페타 Leadschedule2001-최종" xfId="0"/>
    <cellStyle name="_페타 Leadschedule2001-최종_페타 Leadschedule2001-final" xfId="0"/>
    <cellStyle name="_페타_Leadschedule2001" xfId="0"/>
    <cellStyle name="_한솔제지2004(반기)" xfId="0"/>
    <cellStyle name="_한일도요-2001FS(최종)" xfId="0"/>
    <cellStyle name="_해외 출장 비용 산정" xfId="0"/>
    <cellStyle name="_향후2개월계획(마케팅)" xfId="0"/>
    <cellStyle name="_혁신_TROY 재료비_040903_1" xfId="0"/>
    <cellStyle name="_현금등가물" xfId="0"/>
    <cellStyle name="_현금흐름표" xfId="0"/>
    <cellStyle name="_현금흐름표 ver.1" xfId="0"/>
    <cellStyle name="_현금흐름표(03년반기)" xfId="0"/>
    <cellStyle name="_현금흐름표(최종)" xfId="0"/>
    <cellStyle name="_현담2003_현금흐름표" xfId="0"/>
    <cellStyle name="_현담정산표2003" xfId="0"/>
    <cellStyle name="_회사제시주석" xfId="0"/>
    <cellStyle name="_후반기-경영계획(본부)0300725" xfId="0"/>
    <cellStyle name="A" xfId="0"/>
    <cellStyle name="Accent1" xfId="0"/>
    <cellStyle name="Accent1 2" xfId="0"/>
    <cellStyle name="Accent1 3" xfId="0"/>
    <cellStyle name="Accent1 4" xfId="0"/>
    <cellStyle name="Accent1 5" xfId="0"/>
    <cellStyle name="Accent1 6" xfId="0"/>
    <cellStyle name="Accent1 7" xfId="0"/>
    <cellStyle name="Accent1 8" xfId="0"/>
    <cellStyle name="Accent1 9" xfId="0"/>
    <cellStyle name="Accent2" xfId="0"/>
    <cellStyle name="Accent2 2" xfId="0"/>
    <cellStyle name="Accent2 3" xfId="0"/>
    <cellStyle name="Accent2 4" xfId="0"/>
    <cellStyle name="Accent2 5" xfId="0"/>
    <cellStyle name="Accent2 6" xfId="0"/>
    <cellStyle name="Accent2 7" xfId="0"/>
    <cellStyle name="Accent2 8" xfId="0"/>
    <cellStyle name="Accent2 9" xfId="0"/>
    <cellStyle name="Accent3" xfId="0"/>
    <cellStyle name="Accent3 2" xfId="0"/>
    <cellStyle name="Accent3 3" xfId="0"/>
    <cellStyle name="Accent3 4" xfId="0"/>
    <cellStyle name="Accent3 5" xfId="0"/>
    <cellStyle name="Accent3 6" xfId="0"/>
    <cellStyle name="Accent3 7" xfId="0"/>
    <cellStyle name="Accent3 8" xfId="0"/>
    <cellStyle name="Accent3 9" xfId="0"/>
    <cellStyle name="Accent4" xfId="0"/>
    <cellStyle name="Accent4 2" xfId="0"/>
    <cellStyle name="Accent4 3" xfId="0"/>
    <cellStyle name="Accent4 4" xfId="0"/>
    <cellStyle name="Accent4 5" xfId="0"/>
    <cellStyle name="Accent4 6" xfId="0"/>
    <cellStyle name="Accent4 7" xfId="0"/>
    <cellStyle name="Accent4 8" xfId="0"/>
    <cellStyle name="Accent4 9" xfId="0"/>
    <cellStyle name="Accent5" xfId="0"/>
    <cellStyle name="Accent5 2" xfId="0"/>
    <cellStyle name="Accent5 3" xfId="0"/>
    <cellStyle name="Accent5 4" xfId="0"/>
    <cellStyle name="Accent5 5" xfId="0"/>
    <cellStyle name="Accent5 6" xfId="0"/>
    <cellStyle name="Accent5 7" xfId="0"/>
    <cellStyle name="Accent5 8" xfId="0"/>
    <cellStyle name="Accent5 9" xfId="0"/>
    <cellStyle name="Accent6" xfId="0"/>
    <cellStyle name="Accent6 2" xfId="0"/>
    <cellStyle name="Accent6 3" xfId="0"/>
    <cellStyle name="Accent6 4" xfId="0"/>
    <cellStyle name="Accent6 5" xfId="0"/>
    <cellStyle name="Accent6 6" xfId="0"/>
    <cellStyle name="Accent6 7" xfId="0"/>
    <cellStyle name="Accent6 8" xfId="0"/>
    <cellStyle name="Accent6 9" xfId="0"/>
    <cellStyle name="Accounting [0]" xfId="0"/>
    <cellStyle name="active" xfId="0"/>
    <cellStyle name="Adjustable" xfId="0"/>
    <cellStyle name="AeE?®¨? [0]_INQUIRY ¡??¡?i¡§u?®AA¨?¡þA¨?¨? " xfId="0"/>
    <cellStyle name="AeE?®¨?_INQUIRY ¡??¡?i¡§u?®AA¨?¡þA¨?¨? " xfId="0"/>
    <cellStyle name="AeE¡? [0]_2000¨?OER " xfId="0"/>
    <cellStyle name="AeE¡?_2000¨?OER " xfId="0"/>
    <cellStyle name="AeE¡ERERER¡ERER￠RER¡ER¡E?I [0]_¡ERER￠RER¡ER¡E?I￠RER¡ER￠R￠?I￠RER¡ER￠R￠?￠RERIa¡ERERER¡ERER￠RER¡ER¡E?￠RERER¡ERERERI￠RERER¡ERER￠RER￠RE?uc￠RERER¡ERER￠RER￠RE?oA" xfId="0"/>
    <cellStyle name="AeE¡ERERER¡ERER￠RER¡ER¡E?I_¡ERER￠RER¡ER¡E?I￠RER¡ER￠R￠?I￠RER¡ER￠R￠?￠RERIa¡ERERER¡ERER￠RER¡ER¡E?￠RERER¡ERERERI￠RERER¡ERER￠RER￠RE?uc￠RERER¡ERER￠RER￠RE?oA" xfId="0"/>
    <cellStyle name="AeE¡ER¡§I [0]_¡ER¡§￠R¡§I¡ER￠RE?￠RIiCoE¡§I￠RA" xfId="0"/>
    <cellStyle name="AeE¡ER¡§I_¡ER¡§￠R¡§I¡ER￠RE?￠RIiCoE¡§I￠RA" xfId="0"/>
    <cellStyle name="AeE¡© [0]_¨öCAuA¡ÀAI " xfId="0"/>
    <cellStyle name="AeE¡©_¨öCAuA¡ÀAI " xfId="0"/>
    <cellStyle name="AeE¡ⓒ [0]_¡ÆA¡¤￠R￠￢i¨u¨uC¡I" xfId="0"/>
    <cellStyle name="AeE¡ⓒ_¡ÆA¡¤￠R￠￢i¨u¨uC¡I" xfId="0"/>
    <cellStyle name="AeE¢®¨Ï [0]_¨Ï©ª¢®i¡§¡þI¢®¨¡eE¨Ïo¡Ë¡Íe A¨Ï¡þA¡Ë¢¥A¢®AAI " xfId="0"/>
    <cellStyle name="AeE¢®¨Ï_¨Ï©ª¢®i¡§¡þI¢®¨¡eE¨Ïo¡Ë¡Íe A¨Ï¡þA¡Ë¢¥A¢®AAI " xfId="0"/>
    <cellStyle name="Aee­ " xfId="0"/>
    <cellStyle name="AeE­ [0]_  A¾  CO  " xfId="0"/>
    <cellStyle name="AeE­ [0]_ ¸n A÷_V100 ºI¹I,³≫¼o 2.2 PILOT " xfId="0"/>
    <cellStyle name="AeE­ [0]_ Æ?ÆCAþº° " xfId="0"/>
    <cellStyle name="AeE­ [0]_2.E¿A²ºÐ¼R " xfId="0"/>
    <cellStyle name="AeE­ [0]_3ÆA °³AI " xfId="0"/>
    <cellStyle name="AeE­ [0]_7¿u160AI " xfId="0"/>
    <cellStyle name="AeE­ [0]_96³a½A´cº°¼OAI " xfId="0"/>
    <cellStyle name="AeE­ [0]_Ac°i°u¸® " xfId="0"/>
    <cellStyle name="AeE­ [0]_AMT " xfId="0"/>
    <cellStyle name="AeE­ [0]_AMT _2.E¿A²ºÐ¼R " xfId="0"/>
    <cellStyle name="AeE­ [0]_AMT _AμE￡3¿u " xfId="0"/>
    <cellStyle name="AeE­ [0]_AMT _¹≪¿ª10¿u " xfId="0"/>
    <cellStyle name="AeE­ [0]_Au≫eTB " xfId="0"/>
    <cellStyle name="AeE­ [0]_A|A¶1ºI1°u CoE² " xfId="0"/>
    <cellStyle name="AeE­ [0]_Co´e¾÷¹≪AßAø " xfId="0"/>
    <cellStyle name="AeE­ [0]_INQUIRY ¿μ¾÷AßAø " xfId="0"/>
    <cellStyle name="AeE­ [0]_SP ¹°μ¿¹× ¿UAO " xfId="0"/>
    <cellStyle name="AeE­ [0]_°u¸RC×¸n_¾÷A¾º° " xfId="0"/>
    <cellStyle name="AeE­ [0]_°u¸®C×¸n_¾÷A¾º° " xfId="0"/>
    <cellStyle name="AeE­ [0]_±aA¸" xfId="0"/>
    <cellStyle name="AeE­ [0]_³≫ºI°eE¹´e AßA¤A÷AI " xfId="0"/>
    <cellStyle name="AeE­ [0]_´e±¸" xfId="0"/>
    <cellStyle name="AeE­ [0]_´eºnC￥" xfId="0"/>
    <cellStyle name="AeE­ [0]_´eºnC￥_5,6월 추정" xfId="0"/>
    <cellStyle name="AeE­ [0]_¹≪¿ªA¡Ca≫c°eE¹¼­ " xfId="0"/>
    <cellStyle name="AeE­ [0]_¼oAa½CAu _2.E¿A²ºÐ¼R " xfId="0"/>
    <cellStyle name="AeE­ [0]_¼oAa½CAu _AμE￡3¿u " xfId="0"/>
    <cellStyle name="AeE­ [0]_¼oAa½CAu _Co´e¾÷¹≪AßAø " xfId="0"/>
    <cellStyle name="AeE­ [0]_¼oAa½CAu _¹≪¿ª10¿u " xfId="0"/>
    <cellStyle name="AeE­ [0]_½AA½·a¿ø°¡ " xfId="0"/>
    <cellStyle name="AeE­ [0]_¾÷A¾º° " xfId="0"/>
    <cellStyle name="AeE­ [0]_ÆAC￥Ao_°eE¹3 " xfId="0"/>
    <cellStyle name="AeE­_  A¾  CO  " xfId="0"/>
    <cellStyle name="AeE­_ 2ÆAAþº° " xfId="0"/>
    <cellStyle name="AeE­_ ¸n A÷_V100 ºI¹I,³≫¼o 2.2 PILOT " xfId="0"/>
    <cellStyle name="AeE­_ Æ?ÆCAþº° " xfId="0"/>
    <cellStyle name="AeE­_(AO)AA¿μ 9703" xfId="0"/>
    <cellStyle name="AeE­_2.E¿A²ºÐ¼R " xfId="0"/>
    <cellStyle name="AeE­_3ÆA °³AI " xfId="0"/>
    <cellStyle name="AeE­_7¿u160AI " xfId="0"/>
    <cellStyle name="AeE­_96³a½A´cº°¼OAI " xfId="0"/>
    <cellStyle name="AeE­_Ac°i°u¸® " xfId="0"/>
    <cellStyle name="AeE­_AMT " xfId="0"/>
    <cellStyle name="AeE­_AMT _2.E¿A²ºÐ¼R " xfId="0"/>
    <cellStyle name="AeE­_AMT _¹≪¿ª10¿u " xfId="0"/>
    <cellStyle name="AeE­_Au≫eTB " xfId="0"/>
    <cellStyle name="AeE­_A|A¶1ºI1°u CoE² " xfId="0"/>
    <cellStyle name="AeE­_Co´e¾÷¹≪AßAø " xfId="0"/>
    <cellStyle name="AeE­_INQUIRY ¿μ¾÷AßAø " xfId="0"/>
    <cellStyle name="AeE­_SP ¹°μ¿¹× ¿UAO " xfId="0"/>
    <cellStyle name="AeE­_°u¸RC×¸n_¾÷A¾º° " xfId="0"/>
    <cellStyle name="AeE­_°u¸®C×¸n_¾÷A¾º° " xfId="0"/>
    <cellStyle name="AeE­_±aA¸" xfId="0"/>
    <cellStyle name="AeE­_³≫ºI°eE¹´e AßA¤A÷AI " xfId="0"/>
    <cellStyle name="AeE­_´eºnC￥" xfId="0"/>
    <cellStyle name="AeE­_´eºnC￥_유형자산증감명세서(for refer)" xfId="0"/>
    <cellStyle name="AeE­_¸AAa¿¹≫e " xfId="0"/>
    <cellStyle name="AeE­_¹≪¿ªA¡Ca≫c°eE¹¼­ " xfId="0"/>
    <cellStyle name="AeE­_¼oAa½CAu _2.E¿A²ºÐ¼R " xfId="0"/>
    <cellStyle name="AeE­_¼oAa½CAu _Co´e¾÷¹≪AßAø " xfId="0"/>
    <cellStyle name="AeE­_¼oAa½CAu _¹≪¿ª10¿u " xfId="0"/>
    <cellStyle name="AeE­_½AA½·a¿ø°¡ " xfId="0"/>
    <cellStyle name="AeE­_½CAuCoE² " xfId="0"/>
    <cellStyle name="AeE­_ÆAC￥Ao_°eE¹3 " xfId="0"/>
    <cellStyle name="AeE￠R¨I [0]_¡§￠Ri¡§u¡§¡þ¡§¡þI¡§u￠R¨I" xfId="0"/>
    <cellStyle name="AeE￠R¨I_¡§￠Ri¡§u¡§¡þ¡§¡þI¡§u￠R¨I" xfId="0"/>
    <cellStyle name="ALIGNMENT" xfId="0"/>
    <cellStyle name="AminPageHeading" xfId="0"/>
    <cellStyle name="amount" xfId="0"/>
    <cellStyle name="AoA¤μCAo ¾EA½" xfId="0"/>
    <cellStyle name="args.style" xfId="0"/>
    <cellStyle name="Arial 10" xfId="0"/>
    <cellStyle name="Arial 12" xfId="0"/>
    <cellStyle name="AskSide" xfId="0"/>
    <cellStyle name="AutoFormat Options" xfId="0"/>
    <cellStyle name="A¡§¡?¡?¡þ¡?O [0]_INQUIRY ¡??¡?i¡§u?®AA¨?¡þA¨?¨? " xfId="0"/>
    <cellStyle name="A¡§¡?¡?¡þ¡?O_INQUIRY ¡??¡?i¡§u?®AA¨?¡þA¨?¨? " xfId="0"/>
    <cellStyle name="A¡§¡©¡Ë¡þ¡ËO [0]_¨Ï©ª¢®i¡§¡þI¢®¨¡eE¨Ïo¡Ë¡Íe A¨Ï¡þA¡Ë¢¥A¢®AAI " xfId="0"/>
    <cellStyle name="A¡§¡©¡Ë¡þ¡ËO_¨Ï©ª¢®i¡§¡þI¢®¨¡eE¨Ïo¡Ë¡Íe A¨Ï¡þA¡Ë¢¥A¢®AAI " xfId="0"/>
    <cellStyle name="A¡§¡ⓒ¡E¡þ¡EO [0]_¡§￠Ri¡§u¡§¡þ¡§¡þI¡§u￠R¨I" xfId="0"/>
    <cellStyle name="A¡§¡ⓒ¡E¡þ¡EO_¡§￠Ri¡§u¡§¡þ¡§¡þI¡§u￠R¨I" xfId="0"/>
    <cellStyle name="A¨­???? [0]_2000¨?OER " xfId="0"/>
    <cellStyle name="A¨­????_2000¨?OER " xfId="0"/>
    <cellStyle name="A¨­¢¬¢Ò [0]_2000¨ùOER " xfId="0"/>
    <cellStyle name="A¨­¢¬¢Ò [0]_2000¨ùOER  2" xfId="0"/>
    <cellStyle name="A¨­¢¬¢Ò [0]_2000¨ùOER  3" xfId="0"/>
    <cellStyle name="A¨­¢¬¢Ò [0]_2000¨ùOER  4" xfId="0"/>
    <cellStyle name="A¨­¢¬¢Ò [0]_INQUIRY ¢¯¥ì¨ú¡ÀA©¬A©ª " xfId="0"/>
    <cellStyle name="A¨­¢¬¢Ò [0]_¨öCAuA¡ÀAI " xfId="0"/>
    <cellStyle name="A¨­¢¬¢Ò [0]_©ø¡í¨¬I¡ÆeE©ö¢¥e A©¬A¢´A¡ÀAI " xfId="0"/>
    <cellStyle name="A¨­¢¬¢Ò_2000¨ùOER " xfId="0"/>
    <cellStyle name="A¨­¢¬¢Ò_2000¨ùOER  2" xfId="0"/>
    <cellStyle name="A¨­¢¬¢Ò_2000¨ùOER  3" xfId="0"/>
    <cellStyle name="A¨­¢¬¢Ò_2000¨ùOER  4" xfId="0"/>
    <cellStyle name="A¨­¢¬¢Ò_INQUIRY ¢¯¥ì¨ú¡ÀA©¬A©ª " xfId="0"/>
    <cellStyle name="A¨­¢¬¢Ò_¨öCAuA¡ÀAI " xfId="0"/>
    <cellStyle name="A¨­¢¬¢Ò_©ø¡í¨¬I¡ÆeE©ö¢¥e A©¬A¢´A¡ÀAI " xfId="0"/>
    <cellStyle name="A¨­￠￢￠O [0]_2-4" xfId="0"/>
    <cellStyle name="A¨­￠￢￠O [0]_2000¨uOER " xfId="0"/>
    <cellStyle name="A¨­￠￢￠O [0]_2000¨uOER  2" xfId="0"/>
    <cellStyle name="A¨­￠￢￠O [0]_2000¨uOER  3" xfId="0"/>
    <cellStyle name="A¨­￠￢￠O [0]_2000¨uOER  4" xfId="0"/>
    <cellStyle name="A¨­￠￢￠O [0]_REVIEWPO jul" xfId="0"/>
    <cellStyle name="A¨­￠￢￠O [0]_¡ÆA¡¤￠R￠￢i¨u¨uC¡I" xfId="0"/>
    <cellStyle name="A¨­￠￢￠O [0]_¨uoAa¨oCAu " xfId="0"/>
    <cellStyle name="A¨­￠￢￠O_2000¨uOER " xfId="0"/>
    <cellStyle name="A¨­￠￢￠O_2000¨uOER  2" xfId="0"/>
    <cellStyle name="A¨­￠￢￠O_2000¨uOER  3" xfId="0"/>
    <cellStyle name="A¨­￠￢￠O_2000¨uOER  4" xfId="0"/>
    <cellStyle name="A¨­￠￢￠O_AO¨uRCN¡¾U " xfId="0"/>
    <cellStyle name="A¨­￠￢￠O_REVIEWPO jul" xfId="0"/>
    <cellStyle name="A¨­￠￢￠O_¡ÆA¡¤￠R￠￢i¨u¨uC¡I" xfId="0"/>
    <cellStyle name="A¨­￠￢￠O_¨uoAa¨oCAu " xfId="0"/>
    <cellStyle name="AÞ¸¶ [0]_  A¾  CO  " xfId="0"/>
    <cellStyle name="AÞ¸¶ [0]_ ¸n A÷_V100 ºI¹I,³≫¼o 2.2 PILOT " xfId="0"/>
    <cellStyle name="AÞ¸¶ [0]_ Æ?ÆCAþº° " xfId="0"/>
    <cellStyle name="AÞ¸¶ [0]_2¿u¸AAa " xfId="0"/>
    <cellStyle name="AÞ¸¶ [0]_3ÆA °³AI " xfId="0"/>
    <cellStyle name="AÞ¸¶ [0]_7¿u160AI " xfId="0"/>
    <cellStyle name="AÞ¸¶ [0]_Ac°i°u¸R " xfId="0"/>
    <cellStyle name="AÞ¸¶ [0]_Au≫eTB " xfId="0"/>
    <cellStyle name="AÞ¸¶ [0]_A|A¶1ºI1°u CoE² " xfId="0"/>
    <cellStyle name="AÞ¸¶ [0]_Co´e¾÷¹≪AßAø " xfId="0"/>
    <cellStyle name="AÞ¸¶ [0]_INQUIRY ¿μ¾÷AßAø " xfId="0"/>
    <cellStyle name="AÞ¸¶ [0]_laroux_Ac°i°u¸R " xfId="0"/>
    <cellStyle name="AÞ¸¶ [0]_°u¸RC×¸n_¾÷A¾º° " xfId="0"/>
    <cellStyle name="AÞ¸¶ [0]_°u¸®C×¸n_¾÷A¾º° " xfId="0"/>
    <cellStyle name="AÞ¸¶ [0]_±aA¸" xfId="0"/>
    <cellStyle name="AÞ¸¶ [0]_´aº¸AE°u" xfId="0"/>
    <cellStyle name="AÞ¸¶ [0]_´eºnC￥" xfId="0"/>
    <cellStyle name="AÞ¸¶ [0]_¸AAa¿¹≫e " xfId="0"/>
    <cellStyle name="AÞ¸¶ [0]_¼oAa½CAu _2.E¿A²ºÐ¼R " xfId="0"/>
    <cellStyle name="AÞ¸¶ [0]_¼oAa½CAu _AμE￡3¿u " xfId="0"/>
    <cellStyle name="AÞ¸¶ [0]_¼oAa½CAu _Co´e¾÷¹≪AßAø " xfId="0"/>
    <cellStyle name="AÞ¸¶ [0]_¼oAa½CAu _¹≪¿ª10¿u " xfId="0"/>
    <cellStyle name="AÞ¸¶ [0]_½AA½·a¿ø°¡ " xfId="0"/>
    <cellStyle name="AÞ¸¶ [0]_½CAuCoE² " xfId="0"/>
    <cellStyle name="AÞ¸¶_  A¾  CO  " xfId="0"/>
    <cellStyle name="AÞ¸¶_ 2ÆAAþº° " xfId="0"/>
    <cellStyle name="AÞ¸¶_ Æ?ÆCAþº° " xfId="0"/>
    <cellStyle name="AÞ¸¶_(AO)AA¿μ 9703" xfId="0"/>
    <cellStyle name="AÞ¸¶_2¿u¸AAa " xfId="0"/>
    <cellStyle name="AÞ¸¶_3ÆA °³AI " xfId="0"/>
    <cellStyle name="AÞ¸¶_7°eE¹ " xfId="0"/>
    <cellStyle name="AÞ¸¶_Ac°i°u¸R " xfId="0"/>
    <cellStyle name="AÞ¸¶_Au≫eTB " xfId="0"/>
    <cellStyle name="AÞ¸¶_A|A¶1ºI1°u CoE² " xfId="0"/>
    <cellStyle name="AÞ¸¶_Co´e¾÷¹≪AßAø " xfId="0"/>
    <cellStyle name="AÞ¸¶_INQUIRY ¿μ¾÷AßAø " xfId="0"/>
    <cellStyle name="AÞ¸¶_laroux_Ac°i°u¸R " xfId="0"/>
    <cellStyle name="AÞ¸¶_°u¸RC×¸n_¾÷A¾º° " xfId="0"/>
    <cellStyle name="AÞ¸¶_°u¸®C×¸n_¾÷A¾º° " xfId="0"/>
    <cellStyle name="AÞ¸¶_±aA¸" xfId="0"/>
    <cellStyle name="AÞ¸¶_´eºnC￥" xfId="0"/>
    <cellStyle name="AÞ¸¶_¸AAa¿¹≫e " xfId="0"/>
    <cellStyle name="AÞ¸¶_¼oAa½CAu _2.E¿A²ºÐ¼R " xfId="0"/>
    <cellStyle name="AÞ¸¶_¼oAa½CAu _Co´e¾÷¹≪AßAø " xfId="0"/>
    <cellStyle name="AÞ¸¶_¼oAa½CAu _¹≪¿ª10¿u " xfId="0"/>
    <cellStyle name="AÞ¸¶_½AA½·a¿ø°¡ " xfId="0"/>
    <cellStyle name="AÞ¸¶_½CAuCoE² " xfId="0"/>
    <cellStyle name="AëE­ [0]_1ÇAu " xfId="0"/>
    <cellStyle name="AëE­ [0]_Aç°í°ü¸® " xfId="0"/>
    <cellStyle name="AëE­ [0]_Aç°í°ü¸®  2" xfId="0"/>
    <cellStyle name="AëE­ [0]_Aç°í°ü¸®  3" xfId="0"/>
    <cellStyle name="AëE­ [0]_Aç°í°ü¸®  4" xfId="0"/>
    <cellStyle name="AëE­ [0]_SP 1°µ?1× ?ÜÁÖ " xfId="0"/>
    <cellStyle name="AëE­ [0]_°ü¸®Ç×¸n_3÷Á3o° " xfId="0"/>
    <cellStyle name="AëE­ [0]_´ëÇü±¸ " xfId="0"/>
    <cellStyle name="AëE­_1ÇAu " xfId="0"/>
    <cellStyle name="AëE­_Aç°í°ü¸® " xfId="0"/>
    <cellStyle name="AëE­_Aç°í°ü¸®  2" xfId="0"/>
    <cellStyle name="AëE­_Aç°í°ü¸®  3" xfId="0"/>
    <cellStyle name="AëE­_Aç°í°ü¸®  4" xfId="0"/>
    <cellStyle name="AëE­_SP 1°µ?1× ?ÜÁÖ " xfId="0"/>
    <cellStyle name="AëE­_°ü¸®Ç×¸n_3÷Á3o° " xfId="0"/>
    <cellStyle name="AëE­_´ëÇü±¸ " xfId="0"/>
    <cellStyle name="A￠RERER¡ERER￠RER￠RE?￠RERER￠RER¡ER￠R￠?I￠RERERE￠RERER¡ER￠R¡¿I￠RER￠R¡×I￠REREREO [0]_¡ERER￠RER¡ER¡E?I￠RER¡ER￠R￠?I￠RER¡ER￠R￠?￠RERIa¡ERERER¡ERER￠RER¡ER¡E?￠RERER¡ERERERI￠RERER¡ERER￠RER￠RE?uc￠RERER¡ERER￠RER￠RE?oA" xfId="0"/>
    <cellStyle name="A￠RERER¡ERER￠RER￠RE?￠RERER￠RER¡ER￠R￠?I￠RERERE￠RERER¡ER￠R¡¿I￠RER￠R¡×I￠REREREO_¡ERER￠RER¡ER¡E?I￠RER¡ER￠R￠?I￠RER¡ER￠R￠?￠RERIa¡ERERER¡ERER￠RER¡ER¡E?￠RERER¡ERERERI￠RERER¡ERER￠RER￠RE?uc￠RERER¡ERER￠RER￠RE?oA" xfId="0"/>
    <cellStyle name="A￠R¡×￠R¨I￠RE￠Rⓒ­￠REO [0]_¡ER¡§￠R¡§I¡ER￠RE?￠RIiCoE¡§I￠RA" xfId="0"/>
    <cellStyle name="A￠R¡×￠R¨I￠RE￠Rⓒ­￠REO_¡ER¡§￠R¡§I¡ER￠RE?￠RIiCoE¡§I￠RA" xfId="0"/>
    <cellStyle name="B" xfId="0"/>
    <cellStyle name="b0let" xfId="0"/>
    <cellStyle name="Bad 1" xfId="0"/>
    <cellStyle name="Bad 2" xfId="0"/>
    <cellStyle name="Bad 3" xfId="0"/>
    <cellStyle name="Bad 4" xfId="0"/>
    <cellStyle name="Bad 5" xfId="0"/>
    <cellStyle name="Bad 6" xfId="0"/>
    <cellStyle name="Bad 7" xfId="0"/>
    <cellStyle name="Bad 8" xfId="0"/>
    <cellStyle name="Bad 9" xfId="0"/>
    <cellStyle name="BidSide" xfId="0"/>
    <cellStyle name="black" xfId="0"/>
    <cellStyle name="blue$00" xfId="0"/>
    <cellStyle name="BM" xfId="0"/>
    <cellStyle name="BM 2" xfId="0"/>
    <cellStyle name="BM 3" xfId="0"/>
    <cellStyle name="BM 4" xfId="0"/>
    <cellStyle name="Body" xfId="0"/>
    <cellStyle name="Body text" xfId="0"/>
    <cellStyle name="Bol-Data" xfId="0"/>
    <cellStyle name="Bold" xfId="0"/>
    <cellStyle name="Bold/Border" xfId="0"/>
    <cellStyle name="bolet" xfId="0"/>
    <cellStyle name="Boletim" xfId="0"/>
    <cellStyle name="BOYLGOTHIC" xfId="0"/>
    <cellStyle name="BOYSTYLE" xfId="0"/>
    <cellStyle name="British Pound" xfId="0"/>
    <cellStyle name="Bullet" xfId="0"/>
    <cellStyle name="b⠴ƨ஖b⡜ƨ஦b⢈ƨஶb⹀ƨெb⹬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" xfId="0"/>
    <cellStyle name="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" xfId="0"/>
    <cellStyle name="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" xfId="0"/>
    <cellStyle name="b悰Š_x0017_ìéÚõ_Sub-letting Status" xfId="0"/>
    <cellStyle name="C" xfId="0"/>
    <cellStyle name="C01_Page_head" xfId="0"/>
    <cellStyle name="C02_Date line" xfId="0"/>
    <cellStyle name="C03_Col head general" xfId="0"/>
    <cellStyle name="C04_Note col head" xfId="0"/>
    <cellStyle name="C05_Current yr col head" xfId="0"/>
    <cellStyle name="C05a_Parent Current col head" xfId="0"/>
    <cellStyle name="C06_Previous yr col head" xfId="0"/>
    <cellStyle name="C06a_Parent Previous col head" xfId="0"/>
    <cellStyle name="C07a_Parent col heads" xfId="0"/>
    <cellStyle name="C08_Table text" xfId="0"/>
    <cellStyle name="C09_Text" xfId="0"/>
    <cellStyle name="C10_Text subhead" xfId="0"/>
    <cellStyle name="C11_Note head" xfId="0"/>
    <cellStyle name="C12_Annotation" xfId="0"/>
    <cellStyle name="C13_Annotation Superiors" xfId="0"/>
    <cellStyle name="C14_Current year figs" xfId="0"/>
    <cellStyle name="C14a_Current Year Figs 2 dec" xfId="0"/>
    <cellStyle name="C14b_Current Year Figs 3 dec" xfId="0"/>
    <cellStyle name="C14d_Current Year Figs 1 dec" xfId="0"/>
    <cellStyle name="C15_Previous year figs" xfId="0"/>
    <cellStyle name="C15a_Previous year figs 2 dec" xfId="0"/>
    <cellStyle name="C15b_Prevoius Year Figs 3 dec" xfId="0"/>
    <cellStyle name="C15c_Previous year %" xfId="0"/>
    <cellStyle name="C15d_Previous Year Figs 1 dec" xfId="0"/>
    <cellStyle name="C16_Note_figs" xfId="0"/>
    <cellStyle name="C17_Parent Current yr figs" xfId="0"/>
    <cellStyle name="C18_Parent Previous yr figs" xfId="0"/>
    <cellStyle name="C19_Regular figs" xfId="0"/>
    <cellStyle name="C23_Folios" xfId="0"/>
    <cellStyle name="C?AØ_¿µ¾÷CoE² " xfId="0"/>
    <cellStyle name="C?®IA¡§¨?_¡??¡?i¡§u?®ACoE¨?¡? " xfId="0"/>
    <cellStyle name="c_Fin Covenants check" xfId="0"/>
    <cellStyle name="c_Fin Covenants check_New Business Plan_final(1)" xfId="0"/>
    <cellStyle name="c_Fin Covenants check_sales" xfId="0"/>
    <cellStyle name="C_자산손상_(주)LG_v3" xfId="0"/>
    <cellStyle name="Calc Currency (0)" xfId="0"/>
    <cellStyle name="Calc Currency (0) 2" xfId="0"/>
    <cellStyle name="Calc Currency (0) 3" xfId="0"/>
    <cellStyle name="Calc Currency (0) 4" xfId="0"/>
    <cellStyle name="Calc Currency (2)" xfId="0"/>
    <cellStyle name="Calc Currency (2) 2" xfId="0"/>
    <cellStyle name="Calc opsec" xfId="0"/>
    <cellStyle name="Calc Percent (0)" xfId="0"/>
    <cellStyle name="Calc Percent (0) 2" xfId="0"/>
    <cellStyle name="Calc Percent (1)" xfId="0"/>
    <cellStyle name="Calc Percent (1) 2" xfId="0"/>
    <cellStyle name="Calc Percent (2)" xfId="0"/>
    <cellStyle name="Calc Percent (2) 2" xfId="0"/>
    <cellStyle name="Calc Units (0)" xfId="0"/>
    <cellStyle name="Calc Units (0) 2" xfId="0"/>
    <cellStyle name="Calc Units (1)" xfId="0"/>
    <cellStyle name="Calc Units (1) 2" xfId="0"/>
    <cellStyle name="Calc Units (2)" xfId="0"/>
    <cellStyle name="Calc Units (2) 2" xfId="0"/>
    <cellStyle name="Calculation" xfId="0"/>
    <cellStyle name="Calculation 2" xfId="0"/>
    <cellStyle name="Calculation 3" xfId="0"/>
    <cellStyle name="Calculation 4" xfId="0"/>
    <cellStyle name="Calculation 5" xfId="0"/>
    <cellStyle name="Calculation 6" xfId="0"/>
    <cellStyle name="Calculation 7" xfId="0"/>
    <cellStyle name="Calculation 8" xfId="0"/>
    <cellStyle name="Calculation 9" xfId="0"/>
    <cellStyle name="carky [0]_laroux" xfId="0"/>
    <cellStyle name="carky_laroux" xfId="0"/>
    <cellStyle name="Case" xfId="0"/>
    <cellStyle name="category" xfId="0"/>
    <cellStyle name="category 2" xfId="0"/>
    <cellStyle name="ccs" xfId="0"/>
    <cellStyle name="Cena" xfId="0"/>
    <cellStyle name="Centered" xfId="0"/>
    <cellStyle name="Centered Heading" xfId="0"/>
    <cellStyle name="CenterHead" xfId="0"/>
    <cellStyle name="CHANGE" xfId="0"/>
    <cellStyle name="Check Cell" xfId="0"/>
    <cellStyle name="Check Cell 2" xfId="0"/>
    <cellStyle name="Check Cell 3" xfId="0"/>
    <cellStyle name="Check Cell 4" xfId="0"/>
    <cellStyle name="Check Cell 5" xfId="0"/>
    <cellStyle name="Check Cell 6" xfId="0"/>
    <cellStyle name="Check Cell 7" xfId="0"/>
    <cellStyle name="Check Cell 8" xfId="0"/>
    <cellStyle name="Check Cell 9" xfId="0"/>
    <cellStyle name="Chiffres conso" xfId="0"/>
    <cellStyle name="CIAIÆU¸μAⓒ" xfId="0"/>
    <cellStyle name="Col Heads" xfId="0"/>
    <cellStyle name="Column Headings" xfId="0"/>
    <cellStyle name="Column Numbers" xfId="0"/>
    <cellStyle name="Column_Title" xfId="0"/>
    <cellStyle name="columns_array" xfId="0"/>
    <cellStyle name="Comma" xfId="0"/>
    <cellStyle name="Comma  - Style1" xfId="0"/>
    <cellStyle name="Comma  - Style2" xfId="0"/>
    <cellStyle name="Comma  - Style3" xfId="0"/>
    <cellStyle name="Comma  - Style4" xfId="0"/>
    <cellStyle name="Comma  - Style5" xfId="0"/>
    <cellStyle name="Comma  - Style6" xfId="0"/>
    <cellStyle name="Comma  - Style7" xfId="0"/>
    <cellStyle name="Comma  - Style8" xfId="0"/>
    <cellStyle name="Comma  - 유형6" xfId="0"/>
    <cellStyle name="Comma 0.0" xfId="0"/>
    <cellStyle name="Comma 0.00" xfId="0"/>
    <cellStyle name="Comma 0.000" xfId="0"/>
    <cellStyle name="Comma 2" xfId="0"/>
    <cellStyle name="Comma 3" xfId="0"/>
    <cellStyle name="Comma 3 2" xfId="0"/>
    <cellStyle name="Comma 4" xfId="0"/>
    <cellStyle name="Comma 5" xfId="0"/>
    <cellStyle name="Comma 5 2" xfId="0"/>
    <cellStyle name="Comma [0.00]" xfId="0"/>
    <cellStyle name="Comma [0.0]" xfId="0"/>
    <cellStyle name="Comma [00]" xfId="0"/>
    <cellStyle name="Comma [00] 2" xfId="0"/>
    <cellStyle name="Comma [0]" xfId="0"/>
    <cellStyle name="Comma [0] 10" xfId="0"/>
    <cellStyle name="Comma [0] 11" xfId="0"/>
    <cellStyle name="Comma [0] 12" xfId="0"/>
    <cellStyle name="Comma [0] 13" xfId="0"/>
    <cellStyle name="Comma [0] 14" xfId="0"/>
    <cellStyle name="Comma [0] 15" xfId="0"/>
    <cellStyle name="Comma [0] 16" xfId="0"/>
    <cellStyle name="Comma [0] 17" xfId="0"/>
    <cellStyle name="Comma [0] 18" xfId="0"/>
    <cellStyle name="Comma [0] 19" xfId="0"/>
    <cellStyle name="Comma [0] 2" xfId="0"/>
    <cellStyle name="Comma [0] 2 10" xfId="0"/>
    <cellStyle name="Comma [0] 2 11" xfId="0"/>
    <cellStyle name="Comma [0] 2 11 2" xfId="0"/>
    <cellStyle name="Comma [0] 2 11 3" xfId="0"/>
    <cellStyle name="Comma [0] 2 11 4" xfId="0"/>
    <cellStyle name="Comma [0] 2 12" xfId="0"/>
    <cellStyle name="Comma [0] 2 12 2" xfId="0"/>
    <cellStyle name="Comma [0] 2 12 3" xfId="0"/>
    <cellStyle name="Comma [0] 2 12 4" xfId="0"/>
    <cellStyle name="Comma [0] 2 13" xfId="0"/>
    <cellStyle name="Comma [0] 2 13 2" xfId="0"/>
    <cellStyle name="Comma [0] 2 13 3" xfId="0"/>
    <cellStyle name="Comma [0] 2 13 4" xfId="0"/>
    <cellStyle name="Comma [0] 2 14" xfId="0"/>
    <cellStyle name="Comma [0] 2 14 2" xfId="0"/>
    <cellStyle name="Comma [0] 2 14 3" xfId="0"/>
    <cellStyle name="Comma [0] 2 14 4" xfId="0"/>
    <cellStyle name="Comma [0] 2 15" xfId="0"/>
    <cellStyle name="Comma [0] 2 2" xfId="0"/>
    <cellStyle name="Comma [0] 2 2 2" xfId="0"/>
    <cellStyle name="Comma [0] 2 2 2 2" xfId="0"/>
    <cellStyle name="Comma [0] 2 2 2 3" xfId="0"/>
    <cellStyle name="Comma [0] 2 2 2 4" xfId="0"/>
    <cellStyle name="Comma [0] 2 2 3" xfId="0"/>
    <cellStyle name="Comma [0] 2 2 3 2" xfId="0"/>
    <cellStyle name="Comma [0] 2 2 3 3" xfId="0"/>
    <cellStyle name="Comma [0] 2 2 3 4" xfId="0"/>
    <cellStyle name="Comma [0] 2 2 4" xfId="0"/>
    <cellStyle name="Comma [0] 2 2 4 2" xfId="0"/>
    <cellStyle name="Comma [0] 2 2 4 3" xfId="0"/>
    <cellStyle name="Comma [0] 2 2 4 4" xfId="0"/>
    <cellStyle name="Comma [0] 2 2 5" xfId="0"/>
    <cellStyle name="Comma [0] 2 2 5 2" xfId="0"/>
    <cellStyle name="Comma [0] 2 2 5 3" xfId="0"/>
    <cellStyle name="Comma [0] 2 2 5 4" xfId="0"/>
    <cellStyle name="Comma [0] 2 2 6" xfId="0"/>
    <cellStyle name="Comma [0] 2 2 7" xfId="0"/>
    <cellStyle name="Comma [0] 2 2 8" xfId="0"/>
    <cellStyle name="Comma [0] 2 3" xfId="0"/>
    <cellStyle name="Comma [0] 2 3 2" xfId="0"/>
    <cellStyle name="Comma [0] 2 3 3" xfId="0"/>
    <cellStyle name="Comma [0] 2 3 4" xfId="0"/>
    <cellStyle name="Comma [0] 2 3 5" xfId="0"/>
    <cellStyle name="Comma [0] 2 4" xfId="0"/>
    <cellStyle name="Comma [0] 2 5" xfId="0"/>
    <cellStyle name="Comma [0] 2 6" xfId="0"/>
    <cellStyle name="Comma [0] 2 7" xfId="0"/>
    <cellStyle name="Comma [0] 2 8" xfId="0"/>
    <cellStyle name="Comma [0] 2 9" xfId="0"/>
    <cellStyle name="Comma [0] 20" xfId="0"/>
    <cellStyle name="Comma [0] 21" xfId="0"/>
    <cellStyle name="Comma [0] 22" xfId="0"/>
    <cellStyle name="Comma [0] 3" xfId="0"/>
    <cellStyle name="Comma [0] 3 10" xfId="0"/>
    <cellStyle name="Comma [0] 3 11" xfId="0"/>
    <cellStyle name="Comma [0] 3 12" xfId="0"/>
    <cellStyle name="Comma [0] 3 12 2" xfId="0"/>
    <cellStyle name="Comma [0] 3 12 3" xfId="0"/>
    <cellStyle name="Comma [0] 3 12 4" xfId="0"/>
    <cellStyle name="Comma [0] 3 13" xfId="0"/>
    <cellStyle name="Comma [0] 3 13 2" xfId="0"/>
    <cellStyle name="Comma [0] 3 13 3" xfId="0"/>
    <cellStyle name="Comma [0] 3 13 4" xfId="0"/>
    <cellStyle name="Comma [0] 3 14" xfId="0"/>
    <cellStyle name="Comma [0] 3 14 2" xfId="0"/>
    <cellStyle name="Comma [0] 3 14 3" xfId="0"/>
    <cellStyle name="Comma [0] 3 14 4" xfId="0"/>
    <cellStyle name="Comma [0] 3 15" xfId="0"/>
    <cellStyle name="Comma [0] 3 15 2" xfId="0"/>
    <cellStyle name="Comma [0] 3 15 3" xfId="0"/>
    <cellStyle name="Comma [0] 3 15 4" xfId="0"/>
    <cellStyle name="Comma [0] 3 16" xfId="0"/>
    <cellStyle name="Comma [0] 3 2" xfId="0"/>
    <cellStyle name="Comma [0] 3 2 2" xfId="0"/>
    <cellStyle name="Comma [0] 3 2 3" xfId="0"/>
    <cellStyle name="Comma [0] 3 2 4" xfId="0"/>
    <cellStyle name="Comma [0] 3 3" xfId="0"/>
    <cellStyle name="Comma [0] 3 3 2" xfId="0"/>
    <cellStyle name="Comma [0] 3 3 3" xfId="0"/>
    <cellStyle name="Comma [0] 3 3 4" xfId="0"/>
    <cellStyle name="Comma [0] 3 3 5" xfId="0"/>
    <cellStyle name="Comma [0] 3 4" xfId="0"/>
    <cellStyle name="Comma [0] 3 5" xfId="0"/>
    <cellStyle name="Comma [0] 3 6" xfId="0"/>
    <cellStyle name="Comma [0] 3 7" xfId="0"/>
    <cellStyle name="Comma [0] 3 8" xfId="0"/>
    <cellStyle name="Comma [0] 3 9" xfId="0"/>
    <cellStyle name="Comma [0] 4" xfId="0"/>
    <cellStyle name="Comma [0] 4 10" xfId="0"/>
    <cellStyle name="Comma [0] 4 2" xfId="0"/>
    <cellStyle name="Comma [0] 4 3" xfId="0"/>
    <cellStyle name="Comma [0] 4 4" xfId="0"/>
    <cellStyle name="Comma [0] 4 5" xfId="0"/>
    <cellStyle name="Comma [0] 4 6" xfId="0"/>
    <cellStyle name="Comma [0] 4 7" xfId="0"/>
    <cellStyle name="Comma [0] 4 8" xfId="0"/>
    <cellStyle name="Comma [0] 4 9" xfId="0"/>
    <cellStyle name="Comma [0] 5" xfId="0"/>
    <cellStyle name="Comma [0] 5 2" xfId="0"/>
    <cellStyle name="Comma [0] 6" xfId="0"/>
    <cellStyle name="Comma [0] 7" xfId="0"/>
    <cellStyle name="Comma [0] 8" xfId="0"/>
    <cellStyle name="Comma [0] 9" xfId="0"/>
    <cellStyle name="Comma [0]_ SG&amp;A Bridge " xfId="0"/>
    <cellStyle name="comma zerodec" xfId="0"/>
    <cellStyle name="comma zerodec 2" xfId="0"/>
    <cellStyle name="Comma,0" xfId="0"/>
    <cellStyle name="Comma,1" xfId="0"/>
    <cellStyle name="Comma,2" xfId="0"/>
    <cellStyle name="Comma0" xfId="0"/>
    <cellStyle name="Comma0 - 유형3" xfId="0"/>
    <cellStyle name="Comma0 - 유형4" xfId="0"/>
    <cellStyle name="Comma0 - 유형5" xfId="0"/>
    <cellStyle name="Comma0 2" xfId="0"/>
    <cellStyle name="Comma0_2005정보통신 공제조합검토조서cha" xfId="0"/>
    <cellStyle name="Comma1 - 유형1" xfId="0"/>
    <cellStyle name="Comma_ SG&amp;A Bridge " xfId="0"/>
    <cellStyle name="comment" xfId="0"/>
    <cellStyle name="comment2" xfId="0"/>
    <cellStyle name="Commg [0]_FOP1&amp;L_PLN0309_NewBrazil3007.xls Chart 2" xfId="0"/>
    <cellStyle name="Commg [0]_FOP1&amp;L_PLN0309_NewBrazil3007.xls Chart 2_LAPROP PC ED 22-aug-01srb" xfId="0"/>
    <cellStyle name="Commg [0]_FOP1&amp;L_PLN0309_NewBrazil3007.xls Chart 2_NACHO PC ED 31-AUG-01" xfId="0"/>
    <cellStyle name="Commɡ [0]_FOP1&amp;L_PLN0309_NewBrazil3007.xls Chart 2" xfId="0"/>
    <cellStyle name="Commɡ [0]_FOP1&amp;L_PLN0309_NewBrazil3007.xls Chart 2_LAPROP PC ED 22-aug-01srb" xfId="0"/>
    <cellStyle name="Commɡ [0]_FOP1&amp;L_PLN0309_NewBrazil3007.xls Chart 2_NACHO PC ED 31-AUG-01" xfId="0"/>
    <cellStyle name="Company Name" xfId="0"/>
    <cellStyle name="Contract" xfId="0"/>
    <cellStyle name="Copied" xfId="0"/>
    <cellStyle name="COST1" xfId="0"/>
    <cellStyle name="Co⑭????" xfId="0"/>
    <cellStyle name="Co㋜ma [0]_PGNW1" xfId="0"/>
    <cellStyle name="Curren - 유형2" xfId="0"/>
    <cellStyle name="Curren - 유형5" xfId="0"/>
    <cellStyle name="Curren?_x0012_퐀_x0017_?" xfId="0"/>
    <cellStyle name="Currency" xfId="0"/>
    <cellStyle name="Currency  " xfId="0"/>
    <cellStyle name="Currency $" xfId="0"/>
    <cellStyle name="Currency (0.00)" xfId="0"/>
    <cellStyle name="Currency (0.00) 2" xfId="0"/>
    <cellStyle name="Currency 0.0" xfId="0"/>
    <cellStyle name="Currency 0.00" xfId="0"/>
    <cellStyle name="Currency 0.000" xfId="0"/>
    <cellStyle name="Currency 10" xfId="0"/>
    <cellStyle name="Currency 2" xfId="0"/>
    <cellStyle name="Currency 2 2" xfId="0"/>
    <cellStyle name="Currency 3" xfId="0"/>
    <cellStyle name="Currency 4" xfId="0"/>
    <cellStyle name="Currency 5" xfId="0"/>
    <cellStyle name="Currency 6" xfId="0"/>
    <cellStyle name="Currency 7" xfId="0"/>
    <cellStyle name="Currency 8" xfId="0"/>
    <cellStyle name="Currency 9" xfId="0"/>
    <cellStyle name="Currency [0.00] (Yen)" xfId="0"/>
    <cellStyle name="Currency [00]" xfId="0"/>
    <cellStyle name="Currency [00] 2" xfId="0"/>
    <cellStyle name="Currency [0]" xfId="0"/>
    <cellStyle name="Currency [0] 10" xfId="0"/>
    <cellStyle name="Currency [0] 11" xfId="0"/>
    <cellStyle name="Currency [0] 12" xfId="0"/>
    <cellStyle name="Currency [0] 13" xfId="0"/>
    <cellStyle name="Currency [0] 14" xfId="0"/>
    <cellStyle name="Currency [0] 15" xfId="0"/>
    <cellStyle name="Currency [0] 16" xfId="0"/>
    <cellStyle name="Currency [0] 17" xfId="0"/>
    <cellStyle name="Currency [0] 18" xfId="0"/>
    <cellStyle name="Currency [0] 19" xfId="0"/>
    <cellStyle name="Currency [0] 2" xfId="0"/>
    <cellStyle name="Currency [0] 2 10" xfId="0"/>
    <cellStyle name="Currency [0] 2 11" xfId="0"/>
    <cellStyle name="Currency [0] 2 2" xfId="0"/>
    <cellStyle name="Currency [0] 2 3" xfId="0"/>
    <cellStyle name="Currency [0] 2 4" xfId="0"/>
    <cellStyle name="Currency [0] 2 5" xfId="0"/>
    <cellStyle name="Currency [0] 2 6" xfId="0"/>
    <cellStyle name="Currency [0] 2 7" xfId="0"/>
    <cellStyle name="Currency [0] 2 8" xfId="0"/>
    <cellStyle name="Currency [0] 2 9" xfId="0"/>
    <cellStyle name="Currency [0] 20" xfId="0"/>
    <cellStyle name="Currency [0] 21" xfId="0"/>
    <cellStyle name="Currency [0] 3" xfId="0"/>
    <cellStyle name="Currency [0] 4" xfId="0"/>
    <cellStyle name="Currency [0] 5" xfId="0"/>
    <cellStyle name="Currency [0] 6" xfId="0"/>
    <cellStyle name="Currency [0] 7" xfId="0"/>
    <cellStyle name="Currency [0] 8" xfId="0"/>
    <cellStyle name="Currency [0] 9" xfId="0"/>
    <cellStyle name="Currency [0]_ SG&amp;A Bridge " xfId="0"/>
    <cellStyle name="Currency Bt" xfId="0"/>
    <cellStyle name="Currency Rp" xfId="0"/>
    <cellStyle name="Currency,0" xfId="0"/>
    <cellStyle name="Currency,2" xfId="0"/>
    <cellStyle name="currency-$" xfId="0"/>
    <cellStyle name="Currency0" xfId="0"/>
    <cellStyle name="Currency0 2" xfId="0"/>
    <cellStyle name="Currency0 3" xfId="0"/>
    <cellStyle name="Currency1" xfId="0"/>
    <cellStyle name="Currency1 2" xfId="0"/>
    <cellStyle name="Currency_ SG&amp;A Bridge" xfId="0"/>
    <cellStyle name="Currency㺘OTD thru NOR " xfId="0"/>
    <cellStyle name="Cu䁲rency [0]_QTR94_95_97회비" xfId="0"/>
    <cellStyle name="C¡?A¨ª_????¨?¡?CoE?÷ " xfId="0"/>
    <cellStyle name="C¡ERERERERIA￠RERERER¡ERERER￠RERER￠RERE?¡ERERER￠RERER¡ERER¡ERE?¡ERERERI_nanjing" xfId="0"/>
    <cellStyle name="C¡ERERERIA￠RERER¡ERER￠RER￠RE?¡ERER￠RER¡ER¡E?¡ERERI_(A￠RERERE¡ERERE¡ERERI￠RERER¡ERER￠RER￠RE?￠RERER¡ER￠R¡¿I￠RER￠R¡×I￠RERERE￠RERER¡ER￠R¡¿I￠RER￠R¡×I￠RERER¡ERER￠RER￠RE?￠RERER¡ER￠R¡¿I￠RER￠R¡×II¡ERER￠RER¡ER¡E?" xfId="0"/>
    <cellStyle name="C¡ERIA￠R¡×¡§¡I_¡§Ioe￠R¡×￠Rⓒ­IA¡ERAAI (2)" xfId="0"/>
    <cellStyle name="C¡IA¨ª_ CF¡ÆeAⓒª¡¾a " xfId="0"/>
    <cellStyle name="C¡IA¨ª_0N-HANDLING " xfId="0"/>
    <cellStyle name="C¡IA¨ª_2000¨uOER " xfId="0"/>
    <cellStyle name="C¡IA¨ª_2000¨uOER _1월채권" xfId="0"/>
    <cellStyle name="C¡IA¨ª_AO¨uRCN¡¾U " xfId="0"/>
    <cellStyle name="C¡IA¨ª_Curve_YIELD" xfId="0"/>
    <cellStyle name="C¡IA¨ª_¨oC￠?ⓒoPL " xfId="0"/>
    <cellStyle name="C¡ÍA¨ª_0N-HANDLING " xfId="0"/>
    <cellStyle name="C¡ÍA¨ª_2000¨ùOER " xfId="0"/>
    <cellStyle name="C¡ÍA¨ª_5-1¡¾¢´¡Æi " xfId="0"/>
    <cellStyle name="C¡ÍA¨ª_Ay¡ÆeC¡Í(2¢¯u) " xfId="0"/>
    <cellStyle name="C¡ÍA¨ª_Sheet1_0N-HANDLING " xfId="0"/>
    <cellStyle name="C¡ÍA¨ª_¡íc¨ú¡À¨¬I¨¬¡Æ AN¡Æe " xfId="0"/>
    <cellStyle name="C¡ÍA¨ª_¢¯¥ì¨ú¡ÀCoE©÷ " xfId="0"/>
    <cellStyle name="C¢®IA¡§¨£_¡§u¢®¨úAoAc¢®¨¡i_¨Ï©ª¢®i¡§¡þI¢®¨¡eE¨Ïo¡Ë¡Íe A¨Ï¡þA¡Ë¢¥A¢®AAI " xfId="0"/>
    <cellStyle name="C￠RERERIA¡ERER￠RER¡ER¡E?￠RER¡ER￠R￠?￠RERI_FINAL MAR TB_TO BE DEC TB" xfId="0"/>
    <cellStyle name="C￠RIA¡§¨￡_#1,2" xfId="0"/>
    <cellStyle name="C￥10" xfId="0"/>
    <cellStyle name="C￥13" xfId="0"/>
    <cellStyle name="C￥AØ_  A¾  CO  " xfId="0"/>
    <cellStyle name="C￥AØ_ 2ÆAAþº° " xfId="0"/>
    <cellStyle name="C￥AØ_ AOAA" xfId="0"/>
    <cellStyle name="C￥AØ_ Æ?ÆCAþº° " xfId="0"/>
    <cellStyle name="C￥AØ_(A¤º¸ºI¹R)¿uº°AI¿ø°eE¹" xfId="0"/>
    <cellStyle name="C￥AØ_11¿u10AI º≫¹R " xfId="0"/>
    <cellStyle name="C￥AØ_2.E¿A²ºÐ¼R " xfId="0"/>
    <cellStyle name="C￥AØ_2¿u¸AAa _2.E¿A²ºÐ¼R " xfId="0"/>
    <cellStyle name="C￥AØ_5-1±¤°i " xfId="0"/>
    <cellStyle name="C￥AØ_5-1±¤°i _Co´e¾÷¹≪AßAø " xfId="0"/>
    <cellStyle name="C￥AØ_5-1±¤°i _¹≪¿ª10¿u " xfId="0"/>
    <cellStyle name="C￥AØ_5-1±¤°i _어음수표총괄_퇴직충당금 - 2004" xfId="0"/>
    <cellStyle name="C￥AØ_5-1±¤°i _외화환산" xfId="0"/>
    <cellStyle name="C￥AØ_5-1±¤°i _외화환산_퇴직충당금 - 2004" xfId="0"/>
    <cellStyle name="C￥AØ_5-1±¤°i _인력자원" xfId="0"/>
    <cellStyle name="C￥AØ_5-1±¤°i _최종정산표(0910 0120)" xfId="0"/>
    <cellStyle name="C￥AØ_98³a AoAU°eE¹ " xfId="0"/>
    <cellStyle name="C￥AØ_Ac°i°u¸® " xfId="0"/>
    <cellStyle name="C￥AØ_AI¿øCoE² " xfId="0"/>
    <cellStyle name="C￥AØ_Ao¹e±¸A¶" xfId="0"/>
    <cellStyle name="C￥AØ_AU±Y_1_AßA¤´eA÷ _2.E¿A²ºÐ¼R " xfId="0"/>
    <cellStyle name="C￥AØ_Au≫eTB " xfId="0"/>
    <cellStyle name="C￥AØ_Ay°eC￥(2¿u) _2001재무제표" xfId="0"/>
    <cellStyle name="C￥AØ_Ay°eC￥(2¿u) _어음수표총괄" xfId="0"/>
    <cellStyle name="C￥AØ_Ay°eC￥(2¿u) _어음수표총괄_퇴직충당금 - 2004" xfId="0"/>
    <cellStyle name="C￥AØ_Ay°eC￥(2¿u) _외화환산" xfId="0"/>
    <cellStyle name="C￥AØ_Ay°eC￥(2¿u) _외화환산_퇴직충당금 - 2004" xfId="0"/>
    <cellStyle name="C￥AØ_Ay°eC￥(2¿u) _최종정산표(0910 0120)" xfId="0"/>
    <cellStyle name="C￥AØ_A¸≫cºÐ_³≫ºI°eE¹´e AßA¤A÷AI " xfId="0"/>
    <cellStyle name="C￥AØ_AßA¤´eA÷ _2.E¿A²ºÐ¼R " xfId="0"/>
    <cellStyle name="C￥AØ_CoAo¹yAI °A¾×¿ⓒ½A " xfId="0"/>
    <cellStyle name="C￥AØ_Co´e¾÷¹≪AßAø " xfId="0"/>
    <cellStyle name="C￥AØ_C￥Ao " xfId="0"/>
    <cellStyle name="C￥AØ_E¸¼±½AA≫¼­" xfId="0"/>
    <cellStyle name="C￥AØ_laroux_Ac°i°u¸R " xfId="0"/>
    <cellStyle name="C￥AØ_p.mix _2.E¿A²ºÐ¼R " xfId="0"/>
    <cellStyle name="C￥AØ_PL¿μ¾÷ " xfId="0"/>
    <cellStyle name="C￥AØ_Sheet1_Ay°eC￥(2¿u) " xfId="0"/>
    <cellStyle name="C￥AØ_Sheet1_Ay°eC￥(2¿u) _07Q2_CFS_070720_v8" xfId="0"/>
    <cellStyle name="C￥AØ_Sheet1_Ay°eC￥(2¿u) _어음수표총괄" xfId="0"/>
    <cellStyle name="C￥AØ_Sheet1_Ay°eC￥(2¿u) _어음수표총괄_퇴직충당금 - 2004" xfId="0"/>
    <cellStyle name="C￥AØ_Sheet1_Ay°eC￥(2¿u) _외화환산" xfId="0"/>
    <cellStyle name="C￥AØ_Sheet1_Ay°eC￥(2¿u) _외화환산_퇴직충당금 - 2004" xfId="0"/>
    <cellStyle name="C￥AØ_Sheet1_¿μ¾÷CoE² " xfId="0"/>
    <cellStyle name="C￥AØ_SOON1 _¹≪¿ª10¿u " xfId="0"/>
    <cellStyle name="C￥AØ_°u¸RC×¸n_¾÷A¾º° " xfId="0"/>
    <cellStyle name="C￥AØ_°u¸®C×¸n_¾÷A¾º° " xfId="0"/>
    <cellStyle name="C￥AØ_´eºnC￥ (2)_1_ºI´eAa°ø " xfId="0"/>
    <cellStyle name="C￥AØ_´eºnC￥ (2)_ºI´eAa°ø " xfId="0"/>
    <cellStyle name="C￥AØ_¸AAa.¼OAI " xfId="0"/>
    <cellStyle name="C￥AØ_¹≪¿ª°æºnAa " xfId="0"/>
    <cellStyle name="C￥AØ_¼oAaAO ½AAI(½AA≫)¼­ " xfId="0"/>
    <cellStyle name="C￥AØ_¼OAIA÷ (2)_³≫ºI°eE¹´e AßA¤A÷AI " xfId="0"/>
    <cellStyle name="C￥AØ_¼±AoAc°i_1_³≫ºI°eE¹´e AßA¤A÷AI " xfId="0"/>
    <cellStyle name="C￥AØ_¼±AoAc°i_³≫ºI°eE¹´e AßA¤A÷AI " xfId="0"/>
    <cellStyle name="C￥AØ_½AA½·a¿ø°¡ " xfId="0"/>
    <cellStyle name="C￥AØ_¾c½A " xfId="0"/>
    <cellStyle name="C￥AØ_¾c½A _2.E¿A²ºÐ¼R " xfId="0"/>
    <cellStyle name="C￥AØ_¾c½A _¹≪¿ª10¿u " xfId="0"/>
    <cellStyle name="C￥AØ_¾÷A¾º° " xfId="0"/>
    <cellStyle name="C￥AØ_¿¹≫e¿aA≫ " xfId="0"/>
    <cellStyle name="C￥AØ_¿μ¾÷CoE² " xfId="0"/>
    <cellStyle name="C￥AØ_Æ?±a3_p.mix " xfId="0"/>
    <cellStyle name="C￥AØ_ÆAC￥Ao_°eE¹3 " xfId="0"/>
    <cellStyle name="C￥AØ_≫c¾÷ºIº° AN°e " xfId="0"/>
    <cellStyle name="dak" xfId="0"/>
    <cellStyle name="Dash" xfId="0"/>
    <cellStyle name="Dash 10" xfId="0"/>
    <cellStyle name="Dash 7" xfId="0"/>
    <cellStyle name="Dash 8" xfId="0"/>
    <cellStyle name="Dash 9" xfId="0"/>
    <cellStyle name="Data" xfId="0"/>
    <cellStyle name="Date" xfId="0"/>
    <cellStyle name="Date 2" xfId="0"/>
    <cellStyle name="Date 3" xfId="0"/>
    <cellStyle name="Date 4" xfId="0"/>
    <cellStyle name="Date Short" xfId="0"/>
    <cellStyle name="Date Short 2" xfId="0"/>
    <cellStyle name="Date_감가상각비 집계(JD)" xfId="0"/>
    <cellStyle name="Datum" xfId="0"/>
    <cellStyle name="DCOS " xfId="0"/>
    <cellStyle name="DELTA" xfId="0"/>
    <cellStyle name="Dezimal (4)" xfId="0"/>
    <cellStyle name="Dezimal (6)" xfId="0"/>
    <cellStyle name="Dezimal [0]_42_FINWE" xfId="0"/>
    <cellStyle name="Dezimal_42_FINWE" xfId="0"/>
    <cellStyle name="dgw" xfId="0"/>
    <cellStyle name="Discount" xfId="0"/>
    <cellStyle name="Dollar (zero dec)" xfId="0"/>
    <cellStyle name="Dollar (zero dec) 2" xfId="0"/>
    <cellStyle name="Dollar (zero dec) 3" xfId="0"/>
    <cellStyle name="Dollar (zero dec) 4" xfId="0"/>
    <cellStyle name="Double Accounting" xfId="0"/>
    <cellStyle name="Double Underline 10" xfId="0"/>
    <cellStyle name="Double Underline 7" xfId="0"/>
    <cellStyle name="Double Underline 8" xfId="0"/>
    <cellStyle name="Double Underline 9" xfId="0"/>
    <cellStyle name="DOWNFOOT" xfId="0"/>
    <cellStyle name="Dziesietny [0]_Plan inwestycji 2000-2002" xfId="0"/>
    <cellStyle name="Dziesietny_Plan inwestycji 2000-2002" xfId="0"/>
    <cellStyle name="e" xfId="0"/>
    <cellStyle name="E&amp;Y House" xfId="0"/>
    <cellStyle name="earky [0]_laroux" xfId="0"/>
    <cellStyle name="earky_laroux" xfId="0"/>
    <cellStyle name="Element-text" xfId="0"/>
    <cellStyle name="Empty" xfId="0"/>
    <cellStyle name="Enter Currency (0)" xfId="0"/>
    <cellStyle name="Enter Currency (0) 2" xfId="0"/>
    <cellStyle name="Enter Currency (2)" xfId="0"/>
    <cellStyle name="Enter Currency (2) 2" xfId="0"/>
    <cellStyle name="Enter Units (0)" xfId="0"/>
    <cellStyle name="Enter Units (0) 2" xfId="0"/>
    <cellStyle name="Enter Units (1)" xfId="0"/>
    <cellStyle name="Enter Units (1) 2" xfId="0"/>
    <cellStyle name="Enter Units (2)" xfId="0"/>
    <cellStyle name="Enter Units (2) 2" xfId="0"/>
    <cellStyle name="Entered" xfId="0"/>
    <cellStyle name="er" xfId="0"/>
    <cellStyle name="Error Detection" xfId="0"/>
    <cellStyle name="estimated price" xfId="0"/>
    <cellStyle name="Etiquette tot branche" xfId="0"/>
    <cellStyle name="Etiquette verticale" xfId="0"/>
    <cellStyle name="Etiquettes" xfId="0"/>
    <cellStyle name="Etiquettes verticale 2" xfId="0"/>
    <cellStyle name="Euro" xfId="0"/>
    <cellStyle name="Explanatory Text" xfId="0"/>
    <cellStyle name="Explanatory Text 2" xfId="0"/>
    <cellStyle name="Explanatory Text 3" xfId="0"/>
    <cellStyle name="Explanatory Text 4" xfId="0"/>
    <cellStyle name="Explanatory Text 5" xfId="0"/>
    <cellStyle name="Explanatory Text 6" xfId="0"/>
    <cellStyle name="Explanatory Text 7" xfId="0"/>
    <cellStyle name="Explanatory Text 8" xfId="0"/>
    <cellStyle name="Explanatory Text 9" xfId="0"/>
    <cellStyle name="F2" xfId="0"/>
    <cellStyle name="F3" xfId="0"/>
    <cellStyle name="F4" xfId="0"/>
    <cellStyle name="F5" xfId="0"/>
    <cellStyle name="F6" xfId="0"/>
    <cellStyle name="F7" xfId="0"/>
    <cellStyle name="F8" xfId="0"/>
    <cellStyle name="FacNo" xfId="0"/>
    <cellStyle name="Feed" xfId="0"/>
    <cellStyle name="Fixed" xfId="0"/>
    <cellStyle name="Fixed 2" xfId="0"/>
    <cellStyle name="Fixed 3" xfId="0"/>
    <cellStyle name="Fixed2 - 유형2" xfId="0"/>
    <cellStyle name="Followed Hyperlink" xfId="0"/>
    <cellStyle name="FullTime" xfId="0"/>
    <cellStyle name="Gallons" xfId="0"/>
    <cellStyle name="GE41ܕꄪꆡ憡ɢ䀸ɢ䀠ɢ_x0005__x0005_䀰ɢ" xfId="0"/>
    <cellStyle name="Good 10" xfId="0"/>
    <cellStyle name="Good 2" xfId="0"/>
    <cellStyle name="Good 3" xfId="0"/>
    <cellStyle name="Good 4" xfId="0"/>
    <cellStyle name="Good 5" xfId="0"/>
    <cellStyle name="Good 6" xfId="0"/>
    <cellStyle name="Good 7" xfId="0"/>
    <cellStyle name="Good 8" xfId="0"/>
    <cellStyle name="Good 9" xfId="0"/>
    <cellStyle name="Grey" xfId="0"/>
    <cellStyle name="Grey 2" xfId="0"/>
    <cellStyle name="Grey 3" xfId="0"/>
    <cellStyle name="GroupTitles" xfId="0"/>
    <cellStyle name="gunz" xfId="0"/>
    <cellStyle name="handle" xfId="0"/>
    <cellStyle name="HDR" xfId="0"/>
    <cellStyle name="HEADER" xfId="0"/>
    <cellStyle name="HEADER 2" xfId="0"/>
    <cellStyle name="Header Total" xfId="0"/>
    <cellStyle name="Header1" xfId="0"/>
    <cellStyle name="Header1 2" xfId="0"/>
    <cellStyle name="Header2" xfId="0"/>
    <cellStyle name="Header2 2" xfId="0"/>
    <cellStyle name="Header2 3" xfId="0"/>
    <cellStyle name="Header3" xfId="0"/>
    <cellStyle name="header_maquette_G101 EUROFLOAT BUDGET 2001-1" xfId="0"/>
    <cellStyle name="Heading 1 10" xfId="0"/>
    <cellStyle name="Heading 1 11" xfId="0"/>
    <cellStyle name="Heading 1 12" xfId="0"/>
    <cellStyle name="Heading 1 13" xfId="0"/>
    <cellStyle name="Heading 1 14" xfId="0"/>
    <cellStyle name="Heading 1 2" xfId="0"/>
    <cellStyle name="Heading 1 3" xfId="0"/>
    <cellStyle name="Heading 1 4" xfId="0"/>
    <cellStyle name="Heading 1 5" xfId="0"/>
    <cellStyle name="Heading 1 6" xfId="0"/>
    <cellStyle name="Heading 1 7" xfId="0"/>
    <cellStyle name="Heading 1 8" xfId="0"/>
    <cellStyle name="Heading 1 9" xfId="0"/>
    <cellStyle name="Heading 11" xfId="0"/>
    <cellStyle name="Heading 2 10" xfId="0"/>
    <cellStyle name="Heading 2 11" xfId="0"/>
    <cellStyle name="Heading 2 12" xfId="0"/>
    <cellStyle name="Heading 2 13" xfId="0"/>
    <cellStyle name="Heading 2 15" xfId="0"/>
    <cellStyle name="Heading 2 2" xfId="0"/>
    <cellStyle name="Heading 2 3" xfId="0"/>
    <cellStyle name="Heading 2 4" xfId="0"/>
    <cellStyle name="Heading 2 5" xfId="0"/>
    <cellStyle name="Heading 2 6" xfId="0"/>
    <cellStyle name="Heading 2 7" xfId="0"/>
    <cellStyle name="Heading 2 8" xfId="0"/>
    <cellStyle name="Heading 2 9" xfId="0"/>
    <cellStyle name="Heading 3" xfId="0"/>
    <cellStyle name="Heading 3 2" xfId="0"/>
    <cellStyle name="Heading 3 3" xfId="0"/>
    <cellStyle name="Heading 3 4" xfId="0"/>
    <cellStyle name="Heading 3 5" xfId="0"/>
    <cellStyle name="Heading 3 6" xfId="0"/>
    <cellStyle name="Heading 3 7" xfId="0"/>
    <cellStyle name="Heading 3 8" xfId="0"/>
    <cellStyle name="Heading 3 9" xfId="0"/>
    <cellStyle name="Heading 4" xfId="0"/>
    <cellStyle name="Heading 4 2" xfId="0"/>
    <cellStyle name="Heading 4 3" xfId="0"/>
    <cellStyle name="Heading 4 4" xfId="0"/>
    <cellStyle name="Heading 4 5" xfId="0"/>
    <cellStyle name="Heading 4 6" xfId="0"/>
    <cellStyle name="Heading 4 7" xfId="0"/>
    <cellStyle name="Heading 4 8" xfId="0"/>
    <cellStyle name="Heading 4 9" xfId="0"/>
    <cellStyle name="Heading No Underline" xfId="0"/>
    <cellStyle name="Heading With Underline" xfId="0"/>
    <cellStyle name="heading, 1,A MAJOR/BOLD" xfId="0"/>
    <cellStyle name="Heading 1" xfId="0"/>
    <cellStyle name="HEADING1 2" xfId="0"/>
    <cellStyle name="HEADING1 3" xfId="0"/>
    <cellStyle name="Heading2" xfId="0"/>
    <cellStyle name="HEADING2 2" xfId="0"/>
    <cellStyle name="HEADING2 3" xfId="0"/>
    <cellStyle name="Heading_2005정보통신 공제조합검토조서cha" xfId="0"/>
    <cellStyle name="HeadingS" xfId="0"/>
    <cellStyle name="Hedaings" xfId="0"/>
    <cellStyle name="HIGHLIGHT" xfId="0"/>
    <cellStyle name="hong kong" xfId="0"/>
    <cellStyle name="HPproduct" xfId="0"/>
    <cellStyle name="Hyperlink 16" xfId="0"/>
    <cellStyle name="Hyperlink 2" xfId="0"/>
    <cellStyle name="Hyperlink 3" xfId="0"/>
    <cellStyle name="Hyperlink seguido" xfId="0"/>
    <cellStyle name="Hyperlink_BINV" xfId="0"/>
    <cellStyle name="Iau÷iu?report-2 " xfId="0"/>
    <cellStyle name="iles|_x0005_h" xfId="0"/>
    <cellStyle name="Input" xfId="0"/>
    <cellStyle name="Input 10" xfId="0"/>
    <cellStyle name="Input 2" xfId="0"/>
    <cellStyle name="Input 3" xfId="0"/>
    <cellStyle name="Input 4" xfId="0"/>
    <cellStyle name="Input 5" xfId="0"/>
    <cellStyle name="Input 6" xfId="0"/>
    <cellStyle name="Input 7" xfId="0"/>
    <cellStyle name="Input 8" xfId="0"/>
    <cellStyle name="Input 9" xfId="0"/>
    <cellStyle name="Input [yellow]" xfId="0"/>
    <cellStyle name="Input [yellow] 2" xfId="0"/>
    <cellStyle name="Input [yellow] 3" xfId="0"/>
    <cellStyle name="Input [yellow] 4" xfId="0"/>
    <cellStyle name="Input_실트론 연결 정산표_03_24_현금흐름표수정_ver2 0" xfId="0"/>
    <cellStyle name="InputBlueFont" xfId="0"/>
    <cellStyle name="Instructions" xfId="0"/>
    <cellStyle name="ipnut" xfId="0"/>
    <cellStyle name="iput" xfId="0"/>
    <cellStyle name="k" xfId="0"/>
    <cellStyle name="KDOLLAR" xfId="0"/>
    <cellStyle name="KKK" xfId="0"/>
    <cellStyle name="KRW" xfId="0"/>
    <cellStyle name="kryssen" xfId="0"/>
    <cellStyle name="KWE標準" xfId="0"/>
    <cellStyle name="l_x0018_" xfId="0"/>
    <cellStyle name="les" xfId="0"/>
    <cellStyle name="Lien hypertexte" xfId="0"/>
    <cellStyle name="Link Currency (0)" xfId="0"/>
    <cellStyle name="Link Currency (0) 2" xfId="0"/>
    <cellStyle name="Link Currency (2)" xfId="0"/>
    <cellStyle name="Link Currency (2) 2" xfId="0"/>
    <cellStyle name="Link Units (0)" xfId="0"/>
    <cellStyle name="Link Units (0) 2" xfId="0"/>
    <cellStyle name="Link Units (1)" xfId="0"/>
    <cellStyle name="Link Units (1) 2" xfId="0"/>
    <cellStyle name="Link Units (2)" xfId="0"/>
    <cellStyle name="Link Units (2) 2" xfId="0"/>
    <cellStyle name="Linked Cell" xfId="0"/>
    <cellStyle name="Linked Cell 2" xfId="0"/>
    <cellStyle name="Linked Cell 3" xfId="0"/>
    <cellStyle name="Linked Cell 4" xfId="0"/>
    <cellStyle name="Linked Cell 5" xfId="0"/>
    <cellStyle name="Linked Cell 6" xfId="0"/>
    <cellStyle name="Linked Cell 7" xfId="0"/>
    <cellStyle name="Linked Cell 8" xfId="0"/>
    <cellStyle name="Linked Cell 9" xfId="0"/>
    <cellStyle name="LISAM" xfId="0"/>
    <cellStyle name="List Price" xfId="0"/>
    <cellStyle name="MainHead" xfId="0"/>
    <cellStyle name="Maly nadpis" xfId="0"/>
    <cellStyle name="meny_laroux" xfId="0"/>
    <cellStyle name="Migliaia (0)_Actu e Piano Maggio98" xfId="0"/>
    <cellStyle name="Migliaia_Actu e Piano Maggio98" xfId="0"/>
    <cellStyle name="Millares [0]_Arbefec" xfId="0"/>
    <cellStyle name="Millares_Arbefec" xfId="0"/>
    <cellStyle name="Milliers 2" xfId="0"/>
    <cellStyle name="Milliers [0]_!!!GO" xfId="0"/>
    <cellStyle name="Milliers_!!!GO" xfId="0"/>
    <cellStyle name="miny_laroux" xfId="0"/>
    <cellStyle name="mir" xfId="0"/>
    <cellStyle name="MLHeaderSection" xfId="0"/>
    <cellStyle name="MMBTU's" xfId="0"/>
    <cellStyle name="Model" xfId="0"/>
    <cellStyle name="Model 2" xfId="0"/>
    <cellStyle name="Moeda [0]_aola" xfId="0"/>
    <cellStyle name="Moeda_aola" xfId="0"/>
    <cellStyle name="Mon?aire [0]_!!!GO_1ip" xfId="0"/>
    <cellStyle name="Mon?aire_!!!GO_1te" xfId="0"/>
    <cellStyle name="Moneda [0]_Arbefec" xfId="0"/>
    <cellStyle name="Moneda_Arbefec" xfId="0"/>
    <cellStyle name="money" xfId="0"/>
    <cellStyle name="Monétaire [0]_!!!GO" xfId="0"/>
    <cellStyle name="Monétaire_!!!GO" xfId="0"/>
    <cellStyle name="MS Proofing Tools" xfId="0"/>
    <cellStyle name="MS_Arabe" xfId="0"/>
    <cellStyle name="MSG1" xfId="0"/>
    <cellStyle name="Multiple" xfId="0"/>
    <cellStyle name="Multiple0" xfId="0"/>
    <cellStyle name="My-수량" xfId="0"/>
    <cellStyle name="Neutral 17" xfId="0"/>
    <cellStyle name="Neutral 2" xfId="0"/>
    <cellStyle name="Neutral 3" xfId="0"/>
    <cellStyle name="Neutral 4" xfId="0"/>
    <cellStyle name="Neutral 5" xfId="0"/>
    <cellStyle name="Neutral 6" xfId="0"/>
    <cellStyle name="Neutral 7" xfId="0"/>
    <cellStyle name="Neutral 8" xfId="0"/>
    <cellStyle name="Neutral 9" xfId="0"/>
    <cellStyle name="new" xfId="0"/>
    <cellStyle name="New Times Roman" xfId="0"/>
    <cellStyle name="no dec" xfId="0"/>
    <cellStyle name="nohs" xfId="0"/>
    <cellStyle name="NonPrint_Hyperlink" xfId="0"/>
    <cellStyle name="Normal - Formatvorlage1" xfId="0"/>
    <cellStyle name="Normal - Formatvorlage2" xfId="0"/>
    <cellStyle name="Normal - Formatvorlage3" xfId="0"/>
    <cellStyle name="Normal - Formatvorlage4" xfId="0"/>
    <cellStyle name="Normal - Formatvorlage5" xfId="0"/>
    <cellStyle name="Normal - Formatvorlage6" xfId="0"/>
    <cellStyle name="Normal - Formatvorlage7" xfId="0"/>
    <cellStyle name="Normal - Formatvorlage8" xfId="0"/>
    <cellStyle name="Normal - Style1" xfId="0"/>
    <cellStyle name="Normal - Style1 2" xfId="0"/>
    <cellStyle name="Normal - Style1 3" xfId="0"/>
    <cellStyle name="Normal - Style1 4" xfId="0"/>
    <cellStyle name="Normal - Style2" xfId="0"/>
    <cellStyle name="Normal - Style3" xfId="0"/>
    <cellStyle name="Normal - Style4" xfId="0"/>
    <cellStyle name="Normal - Style5" xfId="0"/>
    <cellStyle name="Normal - Style6" xfId="0"/>
    <cellStyle name="Normal - Style7" xfId="0"/>
    <cellStyle name="Normal - Style8" xfId="0"/>
    <cellStyle name="Normal - 유형1" xfId="0"/>
    <cellStyle name="normal 1" xfId="0"/>
    <cellStyle name="Normal 2" xfId="0"/>
    <cellStyle name="Normal 2 2" xfId="0"/>
    <cellStyle name="Normal 2 3" xfId="0"/>
    <cellStyle name="Normal 2 4" xfId="0"/>
    <cellStyle name="Normal 2 5" xfId="0"/>
    <cellStyle name="Normal 2 6" xfId="0"/>
    <cellStyle name="Normal 3" xfId="0"/>
    <cellStyle name="Normal 3 2" xfId="0"/>
    <cellStyle name="Normal 3 2 2" xfId="0"/>
    <cellStyle name="Normal 3 3" xfId="0"/>
    <cellStyle name="Normal 3 3 2" xfId="0"/>
    <cellStyle name="Normal 3 4" xfId="0"/>
    <cellStyle name="Normal 4" xfId="0"/>
    <cellStyle name="Normal 5" xfId="0"/>
    <cellStyle name="Normal 5 2" xfId="0"/>
    <cellStyle name="Normal 5 3" xfId="0"/>
    <cellStyle name="Normal 6" xfId="0"/>
    <cellStyle name="Normal1" xfId="0"/>
    <cellStyle name="Normal1 2" xfId="0"/>
    <cellStyle name="Normal1_3300현금및예치금" xfId="0"/>
    <cellStyle name="Normal2" xfId="0"/>
    <cellStyle name="Normal2 2" xfId="0"/>
    <cellStyle name="Normal2_3300현금및예치금" xfId="0"/>
    <cellStyle name="Normal3" xfId="0"/>
    <cellStyle name="Normal3 2" xfId="0"/>
    <cellStyle name="Normal4" xfId="0"/>
    <cellStyle name="Normal4 2" xfId="0"/>
    <cellStyle name="Normale_argenture" xfId="0"/>
    <cellStyle name="normalni_laroux" xfId="0"/>
    <cellStyle name="Normalny_Plan inwestycji 2000-2002" xfId="0"/>
    <cellStyle name="Normal견적_상세 내역_laroux" xfId="0"/>
    <cellStyle name="Normal像?154KV 최종Nego 95.5.3" xfId="0"/>
    <cellStyle name="Note 18" xfId="0"/>
    <cellStyle name="Note 2" xfId="0"/>
    <cellStyle name="Note 3" xfId="0"/>
    <cellStyle name="Note 4" xfId="0"/>
    <cellStyle name="Note 5" xfId="0"/>
    <cellStyle name="Note 6" xfId="0"/>
    <cellStyle name="Note 7" xfId="0"/>
    <cellStyle name="Note 8" xfId="0"/>
    <cellStyle name="Note 9" xfId="0"/>
    <cellStyle name="Notes" xfId="0"/>
    <cellStyle name="Number" xfId="0"/>
    <cellStyle name="n° sif" xfId="0"/>
    <cellStyle name="oft Excel]&#13;&#10;Comment=The open=/f lines load custom functions into the Paste Function list.&#13;&#10;Maximized=3&#13;&#10;AutoFormat=" xfId="0"/>
    <cellStyle name="Ordering Number" xfId="0"/>
    <cellStyle name="Output" xfId="0"/>
    <cellStyle name="Output 2" xfId="0"/>
    <cellStyle name="Output 3" xfId="0"/>
    <cellStyle name="Output 4" xfId="0"/>
    <cellStyle name="Output 5" xfId="0"/>
    <cellStyle name="Output 6" xfId="0"/>
    <cellStyle name="Output 7" xfId="0"/>
    <cellStyle name="Output 8" xfId="0"/>
    <cellStyle name="Output 9" xfId="0"/>
    <cellStyle name="Output Amounts" xfId="0"/>
    <cellStyle name="Output Column Headings" xfId="0"/>
    <cellStyle name="Output Line Items" xfId="0"/>
    <cellStyle name="Output Report Heading" xfId="0"/>
    <cellStyle name="Output Report Title" xfId="0"/>
    <cellStyle name="P/N" xfId="0"/>
    <cellStyle name="Page Heading" xfId="0"/>
    <cellStyle name="Page Heading 10pt" xfId="0"/>
    <cellStyle name="Page Heading 12pt" xfId="0"/>
    <cellStyle name="Page Heading 12pt w/line" xfId="0"/>
    <cellStyle name="Page Heading_PwC Template 8-4-991" xfId="0"/>
    <cellStyle name="PageSubtitle" xfId="0"/>
    <cellStyle name="PageTitle" xfId="0"/>
    <cellStyle name="PAL" xfId="0"/>
    <cellStyle name="PARK" xfId="0"/>
    <cellStyle name="Pays" xfId="0"/>
    <cellStyle name="PE_1월" xfId="0"/>
    <cellStyle name="Percen - 유형3" xfId="0"/>
    <cellStyle name="Percent" xfId="0"/>
    <cellStyle name="Percent %" xfId="0"/>
    <cellStyle name="Percent % Long Underline" xfId="0"/>
    <cellStyle name="Percent (0)" xfId="0"/>
    <cellStyle name="Percent 0.0%" xfId="0"/>
    <cellStyle name="Percent 0.0% Long Underline" xfId="0"/>
    <cellStyle name="Percent 0.00%" xfId="0"/>
    <cellStyle name="Percent 0.00% Long Underline" xfId="0"/>
    <cellStyle name="Percent 0.000%" xfId="0"/>
    <cellStyle name="Percent 0.000% Long Underline" xfId="0"/>
    <cellStyle name="Percent 10" xfId="0"/>
    <cellStyle name="Percent 2" xfId="0"/>
    <cellStyle name="Percent 2 2" xfId="0"/>
    <cellStyle name="Percent 3" xfId="0"/>
    <cellStyle name="Percent 3 2" xfId="0"/>
    <cellStyle name="Percent 4" xfId="0"/>
    <cellStyle name="Percent 5" xfId="0"/>
    <cellStyle name="Percent 6" xfId="0"/>
    <cellStyle name="Percent 7" xfId="0"/>
    <cellStyle name="Percent 8" xfId="0"/>
    <cellStyle name="Percent 9" xfId="0"/>
    <cellStyle name="Percent [0.0%]" xfId="0"/>
    <cellStyle name="Percent [00]" xfId="0"/>
    <cellStyle name="Percent [00] 2" xfId="0"/>
    <cellStyle name="Percent [0]" xfId="0"/>
    <cellStyle name="Percent [0] 2" xfId="0"/>
    <cellStyle name="Percent [2]" xfId="0"/>
    <cellStyle name="Percent0" xfId="0"/>
    <cellStyle name="percent2" xfId="0"/>
    <cellStyle name="Percent_#6 Temps &amp; Contractors" xfId="0"/>
    <cellStyle name="PERCENTAGE" xfId="0"/>
    <cellStyle name="performance report" xfId="0"/>
    <cellStyle name="PLAN97" xfId="0"/>
    <cellStyle name="Pnumber" xfId="0"/>
    <cellStyle name="Popis" xfId="0"/>
    <cellStyle name="Pourcentage_pldt" xfId="0"/>
    <cellStyle name="Poznamka" xfId="0"/>
    <cellStyle name="PrePop Currency (0)" xfId="0"/>
    <cellStyle name="PrePop Currency (0) 2" xfId="0"/>
    <cellStyle name="PrePop Currency (2)" xfId="0"/>
    <cellStyle name="PrePop Currency (2) 2" xfId="0"/>
    <cellStyle name="PrePop Units (0)" xfId="0"/>
    <cellStyle name="PrePop Units (0) 2" xfId="0"/>
    <cellStyle name="PrePop Units (1)" xfId="0"/>
    <cellStyle name="PrePop Units (1) 2" xfId="0"/>
    <cellStyle name="PrePop Units (2)" xfId="0"/>
    <cellStyle name="PrePop Units (2) 2" xfId="0"/>
    <cellStyle name="Price" xfId="0"/>
    <cellStyle name="PRICE ADJUSTMENT" xfId="0"/>
    <cellStyle name="pricing" xfId="0"/>
    <cellStyle name="Print Titles" xfId="0"/>
    <cellStyle name="PSChar" xfId="0"/>
    <cellStyle name="PSDate" xfId="0"/>
    <cellStyle name="PSDec" xfId="0"/>
    <cellStyle name="PSHeading" xfId="0"/>
    <cellStyle name="PSInt" xfId="0"/>
    <cellStyle name="PSSpacer" xfId="0"/>
    <cellStyle name="PwC" xfId="0"/>
    <cellStyle name="qbh_x0003__x000c_bh_x0017_&quot;blTT０_x0008__x0003__x0008_?)(일)" xfId="0"/>
    <cellStyle name="qbh_x0003__x000c_bh_x0017_&quot;blTT０_x0008__x0003__x0008_磚)(일)" xfId="0"/>
    <cellStyle name="r_x000f_Crency_NAMNFI" xfId="0"/>
    <cellStyle name="R?" xfId="0"/>
    <cellStyle name="Ra" xfId="0"/>
    <cellStyle name="Ref Numbers" xfId="0"/>
    <cellStyle name="Rep opsec" xfId="0"/>
    <cellStyle name="Rep total" xfId="0"/>
    <cellStyle name="reset" xfId="0"/>
    <cellStyle name="Revenue" xfId="0"/>
    <cellStyle name="RevList" xfId="0"/>
    <cellStyle name="RevList 2" xfId="0"/>
    <cellStyle name="RM(4개월)" xfId="0"/>
    <cellStyle name="rodape" xfId="0"/>
    <cellStyle name="ROOM HEADING" xfId="0"/>
    <cellStyle name="ROOM TOTAL" xfId="0"/>
    <cellStyle name="s" xfId="0"/>
    <cellStyle name="s]&#13;&#10;load=&#13;&#10;run=C:\HNC\HNCSVR32.EXE&#13;&#10;Beep=yes&#13;&#10;NullPort=None&#13;&#10;BorderWidth=3&#13;&#10;CursorBlinkRate=530&#13;&#10;DoubleClickSpeed=452&#13;&#10;" xfId="0"/>
    <cellStyle name="s_DCFLBO Code" xfId="0"/>
    <cellStyle name="s_DCFLBO Code_1" xfId="0"/>
    <cellStyle name="s_DCFLBO Code_1_Fin Covenants check" xfId="0"/>
    <cellStyle name="s_DCFLBO Code_1_Fin Covenants check_New Business Plan_final(1)" xfId="0"/>
    <cellStyle name="s_DCFLBO Code_1_Fin Covenants check_sales" xfId="0"/>
    <cellStyle name="s_DCFLBO Code_Fin Covenants check" xfId="0"/>
    <cellStyle name="s_DCFLBO Code_Fin Covenants check_New Business Plan_final(1)" xfId="0"/>
    <cellStyle name="s_DCFLBO Code_Fin Covenants check_sales" xfId="0"/>
    <cellStyle name="s_Fin Covenants check" xfId="0"/>
    <cellStyle name="s_Fin Covenants check_New Business Plan_final(1)" xfId="0"/>
    <cellStyle name="s_Fin Covenants check_sales" xfId="0"/>
    <cellStyle name="s_자산손상_(주)LG_v3" xfId="0"/>
    <cellStyle name="SAM" xfId="0"/>
    <cellStyle name="SAPBEXaggData" xfId="0"/>
    <cellStyle name="SAPBEXaggData 2" xfId="0"/>
    <cellStyle name="SAPBEXaggData 2 2" xfId="0"/>
    <cellStyle name="SAPBEXaggData 3" xfId="0"/>
    <cellStyle name="SAPBEXaggData 3 2" xfId="0"/>
    <cellStyle name="SAPBEXaggData 4" xfId="0"/>
    <cellStyle name="SAPBEXaggDataEmph" xfId="0"/>
    <cellStyle name="SAPBEXaggDataEmph 2" xfId="0"/>
    <cellStyle name="SAPBEXaggDataEmph 2 2" xfId="0"/>
    <cellStyle name="SAPBEXaggDataEmph 3" xfId="0"/>
    <cellStyle name="SAPBEXaggDataEmph 3 2" xfId="0"/>
    <cellStyle name="SAPBEXaggDataEmph 4" xfId="0"/>
    <cellStyle name="SAPBEXaggExc1" xfId="0"/>
    <cellStyle name="SAPBEXaggExc1Emph" xfId="0"/>
    <cellStyle name="SAPBEXaggExc2" xfId="0"/>
    <cellStyle name="SAPBEXaggExc2Emph" xfId="0"/>
    <cellStyle name="SAPBEXaggItem" xfId="0"/>
    <cellStyle name="SAPBEXaggItem 2" xfId="0"/>
    <cellStyle name="SAPBEXaggItem 2 2" xfId="0"/>
    <cellStyle name="SAPBEXaggItem 3" xfId="0"/>
    <cellStyle name="SAPBEXaggItem 3 2" xfId="0"/>
    <cellStyle name="SAPBEXaggItem 4" xfId="0"/>
    <cellStyle name="SAPBEXaggItemX" xfId="0"/>
    <cellStyle name="SAPBEXaggItemX 2" xfId="0"/>
    <cellStyle name="SAPBEXaggItemX 2 2" xfId="0"/>
    <cellStyle name="SAPBEXaggItemX 3" xfId="0"/>
    <cellStyle name="SAPBEXaggItemX 3 2" xfId="0"/>
    <cellStyle name="SAPBEXaggItemX 4" xfId="0"/>
    <cellStyle name="SAPBEXbackground" xfId="0"/>
    <cellStyle name="SAPBEXchaText" xfId="0"/>
    <cellStyle name="SAPBEXexcBad" xfId="0"/>
    <cellStyle name="SAPBEXexcBad7" xfId="0"/>
    <cellStyle name="SAPBEXexcBad7 2" xfId="0"/>
    <cellStyle name="SAPBEXexcBad7 2 2" xfId="0"/>
    <cellStyle name="SAPBEXexcBad7 3" xfId="0"/>
    <cellStyle name="SAPBEXexcBad7 3 2" xfId="0"/>
    <cellStyle name="SAPBEXexcBad7 4" xfId="0"/>
    <cellStyle name="SAPBEXexcBad8" xfId="0"/>
    <cellStyle name="SAPBEXexcBad8 2" xfId="0"/>
    <cellStyle name="SAPBEXexcBad8 2 2" xfId="0"/>
    <cellStyle name="SAPBEXexcBad8 3" xfId="0"/>
    <cellStyle name="SAPBEXexcBad8 3 2" xfId="0"/>
    <cellStyle name="SAPBEXexcBad8 4" xfId="0"/>
    <cellStyle name="SAPBEXexcBad9" xfId="0"/>
    <cellStyle name="SAPBEXexcBad9 2" xfId="0"/>
    <cellStyle name="SAPBEXexcBad9 2 2" xfId="0"/>
    <cellStyle name="SAPBEXexcBad9 3" xfId="0"/>
    <cellStyle name="SAPBEXexcBad9 3 2" xfId="0"/>
    <cellStyle name="SAPBEXexcBad9 4" xfId="0"/>
    <cellStyle name="SAPBEXexcCritical" xfId="0"/>
    <cellStyle name="SAPBEXexcCritical4" xfId="0"/>
    <cellStyle name="SAPBEXexcCritical4 2" xfId="0"/>
    <cellStyle name="SAPBEXexcCritical4 2 2" xfId="0"/>
    <cellStyle name="SAPBEXexcCritical4 3" xfId="0"/>
    <cellStyle name="SAPBEXexcCritical4 3 2" xfId="0"/>
    <cellStyle name="SAPBEXexcCritical4 4" xfId="0"/>
    <cellStyle name="SAPBEXexcCritical5" xfId="0"/>
    <cellStyle name="SAPBEXexcCritical5 2" xfId="0"/>
    <cellStyle name="SAPBEXexcCritical5 2 2" xfId="0"/>
    <cellStyle name="SAPBEXexcCritical5 3" xfId="0"/>
    <cellStyle name="SAPBEXexcCritical5 3 2" xfId="0"/>
    <cellStyle name="SAPBEXexcCritical5 4" xfId="0"/>
    <cellStyle name="SAPBEXexcCritical6" xfId="0"/>
    <cellStyle name="SAPBEXexcCritical6 2" xfId="0"/>
    <cellStyle name="SAPBEXexcCritical6 2 2" xfId="0"/>
    <cellStyle name="SAPBEXexcCritical6 3" xfId="0"/>
    <cellStyle name="SAPBEXexcCritical6 3 2" xfId="0"/>
    <cellStyle name="SAPBEXexcCritical6 4" xfId="0"/>
    <cellStyle name="SAPBEXexcGood" xfId="0"/>
    <cellStyle name="SAPBEXexcGood1" xfId="0"/>
    <cellStyle name="SAPBEXexcGood1 2" xfId="0"/>
    <cellStyle name="SAPBEXexcGood1 2 2" xfId="0"/>
    <cellStyle name="SAPBEXexcGood1 3" xfId="0"/>
    <cellStyle name="SAPBEXexcGood1 3 2" xfId="0"/>
    <cellStyle name="SAPBEXexcGood1 4" xfId="0"/>
    <cellStyle name="SAPBEXexcGood2" xfId="0"/>
    <cellStyle name="SAPBEXexcGood2 2" xfId="0"/>
    <cellStyle name="SAPBEXexcGood2 2 2" xfId="0"/>
    <cellStyle name="SAPBEXexcGood2 3" xfId="0"/>
    <cellStyle name="SAPBEXexcGood2 3 2" xfId="0"/>
    <cellStyle name="SAPBEXexcGood2 4" xfId="0"/>
    <cellStyle name="SAPBEXexcGood3" xfId="0"/>
    <cellStyle name="SAPBEXexcGood3 2" xfId="0"/>
    <cellStyle name="SAPBEXexcGood3 2 2" xfId="0"/>
    <cellStyle name="SAPBEXexcGood3 3" xfId="0"/>
    <cellStyle name="SAPBEXexcGood3 3 2" xfId="0"/>
    <cellStyle name="SAPBEXexcGood3 4" xfId="0"/>
    <cellStyle name="SAPBEXexcVeryBad" xfId="0"/>
    <cellStyle name="SAPBEXfilterDrill" xfId="0"/>
    <cellStyle name="SAPBEXfilterItem" xfId="0"/>
    <cellStyle name="SAPBEXfilterText" xfId="0"/>
    <cellStyle name="SAPBEXformats" xfId="0"/>
    <cellStyle name="SAPBEXformats 2" xfId="0"/>
    <cellStyle name="SAPBEXformats 2 2" xfId="0"/>
    <cellStyle name="SAPBEXformats 3" xfId="0"/>
    <cellStyle name="SAPBEXformats 3 2" xfId="0"/>
    <cellStyle name="SAPBEXformats 4" xfId="0"/>
    <cellStyle name="SAPBEXheaderData" xfId="0"/>
    <cellStyle name="SAPBEXheaderItem" xfId="0"/>
    <cellStyle name="SAPBEXheaderRowOne" xfId="0"/>
    <cellStyle name="SAPBEXheaderRowThree" xfId="0"/>
    <cellStyle name="SAPBEXheaderRowTwo" xfId="0"/>
    <cellStyle name="SAPBEXheaderSingleRow" xfId="0"/>
    <cellStyle name="SAPBEXheaderText" xfId="0"/>
    <cellStyle name="SAPBEXHLevel0" xfId="0"/>
    <cellStyle name="SAPBEXHLevel0 2" xfId="0"/>
    <cellStyle name="SAPBEXHLevel0 2 2" xfId="0"/>
    <cellStyle name="SAPBEXHLevel0 3" xfId="0"/>
    <cellStyle name="SAPBEXHLevel0 3 2" xfId="0"/>
    <cellStyle name="SAPBEXHLevel0 4" xfId="0"/>
    <cellStyle name="SAPBEXHLevel0X" xfId="0"/>
    <cellStyle name="SAPBEXHLevel0X 2" xfId="0"/>
    <cellStyle name="SAPBEXHLevel0X 2 2" xfId="0"/>
    <cellStyle name="SAPBEXHLevel0X 3" xfId="0"/>
    <cellStyle name="SAPBEXHLevel0X 3 2" xfId="0"/>
    <cellStyle name="SAPBEXHLevel0X 4" xfId="0"/>
    <cellStyle name="SAPBEXHLevel1" xfId="0"/>
    <cellStyle name="SAPBEXHLevel1 2" xfId="0"/>
    <cellStyle name="SAPBEXHLevel1 2 2" xfId="0"/>
    <cellStyle name="SAPBEXHLevel1 3" xfId="0"/>
    <cellStyle name="SAPBEXHLevel1 3 2" xfId="0"/>
    <cellStyle name="SAPBEXHLevel1 4" xfId="0"/>
    <cellStyle name="SAPBEXHLevel1X" xfId="0"/>
    <cellStyle name="SAPBEXHLevel1X 2" xfId="0"/>
    <cellStyle name="SAPBEXHLevel1X 2 2" xfId="0"/>
    <cellStyle name="SAPBEXHLevel1X 3" xfId="0"/>
    <cellStyle name="SAPBEXHLevel1X 3 2" xfId="0"/>
    <cellStyle name="SAPBEXHLevel1X 4" xfId="0"/>
    <cellStyle name="SAPBEXHLevel2" xfId="0"/>
    <cellStyle name="SAPBEXHLevel2 2" xfId="0"/>
    <cellStyle name="SAPBEXHLevel2 2 2" xfId="0"/>
    <cellStyle name="SAPBEXHLevel2 3" xfId="0"/>
    <cellStyle name="SAPBEXHLevel2 3 2" xfId="0"/>
    <cellStyle name="SAPBEXHLevel2 4" xfId="0"/>
    <cellStyle name="SAPBEXHLevel2X" xfId="0"/>
    <cellStyle name="SAPBEXHLevel2X 2" xfId="0"/>
    <cellStyle name="SAPBEXHLevel2X 2 2" xfId="0"/>
    <cellStyle name="SAPBEXHLevel2X 3" xfId="0"/>
    <cellStyle name="SAPBEXHLevel2X 3 2" xfId="0"/>
    <cellStyle name="SAPBEXHLevel2X 4" xfId="0"/>
    <cellStyle name="SAPBEXHLevel3" xfId="0"/>
    <cellStyle name="SAPBEXHLevel3 2" xfId="0"/>
    <cellStyle name="SAPBEXHLevel3 2 2" xfId="0"/>
    <cellStyle name="SAPBEXHLevel3 3" xfId="0"/>
    <cellStyle name="SAPBEXHLevel3 3 2" xfId="0"/>
    <cellStyle name="SAPBEXHLevel3 4" xfId="0"/>
    <cellStyle name="SAPBEXHLevel3X" xfId="0"/>
    <cellStyle name="SAPBEXHLevel3X 2" xfId="0"/>
    <cellStyle name="SAPBEXHLevel3X 2 2" xfId="0"/>
    <cellStyle name="SAPBEXHLevel3X 3" xfId="0"/>
    <cellStyle name="SAPBEXHLevel3X 3 2" xfId="0"/>
    <cellStyle name="SAPBEXHLevel3X 4" xfId="0"/>
    <cellStyle name="SAPBEXresData" xfId="0"/>
    <cellStyle name="SAPBEXresData 2" xfId="0"/>
    <cellStyle name="SAPBEXresData 2 2" xfId="0"/>
    <cellStyle name="SAPBEXresData 3" xfId="0"/>
    <cellStyle name="SAPBEXresData 3 2" xfId="0"/>
    <cellStyle name="SAPBEXresData 4" xfId="0"/>
    <cellStyle name="SAPBEXresDataEmph" xfId="0"/>
    <cellStyle name="SAPBEXresDataEmph 2" xfId="0"/>
    <cellStyle name="SAPBEXresDataEmph 2 2" xfId="0"/>
    <cellStyle name="SAPBEXresDataEmph 3" xfId="0"/>
    <cellStyle name="SAPBEXresDataEmph 3 2" xfId="0"/>
    <cellStyle name="SAPBEXresDataEmph 4" xfId="0"/>
    <cellStyle name="SAPBEXresExc1" xfId="0"/>
    <cellStyle name="SAPBEXresExc1Emph" xfId="0"/>
    <cellStyle name="SAPBEXresExc2" xfId="0"/>
    <cellStyle name="SAPBEXresExc2Emph" xfId="0"/>
    <cellStyle name="SAPBEXresItem" xfId="0"/>
    <cellStyle name="SAPBEXresItem 2" xfId="0"/>
    <cellStyle name="SAPBEXresItem 2 2" xfId="0"/>
    <cellStyle name="SAPBEXresItem 3" xfId="0"/>
    <cellStyle name="SAPBEXresItem 3 2" xfId="0"/>
    <cellStyle name="SAPBEXresItem 4" xfId="0"/>
    <cellStyle name="SAPBEXresItemX" xfId="0"/>
    <cellStyle name="SAPBEXresItemX 2" xfId="0"/>
    <cellStyle name="SAPBEXresItemX 2 2" xfId="0"/>
    <cellStyle name="SAPBEXresItemX 3" xfId="0"/>
    <cellStyle name="SAPBEXresItemX 3 2" xfId="0"/>
    <cellStyle name="SAPBEXresItemX 4" xfId="0"/>
    <cellStyle name="SAPBEXstdData" xfId="0"/>
    <cellStyle name="SAPBEXstdData 2" xfId="0"/>
    <cellStyle name="SAPBEXstdData 2 2" xfId="0"/>
    <cellStyle name="SAPBEXstdData 3" xfId="0"/>
    <cellStyle name="SAPBEXstdData 3 2" xfId="0"/>
    <cellStyle name="SAPBEXstdData 4" xfId="0"/>
    <cellStyle name="SAPBEXstdDataEmph" xfId="0"/>
    <cellStyle name="SAPBEXstdDataEmph 2" xfId="0"/>
    <cellStyle name="SAPBEXstdDataEmph 2 2" xfId="0"/>
    <cellStyle name="SAPBEXstdDataEmph 3" xfId="0"/>
    <cellStyle name="SAPBEXstdDataEmph 3 2" xfId="0"/>
    <cellStyle name="SAPBEXstdDataEmph 4" xfId="0"/>
    <cellStyle name="SAPBEXstdExc1" xfId="0"/>
    <cellStyle name="SAPBEXstdExc1Emph" xfId="0"/>
    <cellStyle name="SAPBEXstdExc2" xfId="0"/>
    <cellStyle name="SAPBEXstdExc2Emph" xfId="0"/>
    <cellStyle name="SAPBEXstdItem" xfId="0"/>
    <cellStyle name="SAPBEXstdItem 2" xfId="0"/>
    <cellStyle name="SAPBEXstdItem 2 2" xfId="0"/>
    <cellStyle name="SAPBEXstdItem 3" xfId="0"/>
    <cellStyle name="SAPBEXstdItem 3 2" xfId="0"/>
    <cellStyle name="SAPBEXstdItem 4" xfId="0"/>
    <cellStyle name="SAPBEXstdItemHeader" xfId="0"/>
    <cellStyle name="SAPBEXstdItemLeft" xfId="0"/>
    <cellStyle name="SAPBEXstdItemLeftChart" xfId="0"/>
    <cellStyle name="SAPBEXstdItemX" xfId="0"/>
    <cellStyle name="SAPBEXstdItemX 2" xfId="0"/>
    <cellStyle name="SAPBEXstdItemX 2 2" xfId="0"/>
    <cellStyle name="SAPBEXstdItemX 3" xfId="0"/>
    <cellStyle name="SAPBEXstdItemX 3 2" xfId="0"/>
    <cellStyle name="SAPBEXstdItemX 4" xfId="0"/>
    <cellStyle name="SAPBEXsubData" xfId="0"/>
    <cellStyle name="SAPBEXsubDataEmph" xfId="0"/>
    <cellStyle name="SAPBEXsubExc1" xfId="0"/>
    <cellStyle name="SAPBEXsubExc1Emph" xfId="0"/>
    <cellStyle name="SAPBEXsubExc2" xfId="0"/>
    <cellStyle name="SAPBEXsubExc2Emph" xfId="0"/>
    <cellStyle name="SAPBEXsubItem" xfId="0"/>
    <cellStyle name="SAPBEXtitle" xfId="0"/>
    <cellStyle name="SAPBEXundefined" xfId="0"/>
    <cellStyle name="SAPBEXundefined 2" xfId="0"/>
    <cellStyle name="SAPBEXundefined 2 2" xfId="0"/>
    <cellStyle name="SAPBEXundefined 3" xfId="0"/>
    <cellStyle name="SAPBEXundefined 3 2" xfId="0"/>
    <cellStyle name="SAPBEXundefined 4" xfId="0"/>
    <cellStyle name="sbt2" xfId="0"/>
    <cellStyle name="sche|_x0005_" xfId="0"/>
    <cellStyle name="Segments" xfId="0"/>
    <cellStyle name="SEM-BPS-data" xfId="0"/>
    <cellStyle name="Sep. milhar [0]" xfId="0"/>
    <cellStyle name="Separador de milhares [0]_B4-9902ia" xfId="0"/>
    <cellStyle name="Separador de milhares_B4-9902ia" xfId="0"/>
    <cellStyle name="Sheet_Title" xfId="0"/>
    <cellStyle name="Single Accounting" xfId="0"/>
    <cellStyle name="Single Underline 10" xfId="0"/>
    <cellStyle name="Single Underline 7" xfId="0"/>
    <cellStyle name="Single Underline 8" xfId="0"/>
    <cellStyle name="Single Underline 9" xfId="0"/>
    <cellStyle name="SKUGGAD" xfId="0"/>
    <cellStyle name="Sociétés" xfId="0"/>
    <cellStyle name="Source Line" xfId="0"/>
    <cellStyle name="STANDARD" xfId="0"/>
    <cellStyle name="StandardDate" xfId="0"/>
    <cellStyle name="standardnumber" xfId="0"/>
    <cellStyle name="Style 1" xfId="0"/>
    <cellStyle name="Style 10" xfId="0"/>
    <cellStyle name="Style 11" xfId="0"/>
    <cellStyle name="Style 12" xfId="0"/>
    <cellStyle name="Style 13" xfId="0"/>
    <cellStyle name="Style 14" xfId="0"/>
    <cellStyle name="Style 15" xfId="0"/>
    <cellStyle name="Style 16" xfId="0"/>
    <cellStyle name="Style 17" xfId="0"/>
    <cellStyle name="Style 18" xfId="0"/>
    <cellStyle name="Style 19" xfId="0"/>
    <cellStyle name="Style 2" xfId="0"/>
    <cellStyle name="Style 20" xfId="0"/>
    <cellStyle name="Style 21" xfId="0"/>
    <cellStyle name="Style 22" xfId="0"/>
    <cellStyle name="Style 23" xfId="0"/>
    <cellStyle name="Style 24" xfId="0"/>
    <cellStyle name="Style 25" xfId="0"/>
    <cellStyle name="Style 26" xfId="0"/>
    <cellStyle name="Style 27" xfId="0"/>
    <cellStyle name="Style 28" xfId="0"/>
    <cellStyle name="Style 29" xfId="0"/>
    <cellStyle name="Style 3" xfId="0"/>
    <cellStyle name="Style 30" xfId="0"/>
    <cellStyle name="Style 31" xfId="0"/>
    <cellStyle name="Style 32" xfId="0"/>
    <cellStyle name="Style 33" xfId="0"/>
    <cellStyle name="Style 34" xfId="0"/>
    <cellStyle name="Style 35" xfId="0"/>
    <cellStyle name="Style 36" xfId="0"/>
    <cellStyle name="Style 37" xfId="0"/>
    <cellStyle name="Style 38" xfId="0"/>
    <cellStyle name="Style 39" xfId="0"/>
    <cellStyle name="Style 4" xfId="0"/>
    <cellStyle name="Style 40" xfId="0"/>
    <cellStyle name="Style 41" xfId="0"/>
    <cellStyle name="Style 42" xfId="0"/>
    <cellStyle name="Style 43" xfId="0"/>
    <cellStyle name="Style 44" xfId="0"/>
    <cellStyle name="Style 45" xfId="0"/>
    <cellStyle name="Style 46" xfId="0"/>
    <cellStyle name="Style 47" xfId="0"/>
    <cellStyle name="Style 48" xfId="0"/>
    <cellStyle name="Style 49" xfId="0"/>
    <cellStyle name="Style 5" xfId="0"/>
    <cellStyle name="Style 50" xfId="0"/>
    <cellStyle name="Style 51" xfId="0"/>
    <cellStyle name="Style 52" xfId="0"/>
    <cellStyle name="Style 53" xfId="0"/>
    <cellStyle name="Style 54" xfId="0"/>
    <cellStyle name="Style 55" xfId="0"/>
    <cellStyle name="Style 56" xfId="0"/>
    <cellStyle name="Style 57" xfId="0"/>
    <cellStyle name="Style 58" xfId="0"/>
    <cellStyle name="Style 59" xfId="0"/>
    <cellStyle name="Style 6" xfId="0"/>
    <cellStyle name="Style 60" xfId="0"/>
    <cellStyle name="Style 61" xfId="0"/>
    <cellStyle name="Style 62" xfId="0"/>
    <cellStyle name="Style 63" xfId="0"/>
    <cellStyle name="Style 64" xfId="0"/>
    <cellStyle name="Style 65" xfId="0"/>
    <cellStyle name="Style 66" xfId="0"/>
    <cellStyle name="Style 67" xfId="0"/>
    <cellStyle name="Style 68" xfId="0"/>
    <cellStyle name="Style 69" xfId="0"/>
    <cellStyle name="Style 7" xfId="0"/>
    <cellStyle name="Style 70" xfId="0"/>
    <cellStyle name="Style 71" xfId="0"/>
    <cellStyle name="Style 72" xfId="0"/>
    <cellStyle name="Style 73" xfId="0"/>
    <cellStyle name="Style 74" xfId="0"/>
    <cellStyle name="Style 75" xfId="0"/>
    <cellStyle name="Style 76" xfId="0"/>
    <cellStyle name="Style 77" xfId="0"/>
    <cellStyle name="Style 78" xfId="0"/>
    <cellStyle name="Style 79" xfId="0"/>
    <cellStyle name="Style 8" xfId="0"/>
    <cellStyle name="Style 80" xfId="0"/>
    <cellStyle name="Style 81" xfId="0"/>
    <cellStyle name="Style 82" xfId="0"/>
    <cellStyle name="Style 83" xfId="0"/>
    <cellStyle name="Style 84" xfId="0"/>
    <cellStyle name="Style 85" xfId="0"/>
    <cellStyle name="Style 86" xfId="0"/>
    <cellStyle name="Style 87" xfId="0"/>
    <cellStyle name="Style 88" xfId="0"/>
    <cellStyle name="Style 89" xfId="0"/>
    <cellStyle name="Style 9" xfId="0"/>
    <cellStyle name="Style 90" xfId="0"/>
    <cellStyle name="Style 91" xfId="0"/>
    <cellStyle name="Style 92" xfId="0"/>
    <cellStyle name="Style 93" xfId="0"/>
    <cellStyle name="STYLE1 - Style1" xfId="0"/>
    <cellStyle name="STYLE2 - Style2" xfId="0"/>
    <cellStyle name="STYLE3 - Style3" xfId="0"/>
    <cellStyle name="STYLE4 - Style4" xfId="0"/>
    <cellStyle name="subhead" xfId="0"/>
    <cellStyle name="subhead 2" xfId="0"/>
    <cellStyle name="subt1" xfId="0"/>
    <cellStyle name="Subtotal" xfId="0"/>
    <cellStyle name="Surrency_Q2 FY96_laroux" xfId="0"/>
    <cellStyle name="Table 10 (%)" xfId="0"/>
    <cellStyle name="Table 10 (2 dec Number)" xfId="0"/>
    <cellStyle name="Table 10 (Col Numbers)" xfId="0"/>
    <cellStyle name="Table 10-10" xfId="0"/>
    <cellStyle name="Table 10-12" xfId="0"/>
    <cellStyle name="Table 10-2" xfId="0"/>
    <cellStyle name="Table 10-4" xfId="0"/>
    <cellStyle name="Table 10-6" xfId="0"/>
    <cellStyle name="Table 10-8" xfId="0"/>
    <cellStyle name="Table 11-10" xfId="0"/>
    <cellStyle name="Table 11-12" xfId="0"/>
    <cellStyle name="Table 11-2" xfId="0"/>
    <cellStyle name="Table 11-4" xfId="0"/>
    <cellStyle name="Table 11-6" xfId="0"/>
    <cellStyle name="Table 11-8" xfId="0"/>
    <cellStyle name="Table 7 (2 dec Numbers)" xfId="0"/>
    <cellStyle name="Table 7 (Col Numbers)" xfId="0"/>
    <cellStyle name="Table 7-10" xfId="0"/>
    <cellStyle name="Table 7-12" xfId="0"/>
    <cellStyle name="Table 7-2" xfId="0"/>
    <cellStyle name="Table 7-4" xfId="0"/>
    <cellStyle name="Table 7-6" xfId="0"/>
    <cellStyle name="Table 7-8" xfId="0"/>
    <cellStyle name="Table 8" xfId="0"/>
    <cellStyle name="Table 8 (2 dec Numbers)" xfId="0"/>
    <cellStyle name="Table 8 (Col Numbers)" xfId="0"/>
    <cellStyle name="Table 8-10" xfId="0"/>
    <cellStyle name="Table 8-12" xfId="0"/>
    <cellStyle name="Table 8-2" xfId="0"/>
    <cellStyle name="Table 8-4" xfId="0"/>
    <cellStyle name="Table 8-6" xfId="0"/>
    <cellStyle name="Table 8-8" xfId="0"/>
    <cellStyle name="Table 9" xfId="0"/>
    <cellStyle name="Table 9 (1 decimal)" xfId="0"/>
    <cellStyle name="Table 9 (2 dec Numbers)" xfId="0"/>
    <cellStyle name="Table 9 (Col Numbers)" xfId="0"/>
    <cellStyle name="Table 9-10" xfId="0"/>
    <cellStyle name="Table 9-12" xfId="0"/>
    <cellStyle name="Table 9-2" xfId="0"/>
    <cellStyle name="Table 9-4" xfId="0"/>
    <cellStyle name="Table 9-6" xfId="0"/>
    <cellStyle name="Table 9-8" xfId="0"/>
    <cellStyle name="Table 9_g8z01_" xfId="0"/>
    <cellStyle name="Table Head 10" xfId="0"/>
    <cellStyle name="Table Head 7" xfId="0"/>
    <cellStyle name="Table Head 8" xfId="0"/>
    <cellStyle name="Table Head 9" xfId="0"/>
    <cellStyle name="Table Heading" xfId="0"/>
    <cellStyle name="Table Text 10" xfId="0"/>
    <cellStyle name="Table Text 7" xfId="0"/>
    <cellStyle name="Table Text 8" xfId="0"/>
    <cellStyle name="Table Text 9" xfId="0"/>
    <cellStyle name="Table Title" xfId="0"/>
    <cellStyle name="Table_Header" xfId="0"/>
    <cellStyle name="TEST" xfId="0"/>
    <cellStyle name="Text 11p TR" xfId="0"/>
    <cellStyle name="Text 19" xfId="0"/>
    <cellStyle name="Text Indent A" xfId="0"/>
    <cellStyle name="Text Indent A 2" xfId="0"/>
    <cellStyle name="Text Indent B" xfId="0"/>
    <cellStyle name="Text Indent B 2" xfId="0"/>
    <cellStyle name="Text Indent C" xfId="0"/>
    <cellStyle name="Text Indent C 2" xfId="0"/>
    <cellStyle name="Tickmark" xfId="0"/>
    <cellStyle name="Times 10" xfId="0"/>
    <cellStyle name="Times 12" xfId="0"/>
    <cellStyle name="Times New Roman" xfId="0"/>
    <cellStyle name="Title" xfId="0"/>
    <cellStyle name="Title 10" xfId="0"/>
    <cellStyle name="Title 2" xfId="0"/>
    <cellStyle name="Title 3" xfId="0"/>
    <cellStyle name="Title 4" xfId="0"/>
    <cellStyle name="Title 5" xfId="0"/>
    <cellStyle name="Title 6" xfId="0"/>
    <cellStyle name="Title 7" xfId="0"/>
    <cellStyle name="Title 8" xfId="0"/>
    <cellStyle name="Title 9" xfId="0"/>
    <cellStyle name="title [1]" xfId="0"/>
    <cellStyle name="title [2]" xfId="0"/>
    <cellStyle name="Title Line" xfId="0"/>
    <cellStyle name="Titulo" xfId="0"/>
    <cellStyle name="Top Row" xfId="0"/>
    <cellStyle name="Total" xfId="0"/>
    <cellStyle name="Total 10" xfId="0"/>
    <cellStyle name="Total 11" xfId="0"/>
    <cellStyle name="Total 12" xfId="0"/>
    <cellStyle name="Total 13" xfId="0"/>
    <cellStyle name="Total 14" xfId="0"/>
    <cellStyle name="Total 2" xfId="0"/>
    <cellStyle name="Total 3" xfId="0"/>
    <cellStyle name="Total 4" xfId="0"/>
    <cellStyle name="Total 5" xfId="0"/>
    <cellStyle name="Total 6" xfId="0"/>
    <cellStyle name="Total 7" xfId="0"/>
    <cellStyle name="Total 8" xfId="0"/>
    <cellStyle name="Total 9" xfId="0"/>
    <cellStyle name="Total nb" xfId="0"/>
    <cellStyle name="Total Row" xfId="0"/>
    <cellStyle name="Total_2008_10_계정명세서(중간감사용)" xfId="0"/>
    <cellStyle name="toto" xfId="0"/>
    <cellStyle name="Trade_Title" xfId="0"/>
    <cellStyle name="TradeData_Data" xfId="0"/>
    <cellStyle name="Tusental (0)_pldt" xfId="0"/>
    <cellStyle name="Tusental_pldt" xfId="0"/>
    <cellStyle name="TypeIn" xfId="0"/>
    <cellStyle name="T０_x0008__x0003__x0008_?)(일)" xfId="0"/>
    <cellStyle name="T０_x0008__x0003__x0008_磚)(일)" xfId="0"/>
    <cellStyle name="Underline_Double" xfId="0"/>
    <cellStyle name="Underrubrik" xfId="0"/>
    <cellStyle name="UNPROBLD" xfId="0"/>
    <cellStyle name="Unprot" xfId="0"/>
    <cellStyle name="Unprot$" xfId="0"/>
    <cellStyle name="Unprotect" xfId="0"/>
    <cellStyle name="unprotected" xfId="0"/>
    <cellStyle name="us" xfId="0"/>
    <cellStyle name="V?gula_VERA" xfId="0"/>
    <cellStyle name="Validation" xfId="0"/>
    <cellStyle name="Valuta (0)_Actu e Piano Maggio98" xfId="0"/>
    <cellStyle name="Valuta_Actu e Piano Maggio98" xfId="0"/>
    <cellStyle name="VAR $ 0.00" xfId="0"/>
    <cellStyle name="VAR Comma 0.00" xfId="0"/>
    <cellStyle name="Velky nadpis" xfId="0"/>
    <cellStyle name="Vírgula_VERA" xfId="0"/>
    <cellStyle name="W?rung [0]_42_FINWE" xfId="0"/>
    <cellStyle name="W?rung_42_FINWE" xfId="0"/>
    <cellStyle name="Wahrung [0]_PERSON2" xfId="0"/>
    <cellStyle name="Wahrung_PERSON2" xfId="0"/>
    <cellStyle name="Walutowy [0]_Plan inwestycji 2000-2002" xfId="0"/>
    <cellStyle name="Walutowy_Plan inwestycji 2000-2002" xfId="0"/>
    <cellStyle name="Warning Text" xfId="0"/>
    <cellStyle name="Warning Text 2" xfId="0"/>
    <cellStyle name="Warning Text 3" xfId="0"/>
    <cellStyle name="Warning Text 4" xfId="0"/>
    <cellStyle name="Warning Text 5" xfId="0"/>
    <cellStyle name="Warning Text 6" xfId="0"/>
    <cellStyle name="Warning Text 7" xfId="0"/>
    <cellStyle name="Warning Text 8" xfId="0"/>
    <cellStyle name="Warning Text 9" xfId="0"/>
    <cellStyle name="WhiteCells" xfId="0"/>
    <cellStyle name="Window" xfId="0"/>
    <cellStyle name="WingDing" xfId="0"/>
    <cellStyle name="Währung [0]_42_FINWE" xfId="0"/>
    <cellStyle name="Währung_42_FINWE" xfId="0"/>
    <cellStyle name="XBkWMyPCb5O" xfId="0"/>
    <cellStyle name="XComma" xfId="0"/>
    <cellStyle name="XComma 0.0" xfId="0"/>
    <cellStyle name="XComma 0.00" xfId="0"/>
    <cellStyle name="XComma 0.000" xfId="0"/>
    <cellStyle name="XCurrency" xfId="0"/>
    <cellStyle name="XCurrency 0.0" xfId="0"/>
    <cellStyle name="XCurrency 0.00" xfId="0"/>
    <cellStyle name="XCurrency 0.000" xfId="0"/>
    <cellStyle name="XLS'|_x0005_t" xfId="0"/>
    <cellStyle name="xls]W 공장-품경" xfId="0"/>
    <cellStyle name="xy" xfId="0"/>
    <cellStyle name="Years" xfId="0"/>
    <cellStyle name="Yen" xfId="0"/>
    <cellStyle name="Zahlavi" xfId="0"/>
    <cellStyle name="ZZ_EY_Legend_1" xfId="0"/>
    <cellStyle name="{Comma [0]}" xfId="0"/>
    <cellStyle name="æøè [0.00" xfId="0"/>
    <cellStyle name="æøè_produ" xfId="0"/>
    <cellStyle name="êý [0.00]_pr" xfId="0"/>
    <cellStyle name="êý_product d" xfId="0"/>
    <cellStyle name="W?_BOOKSHIP_½ÇÀûÇöÈ² " xfId="0"/>
    <cellStyle name="w_bookship" xfId="0"/>
    <cellStyle name="£ BP" xfId="0"/>
    <cellStyle name="¤@?e_laroux" xfId="0"/>
    <cellStyle name="¤d¤A|i[0]_laroux" xfId="0"/>
    <cellStyle name="¤d¤A|i_laroux" xfId="0"/>
    <cellStyle name="¥ JY" xfId="0"/>
    <cellStyle name="³f¹o [0]_RESULTS" xfId="0"/>
    <cellStyle name="³f¹o[0]_laroux" xfId="0"/>
    <cellStyle name="³f¹o_laroux" xfId="0"/>
    <cellStyle name="µÚ¿¡ ¿À´Â ÇÏÀÌÆÛ¸µÅ©" xfId="0"/>
    <cellStyle name="¹eºÐA²_±aA¸" xfId="0"/>
    <cellStyle name="¹éº" xfId="0"/>
    <cellStyle name="¹éºÐÀ²_±âÅ¸" xfId="0"/>
    <cellStyle name="¹éºðà²" xfId="0"/>
    <cellStyle name="¿­¾iº≫ CIAIÆU¸μAⓒ" xfId="0"/>
    <cellStyle name="Ä?¸¶ [0]_´ëÇü±¸ " xfId="0"/>
    <cellStyle name="Ä?¸¶_´ëÇü±¸ " xfId="0"/>
    <cellStyle name="ÄÞ¸¶ [0]_  Á¾  ÇÕ  " xfId="0"/>
    <cellStyle name="ÄÞ¸¶ [0]_ 2ÆÀÃþº° " xfId="0"/>
    <cellStyle name="ÄÞ¸¶ [0]_ Æ¯ÆÇÃþº° " xfId="0"/>
    <cellStyle name="ÄÞ¸¶ [0]_2¿ù¸ÅÃâ " xfId="0"/>
    <cellStyle name="ÄÞ¸¶ [0]_3ÆÀ °³ÀÎ " xfId="0"/>
    <cellStyle name="ÄÞ¸¶ [0]_96³â½Ä´çº°¼ÕÀÍ " xfId="0"/>
    <cellStyle name="ÄÞ¸¶ [0]_BD111" xfId="0"/>
    <cellStyle name="ÄÞ¸¶ [0]_INQUIRY ¿µ¾÷ÃßÁø " xfId="0"/>
    <cellStyle name="ÄÞ¸¶ [0]_laroux_2_Àç°í°ü¸® " xfId="0"/>
    <cellStyle name="ÄÞ¸¶ [0]_°èÈ¹3 " xfId="0"/>
    <cellStyle name="ÄÞ¸¶ [0]_°ü¸®Ç×¸ñ_¾÷Á¾º° " xfId="0"/>
    <cellStyle name="ÄÞ¸¶ [0]_´ëºñÇ¥" xfId="0"/>
    <cellStyle name="ÄÞ¸¶ [0]_´ëÂ÷´ëÁ¶" xfId="0"/>
    <cellStyle name="ÄÞ¸¶ [0]_µ¿ºÎ" xfId="0"/>
    <cellStyle name="ÄÞ¸¶ [0]_º¸¼öÃÑ°ý " xfId="0"/>
    <cellStyle name="ÄÞ¸¶ [0]_¼ÕÀÍ¹Î´ö " xfId="0"/>
    <cellStyle name="ÄÞ¸¶ [0]_¼öÃâ½ÇÀû _2.È¿À²ºÐ¼® " xfId="0"/>
    <cellStyle name="ÄÞ¸¶ [0]_¼öÃâ½ÇÀû _ÃµÈ£3¿ù " xfId="0"/>
    <cellStyle name="ÄÞ¸¶ [0]_¼öÃâ½ÇÀû _Çö´ë¾÷¹«ÃßÁø " xfId="0"/>
    <cellStyle name="ÄÞ¸¶ [0]_½ÄÀ½·á¿ø°¡ " xfId="0"/>
    <cellStyle name="ÄÞ¸¶ [0]_¾÷Á¾º° " xfId="0"/>
    <cellStyle name="ÄÞ¸¶ [0]_¿ùº¸¼ö·á " xfId="0"/>
    <cellStyle name="ÄÞ¸¶ [0]_Á¦Á¶1ºÎ1°ú ÇöÈ² " xfId="0"/>
    <cellStyle name="ÄÞ¸¶ [0]_ÆÀÇ¥Áö_°èÈ¹3 " xfId="0"/>
    <cellStyle name="ÄÞ¸¶_  Á¾  ÇÕ  " xfId="0"/>
    <cellStyle name="ÄÞ¸¶_ 2ÆÀÃþº° " xfId="0"/>
    <cellStyle name="ÄÞ¸¶_ Æ¯ÆÇÃþº° " xfId="0"/>
    <cellStyle name="ÄÞ¸¶_2¿ù¸ÅÃâ " xfId="0"/>
    <cellStyle name="ÄÞ¸¶_3ÆÀ °³ÀÎ " xfId="0"/>
    <cellStyle name="ÄÞ¸¶_96³â½Ä´çº°¼ÕÀÍ " xfId="0"/>
    <cellStyle name="ÄÞ¸¶_INQUIRY ¿µ¾÷ÃßÁø " xfId="0"/>
    <cellStyle name="ÄÞ¸¶_laroux_2_Àç°í°ü¸® " xfId="0"/>
    <cellStyle name="ÄÞ¸¶_°èÈ¹3 " xfId="0"/>
    <cellStyle name="ÄÞ¸¶_°ü¸®Ç×¸ñ_¾÷Á¾º° " xfId="0"/>
    <cellStyle name="ÄÞ¸¶_´ëºñÇ¥" xfId="0"/>
    <cellStyle name="ÄÞ¸¶_´ëÂ÷´ëÁ¶" xfId="0"/>
    <cellStyle name="ÄÞ¸¶_µ¿ºÎ" xfId="0"/>
    <cellStyle name="ÄÞ¸¶_º¸¼öÃÑ°ý " xfId="0"/>
    <cellStyle name="ÄÞ¸¶_¼ÕÀÍ¹Î´ö " xfId="0"/>
    <cellStyle name="ÄÞ¸¶_¼öÃâ½ÇÀû _2.È¿À²ºÐ¼® " xfId="0"/>
    <cellStyle name="ÄÞ¸¶_¼öÃâ½ÇÀû _Çö´ë¾÷¹«ÃßÁø " xfId="0"/>
    <cellStyle name="ÄÞ¸¶_½ÄÀ½·á¿ø°¡ " xfId="0"/>
    <cellStyle name="ÄÞ¸¶_¾÷Á¾º° " xfId="0"/>
    <cellStyle name="ÄÞ¸¶_¿ùº¸¼ö·á " xfId="0"/>
    <cellStyle name="ÄÞ¸¶_Á¦Á¶1ºÎ1°ú ÇöÈ² " xfId="0"/>
    <cellStyle name="ÄÞ¸¶_ÆÀÇ¥Áö_°èÈ¹3 " xfId="0"/>
    <cellStyle name="ÄÞ¸¶_Ç¥Áö " xfId="0"/>
    <cellStyle name="Äþ" xfId="0"/>
    <cellStyle name="Äþ¸¶" xfId="0"/>
    <cellStyle name="Äþ¸¶ [" xfId="0"/>
    <cellStyle name="Äþ¸¶ [0]" xfId="0"/>
    <cellStyle name="Åë" xfId="0"/>
    <cellStyle name="ÅëÈ­ [0]_  Á¾  ÇÕ  " xfId="0"/>
    <cellStyle name="ÅëÈ­ [0]_ 2ÆÀÃþº° " xfId="0"/>
    <cellStyle name="ÅëÈ­ [0]_ Æ¯ÆÇÃþº° " xfId="0"/>
    <cellStyle name="ÅëÈ­ [0]_1-1ÃßÀÌ " xfId="0"/>
    <cellStyle name="ÅëÈ­ [0]_2¿ù¸ÅÃâ " xfId="0"/>
    <cellStyle name="ÅëÈ­ [0]_3ÆÀ °³ÀÎ " xfId="0"/>
    <cellStyle name="ÅëÈ­ [0]_9634¸ÅÃâ " xfId="0"/>
    <cellStyle name="ÅëÈ­ [0]_96³â½Ä´çº°¼ÕÀÍ " xfId="0"/>
    <cellStyle name="ÅëÈ­ [0]_AMT " xfId="0"/>
    <cellStyle name="ÅëÈ­ [0]_AMT _2.È¿À²ºÐ¼® " xfId="0"/>
    <cellStyle name="ÅëÈ­ [0]_AMT _ÃµÈ£3¿ù " xfId="0"/>
    <cellStyle name="ÅëÈ­ [0]_INQUIRY ¿µ¾÷ÃßÁø " xfId="0"/>
    <cellStyle name="ÅëÈ­ [0]_laroux_Àç°í°ü¸® " xfId="0"/>
    <cellStyle name="ÅëÈ­ [0]_SP ¹°µ¿¹× ¿ÜÁÖ " xfId="0"/>
    <cellStyle name="ÅëÈ­ [0]_°èÈ¹3 " xfId="0"/>
    <cellStyle name="ÅëÈ­ [0]_°ü¸®Ç×¸ñ_¾÷Á¾º° " xfId="0"/>
    <cellStyle name="ÅëÈ­ [0]_³Ã¿¬ 4 " xfId="0"/>
    <cellStyle name="ÅëÈ­ [0]_´ëºñÇ¥" xfId="0"/>
    <cellStyle name="ÅëÈ­ [0]_´ëÂ÷´ëÁ¶" xfId="0"/>
    <cellStyle name="ÅëÈ­ [0]_´ëÇü±¸ " xfId="0"/>
    <cellStyle name="ÅëÈ­ [0]_µ¿ºÎ" xfId="0"/>
    <cellStyle name="ÅëÈ­ [0]_¼ÕÀÍ¹Î´ö " xfId="0"/>
    <cellStyle name="ÅëÈ­ [0]_¼öÃâ½ÇÀû _2.È¿À²ºÐ¼® " xfId="0"/>
    <cellStyle name="ÅëÈ­ [0]_¼öÃâ½ÇÀû _ÃµÈ£3¿ù " xfId="0"/>
    <cellStyle name="ÅëÈ­ [0]_¼öÃâ½ÇÀû _Çö´ë¾÷¹«ÃßÁø " xfId="0"/>
    <cellStyle name="ÅëÈ­ [0]_½ÄÀ½·á¿ø°¡ " xfId="0"/>
    <cellStyle name="ÅëÈ­ [0]_¾÷Á¾º° " xfId="0"/>
    <cellStyle name="ÅëÈ­ [0]_¿ùº¸¼ö·á " xfId="0"/>
    <cellStyle name="ÅëÈ­ [0]_Àç°í°ü¸® " xfId="0"/>
    <cellStyle name="ÅëÈ­ [0]_Àç°í°ü¸®  2" xfId="0"/>
    <cellStyle name="ÅëÈ­ [0]_Àç°í°ü¸®  3" xfId="0"/>
    <cellStyle name="ÅëÈ­ [0]_Àç°í°ü¸®  4" xfId="0"/>
    <cellStyle name="ÅëÈ­ [0]_Á¦Á¶1ºÎ1°ú ÇöÈ² " xfId="0"/>
    <cellStyle name="ÅëÈ­ [0]_ÃÑ°ýº¸°í-Ãß°¡Àý°¨ " xfId="0"/>
    <cellStyle name="ÅëÈ­ [0]_ÆÀÇ¥Áö_°èÈ¹3 " xfId="0"/>
    <cellStyle name="ÅëÈ­ [0]_Ç¥Áö " xfId="0"/>
    <cellStyle name="ÅëÈ­_  Á¾  ÇÕ  " xfId="0"/>
    <cellStyle name="ÅëÈ­_ 2ÆÀÃþº° " xfId="0"/>
    <cellStyle name="ÅëÈ­_ °ßÀû±âÁØ FLOW " xfId="0"/>
    <cellStyle name="ÅëÈ­_ Æ¯ÆÇÃþº° " xfId="0"/>
    <cellStyle name="ÅëÈ­_1-1ÃßÀÌ " xfId="0"/>
    <cellStyle name="ÅëÈ­_2¿ù¸ÅÃâ " xfId="0"/>
    <cellStyle name="ÅëÈ­_3ÆÀ °³ÀÎ " xfId="0"/>
    <cellStyle name="ÅëÈ­_9634¸ÅÃâ " xfId="0"/>
    <cellStyle name="ÅëÈ­_96³â½Ä´çº°¼ÕÀÍ " xfId="0"/>
    <cellStyle name="ÅëÈ­_AMT " xfId="0"/>
    <cellStyle name="ÅëÈ­_AMT _2.È¿À²ºÐ¼® " xfId="0"/>
    <cellStyle name="ÅëÈ­_INQUIRY ¿µ¾÷ÃßÁø " xfId="0"/>
    <cellStyle name="ÅëÈ­_laroux_Àç°í°ü¸® " xfId="0"/>
    <cellStyle name="ÅëÈ­_SP ¹°µ¿¹× ¿ÜÁÖ " xfId="0"/>
    <cellStyle name="ÅëÈ­_°èÈ¹3 " xfId="0"/>
    <cellStyle name="ÅëÈ­_°ü¸®Ç×¸ñ_¾÷Á¾º° " xfId="0"/>
    <cellStyle name="ÅëÈ­_³Ã¿¬ 4 " xfId="0"/>
    <cellStyle name="ÅëÈ­_´ëºñÇ¥" xfId="0"/>
    <cellStyle name="ÅëÈ­_´ëºñÇ¥_유형자산증감명세서(for refer)" xfId="0"/>
    <cellStyle name="ÅëÈ­_´ëÂ÷´ëÁ¶" xfId="0"/>
    <cellStyle name="ÅëÈ­_´ëÇü±¸ " xfId="0"/>
    <cellStyle name="ÅëÈ­_µ¿ºÎ" xfId="0"/>
    <cellStyle name="ÅëÈ­_¼ÕÀÍ¹Î´ö " xfId="0"/>
    <cellStyle name="ÅëÈ­_¼öÃâ½ÇÀû _2.È¿À²ºÐ¼® " xfId="0"/>
    <cellStyle name="ÅëÈ­_¼öÃâ½ÇÀû _Çö´ë¾÷¹«ÃßÁø " xfId="0"/>
    <cellStyle name="ÅëÈ­_½ÄÀ½·á¿ø°¡ " xfId="0"/>
    <cellStyle name="ÅëÈ­_¾÷Á¾º° " xfId="0"/>
    <cellStyle name="ÅëÈ­_¿ùº¸¼ö·á " xfId="0"/>
    <cellStyle name="ÅëÈ­_Àç°í°ü¸® " xfId="0"/>
    <cellStyle name="ÅëÈ­_Àç°í°ü¸®  2" xfId="0"/>
    <cellStyle name="ÅëÈ­_Àç°í°ü¸®  3" xfId="0"/>
    <cellStyle name="ÅëÈ­_Àç°í°ü¸®  4" xfId="0"/>
    <cellStyle name="ÅëÈ­_Á¦Á¶1ºÎ1°ú ÇöÈ² " xfId="0"/>
    <cellStyle name="ÅëÈ­_ÃÑ°ýº¸°í-Ãß°¡Àý°¨ " xfId="0"/>
    <cellStyle name="ÅëÈ­_ÆÀÇ¥Áö_°èÈ¹3 " xfId="0"/>
    <cellStyle name="ÅëÈ­_Ç¥Áö " xfId="0"/>
    <cellStyle name="Åëè­" xfId="0"/>
    <cellStyle name="Åëè­ [" xfId="0"/>
    <cellStyle name="Åëè­ [0]" xfId="0"/>
    <cellStyle name="Åëè­ [0]_Valuation_(주)LG_ver1" xfId="0"/>
    <cellStyle name="Åëè­_Valuation_(주)LG_ver1" xfId="0"/>
    <cellStyle name="ÇYÁO_?1»e?äA» " xfId="0"/>
    <cellStyle name="Ç¥" xfId="0"/>
    <cellStyle name="Ç¥ÁØ_  Á¾  ÇÕ  " xfId="0"/>
    <cellStyle name="Ç¥ÁØ_ 2ÆÀÃþº° " xfId="0"/>
    <cellStyle name="Ç¥ÁØ_ Æ¯ÆÇÃþº° " xfId="0"/>
    <cellStyle name="Ç¥ÁØ_(Á¤º¸ºÎ¹®)¿ùº°ÀÎ¿ø°èÈ¹" xfId="0"/>
    <cellStyle name="Ç¥ÁØ_0N-HANDLING " xfId="0"/>
    <cellStyle name="Ç¥ÁØ_12¿ù " xfId="0"/>
    <cellStyle name="Ç¥ÁØ_2¿ù¸ÅÃâ " xfId="0"/>
    <cellStyle name="Ç¥ÁØ_5-1±¤°í " xfId="0"/>
    <cellStyle name="Ç¥ÁØ_5-1±¤°í _2001재무제표" xfId="0"/>
    <cellStyle name="Ç¥ÁØ_5-1±¤°í _어음수표총괄" xfId="0"/>
    <cellStyle name="Ç¥ÁØ_5-1±¤°í _어음수표총괄_퇴직충당금 - 2004" xfId="0"/>
    <cellStyle name="Ç¥ÁØ_5-1±¤°í _외화환산" xfId="0"/>
    <cellStyle name="Ç¥ÁØ_5-1±¤°í _외화환산_퇴직충당금 - 2004" xfId="0"/>
    <cellStyle name="Ç¥ÁØ_5-1±¤°í _인력자원" xfId="0"/>
    <cellStyle name="Ç¥ÁØ_7°èÈ¹ " xfId="0"/>
    <cellStyle name="Ç¥ÁØ_98³â ÅõÀÚ°èÈ¹ " xfId="0"/>
    <cellStyle name="Ç¥ÁØ_B.S" xfId="0"/>
    <cellStyle name="Ç¥ÁØ_CD-ROM " xfId="0"/>
    <cellStyle name="Ç¥ÁØ_Kimcheon plan 2000" xfId="0"/>
    <cellStyle name="Ç¥ÁØ_p.mix " xfId="0"/>
    <cellStyle name="Ç¥ÁØ_PL¿µ¾÷ " xfId="0"/>
    <cellStyle name="Ç¥ÁØ_Sheet1_0N-HANDLING " xfId="0"/>
    <cellStyle name="Ç¥ÁØ_Sheet1_¿µ¾÷ÇöÈ² " xfId="0"/>
    <cellStyle name="Ç¥ÁØ_Sheet1_Áý°èÇ¥(2¿ù) " xfId="0"/>
    <cellStyle name="Ç¥ÁØ_Sheet1_Áý°èÇ¥(2¿ù) _2001재무제표" xfId="0"/>
    <cellStyle name="Ç¥ÁØ_Sheet1_Áý°èÇ¥(2¿ù) _어음수표총괄" xfId="0"/>
    <cellStyle name="Ç¥ÁØ_Sheet1_Áý°èÇ¥(2¿ù) _어음수표총괄_퇴직충당금 - 2004" xfId="0"/>
    <cellStyle name="Ç¥ÁØ_Sheet1_Áý°èÇ¥(2¿ù) _외화환산" xfId="0"/>
    <cellStyle name="Ç¥ÁØ_Sheet1_Áý°èÇ¥(2¿ù) _외화환산_퇴직충당금 - 2004" xfId="0"/>
    <cellStyle name="Ç¥ÁØ_°¡ÁßÄ¡(¸¸Á·µµºñ) " xfId="0"/>
    <cellStyle name="Ç¥ÁØ_°ü¸®Ç×¸ñ_¾÷Á¾º° " xfId="0"/>
    <cellStyle name="Ç¥ÁØ_±¹¿Übal" xfId="0"/>
    <cellStyle name="Ç¥ÁØ_³Ã¿¬ 4 " xfId="0"/>
    <cellStyle name="Ç¥ÁØ_´ëºñÇ¥ (2)_1_ºÎ´ëÅä°ø " xfId="0"/>
    <cellStyle name="Ç¥ÁØ_´ëºñÇ¥ (2)_ºÎ´ëÅä°ø " xfId="0"/>
    <cellStyle name="Ç¥ÁØ_´ëÂ÷´ëÁ¶" xfId="0"/>
    <cellStyle name="Ç¥ÁØ_¸ÅÃâ¹Ì´Þ " xfId="0"/>
    <cellStyle name="Ç¥ÁØ_¹«¿ª°æºñÀå " xfId="0"/>
    <cellStyle name="Ç¥ÁØ_¹®Á¦Á¡ " xfId="0"/>
    <cellStyle name="Ç¥ÁØ_¼±ÅõÀç°í_³»ºÎ°èÈ¹´ë ÃßÁ¤Â÷ÀÌ " xfId="0"/>
    <cellStyle name="Ç¥ÁØ_¼ÕÀÍ¹Î´ö " xfId="0"/>
    <cellStyle name="Ç¥ÁØ_¼ÕÀÍÂ÷ÀÌ ¿øÀÎ " xfId="0"/>
    <cellStyle name="Ç¥ÁØ_¼ö¾ÐÁý°è_½ÃÇà´ëºñÇ¥ " xfId="0"/>
    <cellStyle name="Ç¥ÁØ_½ÄÀ½·á¿ø°¡ " xfId="0"/>
    <cellStyle name="Ç¥ÁØ_¾ç½Ä " xfId="0"/>
    <cellStyle name="Ç¥ÁØ_¾ç½Ä _2.È¿À²ºÐ¼® " xfId="0"/>
    <cellStyle name="Ç¥ÁØ_¾÷Á¾º° " xfId="0"/>
    <cellStyle name="Ç¥ÁØ_¿ùº¸¼ö·á " xfId="0"/>
    <cellStyle name="Ç¥ÁØ_ÀÚ±Ý_1_ÃßÁ¤´ëÂ÷ " xfId="0"/>
    <cellStyle name="Ç¥ÁØ_ÀÚ±Ý_ÃßÁ¤´ëÂ÷ " xfId="0"/>
    <cellStyle name="Ç¥ÁØ_Àç°í°ü¸® " xfId="0"/>
    <cellStyle name="Ç¥ÁØ_Áý°èÇ¥(2¿ù) " xfId="0"/>
    <cellStyle name="Ç¥ÁØ_Áý°èÇ¥(2¿ù) _2001재무제표" xfId="0"/>
    <cellStyle name="Ç¥ÁØ_Áý°èÇ¥(2¿ù) _어음수표총괄" xfId="0"/>
    <cellStyle name="Ç¥ÁØ_Áý°èÇ¥(2¿ù) _어음수표총괄_퇴직충당금 - 2004" xfId="0"/>
    <cellStyle name="Ç¥ÁØ_Áý°èÇ¥(2¿ù) _외화환산" xfId="0"/>
    <cellStyle name="Ç¥ÁØ_Áý°èÇ¥(2¿ù) _외화환산_퇴직충당금 - 2004" xfId="0"/>
    <cellStyle name="Ç¥ÁØ_ÃµÈ£3¿ù " xfId="0"/>
    <cellStyle name="Ç¥ÁØ_ÃÑ°ýº¸°í-Ãß°¡Àý°¨ " xfId="0"/>
    <cellStyle name="Ç¥ÁØ_ÃßÁ¤´ëÂ÷ " xfId="0"/>
    <cellStyle name="Ç¥ÁØ_Æ¯±â3_p.mix " xfId="0"/>
    <cellStyle name="Ç¥ÁØ_ÆÀÇ¥Áö_°èÈ¹3 " xfId="0"/>
    <cellStyle name="Ç¥ÁØ_ÇöÁö¹ýÀÎ °Å¾×¿©½Å " xfId="0"/>
    <cellStyle name="Ç¥ÁØ_ÇöÈ²_¹®Á¦Á¡ " xfId="0"/>
    <cellStyle name="Ç¥áø" xfId="0"/>
    <cellStyle name="ÇÏÀÌÆÛ¸µÅ©" xfId="0"/>
    <cellStyle name="þ_x001d_ð'&amp;Oy?Hy9_x0008__x000f__x0007_æ_x0007__x0007__x0001__x0001_" xfId="0"/>
    <cellStyle name="þ_x001d_ð'&amp;Oy?Hy9_x0008__x000f__x0007_æ_x0007__x0007__x0001__x0001_ 2" xfId="0"/>
    <cellStyle name="þ_x001d_ð'&amp;Oy?Hy9_x0008__x000f__x0007_æ_x0007__x0007__x0001__x0001_ 2 2" xfId="0"/>
    <cellStyle name="þ_x001d_ð'&amp;Oy?Hy9_x0008__x000f__x0007_æ_x0007__x0007__x0001__x0001_ 3" xfId="0"/>
    <cellStyle name="þ_x001d_ð'&amp;Oy?Hy9_x0008__x000f__x0007_æ_x0007__x0007__x0001__x0001_ 4" xfId="0"/>
    <cellStyle name="þ_x001d_ð'&amp;Oy?Hy9_x0008__x000f__x0007_æ_x0007__x0007__x0001__x0001_ 5" xfId="0"/>
    <cellStyle name="þ_x001d_ð'&amp;Oy?Hy9_x0008__x000f__x0007_æ_x0007__x0007__x0001__x0001_ 6" xfId="0"/>
    <cellStyle name="Œ…?æ맖?e [0.00]_laroux" xfId="0"/>
    <cellStyle name="Œ…?æ맖?e_laroux" xfId="0"/>
    <cellStyle name="Œ…‹æØ‚è [0.00]_PRODUCT DETAIL Q1" xfId="0"/>
    <cellStyle name="Œ…‹æØ‚è_PRODUCT DETAIL Q1" xfId="0"/>
    <cellStyle name="ƨୖb⟈ƨ୦b⟨ƨ୶b⠌ƨஆb⠴ƨ஖b⡜ƨ஦b⢈ƨஶb⹀ƨெb⹬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" xfId="0"/>
    <cellStyle name="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" xfId="0"/>
    <cellStyle name="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ၦb京ƨၶb付ƨႆb伈ƨ႖b估ƨႦb" xfId="0"/>
    <cellStyle name="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ၦb京ƨၶb付ƨႆb伈ƨ႖b估ƨႦb佤ƨႶb垔ƨ჆b埈ƨზb堈ƨღb堬ƨჶb" xfId="0"/>
    <cellStyle name="Ц" xfId="0"/>
    <cellStyle name="ปกติ_gopret" xfId="0"/>
    <cellStyle name="เครื่องหมายสกุลเงิน [0]_gopret" xfId="0"/>
    <cellStyle name="เครื่องหมายสกุลเงิน_gopret" xfId="0"/>
    <cellStyle name="’E‰Y [0.00]_laroux" xfId="0"/>
    <cellStyle name="’E‰Y_laroux" xfId="0"/>
    <cellStyle name="•W?_BOOKSHIP_½ÇÀûÇöÈ² " xfId="0"/>
    <cellStyle name="•W_Book3" xfId="0"/>
    <cellStyle name="Ⅰ" xfId="0"/>
    <cellStyle name="△서식" xfId="0"/>
    <cellStyle name="⥜준_제강원가최종_1" xfId="0"/>
    <cellStyle name="ハイパーリンク" xfId="0"/>
    <cellStyle name="パーセント_QTBLNEW" xfId="0"/>
    <cellStyle name="一般_AP HKD" xfId="0"/>
    <cellStyle name="千位[0]_9809 (2)" xfId="0"/>
    <cellStyle name="千位_9809 (2)" xfId="0"/>
    <cellStyle name="千位分隔[0]_2003년 상반기재고(8月)" xfId="0"/>
    <cellStyle name="千分位[0]_COMM" xfId="0"/>
    <cellStyle name="千分位_AR &amp; AP" xfId="0"/>
    <cellStyle name="咬訌裝?INCOM1" xfId="0"/>
    <cellStyle name="咬訌裝?INCOM1 2" xfId="0"/>
    <cellStyle name="咬訌裝?INCOM10" xfId="0"/>
    <cellStyle name="咬訌裝?INCOM10 2" xfId="0"/>
    <cellStyle name="咬訌裝?INCOM2" xfId="0"/>
    <cellStyle name="咬訌裝?INCOM2 2" xfId="0"/>
    <cellStyle name="咬訌裝?INCOM3" xfId="0"/>
    <cellStyle name="咬訌裝?INCOM3 2" xfId="0"/>
    <cellStyle name="咬訌裝?INCOM4" xfId="0"/>
    <cellStyle name="咬訌裝?INCOM4 2" xfId="0"/>
    <cellStyle name="咬訌裝?INCOM5" xfId="0"/>
    <cellStyle name="咬訌裝?INCOM5 2" xfId="0"/>
    <cellStyle name="咬訌裝?INCOM6" xfId="0"/>
    <cellStyle name="咬訌裝?INCOM6 2" xfId="0"/>
    <cellStyle name="咬訌裝?INCOM7" xfId="0"/>
    <cellStyle name="咬訌裝?INCOM7 2" xfId="0"/>
    <cellStyle name="咬訌裝?INCOM8" xfId="0"/>
    <cellStyle name="咬訌裝?INCOM8 2" xfId="0"/>
    <cellStyle name="咬訌裝?INCOM9" xfId="0"/>
    <cellStyle name="咬訌裝?INCOM9 2" xfId="0"/>
    <cellStyle name="咬訌裝?PRIB11" xfId="0"/>
    <cellStyle name="咬訌裝?PRIB11 2" xfId="0"/>
    <cellStyle name="咬訌裝?report-2 " xfId="0"/>
    <cellStyle name="外 貨  借 入" xfId="0"/>
    <cellStyle name="寥碟徽_95" xfId="0"/>
    <cellStyle name="巍葆 [0]_26" xfId="0"/>
    <cellStyle name="巍葆_26" xfId="0"/>
    <cellStyle name="常规_03-05" xfId="0"/>
    <cellStyle name="归盒啦_95" xfId="0"/>
    <cellStyle name="普通_CAform1" xfId="0"/>
    <cellStyle name="未定義" xfId="0"/>
    <cellStyle name="桁区切り [0.00]_005 Income Statement" xfId="0"/>
    <cellStyle name="桁区切り_~0046704" xfId="0"/>
    <cellStyle name="標準1203" xfId="0"/>
    <cellStyle name="標準_ (5)" xfId="0"/>
    <cellStyle name="烹拳 [0]_11-1" xfId="0"/>
    <cellStyle name="烹拳_11-1" xfId="0"/>
    <cellStyle name="珝?xls]W 공장-품경" xfId="0"/>
    <cellStyle name="表示済みのハイパーリンク" xfId="0"/>
    <cellStyle name="訶택?12월당월" xfId="0"/>
    <cellStyle name="訶택?부문별" xfId="0"/>
    <cellStyle name="貨幣 [0]_COMM" xfId="0"/>
    <cellStyle name="貨幣[0]_laroux" xfId="0"/>
    <cellStyle name="貨幣_COMM" xfId="0"/>
    <cellStyle name="通貨 [0.00]_005 Income Statement" xfId="0"/>
    <cellStyle name="通貨_005 Income Statement" xfId="0"/>
    <cellStyle name="钎霖_11-1" xfId="0"/>
    <cellStyle name="霓付 [0]_11-1" xfId="0"/>
    <cellStyle name="霓付_11-1" xfId="0"/>
    <cellStyle name="鱔 [0]_26" xfId="0"/>
    <cellStyle name="鱔_26" xfId="0"/>
    <cellStyle name="꠰화_laroux" xfId="0"/>
    <cellStyle name="강조색1 10" xfId="0"/>
    <cellStyle name="강조색1 10 2" xfId="0"/>
    <cellStyle name="강조색1 10 2 2" xfId="0"/>
    <cellStyle name="강조색1 10 3" xfId="0"/>
    <cellStyle name="강조색1 10 3 2" xfId="0"/>
    <cellStyle name="강조색1 10 4" xfId="0"/>
    <cellStyle name="강조색1 10 4 2" xfId="0"/>
    <cellStyle name="강조색1 10 5" xfId="0"/>
    <cellStyle name="강조색1 10 6" xfId="0"/>
    <cellStyle name="강조색1 10 7" xfId="0"/>
    <cellStyle name="강조색1 11" xfId="0"/>
    <cellStyle name="강조색1 11 2" xfId="0"/>
    <cellStyle name="강조색1 11 2 2" xfId="0"/>
    <cellStyle name="강조색1 11 3" xfId="0"/>
    <cellStyle name="강조색1 11 3 2" xfId="0"/>
    <cellStyle name="강조색1 11 4" xfId="0"/>
    <cellStyle name="강조색1 11 4 2" xfId="0"/>
    <cellStyle name="강조색1 11 5" xfId="0"/>
    <cellStyle name="강조색1 11 6" xfId="0"/>
    <cellStyle name="강조색1 11 7" xfId="0"/>
    <cellStyle name="강조색1 12" xfId="0"/>
    <cellStyle name="강조색1 12 2" xfId="0"/>
    <cellStyle name="강조색1 12 3" xfId="0"/>
    <cellStyle name="강조색1 12 4" xfId="0"/>
    <cellStyle name="강조색1 12 5" xfId="0"/>
    <cellStyle name="강조색1 13" xfId="0"/>
    <cellStyle name="강조색1 13 2" xfId="0"/>
    <cellStyle name="강조색1 13 3" xfId="0"/>
    <cellStyle name="강조색1 13 4" xfId="0"/>
    <cellStyle name="강조색1 13 5" xfId="0"/>
    <cellStyle name="강조색1 14" xfId="0"/>
    <cellStyle name="강조색1 14 2" xfId="0"/>
    <cellStyle name="강조색1 15" xfId="0"/>
    <cellStyle name="강조색1 15 2" xfId="0"/>
    <cellStyle name="강조색1 16" xfId="0"/>
    <cellStyle name="강조색1 16 2" xfId="0"/>
    <cellStyle name="강조색1 17" xfId="0"/>
    <cellStyle name="강조색1 17 2" xfId="0"/>
    <cellStyle name="강조색1 18" xfId="0"/>
    <cellStyle name="강조색1 19" xfId="0"/>
    <cellStyle name="강조색1 2" xfId="0"/>
    <cellStyle name="강조색1 2 10" xfId="0"/>
    <cellStyle name="강조색1 2 11" xfId="0"/>
    <cellStyle name="강조색1 2 12" xfId="0"/>
    <cellStyle name="강조색1 2 13" xfId="0"/>
    <cellStyle name="강조색1 2 2" xfId="0"/>
    <cellStyle name="강조색1 2 2 10" xfId="0"/>
    <cellStyle name="강조색1 2 2 2" xfId="0"/>
    <cellStyle name="강조색1 2 2 3" xfId="0"/>
    <cellStyle name="강조색1 2 2 4" xfId="0"/>
    <cellStyle name="강조색1 2 2 5" xfId="0"/>
    <cellStyle name="강조색1 2 2 6" xfId="0"/>
    <cellStyle name="강조색1 2 2 7" xfId="0"/>
    <cellStyle name="강조색1 2 2 8" xfId="0"/>
    <cellStyle name="강조색1 2 2 9" xfId="0"/>
    <cellStyle name="강조색1 2 3" xfId="0"/>
    <cellStyle name="강조색1 2 3 10" xfId="0"/>
    <cellStyle name="강조색1 2 3 2" xfId="0"/>
    <cellStyle name="강조색1 2 3 3" xfId="0"/>
    <cellStyle name="강조색1 2 3 4" xfId="0"/>
    <cellStyle name="강조색1 2 3 5" xfId="0"/>
    <cellStyle name="강조색1 2 3 6" xfId="0"/>
    <cellStyle name="강조색1 2 3 7" xfId="0"/>
    <cellStyle name="강조색1 2 3 8" xfId="0"/>
    <cellStyle name="강조색1 2 3 9" xfId="0"/>
    <cellStyle name="강조색1 2 4" xfId="0"/>
    <cellStyle name="강조색1 2 4 10" xfId="0"/>
    <cellStyle name="강조색1 2 4 2" xfId="0"/>
    <cellStyle name="강조색1 2 4 3" xfId="0"/>
    <cellStyle name="강조색1 2 4 4" xfId="0"/>
    <cellStyle name="강조색1 2 4 5" xfId="0"/>
    <cellStyle name="강조색1 2 4 6" xfId="0"/>
    <cellStyle name="강조색1 2 4 7" xfId="0"/>
    <cellStyle name="강조색1 2 4 8" xfId="0"/>
    <cellStyle name="강조색1 2 4 9" xfId="0"/>
    <cellStyle name="강조색1 2 5" xfId="0"/>
    <cellStyle name="강조색1 2 5 10" xfId="0"/>
    <cellStyle name="강조색1 2 5 2" xfId="0"/>
    <cellStyle name="강조색1 2 5 3" xfId="0"/>
    <cellStyle name="강조색1 2 5 4" xfId="0"/>
    <cellStyle name="강조색1 2 5 5" xfId="0"/>
    <cellStyle name="강조색1 2 5 6" xfId="0"/>
    <cellStyle name="강조색1 2 5 7" xfId="0"/>
    <cellStyle name="강조색1 2 5 8" xfId="0"/>
    <cellStyle name="강조색1 2 5 9" xfId="0"/>
    <cellStyle name="강조색1 2 6" xfId="0"/>
    <cellStyle name="강조색1 2 6 10" xfId="0"/>
    <cellStyle name="강조색1 2 6 2" xfId="0"/>
    <cellStyle name="강조색1 2 6 3" xfId="0"/>
    <cellStyle name="강조색1 2 6 4" xfId="0"/>
    <cellStyle name="강조색1 2 6 5" xfId="0"/>
    <cellStyle name="강조색1 2 6 6" xfId="0"/>
    <cellStyle name="강조색1 2 6 7" xfId="0"/>
    <cellStyle name="강조색1 2 6 8" xfId="0"/>
    <cellStyle name="강조색1 2 6 9" xfId="0"/>
    <cellStyle name="강조색1 2 7" xfId="0"/>
    <cellStyle name="강조색1 2 7 10" xfId="0"/>
    <cellStyle name="강조색1 2 7 2" xfId="0"/>
    <cellStyle name="강조색1 2 7 3" xfId="0"/>
    <cellStyle name="강조색1 2 7 4" xfId="0"/>
    <cellStyle name="강조색1 2 7 5" xfId="0"/>
    <cellStyle name="강조색1 2 7 6" xfId="0"/>
    <cellStyle name="강조색1 2 7 7" xfId="0"/>
    <cellStyle name="강조색1 2 7 8" xfId="0"/>
    <cellStyle name="강조색1 2 7 9" xfId="0"/>
    <cellStyle name="강조색1 2 8" xfId="0"/>
    <cellStyle name="강조색1 2 8 2" xfId="0"/>
    <cellStyle name="강조색1 2 9" xfId="0"/>
    <cellStyle name="강조색1 20" xfId="0"/>
    <cellStyle name="강조색1 21" xfId="0"/>
    <cellStyle name="강조색1 22" xfId="0"/>
    <cellStyle name="강조색1 23" xfId="0"/>
    <cellStyle name="강조색1 24" xfId="0"/>
    <cellStyle name="강조색1 25" xfId="0"/>
    <cellStyle name="강조색1 26" xfId="0"/>
    <cellStyle name="강조색1 27" xfId="0"/>
    <cellStyle name="강조색1 2_3300현금및예치금" xfId="0"/>
    <cellStyle name="강조색1 3" xfId="0"/>
    <cellStyle name="강조색1 3 10" xfId="0"/>
    <cellStyle name="강조색1 3 10 2" xfId="0"/>
    <cellStyle name="강조색1 3 11" xfId="0"/>
    <cellStyle name="강조색1 3 11 2" xfId="0"/>
    <cellStyle name="강조색1 3 12" xfId="0"/>
    <cellStyle name="강조색1 3 12 2" xfId="0"/>
    <cellStyle name="강조색1 3 13" xfId="0"/>
    <cellStyle name="강조색1 3 14" xfId="0"/>
    <cellStyle name="강조색1 3 15" xfId="0"/>
    <cellStyle name="강조색1 3 16" xfId="0"/>
    <cellStyle name="강조색1 3 17" xfId="0"/>
    <cellStyle name="강조색1 3 18" xfId="0"/>
    <cellStyle name="강조색1 3 19" xfId="0"/>
    <cellStyle name="강조색1 3 2" xfId="0"/>
    <cellStyle name="강조색1 3 2 2" xfId="0"/>
    <cellStyle name="강조색1 3 2 3" xfId="0"/>
    <cellStyle name="강조색1 3 20" xfId="0"/>
    <cellStyle name="강조색1 3 3" xfId="0"/>
    <cellStyle name="강조색1 3 3 2" xfId="0"/>
    <cellStyle name="강조색1 3 3 3" xfId="0"/>
    <cellStyle name="강조색1 3 4" xfId="0"/>
    <cellStyle name="강조색1 3 4 2" xfId="0"/>
    <cellStyle name="강조색1 3 4 3" xfId="0"/>
    <cellStyle name="강조색1 3 5" xfId="0"/>
    <cellStyle name="강조색1 3 5 2" xfId="0"/>
    <cellStyle name="강조색1 3 5 3" xfId="0"/>
    <cellStyle name="강조색1 3 6" xfId="0"/>
    <cellStyle name="강조색1 3 6 2" xfId="0"/>
    <cellStyle name="강조색1 3 6 3" xfId="0"/>
    <cellStyle name="강조색1 3 7" xfId="0"/>
    <cellStyle name="강조색1 3 7 2" xfId="0"/>
    <cellStyle name="강조색1 3 7 3" xfId="0"/>
    <cellStyle name="강조색1 3 8" xfId="0"/>
    <cellStyle name="강조색1 3 8 2" xfId="0"/>
    <cellStyle name="강조색1 3 8 3" xfId="0"/>
    <cellStyle name="강조색1 3 9" xfId="0"/>
    <cellStyle name="강조색1 3 9 2" xfId="0"/>
    <cellStyle name="강조색1 3_운용자산별 손익분석" xfId="0"/>
    <cellStyle name="강조색1 4" xfId="0"/>
    <cellStyle name="강조색1 4 10" xfId="0"/>
    <cellStyle name="강조색1 4 11" xfId="0"/>
    <cellStyle name="강조색1 4 12" xfId="0"/>
    <cellStyle name="강조색1 4 13" xfId="0"/>
    <cellStyle name="강조색1 4 2" xfId="0"/>
    <cellStyle name="강조색1 4 3" xfId="0"/>
    <cellStyle name="강조색1 4 4" xfId="0"/>
    <cellStyle name="강조색1 4 5" xfId="0"/>
    <cellStyle name="강조색1 4 6" xfId="0"/>
    <cellStyle name="강조색1 4 7" xfId="0"/>
    <cellStyle name="강조색1 4 8" xfId="0"/>
    <cellStyle name="강조색1 4 9" xfId="0"/>
    <cellStyle name="강조색1 4_운용자산별 손익분석" xfId="0"/>
    <cellStyle name="강조색1 5" xfId="0"/>
    <cellStyle name="강조색1 5 10" xfId="0"/>
    <cellStyle name="강조색1 5 11" xfId="0"/>
    <cellStyle name="강조색1 5 12" xfId="0"/>
    <cellStyle name="강조색1 5 13" xfId="0"/>
    <cellStyle name="강조색1 5 14" xfId="0"/>
    <cellStyle name="강조색1 5 15" xfId="0"/>
    <cellStyle name="강조색1 5 16" xfId="0"/>
    <cellStyle name="강조색1 5 17" xfId="0"/>
    <cellStyle name="강조색1 5 18" xfId="0"/>
    <cellStyle name="강조색1 5 19" xfId="0"/>
    <cellStyle name="강조색1 5 2" xfId="0"/>
    <cellStyle name="강조색1 5 20" xfId="0"/>
    <cellStyle name="강조색1 5 21" xfId="0"/>
    <cellStyle name="강조색1 5 22" xfId="0"/>
    <cellStyle name="강조색1 5 23" xfId="0"/>
    <cellStyle name="강조색1 5 24" xfId="0"/>
    <cellStyle name="강조색1 5 25" xfId="0"/>
    <cellStyle name="강조색1 5 26" xfId="0"/>
    <cellStyle name="강조색1 5 27" xfId="0"/>
    <cellStyle name="강조색1 5 28" xfId="0"/>
    <cellStyle name="강조색1 5 29" xfId="0"/>
    <cellStyle name="강조색1 5 3" xfId="0"/>
    <cellStyle name="강조색1 5 30" xfId="0"/>
    <cellStyle name="강조색1 5 31" xfId="0"/>
    <cellStyle name="강조색1 5 32" xfId="0"/>
    <cellStyle name="강조색1 5 33" xfId="0"/>
    <cellStyle name="강조색1 5 34" xfId="0"/>
    <cellStyle name="강조색1 5 4" xfId="0"/>
    <cellStyle name="강조색1 5 5" xfId="0"/>
    <cellStyle name="강조색1 5 6" xfId="0"/>
    <cellStyle name="강조색1 5 7" xfId="0"/>
    <cellStyle name="강조색1 5 8" xfId="0"/>
    <cellStyle name="강조색1 5 9" xfId="0"/>
    <cellStyle name="강조색1 6" xfId="0"/>
    <cellStyle name="강조색1 6 10" xfId="0"/>
    <cellStyle name="강조색1 6 11" xfId="0"/>
    <cellStyle name="강조색1 6 12" xfId="0"/>
    <cellStyle name="강조색1 6 13" xfId="0"/>
    <cellStyle name="강조색1 6 14" xfId="0"/>
    <cellStyle name="강조색1 6 15" xfId="0"/>
    <cellStyle name="강조색1 6 16" xfId="0"/>
    <cellStyle name="강조색1 6 17" xfId="0"/>
    <cellStyle name="강조색1 6 18" xfId="0"/>
    <cellStyle name="강조색1 6 19" xfId="0"/>
    <cellStyle name="강조색1 6 2" xfId="0"/>
    <cellStyle name="강조색1 6 20" xfId="0"/>
    <cellStyle name="강조색1 6 21" xfId="0"/>
    <cellStyle name="강조색1 6 22" xfId="0"/>
    <cellStyle name="강조색1 6 23" xfId="0"/>
    <cellStyle name="강조색1 6 24" xfId="0"/>
    <cellStyle name="강조색1 6 25" xfId="0"/>
    <cellStyle name="강조색1 6 26" xfId="0"/>
    <cellStyle name="강조색1 6 27" xfId="0"/>
    <cellStyle name="강조색1 6 28" xfId="0"/>
    <cellStyle name="강조색1 6 29" xfId="0"/>
    <cellStyle name="강조색1 6 3" xfId="0"/>
    <cellStyle name="강조색1 6 30" xfId="0"/>
    <cellStyle name="강조색1 6 4" xfId="0"/>
    <cellStyle name="강조색1 6 5" xfId="0"/>
    <cellStyle name="강조색1 6 6" xfId="0"/>
    <cellStyle name="강조색1 6 7" xfId="0"/>
    <cellStyle name="강조색1 6 8" xfId="0"/>
    <cellStyle name="강조색1 6 9" xfId="0"/>
    <cellStyle name="강조색1 7" xfId="0"/>
    <cellStyle name="강조색1 7 10" xfId="0"/>
    <cellStyle name="강조색1 7 11" xfId="0"/>
    <cellStyle name="강조색1 7 12" xfId="0"/>
    <cellStyle name="강조색1 7 13" xfId="0"/>
    <cellStyle name="강조색1 7 14" xfId="0"/>
    <cellStyle name="강조색1 7 15" xfId="0"/>
    <cellStyle name="강조색1 7 2" xfId="0"/>
    <cellStyle name="강조색1 7 2 2" xfId="0"/>
    <cellStyle name="강조색1 7 3" xfId="0"/>
    <cellStyle name="강조색1 7 3 2" xfId="0"/>
    <cellStyle name="강조색1 7 4" xfId="0"/>
    <cellStyle name="강조색1 7 4 2" xfId="0"/>
    <cellStyle name="강조색1 7 5" xfId="0"/>
    <cellStyle name="강조색1 7 5 2" xfId="0"/>
    <cellStyle name="강조색1 7 6" xfId="0"/>
    <cellStyle name="강조색1 7 6 2" xfId="0"/>
    <cellStyle name="강조색1 7 7" xfId="0"/>
    <cellStyle name="강조색1 7 8" xfId="0"/>
    <cellStyle name="강조색1 7 9" xfId="0"/>
    <cellStyle name="강조색1 8" xfId="0"/>
    <cellStyle name="강조색1 8 10" xfId="0"/>
    <cellStyle name="강조색1 8 11" xfId="0"/>
    <cellStyle name="강조색1 8 12" xfId="0"/>
    <cellStyle name="강조색1 8 13" xfId="0"/>
    <cellStyle name="강조색1 8 14" xfId="0"/>
    <cellStyle name="강조색1 8 2" xfId="0"/>
    <cellStyle name="강조색1 8 2 2" xfId="0"/>
    <cellStyle name="강조색1 8 3" xfId="0"/>
    <cellStyle name="강조색1 8 3 2" xfId="0"/>
    <cellStyle name="강조색1 8 4" xfId="0"/>
    <cellStyle name="강조색1 8 4 2" xfId="0"/>
    <cellStyle name="강조색1 8 5" xfId="0"/>
    <cellStyle name="강조색1 8 5 2" xfId="0"/>
    <cellStyle name="강조색1 8 6" xfId="0"/>
    <cellStyle name="강조색1 8 6 2" xfId="0"/>
    <cellStyle name="강조색1 8 7" xfId="0"/>
    <cellStyle name="강조색1 8 8" xfId="0"/>
    <cellStyle name="강조색1 8 9" xfId="0"/>
    <cellStyle name="강조색1 9" xfId="0"/>
    <cellStyle name="강조색1 9 10" xfId="0"/>
    <cellStyle name="강조색1 9 11" xfId="0"/>
    <cellStyle name="강조색1 9 12" xfId="0"/>
    <cellStyle name="강조색1 9 13" xfId="0"/>
    <cellStyle name="강조색1 9 14" xfId="0"/>
    <cellStyle name="강조색1 9 2" xfId="0"/>
    <cellStyle name="강조색1 9 2 2" xfId="0"/>
    <cellStyle name="강조색1 9 3" xfId="0"/>
    <cellStyle name="강조색1 9 3 2" xfId="0"/>
    <cellStyle name="강조색1 9 4" xfId="0"/>
    <cellStyle name="강조색1 9 4 2" xfId="0"/>
    <cellStyle name="강조색1 9 5" xfId="0"/>
    <cellStyle name="강조색1 9 5 2" xfId="0"/>
    <cellStyle name="강조색1 9 6" xfId="0"/>
    <cellStyle name="강조색1 9 6 2" xfId="0"/>
    <cellStyle name="강조색1 9 7" xfId="0"/>
    <cellStyle name="강조색1 9 8" xfId="0"/>
    <cellStyle name="강조색1 9 9" xfId="0"/>
    <cellStyle name="강조색2 10" xfId="0"/>
    <cellStyle name="강조색2 10 2" xfId="0"/>
    <cellStyle name="강조색2 10 2 2" xfId="0"/>
    <cellStyle name="강조색2 10 3" xfId="0"/>
    <cellStyle name="강조색2 10 3 2" xfId="0"/>
    <cellStyle name="강조색2 10 4" xfId="0"/>
    <cellStyle name="강조색2 10 4 2" xfId="0"/>
    <cellStyle name="강조색2 10 5" xfId="0"/>
    <cellStyle name="강조색2 10 6" xfId="0"/>
    <cellStyle name="강조색2 10 7" xfId="0"/>
    <cellStyle name="강조색2 11" xfId="0"/>
    <cellStyle name="강조색2 11 2" xfId="0"/>
    <cellStyle name="강조색2 11 2 2" xfId="0"/>
    <cellStyle name="강조색2 11 3" xfId="0"/>
    <cellStyle name="강조색2 11 3 2" xfId="0"/>
    <cellStyle name="강조색2 11 4" xfId="0"/>
    <cellStyle name="강조색2 11 4 2" xfId="0"/>
    <cellStyle name="강조색2 11 5" xfId="0"/>
    <cellStyle name="강조색2 11 6" xfId="0"/>
    <cellStyle name="강조색2 11 7" xfId="0"/>
    <cellStyle name="강조색2 12" xfId="0"/>
    <cellStyle name="강조색2 12 2" xfId="0"/>
    <cellStyle name="강조색2 12 3" xfId="0"/>
    <cellStyle name="강조색2 12 4" xfId="0"/>
    <cellStyle name="강조색2 12 5" xfId="0"/>
    <cellStyle name="강조색2 13" xfId="0"/>
    <cellStyle name="강조색2 13 2" xfId="0"/>
    <cellStyle name="강조색2 13 3" xfId="0"/>
    <cellStyle name="강조색2 13 4" xfId="0"/>
    <cellStyle name="강조색2 13 5" xfId="0"/>
    <cellStyle name="강조색2 14" xfId="0"/>
    <cellStyle name="강조색2 14 2" xfId="0"/>
    <cellStyle name="강조색2 15" xfId="0"/>
    <cellStyle name="강조색2 15 2" xfId="0"/>
    <cellStyle name="강조색2 16" xfId="0"/>
    <cellStyle name="강조색2 16 2" xfId="0"/>
    <cellStyle name="강조색2 17" xfId="0"/>
    <cellStyle name="강조색2 17 2" xfId="0"/>
    <cellStyle name="강조색2 18" xfId="0"/>
    <cellStyle name="강조색2 19" xfId="0"/>
    <cellStyle name="강조색2 2" xfId="0"/>
    <cellStyle name="강조색2 2 10" xfId="0"/>
    <cellStyle name="강조색2 2 11" xfId="0"/>
    <cellStyle name="강조색2 2 12" xfId="0"/>
    <cellStyle name="강조색2 2 13" xfId="0"/>
    <cellStyle name="강조색2 2 2" xfId="0"/>
    <cellStyle name="강조색2 2 2 10" xfId="0"/>
    <cellStyle name="강조색2 2 2 2" xfId="0"/>
    <cellStyle name="강조색2 2 2 3" xfId="0"/>
    <cellStyle name="강조색2 2 2 4" xfId="0"/>
    <cellStyle name="강조색2 2 2 5" xfId="0"/>
    <cellStyle name="강조색2 2 2 6" xfId="0"/>
    <cellStyle name="강조색2 2 2 7" xfId="0"/>
    <cellStyle name="강조색2 2 2 8" xfId="0"/>
    <cellStyle name="강조색2 2 2 9" xfId="0"/>
    <cellStyle name="강조색2 2 3" xfId="0"/>
    <cellStyle name="강조색2 2 3 10" xfId="0"/>
    <cellStyle name="강조색2 2 3 2" xfId="0"/>
    <cellStyle name="강조색2 2 3 3" xfId="0"/>
    <cellStyle name="강조색2 2 3 4" xfId="0"/>
    <cellStyle name="강조색2 2 3 5" xfId="0"/>
    <cellStyle name="강조색2 2 3 6" xfId="0"/>
    <cellStyle name="강조색2 2 3 7" xfId="0"/>
    <cellStyle name="강조색2 2 3 8" xfId="0"/>
    <cellStyle name="강조색2 2 3 9" xfId="0"/>
    <cellStyle name="강조색2 2 4" xfId="0"/>
    <cellStyle name="강조색2 2 4 10" xfId="0"/>
    <cellStyle name="강조색2 2 4 2" xfId="0"/>
    <cellStyle name="강조색2 2 4 3" xfId="0"/>
    <cellStyle name="강조색2 2 4 4" xfId="0"/>
    <cellStyle name="강조색2 2 4 5" xfId="0"/>
    <cellStyle name="강조색2 2 4 6" xfId="0"/>
    <cellStyle name="강조색2 2 4 7" xfId="0"/>
    <cellStyle name="강조색2 2 4 8" xfId="0"/>
    <cellStyle name="강조색2 2 4 9" xfId="0"/>
    <cellStyle name="강조색2 2 5" xfId="0"/>
    <cellStyle name="강조색2 2 5 10" xfId="0"/>
    <cellStyle name="강조색2 2 5 2" xfId="0"/>
    <cellStyle name="강조색2 2 5 3" xfId="0"/>
    <cellStyle name="강조색2 2 5 4" xfId="0"/>
    <cellStyle name="강조색2 2 5 5" xfId="0"/>
    <cellStyle name="강조색2 2 5 6" xfId="0"/>
    <cellStyle name="강조색2 2 5 7" xfId="0"/>
    <cellStyle name="강조색2 2 5 8" xfId="0"/>
    <cellStyle name="강조색2 2 5 9" xfId="0"/>
    <cellStyle name="강조색2 2 6" xfId="0"/>
    <cellStyle name="강조색2 2 6 10" xfId="0"/>
    <cellStyle name="강조색2 2 6 2" xfId="0"/>
    <cellStyle name="강조색2 2 6 3" xfId="0"/>
    <cellStyle name="강조색2 2 6 4" xfId="0"/>
    <cellStyle name="강조색2 2 6 5" xfId="0"/>
    <cellStyle name="강조색2 2 6 6" xfId="0"/>
    <cellStyle name="강조색2 2 6 7" xfId="0"/>
    <cellStyle name="강조색2 2 6 8" xfId="0"/>
    <cellStyle name="강조색2 2 6 9" xfId="0"/>
    <cellStyle name="강조색2 2 7" xfId="0"/>
    <cellStyle name="강조색2 2 7 10" xfId="0"/>
    <cellStyle name="강조색2 2 7 2" xfId="0"/>
    <cellStyle name="강조색2 2 7 3" xfId="0"/>
    <cellStyle name="강조색2 2 7 4" xfId="0"/>
    <cellStyle name="강조색2 2 7 5" xfId="0"/>
    <cellStyle name="강조색2 2 7 6" xfId="0"/>
    <cellStyle name="강조색2 2 7 7" xfId="0"/>
    <cellStyle name="강조색2 2 7 8" xfId="0"/>
    <cellStyle name="강조색2 2 7 9" xfId="0"/>
    <cellStyle name="강조색2 2 8" xfId="0"/>
    <cellStyle name="강조색2 2 8 2" xfId="0"/>
    <cellStyle name="강조색2 2 9" xfId="0"/>
    <cellStyle name="강조색2 20" xfId="0"/>
    <cellStyle name="강조색2 21" xfId="0"/>
    <cellStyle name="강조색2 22" xfId="0"/>
    <cellStyle name="강조색2 23" xfId="0"/>
    <cellStyle name="강조색2 24" xfId="0"/>
    <cellStyle name="강조색2 25" xfId="0"/>
    <cellStyle name="강조색2 26" xfId="0"/>
    <cellStyle name="강조색2 27" xfId="0"/>
    <cellStyle name="강조색2 2_3300현금및예치금" xfId="0"/>
    <cellStyle name="강조색2 3" xfId="0"/>
    <cellStyle name="강조색2 3 10" xfId="0"/>
    <cellStyle name="강조색2 3 10 2" xfId="0"/>
    <cellStyle name="강조색2 3 11" xfId="0"/>
    <cellStyle name="강조색2 3 11 2" xfId="0"/>
    <cellStyle name="강조색2 3 12" xfId="0"/>
    <cellStyle name="강조색2 3 12 2" xfId="0"/>
    <cellStyle name="강조색2 3 13" xfId="0"/>
    <cellStyle name="강조색2 3 14" xfId="0"/>
    <cellStyle name="강조색2 3 15" xfId="0"/>
    <cellStyle name="강조색2 3 16" xfId="0"/>
    <cellStyle name="강조색2 3 17" xfId="0"/>
    <cellStyle name="강조색2 3 18" xfId="0"/>
    <cellStyle name="강조색2 3 19" xfId="0"/>
    <cellStyle name="강조색2 3 2" xfId="0"/>
    <cellStyle name="강조색2 3 2 2" xfId="0"/>
    <cellStyle name="강조색2 3 2 3" xfId="0"/>
    <cellStyle name="강조색2 3 20" xfId="0"/>
    <cellStyle name="강조색2 3 3" xfId="0"/>
    <cellStyle name="강조색2 3 3 2" xfId="0"/>
    <cellStyle name="강조색2 3 3 3" xfId="0"/>
    <cellStyle name="강조색2 3 4" xfId="0"/>
    <cellStyle name="강조색2 3 4 2" xfId="0"/>
    <cellStyle name="강조색2 3 4 3" xfId="0"/>
    <cellStyle name="강조색2 3 5" xfId="0"/>
    <cellStyle name="강조색2 3 5 2" xfId="0"/>
    <cellStyle name="강조색2 3 5 3" xfId="0"/>
    <cellStyle name="강조색2 3 6" xfId="0"/>
    <cellStyle name="강조색2 3 6 2" xfId="0"/>
    <cellStyle name="강조색2 3 6 3" xfId="0"/>
    <cellStyle name="강조색2 3 7" xfId="0"/>
    <cellStyle name="강조색2 3 7 2" xfId="0"/>
    <cellStyle name="강조색2 3 7 3" xfId="0"/>
    <cellStyle name="강조색2 3 8" xfId="0"/>
    <cellStyle name="강조색2 3 8 2" xfId="0"/>
    <cellStyle name="강조색2 3 8 3" xfId="0"/>
    <cellStyle name="강조색2 3 9" xfId="0"/>
    <cellStyle name="강조색2 3 9 2" xfId="0"/>
    <cellStyle name="강조색2 3_운용자산별 손익분석" xfId="0"/>
    <cellStyle name="강조색2 4" xfId="0"/>
    <cellStyle name="강조색2 4 10" xfId="0"/>
    <cellStyle name="강조색2 4 11" xfId="0"/>
    <cellStyle name="강조색2 4 12" xfId="0"/>
    <cellStyle name="강조색2 4 13" xfId="0"/>
    <cellStyle name="강조색2 4 2" xfId="0"/>
    <cellStyle name="강조색2 4 3" xfId="0"/>
    <cellStyle name="강조색2 4 4" xfId="0"/>
    <cellStyle name="강조색2 4 5" xfId="0"/>
    <cellStyle name="강조색2 4 6" xfId="0"/>
    <cellStyle name="강조색2 4 7" xfId="0"/>
    <cellStyle name="강조색2 4 8" xfId="0"/>
    <cellStyle name="강조색2 4 9" xfId="0"/>
    <cellStyle name="강조색2 4_운용자산별 손익분석" xfId="0"/>
    <cellStyle name="강조색2 5" xfId="0"/>
    <cellStyle name="강조색2 5 10" xfId="0"/>
    <cellStyle name="강조색2 5 11" xfId="0"/>
    <cellStyle name="강조색2 5 12" xfId="0"/>
    <cellStyle name="강조색2 5 13" xfId="0"/>
    <cellStyle name="강조색2 5 14" xfId="0"/>
    <cellStyle name="강조색2 5 15" xfId="0"/>
    <cellStyle name="강조색2 5 16" xfId="0"/>
    <cellStyle name="강조색2 5 17" xfId="0"/>
    <cellStyle name="강조색2 5 18" xfId="0"/>
    <cellStyle name="강조색2 5 19" xfId="0"/>
    <cellStyle name="강조색2 5 2" xfId="0"/>
    <cellStyle name="강조색2 5 20" xfId="0"/>
    <cellStyle name="강조색2 5 21" xfId="0"/>
    <cellStyle name="강조색2 5 22" xfId="0"/>
    <cellStyle name="강조색2 5 23" xfId="0"/>
    <cellStyle name="강조색2 5 24" xfId="0"/>
    <cellStyle name="강조색2 5 25" xfId="0"/>
    <cellStyle name="강조색2 5 26" xfId="0"/>
    <cellStyle name="강조색2 5 27" xfId="0"/>
    <cellStyle name="강조색2 5 28" xfId="0"/>
    <cellStyle name="강조색2 5 29" xfId="0"/>
    <cellStyle name="강조색2 5 3" xfId="0"/>
    <cellStyle name="강조색2 5 30" xfId="0"/>
    <cellStyle name="강조색2 5 31" xfId="0"/>
    <cellStyle name="강조색2 5 32" xfId="0"/>
    <cellStyle name="강조색2 5 33" xfId="0"/>
    <cellStyle name="강조색2 5 34" xfId="0"/>
    <cellStyle name="강조색2 5 4" xfId="0"/>
    <cellStyle name="강조색2 5 5" xfId="0"/>
    <cellStyle name="강조색2 5 6" xfId="0"/>
    <cellStyle name="강조색2 5 7" xfId="0"/>
    <cellStyle name="강조색2 5 8" xfId="0"/>
    <cellStyle name="강조색2 5 9" xfId="0"/>
    <cellStyle name="강조색2 6" xfId="0"/>
    <cellStyle name="강조색2 6 10" xfId="0"/>
    <cellStyle name="강조색2 6 11" xfId="0"/>
    <cellStyle name="강조색2 6 12" xfId="0"/>
    <cellStyle name="강조색2 6 13" xfId="0"/>
    <cellStyle name="강조색2 6 14" xfId="0"/>
    <cellStyle name="강조색2 6 15" xfId="0"/>
    <cellStyle name="강조색2 6 16" xfId="0"/>
    <cellStyle name="강조색2 6 17" xfId="0"/>
    <cellStyle name="강조색2 6 18" xfId="0"/>
    <cellStyle name="강조색2 6 19" xfId="0"/>
    <cellStyle name="강조색2 6 2" xfId="0"/>
    <cellStyle name="강조색2 6 20" xfId="0"/>
    <cellStyle name="강조색2 6 21" xfId="0"/>
    <cellStyle name="강조색2 6 22" xfId="0"/>
    <cellStyle name="강조색2 6 23" xfId="0"/>
    <cellStyle name="강조색2 6 24" xfId="0"/>
    <cellStyle name="강조색2 6 25" xfId="0"/>
    <cellStyle name="강조색2 6 26" xfId="0"/>
    <cellStyle name="강조색2 6 27" xfId="0"/>
    <cellStyle name="강조색2 6 28" xfId="0"/>
    <cellStyle name="강조색2 6 29" xfId="0"/>
    <cellStyle name="강조색2 6 3" xfId="0"/>
    <cellStyle name="강조색2 6 30" xfId="0"/>
    <cellStyle name="강조색2 6 4" xfId="0"/>
    <cellStyle name="강조색2 6 5" xfId="0"/>
    <cellStyle name="강조색2 6 6" xfId="0"/>
    <cellStyle name="강조색2 6 7" xfId="0"/>
    <cellStyle name="강조색2 6 8" xfId="0"/>
    <cellStyle name="강조색2 6 9" xfId="0"/>
    <cellStyle name="강조색2 7" xfId="0"/>
    <cellStyle name="강조색2 7 10" xfId="0"/>
    <cellStyle name="강조색2 7 11" xfId="0"/>
    <cellStyle name="강조색2 7 12" xfId="0"/>
    <cellStyle name="강조색2 7 13" xfId="0"/>
    <cellStyle name="강조색2 7 14" xfId="0"/>
    <cellStyle name="강조색2 7 15" xfId="0"/>
    <cellStyle name="강조색2 7 2" xfId="0"/>
    <cellStyle name="강조색2 7 2 2" xfId="0"/>
    <cellStyle name="강조색2 7 3" xfId="0"/>
    <cellStyle name="강조색2 7 3 2" xfId="0"/>
    <cellStyle name="강조색2 7 4" xfId="0"/>
    <cellStyle name="강조색2 7 4 2" xfId="0"/>
    <cellStyle name="강조색2 7 5" xfId="0"/>
    <cellStyle name="강조색2 7 5 2" xfId="0"/>
    <cellStyle name="강조색2 7 6" xfId="0"/>
    <cellStyle name="강조색2 7 6 2" xfId="0"/>
    <cellStyle name="강조색2 7 7" xfId="0"/>
    <cellStyle name="강조색2 7 8" xfId="0"/>
    <cellStyle name="강조색2 7 9" xfId="0"/>
    <cellStyle name="강조색2 8" xfId="0"/>
    <cellStyle name="강조색2 8 10" xfId="0"/>
    <cellStyle name="강조색2 8 11" xfId="0"/>
    <cellStyle name="강조색2 8 12" xfId="0"/>
    <cellStyle name="강조색2 8 13" xfId="0"/>
    <cellStyle name="강조색2 8 14" xfId="0"/>
    <cellStyle name="강조색2 8 2" xfId="0"/>
    <cellStyle name="강조색2 8 2 2" xfId="0"/>
    <cellStyle name="강조색2 8 3" xfId="0"/>
    <cellStyle name="강조색2 8 3 2" xfId="0"/>
    <cellStyle name="강조색2 8 4" xfId="0"/>
    <cellStyle name="강조색2 8 4 2" xfId="0"/>
    <cellStyle name="강조색2 8 5" xfId="0"/>
    <cellStyle name="강조색2 8 5 2" xfId="0"/>
    <cellStyle name="강조색2 8 6" xfId="0"/>
    <cellStyle name="강조색2 8 6 2" xfId="0"/>
    <cellStyle name="강조색2 8 7" xfId="0"/>
    <cellStyle name="강조색2 8 8" xfId="0"/>
    <cellStyle name="강조색2 8 9" xfId="0"/>
    <cellStyle name="강조색2 9" xfId="0"/>
    <cellStyle name="강조색2 9 10" xfId="0"/>
    <cellStyle name="강조색2 9 11" xfId="0"/>
    <cellStyle name="강조색2 9 12" xfId="0"/>
    <cellStyle name="강조색2 9 13" xfId="0"/>
    <cellStyle name="강조색2 9 14" xfId="0"/>
    <cellStyle name="강조색2 9 2" xfId="0"/>
    <cellStyle name="강조색2 9 2 2" xfId="0"/>
    <cellStyle name="강조색2 9 3" xfId="0"/>
    <cellStyle name="강조색2 9 3 2" xfId="0"/>
    <cellStyle name="강조색2 9 4" xfId="0"/>
    <cellStyle name="강조색2 9 4 2" xfId="0"/>
    <cellStyle name="강조색2 9 5" xfId="0"/>
    <cellStyle name="강조색2 9 5 2" xfId="0"/>
    <cellStyle name="강조색2 9 6" xfId="0"/>
    <cellStyle name="강조색2 9 6 2" xfId="0"/>
    <cellStyle name="강조색2 9 7" xfId="0"/>
    <cellStyle name="강조색2 9 8" xfId="0"/>
    <cellStyle name="강조색2 9 9" xfId="0"/>
    <cellStyle name="강조색3 10" xfId="0"/>
    <cellStyle name="강조색3 10 2" xfId="0"/>
    <cellStyle name="강조색3 10 2 2" xfId="0"/>
    <cellStyle name="강조색3 10 3" xfId="0"/>
    <cellStyle name="강조색3 10 3 2" xfId="0"/>
    <cellStyle name="강조색3 10 4" xfId="0"/>
    <cellStyle name="강조색3 10 4 2" xfId="0"/>
    <cellStyle name="강조색3 10 5" xfId="0"/>
    <cellStyle name="강조색3 10 6" xfId="0"/>
    <cellStyle name="강조색3 10 7" xfId="0"/>
    <cellStyle name="강조색3 11" xfId="0"/>
    <cellStyle name="강조색3 11 2" xfId="0"/>
    <cellStyle name="강조색3 11 2 2" xfId="0"/>
    <cellStyle name="강조색3 11 3" xfId="0"/>
    <cellStyle name="강조색3 11 3 2" xfId="0"/>
    <cellStyle name="강조색3 11 4" xfId="0"/>
    <cellStyle name="강조색3 11 4 2" xfId="0"/>
    <cellStyle name="강조색3 11 5" xfId="0"/>
    <cellStyle name="강조색3 11 6" xfId="0"/>
    <cellStyle name="강조색3 11 7" xfId="0"/>
    <cellStyle name="강조색3 12" xfId="0"/>
    <cellStyle name="강조색3 12 2" xfId="0"/>
    <cellStyle name="강조색3 12 3" xfId="0"/>
    <cellStyle name="강조색3 12 4" xfId="0"/>
    <cellStyle name="강조색3 12 5" xfId="0"/>
    <cellStyle name="강조색3 13" xfId="0"/>
    <cellStyle name="강조색3 13 2" xfId="0"/>
    <cellStyle name="강조색3 13 3" xfId="0"/>
    <cellStyle name="강조색3 13 4" xfId="0"/>
    <cellStyle name="강조색3 13 5" xfId="0"/>
    <cellStyle name="강조색3 14" xfId="0"/>
    <cellStyle name="강조색3 14 2" xfId="0"/>
    <cellStyle name="강조색3 15" xfId="0"/>
    <cellStyle name="강조색3 15 2" xfId="0"/>
    <cellStyle name="강조색3 16" xfId="0"/>
    <cellStyle name="강조색3 16 2" xfId="0"/>
    <cellStyle name="강조색3 17" xfId="0"/>
    <cellStyle name="강조색3 17 2" xfId="0"/>
    <cellStyle name="강조색3 18" xfId="0"/>
    <cellStyle name="강조색3 19" xfId="0"/>
    <cellStyle name="강조색3 2" xfId="0"/>
    <cellStyle name="강조색3 2 10" xfId="0"/>
    <cellStyle name="강조색3 2 11" xfId="0"/>
    <cellStyle name="강조색3 2 12" xfId="0"/>
    <cellStyle name="강조색3 2 13" xfId="0"/>
    <cellStyle name="강조색3 2 2" xfId="0"/>
    <cellStyle name="강조색3 2 2 10" xfId="0"/>
    <cellStyle name="강조색3 2 2 2" xfId="0"/>
    <cellStyle name="강조색3 2 2 3" xfId="0"/>
    <cellStyle name="강조색3 2 2 4" xfId="0"/>
    <cellStyle name="강조색3 2 2 5" xfId="0"/>
    <cellStyle name="강조색3 2 2 6" xfId="0"/>
    <cellStyle name="강조색3 2 2 7" xfId="0"/>
    <cellStyle name="강조색3 2 2 8" xfId="0"/>
    <cellStyle name="강조색3 2 2 9" xfId="0"/>
    <cellStyle name="강조색3 2 3" xfId="0"/>
    <cellStyle name="강조색3 2 3 10" xfId="0"/>
    <cellStyle name="강조색3 2 3 2" xfId="0"/>
    <cellStyle name="강조색3 2 3 3" xfId="0"/>
    <cellStyle name="강조색3 2 3 4" xfId="0"/>
    <cellStyle name="강조색3 2 3 5" xfId="0"/>
    <cellStyle name="강조색3 2 3 6" xfId="0"/>
    <cellStyle name="강조색3 2 3 7" xfId="0"/>
    <cellStyle name="강조색3 2 3 8" xfId="0"/>
    <cellStyle name="강조색3 2 3 9" xfId="0"/>
    <cellStyle name="강조색3 2 4" xfId="0"/>
    <cellStyle name="강조색3 2 4 10" xfId="0"/>
    <cellStyle name="강조색3 2 4 2" xfId="0"/>
    <cellStyle name="강조색3 2 4 3" xfId="0"/>
    <cellStyle name="강조색3 2 4 4" xfId="0"/>
    <cellStyle name="강조색3 2 4 5" xfId="0"/>
    <cellStyle name="강조색3 2 4 6" xfId="0"/>
    <cellStyle name="강조색3 2 4 7" xfId="0"/>
    <cellStyle name="강조색3 2 4 8" xfId="0"/>
    <cellStyle name="강조색3 2 4 9" xfId="0"/>
    <cellStyle name="강조색3 2 5" xfId="0"/>
    <cellStyle name="강조색3 2 5 10" xfId="0"/>
    <cellStyle name="강조색3 2 5 2" xfId="0"/>
    <cellStyle name="강조색3 2 5 3" xfId="0"/>
    <cellStyle name="강조색3 2 5 4" xfId="0"/>
    <cellStyle name="강조색3 2 5 5" xfId="0"/>
    <cellStyle name="강조색3 2 5 6" xfId="0"/>
    <cellStyle name="강조색3 2 5 7" xfId="0"/>
    <cellStyle name="강조색3 2 5 8" xfId="0"/>
    <cellStyle name="강조색3 2 5 9" xfId="0"/>
    <cellStyle name="강조색3 2 6" xfId="0"/>
    <cellStyle name="강조색3 2 6 10" xfId="0"/>
    <cellStyle name="강조색3 2 6 2" xfId="0"/>
    <cellStyle name="강조색3 2 6 3" xfId="0"/>
    <cellStyle name="강조색3 2 6 4" xfId="0"/>
    <cellStyle name="강조색3 2 6 5" xfId="0"/>
    <cellStyle name="강조색3 2 6 6" xfId="0"/>
    <cellStyle name="강조색3 2 6 7" xfId="0"/>
    <cellStyle name="강조색3 2 6 8" xfId="0"/>
    <cellStyle name="강조색3 2 6 9" xfId="0"/>
    <cellStyle name="강조색3 2 7" xfId="0"/>
    <cellStyle name="강조색3 2 7 10" xfId="0"/>
    <cellStyle name="강조색3 2 7 2" xfId="0"/>
    <cellStyle name="강조색3 2 7 3" xfId="0"/>
    <cellStyle name="강조색3 2 7 4" xfId="0"/>
    <cellStyle name="강조색3 2 7 5" xfId="0"/>
    <cellStyle name="강조색3 2 7 6" xfId="0"/>
    <cellStyle name="강조색3 2 7 7" xfId="0"/>
    <cellStyle name="강조색3 2 7 8" xfId="0"/>
    <cellStyle name="강조색3 2 7 9" xfId="0"/>
    <cellStyle name="강조색3 2 8" xfId="0"/>
    <cellStyle name="강조색3 2 8 2" xfId="0"/>
    <cellStyle name="강조색3 2 9" xfId="0"/>
    <cellStyle name="강조색3 20" xfId="0"/>
    <cellStyle name="강조색3 21" xfId="0"/>
    <cellStyle name="강조색3 22" xfId="0"/>
    <cellStyle name="강조색3 23" xfId="0"/>
    <cellStyle name="강조색3 24" xfId="0"/>
    <cellStyle name="강조색3 25" xfId="0"/>
    <cellStyle name="강조색3 26" xfId="0"/>
    <cellStyle name="강조색3 27" xfId="0"/>
    <cellStyle name="강조색3 2_3300현금및예치금" xfId="0"/>
    <cellStyle name="강조색3 3" xfId="0"/>
    <cellStyle name="강조색3 3 10" xfId="0"/>
    <cellStyle name="강조색3 3 10 2" xfId="0"/>
    <cellStyle name="강조색3 3 11" xfId="0"/>
    <cellStyle name="강조색3 3 11 2" xfId="0"/>
    <cellStyle name="강조색3 3 12" xfId="0"/>
    <cellStyle name="강조색3 3 12 2" xfId="0"/>
    <cellStyle name="강조색3 3 13" xfId="0"/>
    <cellStyle name="강조색3 3 14" xfId="0"/>
    <cellStyle name="강조색3 3 15" xfId="0"/>
    <cellStyle name="강조색3 3 16" xfId="0"/>
    <cellStyle name="강조색3 3 17" xfId="0"/>
    <cellStyle name="강조색3 3 18" xfId="0"/>
    <cellStyle name="강조색3 3 19" xfId="0"/>
    <cellStyle name="강조색3 3 2" xfId="0"/>
    <cellStyle name="강조색3 3 2 2" xfId="0"/>
    <cellStyle name="강조색3 3 2 3" xfId="0"/>
    <cellStyle name="강조색3 3 20" xfId="0"/>
    <cellStyle name="강조색3 3 3" xfId="0"/>
    <cellStyle name="강조색3 3 3 2" xfId="0"/>
    <cellStyle name="강조색3 3 3 3" xfId="0"/>
    <cellStyle name="강조색3 3 4" xfId="0"/>
    <cellStyle name="강조색3 3 4 2" xfId="0"/>
    <cellStyle name="강조색3 3 4 3" xfId="0"/>
    <cellStyle name="강조색3 3 5" xfId="0"/>
    <cellStyle name="강조색3 3 5 2" xfId="0"/>
    <cellStyle name="강조색3 3 5 3" xfId="0"/>
    <cellStyle name="강조색3 3 6" xfId="0"/>
    <cellStyle name="강조색3 3 6 2" xfId="0"/>
    <cellStyle name="강조색3 3 6 3" xfId="0"/>
    <cellStyle name="강조색3 3 7" xfId="0"/>
    <cellStyle name="강조색3 3 7 2" xfId="0"/>
    <cellStyle name="강조색3 3 7 3" xfId="0"/>
    <cellStyle name="강조색3 3 8" xfId="0"/>
    <cellStyle name="강조색3 3 8 2" xfId="0"/>
    <cellStyle name="강조색3 3 8 3" xfId="0"/>
    <cellStyle name="강조색3 3 9" xfId="0"/>
    <cellStyle name="강조색3 3 9 2" xfId="0"/>
    <cellStyle name="강조색3 3_운용자산별 손익분석" xfId="0"/>
    <cellStyle name="강조색3 4" xfId="0"/>
    <cellStyle name="강조색3 4 10" xfId="0"/>
    <cellStyle name="강조색3 4 11" xfId="0"/>
    <cellStyle name="강조색3 4 12" xfId="0"/>
    <cellStyle name="강조색3 4 13" xfId="0"/>
    <cellStyle name="강조색3 4 2" xfId="0"/>
    <cellStyle name="강조색3 4 3" xfId="0"/>
    <cellStyle name="강조색3 4 4" xfId="0"/>
    <cellStyle name="강조색3 4 5" xfId="0"/>
    <cellStyle name="강조색3 4 6" xfId="0"/>
    <cellStyle name="강조색3 4 7" xfId="0"/>
    <cellStyle name="강조색3 4 8" xfId="0"/>
    <cellStyle name="강조색3 4 9" xfId="0"/>
    <cellStyle name="강조색3 4_운용자산별 손익분석" xfId="0"/>
    <cellStyle name="강조색3 5" xfId="0"/>
    <cellStyle name="강조색3 5 10" xfId="0"/>
    <cellStyle name="강조색3 5 11" xfId="0"/>
    <cellStyle name="강조색3 5 12" xfId="0"/>
    <cellStyle name="강조색3 5 13" xfId="0"/>
    <cellStyle name="강조색3 5 14" xfId="0"/>
    <cellStyle name="강조색3 5 15" xfId="0"/>
    <cellStyle name="강조색3 5 16" xfId="0"/>
    <cellStyle name="강조색3 5 17" xfId="0"/>
    <cellStyle name="강조색3 5 18" xfId="0"/>
    <cellStyle name="강조색3 5 19" xfId="0"/>
    <cellStyle name="강조색3 5 2" xfId="0"/>
    <cellStyle name="강조색3 5 20" xfId="0"/>
    <cellStyle name="강조색3 5 21" xfId="0"/>
    <cellStyle name="강조색3 5 22" xfId="0"/>
    <cellStyle name="강조색3 5 23" xfId="0"/>
    <cellStyle name="강조색3 5 24" xfId="0"/>
    <cellStyle name="강조색3 5 25" xfId="0"/>
    <cellStyle name="강조색3 5 26" xfId="0"/>
    <cellStyle name="강조색3 5 27" xfId="0"/>
    <cellStyle name="강조색3 5 28" xfId="0"/>
    <cellStyle name="강조색3 5 29" xfId="0"/>
    <cellStyle name="강조색3 5 3" xfId="0"/>
    <cellStyle name="강조색3 5 30" xfId="0"/>
    <cellStyle name="강조색3 5 31" xfId="0"/>
    <cellStyle name="강조색3 5 32" xfId="0"/>
    <cellStyle name="강조색3 5 33" xfId="0"/>
    <cellStyle name="강조색3 5 34" xfId="0"/>
    <cellStyle name="강조색3 5 4" xfId="0"/>
    <cellStyle name="강조색3 5 5" xfId="0"/>
    <cellStyle name="강조색3 5 6" xfId="0"/>
    <cellStyle name="강조색3 5 7" xfId="0"/>
    <cellStyle name="강조색3 5 8" xfId="0"/>
    <cellStyle name="강조색3 5 9" xfId="0"/>
    <cellStyle name="강조색3 6" xfId="0"/>
    <cellStyle name="강조색3 6 10" xfId="0"/>
    <cellStyle name="강조색3 6 11" xfId="0"/>
    <cellStyle name="강조색3 6 12" xfId="0"/>
    <cellStyle name="강조색3 6 13" xfId="0"/>
    <cellStyle name="강조색3 6 14" xfId="0"/>
    <cellStyle name="강조색3 6 15" xfId="0"/>
    <cellStyle name="강조색3 6 16" xfId="0"/>
    <cellStyle name="강조색3 6 17" xfId="0"/>
    <cellStyle name="강조색3 6 18" xfId="0"/>
    <cellStyle name="강조색3 6 19" xfId="0"/>
    <cellStyle name="강조색3 6 2" xfId="0"/>
    <cellStyle name="강조색3 6 20" xfId="0"/>
    <cellStyle name="강조색3 6 21" xfId="0"/>
    <cellStyle name="강조색3 6 22" xfId="0"/>
    <cellStyle name="강조색3 6 23" xfId="0"/>
    <cellStyle name="강조색3 6 24" xfId="0"/>
    <cellStyle name="강조색3 6 25" xfId="0"/>
    <cellStyle name="강조색3 6 26" xfId="0"/>
    <cellStyle name="강조색3 6 27" xfId="0"/>
    <cellStyle name="강조색3 6 28" xfId="0"/>
    <cellStyle name="강조색3 6 29" xfId="0"/>
    <cellStyle name="강조색3 6 3" xfId="0"/>
    <cellStyle name="강조색3 6 30" xfId="0"/>
    <cellStyle name="강조색3 6 4" xfId="0"/>
    <cellStyle name="강조색3 6 5" xfId="0"/>
    <cellStyle name="강조색3 6 6" xfId="0"/>
    <cellStyle name="강조색3 6 7" xfId="0"/>
    <cellStyle name="강조색3 6 8" xfId="0"/>
    <cellStyle name="강조색3 6 9" xfId="0"/>
    <cellStyle name="강조색3 7" xfId="0"/>
    <cellStyle name="강조색3 7 10" xfId="0"/>
    <cellStyle name="강조색3 7 11" xfId="0"/>
    <cellStyle name="강조색3 7 12" xfId="0"/>
    <cellStyle name="강조색3 7 13" xfId="0"/>
    <cellStyle name="강조색3 7 14" xfId="0"/>
    <cellStyle name="강조색3 7 15" xfId="0"/>
    <cellStyle name="강조색3 7 2" xfId="0"/>
    <cellStyle name="강조색3 7 2 2" xfId="0"/>
    <cellStyle name="강조색3 7 3" xfId="0"/>
    <cellStyle name="강조색3 7 3 2" xfId="0"/>
    <cellStyle name="강조색3 7 4" xfId="0"/>
    <cellStyle name="강조색3 7 4 2" xfId="0"/>
    <cellStyle name="강조색3 7 5" xfId="0"/>
    <cellStyle name="강조색3 7 5 2" xfId="0"/>
    <cellStyle name="강조색3 7 6" xfId="0"/>
    <cellStyle name="강조색3 7 6 2" xfId="0"/>
    <cellStyle name="강조색3 7 7" xfId="0"/>
    <cellStyle name="강조색3 7 8" xfId="0"/>
    <cellStyle name="강조색3 7 9" xfId="0"/>
    <cellStyle name="강조색3 8" xfId="0"/>
    <cellStyle name="강조색3 8 10" xfId="0"/>
    <cellStyle name="강조색3 8 11" xfId="0"/>
    <cellStyle name="강조색3 8 12" xfId="0"/>
    <cellStyle name="강조색3 8 13" xfId="0"/>
    <cellStyle name="강조색3 8 14" xfId="0"/>
    <cellStyle name="강조색3 8 2" xfId="0"/>
    <cellStyle name="강조색3 8 2 2" xfId="0"/>
    <cellStyle name="강조색3 8 3" xfId="0"/>
    <cellStyle name="강조색3 8 3 2" xfId="0"/>
    <cellStyle name="강조색3 8 4" xfId="0"/>
    <cellStyle name="강조색3 8 4 2" xfId="0"/>
    <cellStyle name="강조색3 8 5" xfId="0"/>
    <cellStyle name="강조색3 8 5 2" xfId="0"/>
    <cellStyle name="강조색3 8 6" xfId="0"/>
    <cellStyle name="강조색3 8 6 2" xfId="0"/>
    <cellStyle name="강조색3 8 7" xfId="0"/>
    <cellStyle name="강조색3 8 8" xfId="0"/>
    <cellStyle name="강조색3 8 9" xfId="0"/>
    <cellStyle name="강조색3 9" xfId="0"/>
    <cellStyle name="강조색3 9 10" xfId="0"/>
    <cellStyle name="강조색3 9 11" xfId="0"/>
    <cellStyle name="강조색3 9 12" xfId="0"/>
    <cellStyle name="강조색3 9 13" xfId="0"/>
    <cellStyle name="강조색3 9 14" xfId="0"/>
    <cellStyle name="강조색3 9 2" xfId="0"/>
    <cellStyle name="강조색3 9 2 2" xfId="0"/>
    <cellStyle name="강조색3 9 3" xfId="0"/>
    <cellStyle name="강조색3 9 3 2" xfId="0"/>
    <cellStyle name="강조색3 9 4" xfId="0"/>
    <cellStyle name="강조색3 9 4 2" xfId="0"/>
    <cellStyle name="강조색3 9 5" xfId="0"/>
    <cellStyle name="강조색3 9 5 2" xfId="0"/>
    <cellStyle name="강조색3 9 6" xfId="0"/>
    <cellStyle name="강조색3 9 6 2" xfId="0"/>
    <cellStyle name="강조색3 9 7" xfId="0"/>
    <cellStyle name="강조색3 9 8" xfId="0"/>
    <cellStyle name="강조색3 9 9" xfId="0"/>
    <cellStyle name="강조색4 10" xfId="0"/>
    <cellStyle name="강조색4 10 2" xfId="0"/>
    <cellStyle name="강조색4 10 2 2" xfId="0"/>
    <cellStyle name="강조색4 10 3" xfId="0"/>
    <cellStyle name="강조색4 10 3 2" xfId="0"/>
    <cellStyle name="강조색4 10 4" xfId="0"/>
    <cellStyle name="강조색4 10 4 2" xfId="0"/>
    <cellStyle name="강조색4 10 5" xfId="0"/>
    <cellStyle name="강조색4 10 6" xfId="0"/>
    <cellStyle name="강조색4 10 7" xfId="0"/>
    <cellStyle name="강조색4 11" xfId="0"/>
    <cellStyle name="강조색4 11 2" xfId="0"/>
    <cellStyle name="강조색4 11 2 2" xfId="0"/>
    <cellStyle name="강조색4 11 3" xfId="0"/>
    <cellStyle name="강조색4 11 3 2" xfId="0"/>
    <cellStyle name="강조색4 11 4" xfId="0"/>
    <cellStyle name="강조색4 11 4 2" xfId="0"/>
    <cellStyle name="강조색4 11 5" xfId="0"/>
    <cellStyle name="강조색4 11 6" xfId="0"/>
    <cellStyle name="강조색4 11 7" xfId="0"/>
    <cellStyle name="강조색4 12" xfId="0"/>
    <cellStyle name="강조색4 12 2" xfId="0"/>
    <cellStyle name="강조색4 12 3" xfId="0"/>
    <cellStyle name="강조색4 12 4" xfId="0"/>
    <cellStyle name="강조색4 12 5" xfId="0"/>
    <cellStyle name="강조색4 13" xfId="0"/>
    <cellStyle name="강조색4 13 2" xfId="0"/>
    <cellStyle name="강조색4 13 3" xfId="0"/>
    <cellStyle name="강조색4 13 4" xfId="0"/>
    <cellStyle name="강조색4 13 5" xfId="0"/>
    <cellStyle name="강조색4 14" xfId="0"/>
    <cellStyle name="강조색4 14 2" xfId="0"/>
    <cellStyle name="강조색4 15" xfId="0"/>
    <cellStyle name="강조색4 15 2" xfId="0"/>
    <cellStyle name="강조색4 16" xfId="0"/>
    <cellStyle name="강조색4 16 2" xfId="0"/>
    <cellStyle name="강조색4 17" xfId="0"/>
    <cellStyle name="강조색4 17 2" xfId="0"/>
    <cellStyle name="강조색4 18" xfId="0"/>
    <cellStyle name="강조색4 19" xfId="0"/>
    <cellStyle name="강조색4 2" xfId="0"/>
    <cellStyle name="강조색4 2 10" xfId="0"/>
    <cellStyle name="강조색4 2 11" xfId="0"/>
    <cellStyle name="강조색4 2 12" xfId="0"/>
    <cellStyle name="강조색4 2 13" xfId="0"/>
    <cellStyle name="강조색4 2 2" xfId="0"/>
    <cellStyle name="강조색4 2 2 10" xfId="0"/>
    <cellStyle name="강조색4 2 2 2" xfId="0"/>
    <cellStyle name="강조색4 2 2 3" xfId="0"/>
    <cellStyle name="강조색4 2 2 4" xfId="0"/>
    <cellStyle name="강조색4 2 2 5" xfId="0"/>
    <cellStyle name="강조색4 2 2 6" xfId="0"/>
    <cellStyle name="강조색4 2 2 7" xfId="0"/>
    <cellStyle name="강조색4 2 2 8" xfId="0"/>
    <cellStyle name="강조색4 2 2 9" xfId="0"/>
    <cellStyle name="강조색4 2 3" xfId="0"/>
    <cellStyle name="강조색4 2 3 10" xfId="0"/>
    <cellStyle name="강조색4 2 3 2" xfId="0"/>
    <cellStyle name="강조색4 2 3 3" xfId="0"/>
    <cellStyle name="강조색4 2 3 4" xfId="0"/>
    <cellStyle name="강조색4 2 3 5" xfId="0"/>
    <cellStyle name="강조색4 2 3 6" xfId="0"/>
    <cellStyle name="강조색4 2 3 7" xfId="0"/>
    <cellStyle name="강조색4 2 3 8" xfId="0"/>
    <cellStyle name="강조색4 2 3 9" xfId="0"/>
    <cellStyle name="강조색4 2 4" xfId="0"/>
    <cellStyle name="강조색4 2 4 10" xfId="0"/>
    <cellStyle name="강조색4 2 4 2" xfId="0"/>
    <cellStyle name="강조색4 2 4 3" xfId="0"/>
    <cellStyle name="강조색4 2 4 4" xfId="0"/>
    <cellStyle name="강조색4 2 4 5" xfId="0"/>
    <cellStyle name="강조색4 2 4 6" xfId="0"/>
    <cellStyle name="강조색4 2 4 7" xfId="0"/>
    <cellStyle name="강조색4 2 4 8" xfId="0"/>
    <cellStyle name="강조색4 2 4 9" xfId="0"/>
    <cellStyle name="강조색4 2 5" xfId="0"/>
    <cellStyle name="강조색4 2 5 10" xfId="0"/>
    <cellStyle name="강조색4 2 5 2" xfId="0"/>
    <cellStyle name="강조색4 2 5 3" xfId="0"/>
    <cellStyle name="강조색4 2 5 4" xfId="0"/>
    <cellStyle name="강조색4 2 5 5" xfId="0"/>
    <cellStyle name="강조색4 2 5 6" xfId="0"/>
    <cellStyle name="강조색4 2 5 7" xfId="0"/>
    <cellStyle name="강조색4 2 5 8" xfId="0"/>
    <cellStyle name="강조색4 2 5 9" xfId="0"/>
    <cellStyle name="강조색4 2 6" xfId="0"/>
    <cellStyle name="강조색4 2 6 10" xfId="0"/>
    <cellStyle name="강조색4 2 6 2" xfId="0"/>
    <cellStyle name="강조색4 2 6 3" xfId="0"/>
    <cellStyle name="강조색4 2 6 4" xfId="0"/>
    <cellStyle name="강조색4 2 6 5" xfId="0"/>
    <cellStyle name="강조색4 2 6 6" xfId="0"/>
    <cellStyle name="강조색4 2 6 7" xfId="0"/>
    <cellStyle name="강조색4 2 6 8" xfId="0"/>
    <cellStyle name="강조색4 2 6 9" xfId="0"/>
    <cellStyle name="강조색4 2 7" xfId="0"/>
    <cellStyle name="강조색4 2 7 10" xfId="0"/>
    <cellStyle name="강조색4 2 7 2" xfId="0"/>
    <cellStyle name="강조색4 2 7 3" xfId="0"/>
    <cellStyle name="강조색4 2 7 4" xfId="0"/>
    <cellStyle name="강조색4 2 7 5" xfId="0"/>
    <cellStyle name="강조색4 2 7 6" xfId="0"/>
    <cellStyle name="강조색4 2 7 7" xfId="0"/>
    <cellStyle name="강조색4 2 7 8" xfId="0"/>
    <cellStyle name="강조색4 2 7 9" xfId="0"/>
    <cellStyle name="강조색4 2 8" xfId="0"/>
    <cellStyle name="강조색4 2 8 2" xfId="0"/>
    <cellStyle name="강조색4 2 9" xfId="0"/>
    <cellStyle name="강조색4 20" xfId="0"/>
    <cellStyle name="강조색4 21" xfId="0"/>
    <cellStyle name="강조색4 22" xfId="0"/>
    <cellStyle name="강조색4 23" xfId="0"/>
    <cellStyle name="강조색4 24" xfId="0"/>
    <cellStyle name="강조색4 25" xfId="0"/>
    <cellStyle name="강조색4 26" xfId="0"/>
    <cellStyle name="강조색4 27" xfId="0"/>
    <cellStyle name="강조색4 2_3300현금및예치금" xfId="0"/>
    <cellStyle name="강조색4 3" xfId="0"/>
    <cellStyle name="강조색4 3 10" xfId="0"/>
    <cellStyle name="강조색4 3 10 2" xfId="0"/>
    <cellStyle name="강조색4 3 11" xfId="0"/>
    <cellStyle name="강조색4 3 11 2" xfId="0"/>
    <cellStyle name="강조색4 3 12" xfId="0"/>
    <cellStyle name="강조색4 3 12 2" xfId="0"/>
    <cellStyle name="강조색4 3 13" xfId="0"/>
    <cellStyle name="강조색4 3 14" xfId="0"/>
    <cellStyle name="강조색4 3 15" xfId="0"/>
    <cellStyle name="강조색4 3 16" xfId="0"/>
    <cellStyle name="강조색4 3 17" xfId="0"/>
    <cellStyle name="강조색4 3 18" xfId="0"/>
    <cellStyle name="강조색4 3 19" xfId="0"/>
    <cellStyle name="강조색4 3 2" xfId="0"/>
    <cellStyle name="강조색4 3 2 2" xfId="0"/>
    <cellStyle name="강조색4 3 2 3" xfId="0"/>
    <cellStyle name="강조색4 3 20" xfId="0"/>
    <cellStyle name="강조색4 3 3" xfId="0"/>
    <cellStyle name="강조색4 3 3 2" xfId="0"/>
    <cellStyle name="강조색4 3 3 3" xfId="0"/>
    <cellStyle name="강조색4 3 4" xfId="0"/>
    <cellStyle name="강조색4 3 4 2" xfId="0"/>
    <cellStyle name="강조색4 3 4 3" xfId="0"/>
    <cellStyle name="강조색4 3 5" xfId="0"/>
    <cellStyle name="강조색4 3 5 2" xfId="0"/>
    <cellStyle name="강조색4 3 5 3" xfId="0"/>
    <cellStyle name="강조색4 3 6" xfId="0"/>
    <cellStyle name="강조색4 3 6 2" xfId="0"/>
    <cellStyle name="강조색4 3 6 3" xfId="0"/>
    <cellStyle name="강조색4 3 7" xfId="0"/>
    <cellStyle name="강조색4 3 7 2" xfId="0"/>
    <cellStyle name="강조색4 3 7 3" xfId="0"/>
    <cellStyle name="강조색4 3 8" xfId="0"/>
    <cellStyle name="강조색4 3 8 2" xfId="0"/>
    <cellStyle name="강조색4 3 8 3" xfId="0"/>
    <cellStyle name="강조색4 3 9" xfId="0"/>
    <cellStyle name="강조색4 3 9 2" xfId="0"/>
    <cellStyle name="강조색4 3_운용자산별 손익분석" xfId="0"/>
    <cellStyle name="강조색4 4" xfId="0"/>
    <cellStyle name="강조색4 4 10" xfId="0"/>
    <cellStyle name="강조색4 4 11" xfId="0"/>
    <cellStyle name="강조색4 4 12" xfId="0"/>
    <cellStyle name="강조색4 4 13" xfId="0"/>
    <cellStyle name="강조색4 4 2" xfId="0"/>
    <cellStyle name="강조색4 4 3" xfId="0"/>
    <cellStyle name="강조색4 4 4" xfId="0"/>
    <cellStyle name="강조색4 4 5" xfId="0"/>
    <cellStyle name="강조색4 4 6" xfId="0"/>
    <cellStyle name="강조색4 4 7" xfId="0"/>
    <cellStyle name="강조색4 4 8" xfId="0"/>
    <cellStyle name="강조색4 4 9" xfId="0"/>
    <cellStyle name="강조색4 4_운용자산별 손익분석" xfId="0"/>
    <cellStyle name="강조색4 5" xfId="0"/>
    <cellStyle name="강조색4 5 10" xfId="0"/>
    <cellStyle name="강조색4 5 11" xfId="0"/>
    <cellStyle name="강조색4 5 12" xfId="0"/>
    <cellStyle name="강조색4 5 13" xfId="0"/>
    <cellStyle name="강조색4 5 14" xfId="0"/>
    <cellStyle name="강조색4 5 15" xfId="0"/>
    <cellStyle name="강조색4 5 16" xfId="0"/>
    <cellStyle name="강조색4 5 17" xfId="0"/>
    <cellStyle name="강조색4 5 18" xfId="0"/>
    <cellStyle name="강조색4 5 19" xfId="0"/>
    <cellStyle name="강조색4 5 2" xfId="0"/>
    <cellStyle name="강조색4 5 20" xfId="0"/>
    <cellStyle name="강조색4 5 21" xfId="0"/>
    <cellStyle name="강조색4 5 22" xfId="0"/>
    <cellStyle name="강조색4 5 23" xfId="0"/>
    <cellStyle name="강조색4 5 24" xfId="0"/>
    <cellStyle name="강조색4 5 25" xfId="0"/>
    <cellStyle name="강조색4 5 26" xfId="0"/>
    <cellStyle name="강조색4 5 27" xfId="0"/>
    <cellStyle name="강조색4 5 28" xfId="0"/>
    <cellStyle name="강조색4 5 29" xfId="0"/>
    <cellStyle name="강조색4 5 3" xfId="0"/>
    <cellStyle name="강조색4 5 30" xfId="0"/>
    <cellStyle name="강조색4 5 31" xfId="0"/>
    <cellStyle name="강조색4 5 32" xfId="0"/>
    <cellStyle name="강조색4 5 33" xfId="0"/>
    <cellStyle name="강조색4 5 34" xfId="0"/>
    <cellStyle name="강조색4 5 4" xfId="0"/>
    <cellStyle name="강조색4 5 5" xfId="0"/>
    <cellStyle name="강조색4 5 6" xfId="0"/>
    <cellStyle name="강조색4 5 7" xfId="0"/>
    <cellStyle name="강조색4 5 8" xfId="0"/>
    <cellStyle name="강조색4 5 9" xfId="0"/>
    <cellStyle name="강조색4 6" xfId="0"/>
    <cellStyle name="강조색4 6 10" xfId="0"/>
    <cellStyle name="강조색4 6 11" xfId="0"/>
    <cellStyle name="강조색4 6 12" xfId="0"/>
    <cellStyle name="강조색4 6 13" xfId="0"/>
    <cellStyle name="강조색4 6 14" xfId="0"/>
    <cellStyle name="강조색4 6 15" xfId="0"/>
    <cellStyle name="강조색4 6 16" xfId="0"/>
    <cellStyle name="강조색4 6 17" xfId="0"/>
    <cellStyle name="강조색4 6 18" xfId="0"/>
    <cellStyle name="강조색4 6 19" xfId="0"/>
    <cellStyle name="강조색4 6 2" xfId="0"/>
    <cellStyle name="강조색4 6 20" xfId="0"/>
    <cellStyle name="강조색4 6 21" xfId="0"/>
    <cellStyle name="강조색4 6 22" xfId="0"/>
    <cellStyle name="강조색4 6 23" xfId="0"/>
    <cellStyle name="강조색4 6 24" xfId="0"/>
    <cellStyle name="강조색4 6 25" xfId="0"/>
    <cellStyle name="강조색4 6 26" xfId="0"/>
    <cellStyle name="강조색4 6 27" xfId="0"/>
    <cellStyle name="강조색4 6 28" xfId="0"/>
    <cellStyle name="강조색4 6 29" xfId="0"/>
    <cellStyle name="강조색4 6 3" xfId="0"/>
    <cellStyle name="강조색4 6 30" xfId="0"/>
    <cellStyle name="강조색4 6 4" xfId="0"/>
    <cellStyle name="강조색4 6 5" xfId="0"/>
    <cellStyle name="강조색4 6 6" xfId="0"/>
    <cellStyle name="강조색4 6 7" xfId="0"/>
    <cellStyle name="강조색4 6 8" xfId="0"/>
    <cellStyle name="강조색4 6 9" xfId="0"/>
    <cellStyle name="강조색4 7" xfId="0"/>
    <cellStyle name="강조색4 7 10" xfId="0"/>
    <cellStyle name="강조색4 7 11" xfId="0"/>
    <cellStyle name="강조색4 7 12" xfId="0"/>
    <cellStyle name="강조색4 7 13" xfId="0"/>
    <cellStyle name="강조색4 7 14" xfId="0"/>
    <cellStyle name="강조색4 7 15" xfId="0"/>
    <cellStyle name="강조색4 7 2" xfId="0"/>
    <cellStyle name="강조색4 7 2 2" xfId="0"/>
    <cellStyle name="강조색4 7 3" xfId="0"/>
    <cellStyle name="강조색4 7 3 2" xfId="0"/>
    <cellStyle name="강조색4 7 4" xfId="0"/>
    <cellStyle name="강조색4 7 4 2" xfId="0"/>
    <cellStyle name="강조색4 7 5" xfId="0"/>
    <cellStyle name="강조색4 7 5 2" xfId="0"/>
    <cellStyle name="강조색4 7 6" xfId="0"/>
    <cellStyle name="강조색4 7 6 2" xfId="0"/>
    <cellStyle name="강조색4 7 7" xfId="0"/>
    <cellStyle name="강조색4 7 8" xfId="0"/>
    <cellStyle name="강조색4 7 9" xfId="0"/>
    <cellStyle name="강조색4 8" xfId="0"/>
    <cellStyle name="강조색4 8 10" xfId="0"/>
    <cellStyle name="강조색4 8 11" xfId="0"/>
    <cellStyle name="강조색4 8 12" xfId="0"/>
    <cellStyle name="강조색4 8 13" xfId="0"/>
    <cellStyle name="강조색4 8 14" xfId="0"/>
    <cellStyle name="강조색4 8 2" xfId="0"/>
    <cellStyle name="강조색4 8 2 2" xfId="0"/>
    <cellStyle name="강조색4 8 3" xfId="0"/>
    <cellStyle name="강조색4 8 3 2" xfId="0"/>
    <cellStyle name="강조색4 8 4" xfId="0"/>
    <cellStyle name="강조색4 8 4 2" xfId="0"/>
    <cellStyle name="강조색4 8 5" xfId="0"/>
    <cellStyle name="강조색4 8 5 2" xfId="0"/>
    <cellStyle name="강조색4 8 6" xfId="0"/>
    <cellStyle name="강조색4 8 6 2" xfId="0"/>
    <cellStyle name="강조색4 8 7" xfId="0"/>
    <cellStyle name="강조색4 8 8" xfId="0"/>
    <cellStyle name="강조색4 8 9" xfId="0"/>
    <cellStyle name="강조색4 9" xfId="0"/>
    <cellStyle name="강조색4 9 10" xfId="0"/>
    <cellStyle name="강조색4 9 11" xfId="0"/>
    <cellStyle name="강조색4 9 12" xfId="0"/>
    <cellStyle name="강조색4 9 13" xfId="0"/>
    <cellStyle name="강조색4 9 14" xfId="0"/>
    <cellStyle name="강조색4 9 2" xfId="0"/>
    <cellStyle name="강조색4 9 2 2" xfId="0"/>
    <cellStyle name="강조색4 9 3" xfId="0"/>
    <cellStyle name="강조색4 9 3 2" xfId="0"/>
    <cellStyle name="강조색4 9 4" xfId="0"/>
    <cellStyle name="강조색4 9 4 2" xfId="0"/>
    <cellStyle name="강조색4 9 5" xfId="0"/>
    <cellStyle name="강조색4 9 5 2" xfId="0"/>
    <cellStyle name="강조색4 9 6" xfId="0"/>
    <cellStyle name="강조색4 9 6 2" xfId="0"/>
    <cellStyle name="강조색4 9 7" xfId="0"/>
    <cellStyle name="강조색4 9 8" xfId="0"/>
    <cellStyle name="강조색4 9 9" xfId="0"/>
    <cellStyle name="강조색5 10" xfId="0"/>
    <cellStyle name="강조색5 10 2" xfId="0"/>
    <cellStyle name="강조색5 10 2 2" xfId="0"/>
    <cellStyle name="강조색5 10 3" xfId="0"/>
    <cellStyle name="강조색5 10 3 2" xfId="0"/>
    <cellStyle name="강조색5 10 4" xfId="0"/>
    <cellStyle name="강조색5 10 4 2" xfId="0"/>
    <cellStyle name="강조색5 10 5" xfId="0"/>
    <cellStyle name="강조색5 10 6" xfId="0"/>
    <cellStyle name="강조색5 10 7" xfId="0"/>
    <cellStyle name="강조색5 11" xfId="0"/>
    <cellStyle name="강조색5 11 2" xfId="0"/>
    <cellStyle name="강조색5 11 2 2" xfId="0"/>
    <cellStyle name="강조색5 11 3" xfId="0"/>
    <cellStyle name="강조색5 11 3 2" xfId="0"/>
    <cellStyle name="강조색5 11 4" xfId="0"/>
    <cellStyle name="강조색5 11 4 2" xfId="0"/>
    <cellStyle name="강조색5 11 5" xfId="0"/>
    <cellStyle name="강조색5 11 6" xfId="0"/>
    <cellStyle name="강조색5 11 7" xfId="0"/>
    <cellStyle name="강조색5 12" xfId="0"/>
    <cellStyle name="강조색5 12 2" xfId="0"/>
    <cellStyle name="강조색5 12 3" xfId="0"/>
    <cellStyle name="강조색5 12 4" xfId="0"/>
    <cellStyle name="강조색5 12 5" xfId="0"/>
    <cellStyle name="강조색5 13" xfId="0"/>
    <cellStyle name="강조색5 13 2" xfId="0"/>
    <cellStyle name="강조색5 13 3" xfId="0"/>
    <cellStyle name="강조색5 13 4" xfId="0"/>
    <cellStyle name="강조색5 13 5" xfId="0"/>
    <cellStyle name="강조색5 14" xfId="0"/>
    <cellStyle name="강조색5 14 2" xfId="0"/>
    <cellStyle name="강조색5 15" xfId="0"/>
    <cellStyle name="강조색5 15 2" xfId="0"/>
    <cellStyle name="강조색5 16" xfId="0"/>
    <cellStyle name="강조색5 16 2" xfId="0"/>
    <cellStyle name="강조색5 17" xfId="0"/>
    <cellStyle name="강조색5 17 2" xfId="0"/>
    <cellStyle name="강조색5 18" xfId="0"/>
    <cellStyle name="강조색5 19" xfId="0"/>
    <cellStyle name="강조색5 2" xfId="0"/>
    <cellStyle name="강조색5 2 10" xfId="0"/>
    <cellStyle name="강조색5 2 11" xfId="0"/>
    <cellStyle name="강조색5 2 12" xfId="0"/>
    <cellStyle name="강조색5 2 13" xfId="0"/>
    <cellStyle name="강조색5 2 2" xfId="0"/>
    <cellStyle name="강조색5 2 2 10" xfId="0"/>
    <cellStyle name="강조색5 2 2 2" xfId="0"/>
    <cellStyle name="강조색5 2 2 3" xfId="0"/>
    <cellStyle name="강조색5 2 2 4" xfId="0"/>
    <cellStyle name="강조색5 2 2 5" xfId="0"/>
    <cellStyle name="강조색5 2 2 6" xfId="0"/>
    <cellStyle name="강조색5 2 2 7" xfId="0"/>
    <cellStyle name="강조색5 2 2 8" xfId="0"/>
    <cellStyle name="강조색5 2 2 9" xfId="0"/>
    <cellStyle name="강조색5 2 3" xfId="0"/>
    <cellStyle name="강조색5 2 3 10" xfId="0"/>
    <cellStyle name="강조색5 2 3 2" xfId="0"/>
    <cellStyle name="강조색5 2 3 3" xfId="0"/>
    <cellStyle name="강조색5 2 3 4" xfId="0"/>
    <cellStyle name="강조색5 2 3 5" xfId="0"/>
    <cellStyle name="강조색5 2 3 6" xfId="0"/>
    <cellStyle name="강조색5 2 3 7" xfId="0"/>
    <cellStyle name="강조색5 2 3 8" xfId="0"/>
    <cellStyle name="강조색5 2 3 9" xfId="0"/>
    <cellStyle name="강조색5 2 4" xfId="0"/>
    <cellStyle name="강조색5 2 4 10" xfId="0"/>
    <cellStyle name="강조색5 2 4 2" xfId="0"/>
    <cellStyle name="강조색5 2 4 3" xfId="0"/>
    <cellStyle name="강조색5 2 4 4" xfId="0"/>
    <cellStyle name="강조색5 2 4 5" xfId="0"/>
    <cellStyle name="강조색5 2 4 6" xfId="0"/>
    <cellStyle name="강조색5 2 4 7" xfId="0"/>
    <cellStyle name="강조색5 2 4 8" xfId="0"/>
    <cellStyle name="강조색5 2 4 9" xfId="0"/>
    <cellStyle name="강조색5 2 5" xfId="0"/>
    <cellStyle name="강조색5 2 5 10" xfId="0"/>
    <cellStyle name="강조색5 2 5 2" xfId="0"/>
    <cellStyle name="강조색5 2 5 3" xfId="0"/>
    <cellStyle name="강조색5 2 5 4" xfId="0"/>
    <cellStyle name="강조색5 2 5 5" xfId="0"/>
    <cellStyle name="강조색5 2 5 6" xfId="0"/>
    <cellStyle name="강조색5 2 5 7" xfId="0"/>
    <cellStyle name="강조색5 2 5 8" xfId="0"/>
    <cellStyle name="강조색5 2 5 9" xfId="0"/>
    <cellStyle name="강조색5 2 6" xfId="0"/>
    <cellStyle name="강조색5 2 6 10" xfId="0"/>
    <cellStyle name="강조색5 2 6 2" xfId="0"/>
    <cellStyle name="강조색5 2 6 3" xfId="0"/>
    <cellStyle name="강조색5 2 6 4" xfId="0"/>
    <cellStyle name="강조색5 2 6 5" xfId="0"/>
    <cellStyle name="강조색5 2 6 6" xfId="0"/>
    <cellStyle name="강조색5 2 6 7" xfId="0"/>
    <cellStyle name="강조색5 2 6 8" xfId="0"/>
    <cellStyle name="강조색5 2 6 9" xfId="0"/>
    <cellStyle name="강조색5 2 7" xfId="0"/>
    <cellStyle name="강조색5 2 7 10" xfId="0"/>
    <cellStyle name="강조색5 2 7 2" xfId="0"/>
    <cellStyle name="강조색5 2 7 3" xfId="0"/>
    <cellStyle name="강조색5 2 7 4" xfId="0"/>
    <cellStyle name="강조색5 2 7 5" xfId="0"/>
    <cellStyle name="강조색5 2 7 6" xfId="0"/>
    <cellStyle name="강조색5 2 7 7" xfId="0"/>
    <cellStyle name="강조색5 2 7 8" xfId="0"/>
    <cellStyle name="강조색5 2 7 9" xfId="0"/>
    <cellStyle name="강조색5 2 8" xfId="0"/>
    <cellStyle name="강조색5 2 8 2" xfId="0"/>
    <cellStyle name="강조색5 2 9" xfId="0"/>
    <cellStyle name="강조색5 20" xfId="0"/>
    <cellStyle name="강조색5 21" xfId="0"/>
    <cellStyle name="강조색5 22" xfId="0"/>
    <cellStyle name="강조색5 23" xfId="0"/>
    <cellStyle name="강조색5 24" xfId="0"/>
    <cellStyle name="강조색5 25" xfId="0"/>
    <cellStyle name="강조색5 26" xfId="0"/>
    <cellStyle name="강조색5 27" xfId="0"/>
    <cellStyle name="강조색5 2_3300현금및예치금" xfId="0"/>
    <cellStyle name="강조색5 3" xfId="0"/>
    <cellStyle name="강조색5 3 10" xfId="0"/>
    <cellStyle name="강조색5 3 10 2" xfId="0"/>
    <cellStyle name="강조색5 3 11" xfId="0"/>
    <cellStyle name="강조색5 3 11 2" xfId="0"/>
    <cellStyle name="강조색5 3 12" xfId="0"/>
    <cellStyle name="강조색5 3 12 2" xfId="0"/>
    <cellStyle name="강조색5 3 13" xfId="0"/>
    <cellStyle name="강조색5 3 14" xfId="0"/>
    <cellStyle name="강조색5 3 15" xfId="0"/>
    <cellStyle name="강조색5 3 16" xfId="0"/>
    <cellStyle name="강조색5 3 17" xfId="0"/>
    <cellStyle name="강조색5 3 18" xfId="0"/>
    <cellStyle name="강조색5 3 19" xfId="0"/>
    <cellStyle name="강조색5 3 2" xfId="0"/>
    <cellStyle name="강조색5 3 2 2" xfId="0"/>
    <cellStyle name="강조색5 3 2 3" xfId="0"/>
    <cellStyle name="강조색5 3 20" xfId="0"/>
    <cellStyle name="강조색5 3 3" xfId="0"/>
    <cellStyle name="강조색5 3 3 2" xfId="0"/>
    <cellStyle name="강조색5 3 3 3" xfId="0"/>
    <cellStyle name="강조색5 3 4" xfId="0"/>
    <cellStyle name="강조색5 3 4 2" xfId="0"/>
    <cellStyle name="강조색5 3 4 3" xfId="0"/>
    <cellStyle name="강조색5 3 5" xfId="0"/>
    <cellStyle name="강조색5 3 5 2" xfId="0"/>
    <cellStyle name="강조색5 3 5 3" xfId="0"/>
    <cellStyle name="강조색5 3 6" xfId="0"/>
    <cellStyle name="강조색5 3 6 2" xfId="0"/>
    <cellStyle name="강조색5 3 6 3" xfId="0"/>
    <cellStyle name="강조색5 3 7" xfId="0"/>
    <cellStyle name="강조색5 3 7 2" xfId="0"/>
    <cellStyle name="강조색5 3 7 3" xfId="0"/>
    <cellStyle name="강조색5 3 8" xfId="0"/>
    <cellStyle name="강조색5 3 8 2" xfId="0"/>
    <cellStyle name="강조색5 3 8 3" xfId="0"/>
    <cellStyle name="강조색5 3 9" xfId="0"/>
    <cellStyle name="강조색5 3 9 2" xfId="0"/>
    <cellStyle name="강조색5 3_운용자산별 손익분석" xfId="0"/>
    <cellStyle name="강조색5 4" xfId="0"/>
    <cellStyle name="강조색5 4 10" xfId="0"/>
    <cellStyle name="강조색5 4 11" xfId="0"/>
    <cellStyle name="강조색5 4 12" xfId="0"/>
    <cellStyle name="강조색5 4 13" xfId="0"/>
    <cellStyle name="강조색5 4 2" xfId="0"/>
    <cellStyle name="강조색5 4 3" xfId="0"/>
    <cellStyle name="강조색5 4 4" xfId="0"/>
    <cellStyle name="강조색5 4 5" xfId="0"/>
    <cellStyle name="강조색5 4 6" xfId="0"/>
    <cellStyle name="강조색5 4 7" xfId="0"/>
    <cellStyle name="강조색5 4 8" xfId="0"/>
    <cellStyle name="강조색5 4 9" xfId="0"/>
    <cellStyle name="강조색5 4_운용자산별 손익분석" xfId="0"/>
    <cellStyle name="강조색5 5" xfId="0"/>
    <cellStyle name="강조색5 5 10" xfId="0"/>
    <cellStyle name="강조색5 5 11" xfId="0"/>
    <cellStyle name="강조색5 5 12" xfId="0"/>
    <cellStyle name="강조색5 5 13" xfId="0"/>
    <cellStyle name="강조색5 5 14" xfId="0"/>
    <cellStyle name="강조색5 5 15" xfId="0"/>
    <cellStyle name="강조색5 5 16" xfId="0"/>
    <cellStyle name="강조색5 5 17" xfId="0"/>
    <cellStyle name="강조색5 5 18" xfId="0"/>
    <cellStyle name="강조색5 5 19" xfId="0"/>
    <cellStyle name="강조색5 5 2" xfId="0"/>
    <cellStyle name="강조색5 5 20" xfId="0"/>
    <cellStyle name="강조색5 5 21" xfId="0"/>
    <cellStyle name="강조색5 5 22" xfId="0"/>
    <cellStyle name="강조색5 5 23" xfId="0"/>
    <cellStyle name="강조색5 5 24" xfId="0"/>
    <cellStyle name="강조색5 5 25" xfId="0"/>
    <cellStyle name="강조색5 5 26" xfId="0"/>
    <cellStyle name="강조색5 5 27" xfId="0"/>
    <cellStyle name="강조색5 5 28" xfId="0"/>
    <cellStyle name="강조색5 5 29" xfId="0"/>
    <cellStyle name="강조색5 5 3" xfId="0"/>
    <cellStyle name="강조색5 5 30" xfId="0"/>
    <cellStyle name="강조색5 5 31" xfId="0"/>
    <cellStyle name="강조색5 5 32" xfId="0"/>
    <cellStyle name="강조색5 5 33" xfId="0"/>
    <cellStyle name="강조색5 5 34" xfId="0"/>
    <cellStyle name="강조색5 5 4" xfId="0"/>
    <cellStyle name="강조색5 5 5" xfId="0"/>
    <cellStyle name="강조색5 5 6" xfId="0"/>
    <cellStyle name="강조색5 5 7" xfId="0"/>
    <cellStyle name="강조색5 5 8" xfId="0"/>
    <cellStyle name="강조색5 5 9" xfId="0"/>
    <cellStyle name="강조색5 6" xfId="0"/>
    <cellStyle name="강조색5 6 10" xfId="0"/>
    <cellStyle name="강조색5 6 11" xfId="0"/>
    <cellStyle name="강조색5 6 12" xfId="0"/>
    <cellStyle name="강조색5 6 13" xfId="0"/>
    <cellStyle name="강조색5 6 14" xfId="0"/>
    <cellStyle name="강조색5 6 15" xfId="0"/>
    <cellStyle name="강조색5 6 16" xfId="0"/>
    <cellStyle name="강조색5 6 17" xfId="0"/>
    <cellStyle name="강조색5 6 18" xfId="0"/>
    <cellStyle name="강조색5 6 19" xfId="0"/>
    <cellStyle name="강조색5 6 2" xfId="0"/>
    <cellStyle name="강조색5 6 20" xfId="0"/>
    <cellStyle name="강조색5 6 21" xfId="0"/>
    <cellStyle name="강조색5 6 22" xfId="0"/>
    <cellStyle name="강조색5 6 23" xfId="0"/>
    <cellStyle name="강조색5 6 24" xfId="0"/>
    <cellStyle name="강조색5 6 25" xfId="0"/>
    <cellStyle name="강조색5 6 26" xfId="0"/>
    <cellStyle name="강조색5 6 27" xfId="0"/>
    <cellStyle name="강조색5 6 28" xfId="0"/>
    <cellStyle name="강조색5 6 29" xfId="0"/>
    <cellStyle name="강조색5 6 3" xfId="0"/>
    <cellStyle name="강조색5 6 30" xfId="0"/>
    <cellStyle name="강조색5 6 4" xfId="0"/>
    <cellStyle name="강조색5 6 5" xfId="0"/>
    <cellStyle name="강조색5 6 6" xfId="0"/>
    <cellStyle name="강조색5 6 7" xfId="0"/>
    <cellStyle name="강조색5 6 8" xfId="0"/>
    <cellStyle name="강조색5 6 9" xfId="0"/>
    <cellStyle name="강조색5 7" xfId="0"/>
    <cellStyle name="강조색5 7 10" xfId="0"/>
    <cellStyle name="강조색5 7 11" xfId="0"/>
    <cellStyle name="강조색5 7 12" xfId="0"/>
    <cellStyle name="강조색5 7 13" xfId="0"/>
    <cellStyle name="강조색5 7 14" xfId="0"/>
    <cellStyle name="강조색5 7 15" xfId="0"/>
    <cellStyle name="강조색5 7 2" xfId="0"/>
    <cellStyle name="강조색5 7 2 2" xfId="0"/>
    <cellStyle name="강조색5 7 3" xfId="0"/>
    <cellStyle name="강조색5 7 3 2" xfId="0"/>
    <cellStyle name="강조색5 7 4" xfId="0"/>
    <cellStyle name="강조색5 7 4 2" xfId="0"/>
    <cellStyle name="강조색5 7 5" xfId="0"/>
    <cellStyle name="강조색5 7 5 2" xfId="0"/>
    <cellStyle name="강조색5 7 6" xfId="0"/>
    <cellStyle name="강조색5 7 6 2" xfId="0"/>
    <cellStyle name="강조색5 7 7" xfId="0"/>
    <cellStyle name="강조색5 7 8" xfId="0"/>
    <cellStyle name="강조색5 7 9" xfId="0"/>
    <cellStyle name="강조색5 8" xfId="0"/>
    <cellStyle name="강조색5 8 10" xfId="0"/>
    <cellStyle name="강조색5 8 11" xfId="0"/>
    <cellStyle name="강조색5 8 12" xfId="0"/>
    <cellStyle name="강조색5 8 13" xfId="0"/>
    <cellStyle name="강조색5 8 14" xfId="0"/>
    <cellStyle name="강조색5 8 2" xfId="0"/>
    <cellStyle name="강조색5 8 2 2" xfId="0"/>
    <cellStyle name="강조색5 8 3" xfId="0"/>
    <cellStyle name="강조색5 8 3 2" xfId="0"/>
    <cellStyle name="강조색5 8 4" xfId="0"/>
    <cellStyle name="강조색5 8 4 2" xfId="0"/>
    <cellStyle name="강조색5 8 5" xfId="0"/>
    <cellStyle name="강조색5 8 5 2" xfId="0"/>
    <cellStyle name="강조색5 8 6" xfId="0"/>
    <cellStyle name="강조색5 8 6 2" xfId="0"/>
    <cellStyle name="강조색5 8 7" xfId="0"/>
    <cellStyle name="강조색5 8 8" xfId="0"/>
    <cellStyle name="강조색5 8 9" xfId="0"/>
    <cellStyle name="강조색5 9" xfId="0"/>
    <cellStyle name="강조색5 9 10" xfId="0"/>
    <cellStyle name="강조색5 9 11" xfId="0"/>
    <cellStyle name="강조색5 9 12" xfId="0"/>
    <cellStyle name="강조색5 9 13" xfId="0"/>
    <cellStyle name="강조색5 9 14" xfId="0"/>
    <cellStyle name="강조색5 9 2" xfId="0"/>
    <cellStyle name="강조색5 9 2 2" xfId="0"/>
    <cellStyle name="강조색5 9 3" xfId="0"/>
    <cellStyle name="강조색5 9 3 2" xfId="0"/>
    <cellStyle name="강조색5 9 4" xfId="0"/>
    <cellStyle name="강조색5 9 4 2" xfId="0"/>
    <cellStyle name="강조색5 9 5" xfId="0"/>
    <cellStyle name="강조색5 9 5 2" xfId="0"/>
    <cellStyle name="강조색5 9 6" xfId="0"/>
    <cellStyle name="강조색5 9 6 2" xfId="0"/>
    <cellStyle name="강조색5 9 7" xfId="0"/>
    <cellStyle name="강조색5 9 8" xfId="0"/>
    <cellStyle name="강조색5 9 9" xfId="0"/>
    <cellStyle name="강조색6 10" xfId="0"/>
    <cellStyle name="강조색6 10 2" xfId="0"/>
    <cellStyle name="강조색6 10 2 2" xfId="0"/>
    <cellStyle name="강조색6 10 3" xfId="0"/>
    <cellStyle name="강조색6 10 3 2" xfId="0"/>
    <cellStyle name="강조색6 10 4" xfId="0"/>
    <cellStyle name="강조색6 10 4 2" xfId="0"/>
    <cellStyle name="강조색6 10 5" xfId="0"/>
    <cellStyle name="강조색6 10 6" xfId="0"/>
    <cellStyle name="강조색6 10 7" xfId="0"/>
    <cellStyle name="강조색6 11" xfId="0"/>
    <cellStyle name="강조색6 11 2" xfId="0"/>
    <cellStyle name="강조색6 11 2 2" xfId="0"/>
    <cellStyle name="강조색6 11 3" xfId="0"/>
    <cellStyle name="강조색6 11 3 2" xfId="0"/>
    <cellStyle name="강조색6 11 4" xfId="0"/>
    <cellStyle name="강조색6 11 4 2" xfId="0"/>
    <cellStyle name="강조색6 11 5" xfId="0"/>
    <cellStyle name="강조색6 11 6" xfId="0"/>
    <cellStyle name="강조색6 11 7" xfId="0"/>
    <cellStyle name="강조색6 12" xfId="0"/>
    <cellStyle name="강조색6 12 2" xfId="0"/>
    <cellStyle name="강조색6 12 3" xfId="0"/>
    <cellStyle name="강조색6 12 4" xfId="0"/>
    <cellStyle name="강조색6 12 5" xfId="0"/>
    <cellStyle name="강조색6 13" xfId="0"/>
    <cellStyle name="강조색6 13 2" xfId="0"/>
    <cellStyle name="강조색6 13 3" xfId="0"/>
    <cellStyle name="강조색6 13 4" xfId="0"/>
    <cellStyle name="강조색6 13 5" xfId="0"/>
    <cellStyle name="강조색6 14" xfId="0"/>
    <cellStyle name="강조색6 14 2" xfId="0"/>
    <cellStyle name="강조색6 15" xfId="0"/>
    <cellStyle name="강조색6 15 2" xfId="0"/>
    <cellStyle name="강조색6 16" xfId="0"/>
    <cellStyle name="강조색6 16 2" xfId="0"/>
    <cellStyle name="강조색6 17" xfId="0"/>
    <cellStyle name="강조색6 17 2" xfId="0"/>
    <cellStyle name="강조색6 18" xfId="0"/>
    <cellStyle name="강조색6 19" xfId="0"/>
    <cellStyle name="강조색6 2" xfId="0"/>
    <cellStyle name="강조색6 2 10" xfId="0"/>
    <cellStyle name="강조색6 2 11" xfId="0"/>
    <cellStyle name="강조색6 2 12" xfId="0"/>
    <cellStyle name="강조색6 2 13" xfId="0"/>
    <cellStyle name="강조색6 2 2" xfId="0"/>
    <cellStyle name="강조색6 2 2 10" xfId="0"/>
    <cellStyle name="강조색6 2 2 11" xfId="0"/>
    <cellStyle name="강조색6 2 2 2" xfId="0"/>
    <cellStyle name="강조색6 2 2 3" xfId="0"/>
    <cellStyle name="강조색6 2 2 4" xfId="0"/>
    <cellStyle name="강조색6 2 2 5" xfId="0"/>
    <cellStyle name="강조색6 2 2 6" xfId="0"/>
    <cellStyle name="강조색6 2 2 7" xfId="0"/>
    <cellStyle name="강조색6 2 2 8" xfId="0"/>
    <cellStyle name="강조색6 2 2 9" xfId="0"/>
    <cellStyle name="강조색6 2 3" xfId="0"/>
    <cellStyle name="강조색6 2 3 10" xfId="0"/>
    <cellStyle name="강조색6 2 3 2" xfId="0"/>
    <cellStyle name="강조색6 2 3 3" xfId="0"/>
    <cellStyle name="강조색6 2 3 4" xfId="0"/>
    <cellStyle name="강조색6 2 3 5" xfId="0"/>
    <cellStyle name="강조색6 2 3 6" xfId="0"/>
    <cellStyle name="강조색6 2 3 7" xfId="0"/>
    <cellStyle name="강조색6 2 3 8" xfId="0"/>
    <cellStyle name="강조색6 2 3 9" xfId="0"/>
    <cellStyle name="강조색6 2 4" xfId="0"/>
    <cellStyle name="강조색6 2 4 10" xfId="0"/>
    <cellStyle name="강조색6 2 4 2" xfId="0"/>
    <cellStyle name="강조색6 2 4 3" xfId="0"/>
    <cellStyle name="강조색6 2 4 4" xfId="0"/>
    <cellStyle name="강조색6 2 4 5" xfId="0"/>
    <cellStyle name="강조색6 2 4 6" xfId="0"/>
    <cellStyle name="강조색6 2 4 7" xfId="0"/>
    <cellStyle name="강조색6 2 4 8" xfId="0"/>
    <cellStyle name="강조색6 2 4 9" xfId="0"/>
    <cellStyle name="강조색6 2 5" xfId="0"/>
    <cellStyle name="강조색6 2 5 10" xfId="0"/>
    <cellStyle name="강조색6 2 5 2" xfId="0"/>
    <cellStyle name="강조색6 2 5 3" xfId="0"/>
    <cellStyle name="강조색6 2 5 4" xfId="0"/>
    <cellStyle name="강조색6 2 5 5" xfId="0"/>
    <cellStyle name="강조색6 2 5 6" xfId="0"/>
    <cellStyle name="강조색6 2 5 7" xfId="0"/>
    <cellStyle name="강조색6 2 5 8" xfId="0"/>
    <cellStyle name="강조색6 2 5 9" xfId="0"/>
    <cellStyle name="강조색6 2 6" xfId="0"/>
    <cellStyle name="강조색6 2 6 10" xfId="0"/>
    <cellStyle name="강조색6 2 6 2" xfId="0"/>
    <cellStyle name="강조색6 2 6 3" xfId="0"/>
    <cellStyle name="강조색6 2 6 4" xfId="0"/>
    <cellStyle name="강조색6 2 6 5" xfId="0"/>
    <cellStyle name="강조색6 2 6 6" xfId="0"/>
    <cellStyle name="강조색6 2 6 7" xfId="0"/>
    <cellStyle name="강조색6 2 6 8" xfId="0"/>
    <cellStyle name="강조색6 2 6 9" xfId="0"/>
    <cellStyle name="강조색6 2 7" xfId="0"/>
    <cellStyle name="강조색6 2 7 10" xfId="0"/>
    <cellStyle name="강조색6 2 7 2" xfId="0"/>
    <cellStyle name="강조색6 2 7 3" xfId="0"/>
    <cellStyle name="강조색6 2 7 4" xfId="0"/>
    <cellStyle name="강조색6 2 7 5" xfId="0"/>
    <cellStyle name="강조색6 2 7 6" xfId="0"/>
    <cellStyle name="강조색6 2 7 7" xfId="0"/>
    <cellStyle name="강조색6 2 7 8" xfId="0"/>
    <cellStyle name="강조색6 2 7 9" xfId="0"/>
    <cellStyle name="강조색6 2 8" xfId="0"/>
    <cellStyle name="강조색6 2 8 2" xfId="0"/>
    <cellStyle name="강조색6 2 9" xfId="0"/>
    <cellStyle name="강조색6 20" xfId="0"/>
    <cellStyle name="강조색6 21" xfId="0"/>
    <cellStyle name="강조색6 22" xfId="0"/>
    <cellStyle name="강조색6 23" xfId="0"/>
    <cellStyle name="강조색6 24" xfId="0"/>
    <cellStyle name="강조색6 25" xfId="0"/>
    <cellStyle name="강조색6 26" xfId="0"/>
    <cellStyle name="강조색6 27" xfId="0"/>
    <cellStyle name="강조색6 28" xfId="0"/>
    <cellStyle name="강조색6 2_3300현금및예치금" xfId="0"/>
    <cellStyle name="강조색6 3" xfId="0"/>
    <cellStyle name="강조색6 3 10" xfId="0"/>
    <cellStyle name="강조색6 3 10 2" xfId="0"/>
    <cellStyle name="강조색6 3 11" xfId="0"/>
    <cellStyle name="강조색6 3 11 2" xfId="0"/>
    <cellStyle name="강조색6 3 12" xfId="0"/>
    <cellStyle name="강조색6 3 12 2" xfId="0"/>
    <cellStyle name="강조색6 3 13" xfId="0"/>
    <cellStyle name="강조색6 3 14" xfId="0"/>
    <cellStyle name="강조색6 3 15" xfId="0"/>
    <cellStyle name="강조색6 3 16" xfId="0"/>
    <cellStyle name="강조색6 3 17" xfId="0"/>
    <cellStyle name="강조색6 3 18" xfId="0"/>
    <cellStyle name="강조색6 3 19" xfId="0"/>
    <cellStyle name="강조색6 3 2" xfId="0"/>
    <cellStyle name="강조색6 3 2 2" xfId="0"/>
    <cellStyle name="강조색6 3 2 3" xfId="0"/>
    <cellStyle name="강조색6 3 20" xfId="0"/>
    <cellStyle name="강조색6 3 3" xfId="0"/>
    <cellStyle name="강조색6 3 3 2" xfId="0"/>
    <cellStyle name="강조색6 3 3 3" xfId="0"/>
    <cellStyle name="강조색6 3 4" xfId="0"/>
    <cellStyle name="강조색6 3 4 2" xfId="0"/>
    <cellStyle name="강조색6 3 4 3" xfId="0"/>
    <cellStyle name="강조색6 3 5" xfId="0"/>
    <cellStyle name="강조색6 3 5 2" xfId="0"/>
    <cellStyle name="강조색6 3 5 3" xfId="0"/>
    <cellStyle name="강조색6 3 6" xfId="0"/>
    <cellStyle name="강조색6 3 6 2" xfId="0"/>
    <cellStyle name="강조색6 3 6 3" xfId="0"/>
    <cellStyle name="강조색6 3 7" xfId="0"/>
    <cellStyle name="강조색6 3 7 2" xfId="0"/>
    <cellStyle name="강조색6 3 7 3" xfId="0"/>
    <cellStyle name="강조색6 3 8" xfId="0"/>
    <cellStyle name="강조색6 3 8 2" xfId="0"/>
    <cellStyle name="강조색6 3 8 3" xfId="0"/>
    <cellStyle name="강조색6 3 9" xfId="0"/>
    <cellStyle name="강조색6 3 9 2" xfId="0"/>
    <cellStyle name="강조색6 3_운용자산별 손익분석" xfId="0"/>
    <cellStyle name="강조색6 4" xfId="0"/>
    <cellStyle name="강조색6 4 10" xfId="0"/>
    <cellStyle name="강조색6 4 11" xfId="0"/>
    <cellStyle name="강조색6 4 12" xfId="0"/>
    <cellStyle name="강조색6 4 13" xfId="0"/>
    <cellStyle name="강조색6 4 2" xfId="0"/>
    <cellStyle name="강조색6 4 3" xfId="0"/>
    <cellStyle name="강조색6 4 4" xfId="0"/>
    <cellStyle name="강조색6 4 5" xfId="0"/>
    <cellStyle name="강조색6 4 6" xfId="0"/>
    <cellStyle name="강조색6 4 7" xfId="0"/>
    <cellStyle name="강조색6 4 8" xfId="0"/>
    <cellStyle name="강조색6 4 9" xfId="0"/>
    <cellStyle name="강조색6 4_운용자산별 손익분석" xfId="0"/>
    <cellStyle name="강조색6 5" xfId="0"/>
    <cellStyle name="강조색6 5 10" xfId="0"/>
    <cellStyle name="강조색6 5 11" xfId="0"/>
    <cellStyle name="강조색6 5 12" xfId="0"/>
    <cellStyle name="강조색6 5 13" xfId="0"/>
    <cellStyle name="강조색6 5 14" xfId="0"/>
    <cellStyle name="강조색6 5 15" xfId="0"/>
    <cellStyle name="강조색6 5 16" xfId="0"/>
    <cellStyle name="강조색6 5 17" xfId="0"/>
    <cellStyle name="강조색6 5 18" xfId="0"/>
    <cellStyle name="강조색6 5 19" xfId="0"/>
    <cellStyle name="강조색6 5 2" xfId="0"/>
    <cellStyle name="강조색6 5 20" xfId="0"/>
    <cellStyle name="강조색6 5 21" xfId="0"/>
    <cellStyle name="강조색6 5 22" xfId="0"/>
    <cellStyle name="강조색6 5 23" xfId="0"/>
    <cellStyle name="강조색6 5 24" xfId="0"/>
    <cellStyle name="강조색6 5 25" xfId="0"/>
    <cellStyle name="강조색6 5 26" xfId="0"/>
    <cellStyle name="강조색6 5 27" xfId="0"/>
    <cellStyle name="강조색6 5 28" xfId="0"/>
    <cellStyle name="강조색6 5 29" xfId="0"/>
    <cellStyle name="강조색6 5 3" xfId="0"/>
    <cellStyle name="강조색6 5 30" xfId="0"/>
    <cellStyle name="강조색6 5 31" xfId="0"/>
    <cellStyle name="강조색6 5 32" xfId="0"/>
    <cellStyle name="강조색6 5 33" xfId="0"/>
    <cellStyle name="강조색6 5 34" xfId="0"/>
    <cellStyle name="강조색6 5 4" xfId="0"/>
    <cellStyle name="강조색6 5 5" xfId="0"/>
    <cellStyle name="강조색6 5 6" xfId="0"/>
    <cellStyle name="강조색6 5 7" xfId="0"/>
    <cellStyle name="강조색6 5 8" xfId="0"/>
    <cellStyle name="강조색6 5 9" xfId="0"/>
    <cellStyle name="강조색6 6" xfId="0"/>
    <cellStyle name="강조색6 6 10" xfId="0"/>
    <cellStyle name="강조색6 6 11" xfId="0"/>
    <cellStyle name="강조색6 6 12" xfId="0"/>
    <cellStyle name="강조색6 6 13" xfId="0"/>
    <cellStyle name="강조색6 6 14" xfId="0"/>
    <cellStyle name="강조색6 6 15" xfId="0"/>
    <cellStyle name="강조색6 6 16" xfId="0"/>
    <cellStyle name="강조색6 6 17" xfId="0"/>
    <cellStyle name="강조색6 6 18" xfId="0"/>
    <cellStyle name="강조색6 6 19" xfId="0"/>
    <cellStyle name="강조색6 6 2" xfId="0"/>
    <cellStyle name="강조색6 6 20" xfId="0"/>
    <cellStyle name="강조색6 6 21" xfId="0"/>
    <cellStyle name="강조색6 6 22" xfId="0"/>
    <cellStyle name="강조색6 6 23" xfId="0"/>
    <cellStyle name="강조색6 6 24" xfId="0"/>
    <cellStyle name="강조색6 6 25" xfId="0"/>
    <cellStyle name="강조색6 6 26" xfId="0"/>
    <cellStyle name="강조색6 6 27" xfId="0"/>
    <cellStyle name="강조색6 6 28" xfId="0"/>
    <cellStyle name="강조색6 6 29" xfId="0"/>
    <cellStyle name="강조색6 6 3" xfId="0"/>
    <cellStyle name="강조색6 6 30" xfId="0"/>
    <cellStyle name="강조색6 6 4" xfId="0"/>
    <cellStyle name="강조색6 6 5" xfId="0"/>
    <cellStyle name="강조색6 6 6" xfId="0"/>
    <cellStyle name="강조색6 6 7" xfId="0"/>
    <cellStyle name="강조색6 6 8" xfId="0"/>
    <cellStyle name="강조색6 6 9" xfId="0"/>
    <cellStyle name="강조색6 7" xfId="0"/>
    <cellStyle name="강조색6 7 10" xfId="0"/>
    <cellStyle name="강조색6 7 11" xfId="0"/>
    <cellStyle name="강조색6 7 12" xfId="0"/>
    <cellStyle name="강조색6 7 13" xfId="0"/>
    <cellStyle name="강조색6 7 14" xfId="0"/>
    <cellStyle name="강조색6 7 15" xfId="0"/>
    <cellStyle name="강조색6 7 2" xfId="0"/>
    <cellStyle name="강조색6 7 2 2" xfId="0"/>
    <cellStyle name="강조색6 7 3" xfId="0"/>
    <cellStyle name="강조색6 7 3 2" xfId="0"/>
    <cellStyle name="강조색6 7 4" xfId="0"/>
    <cellStyle name="강조색6 7 4 2" xfId="0"/>
    <cellStyle name="강조색6 7 5" xfId="0"/>
    <cellStyle name="강조색6 7 5 2" xfId="0"/>
    <cellStyle name="강조색6 7 6" xfId="0"/>
    <cellStyle name="강조색6 7 6 2" xfId="0"/>
    <cellStyle name="강조색6 7 7" xfId="0"/>
    <cellStyle name="강조색6 7 8" xfId="0"/>
    <cellStyle name="강조색6 7 9" xfId="0"/>
    <cellStyle name="강조색6 8" xfId="0"/>
    <cellStyle name="강조색6 8 10" xfId="0"/>
    <cellStyle name="강조색6 8 11" xfId="0"/>
    <cellStyle name="강조색6 8 12" xfId="0"/>
    <cellStyle name="강조색6 8 13" xfId="0"/>
    <cellStyle name="강조색6 8 14" xfId="0"/>
    <cellStyle name="강조색6 8 2" xfId="0"/>
    <cellStyle name="강조색6 8 2 2" xfId="0"/>
    <cellStyle name="강조색6 8 3" xfId="0"/>
    <cellStyle name="강조색6 8 3 2" xfId="0"/>
    <cellStyle name="강조색6 8 4" xfId="0"/>
    <cellStyle name="강조색6 8 4 2" xfId="0"/>
    <cellStyle name="강조색6 8 5" xfId="0"/>
    <cellStyle name="강조색6 8 5 2" xfId="0"/>
    <cellStyle name="강조색6 8 6" xfId="0"/>
    <cellStyle name="강조색6 8 6 2" xfId="0"/>
    <cellStyle name="강조색6 8 7" xfId="0"/>
    <cellStyle name="강조색6 8 8" xfId="0"/>
    <cellStyle name="강조색6 8 9" xfId="0"/>
    <cellStyle name="강조색6 9" xfId="0"/>
    <cellStyle name="강조색6 9 10" xfId="0"/>
    <cellStyle name="강조색6 9 11" xfId="0"/>
    <cellStyle name="강조색6 9 12" xfId="0"/>
    <cellStyle name="강조색6 9 13" xfId="0"/>
    <cellStyle name="강조색6 9 14" xfId="0"/>
    <cellStyle name="강조색6 9 2" xfId="0"/>
    <cellStyle name="강조색6 9 2 2" xfId="0"/>
    <cellStyle name="강조색6 9 3" xfId="0"/>
    <cellStyle name="강조색6 9 3 2" xfId="0"/>
    <cellStyle name="강조색6 9 4" xfId="0"/>
    <cellStyle name="강조색6 9 4 2" xfId="0"/>
    <cellStyle name="강조색6 9 5" xfId="0"/>
    <cellStyle name="강조색6 9 5 2" xfId="0"/>
    <cellStyle name="강조색6 9 6" xfId="0"/>
    <cellStyle name="강조색6 9 6 2" xfId="0"/>
    <cellStyle name="강조색6 9 7" xfId="0"/>
    <cellStyle name="강조색6 9 8" xfId="0"/>
    <cellStyle name="강조색6 9 9" xfId="0"/>
    <cellStyle name="견적" xfId="0"/>
    <cellStyle name="결산일" xfId="0"/>
    <cellStyle name="경고문 10" xfId="0"/>
    <cellStyle name="경고문 10 2" xfId="0"/>
    <cellStyle name="경고문 10 2 2" xfId="0"/>
    <cellStyle name="경고문 10 3" xfId="0"/>
    <cellStyle name="경고문 10 3 2" xfId="0"/>
    <cellStyle name="경고문 10 4" xfId="0"/>
    <cellStyle name="경고문 10 4 2" xfId="0"/>
    <cellStyle name="경고문 10 5" xfId="0"/>
    <cellStyle name="경고문 10 6" xfId="0"/>
    <cellStyle name="경고문 10 7" xfId="0"/>
    <cellStyle name="경고문 11" xfId="0"/>
    <cellStyle name="경고문 11 2" xfId="0"/>
    <cellStyle name="경고문 11 2 2" xfId="0"/>
    <cellStyle name="경고문 11 3" xfId="0"/>
    <cellStyle name="경고문 11 3 2" xfId="0"/>
    <cellStyle name="경고문 11 4" xfId="0"/>
    <cellStyle name="경고문 11 4 2" xfId="0"/>
    <cellStyle name="경고문 11 5" xfId="0"/>
    <cellStyle name="경고문 11 6" xfId="0"/>
    <cellStyle name="경고문 11 7" xfId="0"/>
    <cellStyle name="경고문 12" xfId="0"/>
    <cellStyle name="경고문 12 2" xfId="0"/>
    <cellStyle name="경고문 12 3" xfId="0"/>
    <cellStyle name="경고문 12 4" xfId="0"/>
    <cellStyle name="경고문 12 5" xfId="0"/>
    <cellStyle name="경고문 13" xfId="0"/>
    <cellStyle name="경고문 13 2" xfId="0"/>
    <cellStyle name="경고문 13 3" xfId="0"/>
    <cellStyle name="경고문 13 4" xfId="0"/>
    <cellStyle name="경고문 13 5" xfId="0"/>
    <cellStyle name="경고문 14" xfId="0"/>
    <cellStyle name="경고문 14 2" xfId="0"/>
    <cellStyle name="경고문 15" xfId="0"/>
    <cellStyle name="경고문 15 2" xfId="0"/>
    <cellStyle name="경고문 16" xfId="0"/>
    <cellStyle name="경고문 16 2" xfId="0"/>
    <cellStyle name="경고문 17" xfId="0"/>
    <cellStyle name="경고문 17 2" xfId="0"/>
    <cellStyle name="경고문 18" xfId="0"/>
    <cellStyle name="경고문 19" xfId="0"/>
    <cellStyle name="경고문 2" xfId="0"/>
    <cellStyle name="경고문 2 10" xfId="0"/>
    <cellStyle name="경고문 2 11" xfId="0"/>
    <cellStyle name="경고문 2 12" xfId="0"/>
    <cellStyle name="경고문 2 13" xfId="0"/>
    <cellStyle name="경고문 2 2" xfId="0"/>
    <cellStyle name="경고문 2 2 10" xfId="0"/>
    <cellStyle name="경고문 2 2 11" xfId="0"/>
    <cellStyle name="경고문 2 2 2" xfId="0"/>
    <cellStyle name="경고문 2 2 3" xfId="0"/>
    <cellStyle name="경고문 2 2 4" xfId="0"/>
    <cellStyle name="경고문 2 2 5" xfId="0"/>
    <cellStyle name="경고문 2 2 6" xfId="0"/>
    <cellStyle name="경고문 2 2 7" xfId="0"/>
    <cellStyle name="경고문 2 2 8" xfId="0"/>
    <cellStyle name="경고문 2 2 9" xfId="0"/>
    <cellStyle name="경고문 2 3" xfId="0"/>
    <cellStyle name="경고문 2 3 10" xfId="0"/>
    <cellStyle name="경고문 2 3 2" xfId="0"/>
    <cellStyle name="경고문 2 3 3" xfId="0"/>
    <cellStyle name="경고문 2 3 4" xfId="0"/>
    <cellStyle name="경고문 2 3 5" xfId="0"/>
    <cellStyle name="경고문 2 3 6" xfId="0"/>
    <cellStyle name="경고문 2 3 7" xfId="0"/>
    <cellStyle name="경고문 2 3 8" xfId="0"/>
    <cellStyle name="경고문 2 3 9" xfId="0"/>
    <cellStyle name="경고문 2 4" xfId="0"/>
    <cellStyle name="경고문 2 4 10" xfId="0"/>
    <cellStyle name="경고문 2 4 2" xfId="0"/>
    <cellStyle name="경고문 2 4 3" xfId="0"/>
    <cellStyle name="경고문 2 4 4" xfId="0"/>
    <cellStyle name="경고문 2 4 5" xfId="0"/>
    <cellStyle name="경고문 2 4 6" xfId="0"/>
    <cellStyle name="경고문 2 4 7" xfId="0"/>
    <cellStyle name="경고문 2 4 8" xfId="0"/>
    <cellStyle name="경고문 2 4 9" xfId="0"/>
    <cellStyle name="경고문 2 5" xfId="0"/>
    <cellStyle name="경고문 2 5 10" xfId="0"/>
    <cellStyle name="경고문 2 5 2" xfId="0"/>
    <cellStyle name="경고문 2 5 3" xfId="0"/>
    <cellStyle name="경고문 2 5 4" xfId="0"/>
    <cellStyle name="경고문 2 5 5" xfId="0"/>
    <cellStyle name="경고문 2 5 6" xfId="0"/>
    <cellStyle name="경고문 2 5 7" xfId="0"/>
    <cellStyle name="경고문 2 5 8" xfId="0"/>
    <cellStyle name="경고문 2 5 9" xfId="0"/>
    <cellStyle name="경고문 2 6" xfId="0"/>
    <cellStyle name="경고문 2 6 10" xfId="0"/>
    <cellStyle name="경고문 2 6 2" xfId="0"/>
    <cellStyle name="경고문 2 6 3" xfId="0"/>
    <cellStyle name="경고문 2 6 4" xfId="0"/>
    <cellStyle name="경고문 2 6 5" xfId="0"/>
    <cellStyle name="경고문 2 6 6" xfId="0"/>
    <cellStyle name="경고문 2 6 7" xfId="0"/>
    <cellStyle name="경고문 2 6 8" xfId="0"/>
    <cellStyle name="경고문 2 6 9" xfId="0"/>
    <cellStyle name="경고문 2 7" xfId="0"/>
    <cellStyle name="경고문 2 7 10" xfId="0"/>
    <cellStyle name="경고문 2 7 2" xfId="0"/>
    <cellStyle name="경고문 2 7 3" xfId="0"/>
    <cellStyle name="경고문 2 7 4" xfId="0"/>
    <cellStyle name="경고문 2 7 5" xfId="0"/>
    <cellStyle name="경고문 2 7 6" xfId="0"/>
    <cellStyle name="경고문 2 7 7" xfId="0"/>
    <cellStyle name="경고문 2 7 8" xfId="0"/>
    <cellStyle name="경고문 2 7 9" xfId="0"/>
    <cellStyle name="경고문 2 8" xfId="0"/>
    <cellStyle name="경고문 2 8 2" xfId="0"/>
    <cellStyle name="경고문 2 9" xfId="0"/>
    <cellStyle name="경고문 20" xfId="0"/>
    <cellStyle name="경고문 21" xfId="0"/>
    <cellStyle name="경고문 22" xfId="0"/>
    <cellStyle name="경고문 23" xfId="0"/>
    <cellStyle name="경고문 24" xfId="0"/>
    <cellStyle name="경고문 25" xfId="0"/>
    <cellStyle name="경고문 26" xfId="0"/>
    <cellStyle name="경고문 27" xfId="0"/>
    <cellStyle name="경고문 2_3300현금및예치금" xfId="0"/>
    <cellStyle name="경고문 3" xfId="0"/>
    <cellStyle name="경고문 3 10" xfId="0"/>
    <cellStyle name="경고문 3 10 2" xfId="0"/>
    <cellStyle name="경고문 3 11" xfId="0"/>
    <cellStyle name="경고문 3 11 2" xfId="0"/>
    <cellStyle name="경고문 3 12" xfId="0"/>
    <cellStyle name="경고문 3 12 2" xfId="0"/>
    <cellStyle name="경고문 3 13" xfId="0"/>
    <cellStyle name="경고문 3 14" xfId="0"/>
    <cellStyle name="경고문 3 15" xfId="0"/>
    <cellStyle name="경고문 3 16" xfId="0"/>
    <cellStyle name="경고문 3 17" xfId="0"/>
    <cellStyle name="경고문 3 18" xfId="0"/>
    <cellStyle name="경고문 3 19" xfId="0"/>
    <cellStyle name="경고문 3 2" xfId="0"/>
    <cellStyle name="경고문 3 2 2" xfId="0"/>
    <cellStyle name="경고문 3 2 3" xfId="0"/>
    <cellStyle name="경고문 3 20" xfId="0"/>
    <cellStyle name="경고문 3 3" xfId="0"/>
    <cellStyle name="경고문 3 3 2" xfId="0"/>
    <cellStyle name="경고문 3 3 3" xfId="0"/>
    <cellStyle name="경고문 3 4" xfId="0"/>
    <cellStyle name="경고문 3 4 2" xfId="0"/>
    <cellStyle name="경고문 3 4 3" xfId="0"/>
    <cellStyle name="경고문 3 5" xfId="0"/>
    <cellStyle name="경고문 3 5 2" xfId="0"/>
    <cellStyle name="경고문 3 5 3" xfId="0"/>
    <cellStyle name="경고문 3 6" xfId="0"/>
    <cellStyle name="경고문 3 6 2" xfId="0"/>
    <cellStyle name="경고문 3 6 3" xfId="0"/>
    <cellStyle name="경고문 3 7" xfId="0"/>
    <cellStyle name="경고문 3 7 2" xfId="0"/>
    <cellStyle name="경고문 3 7 3" xfId="0"/>
    <cellStyle name="경고문 3 8" xfId="0"/>
    <cellStyle name="경고문 3 8 2" xfId="0"/>
    <cellStyle name="경고문 3 8 3" xfId="0"/>
    <cellStyle name="경고문 3 9" xfId="0"/>
    <cellStyle name="경고문 3 9 2" xfId="0"/>
    <cellStyle name="경고문 3_운용자산별 손익분석" xfId="0"/>
    <cellStyle name="경고문 4" xfId="0"/>
    <cellStyle name="경고문 4 10" xfId="0"/>
    <cellStyle name="경고문 4 11" xfId="0"/>
    <cellStyle name="경고문 4 12" xfId="0"/>
    <cellStyle name="경고문 4 13" xfId="0"/>
    <cellStyle name="경고문 4 2" xfId="0"/>
    <cellStyle name="경고문 4 3" xfId="0"/>
    <cellStyle name="경고문 4 4" xfId="0"/>
    <cellStyle name="경고문 4 5" xfId="0"/>
    <cellStyle name="경고문 4 6" xfId="0"/>
    <cellStyle name="경고문 4 7" xfId="0"/>
    <cellStyle name="경고문 4 8" xfId="0"/>
    <cellStyle name="경고문 4 9" xfId="0"/>
    <cellStyle name="경고문 4_운용자산별 손익분석" xfId="0"/>
    <cellStyle name="경고문 5" xfId="0"/>
    <cellStyle name="경고문 5 10" xfId="0"/>
    <cellStyle name="경고문 5 11" xfId="0"/>
    <cellStyle name="경고문 5 12" xfId="0"/>
    <cellStyle name="경고문 5 13" xfId="0"/>
    <cellStyle name="경고문 5 14" xfId="0"/>
    <cellStyle name="경고문 5 15" xfId="0"/>
    <cellStyle name="경고문 5 16" xfId="0"/>
    <cellStyle name="경고문 5 17" xfId="0"/>
    <cellStyle name="경고문 5 18" xfId="0"/>
    <cellStyle name="경고문 5 19" xfId="0"/>
    <cellStyle name="경고문 5 2" xfId="0"/>
    <cellStyle name="경고문 5 20" xfId="0"/>
    <cellStyle name="경고문 5 21" xfId="0"/>
    <cellStyle name="경고문 5 22" xfId="0"/>
    <cellStyle name="경고문 5 23" xfId="0"/>
    <cellStyle name="경고문 5 24" xfId="0"/>
    <cellStyle name="경고문 5 25" xfId="0"/>
    <cellStyle name="경고문 5 26" xfId="0"/>
    <cellStyle name="경고문 5 27" xfId="0"/>
    <cellStyle name="경고문 5 28" xfId="0"/>
    <cellStyle name="경고문 5 29" xfId="0"/>
    <cellStyle name="경고문 5 3" xfId="0"/>
    <cellStyle name="경고문 5 30" xfId="0"/>
    <cellStyle name="경고문 5 31" xfId="0"/>
    <cellStyle name="경고문 5 32" xfId="0"/>
    <cellStyle name="경고문 5 33" xfId="0"/>
    <cellStyle name="경고문 5 34" xfId="0"/>
    <cellStyle name="경고문 5 4" xfId="0"/>
    <cellStyle name="경고문 5 5" xfId="0"/>
    <cellStyle name="경고문 5 6" xfId="0"/>
    <cellStyle name="경고문 5 7" xfId="0"/>
    <cellStyle name="경고문 5 8" xfId="0"/>
    <cellStyle name="경고문 5 9" xfId="0"/>
    <cellStyle name="경고문 6" xfId="0"/>
    <cellStyle name="경고문 6 10" xfId="0"/>
    <cellStyle name="경고문 6 11" xfId="0"/>
    <cellStyle name="경고문 6 12" xfId="0"/>
    <cellStyle name="경고문 6 13" xfId="0"/>
    <cellStyle name="경고문 6 14" xfId="0"/>
    <cellStyle name="경고문 6 15" xfId="0"/>
    <cellStyle name="경고문 6 16" xfId="0"/>
    <cellStyle name="경고문 6 17" xfId="0"/>
    <cellStyle name="경고문 6 18" xfId="0"/>
    <cellStyle name="경고문 6 19" xfId="0"/>
    <cellStyle name="경고문 6 2" xfId="0"/>
    <cellStyle name="경고문 6 20" xfId="0"/>
    <cellStyle name="경고문 6 21" xfId="0"/>
    <cellStyle name="경고문 6 22" xfId="0"/>
    <cellStyle name="경고문 6 23" xfId="0"/>
    <cellStyle name="경고문 6 24" xfId="0"/>
    <cellStyle name="경고문 6 25" xfId="0"/>
    <cellStyle name="경고문 6 26" xfId="0"/>
    <cellStyle name="경고문 6 27" xfId="0"/>
    <cellStyle name="경고문 6 28" xfId="0"/>
    <cellStyle name="경고문 6 29" xfId="0"/>
    <cellStyle name="경고문 6 3" xfId="0"/>
    <cellStyle name="경고문 6 30" xfId="0"/>
    <cellStyle name="경고문 6 4" xfId="0"/>
    <cellStyle name="경고문 6 5" xfId="0"/>
    <cellStyle name="경고문 6 6" xfId="0"/>
    <cellStyle name="경고문 6 7" xfId="0"/>
    <cellStyle name="경고문 6 8" xfId="0"/>
    <cellStyle name="경고문 6 9" xfId="0"/>
    <cellStyle name="경고문 7" xfId="0"/>
    <cellStyle name="경고문 7 10" xfId="0"/>
    <cellStyle name="경고문 7 11" xfId="0"/>
    <cellStyle name="경고문 7 12" xfId="0"/>
    <cellStyle name="경고문 7 13" xfId="0"/>
    <cellStyle name="경고문 7 14" xfId="0"/>
    <cellStyle name="경고문 7 15" xfId="0"/>
    <cellStyle name="경고문 7 2" xfId="0"/>
    <cellStyle name="경고문 7 2 2" xfId="0"/>
    <cellStyle name="경고문 7 3" xfId="0"/>
    <cellStyle name="경고문 7 3 2" xfId="0"/>
    <cellStyle name="경고문 7 4" xfId="0"/>
    <cellStyle name="경고문 7 4 2" xfId="0"/>
    <cellStyle name="경고문 7 5" xfId="0"/>
    <cellStyle name="경고문 7 5 2" xfId="0"/>
    <cellStyle name="경고문 7 6" xfId="0"/>
    <cellStyle name="경고문 7 6 2" xfId="0"/>
    <cellStyle name="경고문 7 7" xfId="0"/>
    <cellStyle name="경고문 7 8" xfId="0"/>
    <cellStyle name="경고문 7 9" xfId="0"/>
    <cellStyle name="경고문 8" xfId="0"/>
    <cellStyle name="경고문 8 10" xfId="0"/>
    <cellStyle name="경고문 8 11" xfId="0"/>
    <cellStyle name="경고문 8 12" xfId="0"/>
    <cellStyle name="경고문 8 13" xfId="0"/>
    <cellStyle name="경고문 8 14" xfId="0"/>
    <cellStyle name="경고문 8 2" xfId="0"/>
    <cellStyle name="경고문 8 2 2" xfId="0"/>
    <cellStyle name="경고문 8 3" xfId="0"/>
    <cellStyle name="경고문 8 3 2" xfId="0"/>
    <cellStyle name="경고문 8 4" xfId="0"/>
    <cellStyle name="경고문 8 4 2" xfId="0"/>
    <cellStyle name="경고문 8 5" xfId="0"/>
    <cellStyle name="경고문 8 5 2" xfId="0"/>
    <cellStyle name="경고문 8 6" xfId="0"/>
    <cellStyle name="경고문 8 6 2" xfId="0"/>
    <cellStyle name="경고문 8 7" xfId="0"/>
    <cellStyle name="경고문 8 8" xfId="0"/>
    <cellStyle name="경고문 8 9" xfId="0"/>
    <cellStyle name="경고문 9" xfId="0"/>
    <cellStyle name="경고문 9 10" xfId="0"/>
    <cellStyle name="경고문 9 11" xfId="0"/>
    <cellStyle name="경고문 9 12" xfId="0"/>
    <cellStyle name="경고문 9 13" xfId="0"/>
    <cellStyle name="경고문 9 14" xfId="0"/>
    <cellStyle name="경고문 9 2" xfId="0"/>
    <cellStyle name="경고문 9 2 2" xfId="0"/>
    <cellStyle name="경고문 9 3" xfId="0"/>
    <cellStyle name="경고문 9 3 2" xfId="0"/>
    <cellStyle name="경고문 9 4" xfId="0"/>
    <cellStyle name="경고문 9 4 2" xfId="0"/>
    <cellStyle name="경고문 9 5" xfId="0"/>
    <cellStyle name="경고문 9 5 2" xfId="0"/>
    <cellStyle name="경고문 9 6" xfId="0"/>
    <cellStyle name="경고문 9 6 2" xfId="0"/>
    <cellStyle name="경고문 9 7" xfId="0"/>
    <cellStyle name="경고문 9 8" xfId="0"/>
    <cellStyle name="경고문 9 9" xfId="0"/>
    <cellStyle name="계산 10" xfId="0"/>
    <cellStyle name="계산 10 2" xfId="0"/>
    <cellStyle name="계산 10 2 2" xfId="0"/>
    <cellStyle name="계산 10 3" xfId="0"/>
    <cellStyle name="계산 10 3 2" xfId="0"/>
    <cellStyle name="계산 10 4" xfId="0"/>
    <cellStyle name="계산 10 4 2" xfId="0"/>
    <cellStyle name="계산 10 5" xfId="0"/>
    <cellStyle name="계산 10 6" xfId="0"/>
    <cellStyle name="계산 10 7" xfId="0"/>
    <cellStyle name="계산 11" xfId="0"/>
    <cellStyle name="계산 11 2" xfId="0"/>
    <cellStyle name="계산 11 2 2" xfId="0"/>
    <cellStyle name="계산 11 3" xfId="0"/>
    <cellStyle name="계산 11 3 2" xfId="0"/>
    <cellStyle name="계산 11 4" xfId="0"/>
    <cellStyle name="계산 11 4 2" xfId="0"/>
    <cellStyle name="계산 11 5" xfId="0"/>
    <cellStyle name="계산 11 6" xfId="0"/>
    <cellStyle name="계산 11 7" xfId="0"/>
    <cellStyle name="계산 12" xfId="0"/>
    <cellStyle name="계산 12 2" xfId="0"/>
    <cellStyle name="계산 12 3" xfId="0"/>
    <cellStyle name="계산 12 4" xfId="0"/>
    <cellStyle name="계산 12 5" xfId="0"/>
    <cellStyle name="계산 13" xfId="0"/>
    <cellStyle name="계산 13 2" xfId="0"/>
    <cellStyle name="계산 13 3" xfId="0"/>
    <cellStyle name="계산 13 4" xfId="0"/>
    <cellStyle name="계산 13 5" xfId="0"/>
    <cellStyle name="계산 14" xfId="0"/>
    <cellStyle name="계산 14 2" xfId="0"/>
    <cellStyle name="계산 15" xfId="0"/>
    <cellStyle name="계산 15 2" xfId="0"/>
    <cellStyle name="계산 16" xfId="0"/>
    <cellStyle name="계산 16 2" xfId="0"/>
    <cellStyle name="계산 17" xfId="0"/>
    <cellStyle name="계산 17 2" xfId="0"/>
    <cellStyle name="계산 18" xfId="0"/>
    <cellStyle name="계산 19" xfId="0"/>
    <cellStyle name="계산 2" xfId="0"/>
    <cellStyle name="계산 2 10" xfId="0"/>
    <cellStyle name="계산 2 11" xfId="0"/>
    <cellStyle name="계산 2 12" xfId="0"/>
    <cellStyle name="계산 2 13" xfId="0"/>
    <cellStyle name="계산 2 14" xfId="0"/>
    <cellStyle name="계산 2 2" xfId="0"/>
    <cellStyle name="계산 2 2 10" xfId="0"/>
    <cellStyle name="계산 2 2 2" xfId="0"/>
    <cellStyle name="계산 2 2 3" xfId="0"/>
    <cellStyle name="계산 2 2 4" xfId="0"/>
    <cellStyle name="계산 2 2 5" xfId="0"/>
    <cellStyle name="계산 2 2 6" xfId="0"/>
    <cellStyle name="계산 2 2 7" xfId="0"/>
    <cellStyle name="계산 2 2 8" xfId="0"/>
    <cellStyle name="계산 2 2 9" xfId="0"/>
    <cellStyle name="계산 2 3" xfId="0"/>
    <cellStyle name="계산 2 3 10" xfId="0"/>
    <cellStyle name="계산 2 3 2" xfId="0"/>
    <cellStyle name="계산 2 3 3" xfId="0"/>
    <cellStyle name="계산 2 3 4" xfId="0"/>
    <cellStyle name="계산 2 3 5" xfId="0"/>
    <cellStyle name="계산 2 3 6" xfId="0"/>
    <cellStyle name="계산 2 3 7" xfId="0"/>
    <cellStyle name="계산 2 3 8" xfId="0"/>
    <cellStyle name="계산 2 3 9" xfId="0"/>
    <cellStyle name="계산 2 4" xfId="0"/>
    <cellStyle name="계산 2 4 10" xfId="0"/>
    <cellStyle name="계산 2 4 2" xfId="0"/>
    <cellStyle name="계산 2 4 3" xfId="0"/>
    <cellStyle name="계산 2 4 4" xfId="0"/>
    <cellStyle name="계산 2 4 5" xfId="0"/>
    <cellStyle name="계산 2 4 6" xfId="0"/>
    <cellStyle name="계산 2 4 7" xfId="0"/>
    <cellStyle name="계산 2 4 8" xfId="0"/>
    <cellStyle name="계산 2 4 9" xfId="0"/>
    <cellStyle name="계산 2 5" xfId="0"/>
    <cellStyle name="계산 2 5 10" xfId="0"/>
    <cellStyle name="계산 2 5 2" xfId="0"/>
    <cellStyle name="계산 2 5 3" xfId="0"/>
    <cellStyle name="계산 2 5 4" xfId="0"/>
    <cellStyle name="계산 2 5 5" xfId="0"/>
    <cellStyle name="계산 2 5 6" xfId="0"/>
    <cellStyle name="계산 2 5 7" xfId="0"/>
    <cellStyle name="계산 2 5 8" xfId="0"/>
    <cellStyle name="계산 2 5 9" xfId="0"/>
    <cellStyle name="계산 2 6" xfId="0"/>
    <cellStyle name="계산 2 6 10" xfId="0"/>
    <cellStyle name="계산 2 6 2" xfId="0"/>
    <cellStyle name="계산 2 6 3" xfId="0"/>
    <cellStyle name="계산 2 6 4" xfId="0"/>
    <cellStyle name="계산 2 6 5" xfId="0"/>
    <cellStyle name="계산 2 6 6" xfId="0"/>
    <cellStyle name="계산 2 6 7" xfId="0"/>
    <cellStyle name="계산 2 6 8" xfId="0"/>
    <cellStyle name="계산 2 6 9" xfId="0"/>
    <cellStyle name="계산 2 7" xfId="0"/>
    <cellStyle name="계산 2 7 10" xfId="0"/>
    <cellStyle name="계산 2 7 2" xfId="0"/>
    <cellStyle name="계산 2 7 3" xfId="0"/>
    <cellStyle name="계산 2 7 4" xfId="0"/>
    <cellStyle name="계산 2 7 5" xfId="0"/>
    <cellStyle name="계산 2 7 6" xfId="0"/>
    <cellStyle name="계산 2 7 7" xfId="0"/>
    <cellStyle name="계산 2 7 8" xfId="0"/>
    <cellStyle name="계산 2 7 9" xfId="0"/>
    <cellStyle name="계산 2 8" xfId="0"/>
    <cellStyle name="계산 2 8 2" xfId="0"/>
    <cellStyle name="계산 2 9" xfId="0"/>
    <cellStyle name="계산 20" xfId="0"/>
    <cellStyle name="계산 21" xfId="0"/>
    <cellStyle name="계산 22" xfId="0"/>
    <cellStyle name="계산 23" xfId="0"/>
    <cellStyle name="계산 24" xfId="0"/>
    <cellStyle name="계산 25" xfId="0"/>
    <cellStyle name="계산 26" xfId="0"/>
    <cellStyle name="계산 27" xfId="0"/>
    <cellStyle name="계산 2_3300현금및예치금" xfId="0"/>
    <cellStyle name="계산 3" xfId="0"/>
    <cellStyle name="계산 3 10" xfId="0"/>
    <cellStyle name="계산 3 10 2" xfId="0"/>
    <cellStyle name="계산 3 11" xfId="0"/>
    <cellStyle name="계산 3 11 2" xfId="0"/>
    <cellStyle name="계산 3 12" xfId="0"/>
    <cellStyle name="계산 3 12 2" xfId="0"/>
    <cellStyle name="계산 3 13" xfId="0"/>
    <cellStyle name="계산 3 14" xfId="0"/>
    <cellStyle name="계산 3 15" xfId="0"/>
    <cellStyle name="계산 3 16" xfId="0"/>
    <cellStyle name="계산 3 17" xfId="0"/>
    <cellStyle name="계산 3 18" xfId="0"/>
    <cellStyle name="계산 3 19" xfId="0"/>
    <cellStyle name="계산 3 2" xfId="0"/>
    <cellStyle name="계산 3 2 2" xfId="0"/>
    <cellStyle name="계산 3 2 3" xfId="0"/>
    <cellStyle name="계산 3 20" xfId="0"/>
    <cellStyle name="계산 3 3" xfId="0"/>
    <cellStyle name="계산 3 3 2" xfId="0"/>
    <cellStyle name="계산 3 3 3" xfId="0"/>
    <cellStyle name="계산 3 4" xfId="0"/>
    <cellStyle name="계산 3 4 2" xfId="0"/>
    <cellStyle name="계산 3 4 3" xfId="0"/>
    <cellStyle name="계산 3 5" xfId="0"/>
    <cellStyle name="계산 3 5 2" xfId="0"/>
    <cellStyle name="계산 3 5 3" xfId="0"/>
    <cellStyle name="계산 3 6" xfId="0"/>
    <cellStyle name="계산 3 6 2" xfId="0"/>
    <cellStyle name="계산 3 6 3" xfId="0"/>
    <cellStyle name="계산 3 7" xfId="0"/>
    <cellStyle name="계산 3 7 2" xfId="0"/>
    <cellStyle name="계산 3 7 3" xfId="0"/>
    <cellStyle name="계산 3 8" xfId="0"/>
    <cellStyle name="계산 3 8 2" xfId="0"/>
    <cellStyle name="계산 3 8 3" xfId="0"/>
    <cellStyle name="계산 3 9" xfId="0"/>
    <cellStyle name="계산 3 9 2" xfId="0"/>
    <cellStyle name="계산 3_운용자산별 손익분석" xfId="0"/>
    <cellStyle name="계산 4" xfId="0"/>
    <cellStyle name="계산 4 10" xfId="0"/>
    <cellStyle name="계산 4 11" xfId="0"/>
    <cellStyle name="계산 4 12" xfId="0"/>
    <cellStyle name="계산 4 13" xfId="0"/>
    <cellStyle name="계산 4 2" xfId="0"/>
    <cellStyle name="계산 4 3" xfId="0"/>
    <cellStyle name="계산 4 4" xfId="0"/>
    <cellStyle name="계산 4 5" xfId="0"/>
    <cellStyle name="계산 4 6" xfId="0"/>
    <cellStyle name="계산 4 7" xfId="0"/>
    <cellStyle name="계산 4 8" xfId="0"/>
    <cellStyle name="계산 4 9" xfId="0"/>
    <cellStyle name="계산 4_운용자산별 손익분석" xfId="0"/>
    <cellStyle name="계산 5" xfId="0"/>
    <cellStyle name="계산 5 10" xfId="0"/>
    <cellStyle name="계산 5 11" xfId="0"/>
    <cellStyle name="계산 5 12" xfId="0"/>
    <cellStyle name="계산 5 13" xfId="0"/>
    <cellStyle name="계산 5 14" xfId="0"/>
    <cellStyle name="계산 5 15" xfId="0"/>
    <cellStyle name="계산 5 16" xfId="0"/>
    <cellStyle name="계산 5 17" xfId="0"/>
    <cellStyle name="계산 5 18" xfId="0"/>
    <cellStyle name="계산 5 19" xfId="0"/>
    <cellStyle name="계산 5 2" xfId="0"/>
    <cellStyle name="계산 5 20" xfId="0"/>
    <cellStyle name="계산 5 21" xfId="0"/>
    <cellStyle name="계산 5 22" xfId="0"/>
    <cellStyle name="계산 5 23" xfId="0"/>
    <cellStyle name="계산 5 24" xfId="0"/>
    <cellStyle name="계산 5 25" xfId="0"/>
    <cellStyle name="계산 5 26" xfId="0"/>
    <cellStyle name="계산 5 27" xfId="0"/>
    <cellStyle name="계산 5 28" xfId="0"/>
    <cellStyle name="계산 5 29" xfId="0"/>
    <cellStyle name="계산 5 3" xfId="0"/>
    <cellStyle name="계산 5 30" xfId="0"/>
    <cellStyle name="계산 5 31" xfId="0"/>
    <cellStyle name="계산 5 32" xfId="0"/>
    <cellStyle name="계산 5 33" xfId="0"/>
    <cellStyle name="계산 5 34" xfId="0"/>
    <cellStyle name="계산 5 4" xfId="0"/>
    <cellStyle name="계산 5 5" xfId="0"/>
    <cellStyle name="계산 5 6" xfId="0"/>
    <cellStyle name="계산 5 7" xfId="0"/>
    <cellStyle name="계산 5 8" xfId="0"/>
    <cellStyle name="계산 5 9" xfId="0"/>
    <cellStyle name="계산 6" xfId="0"/>
    <cellStyle name="계산 6 10" xfId="0"/>
    <cellStyle name="계산 6 11" xfId="0"/>
    <cellStyle name="계산 6 12" xfId="0"/>
    <cellStyle name="계산 6 13" xfId="0"/>
    <cellStyle name="계산 6 14" xfId="0"/>
    <cellStyle name="계산 6 15" xfId="0"/>
    <cellStyle name="계산 6 16" xfId="0"/>
    <cellStyle name="계산 6 17" xfId="0"/>
    <cellStyle name="계산 6 18" xfId="0"/>
    <cellStyle name="계산 6 19" xfId="0"/>
    <cellStyle name="계산 6 2" xfId="0"/>
    <cellStyle name="계산 6 20" xfId="0"/>
    <cellStyle name="계산 6 21" xfId="0"/>
    <cellStyle name="계산 6 22" xfId="0"/>
    <cellStyle name="계산 6 23" xfId="0"/>
    <cellStyle name="계산 6 24" xfId="0"/>
    <cellStyle name="계산 6 25" xfId="0"/>
    <cellStyle name="계산 6 26" xfId="0"/>
    <cellStyle name="계산 6 27" xfId="0"/>
    <cellStyle name="계산 6 28" xfId="0"/>
    <cellStyle name="계산 6 29" xfId="0"/>
    <cellStyle name="계산 6 3" xfId="0"/>
    <cellStyle name="계산 6 30" xfId="0"/>
    <cellStyle name="계산 6 4" xfId="0"/>
    <cellStyle name="계산 6 5" xfId="0"/>
    <cellStyle name="계산 6 6" xfId="0"/>
    <cellStyle name="계산 6 7" xfId="0"/>
    <cellStyle name="계산 6 8" xfId="0"/>
    <cellStyle name="계산 6 9" xfId="0"/>
    <cellStyle name="계산 7" xfId="0"/>
    <cellStyle name="계산 7 10" xfId="0"/>
    <cellStyle name="계산 7 11" xfId="0"/>
    <cellStyle name="계산 7 12" xfId="0"/>
    <cellStyle name="계산 7 13" xfId="0"/>
    <cellStyle name="계산 7 14" xfId="0"/>
    <cellStyle name="계산 7 15" xfId="0"/>
    <cellStyle name="계산 7 2" xfId="0"/>
    <cellStyle name="계산 7 2 2" xfId="0"/>
    <cellStyle name="계산 7 3" xfId="0"/>
    <cellStyle name="계산 7 3 2" xfId="0"/>
    <cellStyle name="계산 7 4" xfId="0"/>
    <cellStyle name="계산 7 4 2" xfId="0"/>
    <cellStyle name="계산 7 5" xfId="0"/>
    <cellStyle name="계산 7 5 2" xfId="0"/>
    <cellStyle name="계산 7 6" xfId="0"/>
    <cellStyle name="계산 7 6 2" xfId="0"/>
    <cellStyle name="계산 7 7" xfId="0"/>
    <cellStyle name="계산 7 8" xfId="0"/>
    <cellStyle name="계산 7 9" xfId="0"/>
    <cellStyle name="계산 8" xfId="0"/>
    <cellStyle name="계산 8 10" xfId="0"/>
    <cellStyle name="계산 8 11" xfId="0"/>
    <cellStyle name="계산 8 12" xfId="0"/>
    <cellStyle name="계산 8 13" xfId="0"/>
    <cellStyle name="계산 8 14" xfId="0"/>
    <cellStyle name="계산 8 2" xfId="0"/>
    <cellStyle name="계산 8 2 2" xfId="0"/>
    <cellStyle name="계산 8 3" xfId="0"/>
    <cellStyle name="계산 8 3 2" xfId="0"/>
    <cellStyle name="계산 8 4" xfId="0"/>
    <cellStyle name="계산 8 4 2" xfId="0"/>
    <cellStyle name="계산 8 5" xfId="0"/>
    <cellStyle name="계산 8 5 2" xfId="0"/>
    <cellStyle name="계산 8 6" xfId="0"/>
    <cellStyle name="계산 8 6 2" xfId="0"/>
    <cellStyle name="계산 8 7" xfId="0"/>
    <cellStyle name="계산 8 8" xfId="0"/>
    <cellStyle name="계산 8 9" xfId="0"/>
    <cellStyle name="계산 9" xfId="0"/>
    <cellStyle name="계산 9 10" xfId="0"/>
    <cellStyle name="계산 9 11" xfId="0"/>
    <cellStyle name="계산 9 12" xfId="0"/>
    <cellStyle name="계산 9 13" xfId="0"/>
    <cellStyle name="계산 9 14" xfId="0"/>
    <cellStyle name="계산 9 2" xfId="0"/>
    <cellStyle name="계산 9 2 2" xfId="0"/>
    <cellStyle name="계산 9 3" xfId="0"/>
    <cellStyle name="계산 9 3 2" xfId="0"/>
    <cellStyle name="계산 9 4" xfId="0"/>
    <cellStyle name="계산 9 4 2" xfId="0"/>
    <cellStyle name="계산 9 5" xfId="0"/>
    <cellStyle name="계산 9 5 2" xfId="0"/>
    <cellStyle name="계산 9 6" xfId="0"/>
    <cellStyle name="계산 9 6 2" xfId="0"/>
    <cellStyle name="계산 9 7" xfId="0"/>
    <cellStyle name="계산 9 8" xfId="0"/>
    <cellStyle name="계산 9 9" xfId="0"/>
    <cellStyle name="계정과목" xfId="0"/>
    <cellStyle name="고정소숫점" xfId="0"/>
    <cellStyle name="고정소숫점 2" xfId="0"/>
    <cellStyle name="고정출력1" xfId="0"/>
    <cellStyle name="고정출력1 2" xfId="0"/>
    <cellStyle name="고정출력2" xfId="0"/>
    <cellStyle name="고정출력2 2" xfId="0"/>
    <cellStyle name="괄(계정)" xfId="0"/>
    <cellStyle name="괄호금액" xfId="0"/>
    <cellStyle name="굴림체" xfId="0"/>
    <cellStyle name="굵은항목" xfId="0"/>
    <cellStyle name="금액" xfId="0"/>
    <cellStyle name="금액 2" xfId="0"/>
    <cellStyle name="긪귽긬?깏깛긏" xfId="0"/>
    <cellStyle name="기  업" xfId="0"/>
    <cellStyle name="기계" xfId="0"/>
    <cellStyle name="김" xfId="0"/>
    <cellStyle name="나쁨 10" xfId="0"/>
    <cellStyle name="나쁨 10 2" xfId="0"/>
    <cellStyle name="나쁨 10 2 2" xfId="0"/>
    <cellStyle name="나쁨 10 3" xfId="0"/>
    <cellStyle name="나쁨 10 3 2" xfId="0"/>
    <cellStyle name="나쁨 10 4" xfId="0"/>
    <cellStyle name="나쁨 10 4 2" xfId="0"/>
    <cellStyle name="나쁨 10 5" xfId="0"/>
    <cellStyle name="나쁨 10 6" xfId="0"/>
    <cellStyle name="나쁨 10 7" xfId="0"/>
    <cellStyle name="나쁨 11" xfId="0"/>
    <cellStyle name="나쁨 11 2" xfId="0"/>
    <cellStyle name="나쁨 11 2 2" xfId="0"/>
    <cellStyle name="나쁨 11 3" xfId="0"/>
    <cellStyle name="나쁨 11 3 2" xfId="0"/>
    <cellStyle name="나쁨 11 4" xfId="0"/>
    <cellStyle name="나쁨 11 4 2" xfId="0"/>
    <cellStyle name="나쁨 11 5" xfId="0"/>
    <cellStyle name="나쁨 11 6" xfId="0"/>
    <cellStyle name="나쁨 11 7" xfId="0"/>
    <cellStyle name="나쁨 12" xfId="0"/>
    <cellStyle name="나쁨 12 2" xfId="0"/>
    <cellStyle name="나쁨 12 3" xfId="0"/>
    <cellStyle name="나쁨 12 4" xfId="0"/>
    <cellStyle name="나쁨 12 5" xfId="0"/>
    <cellStyle name="나쁨 13" xfId="0"/>
    <cellStyle name="나쁨 13 2" xfId="0"/>
    <cellStyle name="나쁨 13 3" xfId="0"/>
    <cellStyle name="나쁨 13 4" xfId="0"/>
    <cellStyle name="나쁨 13 5" xfId="0"/>
    <cellStyle name="나쁨 14" xfId="0"/>
    <cellStyle name="나쁨 14 2" xfId="0"/>
    <cellStyle name="나쁨 15" xfId="0"/>
    <cellStyle name="나쁨 15 2" xfId="0"/>
    <cellStyle name="나쁨 16" xfId="0"/>
    <cellStyle name="나쁨 16 2" xfId="0"/>
    <cellStyle name="나쁨 17" xfId="0"/>
    <cellStyle name="나쁨 17 2" xfId="0"/>
    <cellStyle name="나쁨 18" xfId="0"/>
    <cellStyle name="나쁨 19" xfId="0"/>
    <cellStyle name="나쁨 2" xfId="0"/>
    <cellStyle name="나쁨 2 10" xfId="0"/>
    <cellStyle name="나쁨 2 11" xfId="0"/>
    <cellStyle name="나쁨 2 12" xfId="0"/>
    <cellStyle name="나쁨 2 13" xfId="0"/>
    <cellStyle name="나쁨 2 2" xfId="0"/>
    <cellStyle name="나쁨 2 2 10" xfId="0"/>
    <cellStyle name="나쁨 2 2 11" xfId="0"/>
    <cellStyle name="나쁨 2 2 2" xfId="0"/>
    <cellStyle name="나쁨 2 2 3" xfId="0"/>
    <cellStyle name="나쁨 2 2 4" xfId="0"/>
    <cellStyle name="나쁨 2 2 5" xfId="0"/>
    <cellStyle name="나쁨 2 2 6" xfId="0"/>
    <cellStyle name="나쁨 2 2 7" xfId="0"/>
    <cellStyle name="나쁨 2 2 8" xfId="0"/>
    <cellStyle name="나쁨 2 2 9" xfId="0"/>
    <cellStyle name="나쁨 2 3" xfId="0"/>
    <cellStyle name="나쁨 2 3 10" xfId="0"/>
    <cellStyle name="나쁨 2 3 11" xfId="0"/>
    <cellStyle name="나쁨 2 3 2" xfId="0"/>
    <cellStyle name="나쁨 2 3 3" xfId="0"/>
    <cellStyle name="나쁨 2 3 4" xfId="0"/>
    <cellStyle name="나쁨 2 3 5" xfId="0"/>
    <cellStyle name="나쁨 2 3 6" xfId="0"/>
    <cellStyle name="나쁨 2 3 7" xfId="0"/>
    <cellStyle name="나쁨 2 3 8" xfId="0"/>
    <cellStyle name="나쁨 2 3 9" xfId="0"/>
    <cellStyle name="나쁨 2 4" xfId="0"/>
    <cellStyle name="나쁨 2 4 10" xfId="0"/>
    <cellStyle name="나쁨 2 4 11" xfId="0"/>
    <cellStyle name="나쁨 2 4 2" xfId="0"/>
    <cellStyle name="나쁨 2 4 3" xfId="0"/>
    <cellStyle name="나쁨 2 4 4" xfId="0"/>
    <cellStyle name="나쁨 2 4 5" xfId="0"/>
    <cellStyle name="나쁨 2 4 6" xfId="0"/>
    <cellStyle name="나쁨 2 4 7" xfId="0"/>
    <cellStyle name="나쁨 2 4 8" xfId="0"/>
    <cellStyle name="나쁨 2 4 9" xfId="0"/>
    <cellStyle name="나쁨 2 5" xfId="0"/>
    <cellStyle name="나쁨 2 5 10" xfId="0"/>
    <cellStyle name="나쁨 2 5 2" xfId="0"/>
    <cellStyle name="나쁨 2 5 3" xfId="0"/>
    <cellStyle name="나쁨 2 5 4" xfId="0"/>
    <cellStyle name="나쁨 2 5 5" xfId="0"/>
    <cellStyle name="나쁨 2 5 6" xfId="0"/>
    <cellStyle name="나쁨 2 5 7" xfId="0"/>
    <cellStyle name="나쁨 2 5 8" xfId="0"/>
    <cellStyle name="나쁨 2 5 9" xfId="0"/>
    <cellStyle name="나쁨 2 6" xfId="0"/>
    <cellStyle name="나쁨 2 6 10" xfId="0"/>
    <cellStyle name="나쁨 2 6 2" xfId="0"/>
    <cellStyle name="나쁨 2 6 3" xfId="0"/>
    <cellStyle name="나쁨 2 6 4" xfId="0"/>
    <cellStyle name="나쁨 2 6 5" xfId="0"/>
    <cellStyle name="나쁨 2 6 6" xfId="0"/>
    <cellStyle name="나쁨 2 6 7" xfId="0"/>
    <cellStyle name="나쁨 2 6 8" xfId="0"/>
    <cellStyle name="나쁨 2 6 9" xfId="0"/>
    <cellStyle name="나쁨 2 7" xfId="0"/>
    <cellStyle name="나쁨 2 7 10" xfId="0"/>
    <cellStyle name="나쁨 2 7 2" xfId="0"/>
    <cellStyle name="나쁨 2 7 3" xfId="0"/>
    <cellStyle name="나쁨 2 7 4" xfId="0"/>
    <cellStyle name="나쁨 2 7 5" xfId="0"/>
    <cellStyle name="나쁨 2 7 6" xfId="0"/>
    <cellStyle name="나쁨 2 7 7" xfId="0"/>
    <cellStyle name="나쁨 2 7 8" xfId="0"/>
    <cellStyle name="나쁨 2 7 9" xfId="0"/>
    <cellStyle name="나쁨 2 8" xfId="0"/>
    <cellStyle name="나쁨 2 8 2" xfId="0"/>
    <cellStyle name="나쁨 2 9" xfId="0"/>
    <cellStyle name="나쁨 20" xfId="0"/>
    <cellStyle name="나쁨 21" xfId="0"/>
    <cellStyle name="나쁨 22" xfId="0"/>
    <cellStyle name="나쁨 23" xfId="0"/>
    <cellStyle name="나쁨 24" xfId="0"/>
    <cellStyle name="나쁨 25" xfId="0"/>
    <cellStyle name="나쁨 26" xfId="0"/>
    <cellStyle name="나쁨 27" xfId="0"/>
    <cellStyle name="나쁨 28" xfId="0"/>
    <cellStyle name="나쁨 2_3300현금및예치금" xfId="0"/>
    <cellStyle name="나쁨 3" xfId="0"/>
    <cellStyle name="나쁨 3 10" xfId="0"/>
    <cellStyle name="나쁨 3 10 2" xfId="0"/>
    <cellStyle name="나쁨 3 11" xfId="0"/>
    <cellStyle name="나쁨 3 11 2" xfId="0"/>
    <cellStyle name="나쁨 3 12" xfId="0"/>
    <cellStyle name="나쁨 3 12 2" xfId="0"/>
    <cellStyle name="나쁨 3 13" xfId="0"/>
    <cellStyle name="나쁨 3 14" xfId="0"/>
    <cellStyle name="나쁨 3 15" xfId="0"/>
    <cellStyle name="나쁨 3 16" xfId="0"/>
    <cellStyle name="나쁨 3 17" xfId="0"/>
    <cellStyle name="나쁨 3 18" xfId="0"/>
    <cellStyle name="나쁨 3 19" xfId="0"/>
    <cellStyle name="나쁨 3 2" xfId="0"/>
    <cellStyle name="나쁨 3 2 2" xfId="0"/>
    <cellStyle name="나쁨 3 2 3" xfId="0"/>
    <cellStyle name="나쁨 3 20" xfId="0"/>
    <cellStyle name="나쁨 3 3" xfId="0"/>
    <cellStyle name="나쁨 3 3 2" xfId="0"/>
    <cellStyle name="나쁨 3 3 3" xfId="0"/>
    <cellStyle name="나쁨 3 4" xfId="0"/>
    <cellStyle name="나쁨 3 4 2" xfId="0"/>
    <cellStyle name="나쁨 3 4 3" xfId="0"/>
    <cellStyle name="나쁨 3 5" xfId="0"/>
    <cellStyle name="나쁨 3 5 2" xfId="0"/>
    <cellStyle name="나쁨 3 5 3" xfId="0"/>
    <cellStyle name="나쁨 3 6" xfId="0"/>
    <cellStyle name="나쁨 3 6 2" xfId="0"/>
    <cellStyle name="나쁨 3 6 3" xfId="0"/>
    <cellStyle name="나쁨 3 7" xfId="0"/>
    <cellStyle name="나쁨 3 7 2" xfId="0"/>
    <cellStyle name="나쁨 3 7 3" xfId="0"/>
    <cellStyle name="나쁨 3 8" xfId="0"/>
    <cellStyle name="나쁨 3 8 2" xfId="0"/>
    <cellStyle name="나쁨 3 8 3" xfId="0"/>
    <cellStyle name="나쁨 3 9" xfId="0"/>
    <cellStyle name="나쁨 3 9 2" xfId="0"/>
    <cellStyle name="나쁨 3_운용자산별 손익분석" xfId="0"/>
    <cellStyle name="나쁨 4" xfId="0"/>
    <cellStyle name="나쁨 4 10" xfId="0"/>
    <cellStyle name="나쁨 4 11" xfId="0"/>
    <cellStyle name="나쁨 4 12" xfId="0"/>
    <cellStyle name="나쁨 4 13" xfId="0"/>
    <cellStyle name="나쁨 4 2" xfId="0"/>
    <cellStyle name="나쁨 4 3" xfId="0"/>
    <cellStyle name="나쁨 4 4" xfId="0"/>
    <cellStyle name="나쁨 4 5" xfId="0"/>
    <cellStyle name="나쁨 4 6" xfId="0"/>
    <cellStyle name="나쁨 4 7" xfId="0"/>
    <cellStyle name="나쁨 4 8" xfId="0"/>
    <cellStyle name="나쁨 4 9" xfId="0"/>
    <cellStyle name="나쁨 4_운용자산별 손익분석" xfId="0"/>
    <cellStyle name="나쁨 5" xfId="0"/>
    <cellStyle name="나쁨 5 10" xfId="0"/>
    <cellStyle name="나쁨 5 11" xfId="0"/>
    <cellStyle name="나쁨 5 12" xfId="0"/>
    <cellStyle name="나쁨 5 13" xfId="0"/>
    <cellStyle name="나쁨 5 14" xfId="0"/>
    <cellStyle name="나쁨 5 15" xfId="0"/>
    <cellStyle name="나쁨 5 16" xfId="0"/>
    <cellStyle name="나쁨 5 17" xfId="0"/>
    <cellStyle name="나쁨 5 18" xfId="0"/>
    <cellStyle name="나쁨 5 19" xfId="0"/>
    <cellStyle name="나쁨 5 2" xfId="0"/>
    <cellStyle name="나쁨 5 20" xfId="0"/>
    <cellStyle name="나쁨 5 21" xfId="0"/>
    <cellStyle name="나쁨 5 22" xfId="0"/>
    <cellStyle name="나쁨 5 23" xfId="0"/>
    <cellStyle name="나쁨 5 24" xfId="0"/>
    <cellStyle name="나쁨 5 25" xfId="0"/>
    <cellStyle name="나쁨 5 26" xfId="0"/>
    <cellStyle name="나쁨 5 27" xfId="0"/>
    <cellStyle name="나쁨 5 28" xfId="0"/>
    <cellStyle name="나쁨 5 29" xfId="0"/>
    <cellStyle name="나쁨 5 3" xfId="0"/>
    <cellStyle name="나쁨 5 30" xfId="0"/>
    <cellStyle name="나쁨 5 31" xfId="0"/>
    <cellStyle name="나쁨 5 32" xfId="0"/>
    <cellStyle name="나쁨 5 33" xfId="0"/>
    <cellStyle name="나쁨 5 34" xfId="0"/>
    <cellStyle name="나쁨 5 4" xfId="0"/>
    <cellStyle name="나쁨 5 5" xfId="0"/>
    <cellStyle name="나쁨 5 6" xfId="0"/>
    <cellStyle name="나쁨 5 7" xfId="0"/>
    <cellStyle name="나쁨 5 8" xfId="0"/>
    <cellStyle name="나쁨 5 9" xfId="0"/>
    <cellStyle name="나쁨 6" xfId="0"/>
    <cellStyle name="나쁨 6 10" xfId="0"/>
    <cellStyle name="나쁨 6 11" xfId="0"/>
    <cellStyle name="나쁨 6 12" xfId="0"/>
    <cellStyle name="나쁨 6 13" xfId="0"/>
    <cellStyle name="나쁨 6 14" xfId="0"/>
    <cellStyle name="나쁨 6 15" xfId="0"/>
    <cellStyle name="나쁨 6 16" xfId="0"/>
    <cellStyle name="나쁨 6 17" xfId="0"/>
    <cellStyle name="나쁨 6 18" xfId="0"/>
    <cellStyle name="나쁨 6 19" xfId="0"/>
    <cellStyle name="나쁨 6 2" xfId="0"/>
    <cellStyle name="나쁨 6 20" xfId="0"/>
    <cellStyle name="나쁨 6 21" xfId="0"/>
    <cellStyle name="나쁨 6 22" xfId="0"/>
    <cellStyle name="나쁨 6 23" xfId="0"/>
    <cellStyle name="나쁨 6 24" xfId="0"/>
    <cellStyle name="나쁨 6 25" xfId="0"/>
    <cellStyle name="나쁨 6 26" xfId="0"/>
    <cellStyle name="나쁨 6 27" xfId="0"/>
    <cellStyle name="나쁨 6 28" xfId="0"/>
    <cellStyle name="나쁨 6 29" xfId="0"/>
    <cellStyle name="나쁨 6 3" xfId="0"/>
    <cellStyle name="나쁨 6 30" xfId="0"/>
    <cellStyle name="나쁨 6 4" xfId="0"/>
    <cellStyle name="나쁨 6 5" xfId="0"/>
    <cellStyle name="나쁨 6 6" xfId="0"/>
    <cellStyle name="나쁨 6 7" xfId="0"/>
    <cellStyle name="나쁨 6 8" xfId="0"/>
    <cellStyle name="나쁨 6 9" xfId="0"/>
    <cellStyle name="나쁨 7" xfId="0"/>
    <cellStyle name="나쁨 7 10" xfId="0"/>
    <cellStyle name="나쁨 7 11" xfId="0"/>
    <cellStyle name="나쁨 7 12" xfId="0"/>
    <cellStyle name="나쁨 7 13" xfId="0"/>
    <cellStyle name="나쁨 7 14" xfId="0"/>
    <cellStyle name="나쁨 7 15" xfId="0"/>
    <cellStyle name="나쁨 7 2" xfId="0"/>
    <cellStyle name="나쁨 7 2 2" xfId="0"/>
    <cellStyle name="나쁨 7 3" xfId="0"/>
    <cellStyle name="나쁨 7 3 2" xfId="0"/>
    <cellStyle name="나쁨 7 4" xfId="0"/>
    <cellStyle name="나쁨 7 4 2" xfId="0"/>
    <cellStyle name="나쁨 7 5" xfId="0"/>
    <cellStyle name="나쁨 7 5 2" xfId="0"/>
    <cellStyle name="나쁨 7 6" xfId="0"/>
    <cellStyle name="나쁨 7 6 2" xfId="0"/>
    <cellStyle name="나쁨 7 7" xfId="0"/>
    <cellStyle name="나쁨 7 8" xfId="0"/>
    <cellStyle name="나쁨 7 9" xfId="0"/>
    <cellStyle name="나쁨 8" xfId="0"/>
    <cellStyle name="나쁨 8 10" xfId="0"/>
    <cellStyle name="나쁨 8 11" xfId="0"/>
    <cellStyle name="나쁨 8 12" xfId="0"/>
    <cellStyle name="나쁨 8 13" xfId="0"/>
    <cellStyle name="나쁨 8 14" xfId="0"/>
    <cellStyle name="나쁨 8 2" xfId="0"/>
    <cellStyle name="나쁨 8 2 2" xfId="0"/>
    <cellStyle name="나쁨 8 3" xfId="0"/>
    <cellStyle name="나쁨 8 3 2" xfId="0"/>
    <cellStyle name="나쁨 8 4" xfId="0"/>
    <cellStyle name="나쁨 8 4 2" xfId="0"/>
    <cellStyle name="나쁨 8 5" xfId="0"/>
    <cellStyle name="나쁨 8 5 2" xfId="0"/>
    <cellStyle name="나쁨 8 6" xfId="0"/>
    <cellStyle name="나쁨 8 6 2" xfId="0"/>
    <cellStyle name="나쁨 8 7" xfId="0"/>
    <cellStyle name="나쁨 8 8" xfId="0"/>
    <cellStyle name="나쁨 8 9" xfId="0"/>
    <cellStyle name="나쁨 9" xfId="0"/>
    <cellStyle name="나쁨 9 10" xfId="0"/>
    <cellStyle name="나쁨 9 11" xfId="0"/>
    <cellStyle name="나쁨 9 12" xfId="0"/>
    <cellStyle name="나쁨 9 13" xfId="0"/>
    <cellStyle name="나쁨 9 14" xfId="0"/>
    <cellStyle name="나쁨 9 2" xfId="0"/>
    <cellStyle name="나쁨 9 2 2" xfId="0"/>
    <cellStyle name="나쁨 9 3" xfId="0"/>
    <cellStyle name="나쁨 9 3 2" xfId="0"/>
    <cellStyle name="나쁨 9 4" xfId="0"/>
    <cellStyle name="나쁨 9 4 2" xfId="0"/>
    <cellStyle name="나쁨 9 5" xfId="0"/>
    <cellStyle name="나쁨 9 5 2" xfId="0"/>
    <cellStyle name="나쁨 9 6" xfId="0"/>
    <cellStyle name="나쁨 9 6 2" xfId="0"/>
    <cellStyle name="나쁨 9 7" xfId="0"/>
    <cellStyle name="나쁨 9 8" xfId="0"/>
    <cellStyle name="나쁨 9 9" xfId="0"/>
    <cellStyle name="나열번호" xfId="0"/>
    <cellStyle name="날자" xfId="0"/>
    <cellStyle name="날짜" xfId="0"/>
    <cellStyle name="날짜(네자리)" xfId="0"/>
    <cellStyle name="날짜(두자리)" xfId="0"/>
    <cellStyle name="날짜형식" xfId="0"/>
    <cellStyle name="내양식" xfId="0"/>
    <cellStyle name="내표준" xfId="0"/>
    <cellStyle name="년도" xfId="0"/>
    <cellStyle name="단위 : 백만원" xfId="0"/>
    <cellStyle name="단위 : 원" xfId="0"/>
    <cellStyle name="단위 : 천원" xfId="0"/>
    <cellStyle name="단위(원)" xfId="0"/>
    <cellStyle name="달러" xfId="0"/>
    <cellStyle name="달러 2" xfId="0"/>
    <cellStyle name="돋움" xfId="0"/>
    <cellStyle name="뒤에 오는 하이퍼링크" xfId="0"/>
    <cellStyle name="뒤에 오는 하이퍼링크 2" xfId="0"/>
    <cellStyle name="뒤에 오는 하이퍼링크_'00탑0630" xfId="0"/>
    <cellStyle name="똿떓죶Ø괻 [0.00]_PRODUCT DETAIL Q1" xfId="0"/>
    <cellStyle name="똿떓죶Ø괻_PRODUCT DETAIL Q1" xfId="0"/>
    <cellStyle name="똿뗦먛귟 [0.00]_9703JPY" xfId="0"/>
    <cellStyle name="똿뗦먛귟_9703JPY" xfId="0"/>
    <cellStyle name="메모 10" xfId="0"/>
    <cellStyle name="메모 10 2" xfId="0"/>
    <cellStyle name="메모 10 2 2" xfId="0"/>
    <cellStyle name="메모 10 3" xfId="0"/>
    <cellStyle name="메모 10 3 2" xfId="0"/>
    <cellStyle name="메모 10 4" xfId="0"/>
    <cellStyle name="메모 10 4 2" xfId="0"/>
    <cellStyle name="메모 10 5" xfId="0"/>
    <cellStyle name="메모 10 6" xfId="0"/>
    <cellStyle name="메모 10 7" xfId="0"/>
    <cellStyle name="메모 11" xfId="0"/>
    <cellStyle name="메모 11 2" xfId="0"/>
    <cellStyle name="메모 11 2 2" xfId="0"/>
    <cellStyle name="메모 11 3" xfId="0"/>
    <cellStyle name="메모 11 3 2" xfId="0"/>
    <cellStyle name="메모 11 4" xfId="0"/>
    <cellStyle name="메모 11 4 2" xfId="0"/>
    <cellStyle name="메모 11 5" xfId="0"/>
    <cellStyle name="메모 11 6" xfId="0"/>
    <cellStyle name="메모 11 7" xfId="0"/>
    <cellStyle name="메모 12" xfId="0"/>
    <cellStyle name="메모 12 2" xfId="0"/>
    <cellStyle name="메모 12 3" xfId="0"/>
    <cellStyle name="메모 12 4" xfId="0"/>
    <cellStyle name="메모 12 5" xfId="0"/>
    <cellStyle name="메모 13" xfId="0"/>
    <cellStyle name="메모 13 2" xfId="0"/>
    <cellStyle name="메모 13 3" xfId="0"/>
    <cellStyle name="메모 13 4" xfId="0"/>
    <cellStyle name="메모 13 5" xfId="0"/>
    <cellStyle name="메모 14" xfId="0"/>
    <cellStyle name="메모 14 2" xfId="0"/>
    <cellStyle name="메모 14 3" xfId="0"/>
    <cellStyle name="메모 15" xfId="0"/>
    <cellStyle name="메모 15 2" xfId="0"/>
    <cellStyle name="메모 15 3" xfId="0"/>
    <cellStyle name="메모 16" xfId="0"/>
    <cellStyle name="메모 16 2" xfId="0"/>
    <cellStyle name="메모 16 3" xfId="0"/>
    <cellStyle name="메모 17" xfId="0"/>
    <cellStyle name="메모 17 2" xfId="0"/>
    <cellStyle name="메모 17 3" xfId="0"/>
    <cellStyle name="메모 18" xfId="0"/>
    <cellStyle name="메모 18 2" xfId="0"/>
    <cellStyle name="메모 18 3" xfId="0"/>
    <cellStyle name="메모 19" xfId="0"/>
    <cellStyle name="메모 19 2" xfId="0"/>
    <cellStyle name="메모 19 3" xfId="0"/>
    <cellStyle name="메모 2" xfId="0"/>
    <cellStyle name="메모 2 10" xfId="0"/>
    <cellStyle name="메모 2 11" xfId="0"/>
    <cellStyle name="메모 2 12" xfId="0"/>
    <cellStyle name="메모 2 13" xfId="0"/>
    <cellStyle name="메모 2 14" xfId="0"/>
    <cellStyle name="메모 2 15" xfId="0"/>
    <cellStyle name="메모 2 16" xfId="0"/>
    <cellStyle name="메모 2 17" xfId="0"/>
    <cellStyle name="메모 2 18" xfId="0"/>
    <cellStyle name="메모 2 19" xfId="0"/>
    <cellStyle name="메모 2 2" xfId="0"/>
    <cellStyle name="메모 2 2 10" xfId="0"/>
    <cellStyle name="메모 2 2 10 2" xfId="0"/>
    <cellStyle name="메모 2 2 11" xfId="0"/>
    <cellStyle name="메모 2 2 11 2" xfId="0"/>
    <cellStyle name="메모 2 2 12" xfId="0"/>
    <cellStyle name="메모 2 2 12 2" xfId="0"/>
    <cellStyle name="메모 2 2 13" xfId="0"/>
    <cellStyle name="메모 2 2 13 2" xfId="0"/>
    <cellStyle name="메모 2 2 14" xfId="0"/>
    <cellStyle name="메모 2 2 15" xfId="0"/>
    <cellStyle name="메모 2 2 2" xfId="0"/>
    <cellStyle name="메모 2 2 2 10" xfId="0"/>
    <cellStyle name="메모 2 2 2 2" xfId="0"/>
    <cellStyle name="메모 2 2 2 3" xfId="0"/>
    <cellStyle name="메모 2 2 2 4" xfId="0"/>
    <cellStyle name="메모 2 2 2 5" xfId="0"/>
    <cellStyle name="메모 2 2 2 6" xfId="0"/>
    <cellStyle name="메모 2 2 2 7" xfId="0"/>
    <cellStyle name="메모 2 2 2 8" xfId="0"/>
    <cellStyle name="메모 2 2 2 9" xfId="0"/>
    <cellStyle name="메모 2 2 3" xfId="0"/>
    <cellStyle name="메모 2 2 3 2" xfId="0"/>
    <cellStyle name="메모 2 2 4" xfId="0"/>
    <cellStyle name="메모 2 2 4 2" xfId="0"/>
    <cellStyle name="메모 2 2 5" xfId="0"/>
    <cellStyle name="메모 2 2 5 2" xfId="0"/>
    <cellStyle name="메모 2 2 6" xfId="0"/>
    <cellStyle name="메모 2 2 6 2" xfId="0"/>
    <cellStyle name="메모 2 2 7" xfId="0"/>
    <cellStyle name="메모 2 2 7 2" xfId="0"/>
    <cellStyle name="메모 2 2 8" xfId="0"/>
    <cellStyle name="메모 2 2 8 2" xfId="0"/>
    <cellStyle name="메모 2 2 9" xfId="0"/>
    <cellStyle name="메모 2 2 9 2" xfId="0"/>
    <cellStyle name="메모 2 20" xfId="0"/>
    <cellStyle name="메모 2 21" xfId="0"/>
    <cellStyle name="메모 2 22" xfId="0"/>
    <cellStyle name="메모 2 23" xfId="0"/>
    <cellStyle name="메모 2 24" xfId="0"/>
    <cellStyle name="메모 2 25" xfId="0"/>
    <cellStyle name="메모 2 26" xfId="0"/>
    <cellStyle name="메모 2 27" xfId="0"/>
    <cellStyle name="메모 2 28" xfId="0"/>
    <cellStyle name="메모 2 29" xfId="0"/>
    <cellStyle name="메모 2 3" xfId="0"/>
    <cellStyle name="메모 2 3 10" xfId="0"/>
    <cellStyle name="메모 2 3 10 2" xfId="0"/>
    <cellStyle name="메모 2 3 11" xfId="0"/>
    <cellStyle name="메모 2 3 11 2" xfId="0"/>
    <cellStyle name="메모 2 3 12" xfId="0"/>
    <cellStyle name="메모 2 3 12 2" xfId="0"/>
    <cellStyle name="메모 2 3 13" xfId="0"/>
    <cellStyle name="메모 2 3 13 2" xfId="0"/>
    <cellStyle name="메모 2 3 14" xfId="0"/>
    <cellStyle name="메모 2 3 15" xfId="0"/>
    <cellStyle name="메모 2 3 2" xfId="0"/>
    <cellStyle name="메모 2 3 2 10" xfId="0"/>
    <cellStyle name="메모 2 3 2 2" xfId="0"/>
    <cellStyle name="메모 2 3 2 3" xfId="0"/>
    <cellStyle name="메모 2 3 2 4" xfId="0"/>
    <cellStyle name="메모 2 3 2 5" xfId="0"/>
    <cellStyle name="메모 2 3 2 6" xfId="0"/>
    <cellStyle name="메모 2 3 2 7" xfId="0"/>
    <cellStyle name="메모 2 3 2 8" xfId="0"/>
    <cellStyle name="메모 2 3 2 9" xfId="0"/>
    <cellStyle name="메모 2 3 3" xfId="0"/>
    <cellStyle name="메모 2 3 3 2" xfId="0"/>
    <cellStyle name="메모 2 3 4" xfId="0"/>
    <cellStyle name="메모 2 3 4 2" xfId="0"/>
    <cellStyle name="메모 2 3 5" xfId="0"/>
    <cellStyle name="메모 2 3 5 2" xfId="0"/>
    <cellStyle name="메모 2 3 6" xfId="0"/>
    <cellStyle name="메모 2 3 6 2" xfId="0"/>
    <cellStyle name="메모 2 3 7" xfId="0"/>
    <cellStyle name="메모 2 3 7 2" xfId="0"/>
    <cellStyle name="메모 2 3 8" xfId="0"/>
    <cellStyle name="메모 2 3 8 2" xfId="0"/>
    <cellStyle name="메모 2 3 9" xfId="0"/>
    <cellStyle name="메모 2 3 9 2" xfId="0"/>
    <cellStyle name="메모 2 30" xfId="0"/>
    <cellStyle name="메모 2 31" xfId="0"/>
    <cellStyle name="메모 2 4" xfId="0"/>
    <cellStyle name="메모 2 4 10" xfId="0"/>
    <cellStyle name="메모 2 4 11" xfId="0"/>
    <cellStyle name="메모 2 4 2" xfId="0"/>
    <cellStyle name="메모 2 4 3" xfId="0"/>
    <cellStyle name="메모 2 4 4" xfId="0"/>
    <cellStyle name="메모 2 4 5" xfId="0"/>
    <cellStyle name="메모 2 4 6" xfId="0"/>
    <cellStyle name="메모 2 4 7" xfId="0"/>
    <cellStyle name="메모 2 4 8" xfId="0"/>
    <cellStyle name="메모 2 4 9" xfId="0"/>
    <cellStyle name="메모 2 5" xfId="0"/>
    <cellStyle name="메모 2 5 10" xfId="0"/>
    <cellStyle name="메모 2 5 11" xfId="0"/>
    <cellStyle name="메모 2 5 2" xfId="0"/>
    <cellStyle name="메모 2 5 3" xfId="0"/>
    <cellStyle name="메모 2 5 4" xfId="0"/>
    <cellStyle name="메모 2 5 5" xfId="0"/>
    <cellStyle name="메모 2 5 6" xfId="0"/>
    <cellStyle name="메모 2 5 7" xfId="0"/>
    <cellStyle name="메모 2 5 8" xfId="0"/>
    <cellStyle name="메모 2 5 9" xfId="0"/>
    <cellStyle name="메모 2 6" xfId="0"/>
    <cellStyle name="메모 2 6 10" xfId="0"/>
    <cellStyle name="메모 2 6 11" xfId="0"/>
    <cellStyle name="메모 2 6 2" xfId="0"/>
    <cellStyle name="메모 2 6 3" xfId="0"/>
    <cellStyle name="메모 2 6 4" xfId="0"/>
    <cellStyle name="메모 2 6 5" xfId="0"/>
    <cellStyle name="메모 2 6 6" xfId="0"/>
    <cellStyle name="메모 2 6 7" xfId="0"/>
    <cellStyle name="메모 2 6 8" xfId="0"/>
    <cellStyle name="메모 2 6 9" xfId="0"/>
    <cellStyle name="메모 2 7" xfId="0"/>
    <cellStyle name="메모 2 7 10" xfId="0"/>
    <cellStyle name="메모 2 7 2" xfId="0"/>
    <cellStyle name="메모 2 7 3" xfId="0"/>
    <cellStyle name="메모 2 7 4" xfId="0"/>
    <cellStyle name="메모 2 7 5" xfId="0"/>
    <cellStyle name="메모 2 7 6" xfId="0"/>
    <cellStyle name="메모 2 7 7" xfId="0"/>
    <cellStyle name="메모 2 7 8" xfId="0"/>
    <cellStyle name="메모 2 7 9" xfId="0"/>
    <cellStyle name="메모 2 8" xfId="0"/>
    <cellStyle name="메모 2 8 2" xfId="0"/>
    <cellStyle name="메모 2 9" xfId="0"/>
    <cellStyle name="메모 20" xfId="0"/>
    <cellStyle name="메모 20 2" xfId="0"/>
    <cellStyle name="메모 20 3" xfId="0"/>
    <cellStyle name="메모 21" xfId="0"/>
    <cellStyle name="메모 21 2" xfId="0"/>
    <cellStyle name="메모 21 3" xfId="0"/>
    <cellStyle name="메모 22" xfId="0"/>
    <cellStyle name="메모 22 2" xfId="0"/>
    <cellStyle name="메모 22 3" xfId="0"/>
    <cellStyle name="메모 23" xfId="0"/>
    <cellStyle name="메모 23 2" xfId="0"/>
    <cellStyle name="메모 23 3" xfId="0"/>
    <cellStyle name="메모 24" xfId="0"/>
    <cellStyle name="메모 24 2" xfId="0"/>
    <cellStyle name="메모 24 3" xfId="0"/>
    <cellStyle name="메모 25" xfId="0"/>
    <cellStyle name="메모 25 2" xfId="0"/>
    <cellStyle name="메모 25 3" xfId="0"/>
    <cellStyle name="메모 26" xfId="0"/>
    <cellStyle name="메모 26 2" xfId="0"/>
    <cellStyle name="메모 26 3" xfId="0"/>
    <cellStyle name="메모 27" xfId="0"/>
    <cellStyle name="메모 27 2" xfId="0"/>
    <cellStyle name="메모 27 3" xfId="0"/>
    <cellStyle name="메모 28" xfId="0"/>
    <cellStyle name="메모 28 2" xfId="0"/>
    <cellStyle name="메모 29" xfId="0"/>
    <cellStyle name="메모 29 2" xfId="0"/>
    <cellStyle name="메모 2_3300현금및예치금" xfId="0"/>
    <cellStyle name="메모 3" xfId="0"/>
    <cellStyle name="메모 3 10" xfId="0"/>
    <cellStyle name="메모 3 10 2" xfId="0"/>
    <cellStyle name="메모 3 11" xfId="0"/>
    <cellStyle name="메모 3 11 2" xfId="0"/>
    <cellStyle name="메모 3 12" xfId="0"/>
    <cellStyle name="메모 3 12 2" xfId="0"/>
    <cellStyle name="메모 3 13" xfId="0"/>
    <cellStyle name="메모 3 14" xfId="0"/>
    <cellStyle name="메모 3 15" xfId="0"/>
    <cellStyle name="메모 3 16" xfId="0"/>
    <cellStyle name="메모 3 17" xfId="0"/>
    <cellStyle name="메모 3 18" xfId="0"/>
    <cellStyle name="메모 3 19" xfId="0"/>
    <cellStyle name="메모 3 2" xfId="0"/>
    <cellStyle name="메모 3 2 10" xfId="0"/>
    <cellStyle name="메모 3 2 10 2" xfId="0"/>
    <cellStyle name="메모 3 2 11" xfId="0"/>
    <cellStyle name="메모 3 2 11 2" xfId="0"/>
    <cellStyle name="메모 3 2 12" xfId="0"/>
    <cellStyle name="메모 3 2 12 2" xfId="0"/>
    <cellStyle name="메모 3 2 13" xfId="0"/>
    <cellStyle name="메모 3 2 13 2" xfId="0"/>
    <cellStyle name="메모 3 2 14" xfId="0"/>
    <cellStyle name="메모 3 2 15" xfId="0"/>
    <cellStyle name="메모 3 2 2" xfId="0"/>
    <cellStyle name="메모 3 2 2 2" xfId="0"/>
    <cellStyle name="메모 3 2 3" xfId="0"/>
    <cellStyle name="메모 3 2 3 2" xfId="0"/>
    <cellStyle name="메모 3 2 4" xfId="0"/>
    <cellStyle name="메모 3 2 4 2" xfId="0"/>
    <cellStyle name="메모 3 2 5" xfId="0"/>
    <cellStyle name="메모 3 2 5 2" xfId="0"/>
    <cellStyle name="메모 3 2 6" xfId="0"/>
    <cellStyle name="메모 3 2 6 2" xfId="0"/>
    <cellStyle name="메모 3 2 7" xfId="0"/>
    <cellStyle name="메모 3 2 7 2" xfId="0"/>
    <cellStyle name="메모 3 2 8" xfId="0"/>
    <cellStyle name="메모 3 2 8 2" xfId="0"/>
    <cellStyle name="메모 3 2 9" xfId="0"/>
    <cellStyle name="메모 3 2 9 2" xfId="0"/>
    <cellStyle name="메모 3 20" xfId="0"/>
    <cellStyle name="메모 3 21" xfId="0"/>
    <cellStyle name="메모 3 22" xfId="0"/>
    <cellStyle name="메모 3 23" xfId="0"/>
    <cellStyle name="메모 3 24" xfId="0"/>
    <cellStyle name="메모 3 25" xfId="0"/>
    <cellStyle name="메모 3 26" xfId="0"/>
    <cellStyle name="메모 3 27" xfId="0"/>
    <cellStyle name="메모 3 28" xfId="0"/>
    <cellStyle name="메모 3 29" xfId="0"/>
    <cellStyle name="메모 3 3" xfId="0"/>
    <cellStyle name="메모 3 3 10" xfId="0"/>
    <cellStyle name="메모 3 3 10 2" xfId="0"/>
    <cellStyle name="메모 3 3 11" xfId="0"/>
    <cellStyle name="메모 3 3 11 2" xfId="0"/>
    <cellStyle name="메모 3 3 12" xfId="0"/>
    <cellStyle name="메모 3 3 12 2" xfId="0"/>
    <cellStyle name="메모 3 3 13" xfId="0"/>
    <cellStyle name="메모 3 3 13 2" xfId="0"/>
    <cellStyle name="메모 3 3 14" xfId="0"/>
    <cellStyle name="메모 3 3 15" xfId="0"/>
    <cellStyle name="메모 3 3 2" xfId="0"/>
    <cellStyle name="메모 3 3 2 2" xfId="0"/>
    <cellStyle name="메모 3 3 3" xfId="0"/>
    <cellStyle name="메모 3 3 3 2" xfId="0"/>
    <cellStyle name="메모 3 3 4" xfId="0"/>
    <cellStyle name="메모 3 3 4 2" xfId="0"/>
    <cellStyle name="메모 3 3 5" xfId="0"/>
    <cellStyle name="메모 3 3 5 2" xfId="0"/>
    <cellStyle name="메모 3 3 6" xfId="0"/>
    <cellStyle name="메모 3 3 6 2" xfId="0"/>
    <cellStyle name="메모 3 3 7" xfId="0"/>
    <cellStyle name="메모 3 3 7 2" xfId="0"/>
    <cellStyle name="메모 3 3 8" xfId="0"/>
    <cellStyle name="메모 3 3 8 2" xfId="0"/>
    <cellStyle name="메모 3 3 9" xfId="0"/>
    <cellStyle name="메모 3 3 9 2" xfId="0"/>
    <cellStyle name="메모 3 30" xfId="0"/>
    <cellStyle name="메모 3 4" xfId="0"/>
    <cellStyle name="메모 3 4 2" xfId="0"/>
    <cellStyle name="메모 3 4 3" xfId="0"/>
    <cellStyle name="메모 3 5" xfId="0"/>
    <cellStyle name="메모 3 5 2" xfId="0"/>
    <cellStyle name="메모 3 5 3" xfId="0"/>
    <cellStyle name="메모 3 6" xfId="0"/>
    <cellStyle name="메모 3 6 2" xfId="0"/>
    <cellStyle name="메모 3 6 3" xfId="0"/>
    <cellStyle name="메모 3 7" xfId="0"/>
    <cellStyle name="메모 3 7 2" xfId="0"/>
    <cellStyle name="메모 3 7 3" xfId="0"/>
    <cellStyle name="메모 3 8" xfId="0"/>
    <cellStyle name="메모 3 8 2" xfId="0"/>
    <cellStyle name="메모 3 8 3" xfId="0"/>
    <cellStyle name="메모 3 9" xfId="0"/>
    <cellStyle name="메모 3 9 2" xfId="0"/>
    <cellStyle name="메모 30" xfId="0"/>
    <cellStyle name="메모 30 2" xfId="0"/>
    <cellStyle name="메모 31" xfId="0"/>
    <cellStyle name="메모 31 2" xfId="0"/>
    <cellStyle name="메모 32" xfId="0"/>
    <cellStyle name="메모 32 2" xfId="0"/>
    <cellStyle name="메모 33" xfId="0"/>
    <cellStyle name="메모 33 2" xfId="0"/>
    <cellStyle name="메모 4" xfId="0"/>
    <cellStyle name="메모 4 10" xfId="0"/>
    <cellStyle name="메모 4 11" xfId="0"/>
    <cellStyle name="메모 4 12" xfId="0"/>
    <cellStyle name="메모 4 13" xfId="0"/>
    <cellStyle name="메모 4 14" xfId="0"/>
    <cellStyle name="메모 4 15" xfId="0"/>
    <cellStyle name="메모 4 16" xfId="0"/>
    <cellStyle name="메모 4 17" xfId="0"/>
    <cellStyle name="메모 4 18" xfId="0"/>
    <cellStyle name="메모 4 19" xfId="0"/>
    <cellStyle name="메모 4 2" xfId="0"/>
    <cellStyle name="메모 4 2 10" xfId="0"/>
    <cellStyle name="메모 4 2 10 2" xfId="0"/>
    <cellStyle name="메모 4 2 11" xfId="0"/>
    <cellStyle name="메모 4 2 11 2" xfId="0"/>
    <cellStyle name="메모 4 2 12" xfId="0"/>
    <cellStyle name="메모 4 2 12 2" xfId="0"/>
    <cellStyle name="메모 4 2 13" xfId="0"/>
    <cellStyle name="메모 4 2 13 2" xfId="0"/>
    <cellStyle name="메모 4 2 14" xfId="0"/>
    <cellStyle name="메모 4 2 2" xfId="0"/>
    <cellStyle name="메모 4 2 2 2" xfId="0"/>
    <cellStyle name="메모 4 2 3" xfId="0"/>
    <cellStyle name="메모 4 2 3 2" xfId="0"/>
    <cellStyle name="메모 4 2 4" xfId="0"/>
    <cellStyle name="메모 4 2 4 2" xfId="0"/>
    <cellStyle name="메모 4 2 5" xfId="0"/>
    <cellStyle name="메모 4 2 5 2" xfId="0"/>
    <cellStyle name="메모 4 2 6" xfId="0"/>
    <cellStyle name="메모 4 2 6 2" xfId="0"/>
    <cellStyle name="메모 4 2 7" xfId="0"/>
    <cellStyle name="메모 4 2 7 2" xfId="0"/>
    <cellStyle name="메모 4 2 8" xfId="0"/>
    <cellStyle name="메모 4 2 8 2" xfId="0"/>
    <cellStyle name="메모 4 2 9" xfId="0"/>
    <cellStyle name="메모 4 2 9 2" xfId="0"/>
    <cellStyle name="메모 4 20" xfId="0"/>
    <cellStyle name="메모 4 21" xfId="0"/>
    <cellStyle name="메모 4 22" xfId="0"/>
    <cellStyle name="메모 4 23" xfId="0"/>
    <cellStyle name="메모 4 24" xfId="0"/>
    <cellStyle name="메모 4 25" xfId="0"/>
    <cellStyle name="메모 4 26" xfId="0"/>
    <cellStyle name="메모 4 27" xfId="0"/>
    <cellStyle name="메모 4 28" xfId="0"/>
    <cellStyle name="메모 4 29" xfId="0"/>
    <cellStyle name="메모 4 3" xfId="0"/>
    <cellStyle name="메모 4 3 10" xfId="0"/>
    <cellStyle name="메모 4 3 10 2" xfId="0"/>
    <cellStyle name="메모 4 3 11" xfId="0"/>
    <cellStyle name="메모 4 3 11 2" xfId="0"/>
    <cellStyle name="메모 4 3 12" xfId="0"/>
    <cellStyle name="메모 4 3 12 2" xfId="0"/>
    <cellStyle name="메모 4 3 13" xfId="0"/>
    <cellStyle name="메모 4 3 13 2" xfId="0"/>
    <cellStyle name="메모 4 3 14" xfId="0"/>
    <cellStyle name="메모 4 3 2" xfId="0"/>
    <cellStyle name="메모 4 3 2 2" xfId="0"/>
    <cellStyle name="메모 4 3 3" xfId="0"/>
    <cellStyle name="메모 4 3 3 2" xfId="0"/>
    <cellStyle name="메모 4 3 4" xfId="0"/>
    <cellStyle name="메모 4 3 4 2" xfId="0"/>
    <cellStyle name="메모 4 3 5" xfId="0"/>
    <cellStyle name="메모 4 3 5 2" xfId="0"/>
    <cellStyle name="메모 4 3 6" xfId="0"/>
    <cellStyle name="메모 4 3 6 2" xfId="0"/>
    <cellStyle name="메모 4 3 7" xfId="0"/>
    <cellStyle name="메모 4 3 7 2" xfId="0"/>
    <cellStyle name="메모 4 3 8" xfId="0"/>
    <cellStyle name="메모 4 3 8 2" xfId="0"/>
    <cellStyle name="메모 4 3 9" xfId="0"/>
    <cellStyle name="메모 4 3 9 2" xfId="0"/>
    <cellStyle name="메모 4 30" xfId="0"/>
    <cellStyle name="메모 4 4" xfId="0"/>
    <cellStyle name="메모 4 5" xfId="0"/>
    <cellStyle name="메모 4 6" xfId="0"/>
    <cellStyle name="메모 4 7" xfId="0"/>
    <cellStyle name="메모 4 8" xfId="0"/>
    <cellStyle name="메모 4 8 2" xfId="0"/>
    <cellStyle name="메모 4 9" xfId="0"/>
    <cellStyle name="메모 5" xfId="0"/>
    <cellStyle name="메모 5 10" xfId="0"/>
    <cellStyle name="메모 5 10 2" xfId="0"/>
    <cellStyle name="메모 5 11" xfId="0"/>
    <cellStyle name="메모 5 11 2" xfId="0"/>
    <cellStyle name="메모 5 12" xfId="0"/>
    <cellStyle name="메모 5 12 2" xfId="0"/>
    <cellStyle name="메모 5 13" xfId="0"/>
    <cellStyle name="메모 5 13 2" xfId="0"/>
    <cellStyle name="메모 5 14" xfId="0"/>
    <cellStyle name="메모 5 15" xfId="0"/>
    <cellStyle name="메모 5 16" xfId="0"/>
    <cellStyle name="메모 5 17" xfId="0"/>
    <cellStyle name="메모 5 18" xfId="0"/>
    <cellStyle name="메모 5 19" xfId="0"/>
    <cellStyle name="메모 5 2" xfId="0"/>
    <cellStyle name="메모 5 2 10" xfId="0"/>
    <cellStyle name="메모 5 2 11" xfId="0"/>
    <cellStyle name="메모 5 2 12" xfId="0"/>
    <cellStyle name="메모 5 2 13" xfId="0"/>
    <cellStyle name="메모 5 2 2" xfId="0"/>
    <cellStyle name="메모 5 2 3" xfId="0"/>
    <cellStyle name="메모 5 2 4" xfId="0"/>
    <cellStyle name="메모 5 2 5" xfId="0"/>
    <cellStyle name="메모 5 2 6" xfId="0"/>
    <cellStyle name="메모 5 2 7" xfId="0"/>
    <cellStyle name="메모 5 2 8" xfId="0"/>
    <cellStyle name="메모 5 2 9" xfId="0"/>
    <cellStyle name="메모 5 20" xfId="0"/>
    <cellStyle name="메모 5 21" xfId="0"/>
    <cellStyle name="메모 5 22" xfId="0"/>
    <cellStyle name="메모 5 23" xfId="0"/>
    <cellStyle name="메모 5 24" xfId="0"/>
    <cellStyle name="메모 5 25" xfId="0"/>
    <cellStyle name="메모 5 26" xfId="0"/>
    <cellStyle name="메모 5 27" xfId="0"/>
    <cellStyle name="메모 5 28" xfId="0"/>
    <cellStyle name="메모 5 29" xfId="0"/>
    <cellStyle name="메모 5 3" xfId="0"/>
    <cellStyle name="메모 5 3 10" xfId="0"/>
    <cellStyle name="메모 5 3 11" xfId="0"/>
    <cellStyle name="메모 5 3 12" xfId="0"/>
    <cellStyle name="메모 5 3 13" xfId="0"/>
    <cellStyle name="메모 5 3 2" xfId="0"/>
    <cellStyle name="메모 5 3 3" xfId="0"/>
    <cellStyle name="메모 5 3 4" xfId="0"/>
    <cellStyle name="메모 5 3 5" xfId="0"/>
    <cellStyle name="메모 5 3 6" xfId="0"/>
    <cellStyle name="메모 5 3 7" xfId="0"/>
    <cellStyle name="메모 5 3 8" xfId="0"/>
    <cellStyle name="메모 5 3 9" xfId="0"/>
    <cellStyle name="메모 5 30" xfId="0"/>
    <cellStyle name="메모 5 31" xfId="0"/>
    <cellStyle name="메모 5 32" xfId="0"/>
    <cellStyle name="메모 5 33" xfId="0"/>
    <cellStyle name="메모 5 34" xfId="0"/>
    <cellStyle name="메모 5 4" xfId="0"/>
    <cellStyle name="메모 5 4 10" xfId="0"/>
    <cellStyle name="메모 5 4 11" xfId="0"/>
    <cellStyle name="메모 5 4 12" xfId="0"/>
    <cellStyle name="메모 5 4 13" xfId="0"/>
    <cellStyle name="메모 5 4 2" xfId="0"/>
    <cellStyle name="메모 5 4 3" xfId="0"/>
    <cellStyle name="메모 5 4 4" xfId="0"/>
    <cellStyle name="메모 5 4 5" xfId="0"/>
    <cellStyle name="메모 5 4 6" xfId="0"/>
    <cellStyle name="메모 5 4 7" xfId="0"/>
    <cellStyle name="메모 5 4 8" xfId="0"/>
    <cellStyle name="메모 5 4 9" xfId="0"/>
    <cellStyle name="메모 5 5" xfId="0"/>
    <cellStyle name="메모 5 5 10" xfId="0"/>
    <cellStyle name="메모 5 5 11" xfId="0"/>
    <cellStyle name="메모 5 5 12" xfId="0"/>
    <cellStyle name="메모 5 5 13" xfId="0"/>
    <cellStyle name="메모 5 5 2" xfId="0"/>
    <cellStyle name="메모 5 5 3" xfId="0"/>
    <cellStyle name="메모 5 5 4" xfId="0"/>
    <cellStyle name="메모 5 5 5" xfId="0"/>
    <cellStyle name="메모 5 5 6" xfId="0"/>
    <cellStyle name="메모 5 5 7" xfId="0"/>
    <cellStyle name="메모 5 5 8" xfId="0"/>
    <cellStyle name="메모 5 5 9" xfId="0"/>
    <cellStyle name="메모 5 6" xfId="0"/>
    <cellStyle name="메모 5 6 2" xfId="0"/>
    <cellStyle name="메모 5 7" xfId="0"/>
    <cellStyle name="메모 5 7 2" xfId="0"/>
    <cellStyle name="메모 5 8" xfId="0"/>
    <cellStyle name="메모 5 8 2" xfId="0"/>
    <cellStyle name="메모 5 9" xfId="0"/>
    <cellStyle name="메모 5 9 2" xfId="0"/>
    <cellStyle name="메모 6" xfId="0"/>
    <cellStyle name="메모 6 10" xfId="0"/>
    <cellStyle name="메모 6 10 2" xfId="0"/>
    <cellStyle name="메모 6 11" xfId="0"/>
    <cellStyle name="메모 6 11 2" xfId="0"/>
    <cellStyle name="메모 6 12" xfId="0"/>
    <cellStyle name="메모 6 12 2" xfId="0"/>
    <cellStyle name="메모 6 13" xfId="0"/>
    <cellStyle name="메모 6 13 2" xfId="0"/>
    <cellStyle name="메모 6 14" xfId="0"/>
    <cellStyle name="메모 6 15" xfId="0"/>
    <cellStyle name="메모 6 16" xfId="0"/>
    <cellStyle name="메모 6 17" xfId="0"/>
    <cellStyle name="메모 6 18" xfId="0"/>
    <cellStyle name="메모 6 19" xfId="0"/>
    <cellStyle name="메모 6 2" xfId="0"/>
    <cellStyle name="메모 6 2 2" xfId="0"/>
    <cellStyle name="메모 6 20" xfId="0"/>
    <cellStyle name="메모 6 21" xfId="0"/>
    <cellStyle name="메모 6 22" xfId="0"/>
    <cellStyle name="메모 6 23" xfId="0"/>
    <cellStyle name="메모 6 24" xfId="0"/>
    <cellStyle name="메모 6 25" xfId="0"/>
    <cellStyle name="메모 6 26" xfId="0"/>
    <cellStyle name="메모 6 27" xfId="0"/>
    <cellStyle name="메모 6 28" xfId="0"/>
    <cellStyle name="메모 6 29" xfId="0"/>
    <cellStyle name="메모 6 3" xfId="0"/>
    <cellStyle name="메모 6 3 2" xfId="0"/>
    <cellStyle name="메모 6 30" xfId="0"/>
    <cellStyle name="메모 6 4" xfId="0"/>
    <cellStyle name="메모 6 4 2" xfId="0"/>
    <cellStyle name="메모 6 5" xfId="0"/>
    <cellStyle name="메모 6 5 2" xfId="0"/>
    <cellStyle name="메모 6 6" xfId="0"/>
    <cellStyle name="메모 6 6 2" xfId="0"/>
    <cellStyle name="메모 6 7" xfId="0"/>
    <cellStyle name="메모 6 7 2" xfId="0"/>
    <cellStyle name="메모 6 8" xfId="0"/>
    <cellStyle name="메모 6 8 2" xfId="0"/>
    <cellStyle name="메모 6 9" xfId="0"/>
    <cellStyle name="메모 6 9 2" xfId="0"/>
    <cellStyle name="메모 7" xfId="0"/>
    <cellStyle name="메모 7 10" xfId="0"/>
    <cellStyle name="메모 7 11" xfId="0"/>
    <cellStyle name="메모 7 12" xfId="0"/>
    <cellStyle name="메모 7 13" xfId="0"/>
    <cellStyle name="메모 7 14" xfId="0"/>
    <cellStyle name="메모 7 15" xfId="0"/>
    <cellStyle name="메모 7 2" xfId="0"/>
    <cellStyle name="메모 7 2 2" xfId="0"/>
    <cellStyle name="메모 7 3" xfId="0"/>
    <cellStyle name="메모 7 3 2" xfId="0"/>
    <cellStyle name="메모 7 4" xfId="0"/>
    <cellStyle name="메모 7 4 2" xfId="0"/>
    <cellStyle name="메모 7 5" xfId="0"/>
    <cellStyle name="메모 7 5 2" xfId="0"/>
    <cellStyle name="메모 7 6" xfId="0"/>
    <cellStyle name="메모 7 6 2" xfId="0"/>
    <cellStyle name="메모 7 7" xfId="0"/>
    <cellStyle name="메모 7 8" xfId="0"/>
    <cellStyle name="메모 7 9" xfId="0"/>
    <cellStyle name="메모 8" xfId="0"/>
    <cellStyle name="메모 8 10" xfId="0"/>
    <cellStyle name="메모 8 11" xfId="0"/>
    <cellStyle name="메모 8 12" xfId="0"/>
    <cellStyle name="메모 8 13" xfId="0"/>
    <cellStyle name="메모 8 14" xfId="0"/>
    <cellStyle name="메모 8 2" xfId="0"/>
    <cellStyle name="메모 8 2 2" xfId="0"/>
    <cellStyle name="메모 8 3" xfId="0"/>
    <cellStyle name="메모 8 3 2" xfId="0"/>
    <cellStyle name="메모 8 4" xfId="0"/>
    <cellStyle name="메모 8 4 2" xfId="0"/>
    <cellStyle name="메모 8 5" xfId="0"/>
    <cellStyle name="메모 8 5 2" xfId="0"/>
    <cellStyle name="메모 8 6" xfId="0"/>
    <cellStyle name="메모 8 6 2" xfId="0"/>
    <cellStyle name="메모 8 7" xfId="0"/>
    <cellStyle name="메모 8 8" xfId="0"/>
    <cellStyle name="메모 8 9" xfId="0"/>
    <cellStyle name="메모 9" xfId="0"/>
    <cellStyle name="메모 9 10" xfId="0"/>
    <cellStyle name="메모 9 11" xfId="0"/>
    <cellStyle name="메모 9 12" xfId="0"/>
    <cellStyle name="메모 9 13" xfId="0"/>
    <cellStyle name="메모 9 14" xfId="0"/>
    <cellStyle name="메모 9 2" xfId="0"/>
    <cellStyle name="메모 9 2 2" xfId="0"/>
    <cellStyle name="메모 9 3" xfId="0"/>
    <cellStyle name="메모 9 3 2" xfId="0"/>
    <cellStyle name="메모 9 4" xfId="0"/>
    <cellStyle name="메모 9 4 2" xfId="0"/>
    <cellStyle name="메모 9 5" xfId="0"/>
    <cellStyle name="메모 9 5 2" xfId="0"/>
    <cellStyle name="메모 9 6" xfId="0"/>
    <cellStyle name="메모 9 6 2" xfId="0"/>
    <cellStyle name="메모 9 7" xfId="0"/>
    <cellStyle name="메모 9 8" xfId="0"/>
    <cellStyle name="메모 9 9" xfId="0"/>
    <cellStyle name="메시지" xfId="0"/>
    <cellStyle name="묮뎋 [0.00]_PRODUCT DETAIL Q1" xfId="0"/>
    <cellStyle name="묮뎋_PRODUCT DETAIL Q1" xfId="0"/>
    <cellStyle name="문자" xfId="0"/>
    <cellStyle name="문자열" xfId="0"/>
    <cellStyle name="문자열(가운데맞춤)" xfId="0"/>
    <cellStyle name="믅됞 [0.00]_9703JPY" xfId="0"/>
    <cellStyle name="믅됞_9703JPY" xfId="0"/>
    <cellStyle name="미정" xfId="0"/>
    <cellStyle name="민" xfId="0"/>
    <cellStyle name="바깥" xfId="0"/>
    <cellStyle name="백" xfId="0"/>
    <cellStyle name="백_Valuation_(주)LG_ver1" xfId="0"/>
    <cellStyle name="백만" xfId="0"/>
    <cellStyle name="백만원" xfId="0"/>
    <cellStyle name="백분율 10" xfId="0"/>
    <cellStyle name="백분율 11" xfId="0"/>
    <cellStyle name="백분율 12" xfId="0"/>
    <cellStyle name="백분율 13" xfId="0"/>
    <cellStyle name="백분율 14" xfId="0"/>
    <cellStyle name="백분율 15" xfId="0"/>
    <cellStyle name="백분율 16" xfId="0"/>
    <cellStyle name="백분율 17" xfId="0"/>
    <cellStyle name="백분율 18" xfId="0"/>
    <cellStyle name="백분율 19" xfId="0"/>
    <cellStyle name="백분율 2" xfId="0"/>
    <cellStyle name="백분율 2 10" xfId="0"/>
    <cellStyle name="백분율 2 10 2" xfId="0"/>
    <cellStyle name="백분율 2 10 3" xfId="0"/>
    <cellStyle name="백분율 2 10 4" xfId="0"/>
    <cellStyle name="백분율 2 10 5" xfId="0"/>
    <cellStyle name="백분율 2 11" xfId="0"/>
    <cellStyle name="백분율 2 11 2" xfId="0"/>
    <cellStyle name="백분율 2 11 3" xfId="0"/>
    <cellStyle name="백분율 2 11 4" xfId="0"/>
    <cellStyle name="백분율 2 11 5" xfId="0"/>
    <cellStyle name="백분율 2 12" xfId="0"/>
    <cellStyle name="백분율 2 12 2" xfId="0"/>
    <cellStyle name="백분율 2 12 3" xfId="0"/>
    <cellStyle name="백분율 2 12 4" xfId="0"/>
    <cellStyle name="백분율 2 12 5" xfId="0"/>
    <cellStyle name="백분율 2 13" xfId="0"/>
    <cellStyle name="백분율 2 14" xfId="0"/>
    <cellStyle name="백분율 2 15" xfId="0"/>
    <cellStyle name="백분율 2 16" xfId="0"/>
    <cellStyle name="백분율 2 17" xfId="0"/>
    <cellStyle name="백분율 2 2" xfId="0"/>
    <cellStyle name="백분율 2 2 2" xfId="0"/>
    <cellStyle name="백분율 2 2 3" xfId="0"/>
    <cellStyle name="백분율 2 3" xfId="0"/>
    <cellStyle name="백분율 2 3 2" xfId="0"/>
    <cellStyle name="백분율 2 3 3" xfId="0"/>
    <cellStyle name="백분율 2 4" xfId="0"/>
    <cellStyle name="백분율 2 4 2" xfId="0"/>
    <cellStyle name="백분율 2 5" xfId="0"/>
    <cellStyle name="백분율 2 6" xfId="0"/>
    <cellStyle name="백분율 2 7" xfId="0"/>
    <cellStyle name="백분율 2 8" xfId="0"/>
    <cellStyle name="백분율 2 8 10" xfId="0"/>
    <cellStyle name="백분율 2 8 2" xfId="0"/>
    <cellStyle name="백분율 2 8 2 2" xfId="0"/>
    <cellStyle name="백분율 2 8 2 3" xfId="0"/>
    <cellStyle name="백분율 2 8 2 4" xfId="0"/>
    <cellStyle name="백분율 2 8 2 5" xfId="0"/>
    <cellStyle name="백분율 2 8 3" xfId="0"/>
    <cellStyle name="백분율 2 8 3 2" xfId="0"/>
    <cellStyle name="백분율 2 8 3 3" xfId="0"/>
    <cellStyle name="백분율 2 8 3 4" xfId="0"/>
    <cellStyle name="백분율 2 8 3 5" xfId="0"/>
    <cellStyle name="백분율 2 8 4" xfId="0"/>
    <cellStyle name="백분율 2 8 4 2" xfId="0"/>
    <cellStyle name="백분율 2 8 4 3" xfId="0"/>
    <cellStyle name="백분율 2 8 4 4" xfId="0"/>
    <cellStyle name="백분율 2 8 4 5" xfId="0"/>
    <cellStyle name="백분율 2 8 5" xfId="0"/>
    <cellStyle name="백분율 2 8 5 2" xfId="0"/>
    <cellStyle name="백분율 2 8 5 3" xfId="0"/>
    <cellStyle name="백분율 2 8 5 4" xfId="0"/>
    <cellStyle name="백분율 2 8 5 5" xfId="0"/>
    <cellStyle name="백분율 2 8 6" xfId="0"/>
    <cellStyle name="백분율 2 8 7" xfId="0"/>
    <cellStyle name="백분율 2 8 8" xfId="0"/>
    <cellStyle name="백분율 2 8 9" xfId="0"/>
    <cellStyle name="백분율 2 9" xfId="0"/>
    <cellStyle name="백분율 2 9 2" xfId="0"/>
    <cellStyle name="백분율 2 9 3" xfId="0"/>
    <cellStyle name="백분율 2 9 4" xfId="0"/>
    <cellStyle name="백분율 2 9 5" xfId="0"/>
    <cellStyle name="백분율 20" xfId="0"/>
    <cellStyle name="백분율 21" xfId="0"/>
    <cellStyle name="백분율 3" xfId="0"/>
    <cellStyle name="백분율 3 2" xfId="0"/>
    <cellStyle name="백분율 3 2 2" xfId="0"/>
    <cellStyle name="백분율 3 2 2 2" xfId="0"/>
    <cellStyle name="백분율 3 2 2 3" xfId="0"/>
    <cellStyle name="백분율 3 2 2 3 2" xfId="0"/>
    <cellStyle name="백분율 3 2 2 3 2 2" xfId="0"/>
    <cellStyle name="백분율 3 2 2 3 2 2 2" xfId="0"/>
    <cellStyle name="백분율 3 2 2 3 2 2 2 2" xfId="0"/>
    <cellStyle name="백분율 3 2 2 3 2 2 2 2 2" xfId="0"/>
    <cellStyle name="백분율 3 2 2 3 2 2 2 2 2 2" xfId="0"/>
    <cellStyle name="백분율 3 2 2 3 2 2 2 2 2 2 2" xfId="0"/>
    <cellStyle name="백분율 3 2 2 3 2 2 2 2 2 2 2 2" xfId="0"/>
    <cellStyle name="백분율 3 2 2 3 2 2 2 2 2 2 2 2 2" xfId="0"/>
    <cellStyle name="백분율 3 2 2 4" xfId="0"/>
    <cellStyle name="백분율 3 2 3" xfId="0"/>
    <cellStyle name="백분율 3 3" xfId="0"/>
    <cellStyle name="백분율 3 3 2" xfId="0"/>
    <cellStyle name="백분율 3 3 3" xfId="0"/>
    <cellStyle name="백분율 3 4" xfId="0"/>
    <cellStyle name="백분율 3 5" xfId="0"/>
    <cellStyle name="백분율 3 6" xfId="0"/>
    <cellStyle name="백분율 3 7" xfId="0"/>
    <cellStyle name="백분율 4" xfId="0"/>
    <cellStyle name="백분율 4 2" xfId="0"/>
    <cellStyle name="백분율 4 3" xfId="0"/>
    <cellStyle name="백분율 41" xfId="0"/>
    <cellStyle name="백분율 5" xfId="0"/>
    <cellStyle name="백분율 5 2" xfId="0"/>
    <cellStyle name="백분율 5 3" xfId="0"/>
    <cellStyle name="백분율 6" xfId="0"/>
    <cellStyle name="백분율 6 2" xfId="0"/>
    <cellStyle name="백분율 6 3" xfId="0"/>
    <cellStyle name="백분율 6 4" xfId="0"/>
    <cellStyle name="백분율 6 5" xfId="0"/>
    <cellStyle name="백분율 7" xfId="0"/>
    <cellStyle name="백분율 8" xfId="0"/>
    <cellStyle name="백분율 9" xfId="0"/>
    <cellStyle name="백분율 [0]" xfId="0"/>
    <cellStyle name="백분율 [2]" xfId="0"/>
    <cellStyle name="백분율[2]" xfId="0"/>
    <cellStyle name="보고서" xfId="0"/>
    <cellStyle name="보통 10" xfId="0"/>
    <cellStyle name="보통 10 2" xfId="0"/>
    <cellStyle name="보통 10 2 2" xfId="0"/>
    <cellStyle name="보통 10 3" xfId="0"/>
    <cellStyle name="보통 10 3 2" xfId="0"/>
    <cellStyle name="보통 10 4" xfId="0"/>
    <cellStyle name="보통 10 4 2" xfId="0"/>
    <cellStyle name="보통 10 5" xfId="0"/>
    <cellStyle name="보통 10 6" xfId="0"/>
    <cellStyle name="보통 10 7" xfId="0"/>
    <cellStyle name="보통 11" xfId="0"/>
    <cellStyle name="보통 11 2" xfId="0"/>
    <cellStyle name="보통 11 2 2" xfId="0"/>
    <cellStyle name="보통 11 3" xfId="0"/>
    <cellStyle name="보통 11 3 2" xfId="0"/>
    <cellStyle name="보통 11 4" xfId="0"/>
    <cellStyle name="보통 11 4 2" xfId="0"/>
    <cellStyle name="보통 11 5" xfId="0"/>
    <cellStyle name="보통 11 6" xfId="0"/>
    <cellStyle name="보통 11 7" xfId="0"/>
    <cellStyle name="보통 12" xfId="0"/>
    <cellStyle name="보통 12 2" xfId="0"/>
    <cellStyle name="보통 12 3" xfId="0"/>
    <cellStyle name="보통 12 4" xfId="0"/>
    <cellStyle name="보통 12 5" xfId="0"/>
    <cellStyle name="보통 13" xfId="0"/>
    <cellStyle name="보통 13 2" xfId="0"/>
    <cellStyle name="보통 13 3" xfId="0"/>
    <cellStyle name="보통 13 4" xfId="0"/>
    <cellStyle name="보통 13 5" xfId="0"/>
    <cellStyle name="보통 14" xfId="0"/>
    <cellStyle name="보통 14 2" xfId="0"/>
    <cellStyle name="보통 15" xfId="0"/>
    <cellStyle name="보통 15 2" xfId="0"/>
    <cellStyle name="보통 16" xfId="0"/>
    <cellStyle name="보통 16 2" xfId="0"/>
    <cellStyle name="보통 17" xfId="0"/>
    <cellStyle name="보통 17 2" xfId="0"/>
    <cellStyle name="보통 18" xfId="0"/>
    <cellStyle name="보통 19" xfId="0"/>
    <cellStyle name="보통 2" xfId="0"/>
    <cellStyle name="보통 2 10" xfId="0"/>
    <cellStyle name="보통 2 11" xfId="0"/>
    <cellStyle name="보통 2 12" xfId="0"/>
    <cellStyle name="보통 2 13" xfId="0"/>
    <cellStyle name="보통 2 2" xfId="0"/>
    <cellStyle name="보통 2 2 10" xfId="0"/>
    <cellStyle name="보통 2 2 2" xfId="0"/>
    <cellStyle name="보통 2 2 3" xfId="0"/>
    <cellStyle name="보통 2 2 4" xfId="0"/>
    <cellStyle name="보통 2 2 5" xfId="0"/>
    <cellStyle name="보통 2 2 6" xfId="0"/>
    <cellStyle name="보통 2 2 7" xfId="0"/>
    <cellStyle name="보통 2 2 8" xfId="0"/>
    <cellStyle name="보통 2 2 9" xfId="0"/>
    <cellStyle name="보통 2 3" xfId="0"/>
    <cellStyle name="보통 2 3 10" xfId="0"/>
    <cellStyle name="보통 2 3 2" xfId="0"/>
    <cellStyle name="보통 2 3 3" xfId="0"/>
    <cellStyle name="보통 2 3 4" xfId="0"/>
    <cellStyle name="보통 2 3 5" xfId="0"/>
    <cellStyle name="보통 2 3 6" xfId="0"/>
    <cellStyle name="보통 2 3 7" xfId="0"/>
    <cellStyle name="보통 2 3 8" xfId="0"/>
    <cellStyle name="보통 2 3 9" xfId="0"/>
    <cellStyle name="보통 2 4" xfId="0"/>
    <cellStyle name="보통 2 4 10" xfId="0"/>
    <cellStyle name="보통 2 4 2" xfId="0"/>
    <cellStyle name="보통 2 4 3" xfId="0"/>
    <cellStyle name="보통 2 4 4" xfId="0"/>
    <cellStyle name="보통 2 4 5" xfId="0"/>
    <cellStyle name="보통 2 4 6" xfId="0"/>
    <cellStyle name="보통 2 4 7" xfId="0"/>
    <cellStyle name="보통 2 4 8" xfId="0"/>
    <cellStyle name="보통 2 4 9" xfId="0"/>
    <cellStyle name="보통 2 5" xfId="0"/>
    <cellStyle name="보통 2 5 10" xfId="0"/>
    <cellStyle name="보통 2 5 2" xfId="0"/>
    <cellStyle name="보통 2 5 3" xfId="0"/>
    <cellStyle name="보통 2 5 4" xfId="0"/>
    <cellStyle name="보통 2 5 5" xfId="0"/>
    <cellStyle name="보통 2 5 6" xfId="0"/>
    <cellStyle name="보통 2 5 7" xfId="0"/>
    <cellStyle name="보통 2 5 8" xfId="0"/>
    <cellStyle name="보통 2 5 9" xfId="0"/>
    <cellStyle name="보통 2 6" xfId="0"/>
    <cellStyle name="보통 2 6 10" xfId="0"/>
    <cellStyle name="보통 2 6 2" xfId="0"/>
    <cellStyle name="보통 2 6 3" xfId="0"/>
    <cellStyle name="보통 2 6 4" xfId="0"/>
    <cellStyle name="보통 2 6 5" xfId="0"/>
    <cellStyle name="보통 2 6 6" xfId="0"/>
    <cellStyle name="보통 2 6 7" xfId="0"/>
    <cellStyle name="보통 2 6 8" xfId="0"/>
    <cellStyle name="보통 2 6 9" xfId="0"/>
    <cellStyle name="보통 2 7" xfId="0"/>
    <cellStyle name="보통 2 7 10" xfId="0"/>
    <cellStyle name="보통 2 7 2" xfId="0"/>
    <cellStyle name="보통 2 7 3" xfId="0"/>
    <cellStyle name="보통 2 7 4" xfId="0"/>
    <cellStyle name="보통 2 7 5" xfId="0"/>
    <cellStyle name="보통 2 7 6" xfId="0"/>
    <cellStyle name="보통 2 7 7" xfId="0"/>
    <cellStyle name="보통 2 7 8" xfId="0"/>
    <cellStyle name="보통 2 7 9" xfId="0"/>
    <cellStyle name="보통 2 8" xfId="0"/>
    <cellStyle name="보통 2 8 2" xfId="0"/>
    <cellStyle name="보통 2 9" xfId="0"/>
    <cellStyle name="보통 20" xfId="0"/>
    <cellStyle name="보통 21" xfId="0"/>
    <cellStyle name="보통 22" xfId="0"/>
    <cellStyle name="보통 23" xfId="0"/>
    <cellStyle name="보통 24" xfId="0"/>
    <cellStyle name="보통 25" xfId="0"/>
    <cellStyle name="보통 26" xfId="0"/>
    <cellStyle name="보통 27" xfId="0"/>
    <cellStyle name="보통 2_3300현금및예치금" xfId="0"/>
    <cellStyle name="보통 3" xfId="0"/>
    <cellStyle name="보통 3 10" xfId="0"/>
    <cellStyle name="보통 3 10 2" xfId="0"/>
    <cellStyle name="보통 3 11" xfId="0"/>
    <cellStyle name="보통 3 11 2" xfId="0"/>
    <cellStyle name="보통 3 12" xfId="0"/>
    <cellStyle name="보통 3 12 2" xfId="0"/>
    <cellStyle name="보통 3 13" xfId="0"/>
    <cellStyle name="보통 3 14" xfId="0"/>
    <cellStyle name="보통 3 15" xfId="0"/>
    <cellStyle name="보통 3 16" xfId="0"/>
    <cellStyle name="보통 3 17" xfId="0"/>
    <cellStyle name="보통 3 18" xfId="0"/>
    <cellStyle name="보통 3 19" xfId="0"/>
    <cellStyle name="보통 3 2" xfId="0"/>
    <cellStyle name="보통 3 2 2" xfId="0"/>
    <cellStyle name="보통 3 2 3" xfId="0"/>
    <cellStyle name="보통 3 20" xfId="0"/>
    <cellStyle name="보통 3 3" xfId="0"/>
    <cellStyle name="보통 3 3 2" xfId="0"/>
    <cellStyle name="보통 3 3 3" xfId="0"/>
    <cellStyle name="보통 3 4" xfId="0"/>
    <cellStyle name="보통 3 4 2" xfId="0"/>
    <cellStyle name="보통 3 4 3" xfId="0"/>
    <cellStyle name="보통 3 5" xfId="0"/>
    <cellStyle name="보통 3 5 2" xfId="0"/>
    <cellStyle name="보통 3 5 3" xfId="0"/>
    <cellStyle name="보통 3 6" xfId="0"/>
    <cellStyle name="보통 3 6 2" xfId="0"/>
    <cellStyle name="보통 3 6 2 2" xfId="0"/>
    <cellStyle name="보통 3 6 3" xfId="0"/>
    <cellStyle name="보통 3 6 4" xfId="0"/>
    <cellStyle name="보통 3 6 5" xfId="0"/>
    <cellStyle name="보통 3 7" xfId="0"/>
    <cellStyle name="보통 3 7 2" xfId="0"/>
    <cellStyle name="보통 3 7 3" xfId="0"/>
    <cellStyle name="보통 3 8" xfId="0"/>
    <cellStyle name="보통 3 8 2" xfId="0"/>
    <cellStyle name="보통 3 8 3" xfId="0"/>
    <cellStyle name="보통 3 9" xfId="0"/>
    <cellStyle name="보통 3 9 2" xfId="0"/>
    <cellStyle name="보통 3_운용자산별 손익분석" xfId="0"/>
    <cellStyle name="보통 4" xfId="0"/>
    <cellStyle name="보통 4 10" xfId="0"/>
    <cellStyle name="보통 4 11" xfId="0"/>
    <cellStyle name="보통 4 12" xfId="0"/>
    <cellStyle name="보통 4 13" xfId="0"/>
    <cellStyle name="보통 4 2" xfId="0"/>
    <cellStyle name="보통 4 3" xfId="0"/>
    <cellStyle name="보통 4 4" xfId="0"/>
    <cellStyle name="보통 4 5" xfId="0"/>
    <cellStyle name="보통 4 6" xfId="0"/>
    <cellStyle name="보통 4 7" xfId="0"/>
    <cellStyle name="보통 4 8" xfId="0"/>
    <cellStyle name="보통 4 9" xfId="0"/>
    <cellStyle name="보통 4_운용자산별 손익분석" xfId="0"/>
    <cellStyle name="보통 5" xfId="0"/>
    <cellStyle name="보통 5 10" xfId="0"/>
    <cellStyle name="보통 5 11" xfId="0"/>
    <cellStyle name="보통 5 12" xfId="0"/>
    <cellStyle name="보통 5 13" xfId="0"/>
    <cellStyle name="보통 5 14" xfId="0"/>
    <cellStyle name="보통 5 15" xfId="0"/>
    <cellStyle name="보통 5 16" xfId="0"/>
    <cellStyle name="보통 5 17" xfId="0"/>
    <cellStyle name="보통 5 18" xfId="0"/>
    <cellStyle name="보통 5 19" xfId="0"/>
    <cellStyle name="보통 5 2" xfId="0"/>
    <cellStyle name="보통 5 20" xfId="0"/>
    <cellStyle name="보통 5 21" xfId="0"/>
    <cellStyle name="보통 5 22" xfId="0"/>
    <cellStyle name="보통 5 23" xfId="0"/>
    <cellStyle name="보통 5 24" xfId="0"/>
    <cellStyle name="보통 5 25" xfId="0"/>
    <cellStyle name="보통 5 26" xfId="0"/>
    <cellStyle name="보통 5 27" xfId="0"/>
    <cellStyle name="보통 5 28" xfId="0"/>
    <cellStyle name="보통 5 29" xfId="0"/>
    <cellStyle name="보통 5 3" xfId="0"/>
    <cellStyle name="보통 5 30" xfId="0"/>
    <cellStyle name="보통 5 31" xfId="0"/>
    <cellStyle name="보통 5 32" xfId="0"/>
    <cellStyle name="보통 5 33" xfId="0"/>
    <cellStyle name="보통 5 34" xfId="0"/>
    <cellStyle name="보통 5 4" xfId="0"/>
    <cellStyle name="보통 5 5" xfId="0"/>
    <cellStyle name="보통 5 6" xfId="0"/>
    <cellStyle name="보통 5 7" xfId="0"/>
    <cellStyle name="보통 5 8" xfId="0"/>
    <cellStyle name="보통 5 9" xfId="0"/>
    <cellStyle name="보통 6" xfId="0"/>
    <cellStyle name="보통 6 10" xfId="0"/>
    <cellStyle name="보통 6 11" xfId="0"/>
    <cellStyle name="보통 6 12" xfId="0"/>
    <cellStyle name="보통 6 13" xfId="0"/>
    <cellStyle name="보통 6 14" xfId="0"/>
    <cellStyle name="보통 6 15" xfId="0"/>
    <cellStyle name="보통 6 16" xfId="0"/>
    <cellStyle name="보통 6 17" xfId="0"/>
    <cellStyle name="보통 6 18" xfId="0"/>
    <cellStyle name="보통 6 19" xfId="0"/>
    <cellStyle name="보통 6 2" xfId="0"/>
    <cellStyle name="보통 6 20" xfId="0"/>
    <cellStyle name="보통 6 21" xfId="0"/>
    <cellStyle name="보통 6 22" xfId="0"/>
    <cellStyle name="보통 6 23" xfId="0"/>
    <cellStyle name="보통 6 24" xfId="0"/>
    <cellStyle name="보통 6 25" xfId="0"/>
    <cellStyle name="보통 6 26" xfId="0"/>
    <cellStyle name="보통 6 27" xfId="0"/>
    <cellStyle name="보통 6 28" xfId="0"/>
    <cellStyle name="보통 6 29" xfId="0"/>
    <cellStyle name="보통 6 3" xfId="0"/>
    <cellStyle name="보통 6 30" xfId="0"/>
    <cellStyle name="보통 6 4" xfId="0"/>
    <cellStyle name="보통 6 5" xfId="0"/>
    <cellStyle name="보통 6 6" xfId="0"/>
    <cellStyle name="보통 6 7" xfId="0"/>
    <cellStyle name="보통 6 8" xfId="0"/>
    <cellStyle name="보통 6 9" xfId="0"/>
    <cellStyle name="보통 7" xfId="0"/>
    <cellStyle name="보통 7 10" xfId="0"/>
    <cellStyle name="보통 7 11" xfId="0"/>
    <cellStyle name="보통 7 12" xfId="0"/>
    <cellStyle name="보통 7 13" xfId="0"/>
    <cellStyle name="보통 7 14" xfId="0"/>
    <cellStyle name="보통 7 15" xfId="0"/>
    <cellStyle name="보통 7 2" xfId="0"/>
    <cellStyle name="보통 7 2 2" xfId="0"/>
    <cellStyle name="보통 7 3" xfId="0"/>
    <cellStyle name="보통 7 3 2" xfId="0"/>
    <cellStyle name="보통 7 4" xfId="0"/>
    <cellStyle name="보통 7 4 2" xfId="0"/>
    <cellStyle name="보통 7 5" xfId="0"/>
    <cellStyle name="보통 7 5 2" xfId="0"/>
    <cellStyle name="보통 7 6" xfId="0"/>
    <cellStyle name="보통 7 6 2" xfId="0"/>
    <cellStyle name="보통 7 7" xfId="0"/>
    <cellStyle name="보통 7 8" xfId="0"/>
    <cellStyle name="보통 7 9" xfId="0"/>
    <cellStyle name="보통 8" xfId="0"/>
    <cellStyle name="보통 8 10" xfId="0"/>
    <cellStyle name="보통 8 11" xfId="0"/>
    <cellStyle name="보통 8 12" xfId="0"/>
    <cellStyle name="보통 8 13" xfId="0"/>
    <cellStyle name="보통 8 14" xfId="0"/>
    <cellStyle name="보통 8 2" xfId="0"/>
    <cellStyle name="보통 8 2 2" xfId="0"/>
    <cellStyle name="보통 8 3" xfId="0"/>
    <cellStyle name="보통 8 3 2" xfId="0"/>
    <cellStyle name="보통 8 4" xfId="0"/>
    <cellStyle name="보통 8 4 2" xfId="0"/>
    <cellStyle name="보통 8 5" xfId="0"/>
    <cellStyle name="보통 8 5 2" xfId="0"/>
    <cellStyle name="보통 8 6" xfId="0"/>
    <cellStyle name="보통 8 6 2" xfId="0"/>
    <cellStyle name="보통 8 7" xfId="0"/>
    <cellStyle name="보통 8 8" xfId="0"/>
    <cellStyle name="보통 8 9" xfId="0"/>
    <cellStyle name="보통 9" xfId="0"/>
    <cellStyle name="보통 9 10" xfId="0"/>
    <cellStyle name="보통 9 11" xfId="0"/>
    <cellStyle name="보통 9 12" xfId="0"/>
    <cellStyle name="보통 9 13" xfId="0"/>
    <cellStyle name="보통 9 14" xfId="0"/>
    <cellStyle name="보통 9 2" xfId="0"/>
    <cellStyle name="보통 9 2 2" xfId="0"/>
    <cellStyle name="보통 9 3" xfId="0"/>
    <cellStyle name="보통 9 3 2" xfId="0"/>
    <cellStyle name="보통 9 4" xfId="0"/>
    <cellStyle name="보통 9 4 2" xfId="0"/>
    <cellStyle name="보통 9 5" xfId="0"/>
    <cellStyle name="보통 9 5 2" xfId="0"/>
    <cellStyle name="보통 9 6" xfId="0"/>
    <cellStyle name="보통 9 6 2" xfId="0"/>
    <cellStyle name="보통 9 7" xfId="0"/>
    <cellStyle name="보통 9 8" xfId="0"/>
    <cellStyle name="보통 9 9" xfId="0"/>
    <cellStyle name="뷭?" xfId="0"/>
    <cellStyle name="사용자" xfId="0"/>
    <cellStyle name="사원명무 표준" xfId="0"/>
    <cellStyle name="삼일-금지" xfId="0"/>
    <cellStyle name="삼일-입력" xfId="0"/>
    <cellStyle name="새귑[0]_롤痰삠悧 " xfId="0"/>
    <cellStyle name="새귑_롤痰삠悧 " xfId="0"/>
    <cellStyle name="선 수 보 험 료" xfId="0"/>
    <cellStyle name="선우공정현황" xfId="0"/>
    <cellStyle name="선택영역의 가운데로" xfId="0"/>
    <cellStyle name="선택중앙" xfId="0"/>
    <cellStyle name="설계서-내용" xfId="0"/>
    <cellStyle name="설계서-내용-소수점" xfId="0"/>
    <cellStyle name="설계서-내용-우" xfId="0"/>
    <cellStyle name="설계서-내용-좌" xfId="0"/>
    <cellStyle name="설계서-소제목" xfId="0"/>
    <cellStyle name="설계서-타이틀" xfId="0"/>
    <cellStyle name="설계서-항목" xfId="0"/>
    <cellStyle name="설명 텍스트 10" xfId="0"/>
    <cellStyle name="설명 텍스트 10 2" xfId="0"/>
    <cellStyle name="설명 텍스트 10 2 2" xfId="0"/>
    <cellStyle name="설명 텍스트 10 3" xfId="0"/>
    <cellStyle name="설명 텍스트 10 3 2" xfId="0"/>
    <cellStyle name="설명 텍스트 10 4" xfId="0"/>
    <cellStyle name="설명 텍스트 10 4 2" xfId="0"/>
    <cellStyle name="설명 텍스트 10 5" xfId="0"/>
    <cellStyle name="설명 텍스트 10 6" xfId="0"/>
    <cellStyle name="설명 텍스트 10 7" xfId="0"/>
    <cellStyle name="설명 텍스트 11" xfId="0"/>
    <cellStyle name="설명 텍스트 11 2" xfId="0"/>
    <cellStyle name="설명 텍스트 11 2 2" xfId="0"/>
    <cellStyle name="설명 텍스트 11 3" xfId="0"/>
    <cellStyle name="설명 텍스트 11 3 2" xfId="0"/>
    <cellStyle name="설명 텍스트 11 4" xfId="0"/>
    <cellStyle name="설명 텍스트 11 4 2" xfId="0"/>
    <cellStyle name="설명 텍스트 11 5" xfId="0"/>
    <cellStyle name="설명 텍스트 11 6" xfId="0"/>
    <cellStyle name="설명 텍스트 11 7" xfId="0"/>
    <cellStyle name="설명 텍스트 12" xfId="0"/>
    <cellStyle name="설명 텍스트 12 2" xfId="0"/>
    <cellStyle name="설명 텍스트 12 3" xfId="0"/>
    <cellStyle name="설명 텍스트 12 4" xfId="0"/>
    <cellStyle name="설명 텍스트 12 5" xfId="0"/>
    <cellStyle name="설명 텍스트 13" xfId="0"/>
    <cellStyle name="설명 텍스트 13 2" xfId="0"/>
    <cellStyle name="설명 텍스트 13 3" xfId="0"/>
    <cellStyle name="설명 텍스트 13 4" xfId="0"/>
    <cellStyle name="설명 텍스트 13 5" xfId="0"/>
    <cellStyle name="설명 텍스트 14" xfId="0"/>
    <cellStyle name="설명 텍스트 14 2" xfId="0"/>
    <cellStyle name="설명 텍스트 15" xfId="0"/>
    <cellStyle name="설명 텍스트 15 2" xfId="0"/>
    <cellStyle name="설명 텍스트 16" xfId="0"/>
    <cellStyle name="설명 텍스트 16 2" xfId="0"/>
    <cellStyle name="설명 텍스트 17" xfId="0"/>
    <cellStyle name="설명 텍스트 17 2" xfId="0"/>
    <cellStyle name="설명 텍스트 18" xfId="0"/>
    <cellStyle name="설명 텍스트 19" xfId="0"/>
    <cellStyle name="설명 텍스트 2" xfId="0"/>
    <cellStyle name="설명 텍스트 2 10" xfId="0"/>
    <cellStyle name="설명 텍스트 2 11" xfId="0"/>
    <cellStyle name="설명 텍스트 2 12" xfId="0"/>
    <cellStyle name="설명 텍스트 2 13" xfId="0"/>
    <cellStyle name="설명 텍스트 2 2" xfId="0"/>
    <cellStyle name="설명 텍스트 2 2 10" xfId="0"/>
    <cellStyle name="설명 텍스트 2 2 2" xfId="0"/>
    <cellStyle name="설명 텍스트 2 2 3" xfId="0"/>
    <cellStyle name="설명 텍스트 2 2 4" xfId="0"/>
    <cellStyle name="설명 텍스트 2 2 5" xfId="0"/>
    <cellStyle name="설명 텍스트 2 2 6" xfId="0"/>
    <cellStyle name="설명 텍스트 2 2 7" xfId="0"/>
    <cellStyle name="설명 텍스트 2 2 8" xfId="0"/>
    <cellStyle name="설명 텍스트 2 2 9" xfId="0"/>
    <cellStyle name="설명 텍스트 2 3" xfId="0"/>
    <cellStyle name="설명 텍스트 2 3 10" xfId="0"/>
    <cellStyle name="설명 텍스트 2 3 2" xfId="0"/>
    <cellStyle name="설명 텍스트 2 3 3" xfId="0"/>
    <cellStyle name="설명 텍스트 2 3 4" xfId="0"/>
    <cellStyle name="설명 텍스트 2 3 5" xfId="0"/>
    <cellStyle name="설명 텍스트 2 3 6" xfId="0"/>
    <cellStyle name="설명 텍스트 2 3 7" xfId="0"/>
    <cellStyle name="설명 텍스트 2 3 8" xfId="0"/>
    <cellStyle name="설명 텍스트 2 3 9" xfId="0"/>
    <cellStyle name="설명 텍스트 2 4" xfId="0"/>
    <cellStyle name="설명 텍스트 2 4 10" xfId="0"/>
    <cellStyle name="설명 텍스트 2 4 2" xfId="0"/>
    <cellStyle name="설명 텍스트 2 4 3" xfId="0"/>
    <cellStyle name="설명 텍스트 2 4 4" xfId="0"/>
    <cellStyle name="설명 텍스트 2 4 5" xfId="0"/>
    <cellStyle name="설명 텍스트 2 4 6" xfId="0"/>
    <cellStyle name="설명 텍스트 2 4 7" xfId="0"/>
    <cellStyle name="설명 텍스트 2 4 8" xfId="0"/>
    <cellStyle name="설명 텍스트 2 4 9" xfId="0"/>
    <cellStyle name="설명 텍스트 2 5" xfId="0"/>
    <cellStyle name="설명 텍스트 2 5 10" xfId="0"/>
    <cellStyle name="설명 텍스트 2 5 2" xfId="0"/>
    <cellStyle name="설명 텍스트 2 5 3" xfId="0"/>
    <cellStyle name="설명 텍스트 2 5 4" xfId="0"/>
    <cellStyle name="설명 텍스트 2 5 5" xfId="0"/>
    <cellStyle name="설명 텍스트 2 5 6" xfId="0"/>
    <cellStyle name="설명 텍스트 2 5 7" xfId="0"/>
    <cellStyle name="설명 텍스트 2 5 8" xfId="0"/>
    <cellStyle name="설명 텍스트 2 5 9" xfId="0"/>
    <cellStyle name="설명 텍스트 2 6" xfId="0"/>
    <cellStyle name="설명 텍스트 2 6 10" xfId="0"/>
    <cellStyle name="설명 텍스트 2 6 2" xfId="0"/>
    <cellStyle name="설명 텍스트 2 6 3" xfId="0"/>
    <cellStyle name="설명 텍스트 2 6 4" xfId="0"/>
    <cellStyle name="설명 텍스트 2 6 5" xfId="0"/>
    <cellStyle name="설명 텍스트 2 6 6" xfId="0"/>
    <cellStyle name="설명 텍스트 2 6 7" xfId="0"/>
    <cellStyle name="설명 텍스트 2 6 8" xfId="0"/>
    <cellStyle name="설명 텍스트 2 6 9" xfId="0"/>
    <cellStyle name="설명 텍스트 2 7" xfId="0"/>
    <cellStyle name="설명 텍스트 2 7 10" xfId="0"/>
    <cellStyle name="설명 텍스트 2 7 2" xfId="0"/>
    <cellStyle name="설명 텍스트 2 7 3" xfId="0"/>
    <cellStyle name="설명 텍스트 2 7 4" xfId="0"/>
    <cellStyle name="설명 텍스트 2 7 5" xfId="0"/>
    <cellStyle name="설명 텍스트 2 7 6" xfId="0"/>
    <cellStyle name="설명 텍스트 2 7 7" xfId="0"/>
    <cellStyle name="설명 텍스트 2 7 8" xfId="0"/>
    <cellStyle name="설명 텍스트 2 7 9" xfId="0"/>
    <cellStyle name="설명 텍스트 2 8" xfId="0"/>
    <cellStyle name="설명 텍스트 2 8 2" xfId="0"/>
    <cellStyle name="설명 텍스트 2 9" xfId="0"/>
    <cellStyle name="설명 텍스트 20" xfId="0"/>
    <cellStyle name="설명 텍스트 21" xfId="0"/>
    <cellStyle name="설명 텍스트 22" xfId="0"/>
    <cellStyle name="설명 텍스트 23" xfId="0"/>
    <cellStyle name="설명 텍스트 24" xfId="0"/>
    <cellStyle name="설명 텍스트 25" xfId="0"/>
    <cellStyle name="설명 텍스트 26" xfId="0"/>
    <cellStyle name="설명 텍스트 27" xfId="0"/>
    <cellStyle name="설명 텍스트 2_3300현금및예치금" xfId="0"/>
    <cellStyle name="설명 텍스트 3" xfId="0"/>
    <cellStyle name="설명 텍스트 3 10" xfId="0"/>
    <cellStyle name="설명 텍스트 3 10 2" xfId="0"/>
    <cellStyle name="설명 텍스트 3 11" xfId="0"/>
    <cellStyle name="설명 텍스트 3 11 2" xfId="0"/>
    <cellStyle name="설명 텍스트 3 12" xfId="0"/>
    <cellStyle name="설명 텍스트 3 12 2" xfId="0"/>
    <cellStyle name="설명 텍스트 3 13" xfId="0"/>
    <cellStyle name="설명 텍스트 3 14" xfId="0"/>
    <cellStyle name="설명 텍스트 3 15" xfId="0"/>
    <cellStyle name="설명 텍스트 3 16" xfId="0"/>
    <cellStyle name="설명 텍스트 3 17" xfId="0"/>
    <cellStyle name="설명 텍스트 3 18" xfId="0"/>
    <cellStyle name="설명 텍스트 3 19" xfId="0"/>
    <cellStyle name="설명 텍스트 3 2" xfId="0"/>
    <cellStyle name="설명 텍스트 3 2 2" xfId="0"/>
    <cellStyle name="설명 텍스트 3 2 3" xfId="0"/>
    <cellStyle name="설명 텍스트 3 20" xfId="0"/>
    <cellStyle name="설명 텍스트 3 3" xfId="0"/>
    <cellStyle name="설명 텍스트 3 3 2" xfId="0"/>
    <cellStyle name="설명 텍스트 3 3 3" xfId="0"/>
    <cellStyle name="설명 텍스트 3 4" xfId="0"/>
    <cellStyle name="설명 텍스트 3 4 2" xfId="0"/>
    <cellStyle name="설명 텍스트 3 4 3" xfId="0"/>
    <cellStyle name="설명 텍스트 3 5" xfId="0"/>
    <cellStyle name="설명 텍스트 3 5 2" xfId="0"/>
    <cellStyle name="설명 텍스트 3 5 3" xfId="0"/>
    <cellStyle name="설명 텍스트 3 6" xfId="0"/>
    <cellStyle name="설명 텍스트 3 6 2" xfId="0"/>
    <cellStyle name="설명 텍스트 3 6 3" xfId="0"/>
    <cellStyle name="설명 텍스트 3 7" xfId="0"/>
    <cellStyle name="설명 텍스트 3 7 2" xfId="0"/>
    <cellStyle name="설명 텍스트 3 7 3" xfId="0"/>
    <cellStyle name="설명 텍스트 3 8" xfId="0"/>
    <cellStyle name="설명 텍스트 3 8 2" xfId="0"/>
    <cellStyle name="설명 텍스트 3 8 3" xfId="0"/>
    <cellStyle name="설명 텍스트 3 9" xfId="0"/>
    <cellStyle name="설명 텍스트 3 9 2" xfId="0"/>
    <cellStyle name="설명 텍스트 3_운용자산별 손익분석" xfId="0"/>
    <cellStyle name="설명 텍스트 4" xfId="0"/>
    <cellStyle name="설명 텍스트 4 10" xfId="0"/>
    <cellStyle name="설명 텍스트 4 11" xfId="0"/>
    <cellStyle name="설명 텍스트 4 12" xfId="0"/>
    <cellStyle name="설명 텍스트 4 13" xfId="0"/>
    <cellStyle name="설명 텍스트 4 2" xfId="0"/>
    <cellStyle name="설명 텍스트 4 3" xfId="0"/>
    <cellStyle name="설명 텍스트 4 4" xfId="0"/>
    <cellStyle name="설명 텍스트 4 5" xfId="0"/>
    <cellStyle name="설명 텍스트 4 6" xfId="0"/>
    <cellStyle name="설명 텍스트 4 7" xfId="0"/>
    <cellStyle name="설명 텍스트 4 8" xfId="0"/>
    <cellStyle name="설명 텍스트 4 9" xfId="0"/>
    <cellStyle name="설명 텍스트 4_운용자산별 손익분석" xfId="0"/>
    <cellStyle name="설명 텍스트 5" xfId="0"/>
    <cellStyle name="설명 텍스트 5 10" xfId="0"/>
    <cellStyle name="설명 텍스트 5 11" xfId="0"/>
    <cellStyle name="설명 텍스트 5 12" xfId="0"/>
    <cellStyle name="설명 텍스트 5 13" xfId="0"/>
    <cellStyle name="설명 텍스트 5 14" xfId="0"/>
    <cellStyle name="설명 텍스트 5 15" xfId="0"/>
    <cellStyle name="설명 텍스트 5 16" xfId="0"/>
    <cellStyle name="설명 텍스트 5 17" xfId="0"/>
    <cellStyle name="설명 텍스트 5 18" xfId="0"/>
    <cellStyle name="설명 텍스트 5 19" xfId="0"/>
    <cellStyle name="설명 텍스트 5 2" xfId="0"/>
    <cellStyle name="설명 텍스트 5 20" xfId="0"/>
    <cellStyle name="설명 텍스트 5 21" xfId="0"/>
    <cellStyle name="설명 텍스트 5 22" xfId="0"/>
    <cellStyle name="설명 텍스트 5 23" xfId="0"/>
    <cellStyle name="설명 텍스트 5 24" xfId="0"/>
    <cellStyle name="설명 텍스트 5 25" xfId="0"/>
    <cellStyle name="설명 텍스트 5 26" xfId="0"/>
    <cellStyle name="설명 텍스트 5 27" xfId="0"/>
    <cellStyle name="설명 텍스트 5 28" xfId="0"/>
    <cellStyle name="설명 텍스트 5 29" xfId="0"/>
    <cellStyle name="설명 텍스트 5 3" xfId="0"/>
    <cellStyle name="설명 텍스트 5 30" xfId="0"/>
    <cellStyle name="설명 텍스트 5 31" xfId="0"/>
    <cellStyle name="설명 텍스트 5 32" xfId="0"/>
    <cellStyle name="설명 텍스트 5 33" xfId="0"/>
    <cellStyle name="설명 텍스트 5 34" xfId="0"/>
    <cellStyle name="설명 텍스트 5 4" xfId="0"/>
    <cellStyle name="설명 텍스트 5 5" xfId="0"/>
    <cellStyle name="설명 텍스트 5 6" xfId="0"/>
    <cellStyle name="설명 텍스트 5 7" xfId="0"/>
    <cellStyle name="설명 텍스트 5 8" xfId="0"/>
    <cellStyle name="설명 텍스트 5 9" xfId="0"/>
    <cellStyle name="설명 텍스트 6" xfId="0"/>
    <cellStyle name="설명 텍스트 6 10" xfId="0"/>
    <cellStyle name="설명 텍스트 6 11" xfId="0"/>
    <cellStyle name="설명 텍스트 6 12" xfId="0"/>
    <cellStyle name="설명 텍스트 6 13" xfId="0"/>
    <cellStyle name="설명 텍스트 6 14" xfId="0"/>
    <cellStyle name="설명 텍스트 6 15" xfId="0"/>
    <cellStyle name="설명 텍스트 6 16" xfId="0"/>
    <cellStyle name="설명 텍스트 6 17" xfId="0"/>
    <cellStyle name="설명 텍스트 6 18" xfId="0"/>
    <cellStyle name="설명 텍스트 6 19" xfId="0"/>
    <cellStyle name="설명 텍스트 6 2" xfId="0"/>
    <cellStyle name="설명 텍스트 6 20" xfId="0"/>
    <cellStyle name="설명 텍스트 6 21" xfId="0"/>
    <cellStyle name="설명 텍스트 6 22" xfId="0"/>
    <cellStyle name="설명 텍스트 6 23" xfId="0"/>
    <cellStyle name="설명 텍스트 6 24" xfId="0"/>
    <cellStyle name="설명 텍스트 6 25" xfId="0"/>
    <cellStyle name="설명 텍스트 6 26" xfId="0"/>
    <cellStyle name="설명 텍스트 6 27" xfId="0"/>
    <cellStyle name="설명 텍스트 6 28" xfId="0"/>
    <cellStyle name="설명 텍스트 6 29" xfId="0"/>
    <cellStyle name="설명 텍스트 6 3" xfId="0"/>
    <cellStyle name="설명 텍스트 6 30" xfId="0"/>
    <cellStyle name="설명 텍스트 6 4" xfId="0"/>
    <cellStyle name="설명 텍스트 6 5" xfId="0"/>
    <cellStyle name="설명 텍스트 6 6" xfId="0"/>
    <cellStyle name="설명 텍스트 6 7" xfId="0"/>
    <cellStyle name="설명 텍스트 6 8" xfId="0"/>
    <cellStyle name="설명 텍스트 6 9" xfId="0"/>
    <cellStyle name="설명 텍스트 7" xfId="0"/>
    <cellStyle name="설명 텍스트 7 10" xfId="0"/>
    <cellStyle name="설명 텍스트 7 11" xfId="0"/>
    <cellStyle name="설명 텍스트 7 12" xfId="0"/>
    <cellStyle name="설명 텍스트 7 13" xfId="0"/>
    <cellStyle name="설명 텍스트 7 14" xfId="0"/>
    <cellStyle name="설명 텍스트 7 15" xfId="0"/>
    <cellStyle name="설명 텍스트 7 2" xfId="0"/>
    <cellStyle name="설명 텍스트 7 2 2" xfId="0"/>
    <cellStyle name="설명 텍스트 7 3" xfId="0"/>
    <cellStyle name="설명 텍스트 7 3 2" xfId="0"/>
    <cellStyle name="설명 텍스트 7 4" xfId="0"/>
    <cellStyle name="설명 텍스트 7 4 2" xfId="0"/>
    <cellStyle name="설명 텍스트 7 5" xfId="0"/>
    <cellStyle name="설명 텍스트 7 5 2" xfId="0"/>
    <cellStyle name="설명 텍스트 7 6" xfId="0"/>
    <cellStyle name="설명 텍스트 7 6 2" xfId="0"/>
    <cellStyle name="설명 텍스트 7 7" xfId="0"/>
    <cellStyle name="설명 텍스트 7 8" xfId="0"/>
    <cellStyle name="설명 텍스트 7 9" xfId="0"/>
    <cellStyle name="설명 텍스트 8" xfId="0"/>
    <cellStyle name="설명 텍스트 8 10" xfId="0"/>
    <cellStyle name="설명 텍스트 8 11" xfId="0"/>
    <cellStyle name="설명 텍스트 8 12" xfId="0"/>
    <cellStyle name="설명 텍스트 8 13" xfId="0"/>
    <cellStyle name="설명 텍스트 8 14" xfId="0"/>
    <cellStyle name="설명 텍스트 8 2" xfId="0"/>
    <cellStyle name="설명 텍스트 8 2 2" xfId="0"/>
    <cellStyle name="설명 텍스트 8 3" xfId="0"/>
    <cellStyle name="설명 텍스트 8 3 2" xfId="0"/>
    <cellStyle name="설명 텍스트 8 4" xfId="0"/>
    <cellStyle name="설명 텍스트 8 4 2" xfId="0"/>
    <cellStyle name="설명 텍스트 8 5" xfId="0"/>
    <cellStyle name="설명 텍스트 8 5 2" xfId="0"/>
    <cellStyle name="설명 텍스트 8 6" xfId="0"/>
    <cellStyle name="설명 텍스트 8 6 2" xfId="0"/>
    <cellStyle name="설명 텍스트 8 7" xfId="0"/>
    <cellStyle name="설명 텍스트 8 8" xfId="0"/>
    <cellStyle name="설명 텍스트 8 9" xfId="0"/>
    <cellStyle name="설명 텍스트 9" xfId="0"/>
    <cellStyle name="설명 텍스트 9 10" xfId="0"/>
    <cellStyle name="설명 텍스트 9 11" xfId="0"/>
    <cellStyle name="설명 텍스트 9 12" xfId="0"/>
    <cellStyle name="설명 텍스트 9 13" xfId="0"/>
    <cellStyle name="설명 텍스트 9 14" xfId="0"/>
    <cellStyle name="설명 텍스트 9 2" xfId="0"/>
    <cellStyle name="설명 텍스트 9 2 2" xfId="0"/>
    <cellStyle name="설명 텍스트 9 3" xfId="0"/>
    <cellStyle name="설명 텍스트 9 3 2" xfId="0"/>
    <cellStyle name="설명 텍스트 9 4" xfId="0"/>
    <cellStyle name="설명 텍스트 9 4 2" xfId="0"/>
    <cellStyle name="설명 텍스트 9 5" xfId="0"/>
    <cellStyle name="설명 텍스트 9 5 2" xfId="0"/>
    <cellStyle name="설명 텍스트 9 6" xfId="0"/>
    <cellStyle name="설명 텍스트 9 6 2" xfId="0"/>
    <cellStyle name="설명 텍스트 9 7" xfId="0"/>
    <cellStyle name="설명 텍스트 9 8" xfId="0"/>
    <cellStyle name="설명 텍스트 9 9" xfId="0"/>
    <cellStyle name="셀 확인 10" xfId="0"/>
    <cellStyle name="셀 확인 10 2" xfId="0"/>
    <cellStyle name="셀 확인 10 2 2" xfId="0"/>
    <cellStyle name="셀 확인 10 3" xfId="0"/>
    <cellStyle name="셀 확인 10 3 2" xfId="0"/>
    <cellStyle name="셀 확인 10 4" xfId="0"/>
    <cellStyle name="셀 확인 10 4 2" xfId="0"/>
    <cellStyle name="셀 확인 10 5" xfId="0"/>
    <cellStyle name="셀 확인 10 6" xfId="0"/>
    <cellStyle name="셀 확인 10 7" xfId="0"/>
    <cellStyle name="셀 확인 11" xfId="0"/>
    <cellStyle name="셀 확인 11 2" xfId="0"/>
    <cellStyle name="셀 확인 11 2 2" xfId="0"/>
    <cellStyle name="셀 확인 11 3" xfId="0"/>
    <cellStyle name="셀 확인 11 3 2" xfId="0"/>
    <cellStyle name="셀 확인 11 4" xfId="0"/>
    <cellStyle name="셀 확인 11 4 2" xfId="0"/>
    <cellStyle name="셀 확인 11 5" xfId="0"/>
    <cellStyle name="셀 확인 11 6" xfId="0"/>
    <cellStyle name="셀 확인 11 7" xfId="0"/>
    <cellStyle name="셀 확인 12" xfId="0"/>
    <cellStyle name="셀 확인 12 2" xfId="0"/>
    <cellStyle name="셀 확인 12 3" xfId="0"/>
    <cellStyle name="셀 확인 12 4" xfId="0"/>
    <cellStyle name="셀 확인 12 5" xfId="0"/>
    <cellStyle name="셀 확인 13" xfId="0"/>
    <cellStyle name="셀 확인 13 2" xfId="0"/>
    <cellStyle name="셀 확인 13 3" xfId="0"/>
    <cellStyle name="셀 확인 13 4" xfId="0"/>
    <cellStyle name="셀 확인 13 5" xfId="0"/>
    <cellStyle name="셀 확인 14" xfId="0"/>
    <cellStyle name="셀 확인 14 2" xfId="0"/>
    <cellStyle name="셀 확인 15" xfId="0"/>
    <cellStyle name="셀 확인 15 2" xfId="0"/>
    <cellStyle name="셀 확인 16" xfId="0"/>
    <cellStyle name="셀 확인 16 2" xfId="0"/>
    <cellStyle name="셀 확인 17" xfId="0"/>
    <cellStyle name="셀 확인 17 2" xfId="0"/>
    <cellStyle name="셀 확인 18" xfId="0"/>
    <cellStyle name="셀 확인 19" xfId="0"/>
    <cellStyle name="셀 확인 2" xfId="0"/>
    <cellStyle name="셀 확인 2 10" xfId="0"/>
    <cellStyle name="셀 확인 2 11" xfId="0"/>
    <cellStyle name="셀 확인 2 12" xfId="0"/>
    <cellStyle name="셀 확인 2 13" xfId="0"/>
    <cellStyle name="셀 확인 2 2" xfId="0"/>
    <cellStyle name="셀 확인 2 2 10" xfId="0"/>
    <cellStyle name="셀 확인 2 2 2" xfId="0"/>
    <cellStyle name="셀 확인 2 2 3" xfId="0"/>
    <cellStyle name="셀 확인 2 2 4" xfId="0"/>
    <cellStyle name="셀 확인 2 2 5" xfId="0"/>
    <cellStyle name="셀 확인 2 2 6" xfId="0"/>
    <cellStyle name="셀 확인 2 2 7" xfId="0"/>
    <cellStyle name="셀 확인 2 2 8" xfId="0"/>
    <cellStyle name="셀 확인 2 2 9" xfId="0"/>
    <cellStyle name="셀 확인 2 3" xfId="0"/>
    <cellStyle name="셀 확인 2 3 10" xfId="0"/>
    <cellStyle name="셀 확인 2 3 2" xfId="0"/>
    <cellStyle name="셀 확인 2 3 3" xfId="0"/>
    <cellStyle name="셀 확인 2 3 4" xfId="0"/>
    <cellStyle name="셀 확인 2 3 5" xfId="0"/>
    <cellStyle name="셀 확인 2 3 6" xfId="0"/>
    <cellStyle name="셀 확인 2 3 7" xfId="0"/>
    <cellStyle name="셀 확인 2 3 8" xfId="0"/>
    <cellStyle name="셀 확인 2 3 9" xfId="0"/>
    <cellStyle name="셀 확인 2 4" xfId="0"/>
    <cellStyle name="셀 확인 2 4 10" xfId="0"/>
    <cellStyle name="셀 확인 2 4 2" xfId="0"/>
    <cellStyle name="셀 확인 2 4 3" xfId="0"/>
    <cellStyle name="셀 확인 2 4 4" xfId="0"/>
    <cellStyle name="셀 확인 2 4 5" xfId="0"/>
    <cellStyle name="셀 확인 2 4 6" xfId="0"/>
    <cellStyle name="셀 확인 2 4 7" xfId="0"/>
    <cellStyle name="셀 확인 2 4 8" xfId="0"/>
    <cellStyle name="셀 확인 2 4 9" xfId="0"/>
    <cellStyle name="셀 확인 2 5" xfId="0"/>
    <cellStyle name="셀 확인 2 5 10" xfId="0"/>
    <cellStyle name="셀 확인 2 5 2" xfId="0"/>
    <cellStyle name="셀 확인 2 5 3" xfId="0"/>
    <cellStyle name="셀 확인 2 5 4" xfId="0"/>
    <cellStyle name="셀 확인 2 5 5" xfId="0"/>
    <cellStyle name="셀 확인 2 5 6" xfId="0"/>
    <cellStyle name="셀 확인 2 5 7" xfId="0"/>
    <cellStyle name="셀 확인 2 5 8" xfId="0"/>
    <cellStyle name="셀 확인 2 5 9" xfId="0"/>
    <cellStyle name="셀 확인 2 6" xfId="0"/>
    <cellStyle name="셀 확인 2 6 10" xfId="0"/>
    <cellStyle name="셀 확인 2 6 2" xfId="0"/>
    <cellStyle name="셀 확인 2 6 3" xfId="0"/>
    <cellStyle name="셀 확인 2 6 4" xfId="0"/>
    <cellStyle name="셀 확인 2 6 5" xfId="0"/>
    <cellStyle name="셀 확인 2 6 6" xfId="0"/>
    <cellStyle name="셀 확인 2 6 7" xfId="0"/>
    <cellStyle name="셀 확인 2 6 8" xfId="0"/>
    <cellStyle name="셀 확인 2 6 9" xfId="0"/>
    <cellStyle name="셀 확인 2 7" xfId="0"/>
    <cellStyle name="셀 확인 2 7 10" xfId="0"/>
    <cellStyle name="셀 확인 2 7 2" xfId="0"/>
    <cellStyle name="셀 확인 2 7 3" xfId="0"/>
    <cellStyle name="셀 확인 2 7 4" xfId="0"/>
    <cellStyle name="셀 확인 2 7 5" xfId="0"/>
    <cellStyle name="셀 확인 2 7 6" xfId="0"/>
    <cellStyle name="셀 확인 2 7 7" xfId="0"/>
    <cellStyle name="셀 확인 2 7 8" xfId="0"/>
    <cellStyle name="셀 확인 2 7 9" xfId="0"/>
    <cellStyle name="셀 확인 2 8" xfId="0"/>
    <cellStyle name="셀 확인 2 8 2" xfId="0"/>
    <cellStyle name="셀 확인 2 9" xfId="0"/>
    <cellStyle name="셀 확인 20" xfId="0"/>
    <cellStyle name="셀 확인 21" xfId="0"/>
    <cellStyle name="셀 확인 22" xfId="0"/>
    <cellStyle name="셀 확인 23" xfId="0"/>
    <cellStyle name="셀 확인 24" xfId="0"/>
    <cellStyle name="셀 확인 25" xfId="0"/>
    <cellStyle name="셀 확인 26" xfId="0"/>
    <cellStyle name="셀 확인 27" xfId="0"/>
    <cellStyle name="셀 확인 2_3300현금및예치금" xfId="0"/>
    <cellStyle name="셀 확인 3" xfId="0"/>
    <cellStyle name="셀 확인 3 10" xfId="0"/>
    <cellStyle name="셀 확인 3 10 2" xfId="0"/>
    <cellStyle name="셀 확인 3 11" xfId="0"/>
    <cellStyle name="셀 확인 3 11 2" xfId="0"/>
    <cellStyle name="셀 확인 3 12" xfId="0"/>
    <cellStyle name="셀 확인 3 12 2" xfId="0"/>
    <cellStyle name="셀 확인 3 13" xfId="0"/>
    <cellStyle name="셀 확인 3 14" xfId="0"/>
    <cellStyle name="셀 확인 3 15" xfId="0"/>
    <cellStyle name="셀 확인 3 16" xfId="0"/>
    <cellStyle name="셀 확인 3 17" xfId="0"/>
    <cellStyle name="셀 확인 3 18" xfId="0"/>
    <cellStyle name="셀 확인 3 19" xfId="0"/>
    <cellStyle name="셀 확인 3 2" xfId="0"/>
    <cellStyle name="셀 확인 3 2 2" xfId="0"/>
    <cellStyle name="셀 확인 3 2 3" xfId="0"/>
    <cellStyle name="셀 확인 3 20" xfId="0"/>
    <cellStyle name="셀 확인 3 3" xfId="0"/>
    <cellStyle name="셀 확인 3 3 2" xfId="0"/>
    <cellStyle name="셀 확인 3 3 3" xfId="0"/>
    <cellStyle name="셀 확인 3 4" xfId="0"/>
    <cellStyle name="셀 확인 3 4 2" xfId="0"/>
    <cellStyle name="셀 확인 3 4 3" xfId="0"/>
    <cellStyle name="셀 확인 3 5" xfId="0"/>
    <cellStyle name="셀 확인 3 5 2" xfId="0"/>
    <cellStyle name="셀 확인 3 5 3" xfId="0"/>
    <cellStyle name="셀 확인 3 6" xfId="0"/>
    <cellStyle name="셀 확인 3 6 2" xfId="0"/>
    <cellStyle name="셀 확인 3 6 3" xfId="0"/>
    <cellStyle name="셀 확인 3 7" xfId="0"/>
    <cellStyle name="셀 확인 3 7 2" xfId="0"/>
    <cellStyle name="셀 확인 3 7 3" xfId="0"/>
    <cellStyle name="셀 확인 3 8" xfId="0"/>
    <cellStyle name="셀 확인 3 8 2" xfId="0"/>
    <cellStyle name="셀 확인 3 8 3" xfId="0"/>
    <cellStyle name="셀 확인 3 9" xfId="0"/>
    <cellStyle name="셀 확인 3 9 2" xfId="0"/>
    <cellStyle name="셀 확인 3_운용자산별 손익분석" xfId="0"/>
    <cellStyle name="셀 확인 4" xfId="0"/>
    <cellStyle name="셀 확인 4 10" xfId="0"/>
    <cellStyle name="셀 확인 4 11" xfId="0"/>
    <cellStyle name="셀 확인 4 12" xfId="0"/>
    <cellStyle name="셀 확인 4 13" xfId="0"/>
    <cellStyle name="셀 확인 4 2" xfId="0"/>
    <cellStyle name="셀 확인 4 3" xfId="0"/>
    <cellStyle name="셀 확인 4 4" xfId="0"/>
    <cellStyle name="셀 확인 4 5" xfId="0"/>
    <cellStyle name="셀 확인 4 6" xfId="0"/>
    <cellStyle name="셀 확인 4 7" xfId="0"/>
    <cellStyle name="셀 확인 4 8" xfId="0"/>
    <cellStyle name="셀 확인 4 9" xfId="0"/>
    <cellStyle name="셀 확인 4_운용자산별 손익분석" xfId="0"/>
    <cellStyle name="셀 확인 5" xfId="0"/>
    <cellStyle name="셀 확인 5 10" xfId="0"/>
    <cellStyle name="셀 확인 5 11" xfId="0"/>
    <cellStyle name="셀 확인 5 12" xfId="0"/>
    <cellStyle name="셀 확인 5 13" xfId="0"/>
    <cellStyle name="셀 확인 5 14" xfId="0"/>
    <cellStyle name="셀 확인 5 15" xfId="0"/>
    <cellStyle name="셀 확인 5 16" xfId="0"/>
    <cellStyle name="셀 확인 5 17" xfId="0"/>
    <cellStyle name="셀 확인 5 18" xfId="0"/>
    <cellStyle name="셀 확인 5 19" xfId="0"/>
    <cellStyle name="셀 확인 5 2" xfId="0"/>
    <cellStyle name="셀 확인 5 20" xfId="0"/>
    <cellStyle name="셀 확인 5 21" xfId="0"/>
    <cellStyle name="셀 확인 5 22" xfId="0"/>
    <cellStyle name="셀 확인 5 23" xfId="0"/>
    <cellStyle name="셀 확인 5 24" xfId="0"/>
    <cellStyle name="셀 확인 5 25" xfId="0"/>
    <cellStyle name="셀 확인 5 26" xfId="0"/>
    <cellStyle name="셀 확인 5 27" xfId="0"/>
    <cellStyle name="셀 확인 5 28" xfId="0"/>
    <cellStyle name="셀 확인 5 29" xfId="0"/>
    <cellStyle name="셀 확인 5 3" xfId="0"/>
    <cellStyle name="셀 확인 5 30" xfId="0"/>
    <cellStyle name="셀 확인 5 31" xfId="0"/>
    <cellStyle name="셀 확인 5 32" xfId="0"/>
    <cellStyle name="셀 확인 5 33" xfId="0"/>
    <cellStyle name="셀 확인 5 34" xfId="0"/>
    <cellStyle name="셀 확인 5 4" xfId="0"/>
    <cellStyle name="셀 확인 5 5" xfId="0"/>
    <cellStyle name="셀 확인 5 6" xfId="0"/>
    <cellStyle name="셀 확인 5 7" xfId="0"/>
    <cellStyle name="셀 확인 5 8" xfId="0"/>
    <cellStyle name="셀 확인 5 9" xfId="0"/>
    <cellStyle name="셀 확인 6" xfId="0"/>
    <cellStyle name="셀 확인 6 10" xfId="0"/>
    <cellStyle name="셀 확인 6 11" xfId="0"/>
    <cellStyle name="셀 확인 6 12" xfId="0"/>
    <cellStyle name="셀 확인 6 13" xfId="0"/>
    <cellStyle name="셀 확인 6 14" xfId="0"/>
    <cellStyle name="셀 확인 6 15" xfId="0"/>
    <cellStyle name="셀 확인 6 16" xfId="0"/>
    <cellStyle name="셀 확인 6 17" xfId="0"/>
    <cellStyle name="셀 확인 6 18" xfId="0"/>
    <cellStyle name="셀 확인 6 19" xfId="0"/>
    <cellStyle name="셀 확인 6 2" xfId="0"/>
    <cellStyle name="셀 확인 6 20" xfId="0"/>
    <cellStyle name="셀 확인 6 21" xfId="0"/>
    <cellStyle name="셀 확인 6 22" xfId="0"/>
    <cellStyle name="셀 확인 6 23" xfId="0"/>
    <cellStyle name="셀 확인 6 24" xfId="0"/>
    <cellStyle name="셀 확인 6 25" xfId="0"/>
    <cellStyle name="셀 확인 6 26" xfId="0"/>
    <cellStyle name="셀 확인 6 27" xfId="0"/>
    <cellStyle name="셀 확인 6 28" xfId="0"/>
    <cellStyle name="셀 확인 6 29" xfId="0"/>
    <cellStyle name="셀 확인 6 3" xfId="0"/>
    <cellStyle name="셀 확인 6 30" xfId="0"/>
    <cellStyle name="셀 확인 6 4" xfId="0"/>
    <cellStyle name="셀 확인 6 5" xfId="0"/>
    <cellStyle name="셀 확인 6 6" xfId="0"/>
    <cellStyle name="셀 확인 6 7" xfId="0"/>
    <cellStyle name="셀 확인 6 8" xfId="0"/>
    <cellStyle name="셀 확인 6 9" xfId="0"/>
    <cellStyle name="셀 확인 7" xfId="0"/>
    <cellStyle name="셀 확인 7 10" xfId="0"/>
    <cellStyle name="셀 확인 7 11" xfId="0"/>
    <cellStyle name="셀 확인 7 12" xfId="0"/>
    <cellStyle name="셀 확인 7 13" xfId="0"/>
    <cellStyle name="셀 확인 7 14" xfId="0"/>
    <cellStyle name="셀 확인 7 15" xfId="0"/>
    <cellStyle name="셀 확인 7 2" xfId="0"/>
    <cellStyle name="셀 확인 7 2 2" xfId="0"/>
    <cellStyle name="셀 확인 7 3" xfId="0"/>
    <cellStyle name="셀 확인 7 3 2" xfId="0"/>
    <cellStyle name="셀 확인 7 4" xfId="0"/>
    <cellStyle name="셀 확인 7 4 2" xfId="0"/>
    <cellStyle name="셀 확인 7 5" xfId="0"/>
    <cellStyle name="셀 확인 7 5 2" xfId="0"/>
    <cellStyle name="셀 확인 7 6" xfId="0"/>
    <cellStyle name="셀 확인 7 6 2" xfId="0"/>
    <cellStyle name="셀 확인 7 7" xfId="0"/>
    <cellStyle name="셀 확인 7 8" xfId="0"/>
    <cellStyle name="셀 확인 7 9" xfId="0"/>
    <cellStyle name="셀 확인 8" xfId="0"/>
    <cellStyle name="셀 확인 8 10" xfId="0"/>
    <cellStyle name="셀 확인 8 11" xfId="0"/>
    <cellStyle name="셀 확인 8 12" xfId="0"/>
    <cellStyle name="셀 확인 8 13" xfId="0"/>
    <cellStyle name="셀 확인 8 14" xfId="0"/>
    <cellStyle name="셀 확인 8 2" xfId="0"/>
    <cellStyle name="셀 확인 8 2 2" xfId="0"/>
    <cellStyle name="셀 확인 8 3" xfId="0"/>
    <cellStyle name="셀 확인 8 3 2" xfId="0"/>
    <cellStyle name="셀 확인 8 4" xfId="0"/>
    <cellStyle name="셀 확인 8 4 2" xfId="0"/>
    <cellStyle name="셀 확인 8 5" xfId="0"/>
    <cellStyle name="셀 확인 8 5 2" xfId="0"/>
    <cellStyle name="셀 확인 8 6" xfId="0"/>
    <cellStyle name="셀 확인 8 6 2" xfId="0"/>
    <cellStyle name="셀 확인 8 7" xfId="0"/>
    <cellStyle name="셀 확인 8 8" xfId="0"/>
    <cellStyle name="셀 확인 8 9" xfId="0"/>
    <cellStyle name="셀 확인 9" xfId="0"/>
    <cellStyle name="셀 확인 9 10" xfId="0"/>
    <cellStyle name="셀 확인 9 11" xfId="0"/>
    <cellStyle name="셀 확인 9 12" xfId="0"/>
    <cellStyle name="셀 확인 9 13" xfId="0"/>
    <cellStyle name="셀 확인 9 14" xfId="0"/>
    <cellStyle name="셀 확인 9 2" xfId="0"/>
    <cellStyle name="셀 확인 9 2 2" xfId="0"/>
    <cellStyle name="셀 확인 9 3" xfId="0"/>
    <cellStyle name="셀 확인 9 3 2" xfId="0"/>
    <cellStyle name="셀 확인 9 4" xfId="0"/>
    <cellStyle name="셀 확인 9 4 2" xfId="0"/>
    <cellStyle name="셀 확인 9 5" xfId="0"/>
    <cellStyle name="셀 확인 9 5 2" xfId="0"/>
    <cellStyle name="셀 확인 9 6" xfId="0"/>
    <cellStyle name="셀 확인 9 6 2" xfId="0"/>
    <cellStyle name="셀 확인 9 7" xfId="0"/>
    <cellStyle name="셀 확인 9 8" xfId="0"/>
    <cellStyle name="셀 확인 9 9" xfId="0"/>
    <cellStyle name="셈迷?XLS!check_filesche|_x0005_" xfId="0"/>
    <cellStyle name="소수1" xfId="0"/>
    <cellStyle name="소수2" xfId="0"/>
    <cellStyle name="소수점" xfId="0"/>
    <cellStyle name="소제목" xfId="0"/>
    <cellStyle name="숫자" xfId="0"/>
    <cellStyle name="숫자(R)" xfId="0"/>
    <cellStyle name="숫자(R) 2" xfId="0"/>
    <cellStyle name="숫자_삼각형[0-]" xfId="0"/>
    <cellStyle name="쉼표 10" xfId="0"/>
    <cellStyle name="쉼표 11" xfId="0"/>
    <cellStyle name="쉼표 12" xfId="0"/>
    <cellStyle name="쉼표 13" xfId="0"/>
    <cellStyle name="쉼표 14" xfId="0"/>
    <cellStyle name="쉼표 15" xfId="0"/>
    <cellStyle name="쉼표 16" xfId="0"/>
    <cellStyle name="쉼표 17" xfId="0"/>
    <cellStyle name="쉼표 2" xfId="0"/>
    <cellStyle name="쉼표 2 10" xfId="0"/>
    <cellStyle name="쉼표 2 10 2" xfId="0"/>
    <cellStyle name="쉼표 2 10 3" xfId="0"/>
    <cellStyle name="쉼표 2 10 4" xfId="0"/>
    <cellStyle name="쉼표 2 11" xfId="0"/>
    <cellStyle name="쉼표 2 11 2" xfId="0"/>
    <cellStyle name="쉼표 2 11 3" xfId="0"/>
    <cellStyle name="쉼표 2 11 4" xfId="0"/>
    <cellStyle name="쉼표 2 12" xfId="0"/>
    <cellStyle name="쉼표 2 12 2" xfId="0"/>
    <cellStyle name="쉼표 2 12 3" xfId="0"/>
    <cellStyle name="쉼표 2 12 4" xfId="0"/>
    <cellStyle name="쉼표 2 13" xfId="0"/>
    <cellStyle name="쉼표 2 13 2" xfId="0"/>
    <cellStyle name="쉼표 2 13 3" xfId="0"/>
    <cellStyle name="쉼표 2 13 4" xfId="0"/>
    <cellStyle name="쉼표 2 14" xfId="0"/>
    <cellStyle name="쉼표 2 15" xfId="0"/>
    <cellStyle name="쉼표 2 16" xfId="0"/>
    <cellStyle name="쉼표 2 17" xfId="0"/>
    <cellStyle name="쉼표 2 2" xfId="0"/>
    <cellStyle name="쉼표 2 2 10" xfId="0"/>
    <cellStyle name="쉼표 2 2 2" xfId="0"/>
    <cellStyle name="쉼표 2 2 2 2" xfId="0"/>
    <cellStyle name="쉼표 2 2 2 3" xfId="0"/>
    <cellStyle name="쉼표 2 2 2 4" xfId="0"/>
    <cellStyle name="쉼표 2 2 2 5" xfId="0"/>
    <cellStyle name="쉼표 2 2 2 6" xfId="0"/>
    <cellStyle name="쉼표 2 2 3" xfId="0"/>
    <cellStyle name="쉼표 2 2 4" xfId="0"/>
    <cellStyle name="쉼표 2 2 5" xfId="0"/>
    <cellStyle name="쉼표 2 2 6" xfId="0"/>
    <cellStyle name="쉼표 2 2 7" xfId="0"/>
    <cellStyle name="쉼표 2 2 8" xfId="0"/>
    <cellStyle name="쉼표 2 2 9" xfId="0"/>
    <cellStyle name="쉼표 2 2 9 2" xfId="0"/>
    <cellStyle name="쉼표 2 2 9 3" xfId="0"/>
    <cellStyle name="쉼표 2 2 9 4" xfId="0"/>
    <cellStyle name="쉼표 2 3" xfId="0"/>
    <cellStyle name="쉼표 2 3 2" xfId="0"/>
    <cellStyle name="쉼표 2 3 2 2" xfId="0"/>
    <cellStyle name="쉼표 2 3 2 3" xfId="0"/>
    <cellStyle name="쉼표 2 3 2 4" xfId="0"/>
    <cellStyle name="쉼표 2 3 3" xfId="0"/>
    <cellStyle name="쉼표 2 3 4" xfId="0"/>
    <cellStyle name="쉼표 2 3 5" xfId="0"/>
    <cellStyle name="쉼표 2 4" xfId="0"/>
    <cellStyle name="쉼표 2 5" xfId="0"/>
    <cellStyle name="쉼표 2 5 2" xfId="0"/>
    <cellStyle name="쉼표 2 6" xfId="0"/>
    <cellStyle name="쉼표 2 7" xfId="0"/>
    <cellStyle name="쉼표 2 8" xfId="0"/>
    <cellStyle name="쉼표 2 8 2" xfId="0"/>
    <cellStyle name="쉼표 2 8 3" xfId="0"/>
    <cellStyle name="쉼표 2 8 4" xfId="0"/>
    <cellStyle name="쉼표 2 9" xfId="0"/>
    <cellStyle name="쉼표 2 9 2" xfId="0"/>
    <cellStyle name="쉼표 2 9 3" xfId="0"/>
    <cellStyle name="쉼표 2 9 4" xfId="0"/>
    <cellStyle name="쉼표 3" xfId="0"/>
    <cellStyle name="쉼표 3 2" xfId="0"/>
    <cellStyle name="쉼표 3 3" xfId="0"/>
    <cellStyle name="쉼표 3 4" xfId="0"/>
    <cellStyle name="쉼표 4" xfId="0"/>
    <cellStyle name="쉼표 4 2" xfId="0"/>
    <cellStyle name="쉼표 4 3" xfId="0"/>
    <cellStyle name="쉼표 4 4" xfId="0"/>
    <cellStyle name="쉼표 4 5" xfId="0"/>
    <cellStyle name="쉼표 5" xfId="0"/>
    <cellStyle name="쉼표 5 2" xfId="0"/>
    <cellStyle name="쉼표 6" xfId="0"/>
    <cellStyle name="쉼표 7" xfId="0"/>
    <cellStyle name="쉼표 7 2" xfId="0"/>
    <cellStyle name="쉼표 7 3" xfId="0"/>
    <cellStyle name="쉼표 7 4" xfId="0"/>
    <cellStyle name="쉼표 8" xfId="0"/>
    <cellStyle name="쉼표 8 2" xfId="0"/>
    <cellStyle name="쉼표 9" xfId="0"/>
    <cellStyle name="쉼표 [0] 10" xfId="0"/>
    <cellStyle name="쉼표 [0] 10 10" xfId="0"/>
    <cellStyle name="쉼표 [0] 10 2" xfId="0"/>
    <cellStyle name="쉼표 [0] 10 2 2" xfId="0"/>
    <cellStyle name="쉼표 [0] 10 2 3" xfId="0"/>
    <cellStyle name="쉼표 [0] 10 2 4" xfId="0"/>
    <cellStyle name="쉼표 [0] 10 2 5" xfId="0"/>
    <cellStyle name="쉼표 [0] 10 2 6" xfId="0"/>
    <cellStyle name="쉼표 [0] 10 3" xfId="0"/>
    <cellStyle name="쉼표 [0] 10 3 2" xfId="0"/>
    <cellStyle name="쉼표 [0] 10 3 3" xfId="0"/>
    <cellStyle name="쉼표 [0] 10 3 4" xfId="0"/>
    <cellStyle name="쉼표 [0] 10 3 5" xfId="0"/>
    <cellStyle name="쉼표 [0] 10 4" xfId="0"/>
    <cellStyle name="쉼표 [0] 10 4 2" xfId="0"/>
    <cellStyle name="쉼표 [0] 10 4 3" xfId="0"/>
    <cellStyle name="쉼표 [0] 10 4 4" xfId="0"/>
    <cellStyle name="쉼표 [0] 10 5" xfId="0"/>
    <cellStyle name="쉼표 [0] 10 5 2" xfId="0"/>
    <cellStyle name="쉼표 [0] 10 5 3" xfId="0"/>
    <cellStyle name="쉼표 [0] 10 5 4" xfId="0"/>
    <cellStyle name="쉼표 [0] 10 6" xfId="0"/>
    <cellStyle name="쉼표 [0] 10 7" xfId="0"/>
    <cellStyle name="쉼표 [0] 10 8" xfId="0"/>
    <cellStyle name="쉼표 [0] 10 9" xfId="0"/>
    <cellStyle name="쉼표 [0] 11" xfId="0"/>
    <cellStyle name="쉼표 [0] 11 10" xfId="0"/>
    <cellStyle name="쉼표 [0] 11 10 2" xfId="0"/>
    <cellStyle name="쉼표 [0] 11 10 3" xfId="0"/>
    <cellStyle name="쉼표 [0] 11 10 4" xfId="0"/>
    <cellStyle name="쉼표 [0] 11 11" xfId="0"/>
    <cellStyle name="쉼표 [0] 11 11 2" xfId="0"/>
    <cellStyle name="쉼표 [0] 11 11 3" xfId="0"/>
    <cellStyle name="쉼표 [0] 11 11 4" xfId="0"/>
    <cellStyle name="쉼표 [0] 11 12" xfId="0"/>
    <cellStyle name="쉼표 [0] 11 12 2" xfId="0"/>
    <cellStyle name="쉼표 [0] 11 12 3" xfId="0"/>
    <cellStyle name="쉼표 [0] 11 12 4" xfId="0"/>
    <cellStyle name="쉼표 [0] 11 13" xfId="0"/>
    <cellStyle name="쉼표 [0] 11 13 2" xfId="0"/>
    <cellStyle name="쉼표 [0] 11 13 3" xfId="0"/>
    <cellStyle name="쉼표 [0] 11 13 4" xfId="0"/>
    <cellStyle name="쉼표 [0] 11 14" xfId="0"/>
    <cellStyle name="쉼표 [0] 11 14 2" xfId="0"/>
    <cellStyle name="쉼표 [0] 11 14 3" xfId="0"/>
    <cellStyle name="쉼표 [0] 11 14 4" xfId="0"/>
    <cellStyle name="쉼표 [0] 11 15" xfId="0"/>
    <cellStyle name="쉼표 [0] 11 16" xfId="0"/>
    <cellStyle name="쉼표 [0] 11 17" xfId="0"/>
    <cellStyle name="쉼표 [0] 11 18" xfId="0"/>
    <cellStyle name="쉼표 [0] 11 2" xfId="0"/>
    <cellStyle name="쉼표 [0] 11 2 2" xfId="0"/>
    <cellStyle name="쉼표 [0] 11 2 3" xfId="0"/>
    <cellStyle name="쉼표 [0] 11 2 4" xfId="0"/>
    <cellStyle name="쉼표 [0] 11 2 5" xfId="0"/>
    <cellStyle name="쉼표 [0] 11 3" xfId="0"/>
    <cellStyle name="쉼표 [0] 11 3 2" xfId="0"/>
    <cellStyle name="쉼표 [0] 11 3 3" xfId="0"/>
    <cellStyle name="쉼표 [0] 11 3 4" xfId="0"/>
    <cellStyle name="쉼표 [0] 11 3 5" xfId="0"/>
    <cellStyle name="쉼표 [0] 11 4" xfId="0"/>
    <cellStyle name="쉼표 [0] 11 4 2" xfId="0"/>
    <cellStyle name="쉼표 [0] 11 4 3" xfId="0"/>
    <cellStyle name="쉼표 [0] 11 4 4" xfId="0"/>
    <cellStyle name="쉼표 [0] 11 5" xfId="0"/>
    <cellStyle name="쉼표 [0] 11 5 2" xfId="0"/>
    <cellStyle name="쉼표 [0] 11 5 3" xfId="0"/>
    <cellStyle name="쉼표 [0] 11 5 4" xfId="0"/>
    <cellStyle name="쉼표 [0] 11 6" xfId="0"/>
    <cellStyle name="쉼표 [0] 11 6 2" xfId="0"/>
    <cellStyle name="쉼표 [0] 11 6 3" xfId="0"/>
    <cellStyle name="쉼표 [0] 11 6 4" xfId="0"/>
    <cellStyle name="쉼표 [0] 11 7" xfId="0"/>
    <cellStyle name="쉼표 [0] 11 7 2" xfId="0"/>
    <cellStyle name="쉼표 [0] 11 7 3" xfId="0"/>
    <cellStyle name="쉼표 [0] 11 7 4" xfId="0"/>
    <cellStyle name="쉼표 [0] 11 8" xfId="0"/>
    <cellStyle name="쉼표 [0] 11 8 2" xfId="0"/>
    <cellStyle name="쉼표 [0] 11 8 3" xfId="0"/>
    <cellStyle name="쉼표 [0] 11 8 4" xfId="0"/>
    <cellStyle name="쉼표 [0] 11 9" xfId="0"/>
    <cellStyle name="쉼표 [0] 11 9 2" xfId="0"/>
    <cellStyle name="쉼표 [0] 11 9 3" xfId="0"/>
    <cellStyle name="쉼표 [0] 11 9 4" xfId="0"/>
    <cellStyle name="쉼표 [0] 12" xfId="0"/>
    <cellStyle name="쉼표 [0] 12 2" xfId="0"/>
    <cellStyle name="쉼표 [0] 12 2 2" xfId="0"/>
    <cellStyle name="쉼표 [0] 12 3" xfId="0"/>
    <cellStyle name="쉼표 [0] 12 4" xfId="0"/>
    <cellStyle name="쉼표 [0] 12 5" xfId="0"/>
    <cellStyle name="쉼표 [0] 13" xfId="0"/>
    <cellStyle name="쉼표 [0] 13 2" xfId="0"/>
    <cellStyle name="쉼표 [0] 13 3" xfId="0"/>
    <cellStyle name="쉼표 [0] 14" xfId="0"/>
    <cellStyle name="쉼표 [0] 14 2" xfId="0"/>
    <cellStyle name="쉼표 [0] 14 2 2" xfId="0"/>
    <cellStyle name="쉼표 [0] 14 3" xfId="0"/>
    <cellStyle name="쉼표 [0] 14 4" xfId="0"/>
    <cellStyle name="쉼표 [0] 14 5" xfId="0"/>
    <cellStyle name="쉼표 [0] 14 5 2" xfId="0"/>
    <cellStyle name="쉼표 [0] 14 6" xfId="0"/>
    <cellStyle name="쉼표 [0] 14 7" xfId="0"/>
    <cellStyle name="쉼표 [0] 14 7 2" xfId="0"/>
    <cellStyle name="쉼표 [0] 14 8" xfId="0"/>
    <cellStyle name="쉼표 [0] 15" xfId="0"/>
    <cellStyle name="쉼표 [0] 15 2" xfId="0"/>
    <cellStyle name="쉼표 [0] 15 2 2" xfId="0"/>
    <cellStyle name="쉼표 [0] 15 3" xfId="0"/>
    <cellStyle name="쉼표 [0] 16" xfId="0"/>
    <cellStyle name="쉼표 [0] 16 2" xfId="0"/>
    <cellStyle name="쉼표 [0] 16 2 2" xfId="0"/>
    <cellStyle name="쉼표 [0] 16 3" xfId="0"/>
    <cellStyle name="쉼표 [0] 16 4" xfId="0"/>
    <cellStyle name="쉼표 [0] 17" xfId="0"/>
    <cellStyle name="쉼표 [0] 18" xfId="0"/>
    <cellStyle name="쉼표 [0] 18 2" xfId="0"/>
    <cellStyle name="쉼표 [0] 18 2 2" xfId="0"/>
    <cellStyle name="쉼표 [0] 18 3" xfId="0"/>
    <cellStyle name="쉼표 [0] 18 4" xfId="0"/>
    <cellStyle name="쉼표 [0] 19" xfId="0"/>
    <cellStyle name="쉼표 [0] 19 2" xfId="0"/>
    <cellStyle name="쉼표 [0] 19 2 2" xfId="0"/>
    <cellStyle name="쉼표 [0] 19 3" xfId="0"/>
    <cellStyle name="쉼표 [0] 2" xfId="0"/>
    <cellStyle name="쉼표 [0] 2 10" xfId="0"/>
    <cellStyle name="쉼표 [0] 2 10 2" xfId="0"/>
    <cellStyle name="쉼표 [0] 2 10 2 2" xfId="0"/>
    <cellStyle name="쉼표 [0] 2 10 2 2 2" xfId="0"/>
    <cellStyle name="쉼표 [0] 2 10 2 2 3" xfId="0"/>
    <cellStyle name="쉼표 [0] 2 10 2 2 4" xfId="0"/>
    <cellStyle name="쉼표 [0] 2 10 2 3" xfId="0"/>
    <cellStyle name="쉼표 [0] 2 10 2 3 2" xfId="0"/>
    <cellStyle name="쉼표 [0] 2 10 2 3 3" xfId="0"/>
    <cellStyle name="쉼표 [0] 2 10 2 3 4" xfId="0"/>
    <cellStyle name="쉼표 [0] 2 10 2 4" xfId="0"/>
    <cellStyle name="쉼표 [0] 2 10 2 4 2" xfId="0"/>
    <cellStyle name="쉼표 [0] 2 10 2 4 3" xfId="0"/>
    <cellStyle name="쉼표 [0] 2 10 2 4 4" xfId="0"/>
    <cellStyle name="쉼표 [0] 2 10 2 5" xfId="0"/>
    <cellStyle name="쉼표 [0] 2 10 2 5 2" xfId="0"/>
    <cellStyle name="쉼표 [0] 2 10 2 5 3" xfId="0"/>
    <cellStyle name="쉼표 [0] 2 10 2 5 4" xfId="0"/>
    <cellStyle name="쉼표 [0] 2 10 2 6" xfId="0"/>
    <cellStyle name="쉼표 [0] 2 10 2 7" xfId="0"/>
    <cellStyle name="쉼표 [0] 2 10 2 8" xfId="0"/>
    <cellStyle name="쉼표 [0] 2 10 3" xfId="0"/>
    <cellStyle name="쉼표 [0] 2 10 4" xfId="0"/>
    <cellStyle name="쉼표 [0] 2 10 5" xfId="0"/>
    <cellStyle name="쉼표 [0] 2 10 6" xfId="0"/>
    <cellStyle name="쉼표 [0] 2 10 7" xfId="0"/>
    <cellStyle name="쉼표 [0] 2 11" xfId="0"/>
    <cellStyle name="쉼표 [0] 2 11 2" xfId="0"/>
    <cellStyle name="쉼표 [0] 2 11 2 2" xfId="0"/>
    <cellStyle name="쉼표 [0] 2 11 2 2 2" xfId="0"/>
    <cellStyle name="쉼표 [0] 2 11 2 2 3" xfId="0"/>
    <cellStyle name="쉼표 [0] 2 11 2 2 4" xfId="0"/>
    <cellStyle name="쉼표 [0] 2 11 2 3" xfId="0"/>
    <cellStyle name="쉼표 [0] 2 11 2 3 2" xfId="0"/>
    <cellStyle name="쉼표 [0] 2 11 2 3 3" xfId="0"/>
    <cellStyle name="쉼표 [0] 2 11 2 3 4" xfId="0"/>
    <cellStyle name="쉼표 [0] 2 11 2 4" xfId="0"/>
    <cellStyle name="쉼표 [0] 2 11 2 4 2" xfId="0"/>
    <cellStyle name="쉼표 [0] 2 11 2 4 3" xfId="0"/>
    <cellStyle name="쉼표 [0] 2 11 2 4 4" xfId="0"/>
    <cellStyle name="쉼표 [0] 2 11 2 5" xfId="0"/>
    <cellStyle name="쉼표 [0] 2 11 2 5 2" xfId="0"/>
    <cellStyle name="쉼표 [0] 2 11 2 5 3" xfId="0"/>
    <cellStyle name="쉼표 [0] 2 11 2 5 4" xfId="0"/>
    <cellStyle name="쉼표 [0] 2 11 2 6" xfId="0"/>
    <cellStyle name="쉼표 [0] 2 11 2 7" xfId="0"/>
    <cellStyle name="쉼표 [0] 2 11 2 8" xfId="0"/>
    <cellStyle name="쉼표 [0] 2 11 3" xfId="0"/>
    <cellStyle name="쉼표 [0] 2 11 4" xfId="0"/>
    <cellStyle name="쉼표 [0] 2 11 5" xfId="0"/>
    <cellStyle name="쉼표 [0] 2 12" xfId="0"/>
    <cellStyle name="쉼표 [0] 2 12 2" xfId="0"/>
    <cellStyle name="쉼표 [0] 2 12 2 2" xfId="0"/>
    <cellStyle name="쉼표 [0] 2 12 2 2 2" xfId="0"/>
    <cellStyle name="쉼표 [0] 2 12 2 2 3" xfId="0"/>
    <cellStyle name="쉼표 [0] 2 12 2 2 4" xfId="0"/>
    <cellStyle name="쉼표 [0] 2 12 2 3" xfId="0"/>
    <cellStyle name="쉼표 [0] 2 12 2 3 2" xfId="0"/>
    <cellStyle name="쉼표 [0] 2 12 2 3 3" xfId="0"/>
    <cellStyle name="쉼표 [0] 2 12 2 3 4" xfId="0"/>
    <cellStyle name="쉼표 [0] 2 12 2 4" xfId="0"/>
    <cellStyle name="쉼표 [0] 2 12 2 4 2" xfId="0"/>
    <cellStyle name="쉼표 [0] 2 12 2 4 3" xfId="0"/>
    <cellStyle name="쉼표 [0] 2 12 2 4 4" xfId="0"/>
    <cellStyle name="쉼표 [0] 2 12 2 5" xfId="0"/>
    <cellStyle name="쉼표 [0] 2 12 2 5 2" xfId="0"/>
    <cellStyle name="쉼표 [0] 2 12 2 5 3" xfId="0"/>
    <cellStyle name="쉼표 [0] 2 12 2 5 4" xfId="0"/>
    <cellStyle name="쉼표 [0] 2 12 2 6" xfId="0"/>
    <cellStyle name="쉼표 [0] 2 12 2 7" xfId="0"/>
    <cellStyle name="쉼표 [0] 2 12 2 8" xfId="0"/>
    <cellStyle name="쉼표 [0] 2 12 3" xfId="0"/>
    <cellStyle name="쉼표 [0] 2 12 4" xfId="0"/>
    <cellStyle name="쉼표 [0] 2 12 5" xfId="0"/>
    <cellStyle name="쉼표 [0] 2 13" xfId="0"/>
    <cellStyle name="쉼표 [0] 2 13 2" xfId="0"/>
    <cellStyle name="쉼표 [0] 2 13 2 2" xfId="0"/>
    <cellStyle name="쉼표 [0] 2 13 2 2 2" xfId="0"/>
    <cellStyle name="쉼표 [0] 2 13 2 2 3" xfId="0"/>
    <cellStyle name="쉼표 [0] 2 13 2 2 4" xfId="0"/>
    <cellStyle name="쉼표 [0] 2 13 2 3" xfId="0"/>
    <cellStyle name="쉼표 [0] 2 13 2 3 2" xfId="0"/>
    <cellStyle name="쉼표 [0] 2 13 2 3 3" xfId="0"/>
    <cellStyle name="쉼표 [0] 2 13 2 3 4" xfId="0"/>
    <cellStyle name="쉼표 [0] 2 13 2 4" xfId="0"/>
    <cellStyle name="쉼표 [0] 2 13 2 4 2" xfId="0"/>
    <cellStyle name="쉼표 [0] 2 13 2 4 3" xfId="0"/>
    <cellStyle name="쉼표 [0] 2 13 2 4 4" xfId="0"/>
    <cellStyle name="쉼표 [0] 2 13 2 5" xfId="0"/>
    <cellStyle name="쉼표 [0] 2 13 2 5 2" xfId="0"/>
    <cellStyle name="쉼표 [0] 2 13 2 5 3" xfId="0"/>
    <cellStyle name="쉼표 [0] 2 13 2 5 4" xfId="0"/>
    <cellStyle name="쉼표 [0] 2 13 2 6" xfId="0"/>
    <cellStyle name="쉼표 [0] 2 13 2 7" xfId="0"/>
    <cellStyle name="쉼표 [0] 2 13 2 8" xfId="0"/>
    <cellStyle name="쉼표 [0] 2 13 3" xfId="0"/>
    <cellStyle name="쉼표 [0] 2 13 4" xfId="0"/>
    <cellStyle name="쉼표 [0] 2 13 5" xfId="0"/>
    <cellStyle name="쉼표 [0] 2 14" xfId="0"/>
    <cellStyle name="쉼표 [0] 2 14 2" xfId="0"/>
    <cellStyle name="쉼표 [0] 2 14 2 2" xfId="0"/>
    <cellStyle name="쉼표 [0] 2 14 2 2 2" xfId="0"/>
    <cellStyle name="쉼표 [0] 2 14 2 2 3" xfId="0"/>
    <cellStyle name="쉼표 [0] 2 14 2 2 4" xfId="0"/>
    <cellStyle name="쉼표 [0] 2 14 2 3" xfId="0"/>
    <cellStyle name="쉼표 [0] 2 14 2 3 2" xfId="0"/>
    <cellStyle name="쉼표 [0] 2 14 2 3 3" xfId="0"/>
    <cellStyle name="쉼표 [0] 2 14 2 3 4" xfId="0"/>
    <cellStyle name="쉼표 [0] 2 14 2 4" xfId="0"/>
    <cellStyle name="쉼표 [0] 2 14 2 4 2" xfId="0"/>
    <cellStyle name="쉼표 [0] 2 14 2 4 3" xfId="0"/>
    <cellStyle name="쉼표 [0] 2 14 2 4 4" xfId="0"/>
    <cellStyle name="쉼표 [0] 2 14 2 5" xfId="0"/>
    <cellStyle name="쉼표 [0] 2 14 2 5 2" xfId="0"/>
    <cellStyle name="쉼표 [0] 2 14 2 5 3" xfId="0"/>
    <cellStyle name="쉼표 [0] 2 14 2 5 4" xfId="0"/>
    <cellStyle name="쉼표 [0] 2 14 2 6" xfId="0"/>
    <cellStyle name="쉼표 [0] 2 14 2 7" xfId="0"/>
    <cellStyle name="쉼표 [0] 2 14 2 8" xfId="0"/>
    <cellStyle name="쉼표 [0] 2 14 3" xfId="0"/>
    <cellStyle name="쉼표 [0] 2 14 3 2" xfId="0"/>
    <cellStyle name="쉼표 [0] 2 14 3 3" xfId="0"/>
    <cellStyle name="쉼표 [0] 2 14 3 4" xfId="0"/>
    <cellStyle name="쉼표 [0] 2 14 4" xfId="0"/>
    <cellStyle name="쉼표 [0] 2 14 4 2" xfId="0"/>
    <cellStyle name="쉼표 [0] 2 14 4 3" xfId="0"/>
    <cellStyle name="쉼표 [0] 2 14 4 4" xfId="0"/>
    <cellStyle name="쉼표 [0] 2 14 5" xfId="0"/>
    <cellStyle name="쉼표 [0] 2 14 5 2" xfId="0"/>
    <cellStyle name="쉼표 [0] 2 14 5 3" xfId="0"/>
    <cellStyle name="쉼표 [0] 2 14 5 4" xfId="0"/>
    <cellStyle name="쉼표 [0] 2 14 6" xfId="0"/>
    <cellStyle name="쉼표 [0] 2 14 7" xfId="0"/>
    <cellStyle name="쉼표 [0] 2 14 8" xfId="0"/>
    <cellStyle name="쉼표 [0] 2 15" xfId="0"/>
    <cellStyle name="쉼표 [0] 2 15 2" xfId="0"/>
    <cellStyle name="쉼표 [0] 2 15 3" xfId="0"/>
    <cellStyle name="쉼표 [0] 2 15 4" xfId="0"/>
    <cellStyle name="쉼표 [0] 2 16" xfId="0"/>
    <cellStyle name="쉼표 [0] 2 16 2" xfId="0"/>
    <cellStyle name="쉼표 [0] 2 16 3" xfId="0"/>
    <cellStyle name="쉼표 [0] 2 16 4" xfId="0"/>
    <cellStyle name="쉼표 [0] 2 17" xfId="0"/>
    <cellStyle name="쉼표 [0] 2 17 2" xfId="0"/>
    <cellStyle name="쉼표 [0] 2 17 3" xfId="0"/>
    <cellStyle name="쉼표 [0] 2 17 4" xfId="0"/>
    <cellStyle name="쉼표 [0] 2 18" xfId="0"/>
    <cellStyle name="쉼표 [0] 2 18 2" xfId="0"/>
    <cellStyle name="쉼표 [0] 2 18 3" xfId="0"/>
    <cellStyle name="쉼표 [0] 2 18 4" xfId="0"/>
    <cellStyle name="쉼표 [0] 2 19" xfId="0"/>
    <cellStyle name="쉼표 [0] 2 19 2" xfId="0"/>
    <cellStyle name="쉼표 [0] 2 19 3" xfId="0"/>
    <cellStyle name="쉼표 [0] 2 19 4" xfId="0"/>
    <cellStyle name="쉼표 [0] 2 2" xfId="0"/>
    <cellStyle name="쉼표 [0] 2 2 10" xfId="0"/>
    <cellStyle name="쉼표 [0] 2 2 10 10" xfId="0"/>
    <cellStyle name="쉼표 [0] 2 2 10 10 2" xfId="0"/>
    <cellStyle name="쉼표 [0] 2 2 10 10 3" xfId="0"/>
    <cellStyle name="쉼표 [0] 2 2 10 10 4" xfId="0"/>
    <cellStyle name="쉼표 [0] 2 2 10 11" xfId="0"/>
    <cellStyle name="쉼표 [0] 2 2 10 11 2" xfId="0"/>
    <cellStyle name="쉼표 [0] 2 2 10 11 3" xfId="0"/>
    <cellStyle name="쉼표 [0] 2 2 10 11 4" xfId="0"/>
    <cellStyle name="쉼표 [0] 2 2 10 12" xfId="0"/>
    <cellStyle name="쉼표 [0] 2 2 10 12 2" xfId="0"/>
    <cellStyle name="쉼표 [0] 2 2 10 12 3" xfId="0"/>
    <cellStyle name="쉼표 [0] 2 2 10 12 4" xfId="0"/>
    <cellStyle name="쉼표 [0] 2 2 10 13" xfId="0"/>
    <cellStyle name="쉼표 [0] 2 2 10 13 2" xfId="0"/>
    <cellStyle name="쉼표 [0] 2 2 10 13 3" xfId="0"/>
    <cellStyle name="쉼표 [0] 2 2 10 13 4" xfId="0"/>
    <cellStyle name="쉼표 [0] 2 2 10 14" xfId="0"/>
    <cellStyle name="쉼표 [0] 2 2 10 14 2" xfId="0"/>
    <cellStyle name="쉼표 [0] 2 2 10 14 3" xfId="0"/>
    <cellStyle name="쉼표 [0] 2 2 10 14 4" xfId="0"/>
    <cellStyle name="쉼표 [0] 2 2 10 15" xfId="0"/>
    <cellStyle name="쉼표 [0] 2 2 10 15 2" xfId="0"/>
    <cellStyle name="쉼표 [0] 2 2 10 15 3" xfId="0"/>
    <cellStyle name="쉼표 [0] 2 2 10 15 4" xfId="0"/>
    <cellStyle name="쉼표 [0] 2 2 10 16" xfId="0"/>
    <cellStyle name="쉼표 [0] 2 2 10 16 2" xfId="0"/>
    <cellStyle name="쉼표 [0] 2 2 10 16 3" xfId="0"/>
    <cellStyle name="쉼표 [0] 2 2 10 16 4" xfId="0"/>
    <cellStyle name="쉼표 [0] 2 2 10 17" xfId="0"/>
    <cellStyle name="쉼표 [0] 2 2 10 17 2" xfId="0"/>
    <cellStyle name="쉼표 [0] 2 2 10 17 3" xfId="0"/>
    <cellStyle name="쉼표 [0] 2 2 10 17 4" xfId="0"/>
    <cellStyle name="쉼표 [0] 2 2 10 18" xfId="0"/>
    <cellStyle name="쉼표 [0] 2 2 10 18 2" xfId="0"/>
    <cellStyle name="쉼표 [0] 2 2 10 18 3" xfId="0"/>
    <cellStyle name="쉼표 [0] 2 2 10 18 4" xfId="0"/>
    <cellStyle name="쉼표 [0] 2 2 10 19" xfId="0"/>
    <cellStyle name="쉼표 [0] 2 2 10 19 2" xfId="0"/>
    <cellStyle name="쉼표 [0] 2 2 10 19 3" xfId="0"/>
    <cellStyle name="쉼표 [0] 2 2 10 19 4" xfId="0"/>
    <cellStyle name="쉼표 [0] 2 2 10 2" xfId="0"/>
    <cellStyle name="쉼표 [0] 2 2 10 2 2" xfId="0"/>
    <cellStyle name="쉼표 [0] 2 2 10 2 3" xfId="0"/>
    <cellStyle name="쉼표 [0] 2 2 10 2 4" xfId="0"/>
    <cellStyle name="쉼표 [0] 2 2 10 20" xfId="0"/>
    <cellStyle name="쉼표 [0] 2 2 10 20 2" xfId="0"/>
    <cellStyle name="쉼표 [0] 2 2 10 20 3" xfId="0"/>
    <cellStyle name="쉼표 [0] 2 2 10 20 4" xfId="0"/>
    <cellStyle name="쉼표 [0] 2 2 10 21" xfId="0"/>
    <cellStyle name="쉼표 [0] 2 2 10 21 2" xfId="0"/>
    <cellStyle name="쉼표 [0] 2 2 10 21 3" xfId="0"/>
    <cellStyle name="쉼표 [0] 2 2 10 21 4" xfId="0"/>
    <cellStyle name="쉼표 [0] 2 2 10 22" xfId="0"/>
    <cellStyle name="쉼표 [0] 2 2 10 23" xfId="0"/>
    <cellStyle name="쉼표 [0] 2 2 10 24" xfId="0"/>
    <cellStyle name="쉼표 [0] 2 2 10 3" xfId="0"/>
    <cellStyle name="쉼표 [0] 2 2 10 3 2" xfId="0"/>
    <cellStyle name="쉼표 [0] 2 2 10 3 3" xfId="0"/>
    <cellStyle name="쉼표 [0] 2 2 10 3 4" xfId="0"/>
    <cellStyle name="쉼표 [0] 2 2 10 4" xfId="0"/>
    <cellStyle name="쉼표 [0] 2 2 10 4 2" xfId="0"/>
    <cellStyle name="쉼표 [0] 2 2 10 4 3" xfId="0"/>
    <cellStyle name="쉼표 [0] 2 2 10 4 4" xfId="0"/>
    <cellStyle name="쉼표 [0] 2 2 10 5" xfId="0"/>
    <cellStyle name="쉼표 [0] 2 2 10 5 2" xfId="0"/>
    <cellStyle name="쉼표 [0] 2 2 10 5 3" xfId="0"/>
    <cellStyle name="쉼표 [0] 2 2 10 5 4" xfId="0"/>
    <cellStyle name="쉼표 [0] 2 2 10 6" xfId="0"/>
    <cellStyle name="쉼표 [0] 2 2 10 6 2" xfId="0"/>
    <cellStyle name="쉼표 [0] 2 2 10 6 3" xfId="0"/>
    <cellStyle name="쉼표 [0] 2 2 10 6 4" xfId="0"/>
    <cellStyle name="쉼표 [0] 2 2 10 7" xfId="0"/>
    <cellStyle name="쉼표 [0] 2 2 10 7 2" xfId="0"/>
    <cellStyle name="쉼표 [0] 2 2 10 7 3" xfId="0"/>
    <cellStyle name="쉼표 [0] 2 2 10 7 4" xfId="0"/>
    <cellStyle name="쉼표 [0] 2 2 10 8" xfId="0"/>
    <cellStyle name="쉼표 [0] 2 2 10 8 2" xfId="0"/>
    <cellStyle name="쉼표 [0] 2 2 10 8 3" xfId="0"/>
    <cellStyle name="쉼표 [0] 2 2 10 8 4" xfId="0"/>
    <cellStyle name="쉼표 [0] 2 2 10 9" xfId="0"/>
    <cellStyle name="쉼표 [0] 2 2 10 9 2" xfId="0"/>
    <cellStyle name="쉼표 [0] 2 2 10 9 3" xfId="0"/>
    <cellStyle name="쉼표 [0] 2 2 10 9 4" xfId="0"/>
    <cellStyle name="쉼표 [0] 2 2 11" xfId="0"/>
    <cellStyle name="쉼표 [0] 2 2 11 10" xfId="0"/>
    <cellStyle name="쉼표 [0] 2 2 11 10 2" xfId="0"/>
    <cellStyle name="쉼표 [0] 2 2 11 10 3" xfId="0"/>
    <cellStyle name="쉼표 [0] 2 2 11 10 4" xfId="0"/>
    <cellStyle name="쉼표 [0] 2 2 11 11" xfId="0"/>
    <cellStyle name="쉼표 [0] 2 2 11 11 2" xfId="0"/>
    <cellStyle name="쉼표 [0] 2 2 11 11 3" xfId="0"/>
    <cellStyle name="쉼표 [0] 2 2 11 11 4" xfId="0"/>
    <cellStyle name="쉼표 [0] 2 2 11 12" xfId="0"/>
    <cellStyle name="쉼표 [0] 2 2 11 12 2" xfId="0"/>
    <cellStyle name="쉼표 [0] 2 2 11 12 3" xfId="0"/>
    <cellStyle name="쉼표 [0] 2 2 11 12 4" xfId="0"/>
    <cellStyle name="쉼표 [0] 2 2 11 13" xfId="0"/>
    <cellStyle name="쉼표 [0] 2 2 11 13 2" xfId="0"/>
    <cellStyle name="쉼표 [0] 2 2 11 13 3" xfId="0"/>
    <cellStyle name="쉼표 [0] 2 2 11 13 4" xfId="0"/>
    <cellStyle name="쉼표 [0] 2 2 11 14" xfId="0"/>
    <cellStyle name="쉼표 [0] 2 2 11 14 2" xfId="0"/>
    <cellStyle name="쉼표 [0] 2 2 11 14 3" xfId="0"/>
    <cellStyle name="쉼표 [0] 2 2 11 14 4" xfId="0"/>
    <cellStyle name="쉼표 [0] 2 2 11 15" xfId="0"/>
    <cellStyle name="쉼표 [0] 2 2 11 15 2" xfId="0"/>
    <cellStyle name="쉼표 [0] 2 2 11 15 3" xfId="0"/>
    <cellStyle name="쉼표 [0] 2 2 11 15 4" xfId="0"/>
    <cellStyle name="쉼표 [0] 2 2 11 16" xfId="0"/>
    <cellStyle name="쉼표 [0] 2 2 11 16 2" xfId="0"/>
    <cellStyle name="쉼표 [0] 2 2 11 16 3" xfId="0"/>
    <cellStyle name="쉼표 [0] 2 2 11 16 4" xfId="0"/>
    <cellStyle name="쉼표 [0] 2 2 11 17" xfId="0"/>
    <cellStyle name="쉼표 [0] 2 2 11 17 2" xfId="0"/>
    <cellStyle name="쉼표 [0] 2 2 11 17 3" xfId="0"/>
    <cellStyle name="쉼표 [0] 2 2 11 17 4" xfId="0"/>
    <cellStyle name="쉼표 [0] 2 2 11 18" xfId="0"/>
    <cellStyle name="쉼표 [0] 2 2 11 18 2" xfId="0"/>
    <cellStyle name="쉼표 [0] 2 2 11 18 3" xfId="0"/>
    <cellStyle name="쉼표 [0] 2 2 11 18 4" xfId="0"/>
    <cellStyle name="쉼표 [0] 2 2 11 19" xfId="0"/>
    <cellStyle name="쉼표 [0] 2 2 11 19 2" xfId="0"/>
    <cellStyle name="쉼표 [0] 2 2 11 19 3" xfId="0"/>
    <cellStyle name="쉼표 [0] 2 2 11 19 4" xfId="0"/>
    <cellStyle name="쉼표 [0] 2 2 11 2" xfId="0"/>
    <cellStyle name="쉼표 [0] 2 2 11 2 2" xfId="0"/>
    <cellStyle name="쉼표 [0] 2 2 11 2 3" xfId="0"/>
    <cellStyle name="쉼표 [0] 2 2 11 2 4" xfId="0"/>
    <cellStyle name="쉼표 [0] 2 2 11 20" xfId="0"/>
    <cellStyle name="쉼표 [0] 2 2 11 20 2" xfId="0"/>
    <cellStyle name="쉼표 [0] 2 2 11 20 3" xfId="0"/>
    <cellStyle name="쉼표 [0] 2 2 11 20 4" xfId="0"/>
    <cellStyle name="쉼표 [0] 2 2 11 21" xfId="0"/>
    <cellStyle name="쉼표 [0] 2 2 11 21 2" xfId="0"/>
    <cellStyle name="쉼표 [0] 2 2 11 21 3" xfId="0"/>
    <cellStyle name="쉼표 [0] 2 2 11 21 4" xfId="0"/>
    <cellStyle name="쉼표 [0] 2 2 11 22" xfId="0"/>
    <cellStyle name="쉼표 [0] 2 2 11 23" xfId="0"/>
    <cellStyle name="쉼표 [0] 2 2 11 24" xfId="0"/>
    <cellStyle name="쉼표 [0] 2 2 11 3" xfId="0"/>
    <cellStyle name="쉼표 [0] 2 2 11 3 2" xfId="0"/>
    <cellStyle name="쉼표 [0] 2 2 11 3 3" xfId="0"/>
    <cellStyle name="쉼표 [0] 2 2 11 3 4" xfId="0"/>
    <cellStyle name="쉼표 [0] 2 2 11 4" xfId="0"/>
    <cellStyle name="쉼표 [0] 2 2 11 4 2" xfId="0"/>
    <cellStyle name="쉼표 [0] 2 2 11 4 3" xfId="0"/>
    <cellStyle name="쉼표 [0] 2 2 11 4 4" xfId="0"/>
    <cellStyle name="쉼표 [0] 2 2 11 5" xfId="0"/>
    <cellStyle name="쉼표 [0] 2 2 11 5 2" xfId="0"/>
    <cellStyle name="쉼표 [0] 2 2 11 5 3" xfId="0"/>
    <cellStyle name="쉼표 [0] 2 2 11 5 4" xfId="0"/>
    <cellStyle name="쉼표 [0] 2 2 11 6" xfId="0"/>
    <cellStyle name="쉼표 [0] 2 2 11 6 2" xfId="0"/>
    <cellStyle name="쉼표 [0] 2 2 11 6 3" xfId="0"/>
    <cellStyle name="쉼표 [0] 2 2 11 6 4" xfId="0"/>
    <cellStyle name="쉼표 [0] 2 2 11 7" xfId="0"/>
    <cellStyle name="쉼표 [0] 2 2 11 7 2" xfId="0"/>
    <cellStyle name="쉼표 [0] 2 2 11 7 3" xfId="0"/>
    <cellStyle name="쉼표 [0] 2 2 11 7 4" xfId="0"/>
    <cellStyle name="쉼표 [0] 2 2 11 8" xfId="0"/>
    <cellStyle name="쉼표 [0] 2 2 11 8 2" xfId="0"/>
    <cellStyle name="쉼표 [0] 2 2 11 8 3" xfId="0"/>
    <cellStyle name="쉼표 [0] 2 2 11 8 4" xfId="0"/>
    <cellStyle name="쉼표 [0] 2 2 11 9" xfId="0"/>
    <cellStyle name="쉼표 [0] 2 2 11 9 2" xfId="0"/>
    <cellStyle name="쉼표 [0] 2 2 11 9 3" xfId="0"/>
    <cellStyle name="쉼표 [0] 2 2 11 9 4" xfId="0"/>
    <cellStyle name="쉼표 [0] 2 2 12" xfId="0"/>
    <cellStyle name="쉼표 [0] 2 2 12 10" xfId="0"/>
    <cellStyle name="쉼표 [0] 2 2 12 10 2" xfId="0"/>
    <cellStyle name="쉼표 [0] 2 2 12 10 3" xfId="0"/>
    <cellStyle name="쉼표 [0] 2 2 12 10 4" xfId="0"/>
    <cellStyle name="쉼표 [0] 2 2 12 11" xfId="0"/>
    <cellStyle name="쉼표 [0] 2 2 12 11 2" xfId="0"/>
    <cellStyle name="쉼표 [0] 2 2 12 11 3" xfId="0"/>
    <cellStyle name="쉼표 [0] 2 2 12 11 4" xfId="0"/>
    <cellStyle name="쉼표 [0] 2 2 12 12" xfId="0"/>
    <cellStyle name="쉼표 [0] 2 2 12 12 2" xfId="0"/>
    <cellStyle name="쉼표 [0] 2 2 12 12 3" xfId="0"/>
    <cellStyle name="쉼표 [0] 2 2 12 12 4" xfId="0"/>
    <cellStyle name="쉼표 [0] 2 2 12 13" xfId="0"/>
    <cellStyle name="쉼표 [0] 2 2 12 13 2" xfId="0"/>
    <cellStyle name="쉼표 [0] 2 2 12 13 3" xfId="0"/>
    <cellStyle name="쉼표 [0] 2 2 12 13 4" xfId="0"/>
    <cellStyle name="쉼표 [0] 2 2 12 14" xfId="0"/>
    <cellStyle name="쉼표 [0] 2 2 12 14 2" xfId="0"/>
    <cellStyle name="쉼표 [0] 2 2 12 14 3" xfId="0"/>
    <cellStyle name="쉼표 [0] 2 2 12 14 4" xfId="0"/>
    <cellStyle name="쉼표 [0] 2 2 12 15" xfId="0"/>
    <cellStyle name="쉼표 [0] 2 2 12 15 2" xfId="0"/>
    <cellStyle name="쉼표 [0] 2 2 12 15 3" xfId="0"/>
    <cellStyle name="쉼표 [0] 2 2 12 15 4" xfId="0"/>
    <cellStyle name="쉼표 [0] 2 2 12 16" xfId="0"/>
    <cellStyle name="쉼표 [0] 2 2 12 16 2" xfId="0"/>
    <cellStyle name="쉼표 [0] 2 2 12 16 3" xfId="0"/>
    <cellStyle name="쉼표 [0] 2 2 12 16 4" xfId="0"/>
    <cellStyle name="쉼표 [0] 2 2 12 17" xfId="0"/>
    <cellStyle name="쉼표 [0] 2 2 12 17 2" xfId="0"/>
    <cellStyle name="쉼표 [0] 2 2 12 17 3" xfId="0"/>
    <cellStyle name="쉼표 [0] 2 2 12 17 4" xfId="0"/>
    <cellStyle name="쉼표 [0] 2 2 12 18" xfId="0"/>
    <cellStyle name="쉼표 [0] 2 2 12 18 2" xfId="0"/>
    <cellStyle name="쉼표 [0] 2 2 12 18 3" xfId="0"/>
    <cellStyle name="쉼표 [0] 2 2 12 18 4" xfId="0"/>
    <cellStyle name="쉼표 [0] 2 2 12 19" xfId="0"/>
    <cellStyle name="쉼표 [0] 2 2 12 19 2" xfId="0"/>
    <cellStyle name="쉼표 [0] 2 2 12 19 3" xfId="0"/>
    <cellStyle name="쉼표 [0] 2 2 12 19 4" xfId="0"/>
    <cellStyle name="쉼표 [0] 2 2 12 2" xfId="0"/>
    <cellStyle name="쉼표 [0] 2 2 12 2 2" xfId="0"/>
    <cellStyle name="쉼표 [0] 2 2 12 2 2 2" xfId="0"/>
    <cellStyle name="쉼표 [0] 2 2 12 2 2 2 2" xfId="0"/>
    <cellStyle name="쉼표 [0] 2 2 12 2 2 2 3" xfId="0"/>
    <cellStyle name="쉼표 [0] 2 2 12 2 2 2 4" xfId="0"/>
    <cellStyle name="쉼표 [0] 2 2 12 2 2 3" xfId="0"/>
    <cellStyle name="쉼표 [0] 2 2 12 2 2 3 2" xfId="0"/>
    <cellStyle name="쉼표 [0] 2 2 12 2 2 3 3" xfId="0"/>
    <cellStyle name="쉼표 [0] 2 2 12 2 2 3 4" xfId="0"/>
    <cellStyle name="쉼표 [0] 2 2 12 2 2 4" xfId="0"/>
    <cellStyle name="쉼표 [0] 2 2 12 2 2 4 2" xfId="0"/>
    <cellStyle name="쉼표 [0] 2 2 12 2 2 4 3" xfId="0"/>
    <cellStyle name="쉼표 [0] 2 2 12 2 2 4 4" xfId="0"/>
    <cellStyle name="쉼표 [0] 2 2 12 2 2 5" xfId="0"/>
    <cellStyle name="쉼표 [0] 2 2 12 2 2 5 2" xfId="0"/>
    <cellStyle name="쉼표 [0] 2 2 12 2 2 5 3" xfId="0"/>
    <cellStyle name="쉼표 [0] 2 2 12 2 2 5 4" xfId="0"/>
    <cellStyle name="쉼표 [0] 2 2 12 2 2 6" xfId="0"/>
    <cellStyle name="쉼표 [0] 2 2 12 2 2 7" xfId="0"/>
    <cellStyle name="쉼표 [0] 2 2 12 2 2 8" xfId="0"/>
    <cellStyle name="쉼표 [0] 2 2 12 2 3" xfId="0"/>
    <cellStyle name="쉼표 [0] 2 2 12 2 3 2" xfId="0"/>
    <cellStyle name="쉼표 [0] 2 2 12 2 3 3" xfId="0"/>
    <cellStyle name="쉼표 [0] 2 2 12 2 3 4" xfId="0"/>
    <cellStyle name="쉼표 [0] 2 2 12 2 4" xfId="0"/>
    <cellStyle name="쉼표 [0] 2 2 12 2 4 2" xfId="0"/>
    <cellStyle name="쉼표 [0] 2 2 12 2 4 3" xfId="0"/>
    <cellStyle name="쉼표 [0] 2 2 12 2 4 4" xfId="0"/>
    <cellStyle name="쉼표 [0] 2 2 12 2 5" xfId="0"/>
    <cellStyle name="쉼표 [0] 2 2 12 2 5 2" xfId="0"/>
    <cellStyle name="쉼표 [0] 2 2 12 2 5 3" xfId="0"/>
    <cellStyle name="쉼표 [0] 2 2 12 2 5 4" xfId="0"/>
    <cellStyle name="쉼표 [0] 2 2 12 2 6" xfId="0"/>
    <cellStyle name="쉼표 [0] 2 2 12 2 7" xfId="0"/>
    <cellStyle name="쉼표 [0] 2 2 12 2 8" xfId="0"/>
    <cellStyle name="쉼표 [0] 2 2 12 20" xfId="0"/>
    <cellStyle name="쉼표 [0] 2 2 12 20 2" xfId="0"/>
    <cellStyle name="쉼표 [0] 2 2 12 20 3" xfId="0"/>
    <cellStyle name="쉼표 [0] 2 2 12 20 4" xfId="0"/>
    <cellStyle name="쉼표 [0] 2 2 12 21" xfId="0"/>
    <cellStyle name="쉼표 [0] 2 2 12 21 2" xfId="0"/>
    <cellStyle name="쉼표 [0] 2 2 12 21 3" xfId="0"/>
    <cellStyle name="쉼표 [0] 2 2 12 21 4" xfId="0"/>
    <cellStyle name="쉼표 [0] 2 2 12 22" xfId="0"/>
    <cellStyle name="쉼표 [0] 2 2 12 23" xfId="0"/>
    <cellStyle name="쉼표 [0] 2 2 12 24" xfId="0"/>
    <cellStyle name="쉼표 [0] 2 2 12 25" xfId="0"/>
    <cellStyle name="쉼표 [0] 2 2 12 26" xfId="0"/>
    <cellStyle name="쉼표 [0] 2 2 12 3" xfId="0"/>
    <cellStyle name="쉼표 [0] 2 2 12 3 2" xfId="0"/>
    <cellStyle name="쉼표 [0] 2 2 12 3 2 2" xfId="0"/>
    <cellStyle name="쉼표 [0] 2 2 12 3 2 2 2" xfId="0"/>
    <cellStyle name="쉼표 [0] 2 2 12 3 2 2 3" xfId="0"/>
    <cellStyle name="쉼표 [0] 2 2 12 3 2 2 4" xfId="0"/>
    <cellStyle name="쉼표 [0] 2 2 12 3 2 3" xfId="0"/>
    <cellStyle name="쉼표 [0] 2 2 12 3 2 3 2" xfId="0"/>
    <cellStyle name="쉼표 [0] 2 2 12 3 2 3 3" xfId="0"/>
    <cellStyle name="쉼표 [0] 2 2 12 3 2 3 4" xfId="0"/>
    <cellStyle name="쉼표 [0] 2 2 12 3 2 4" xfId="0"/>
    <cellStyle name="쉼표 [0] 2 2 12 3 2 4 2" xfId="0"/>
    <cellStyle name="쉼표 [0] 2 2 12 3 2 4 3" xfId="0"/>
    <cellStyle name="쉼표 [0] 2 2 12 3 2 4 4" xfId="0"/>
    <cellStyle name="쉼표 [0] 2 2 12 3 2 5" xfId="0"/>
    <cellStyle name="쉼표 [0] 2 2 12 3 2 5 2" xfId="0"/>
    <cellStyle name="쉼표 [0] 2 2 12 3 2 5 3" xfId="0"/>
    <cellStyle name="쉼표 [0] 2 2 12 3 2 5 4" xfId="0"/>
    <cellStyle name="쉼표 [0] 2 2 12 3 2 6" xfId="0"/>
    <cellStyle name="쉼표 [0] 2 2 12 3 2 7" xfId="0"/>
    <cellStyle name="쉼표 [0] 2 2 12 3 2 8" xfId="0"/>
    <cellStyle name="쉼표 [0] 2 2 12 3 3" xfId="0"/>
    <cellStyle name="쉼표 [0] 2 2 12 3 3 2" xfId="0"/>
    <cellStyle name="쉼표 [0] 2 2 12 3 3 3" xfId="0"/>
    <cellStyle name="쉼표 [0] 2 2 12 3 3 4" xfId="0"/>
    <cellStyle name="쉼표 [0] 2 2 12 3 4" xfId="0"/>
    <cellStyle name="쉼표 [0] 2 2 12 3 4 2" xfId="0"/>
    <cellStyle name="쉼표 [0] 2 2 12 3 4 3" xfId="0"/>
    <cellStyle name="쉼표 [0] 2 2 12 3 4 4" xfId="0"/>
    <cellStyle name="쉼표 [0] 2 2 12 3 5" xfId="0"/>
    <cellStyle name="쉼표 [0] 2 2 12 3 5 2" xfId="0"/>
    <cellStyle name="쉼표 [0] 2 2 12 3 5 3" xfId="0"/>
    <cellStyle name="쉼표 [0] 2 2 12 3 5 4" xfId="0"/>
    <cellStyle name="쉼표 [0] 2 2 12 3 6" xfId="0"/>
    <cellStyle name="쉼표 [0] 2 2 12 3 7" xfId="0"/>
    <cellStyle name="쉼표 [0] 2 2 12 3 8" xfId="0"/>
    <cellStyle name="쉼표 [0] 2 2 12 4" xfId="0"/>
    <cellStyle name="쉼표 [0] 2 2 12 4 2" xfId="0"/>
    <cellStyle name="쉼표 [0] 2 2 12 4 3" xfId="0"/>
    <cellStyle name="쉼표 [0] 2 2 12 4 4" xfId="0"/>
    <cellStyle name="쉼표 [0] 2 2 12 5" xfId="0"/>
    <cellStyle name="쉼표 [0] 2 2 12 5 2" xfId="0"/>
    <cellStyle name="쉼표 [0] 2 2 12 5 3" xfId="0"/>
    <cellStyle name="쉼표 [0] 2 2 12 5 4" xfId="0"/>
    <cellStyle name="쉼표 [0] 2 2 12 6" xfId="0"/>
    <cellStyle name="쉼표 [0] 2 2 12 6 2" xfId="0"/>
    <cellStyle name="쉼표 [0] 2 2 12 6 3" xfId="0"/>
    <cellStyle name="쉼표 [0] 2 2 12 6 4" xfId="0"/>
    <cellStyle name="쉼표 [0] 2 2 12 7" xfId="0"/>
    <cellStyle name="쉼표 [0] 2 2 12 7 2" xfId="0"/>
    <cellStyle name="쉼표 [0] 2 2 12 7 3" xfId="0"/>
    <cellStyle name="쉼표 [0] 2 2 12 7 4" xfId="0"/>
    <cellStyle name="쉼표 [0] 2 2 12 8" xfId="0"/>
    <cellStyle name="쉼표 [0] 2 2 12 8 2" xfId="0"/>
    <cellStyle name="쉼표 [0] 2 2 12 8 3" xfId="0"/>
    <cellStyle name="쉼표 [0] 2 2 12 8 4" xfId="0"/>
    <cellStyle name="쉼표 [0] 2 2 12 9" xfId="0"/>
    <cellStyle name="쉼표 [0] 2 2 12 9 2" xfId="0"/>
    <cellStyle name="쉼표 [0] 2 2 12 9 3" xfId="0"/>
    <cellStyle name="쉼표 [0] 2 2 12 9 4" xfId="0"/>
    <cellStyle name="쉼표 [0] 2 2 13" xfId="0"/>
    <cellStyle name="쉼표 [0] 2 2 13 10" xfId="0"/>
    <cellStyle name="쉼표 [0] 2 2 13 10 2" xfId="0"/>
    <cellStyle name="쉼표 [0] 2 2 13 10 3" xfId="0"/>
    <cellStyle name="쉼표 [0] 2 2 13 10 4" xfId="0"/>
    <cellStyle name="쉼표 [0] 2 2 13 11" xfId="0"/>
    <cellStyle name="쉼표 [0] 2 2 13 11 2" xfId="0"/>
    <cellStyle name="쉼표 [0] 2 2 13 11 3" xfId="0"/>
    <cellStyle name="쉼표 [0] 2 2 13 11 4" xfId="0"/>
    <cellStyle name="쉼표 [0] 2 2 13 12" xfId="0"/>
    <cellStyle name="쉼표 [0] 2 2 13 12 2" xfId="0"/>
    <cellStyle name="쉼표 [0] 2 2 13 12 3" xfId="0"/>
    <cellStyle name="쉼표 [0] 2 2 13 12 4" xfId="0"/>
    <cellStyle name="쉼표 [0] 2 2 13 13" xfId="0"/>
    <cellStyle name="쉼표 [0] 2 2 13 13 2" xfId="0"/>
    <cellStyle name="쉼표 [0] 2 2 13 13 3" xfId="0"/>
    <cellStyle name="쉼표 [0] 2 2 13 13 4" xfId="0"/>
    <cellStyle name="쉼표 [0] 2 2 13 14" xfId="0"/>
    <cellStyle name="쉼표 [0] 2 2 13 14 2" xfId="0"/>
    <cellStyle name="쉼표 [0] 2 2 13 14 3" xfId="0"/>
    <cellStyle name="쉼표 [0] 2 2 13 14 4" xfId="0"/>
    <cellStyle name="쉼표 [0] 2 2 13 15" xfId="0"/>
    <cellStyle name="쉼표 [0] 2 2 13 15 2" xfId="0"/>
    <cellStyle name="쉼표 [0] 2 2 13 15 3" xfId="0"/>
    <cellStyle name="쉼표 [0] 2 2 13 15 4" xfId="0"/>
    <cellStyle name="쉼표 [0] 2 2 13 16" xfId="0"/>
    <cellStyle name="쉼표 [0] 2 2 13 16 2" xfId="0"/>
    <cellStyle name="쉼표 [0] 2 2 13 16 3" xfId="0"/>
    <cellStyle name="쉼표 [0] 2 2 13 16 4" xfId="0"/>
    <cellStyle name="쉼표 [0] 2 2 13 17" xfId="0"/>
    <cellStyle name="쉼표 [0] 2 2 13 17 2" xfId="0"/>
    <cellStyle name="쉼표 [0] 2 2 13 17 3" xfId="0"/>
    <cellStyle name="쉼표 [0] 2 2 13 17 4" xfId="0"/>
    <cellStyle name="쉼표 [0] 2 2 13 18" xfId="0"/>
    <cellStyle name="쉼표 [0] 2 2 13 19" xfId="0"/>
    <cellStyle name="쉼표 [0] 2 2 13 2" xfId="0"/>
    <cellStyle name="쉼표 [0] 2 2 13 2 2" xfId="0"/>
    <cellStyle name="쉼표 [0] 2 2 13 2 3" xfId="0"/>
    <cellStyle name="쉼표 [0] 2 2 13 2 4" xfId="0"/>
    <cellStyle name="쉼표 [0] 2 2 13 20" xfId="0"/>
    <cellStyle name="쉼표 [0] 2 2 13 21" xfId="0"/>
    <cellStyle name="쉼표 [0] 2 2 13 3" xfId="0"/>
    <cellStyle name="쉼표 [0] 2 2 13 3 2" xfId="0"/>
    <cellStyle name="쉼표 [0] 2 2 13 3 3" xfId="0"/>
    <cellStyle name="쉼표 [0] 2 2 13 3 4" xfId="0"/>
    <cellStyle name="쉼표 [0] 2 2 13 4" xfId="0"/>
    <cellStyle name="쉼표 [0] 2 2 13 4 2" xfId="0"/>
    <cellStyle name="쉼표 [0] 2 2 13 4 3" xfId="0"/>
    <cellStyle name="쉼표 [0] 2 2 13 4 4" xfId="0"/>
    <cellStyle name="쉼표 [0] 2 2 13 5" xfId="0"/>
    <cellStyle name="쉼표 [0] 2 2 13 5 2" xfId="0"/>
    <cellStyle name="쉼표 [0] 2 2 13 5 3" xfId="0"/>
    <cellStyle name="쉼표 [0] 2 2 13 5 4" xfId="0"/>
    <cellStyle name="쉼표 [0] 2 2 13 6" xfId="0"/>
    <cellStyle name="쉼표 [0] 2 2 13 6 2" xfId="0"/>
    <cellStyle name="쉼표 [0] 2 2 13 6 3" xfId="0"/>
    <cellStyle name="쉼표 [0] 2 2 13 6 4" xfId="0"/>
    <cellStyle name="쉼표 [0] 2 2 13 7" xfId="0"/>
    <cellStyle name="쉼표 [0] 2 2 13 7 2" xfId="0"/>
    <cellStyle name="쉼표 [0] 2 2 13 7 3" xfId="0"/>
    <cellStyle name="쉼표 [0] 2 2 13 7 4" xfId="0"/>
    <cellStyle name="쉼표 [0] 2 2 13 8" xfId="0"/>
    <cellStyle name="쉼표 [0] 2 2 13 8 2" xfId="0"/>
    <cellStyle name="쉼표 [0] 2 2 13 8 3" xfId="0"/>
    <cellStyle name="쉼표 [0] 2 2 13 8 4" xfId="0"/>
    <cellStyle name="쉼표 [0] 2 2 13 9" xfId="0"/>
    <cellStyle name="쉼표 [0] 2 2 13 9 2" xfId="0"/>
    <cellStyle name="쉼표 [0] 2 2 13 9 3" xfId="0"/>
    <cellStyle name="쉼표 [0] 2 2 13 9 4" xfId="0"/>
    <cellStyle name="쉼표 [0] 2 2 14" xfId="0"/>
    <cellStyle name="쉼표 [0] 2 2 14 10" xfId="0"/>
    <cellStyle name="쉼표 [0] 2 2 14 10 2" xfId="0"/>
    <cellStyle name="쉼표 [0] 2 2 14 10 3" xfId="0"/>
    <cellStyle name="쉼표 [0] 2 2 14 10 4" xfId="0"/>
    <cellStyle name="쉼표 [0] 2 2 14 11" xfId="0"/>
    <cellStyle name="쉼표 [0] 2 2 14 11 2" xfId="0"/>
    <cellStyle name="쉼표 [0] 2 2 14 11 3" xfId="0"/>
    <cellStyle name="쉼표 [0] 2 2 14 11 4" xfId="0"/>
    <cellStyle name="쉼표 [0] 2 2 14 12" xfId="0"/>
    <cellStyle name="쉼표 [0] 2 2 14 12 2" xfId="0"/>
    <cellStyle name="쉼표 [0] 2 2 14 12 3" xfId="0"/>
    <cellStyle name="쉼표 [0] 2 2 14 12 4" xfId="0"/>
    <cellStyle name="쉼표 [0] 2 2 14 13" xfId="0"/>
    <cellStyle name="쉼표 [0] 2 2 14 13 2" xfId="0"/>
    <cellStyle name="쉼표 [0] 2 2 14 13 3" xfId="0"/>
    <cellStyle name="쉼표 [0] 2 2 14 13 4" xfId="0"/>
    <cellStyle name="쉼표 [0] 2 2 14 14" xfId="0"/>
    <cellStyle name="쉼표 [0] 2 2 14 14 2" xfId="0"/>
    <cellStyle name="쉼표 [0] 2 2 14 14 3" xfId="0"/>
    <cellStyle name="쉼표 [0] 2 2 14 14 4" xfId="0"/>
    <cellStyle name="쉼표 [0] 2 2 14 15" xfId="0"/>
    <cellStyle name="쉼표 [0] 2 2 14 15 2" xfId="0"/>
    <cellStyle name="쉼표 [0] 2 2 14 15 3" xfId="0"/>
    <cellStyle name="쉼표 [0] 2 2 14 15 4" xfId="0"/>
    <cellStyle name="쉼표 [0] 2 2 14 16" xfId="0"/>
    <cellStyle name="쉼표 [0] 2 2 14 16 2" xfId="0"/>
    <cellStyle name="쉼표 [0] 2 2 14 16 3" xfId="0"/>
    <cellStyle name="쉼표 [0] 2 2 14 16 4" xfId="0"/>
    <cellStyle name="쉼표 [0] 2 2 14 17" xfId="0"/>
    <cellStyle name="쉼표 [0] 2 2 14 17 2" xfId="0"/>
    <cellStyle name="쉼표 [0] 2 2 14 17 3" xfId="0"/>
    <cellStyle name="쉼표 [0] 2 2 14 17 4" xfId="0"/>
    <cellStyle name="쉼표 [0] 2 2 14 18" xfId="0"/>
    <cellStyle name="쉼표 [0] 2 2 14 19" xfId="0"/>
    <cellStyle name="쉼표 [0] 2 2 14 2" xfId="0"/>
    <cellStyle name="쉼표 [0] 2 2 14 2 2" xfId="0"/>
    <cellStyle name="쉼표 [0] 2 2 14 2 3" xfId="0"/>
    <cellStyle name="쉼표 [0] 2 2 14 2 4" xfId="0"/>
    <cellStyle name="쉼표 [0] 2 2 14 20" xfId="0"/>
    <cellStyle name="쉼표 [0] 2 2 14 21" xfId="0"/>
    <cellStyle name="쉼표 [0] 2 2 14 3" xfId="0"/>
    <cellStyle name="쉼표 [0] 2 2 14 3 2" xfId="0"/>
    <cellStyle name="쉼표 [0] 2 2 14 3 3" xfId="0"/>
    <cellStyle name="쉼표 [0] 2 2 14 3 4" xfId="0"/>
    <cellStyle name="쉼표 [0] 2 2 14 4" xfId="0"/>
    <cellStyle name="쉼표 [0] 2 2 14 4 2" xfId="0"/>
    <cellStyle name="쉼표 [0] 2 2 14 4 3" xfId="0"/>
    <cellStyle name="쉼표 [0] 2 2 14 4 4" xfId="0"/>
    <cellStyle name="쉼표 [0] 2 2 14 5" xfId="0"/>
    <cellStyle name="쉼표 [0] 2 2 14 5 2" xfId="0"/>
    <cellStyle name="쉼표 [0] 2 2 14 5 3" xfId="0"/>
    <cellStyle name="쉼표 [0] 2 2 14 5 4" xfId="0"/>
    <cellStyle name="쉼표 [0] 2 2 14 6" xfId="0"/>
    <cellStyle name="쉼표 [0] 2 2 14 6 2" xfId="0"/>
    <cellStyle name="쉼표 [0] 2 2 14 6 3" xfId="0"/>
    <cellStyle name="쉼표 [0] 2 2 14 6 4" xfId="0"/>
    <cellStyle name="쉼표 [0] 2 2 14 7" xfId="0"/>
    <cellStyle name="쉼표 [0] 2 2 14 7 2" xfId="0"/>
    <cellStyle name="쉼표 [0] 2 2 14 7 3" xfId="0"/>
    <cellStyle name="쉼표 [0] 2 2 14 7 4" xfId="0"/>
    <cellStyle name="쉼표 [0] 2 2 14 8" xfId="0"/>
    <cellStyle name="쉼표 [0] 2 2 14 8 2" xfId="0"/>
    <cellStyle name="쉼표 [0] 2 2 14 8 3" xfId="0"/>
    <cellStyle name="쉼표 [0] 2 2 14 8 4" xfId="0"/>
    <cellStyle name="쉼표 [0] 2 2 14 9" xfId="0"/>
    <cellStyle name="쉼표 [0] 2 2 14 9 2" xfId="0"/>
    <cellStyle name="쉼표 [0] 2 2 14 9 3" xfId="0"/>
    <cellStyle name="쉼표 [0] 2 2 14 9 4" xfId="0"/>
    <cellStyle name="쉼표 [0] 2 2 15" xfId="0"/>
    <cellStyle name="쉼표 [0] 2 2 15 10" xfId="0"/>
    <cellStyle name="쉼표 [0] 2 2 15 10 2" xfId="0"/>
    <cellStyle name="쉼표 [0] 2 2 15 10 3" xfId="0"/>
    <cellStyle name="쉼표 [0] 2 2 15 10 4" xfId="0"/>
    <cellStyle name="쉼표 [0] 2 2 15 11" xfId="0"/>
    <cellStyle name="쉼표 [0] 2 2 15 11 2" xfId="0"/>
    <cellStyle name="쉼표 [0] 2 2 15 11 3" xfId="0"/>
    <cellStyle name="쉼표 [0] 2 2 15 11 4" xfId="0"/>
    <cellStyle name="쉼표 [0] 2 2 15 12" xfId="0"/>
    <cellStyle name="쉼표 [0] 2 2 15 12 2" xfId="0"/>
    <cellStyle name="쉼표 [0] 2 2 15 12 3" xfId="0"/>
    <cellStyle name="쉼표 [0] 2 2 15 12 4" xfId="0"/>
    <cellStyle name="쉼표 [0] 2 2 15 13" xfId="0"/>
    <cellStyle name="쉼표 [0] 2 2 15 13 2" xfId="0"/>
    <cellStyle name="쉼표 [0] 2 2 15 13 3" xfId="0"/>
    <cellStyle name="쉼표 [0] 2 2 15 13 4" xfId="0"/>
    <cellStyle name="쉼표 [0] 2 2 15 14" xfId="0"/>
    <cellStyle name="쉼표 [0] 2 2 15 14 2" xfId="0"/>
    <cellStyle name="쉼표 [0] 2 2 15 14 3" xfId="0"/>
    <cellStyle name="쉼표 [0] 2 2 15 14 4" xfId="0"/>
    <cellStyle name="쉼표 [0] 2 2 15 15" xfId="0"/>
    <cellStyle name="쉼표 [0] 2 2 15 15 2" xfId="0"/>
    <cellStyle name="쉼표 [0] 2 2 15 15 3" xfId="0"/>
    <cellStyle name="쉼표 [0] 2 2 15 15 4" xfId="0"/>
    <cellStyle name="쉼표 [0] 2 2 15 16" xfId="0"/>
    <cellStyle name="쉼표 [0] 2 2 15 16 2" xfId="0"/>
    <cellStyle name="쉼표 [0] 2 2 15 16 3" xfId="0"/>
    <cellStyle name="쉼표 [0] 2 2 15 16 4" xfId="0"/>
    <cellStyle name="쉼표 [0] 2 2 15 17" xfId="0"/>
    <cellStyle name="쉼표 [0] 2 2 15 17 2" xfId="0"/>
    <cellStyle name="쉼표 [0] 2 2 15 17 3" xfId="0"/>
    <cellStyle name="쉼표 [0] 2 2 15 17 4" xfId="0"/>
    <cellStyle name="쉼표 [0] 2 2 15 18" xfId="0"/>
    <cellStyle name="쉼표 [0] 2 2 15 19" xfId="0"/>
    <cellStyle name="쉼표 [0] 2 2 15 2" xfId="0"/>
    <cellStyle name="쉼표 [0] 2 2 15 2 2" xfId="0"/>
    <cellStyle name="쉼표 [0] 2 2 15 2 3" xfId="0"/>
    <cellStyle name="쉼표 [0] 2 2 15 2 4" xfId="0"/>
    <cellStyle name="쉼표 [0] 2 2 15 20" xfId="0"/>
    <cellStyle name="쉼표 [0] 2 2 15 21" xfId="0"/>
    <cellStyle name="쉼표 [0] 2 2 15 3" xfId="0"/>
    <cellStyle name="쉼표 [0] 2 2 15 3 2" xfId="0"/>
    <cellStyle name="쉼표 [0] 2 2 15 3 3" xfId="0"/>
    <cellStyle name="쉼표 [0] 2 2 15 3 4" xfId="0"/>
    <cellStyle name="쉼표 [0] 2 2 15 4" xfId="0"/>
    <cellStyle name="쉼표 [0] 2 2 15 4 2" xfId="0"/>
    <cellStyle name="쉼표 [0] 2 2 15 4 3" xfId="0"/>
    <cellStyle name="쉼표 [0] 2 2 15 4 4" xfId="0"/>
    <cellStyle name="쉼표 [0] 2 2 15 5" xfId="0"/>
    <cellStyle name="쉼표 [0] 2 2 15 5 2" xfId="0"/>
    <cellStyle name="쉼표 [0] 2 2 15 5 3" xfId="0"/>
    <cellStyle name="쉼표 [0] 2 2 15 5 4" xfId="0"/>
    <cellStyle name="쉼표 [0] 2 2 15 6" xfId="0"/>
    <cellStyle name="쉼표 [0] 2 2 15 6 2" xfId="0"/>
    <cellStyle name="쉼표 [0] 2 2 15 6 3" xfId="0"/>
    <cellStyle name="쉼표 [0] 2 2 15 6 4" xfId="0"/>
    <cellStyle name="쉼표 [0] 2 2 15 7" xfId="0"/>
    <cellStyle name="쉼표 [0] 2 2 15 7 2" xfId="0"/>
    <cellStyle name="쉼표 [0] 2 2 15 7 3" xfId="0"/>
    <cellStyle name="쉼표 [0] 2 2 15 7 4" xfId="0"/>
    <cellStyle name="쉼표 [0] 2 2 15 8" xfId="0"/>
    <cellStyle name="쉼표 [0] 2 2 15 8 2" xfId="0"/>
    <cellStyle name="쉼표 [0] 2 2 15 8 3" xfId="0"/>
    <cellStyle name="쉼표 [0] 2 2 15 8 4" xfId="0"/>
    <cellStyle name="쉼표 [0] 2 2 15 9" xfId="0"/>
    <cellStyle name="쉼표 [0] 2 2 15 9 2" xfId="0"/>
    <cellStyle name="쉼표 [0] 2 2 15 9 3" xfId="0"/>
    <cellStyle name="쉼표 [0] 2 2 15 9 4" xfId="0"/>
    <cellStyle name="쉼표 [0] 2 2 16" xfId="0"/>
    <cellStyle name="쉼표 [0] 2 2 16 10" xfId="0"/>
    <cellStyle name="쉼표 [0] 2 2 16 10 2" xfId="0"/>
    <cellStyle name="쉼표 [0] 2 2 16 10 3" xfId="0"/>
    <cellStyle name="쉼표 [0] 2 2 16 10 4" xfId="0"/>
    <cellStyle name="쉼표 [0] 2 2 16 11" xfId="0"/>
    <cellStyle name="쉼표 [0] 2 2 16 11 2" xfId="0"/>
    <cellStyle name="쉼표 [0] 2 2 16 11 3" xfId="0"/>
    <cellStyle name="쉼표 [0] 2 2 16 11 4" xfId="0"/>
    <cellStyle name="쉼표 [0] 2 2 16 12" xfId="0"/>
    <cellStyle name="쉼표 [0] 2 2 16 12 2" xfId="0"/>
    <cellStyle name="쉼표 [0] 2 2 16 12 3" xfId="0"/>
    <cellStyle name="쉼표 [0] 2 2 16 12 4" xfId="0"/>
    <cellStyle name="쉼표 [0] 2 2 16 13" xfId="0"/>
    <cellStyle name="쉼표 [0] 2 2 16 13 2" xfId="0"/>
    <cellStyle name="쉼표 [0] 2 2 16 13 3" xfId="0"/>
    <cellStyle name="쉼표 [0] 2 2 16 13 4" xfId="0"/>
    <cellStyle name="쉼표 [0] 2 2 16 14" xfId="0"/>
    <cellStyle name="쉼표 [0] 2 2 16 14 2" xfId="0"/>
    <cellStyle name="쉼표 [0] 2 2 16 14 3" xfId="0"/>
    <cellStyle name="쉼표 [0] 2 2 16 14 4" xfId="0"/>
    <cellStyle name="쉼표 [0] 2 2 16 15" xfId="0"/>
    <cellStyle name="쉼표 [0] 2 2 16 15 2" xfId="0"/>
    <cellStyle name="쉼표 [0] 2 2 16 15 3" xfId="0"/>
    <cellStyle name="쉼표 [0] 2 2 16 15 4" xfId="0"/>
    <cellStyle name="쉼표 [0] 2 2 16 16" xfId="0"/>
    <cellStyle name="쉼표 [0] 2 2 16 16 2" xfId="0"/>
    <cellStyle name="쉼표 [0] 2 2 16 16 3" xfId="0"/>
    <cellStyle name="쉼표 [0] 2 2 16 16 4" xfId="0"/>
    <cellStyle name="쉼표 [0] 2 2 16 17" xfId="0"/>
    <cellStyle name="쉼표 [0] 2 2 16 17 2" xfId="0"/>
    <cellStyle name="쉼표 [0] 2 2 16 17 3" xfId="0"/>
    <cellStyle name="쉼표 [0] 2 2 16 17 4" xfId="0"/>
    <cellStyle name="쉼표 [0] 2 2 16 18" xfId="0"/>
    <cellStyle name="쉼표 [0] 2 2 16 19" xfId="0"/>
    <cellStyle name="쉼표 [0] 2 2 16 2" xfId="0"/>
    <cellStyle name="쉼표 [0] 2 2 16 2 2" xfId="0"/>
    <cellStyle name="쉼표 [0] 2 2 16 2 3" xfId="0"/>
    <cellStyle name="쉼표 [0] 2 2 16 2 4" xfId="0"/>
    <cellStyle name="쉼표 [0] 2 2 16 20" xfId="0"/>
    <cellStyle name="쉼표 [0] 2 2 16 21" xfId="0"/>
    <cellStyle name="쉼표 [0] 2 2 16 3" xfId="0"/>
    <cellStyle name="쉼표 [0] 2 2 16 3 2" xfId="0"/>
    <cellStyle name="쉼표 [0] 2 2 16 3 3" xfId="0"/>
    <cellStyle name="쉼표 [0] 2 2 16 3 4" xfId="0"/>
    <cellStyle name="쉼표 [0] 2 2 16 4" xfId="0"/>
    <cellStyle name="쉼표 [0] 2 2 16 4 2" xfId="0"/>
    <cellStyle name="쉼표 [0] 2 2 16 4 3" xfId="0"/>
    <cellStyle name="쉼표 [0] 2 2 16 4 4" xfId="0"/>
    <cellStyle name="쉼표 [0] 2 2 16 5" xfId="0"/>
    <cellStyle name="쉼표 [0] 2 2 16 5 2" xfId="0"/>
    <cellStyle name="쉼표 [0] 2 2 16 5 3" xfId="0"/>
    <cellStyle name="쉼표 [0] 2 2 16 5 4" xfId="0"/>
    <cellStyle name="쉼표 [0] 2 2 16 6" xfId="0"/>
    <cellStyle name="쉼표 [0] 2 2 16 6 2" xfId="0"/>
    <cellStyle name="쉼표 [0] 2 2 16 6 3" xfId="0"/>
    <cellStyle name="쉼표 [0] 2 2 16 6 4" xfId="0"/>
    <cellStyle name="쉼표 [0] 2 2 16 7" xfId="0"/>
    <cellStyle name="쉼표 [0] 2 2 16 7 2" xfId="0"/>
    <cellStyle name="쉼표 [0] 2 2 16 7 3" xfId="0"/>
    <cellStyle name="쉼표 [0] 2 2 16 7 4" xfId="0"/>
    <cellStyle name="쉼표 [0] 2 2 16 8" xfId="0"/>
    <cellStyle name="쉼표 [0] 2 2 16 8 2" xfId="0"/>
    <cellStyle name="쉼표 [0] 2 2 16 8 3" xfId="0"/>
    <cellStyle name="쉼표 [0] 2 2 16 8 4" xfId="0"/>
    <cellStyle name="쉼표 [0] 2 2 16 9" xfId="0"/>
    <cellStyle name="쉼표 [0] 2 2 16 9 2" xfId="0"/>
    <cellStyle name="쉼표 [0] 2 2 16 9 3" xfId="0"/>
    <cellStyle name="쉼표 [0] 2 2 16 9 4" xfId="0"/>
    <cellStyle name="쉼표 [0] 2 2 17" xfId="0"/>
    <cellStyle name="쉼표 [0] 2 2 17 10" xfId="0"/>
    <cellStyle name="쉼표 [0] 2 2 17 10 2" xfId="0"/>
    <cellStyle name="쉼표 [0] 2 2 17 10 3" xfId="0"/>
    <cellStyle name="쉼표 [0] 2 2 17 10 4" xfId="0"/>
    <cellStyle name="쉼표 [0] 2 2 17 11" xfId="0"/>
    <cellStyle name="쉼표 [0] 2 2 17 11 2" xfId="0"/>
    <cellStyle name="쉼표 [0] 2 2 17 11 3" xfId="0"/>
    <cellStyle name="쉼표 [0] 2 2 17 11 4" xfId="0"/>
    <cellStyle name="쉼표 [0] 2 2 17 12" xfId="0"/>
    <cellStyle name="쉼표 [0] 2 2 17 12 2" xfId="0"/>
    <cellStyle name="쉼표 [0] 2 2 17 12 3" xfId="0"/>
    <cellStyle name="쉼표 [0] 2 2 17 12 4" xfId="0"/>
    <cellStyle name="쉼표 [0] 2 2 17 13" xfId="0"/>
    <cellStyle name="쉼표 [0] 2 2 17 13 2" xfId="0"/>
    <cellStyle name="쉼표 [0] 2 2 17 13 3" xfId="0"/>
    <cellStyle name="쉼표 [0] 2 2 17 13 4" xfId="0"/>
    <cellStyle name="쉼표 [0] 2 2 17 14" xfId="0"/>
    <cellStyle name="쉼표 [0] 2 2 17 14 2" xfId="0"/>
    <cellStyle name="쉼표 [0] 2 2 17 14 3" xfId="0"/>
    <cellStyle name="쉼표 [0] 2 2 17 14 4" xfId="0"/>
    <cellStyle name="쉼표 [0] 2 2 17 15" xfId="0"/>
    <cellStyle name="쉼표 [0] 2 2 17 15 2" xfId="0"/>
    <cellStyle name="쉼표 [0] 2 2 17 15 3" xfId="0"/>
    <cellStyle name="쉼표 [0] 2 2 17 15 4" xfId="0"/>
    <cellStyle name="쉼표 [0] 2 2 17 16" xfId="0"/>
    <cellStyle name="쉼표 [0] 2 2 17 16 2" xfId="0"/>
    <cellStyle name="쉼표 [0] 2 2 17 16 3" xfId="0"/>
    <cellStyle name="쉼표 [0] 2 2 17 16 4" xfId="0"/>
    <cellStyle name="쉼표 [0] 2 2 17 17" xfId="0"/>
    <cellStyle name="쉼표 [0] 2 2 17 17 2" xfId="0"/>
    <cellStyle name="쉼표 [0] 2 2 17 17 3" xfId="0"/>
    <cellStyle name="쉼표 [0] 2 2 17 17 4" xfId="0"/>
    <cellStyle name="쉼표 [0] 2 2 17 18" xfId="0"/>
    <cellStyle name="쉼표 [0] 2 2 17 19" xfId="0"/>
    <cellStyle name="쉼표 [0] 2 2 17 2" xfId="0"/>
    <cellStyle name="쉼표 [0] 2 2 17 2 2" xfId="0"/>
    <cellStyle name="쉼표 [0] 2 2 17 2 3" xfId="0"/>
    <cellStyle name="쉼표 [0] 2 2 17 2 4" xfId="0"/>
    <cellStyle name="쉼표 [0] 2 2 17 20" xfId="0"/>
    <cellStyle name="쉼표 [0] 2 2 17 21" xfId="0"/>
    <cellStyle name="쉼표 [0] 2 2 17 3" xfId="0"/>
    <cellStyle name="쉼표 [0] 2 2 17 3 2" xfId="0"/>
    <cellStyle name="쉼표 [0] 2 2 17 3 3" xfId="0"/>
    <cellStyle name="쉼표 [0] 2 2 17 3 4" xfId="0"/>
    <cellStyle name="쉼표 [0] 2 2 17 4" xfId="0"/>
    <cellStyle name="쉼표 [0] 2 2 17 4 2" xfId="0"/>
    <cellStyle name="쉼표 [0] 2 2 17 4 3" xfId="0"/>
    <cellStyle name="쉼표 [0] 2 2 17 4 4" xfId="0"/>
    <cellStyle name="쉼표 [0] 2 2 17 5" xfId="0"/>
    <cellStyle name="쉼표 [0] 2 2 17 5 2" xfId="0"/>
    <cellStyle name="쉼표 [0] 2 2 17 5 3" xfId="0"/>
    <cellStyle name="쉼표 [0] 2 2 17 5 4" xfId="0"/>
    <cellStyle name="쉼표 [0] 2 2 17 6" xfId="0"/>
    <cellStyle name="쉼표 [0] 2 2 17 6 2" xfId="0"/>
    <cellStyle name="쉼표 [0] 2 2 17 6 3" xfId="0"/>
    <cellStyle name="쉼표 [0] 2 2 17 6 4" xfId="0"/>
    <cellStyle name="쉼표 [0] 2 2 17 7" xfId="0"/>
    <cellStyle name="쉼표 [0] 2 2 17 7 2" xfId="0"/>
    <cellStyle name="쉼표 [0] 2 2 17 7 3" xfId="0"/>
    <cellStyle name="쉼표 [0] 2 2 17 7 4" xfId="0"/>
    <cellStyle name="쉼표 [0] 2 2 17 8" xfId="0"/>
    <cellStyle name="쉼표 [0] 2 2 17 8 2" xfId="0"/>
    <cellStyle name="쉼표 [0] 2 2 17 8 3" xfId="0"/>
    <cellStyle name="쉼표 [0] 2 2 17 8 4" xfId="0"/>
    <cellStyle name="쉼표 [0] 2 2 17 9" xfId="0"/>
    <cellStyle name="쉼표 [0] 2 2 17 9 2" xfId="0"/>
    <cellStyle name="쉼표 [0] 2 2 17 9 3" xfId="0"/>
    <cellStyle name="쉼표 [0] 2 2 17 9 4" xfId="0"/>
    <cellStyle name="쉼표 [0] 2 2 18" xfId="0"/>
    <cellStyle name="쉼표 [0] 2 2 18 10" xfId="0"/>
    <cellStyle name="쉼표 [0] 2 2 18 10 2" xfId="0"/>
    <cellStyle name="쉼표 [0] 2 2 18 10 3" xfId="0"/>
    <cellStyle name="쉼표 [0] 2 2 18 10 4" xfId="0"/>
    <cellStyle name="쉼표 [0] 2 2 18 11" xfId="0"/>
    <cellStyle name="쉼표 [0] 2 2 18 11 2" xfId="0"/>
    <cellStyle name="쉼표 [0] 2 2 18 11 3" xfId="0"/>
    <cellStyle name="쉼표 [0] 2 2 18 11 4" xfId="0"/>
    <cellStyle name="쉼표 [0] 2 2 18 12" xfId="0"/>
    <cellStyle name="쉼표 [0] 2 2 18 12 2" xfId="0"/>
    <cellStyle name="쉼표 [0] 2 2 18 12 3" xfId="0"/>
    <cellStyle name="쉼표 [0] 2 2 18 12 4" xfId="0"/>
    <cellStyle name="쉼표 [0] 2 2 18 13" xfId="0"/>
    <cellStyle name="쉼표 [0] 2 2 18 13 2" xfId="0"/>
    <cellStyle name="쉼표 [0] 2 2 18 13 3" xfId="0"/>
    <cellStyle name="쉼표 [0] 2 2 18 13 4" xfId="0"/>
    <cellStyle name="쉼표 [0] 2 2 18 14" xfId="0"/>
    <cellStyle name="쉼표 [0] 2 2 18 15" xfId="0"/>
    <cellStyle name="쉼표 [0] 2 2 18 16" xfId="0"/>
    <cellStyle name="쉼표 [0] 2 2 18 17" xfId="0"/>
    <cellStyle name="쉼표 [0] 2 2 18 18" xfId="0"/>
    <cellStyle name="쉼표 [0] 2 2 18 2" xfId="0"/>
    <cellStyle name="쉼표 [0] 2 2 18 2 2" xfId="0"/>
    <cellStyle name="쉼표 [0] 2 2 18 2 2 2" xfId="0"/>
    <cellStyle name="쉼표 [0] 2 2 18 2 2 2 2" xfId="0"/>
    <cellStyle name="쉼표 [0] 2 2 18 2 2 2 3" xfId="0"/>
    <cellStyle name="쉼표 [0] 2 2 18 2 2 2 4" xfId="0"/>
    <cellStyle name="쉼표 [0] 2 2 18 2 2 3" xfId="0"/>
    <cellStyle name="쉼표 [0] 2 2 18 2 2 3 2" xfId="0"/>
    <cellStyle name="쉼표 [0] 2 2 18 2 2 3 3" xfId="0"/>
    <cellStyle name="쉼표 [0] 2 2 18 2 2 3 4" xfId="0"/>
    <cellStyle name="쉼표 [0] 2 2 18 2 2 4" xfId="0"/>
    <cellStyle name="쉼표 [0] 2 2 18 2 2 4 2" xfId="0"/>
    <cellStyle name="쉼표 [0] 2 2 18 2 2 4 3" xfId="0"/>
    <cellStyle name="쉼표 [0] 2 2 18 2 2 4 4" xfId="0"/>
    <cellStyle name="쉼표 [0] 2 2 18 2 2 5" xfId="0"/>
    <cellStyle name="쉼표 [0] 2 2 18 2 2 5 2" xfId="0"/>
    <cellStyle name="쉼표 [0] 2 2 18 2 2 5 3" xfId="0"/>
    <cellStyle name="쉼표 [0] 2 2 18 2 2 5 4" xfId="0"/>
    <cellStyle name="쉼표 [0] 2 2 18 2 2 6" xfId="0"/>
    <cellStyle name="쉼표 [0] 2 2 18 2 2 7" xfId="0"/>
    <cellStyle name="쉼표 [0] 2 2 18 2 2 8" xfId="0"/>
    <cellStyle name="쉼표 [0] 2 2 18 2 3" xfId="0"/>
    <cellStyle name="쉼표 [0] 2 2 18 2 3 2" xfId="0"/>
    <cellStyle name="쉼표 [0] 2 2 18 2 3 3" xfId="0"/>
    <cellStyle name="쉼표 [0] 2 2 18 2 3 4" xfId="0"/>
    <cellStyle name="쉼표 [0] 2 2 18 2 4" xfId="0"/>
    <cellStyle name="쉼표 [0] 2 2 18 2 4 2" xfId="0"/>
    <cellStyle name="쉼표 [0] 2 2 18 2 4 3" xfId="0"/>
    <cellStyle name="쉼표 [0] 2 2 18 2 4 4" xfId="0"/>
    <cellStyle name="쉼표 [0] 2 2 18 2 5" xfId="0"/>
    <cellStyle name="쉼표 [0] 2 2 18 2 5 2" xfId="0"/>
    <cellStyle name="쉼표 [0] 2 2 18 2 5 3" xfId="0"/>
    <cellStyle name="쉼표 [0] 2 2 18 2 5 4" xfId="0"/>
    <cellStyle name="쉼표 [0] 2 2 18 2 6" xfId="0"/>
    <cellStyle name="쉼표 [0] 2 2 18 2 7" xfId="0"/>
    <cellStyle name="쉼표 [0] 2 2 18 2 8" xfId="0"/>
    <cellStyle name="쉼표 [0] 2 2 18 3" xfId="0"/>
    <cellStyle name="쉼표 [0] 2 2 18 3 2" xfId="0"/>
    <cellStyle name="쉼표 [0] 2 2 18 3 3" xfId="0"/>
    <cellStyle name="쉼표 [0] 2 2 18 3 4" xfId="0"/>
    <cellStyle name="쉼표 [0] 2 2 18 4" xfId="0"/>
    <cellStyle name="쉼표 [0] 2 2 18 4 2" xfId="0"/>
    <cellStyle name="쉼표 [0] 2 2 18 4 3" xfId="0"/>
    <cellStyle name="쉼표 [0] 2 2 18 4 4" xfId="0"/>
    <cellStyle name="쉼표 [0] 2 2 18 5" xfId="0"/>
    <cellStyle name="쉼표 [0] 2 2 18 5 2" xfId="0"/>
    <cellStyle name="쉼표 [0] 2 2 18 5 3" xfId="0"/>
    <cellStyle name="쉼표 [0] 2 2 18 5 4" xfId="0"/>
    <cellStyle name="쉼표 [0] 2 2 18 6" xfId="0"/>
    <cellStyle name="쉼표 [0] 2 2 18 6 2" xfId="0"/>
    <cellStyle name="쉼표 [0] 2 2 18 6 3" xfId="0"/>
    <cellStyle name="쉼표 [0] 2 2 18 6 4" xfId="0"/>
    <cellStyle name="쉼표 [0] 2 2 18 7" xfId="0"/>
    <cellStyle name="쉼표 [0] 2 2 18 7 2" xfId="0"/>
    <cellStyle name="쉼표 [0] 2 2 18 7 3" xfId="0"/>
    <cellStyle name="쉼표 [0] 2 2 18 7 4" xfId="0"/>
    <cellStyle name="쉼표 [0] 2 2 18 8" xfId="0"/>
    <cellStyle name="쉼표 [0] 2 2 18 8 2" xfId="0"/>
    <cellStyle name="쉼표 [0] 2 2 18 8 3" xfId="0"/>
    <cellStyle name="쉼표 [0] 2 2 18 8 4" xfId="0"/>
    <cellStyle name="쉼표 [0] 2 2 18 9" xfId="0"/>
    <cellStyle name="쉼표 [0] 2 2 18 9 2" xfId="0"/>
    <cellStyle name="쉼표 [0] 2 2 18 9 3" xfId="0"/>
    <cellStyle name="쉼표 [0] 2 2 18 9 4" xfId="0"/>
    <cellStyle name="쉼표 [0] 2 2 19" xfId="0"/>
    <cellStyle name="쉼표 [0] 2 2 19 10" xfId="0"/>
    <cellStyle name="쉼표 [0] 2 2 19 10 2" xfId="0"/>
    <cellStyle name="쉼표 [0] 2 2 19 10 3" xfId="0"/>
    <cellStyle name="쉼표 [0] 2 2 19 10 4" xfId="0"/>
    <cellStyle name="쉼표 [0] 2 2 19 11" xfId="0"/>
    <cellStyle name="쉼표 [0] 2 2 19 11 2" xfId="0"/>
    <cellStyle name="쉼표 [0] 2 2 19 11 3" xfId="0"/>
    <cellStyle name="쉼표 [0] 2 2 19 11 4" xfId="0"/>
    <cellStyle name="쉼표 [0] 2 2 19 12" xfId="0"/>
    <cellStyle name="쉼표 [0] 2 2 19 12 2" xfId="0"/>
    <cellStyle name="쉼표 [0] 2 2 19 12 3" xfId="0"/>
    <cellStyle name="쉼표 [0] 2 2 19 12 4" xfId="0"/>
    <cellStyle name="쉼표 [0] 2 2 19 13" xfId="0"/>
    <cellStyle name="쉼표 [0] 2 2 19 13 2" xfId="0"/>
    <cellStyle name="쉼표 [0] 2 2 19 13 3" xfId="0"/>
    <cellStyle name="쉼표 [0] 2 2 19 13 4" xfId="0"/>
    <cellStyle name="쉼표 [0] 2 2 19 14" xfId="0"/>
    <cellStyle name="쉼표 [0] 2 2 19 15" xfId="0"/>
    <cellStyle name="쉼표 [0] 2 2 19 16" xfId="0"/>
    <cellStyle name="쉼표 [0] 2 2 19 17" xfId="0"/>
    <cellStyle name="쉼표 [0] 2 2 19 2" xfId="0"/>
    <cellStyle name="쉼표 [0] 2 2 19 2 2" xfId="0"/>
    <cellStyle name="쉼표 [0] 2 2 19 2 3" xfId="0"/>
    <cellStyle name="쉼표 [0] 2 2 19 2 4" xfId="0"/>
    <cellStyle name="쉼표 [0] 2 2 19 3" xfId="0"/>
    <cellStyle name="쉼표 [0] 2 2 19 3 2" xfId="0"/>
    <cellStyle name="쉼표 [0] 2 2 19 3 3" xfId="0"/>
    <cellStyle name="쉼표 [0] 2 2 19 3 4" xfId="0"/>
    <cellStyle name="쉼표 [0] 2 2 19 4" xfId="0"/>
    <cellStyle name="쉼표 [0] 2 2 19 4 2" xfId="0"/>
    <cellStyle name="쉼표 [0] 2 2 19 4 3" xfId="0"/>
    <cellStyle name="쉼표 [0] 2 2 19 4 4" xfId="0"/>
    <cellStyle name="쉼표 [0] 2 2 19 5" xfId="0"/>
    <cellStyle name="쉼표 [0] 2 2 19 5 2" xfId="0"/>
    <cellStyle name="쉼표 [0] 2 2 19 5 3" xfId="0"/>
    <cellStyle name="쉼표 [0] 2 2 19 5 4" xfId="0"/>
    <cellStyle name="쉼표 [0] 2 2 19 6" xfId="0"/>
    <cellStyle name="쉼표 [0] 2 2 19 6 2" xfId="0"/>
    <cellStyle name="쉼표 [0] 2 2 19 6 3" xfId="0"/>
    <cellStyle name="쉼표 [0] 2 2 19 6 4" xfId="0"/>
    <cellStyle name="쉼표 [0] 2 2 19 7" xfId="0"/>
    <cellStyle name="쉼표 [0] 2 2 19 7 2" xfId="0"/>
    <cellStyle name="쉼표 [0] 2 2 19 7 3" xfId="0"/>
    <cellStyle name="쉼표 [0] 2 2 19 7 4" xfId="0"/>
    <cellStyle name="쉼표 [0] 2 2 19 8" xfId="0"/>
    <cellStyle name="쉼표 [0] 2 2 19 8 2" xfId="0"/>
    <cellStyle name="쉼표 [0] 2 2 19 8 3" xfId="0"/>
    <cellStyle name="쉼표 [0] 2 2 19 8 4" xfId="0"/>
    <cellStyle name="쉼표 [0] 2 2 19 9" xfId="0"/>
    <cellStyle name="쉼표 [0] 2 2 19 9 2" xfId="0"/>
    <cellStyle name="쉼표 [0] 2 2 19 9 3" xfId="0"/>
    <cellStyle name="쉼표 [0] 2 2 19 9 4" xfId="0"/>
    <cellStyle name="쉼표 [0] 2 2 2" xfId="0"/>
    <cellStyle name="쉼표 [0] 2 2 2 10" xfId="0"/>
    <cellStyle name="쉼표 [0] 2 2 2 10 10" xfId="0"/>
    <cellStyle name="쉼표 [0] 2 2 2 10 10 2" xfId="0"/>
    <cellStyle name="쉼표 [0] 2 2 2 10 10 3" xfId="0"/>
    <cellStyle name="쉼표 [0] 2 2 2 10 10 4" xfId="0"/>
    <cellStyle name="쉼표 [0] 2 2 2 10 11" xfId="0"/>
    <cellStyle name="쉼표 [0] 2 2 2 10 12" xfId="0"/>
    <cellStyle name="쉼표 [0] 2 2 2 10 13" xfId="0"/>
    <cellStyle name="쉼표 [0] 2 2 2 10 2" xfId="0"/>
    <cellStyle name="쉼표 [0] 2 2 2 10 2 2" xfId="0"/>
    <cellStyle name="쉼표 [0] 2 2 2 10 2 3" xfId="0"/>
    <cellStyle name="쉼표 [0] 2 2 2 10 2 4" xfId="0"/>
    <cellStyle name="쉼표 [0] 2 2 2 10 3" xfId="0"/>
    <cellStyle name="쉼표 [0] 2 2 2 10 3 2" xfId="0"/>
    <cellStyle name="쉼표 [0] 2 2 2 10 3 3" xfId="0"/>
    <cellStyle name="쉼표 [0] 2 2 2 10 3 4" xfId="0"/>
    <cellStyle name="쉼표 [0] 2 2 2 10 4" xfId="0"/>
    <cellStyle name="쉼표 [0] 2 2 2 10 4 2" xfId="0"/>
    <cellStyle name="쉼표 [0] 2 2 2 10 4 3" xfId="0"/>
    <cellStyle name="쉼표 [0] 2 2 2 10 4 4" xfId="0"/>
    <cellStyle name="쉼표 [0] 2 2 2 10 5" xfId="0"/>
    <cellStyle name="쉼표 [0] 2 2 2 10 5 2" xfId="0"/>
    <cellStyle name="쉼표 [0] 2 2 2 10 5 3" xfId="0"/>
    <cellStyle name="쉼표 [0] 2 2 2 10 5 4" xfId="0"/>
    <cellStyle name="쉼표 [0] 2 2 2 10 6" xfId="0"/>
    <cellStyle name="쉼표 [0] 2 2 2 10 6 2" xfId="0"/>
    <cellStyle name="쉼표 [0] 2 2 2 10 6 3" xfId="0"/>
    <cellStyle name="쉼표 [0] 2 2 2 10 6 4" xfId="0"/>
    <cellStyle name="쉼표 [0] 2 2 2 10 7" xfId="0"/>
    <cellStyle name="쉼표 [0] 2 2 2 10 7 2" xfId="0"/>
    <cellStyle name="쉼표 [0] 2 2 2 10 7 3" xfId="0"/>
    <cellStyle name="쉼표 [0] 2 2 2 10 7 4" xfId="0"/>
    <cellStyle name="쉼표 [0] 2 2 2 10 8" xfId="0"/>
    <cellStyle name="쉼표 [0] 2 2 2 10 8 2" xfId="0"/>
    <cellStyle name="쉼표 [0] 2 2 2 10 8 3" xfId="0"/>
    <cellStyle name="쉼표 [0] 2 2 2 10 8 4" xfId="0"/>
    <cellStyle name="쉼표 [0] 2 2 2 10 9" xfId="0"/>
    <cellStyle name="쉼표 [0] 2 2 2 10 9 2" xfId="0"/>
    <cellStyle name="쉼표 [0] 2 2 2 10 9 3" xfId="0"/>
    <cellStyle name="쉼표 [0] 2 2 2 10 9 4" xfId="0"/>
    <cellStyle name="쉼표 [0] 2 2 2 11" xfId="0"/>
    <cellStyle name="쉼표 [0] 2 2 2 11 10" xfId="0"/>
    <cellStyle name="쉼표 [0] 2 2 2 11 10 2" xfId="0"/>
    <cellStyle name="쉼표 [0] 2 2 2 11 10 3" xfId="0"/>
    <cellStyle name="쉼표 [0] 2 2 2 11 10 4" xfId="0"/>
    <cellStyle name="쉼표 [0] 2 2 2 11 11" xfId="0"/>
    <cellStyle name="쉼표 [0] 2 2 2 11 12" xfId="0"/>
    <cellStyle name="쉼표 [0] 2 2 2 11 13" xfId="0"/>
    <cellStyle name="쉼표 [0] 2 2 2 11 2" xfId="0"/>
    <cellStyle name="쉼표 [0] 2 2 2 11 2 2" xfId="0"/>
    <cellStyle name="쉼표 [0] 2 2 2 11 2 3" xfId="0"/>
    <cellStyle name="쉼표 [0] 2 2 2 11 2 4" xfId="0"/>
    <cellStyle name="쉼표 [0] 2 2 2 11 3" xfId="0"/>
    <cellStyle name="쉼표 [0] 2 2 2 11 3 2" xfId="0"/>
    <cellStyle name="쉼표 [0] 2 2 2 11 3 3" xfId="0"/>
    <cellStyle name="쉼표 [0] 2 2 2 11 3 4" xfId="0"/>
    <cellStyle name="쉼표 [0] 2 2 2 11 4" xfId="0"/>
    <cellStyle name="쉼표 [0] 2 2 2 11 4 2" xfId="0"/>
    <cellStyle name="쉼표 [0] 2 2 2 11 4 3" xfId="0"/>
    <cellStyle name="쉼표 [0] 2 2 2 11 4 4" xfId="0"/>
    <cellStyle name="쉼표 [0] 2 2 2 11 5" xfId="0"/>
    <cellStyle name="쉼표 [0] 2 2 2 11 5 2" xfId="0"/>
    <cellStyle name="쉼표 [0] 2 2 2 11 5 3" xfId="0"/>
    <cellStyle name="쉼표 [0] 2 2 2 11 5 4" xfId="0"/>
    <cellStyle name="쉼표 [0] 2 2 2 11 6" xfId="0"/>
    <cellStyle name="쉼표 [0] 2 2 2 11 6 2" xfId="0"/>
    <cellStyle name="쉼표 [0] 2 2 2 11 6 3" xfId="0"/>
    <cellStyle name="쉼표 [0] 2 2 2 11 6 4" xfId="0"/>
    <cellStyle name="쉼표 [0] 2 2 2 11 7" xfId="0"/>
    <cellStyle name="쉼표 [0] 2 2 2 11 7 2" xfId="0"/>
    <cellStyle name="쉼표 [0] 2 2 2 11 7 3" xfId="0"/>
    <cellStyle name="쉼표 [0] 2 2 2 11 7 4" xfId="0"/>
    <cellStyle name="쉼표 [0] 2 2 2 11 8" xfId="0"/>
    <cellStyle name="쉼표 [0] 2 2 2 11 8 2" xfId="0"/>
    <cellStyle name="쉼표 [0] 2 2 2 11 8 3" xfId="0"/>
    <cellStyle name="쉼표 [0] 2 2 2 11 8 4" xfId="0"/>
    <cellStyle name="쉼표 [0] 2 2 2 11 9" xfId="0"/>
    <cellStyle name="쉼표 [0] 2 2 2 11 9 2" xfId="0"/>
    <cellStyle name="쉼표 [0] 2 2 2 11 9 3" xfId="0"/>
    <cellStyle name="쉼표 [0] 2 2 2 11 9 4" xfId="0"/>
    <cellStyle name="쉼표 [0] 2 2 2 12" xfId="0"/>
    <cellStyle name="쉼표 [0] 2 2 2 12 10" xfId="0"/>
    <cellStyle name="쉼표 [0] 2 2 2 12 2" xfId="0"/>
    <cellStyle name="쉼표 [0] 2 2 2 12 2 2" xfId="0"/>
    <cellStyle name="쉼표 [0] 2 2 2 12 2 2 2" xfId="0"/>
    <cellStyle name="쉼표 [0] 2 2 2 12 2 2 2 2" xfId="0"/>
    <cellStyle name="쉼표 [0] 2 2 2 12 2 2 2 3" xfId="0"/>
    <cellStyle name="쉼표 [0] 2 2 2 12 2 2 2 4" xfId="0"/>
    <cellStyle name="쉼표 [0] 2 2 2 12 2 2 3" xfId="0"/>
    <cellStyle name="쉼표 [0] 2 2 2 12 2 2 3 2" xfId="0"/>
    <cellStyle name="쉼표 [0] 2 2 2 12 2 2 3 3" xfId="0"/>
    <cellStyle name="쉼표 [0] 2 2 2 12 2 2 3 4" xfId="0"/>
    <cellStyle name="쉼표 [0] 2 2 2 12 2 2 4" xfId="0"/>
    <cellStyle name="쉼표 [0] 2 2 2 12 2 2 4 2" xfId="0"/>
    <cellStyle name="쉼표 [0] 2 2 2 12 2 2 4 3" xfId="0"/>
    <cellStyle name="쉼표 [0] 2 2 2 12 2 2 4 4" xfId="0"/>
    <cellStyle name="쉼표 [0] 2 2 2 12 2 2 5" xfId="0"/>
    <cellStyle name="쉼표 [0] 2 2 2 12 2 2 5 2" xfId="0"/>
    <cellStyle name="쉼표 [0] 2 2 2 12 2 2 5 3" xfId="0"/>
    <cellStyle name="쉼표 [0] 2 2 2 12 2 2 5 4" xfId="0"/>
    <cellStyle name="쉼표 [0] 2 2 2 12 2 2 6" xfId="0"/>
    <cellStyle name="쉼표 [0] 2 2 2 12 2 2 7" xfId="0"/>
    <cellStyle name="쉼표 [0] 2 2 2 12 2 2 8" xfId="0"/>
    <cellStyle name="쉼표 [0] 2 2 2 12 2 3" xfId="0"/>
    <cellStyle name="쉼표 [0] 2 2 2 12 2 3 2" xfId="0"/>
    <cellStyle name="쉼표 [0] 2 2 2 12 2 3 3" xfId="0"/>
    <cellStyle name="쉼표 [0] 2 2 2 12 2 3 4" xfId="0"/>
    <cellStyle name="쉼표 [0] 2 2 2 12 2 4" xfId="0"/>
    <cellStyle name="쉼표 [0] 2 2 2 12 2 4 2" xfId="0"/>
    <cellStyle name="쉼표 [0] 2 2 2 12 2 4 3" xfId="0"/>
    <cellStyle name="쉼표 [0] 2 2 2 12 2 4 4" xfId="0"/>
    <cellStyle name="쉼표 [0] 2 2 2 12 2 5" xfId="0"/>
    <cellStyle name="쉼표 [0] 2 2 2 12 2 5 2" xfId="0"/>
    <cellStyle name="쉼표 [0] 2 2 2 12 2 5 3" xfId="0"/>
    <cellStyle name="쉼표 [0] 2 2 2 12 2 5 4" xfId="0"/>
    <cellStyle name="쉼표 [0] 2 2 2 12 2 6" xfId="0"/>
    <cellStyle name="쉼표 [0] 2 2 2 12 2 7" xfId="0"/>
    <cellStyle name="쉼표 [0] 2 2 2 12 2 8" xfId="0"/>
    <cellStyle name="쉼표 [0] 2 2 2 12 3" xfId="0"/>
    <cellStyle name="쉼표 [0] 2 2 2 12 3 2" xfId="0"/>
    <cellStyle name="쉼표 [0] 2 2 2 12 3 3" xfId="0"/>
    <cellStyle name="쉼표 [0] 2 2 2 12 3 4" xfId="0"/>
    <cellStyle name="쉼표 [0] 2 2 2 12 4" xfId="0"/>
    <cellStyle name="쉼표 [0] 2 2 2 12 4 2" xfId="0"/>
    <cellStyle name="쉼표 [0] 2 2 2 12 4 3" xfId="0"/>
    <cellStyle name="쉼표 [0] 2 2 2 12 4 4" xfId="0"/>
    <cellStyle name="쉼표 [0] 2 2 2 12 5" xfId="0"/>
    <cellStyle name="쉼표 [0] 2 2 2 12 5 2" xfId="0"/>
    <cellStyle name="쉼표 [0] 2 2 2 12 5 3" xfId="0"/>
    <cellStyle name="쉼표 [0] 2 2 2 12 5 4" xfId="0"/>
    <cellStyle name="쉼표 [0] 2 2 2 12 6" xfId="0"/>
    <cellStyle name="쉼표 [0] 2 2 2 12 6 2" xfId="0"/>
    <cellStyle name="쉼표 [0] 2 2 2 12 6 3" xfId="0"/>
    <cellStyle name="쉼표 [0] 2 2 2 12 6 4" xfId="0"/>
    <cellStyle name="쉼표 [0] 2 2 2 12 7" xfId="0"/>
    <cellStyle name="쉼표 [0] 2 2 2 12 8" xfId="0"/>
    <cellStyle name="쉼표 [0] 2 2 2 12 9" xfId="0"/>
    <cellStyle name="쉼표 [0] 2 2 2 13" xfId="0"/>
    <cellStyle name="쉼표 [0] 2 2 2 13 2" xfId="0"/>
    <cellStyle name="쉼표 [0] 2 2 2 13 2 2" xfId="0"/>
    <cellStyle name="쉼표 [0] 2 2 2 13 2 2 2" xfId="0"/>
    <cellStyle name="쉼표 [0] 2 2 2 13 2 2 3" xfId="0"/>
    <cellStyle name="쉼표 [0] 2 2 2 13 2 2 4" xfId="0"/>
    <cellStyle name="쉼표 [0] 2 2 2 13 2 3" xfId="0"/>
    <cellStyle name="쉼표 [0] 2 2 2 13 2 3 2" xfId="0"/>
    <cellStyle name="쉼표 [0] 2 2 2 13 2 3 3" xfId="0"/>
    <cellStyle name="쉼표 [0] 2 2 2 13 2 3 4" xfId="0"/>
    <cellStyle name="쉼표 [0] 2 2 2 13 2 4" xfId="0"/>
    <cellStyle name="쉼표 [0] 2 2 2 13 2 4 2" xfId="0"/>
    <cellStyle name="쉼표 [0] 2 2 2 13 2 4 3" xfId="0"/>
    <cellStyle name="쉼표 [0] 2 2 2 13 2 4 4" xfId="0"/>
    <cellStyle name="쉼표 [0] 2 2 2 13 2 5" xfId="0"/>
    <cellStyle name="쉼표 [0] 2 2 2 13 2 5 2" xfId="0"/>
    <cellStyle name="쉼표 [0] 2 2 2 13 2 5 3" xfId="0"/>
    <cellStyle name="쉼표 [0] 2 2 2 13 2 5 4" xfId="0"/>
    <cellStyle name="쉼표 [0] 2 2 2 13 2 6" xfId="0"/>
    <cellStyle name="쉼표 [0] 2 2 2 13 2 7" xfId="0"/>
    <cellStyle name="쉼표 [0] 2 2 2 13 2 8" xfId="0"/>
    <cellStyle name="쉼표 [0] 2 2 2 13 3" xfId="0"/>
    <cellStyle name="쉼표 [0] 2 2 2 13 3 2" xfId="0"/>
    <cellStyle name="쉼표 [0] 2 2 2 13 3 3" xfId="0"/>
    <cellStyle name="쉼표 [0] 2 2 2 13 3 4" xfId="0"/>
    <cellStyle name="쉼표 [0] 2 2 2 13 4" xfId="0"/>
    <cellStyle name="쉼표 [0] 2 2 2 13 4 2" xfId="0"/>
    <cellStyle name="쉼표 [0] 2 2 2 13 4 3" xfId="0"/>
    <cellStyle name="쉼표 [0] 2 2 2 13 4 4" xfId="0"/>
    <cellStyle name="쉼표 [0] 2 2 2 13 5" xfId="0"/>
    <cellStyle name="쉼표 [0] 2 2 2 13 5 2" xfId="0"/>
    <cellStyle name="쉼표 [0] 2 2 2 13 5 3" xfId="0"/>
    <cellStyle name="쉼표 [0] 2 2 2 13 5 4" xfId="0"/>
    <cellStyle name="쉼표 [0] 2 2 2 13 6" xfId="0"/>
    <cellStyle name="쉼표 [0] 2 2 2 13 7" xfId="0"/>
    <cellStyle name="쉼표 [0] 2 2 2 13 8" xfId="0"/>
    <cellStyle name="쉼표 [0] 2 2 2 13 9" xfId="0"/>
    <cellStyle name="쉼표 [0] 2 2 2 14" xfId="0"/>
    <cellStyle name="쉼표 [0] 2 2 2 14 2" xfId="0"/>
    <cellStyle name="쉼표 [0] 2 2 2 14 2 2" xfId="0"/>
    <cellStyle name="쉼표 [0] 2 2 2 14 2 2 2" xfId="0"/>
    <cellStyle name="쉼표 [0] 2 2 2 14 2 2 3" xfId="0"/>
    <cellStyle name="쉼표 [0] 2 2 2 14 2 2 4" xfId="0"/>
    <cellStyle name="쉼표 [0] 2 2 2 14 2 3" xfId="0"/>
    <cellStyle name="쉼표 [0] 2 2 2 14 2 3 2" xfId="0"/>
    <cellStyle name="쉼표 [0] 2 2 2 14 2 3 3" xfId="0"/>
    <cellStyle name="쉼표 [0] 2 2 2 14 2 3 4" xfId="0"/>
    <cellStyle name="쉼표 [0] 2 2 2 14 2 4" xfId="0"/>
    <cellStyle name="쉼표 [0] 2 2 2 14 2 4 2" xfId="0"/>
    <cellStyle name="쉼표 [0] 2 2 2 14 2 4 3" xfId="0"/>
    <cellStyle name="쉼표 [0] 2 2 2 14 2 4 4" xfId="0"/>
    <cellStyle name="쉼표 [0] 2 2 2 14 2 5" xfId="0"/>
    <cellStyle name="쉼표 [0] 2 2 2 14 2 5 2" xfId="0"/>
    <cellStyle name="쉼표 [0] 2 2 2 14 2 5 3" xfId="0"/>
    <cellStyle name="쉼표 [0] 2 2 2 14 2 5 4" xfId="0"/>
    <cellStyle name="쉼표 [0] 2 2 2 14 2 6" xfId="0"/>
    <cellStyle name="쉼표 [0] 2 2 2 14 2 7" xfId="0"/>
    <cellStyle name="쉼표 [0] 2 2 2 14 2 8" xfId="0"/>
    <cellStyle name="쉼표 [0] 2 2 2 14 3" xfId="0"/>
    <cellStyle name="쉼표 [0] 2 2 2 14 3 2" xfId="0"/>
    <cellStyle name="쉼표 [0] 2 2 2 14 3 3" xfId="0"/>
    <cellStyle name="쉼표 [0] 2 2 2 14 3 4" xfId="0"/>
    <cellStyle name="쉼표 [0] 2 2 2 14 4" xfId="0"/>
    <cellStyle name="쉼표 [0] 2 2 2 14 4 2" xfId="0"/>
    <cellStyle name="쉼표 [0] 2 2 2 14 4 3" xfId="0"/>
    <cellStyle name="쉼표 [0] 2 2 2 14 4 4" xfId="0"/>
    <cellStyle name="쉼표 [0] 2 2 2 14 5" xfId="0"/>
    <cellStyle name="쉼표 [0] 2 2 2 14 5 2" xfId="0"/>
    <cellStyle name="쉼표 [0] 2 2 2 14 5 3" xfId="0"/>
    <cellStyle name="쉼표 [0] 2 2 2 14 5 4" xfId="0"/>
    <cellStyle name="쉼표 [0] 2 2 2 14 6" xfId="0"/>
    <cellStyle name="쉼표 [0] 2 2 2 14 7" xfId="0"/>
    <cellStyle name="쉼표 [0] 2 2 2 14 8" xfId="0"/>
    <cellStyle name="쉼표 [0] 2 2 2 14 9" xfId="0"/>
    <cellStyle name="쉼표 [0] 2 2 2 15" xfId="0"/>
    <cellStyle name="쉼표 [0] 2 2 2 15 2" xfId="0"/>
    <cellStyle name="쉼표 [0] 2 2 2 15 2 2" xfId="0"/>
    <cellStyle name="쉼표 [0] 2 2 2 15 2 2 2" xfId="0"/>
    <cellStyle name="쉼표 [0] 2 2 2 15 2 2 3" xfId="0"/>
    <cellStyle name="쉼표 [0] 2 2 2 15 2 2 4" xfId="0"/>
    <cellStyle name="쉼표 [0] 2 2 2 15 2 3" xfId="0"/>
    <cellStyle name="쉼표 [0] 2 2 2 15 2 3 2" xfId="0"/>
    <cellStyle name="쉼표 [0] 2 2 2 15 2 3 3" xfId="0"/>
    <cellStyle name="쉼표 [0] 2 2 2 15 2 3 4" xfId="0"/>
    <cellStyle name="쉼표 [0] 2 2 2 15 2 4" xfId="0"/>
    <cellStyle name="쉼표 [0] 2 2 2 15 2 4 2" xfId="0"/>
    <cellStyle name="쉼표 [0] 2 2 2 15 2 4 3" xfId="0"/>
    <cellStyle name="쉼표 [0] 2 2 2 15 2 4 4" xfId="0"/>
    <cellStyle name="쉼표 [0] 2 2 2 15 2 5" xfId="0"/>
    <cellStyle name="쉼표 [0] 2 2 2 15 2 5 2" xfId="0"/>
    <cellStyle name="쉼표 [0] 2 2 2 15 2 5 3" xfId="0"/>
    <cellStyle name="쉼표 [0] 2 2 2 15 2 5 4" xfId="0"/>
    <cellStyle name="쉼표 [0] 2 2 2 15 2 6" xfId="0"/>
    <cellStyle name="쉼표 [0] 2 2 2 15 2 7" xfId="0"/>
    <cellStyle name="쉼표 [0] 2 2 2 15 2 8" xfId="0"/>
    <cellStyle name="쉼표 [0] 2 2 2 15 3" xfId="0"/>
    <cellStyle name="쉼표 [0] 2 2 2 15 3 2" xfId="0"/>
    <cellStyle name="쉼표 [0] 2 2 2 15 3 3" xfId="0"/>
    <cellStyle name="쉼표 [0] 2 2 2 15 3 4" xfId="0"/>
    <cellStyle name="쉼표 [0] 2 2 2 15 4" xfId="0"/>
    <cellStyle name="쉼표 [0] 2 2 2 15 4 2" xfId="0"/>
    <cellStyle name="쉼표 [0] 2 2 2 15 4 3" xfId="0"/>
    <cellStyle name="쉼표 [0] 2 2 2 15 4 4" xfId="0"/>
    <cellStyle name="쉼표 [0] 2 2 2 15 5" xfId="0"/>
    <cellStyle name="쉼표 [0] 2 2 2 15 5 2" xfId="0"/>
    <cellStyle name="쉼표 [0] 2 2 2 15 5 3" xfId="0"/>
    <cellStyle name="쉼표 [0] 2 2 2 15 5 4" xfId="0"/>
    <cellStyle name="쉼표 [0] 2 2 2 15 6" xfId="0"/>
    <cellStyle name="쉼표 [0] 2 2 2 15 7" xfId="0"/>
    <cellStyle name="쉼표 [0] 2 2 2 15 8" xfId="0"/>
    <cellStyle name="쉼표 [0] 2 2 2 15 9" xfId="0"/>
    <cellStyle name="쉼표 [0] 2 2 2 16" xfId="0"/>
    <cellStyle name="쉼표 [0] 2 2 2 16 2" xfId="0"/>
    <cellStyle name="쉼표 [0] 2 2 2 16 3" xfId="0"/>
    <cellStyle name="쉼표 [0] 2 2 2 16 4" xfId="0"/>
    <cellStyle name="쉼표 [0] 2 2 2 16 5" xfId="0"/>
    <cellStyle name="쉼표 [0] 2 2 2 17" xfId="0"/>
    <cellStyle name="쉼표 [0] 2 2 2 17 2" xfId="0"/>
    <cellStyle name="쉼표 [0] 2 2 2 17 3" xfId="0"/>
    <cellStyle name="쉼표 [0] 2 2 2 17 4" xfId="0"/>
    <cellStyle name="쉼표 [0] 2 2 2 17 5" xfId="0"/>
    <cellStyle name="쉼표 [0] 2 2 2 18" xfId="0"/>
    <cellStyle name="쉼표 [0] 2 2 2 18 2" xfId="0"/>
    <cellStyle name="쉼표 [0] 2 2 2 18 2 2" xfId="0"/>
    <cellStyle name="쉼표 [0] 2 2 2 18 2 2 2" xfId="0"/>
    <cellStyle name="쉼표 [0] 2 2 2 18 2 2 2 2" xfId="0"/>
    <cellStyle name="쉼표 [0] 2 2 2 18 2 2 2 3" xfId="0"/>
    <cellStyle name="쉼표 [0] 2 2 2 18 2 2 2 4" xfId="0"/>
    <cellStyle name="쉼표 [0] 2 2 2 18 2 2 3" xfId="0"/>
    <cellStyle name="쉼표 [0] 2 2 2 18 2 2 3 2" xfId="0"/>
    <cellStyle name="쉼표 [0] 2 2 2 18 2 2 3 3" xfId="0"/>
    <cellStyle name="쉼표 [0] 2 2 2 18 2 2 3 4" xfId="0"/>
    <cellStyle name="쉼표 [0] 2 2 2 18 2 2 4" xfId="0"/>
    <cellStyle name="쉼표 [0] 2 2 2 18 2 2 4 2" xfId="0"/>
    <cellStyle name="쉼표 [0] 2 2 2 18 2 2 4 3" xfId="0"/>
    <cellStyle name="쉼표 [0] 2 2 2 18 2 2 4 4" xfId="0"/>
    <cellStyle name="쉼표 [0] 2 2 2 18 2 2 5" xfId="0"/>
    <cellStyle name="쉼표 [0] 2 2 2 18 2 2 5 2" xfId="0"/>
    <cellStyle name="쉼표 [0] 2 2 2 18 2 2 5 3" xfId="0"/>
    <cellStyle name="쉼표 [0] 2 2 2 18 2 2 5 4" xfId="0"/>
    <cellStyle name="쉼표 [0] 2 2 2 18 2 2 6" xfId="0"/>
    <cellStyle name="쉼표 [0] 2 2 2 18 2 2 7" xfId="0"/>
    <cellStyle name="쉼표 [0] 2 2 2 18 2 2 8" xfId="0"/>
    <cellStyle name="쉼표 [0] 2 2 2 18 2 3" xfId="0"/>
    <cellStyle name="쉼표 [0] 2 2 2 18 2 3 2" xfId="0"/>
    <cellStyle name="쉼표 [0] 2 2 2 18 2 3 3" xfId="0"/>
    <cellStyle name="쉼표 [0] 2 2 2 18 2 3 4" xfId="0"/>
    <cellStyle name="쉼표 [0] 2 2 2 18 2 4" xfId="0"/>
    <cellStyle name="쉼표 [0] 2 2 2 18 2 4 2" xfId="0"/>
    <cellStyle name="쉼표 [0] 2 2 2 18 2 4 3" xfId="0"/>
    <cellStyle name="쉼표 [0] 2 2 2 18 2 4 4" xfId="0"/>
    <cellStyle name="쉼표 [0] 2 2 2 18 2 5" xfId="0"/>
    <cellStyle name="쉼표 [0] 2 2 2 18 2 5 2" xfId="0"/>
    <cellStyle name="쉼표 [0] 2 2 2 18 2 5 3" xfId="0"/>
    <cellStyle name="쉼표 [0] 2 2 2 18 2 5 4" xfId="0"/>
    <cellStyle name="쉼표 [0] 2 2 2 18 2 6" xfId="0"/>
    <cellStyle name="쉼표 [0] 2 2 2 18 2 7" xfId="0"/>
    <cellStyle name="쉼표 [0] 2 2 2 18 2 8" xfId="0"/>
    <cellStyle name="쉼표 [0] 2 2 2 18 3" xfId="0"/>
    <cellStyle name="쉼표 [0] 2 2 2 18 3 2" xfId="0"/>
    <cellStyle name="쉼표 [0] 2 2 2 18 3 3" xfId="0"/>
    <cellStyle name="쉼표 [0] 2 2 2 18 3 4" xfId="0"/>
    <cellStyle name="쉼표 [0] 2 2 2 18 4" xfId="0"/>
    <cellStyle name="쉼표 [0] 2 2 2 18 4 2" xfId="0"/>
    <cellStyle name="쉼표 [0] 2 2 2 18 4 3" xfId="0"/>
    <cellStyle name="쉼표 [0] 2 2 2 18 4 4" xfId="0"/>
    <cellStyle name="쉼표 [0] 2 2 2 18 5" xfId="0"/>
    <cellStyle name="쉼표 [0] 2 2 2 18 5 2" xfId="0"/>
    <cellStyle name="쉼표 [0] 2 2 2 18 5 3" xfId="0"/>
    <cellStyle name="쉼표 [0] 2 2 2 18 5 4" xfId="0"/>
    <cellStyle name="쉼표 [0] 2 2 2 18 6" xfId="0"/>
    <cellStyle name="쉼표 [0] 2 2 2 18 7" xfId="0"/>
    <cellStyle name="쉼표 [0] 2 2 2 18 8" xfId="0"/>
    <cellStyle name="쉼표 [0] 2 2 2 18 9" xfId="0"/>
    <cellStyle name="쉼표 [0] 2 2 2 19" xfId="0"/>
    <cellStyle name="쉼표 [0] 2 2 2 19 2" xfId="0"/>
    <cellStyle name="쉼표 [0] 2 2 2 19 3" xfId="0"/>
    <cellStyle name="쉼표 [0] 2 2 2 19 4" xfId="0"/>
    <cellStyle name="쉼표 [0] 2 2 2 19 5" xfId="0"/>
    <cellStyle name="쉼표 [0] 2 2 2 2" xfId="0"/>
    <cellStyle name="쉼표 [0] 2 2 2 2 10" xfId="0"/>
    <cellStyle name="쉼표 [0] 2 2 2 2 10 2" xfId="0"/>
    <cellStyle name="쉼표 [0] 2 2 2 2 10 2 2" xfId="0"/>
    <cellStyle name="쉼표 [0] 2 2 2 2 10 2 2 2" xfId="0"/>
    <cellStyle name="쉼표 [0] 2 2 2 2 10 2 2 3" xfId="0"/>
    <cellStyle name="쉼표 [0] 2 2 2 2 10 2 2 4" xfId="0"/>
    <cellStyle name="쉼표 [0] 2 2 2 2 10 2 3" xfId="0"/>
    <cellStyle name="쉼표 [0] 2 2 2 2 10 2 3 2" xfId="0"/>
    <cellStyle name="쉼표 [0] 2 2 2 2 10 2 3 3" xfId="0"/>
    <cellStyle name="쉼표 [0] 2 2 2 2 10 2 3 4" xfId="0"/>
    <cellStyle name="쉼표 [0] 2 2 2 2 10 2 4" xfId="0"/>
    <cellStyle name="쉼표 [0] 2 2 2 2 10 2 4 2" xfId="0"/>
    <cellStyle name="쉼표 [0] 2 2 2 2 10 2 4 3" xfId="0"/>
    <cellStyle name="쉼표 [0] 2 2 2 2 10 2 4 4" xfId="0"/>
    <cellStyle name="쉼표 [0] 2 2 2 2 10 2 5" xfId="0"/>
    <cellStyle name="쉼표 [0] 2 2 2 2 10 2 5 2" xfId="0"/>
    <cellStyle name="쉼표 [0] 2 2 2 2 10 2 5 3" xfId="0"/>
    <cellStyle name="쉼표 [0] 2 2 2 2 10 2 5 4" xfId="0"/>
    <cellStyle name="쉼표 [0] 2 2 2 2 10 2 6" xfId="0"/>
    <cellStyle name="쉼표 [0] 2 2 2 2 10 2 7" xfId="0"/>
    <cellStyle name="쉼표 [0] 2 2 2 2 10 2 8" xfId="0"/>
    <cellStyle name="쉼표 [0] 2 2 2 2 10 3" xfId="0"/>
    <cellStyle name="쉼표 [0] 2 2 2 2 10 3 2" xfId="0"/>
    <cellStyle name="쉼표 [0] 2 2 2 2 10 3 3" xfId="0"/>
    <cellStyle name="쉼표 [0] 2 2 2 2 10 3 4" xfId="0"/>
    <cellStyle name="쉼표 [0] 2 2 2 2 10 4" xfId="0"/>
    <cellStyle name="쉼표 [0] 2 2 2 2 10 4 2" xfId="0"/>
    <cellStyle name="쉼표 [0] 2 2 2 2 10 4 3" xfId="0"/>
    <cellStyle name="쉼표 [0] 2 2 2 2 10 4 4" xfId="0"/>
    <cellStyle name="쉼표 [0] 2 2 2 2 10 5" xfId="0"/>
    <cellStyle name="쉼표 [0] 2 2 2 2 10 5 2" xfId="0"/>
    <cellStyle name="쉼표 [0] 2 2 2 2 10 5 3" xfId="0"/>
    <cellStyle name="쉼표 [0] 2 2 2 2 10 5 4" xfId="0"/>
    <cellStyle name="쉼표 [0] 2 2 2 2 10 6" xfId="0"/>
    <cellStyle name="쉼표 [0] 2 2 2 2 10 7" xfId="0"/>
    <cellStyle name="쉼표 [0] 2 2 2 2 10 8" xfId="0"/>
    <cellStyle name="쉼표 [0] 2 2 2 2 10 9" xfId="0"/>
    <cellStyle name="쉼표 [0] 2 2 2 2 11" xfId="0"/>
    <cellStyle name="쉼표 [0] 2 2 2 2 11 2" xfId="0"/>
    <cellStyle name="쉼표 [0] 2 2 2 2 11 2 2" xfId="0"/>
    <cellStyle name="쉼표 [0] 2 2 2 2 11 2 2 2" xfId="0"/>
    <cellStyle name="쉼표 [0] 2 2 2 2 11 2 2 3" xfId="0"/>
    <cellStyle name="쉼표 [0] 2 2 2 2 11 2 2 4" xfId="0"/>
    <cellStyle name="쉼표 [0] 2 2 2 2 11 2 3" xfId="0"/>
    <cellStyle name="쉼표 [0] 2 2 2 2 11 2 3 2" xfId="0"/>
    <cellStyle name="쉼표 [0] 2 2 2 2 11 2 3 3" xfId="0"/>
    <cellStyle name="쉼표 [0] 2 2 2 2 11 2 3 4" xfId="0"/>
    <cellStyle name="쉼표 [0] 2 2 2 2 11 2 4" xfId="0"/>
    <cellStyle name="쉼표 [0] 2 2 2 2 11 2 4 2" xfId="0"/>
    <cellStyle name="쉼표 [0] 2 2 2 2 11 2 4 3" xfId="0"/>
    <cellStyle name="쉼표 [0] 2 2 2 2 11 2 4 4" xfId="0"/>
    <cellStyle name="쉼표 [0] 2 2 2 2 11 2 5" xfId="0"/>
    <cellStyle name="쉼표 [0] 2 2 2 2 11 2 5 2" xfId="0"/>
    <cellStyle name="쉼표 [0] 2 2 2 2 11 2 5 3" xfId="0"/>
    <cellStyle name="쉼표 [0] 2 2 2 2 11 2 5 4" xfId="0"/>
    <cellStyle name="쉼표 [0] 2 2 2 2 11 2 6" xfId="0"/>
    <cellStyle name="쉼표 [0] 2 2 2 2 11 2 7" xfId="0"/>
    <cellStyle name="쉼표 [0] 2 2 2 2 11 2 8" xfId="0"/>
    <cellStyle name="쉼표 [0] 2 2 2 2 11 3" xfId="0"/>
    <cellStyle name="쉼표 [0] 2 2 2 2 11 3 2" xfId="0"/>
    <cellStyle name="쉼표 [0] 2 2 2 2 11 3 3" xfId="0"/>
    <cellStyle name="쉼표 [0] 2 2 2 2 11 3 4" xfId="0"/>
    <cellStyle name="쉼표 [0] 2 2 2 2 11 4" xfId="0"/>
    <cellStyle name="쉼표 [0] 2 2 2 2 11 4 2" xfId="0"/>
    <cellStyle name="쉼표 [0] 2 2 2 2 11 4 3" xfId="0"/>
    <cellStyle name="쉼표 [0] 2 2 2 2 11 4 4" xfId="0"/>
    <cellStyle name="쉼표 [0] 2 2 2 2 11 5" xfId="0"/>
    <cellStyle name="쉼표 [0] 2 2 2 2 11 5 2" xfId="0"/>
    <cellStyle name="쉼표 [0] 2 2 2 2 11 5 3" xfId="0"/>
    <cellStyle name="쉼표 [0] 2 2 2 2 11 5 4" xfId="0"/>
    <cellStyle name="쉼표 [0] 2 2 2 2 11 6" xfId="0"/>
    <cellStyle name="쉼표 [0] 2 2 2 2 11 7" xfId="0"/>
    <cellStyle name="쉼표 [0] 2 2 2 2 11 8" xfId="0"/>
    <cellStyle name="쉼표 [0] 2 2 2 2 11 9" xfId="0"/>
    <cellStyle name="쉼표 [0] 2 2 2 2 12" xfId="0"/>
    <cellStyle name="쉼표 [0] 2 2 2 2 12 2" xfId="0"/>
    <cellStyle name="쉼표 [0] 2 2 2 2 12 2 2" xfId="0"/>
    <cellStyle name="쉼표 [0] 2 2 2 2 12 2 2 2" xfId="0"/>
    <cellStyle name="쉼표 [0] 2 2 2 2 12 2 2 3" xfId="0"/>
    <cellStyle name="쉼표 [0] 2 2 2 2 12 2 2 4" xfId="0"/>
    <cellStyle name="쉼표 [0] 2 2 2 2 12 2 3" xfId="0"/>
    <cellStyle name="쉼표 [0] 2 2 2 2 12 2 3 2" xfId="0"/>
    <cellStyle name="쉼표 [0] 2 2 2 2 12 2 3 3" xfId="0"/>
    <cellStyle name="쉼표 [0] 2 2 2 2 12 2 3 4" xfId="0"/>
    <cellStyle name="쉼표 [0] 2 2 2 2 12 2 4" xfId="0"/>
    <cellStyle name="쉼표 [0] 2 2 2 2 12 2 4 2" xfId="0"/>
    <cellStyle name="쉼표 [0] 2 2 2 2 12 2 4 3" xfId="0"/>
    <cellStyle name="쉼표 [0] 2 2 2 2 12 2 4 4" xfId="0"/>
    <cellStyle name="쉼표 [0] 2 2 2 2 12 2 5" xfId="0"/>
    <cellStyle name="쉼표 [0] 2 2 2 2 12 2 5 2" xfId="0"/>
    <cellStyle name="쉼표 [0] 2 2 2 2 12 2 5 3" xfId="0"/>
    <cellStyle name="쉼표 [0] 2 2 2 2 12 2 5 4" xfId="0"/>
    <cellStyle name="쉼표 [0] 2 2 2 2 12 2 6" xfId="0"/>
    <cellStyle name="쉼표 [0] 2 2 2 2 12 2 7" xfId="0"/>
    <cellStyle name="쉼표 [0] 2 2 2 2 12 2 8" xfId="0"/>
    <cellStyle name="쉼표 [0] 2 2 2 2 12 3" xfId="0"/>
    <cellStyle name="쉼표 [0] 2 2 2 2 12 3 2" xfId="0"/>
    <cellStyle name="쉼표 [0] 2 2 2 2 12 3 3" xfId="0"/>
    <cellStyle name="쉼표 [0] 2 2 2 2 12 3 4" xfId="0"/>
    <cellStyle name="쉼표 [0] 2 2 2 2 12 4" xfId="0"/>
    <cellStyle name="쉼표 [0] 2 2 2 2 12 4 2" xfId="0"/>
    <cellStyle name="쉼표 [0] 2 2 2 2 12 4 3" xfId="0"/>
    <cellStyle name="쉼표 [0] 2 2 2 2 12 4 4" xfId="0"/>
    <cellStyle name="쉼표 [0] 2 2 2 2 12 5" xfId="0"/>
    <cellStyle name="쉼표 [0] 2 2 2 2 12 5 2" xfId="0"/>
    <cellStyle name="쉼표 [0] 2 2 2 2 12 5 3" xfId="0"/>
    <cellStyle name="쉼표 [0] 2 2 2 2 12 5 4" xfId="0"/>
    <cellStyle name="쉼표 [0] 2 2 2 2 12 6" xfId="0"/>
    <cellStyle name="쉼표 [0] 2 2 2 2 12 7" xfId="0"/>
    <cellStyle name="쉼표 [0] 2 2 2 2 12 8" xfId="0"/>
    <cellStyle name="쉼표 [0] 2 2 2 2 12 9" xfId="0"/>
    <cellStyle name="쉼표 [0] 2 2 2 2 13" xfId="0"/>
    <cellStyle name="쉼표 [0] 2 2 2 2 13 2" xfId="0"/>
    <cellStyle name="쉼표 [0] 2 2 2 2 13 2 2" xfId="0"/>
    <cellStyle name="쉼표 [0] 2 2 2 2 13 2 2 2" xfId="0"/>
    <cellStyle name="쉼표 [0] 2 2 2 2 13 2 2 3" xfId="0"/>
    <cellStyle name="쉼표 [0] 2 2 2 2 13 2 2 4" xfId="0"/>
    <cellStyle name="쉼표 [0] 2 2 2 2 13 2 3" xfId="0"/>
    <cellStyle name="쉼표 [0] 2 2 2 2 13 2 3 2" xfId="0"/>
    <cellStyle name="쉼표 [0] 2 2 2 2 13 2 3 3" xfId="0"/>
    <cellStyle name="쉼표 [0] 2 2 2 2 13 2 3 4" xfId="0"/>
    <cellStyle name="쉼표 [0] 2 2 2 2 13 2 4" xfId="0"/>
    <cellStyle name="쉼표 [0] 2 2 2 2 13 2 4 2" xfId="0"/>
    <cellStyle name="쉼표 [0] 2 2 2 2 13 2 4 3" xfId="0"/>
    <cellStyle name="쉼표 [0] 2 2 2 2 13 2 4 4" xfId="0"/>
    <cellStyle name="쉼표 [0] 2 2 2 2 13 2 5" xfId="0"/>
    <cellStyle name="쉼표 [0] 2 2 2 2 13 2 5 2" xfId="0"/>
    <cellStyle name="쉼표 [0] 2 2 2 2 13 2 5 3" xfId="0"/>
    <cellStyle name="쉼표 [0] 2 2 2 2 13 2 5 4" xfId="0"/>
    <cellStyle name="쉼표 [0] 2 2 2 2 13 2 6" xfId="0"/>
    <cellStyle name="쉼표 [0] 2 2 2 2 13 2 7" xfId="0"/>
    <cellStyle name="쉼표 [0] 2 2 2 2 13 2 8" xfId="0"/>
    <cellStyle name="쉼표 [0] 2 2 2 2 13 3" xfId="0"/>
    <cellStyle name="쉼표 [0] 2 2 2 2 13 3 2" xfId="0"/>
    <cellStyle name="쉼표 [0] 2 2 2 2 13 3 3" xfId="0"/>
    <cellStyle name="쉼표 [0] 2 2 2 2 13 3 4" xfId="0"/>
    <cellStyle name="쉼표 [0] 2 2 2 2 13 4" xfId="0"/>
    <cellStyle name="쉼표 [0] 2 2 2 2 13 4 2" xfId="0"/>
    <cellStyle name="쉼표 [0] 2 2 2 2 13 4 3" xfId="0"/>
    <cellStyle name="쉼표 [0] 2 2 2 2 13 4 4" xfId="0"/>
    <cellStyle name="쉼표 [0] 2 2 2 2 13 5" xfId="0"/>
    <cellStyle name="쉼표 [0] 2 2 2 2 13 5 2" xfId="0"/>
    <cellStyle name="쉼표 [0] 2 2 2 2 13 5 3" xfId="0"/>
    <cellStyle name="쉼표 [0] 2 2 2 2 13 5 4" xfId="0"/>
    <cellStyle name="쉼표 [0] 2 2 2 2 13 6" xfId="0"/>
    <cellStyle name="쉼표 [0] 2 2 2 2 13 7" xfId="0"/>
    <cellStyle name="쉼표 [0] 2 2 2 2 13 8" xfId="0"/>
    <cellStyle name="쉼표 [0] 2 2 2 2 13 9" xfId="0"/>
    <cellStyle name="쉼표 [0] 2 2 2 2 14" xfId="0"/>
    <cellStyle name="쉼표 [0] 2 2 2 2 14 2" xfId="0"/>
    <cellStyle name="쉼표 [0] 2 2 2 2 14 2 2" xfId="0"/>
    <cellStyle name="쉼표 [0] 2 2 2 2 14 2 2 2" xfId="0"/>
    <cellStyle name="쉼표 [0] 2 2 2 2 14 2 2 3" xfId="0"/>
    <cellStyle name="쉼표 [0] 2 2 2 2 14 2 2 4" xfId="0"/>
    <cellStyle name="쉼표 [0] 2 2 2 2 14 2 3" xfId="0"/>
    <cellStyle name="쉼표 [0] 2 2 2 2 14 2 4" xfId="0"/>
    <cellStyle name="쉼표 [0] 2 2 2 2 14 2 5" xfId="0"/>
    <cellStyle name="쉼표 [0] 2 2 2 2 14 3" xfId="0"/>
    <cellStyle name="쉼표 [0] 2 2 2 2 14 4" xfId="0"/>
    <cellStyle name="쉼표 [0] 2 2 2 2 14 5" xfId="0"/>
    <cellStyle name="쉼표 [0] 2 2 2 2 14 6" xfId="0"/>
    <cellStyle name="쉼표 [0] 2 2 2 2 15" xfId="0"/>
    <cellStyle name="쉼표 [0] 2 2 2 2 15 2" xfId="0"/>
    <cellStyle name="쉼표 [0] 2 2 2 2 15 3" xfId="0"/>
    <cellStyle name="쉼표 [0] 2 2 2 2 15 4" xfId="0"/>
    <cellStyle name="쉼표 [0] 2 2 2 2 15 5" xfId="0"/>
    <cellStyle name="쉼표 [0] 2 2 2 2 16" xfId="0"/>
    <cellStyle name="쉼표 [0] 2 2 2 2 16 2" xfId="0"/>
    <cellStyle name="쉼표 [0] 2 2 2 2 16 3" xfId="0"/>
    <cellStyle name="쉼표 [0] 2 2 2 2 16 4" xfId="0"/>
    <cellStyle name="쉼표 [0] 2 2 2 2 16 5" xfId="0"/>
    <cellStyle name="쉼표 [0] 2 2 2 2 17" xfId="0"/>
    <cellStyle name="쉼표 [0] 2 2 2 2 17 2" xfId="0"/>
    <cellStyle name="쉼표 [0] 2 2 2 2 17 3" xfId="0"/>
    <cellStyle name="쉼표 [0] 2 2 2 2 17 4" xfId="0"/>
    <cellStyle name="쉼표 [0] 2 2 2 2 17 5" xfId="0"/>
    <cellStyle name="쉼표 [0] 2 2 2 2 18" xfId="0"/>
    <cellStyle name="쉼표 [0] 2 2 2 2 18 2" xfId="0"/>
    <cellStyle name="쉼표 [0] 2 2 2 2 18 3" xfId="0"/>
    <cellStyle name="쉼표 [0] 2 2 2 2 18 4" xfId="0"/>
    <cellStyle name="쉼표 [0] 2 2 2 2 19" xfId="0"/>
    <cellStyle name="쉼표 [0] 2 2 2 2 19 2" xfId="0"/>
    <cellStyle name="쉼표 [0] 2 2 2 2 19 3" xfId="0"/>
    <cellStyle name="쉼표 [0] 2 2 2 2 19 4" xfId="0"/>
    <cellStyle name="쉼표 [0] 2 2 2 2 2" xfId="0"/>
    <cellStyle name="쉼표 [0] 2 2 2 2 2 10" xfId="0"/>
    <cellStyle name="쉼표 [0] 2 2 2 2 2 10 2" xfId="0"/>
    <cellStyle name="쉼표 [0] 2 2 2 2 2 10 3" xfId="0"/>
    <cellStyle name="쉼표 [0] 2 2 2 2 2 10 4" xfId="0"/>
    <cellStyle name="쉼표 [0] 2 2 2 2 2 11" xfId="0"/>
    <cellStyle name="쉼표 [0] 2 2 2 2 2 11 2" xfId="0"/>
    <cellStyle name="쉼표 [0] 2 2 2 2 2 11 3" xfId="0"/>
    <cellStyle name="쉼표 [0] 2 2 2 2 2 11 4" xfId="0"/>
    <cellStyle name="쉼표 [0] 2 2 2 2 2 12" xfId="0"/>
    <cellStyle name="쉼표 [0] 2 2 2 2 2 12 2" xfId="0"/>
    <cellStyle name="쉼표 [0] 2 2 2 2 2 12 3" xfId="0"/>
    <cellStyle name="쉼표 [0] 2 2 2 2 2 12 4" xfId="0"/>
    <cellStyle name="쉼표 [0] 2 2 2 2 2 13" xfId="0"/>
    <cellStyle name="쉼표 [0] 2 2 2 2 2 13 2" xfId="0"/>
    <cellStyle name="쉼표 [0] 2 2 2 2 2 13 3" xfId="0"/>
    <cellStyle name="쉼표 [0] 2 2 2 2 2 13 4" xfId="0"/>
    <cellStyle name="쉼표 [0] 2 2 2 2 2 14" xfId="0"/>
    <cellStyle name="쉼표 [0] 2 2 2 2 2 14 2" xfId="0"/>
    <cellStyle name="쉼표 [0] 2 2 2 2 2 14 3" xfId="0"/>
    <cellStyle name="쉼표 [0] 2 2 2 2 2 14 4" xfId="0"/>
    <cellStyle name="쉼표 [0] 2 2 2 2 2 15" xfId="0"/>
    <cellStyle name="쉼표 [0] 2 2 2 2 2 15 2" xfId="0"/>
    <cellStyle name="쉼표 [0] 2 2 2 2 2 15 3" xfId="0"/>
    <cellStyle name="쉼표 [0] 2 2 2 2 2 15 4" xfId="0"/>
    <cellStyle name="쉼표 [0] 2 2 2 2 2 16" xfId="0"/>
    <cellStyle name="쉼표 [0] 2 2 2 2 2 16 2" xfId="0"/>
    <cellStyle name="쉼표 [0] 2 2 2 2 2 16 3" xfId="0"/>
    <cellStyle name="쉼표 [0] 2 2 2 2 2 16 4" xfId="0"/>
    <cellStyle name="쉼표 [0] 2 2 2 2 2 17" xfId="0"/>
    <cellStyle name="쉼표 [0] 2 2 2 2 2 17 2" xfId="0"/>
    <cellStyle name="쉼표 [0] 2 2 2 2 2 17 3" xfId="0"/>
    <cellStyle name="쉼표 [0] 2 2 2 2 2 17 4" xfId="0"/>
    <cellStyle name="쉼표 [0] 2 2 2 2 2 18" xfId="0"/>
    <cellStyle name="쉼표 [0] 2 2 2 2 2 18 2" xfId="0"/>
    <cellStyle name="쉼표 [0] 2 2 2 2 2 18 3" xfId="0"/>
    <cellStyle name="쉼표 [0] 2 2 2 2 2 18 4" xfId="0"/>
    <cellStyle name="쉼표 [0] 2 2 2 2 2 19" xfId="0"/>
    <cellStyle name="쉼표 [0] 2 2 2 2 2 19 2" xfId="0"/>
    <cellStyle name="쉼표 [0] 2 2 2 2 2 19 3" xfId="0"/>
    <cellStyle name="쉼표 [0] 2 2 2 2 2 19 4" xfId="0"/>
    <cellStyle name="쉼표 [0] 2 2 2 2 2 2" xfId="0"/>
    <cellStyle name="쉼표 [0] 2 2 2 2 2 2 10" xfId="0"/>
    <cellStyle name="쉼표 [0] 2 2 2 2 2 2 10 2" xfId="0"/>
    <cellStyle name="쉼표 [0] 2 2 2 2 2 2 10 3" xfId="0"/>
    <cellStyle name="쉼표 [0] 2 2 2 2 2 2 10 4" xfId="0"/>
    <cellStyle name="쉼표 [0] 2 2 2 2 2 2 11" xfId="0"/>
    <cellStyle name="쉼표 [0] 2 2 2 2 2 2 11 2" xfId="0"/>
    <cellStyle name="쉼표 [0] 2 2 2 2 2 2 11 3" xfId="0"/>
    <cellStyle name="쉼표 [0] 2 2 2 2 2 2 11 4" xfId="0"/>
    <cellStyle name="쉼표 [0] 2 2 2 2 2 2 12" xfId="0"/>
    <cellStyle name="쉼표 [0] 2 2 2 2 2 2 12 2" xfId="0"/>
    <cellStyle name="쉼표 [0] 2 2 2 2 2 2 12 3" xfId="0"/>
    <cellStyle name="쉼표 [0] 2 2 2 2 2 2 12 4" xfId="0"/>
    <cellStyle name="쉼표 [0] 2 2 2 2 2 2 13" xfId="0"/>
    <cellStyle name="쉼표 [0] 2 2 2 2 2 2 13 2" xfId="0"/>
    <cellStyle name="쉼표 [0] 2 2 2 2 2 2 13 3" xfId="0"/>
    <cellStyle name="쉼표 [0] 2 2 2 2 2 2 13 4" xfId="0"/>
    <cellStyle name="쉼표 [0] 2 2 2 2 2 2 14" xfId="0"/>
    <cellStyle name="쉼표 [0] 2 2 2 2 2 2 14 2" xfId="0"/>
    <cellStyle name="쉼표 [0] 2 2 2 2 2 2 14 3" xfId="0"/>
    <cellStyle name="쉼표 [0] 2 2 2 2 2 2 14 4" xfId="0"/>
    <cellStyle name="쉼표 [0] 2 2 2 2 2 2 15" xfId="0"/>
    <cellStyle name="쉼표 [0] 2 2 2 2 2 2 15 2" xfId="0"/>
    <cellStyle name="쉼표 [0] 2 2 2 2 2 2 15 3" xfId="0"/>
    <cellStyle name="쉼표 [0] 2 2 2 2 2 2 15 4" xfId="0"/>
    <cellStyle name="쉼표 [0] 2 2 2 2 2 2 16" xfId="0"/>
    <cellStyle name="쉼표 [0] 2 2 2 2 2 2 16 2" xfId="0"/>
    <cellStyle name="쉼표 [0] 2 2 2 2 2 2 16 3" xfId="0"/>
    <cellStyle name="쉼표 [0] 2 2 2 2 2 2 16 4" xfId="0"/>
    <cellStyle name="쉼표 [0] 2 2 2 2 2 2 17" xfId="0"/>
    <cellStyle name="쉼표 [0] 2 2 2 2 2 2 17 2" xfId="0"/>
    <cellStyle name="쉼표 [0] 2 2 2 2 2 2 17 3" xfId="0"/>
    <cellStyle name="쉼표 [0] 2 2 2 2 2 2 17 4" xfId="0"/>
    <cellStyle name="쉼표 [0] 2 2 2 2 2 2 18" xfId="0"/>
    <cellStyle name="쉼표 [0] 2 2 2 2 2 2 18 2" xfId="0"/>
    <cellStyle name="쉼표 [0] 2 2 2 2 2 2 18 3" xfId="0"/>
    <cellStyle name="쉼표 [0] 2 2 2 2 2 2 18 4" xfId="0"/>
    <cellStyle name="쉼표 [0] 2 2 2 2 2 2 19" xfId="0"/>
    <cellStyle name="쉼표 [0] 2 2 2 2 2 2 19 2" xfId="0"/>
    <cellStyle name="쉼표 [0] 2 2 2 2 2 2 19 3" xfId="0"/>
    <cellStyle name="쉼표 [0] 2 2 2 2 2 2 19 4" xfId="0"/>
    <cellStyle name="쉼표 [0] 2 2 2 2 2 2 2" xfId="0"/>
    <cellStyle name="쉼표 [0] 2 2 2 2 2 2 2 10" xfId="0"/>
    <cellStyle name="쉼표 [0] 2 2 2 2 2 2 2 10 2" xfId="0"/>
    <cellStyle name="쉼표 [0] 2 2 2 2 2 2 2 10 3" xfId="0"/>
    <cellStyle name="쉼표 [0] 2 2 2 2 2 2 2 10 4" xfId="0"/>
    <cellStyle name="쉼표 [0] 2 2 2 2 2 2 2 11" xfId="0"/>
    <cellStyle name="쉼표 [0] 2 2 2 2 2 2 2 11 2" xfId="0"/>
    <cellStyle name="쉼표 [0] 2 2 2 2 2 2 2 11 3" xfId="0"/>
    <cellStyle name="쉼표 [0] 2 2 2 2 2 2 2 11 4" xfId="0"/>
    <cellStyle name="쉼표 [0] 2 2 2 2 2 2 2 12" xfId="0"/>
    <cellStyle name="쉼표 [0] 2 2 2 2 2 2 2 12 2" xfId="0"/>
    <cellStyle name="쉼표 [0] 2 2 2 2 2 2 2 12 3" xfId="0"/>
    <cellStyle name="쉼표 [0] 2 2 2 2 2 2 2 12 4" xfId="0"/>
    <cellStyle name="쉼표 [0] 2 2 2 2 2 2 2 13" xfId="0"/>
    <cellStyle name="쉼표 [0] 2 2 2 2 2 2 2 13 2" xfId="0"/>
    <cellStyle name="쉼표 [0] 2 2 2 2 2 2 2 13 3" xfId="0"/>
    <cellStyle name="쉼표 [0] 2 2 2 2 2 2 2 13 4" xfId="0"/>
    <cellStyle name="쉼표 [0] 2 2 2 2 2 2 2 14" xfId="0"/>
    <cellStyle name="쉼표 [0] 2 2 2 2 2 2 2 14 2" xfId="0"/>
    <cellStyle name="쉼표 [0] 2 2 2 2 2 2 2 14 3" xfId="0"/>
    <cellStyle name="쉼표 [0] 2 2 2 2 2 2 2 14 4" xfId="0"/>
    <cellStyle name="쉼표 [0] 2 2 2 2 2 2 2 15" xfId="0"/>
    <cellStyle name="쉼표 [0] 2 2 2 2 2 2 2 15 2" xfId="0"/>
    <cellStyle name="쉼표 [0] 2 2 2 2 2 2 2 15 3" xfId="0"/>
    <cellStyle name="쉼표 [0] 2 2 2 2 2 2 2 15 4" xfId="0"/>
    <cellStyle name="쉼표 [0] 2 2 2 2 2 2 2 16" xfId="0"/>
    <cellStyle name="쉼표 [0] 2 2 2 2 2 2 2 16 2" xfId="0"/>
    <cellStyle name="쉼표 [0] 2 2 2 2 2 2 2 16 3" xfId="0"/>
    <cellStyle name="쉼표 [0] 2 2 2 2 2 2 2 16 4" xfId="0"/>
    <cellStyle name="쉼표 [0] 2 2 2 2 2 2 2 17" xfId="0"/>
    <cellStyle name="쉼표 [0] 2 2 2 2 2 2 2 17 2" xfId="0"/>
    <cellStyle name="쉼표 [0] 2 2 2 2 2 2 2 17 3" xfId="0"/>
    <cellStyle name="쉼표 [0] 2 2 2 2 2 2 2 17 4" xfId="0"/>
    <cellStyle name="쉼표 [0] 2 2 2 2 2 2 2 18" xfId="0"/>
    <cellStyle name="쉼표 [0] 2 2 2 2 2 2 2 18 2" xfId="0"/>
    <cellStyle name="쉼표 [0] 2 2 2 2 2 2 2 18 3" xfId="0"/>
    <cellStyle name="쉼표 [0] 2 2 2 2 2 2 2 18 4" xfId="0"/>
    <cellStyle name="쉼표 [0] 2 2 2 2 2 2 2 19" xfId="0"/>
    <cellStyle name="쉼표 [0] 2 2 2 2 2 2 2 19 2" xfId="0"/>
    <cellStyle name="쉼표 [0] 2 2 2 2 2 2 2 19 3" xfId="0"/>
    <cellStyle name="쉼표 [0] 2 2 2 2 2 2 2 19 4" xfId="0"/>
    <cellStyle name="쉼표 [0] 2 2 2 2 2 2 2 2" xfId="0"/>
    <cellStyle name="쉼표 [0] 2 2 2 2 2 2 2 2 10" xfId="0"/>
    <cellStyle name="쉼표 [0] 2 2 2 2 2 2 2 2 10 2" xfId="0"/>
    <cellStyle name="쉼표 [0] 2 2 2 2 2 2 2 2 10 3" xfId="0"/>
    <cellStyle name="쉼표 [0] 2 2 2 2 2 2 2 2 10 4" xfId="0"/>
    <cellStyle name="쉼표 [0] 2 2 2 2 2 2 2 2 11" xfId="0"/>
    <cellStyle name="쉼표 [0] 2 2 2 2 2 2 2 2 11 2" xfId="0"/>
    <cellStyle name="쉼표 [0] 2 2 2 2 2 2 2 2 11 3" xfId="0"/>
    <cellStyle name="쉼표 [0] 2 2 2 2 2 2 2 2 11 4" xfId="0"/>
    <cellStyle name="쉼표 [0] 2 2 2 2 2 2 2 2 12" xfId="0"/>
    <cellStyle name="쉼표 [0] 2 2 2 2 2 2 2 2 12 2" xfId="0"/>
    <cellStyle name="쉼표 [0] 2 2 2 2 2 2 2 2 12 3" xfId="0"/>
    <cellStyle name="쉼표 [0] 2 2 2 2 2 2 2 2 12 4" xfId="0"/>
    <cellStyle name="쉼표 [0] 2 2 2 2 2 2 2 2 13" xfId="0"/>
    <cellStyle name="쉼표 [0] 2 2 2 2 2 2 2 2 13 2" xfId="0"/>
    <cellStyle name="쉼표 [0] 2 2 2 2 2 2 2 2 13 3" xfId="0"/>
    <cellStyle name="쉼표 [0] 2 2 2 2 2 2 2 2 13 4" xfId="0"/>
    <cellStyle name="쉼표 [0] 2 2 2 2 2 2 2 2 14" xfId="0"/>
    <cellStyle name="쉼표 [0] 2 2 2 2 2 2 2 2 14 2" xfId="0"/>
    <cellStyle name="쉼표 [0] 2 2 2 2 2 2 2 2 14 3" xfId="0"/>
    <cellStyle name="쉼표 [0] 2 2 2 2 2 2 2 2 14 4" xfId="0"/>
    <cellStyle name="쉼표 [0] 2 2 2 2 2 2 2 2 15" xfId="0"/>
    <cellStyle name="쉼표 [0] 2 2 2 2 2 2 2 2 16" xfId="0"/>
    <cellStyle name="쉼표 [0] 2 2 2 2 2 2 2 2 17" xfId="0"/>
    <cellStyle name="쉼표 [0] 2 2 2 2 2 2 2 2 2" xfId="0"/>
    <cellStyle name="쉼표 [0] 2 2 2 2 2 2 2 2 2 10" xfId="0"/>
    <cellStyle name="쉼표 [0] 2 2 2 2 2 2 2 2 2 10 2" xfId="0"/>
    <cellStyle name="쉼표 [0] 2 2 2 2 2 2 2 2 2 10 3" xfId="0"/>
    <cellStyle name="쉼표 [0] 2 2 2 2 2 2 2 2 2 10 4" xfId="0"/>
    <cellStyle name="쉼표 [0] 2 2 2 2 2 2 2 2 2 11" xfId="0"/>
    <cellStyle name="쉼표 [0] 2 2 2 2 2 2 2 2 2 12" xfId="0"/>
    <cellStyle name="쉼표 [0] 2 2 2 2 2 2 2 2 2 13" xfId="0"/>
    <cellStyle name="쉼표 [0] 2 2 2 2 2 2 2 2 2 2" xfId="0"/>
    <cellStyle name="쉼표 [0] 2 2 2 2 2 2 2 2 2 2 10" xfId="0"/>
    <cellStyle name="쉼표 [0] 2 2 2 2 2 2 2 2 2 2 10 2" xfId="0"/>
    <cellStyle name="쉼표 [0] 2 2 2 2 2 2 2 2 2 2 10 3" xfId="0"/>
    <cellStyle name="쉼표 [0] 2 2 2 2 2 2 2 2 2 2 10 4" xfId="0"/>
    <cellStyle name="쉼표 [0] 2 2 2 2 2 2 2 2 2 2 11" xfId="0"/>
    <cellStyle name="쉼표 [0] 2 2 2 2 2 2 2 2 2 2 12" xfId="0"/>
    <cellStyle name="쉼표 [0] 2 2 2 2 2 2 2 2 2 2 13" xfId="0"/>
    <cellStyle name="쉼표 [0] 2 2 2 2 2 2 2 2 2 2 2" xfId="0"/>
    <cellStyle name="쉼표 [0] 2 2 2 2 2 2 2 2 2 2 2 10" xfId="0"/>
    <cellStyle name="쉼표 [0] 2 2 2 2 2 2 2 2 2 2 2 10 2" xfId="0"/>
    <cellStyle name="쉼표 [0] 2 2 2 2 2 2 2 2 2 2 2 10 3" xfId="0"/>
    <cellStyle name="쉼표 [0] 2 2 2 2 2 2 2 2 2 2 2 10 4" xfId="0"/>
    <cellStyle name="쉼표 [0] 2 2 2 2 2 2 2 2 2 2 2 11" xfId="0"/>
    <cellStyle name="쉼표 [0] 2 2 2 2 2 2 2 2 2 2 2 12" xfId="0"/>
    <cellStyle name="쉼표 [0] 2 2 2 2 2 2 2 2 2 2 2 13" xfId="0"/>
    <cellStyle name="쉼표 [0] 2 2 2 2 2 2 2 2 2 2 2 2" xfId="0"/>
    <cellStyle name="쉼표 [0] 2 2 2 2 2 2 2 2 2 2 2 2 2" xfId="0"/>
    <cellStyle name="쉼표 [0] 2 2 2 2 2 2 2 2 2 2 2 2 2 2" xfId="0"/>
    <cellStyle name="쉼표 [0] 2 2 2 2 2 2 2 2 2 2 2 2 2 2 2" xfId="0"/>
    <cellStyle name="쉼표 [0] 2 2 2 2 2 2 2 2 2 2 2 2 2 2 3" xfId="0"/>
    <cellStyle name="쉼표 [0] 2 2 2 2 2 2 2 2 2 2 2 2 2 2 4" xfId="0"/>
    <cellStyle name="쉼표 [0] 2 2 2 2 2 2 2 2 2 2 2 2 2 3" xfId="0"/>
    <cellStyle name="쉼표 [0] 2 2 2 2 2 2 2 2 2 2 2 2 2 3 2" xfId="0"/>
    <cellStyle name="쉼표 [0] 2 2 2 2 2 2 2 2 2 2 2 2 2 3 3" xfId="0"/>
    <cellStyle name="쉼표 [0] 2 2 2 2 2 2 2 2 2 2 2 2 2 3 4" xfId="0"/>
    <cellStyle name="쉼표 [0] 2 2 2 2 2 2 2 2 2 2 2 2 2 4" xfId="0"/>
    <cellStyle name="쉼표 [0] 2 2 2 2 2 2 2 2 2 2 2 2 2 4 2" xfId="0"/>
    <cellStyle name="쉼표 [0] 2 2 2 2 2 2 2 2 2 2 2 2 2 4 3" xfId="0"/>
    <cellStyle name="쉼표 [0] 2 2 2 2 2 2 2 2 2 2 2 2 2 4 4" xfId="0"/>
    <cellStyle name="쉼표 [0] 2 2 2 2 2 2 2 2 2 2 2 2 2 5" xfId="0"/>
    <cellStyle name="쉼표 [0] 2 2 2 2 2 2 2 2 2 2 2 2 2 5 2" xfId="0"/>
    <cellStyle name="쉼표 [0] 2 2 2 2 2 2 2 2 2 2 2 2 2 5 3" xfId="0"/>
    <cellStyle name="쉼표 [0] 2 2 2 2 2 2 2 2 2 2 2 2 2 5 4" xfId="0"/>
    <cellStyle name="쉼표 [0] 2 2 2 2 2 2 2 2 2 2 2 2 2 6" xfId="0"/>
    <cellStyle name="쉼표 [0] 2 2 2 2 2 2 2 2 2 2 2 2 2 7" xfId="0"/>
    <cellStyle name="쉼표 [0] 2 2 2 2 2 2 2 2 2 2 2 2 2 8" xfId="0"/>
    <cellStyle name="쉼표 [0] 2 2 2 2 2 2 2 2 2 2 2 2 3" xfId="0"/>
    <cellStyle name="쉼표 [0] 2 2 2 2 2 2 2 2 2 2 2 2 3 2" xfId="0"/>
    <cellStyle name="쉼표 [0] 2 2 2 2 2 2 2 2 2 2 2 2 3 3" xfId="0"/>
    <cellStyle name="쉼표 [0] 2 2 2 2 2 2 2 2 2 2 2 2 3 4" xfId="0"/>
    <cellStyle name="쉼표 [0] 2 2 2 2 2 2 2 2 2 2 2 2 4" xfId="0"/>
    <cellStyle name="쉼표 [0] 2 2 2 2 2 2 2 2 2 2 2 2 4 2" xfId="0"/>
    <cellStyle name="쉼표 [0] 2 2 2 2 2 2 2 2 2 2 2 2 4 3" xfId="0"/>
    <cellStyle name="쉼표 [0] 2 2 2 2 2 2 2 2 2 2 2 2 4 4" xfId="0"/>
    <cellStyle name="쉼표 [0] 2 2 2 2 2 2 2 2 2 2 2 2 5" xfId="0"/>
    <cellStyle name="쉼표 [0] 2 2 2 2 2 2 2 2 2 2 2 2 5 2" xfId="0"/>
    <cellStyle name="쉼표 [0] 2 2 2 2 2 2 2 2 2 2 2 2 5 3" xfId="0"/>
    <cellStyle name="쉼표 [0] 2 2 2 2 2 2 2 2 2 2 2 2 5 4" xfId="0"/>
    <cellStyle name="쉼표 [0] 2 2 2 2 2 2 2 2 2 2 2 2 6" xfId="0"/>
    <cellStyle name="쉼표 [0] 2 2 2 2 2 2 2 2 2 2 2 2 7" xfId="0"/>
    <cellStyle name="쉼표 [0] 2 2 2 2 2 2 2 2 2 2 2 2 8" xfId="0"/>
    <cellStyle name="쉼표 [0] 2 2 2 2 2 2 2 2 2 2 2 3" xfId="0"/>
    <cellStyle name="쉼표 [0] 2 2 2 2 2 2 2 2 2 2 2 3 2" xfId="0"/>
    <cellStyle name="쉼표 [0] 2 2 2 2 2 2 2 2 2 2 2 3 3" xfId="0"/>
    <cellStyle name="쉼표 [0] 2 2 2 2 2 2 2 2 2 2 2 3 4" xfId="0"/>
    <cellStyle name="쉼표 [0] 2 2 2 2 2 2 2 2 2 2 2 4" xfId="0"/>
    <cellStyle name="쉼표 [0] 2 2 2 2 2 2 2 2 2 2 2 4 2" xfId="0"/>
    <cellStyle name="쉼표 [0] 2 2 2 2 2 2 2 2 2 2 2 4 3" xfId="0"/>
    <cellStyle name="쉼표 [0] 2 2 2 2 2 2 2 2 2 2 2 4 4" xfId="0"/>
    <cellStyle name="쉼표 [0] 2 2 2 2 2 2 2 2 2 2 2 5" xfId="0"/>
    <cellStyle name="쉼표 [0] 2 2 2 2 2 2 2 2 2 2 2 5 2" xfId="0"/>
    <cellStyle name="쉼표 [0] 2 2 2 2 2 2 2 2 2 2 2 5 3" xfId="0"/>
    <cellStyle name="쉼표 [0] 2 2 2 2 2 2 2 2 2 2 2 5 4" xfId="0"/>
    <cellStyle name="쉼표 [0] 2 2 2 2 2 2 2 2 2 2 2 6" xfId="0"/>
    <cellStyle name="쉼표 [0] 2 2 2 2 2 2 2 2 2 2 2 6 2" xfId="0"/>
    <cellStyle name="쉼표 [0] 2 2 2 2 2 2 2 2 2 2 2 6 3" xfId="0"/>
    <cellStyle name="쉼표 [0] 2 2 2 2 2 2 2 2 2 2 2 6 4" xfId="0"/>
    <cellStyle name="쉼표 [0] 2 2 2 2 2 2 2 2 2 2 2 7" xfId="0"/>
    <cellStyle name="쉼표 [0] 2 2 2 2 2 2 2 2 2 2 2 7 2" xfId="0"/>
    <cellStyle name="쉼표 [0] 2 2 2 2 2 2 2 2 2 2 2 7 3" xfId="0"/>
    <cellStyle name="쉼표 [0] 2 2 2 2 2 2 2 2 2 2 2 7 4" xfId="0"/>
    <cellStyle name="쉼표 [0] 2 2 2 2 2 2 2 2 2 2 2 8" xfId="0"/>
    <cellStyle name="쉼표 [0] 2 2 2 2 2 2 2 2 2 2 2 8 2" xfId="0"/>
    <cellStyle name="쉼표 [0] 2 2 2 2 2 2 2 2 2 2 2 8 3" xfId="0"/>
    <cellStyle name="쉼표 [0] 2 2 2 2 2 2 2 2 2 2 2 8 4" xfId="0"/>
    <cellStyle name="쉼표 [0] 2 2 2 2 2 2 2 2 2 2 2 9" xfId="0"/>
    <cellStyle name="쉼표 [0] 2 2 2 2 2 2 2 2 2 2 2 9 2" xfId="0"/>
    <cellStyle name="쉼표 [0] 2 2 2 2 2 2 2 2 2 2 2 9 3" xfId="0"/>
    <cellStyle name="쉼표 [0] 2 2 2 2 2 2 2 2 2 2 2 9 4" xfId="0"/>
    <cellStyle name="쉼표 [0] 2 2 2 2 2 2 2 2 2 2 3" xfId="0"/>
    <cellStyle name="쉼표 [0] 2 2 2 2 2 2 2 2 2 2 3 2" xfId="0"/>
    <cellStyle name="쉼표 [0] 2 2 2 2 2 2 2 2 2 2 3 3" xfId="0"/>
    <cellStyle name="쉼표 [0] 2 2 2 2 2 2 2 2 2 2 3 4" xfId="0"/>
    <cellStyle name="쉼표 [0] 2 2 2 2 2 2 2 2 2 2 4" xfId="0"/>
    <cellStyle name="쉼표 [0] 2 2 2 2 2 2 2 2 2 2 4 2" xfId="0"/>
    <cellStyle name="쉼표 [0] 2 2 2 2 2 2 2 2 2 2 4 3" xfId="0"/>
    <cellStyle name="쉼표 [0] 2 2 2 2 2 2 2 2 2 2 4 4" xfId="0"/>
    <cellStyle name="쉼표 [0] 2 2 2 2 2 2 2 2 2 2 5" xfId="0"/>
    <cellStyle name="쉼표 [0] 2 2 2 2 2 2 2 2 2 2 5 2" xfId="0"/>
    <cellStyle name="쉼표 [0] 2 2 2 2 2 2 2 2 2 2 5 3" xfId="0"/>
    <cellStyle name="쉼표 [0] 2 2 2 2 2 2 2 2 2 2 5 4" xfId="0"/>
    <cellStyle name="쉼표 [0] 2 2 2 2 2 2 2 2 2 2 6" xfId="0"/>
    <cellStyle name="쉼표 [0] 2 2 2 2 2 2 2 2 2 2 6 2" xfId="0"/>
    <cellStyle name="쉼표 [0] 2 2 2 2 2 2 2 2 2 2 6 3" xfId="0"/>
    <cellStyle name="쉼표 [0] 2 2 2 2 2 2 2 2 2 2 6 4" xfId="0"/>
    <cellStyle name="쉼표 [0] 2 2 2 2 2 2 2 2 2 2 7" xfId="0"/>
    <cellStyle name="쉼표 [0] 2 2 2 2 2 2 2 2 2 2 7 2" xfId="0"/>
    <cellStyle name="쉼표 [0] 2 2 2 2 2 2 2 2 2 2 7 3" xfId="0"/>
    <cellStyle name="쉼표 [0] 2 2 2 2 2 2 2 2 2 2 7 4" xfId="0"/>
    <cellStyle name="쉼표 [0] 2 2 2 2 2 2 2 2 2 2 8" xfId="0"/>
    <cellStyle name="쉼표 [0] 2 2 2 2 2 2 2 2 2 2 8 2" xfId="0"/>
    <cellStyle name="쉼표 [0] 2 2 2 2 2 2 2 2 2 2 8 3" xfId="0"/>
    <cellStyle name="쉼표 [0] 2 2 2 2 2 2 2 2 2 2 8 4" xfId="0"/>
    <cellStyle name="쉼표 [0] 2 2 2 2 2 2 2 2 2 2 9" xfId="0"/>
    <cellStyle name="쉼표 [0] 2 2 2 2 2 2 2 2 2 2 9 2" xfId="0"/>
    <cellStyle name="쉼표 [0] 2 2 2 2 2 2 2 2 2 2 9 3" xfId="0"/>
    <cellStyle name="쉼표 [0] 2 2 2 2 2 2 2 2 2 2 9 4" xfId="0"/>
    <cellStyle name="쉼표 [0] 2 2 2 2 2 2 2 2 2 3" xfId="0"/>
    <cellStyle name="쉼표 [0] 2 2 2 2 2 2 2 2 2 3 2" xfId="0"/>
    <cellStyle name="쉼표 [0] 2 2 2 2 2 2 2 2 2 3 3" xfId="0"/>
    <cellStyle name="쉼표 [0] 2 2 2 2 2 2 2 2 2 3 4" xfId="0"/>
    <cellStyle name="쉼표 [0] 2 2 2 2 2 2 2 2 2 4" xfId="0"/>
    <cellStyle name="쉼표 [0] 2 2 2 2 2 2 2 2 2 4 2" xfId="0"/>
    <cellStyle name="쉼표 [0] 2 2 2 2 2 2 2 2 2 4 3" xfId="0"/>
    <cellStyle name="쉼표 [0] 2 2 2 2 2 2 2 2 2 4 4" xfId="0"/>
    <cellStyle name="쉼표 [0] 2 2 2 2 2 2 2 2 2 5" xfId="0"/>
    <cellStyle name="쉼표 [0] 2 2 2 2 2 2 2 2 2 5 2" xfId="0"/>
    <cellStyle name="쉼표 [0] 2 2 2 2 2 2 2 2 2 5 3" xfId="0"/>
    <cellStyle name="쉼표 [0] 2 2 2 2 2 2 2 2 2 5 4" xfId="0"/>
    <cellStyle name="쉼표 [0] 2 2 2 2 2 2 2 2 2 6" xfId="0"/>
    <cellStyle name="쉼표 [0] 2 2 2 2 2 2 2 2 2 6 2" xfId="0"/>
    <cellStyle name="쉼표 [0] 2 2 2 2 2 2 2 2 2 6 3" xfId="0"/>
    <cellStyle name="쉼표 [0] 2 2 2 2 2 2 2 2 2 6 4" xfId="0"/>
    <cellStyle name="쉼표 [0] 2 2 2 2 2 2 2 2 2 7" xfId="0"/>
    <cellStyle name="쉼표 [0] 2 2 2 2 2 2 2 2 2 7 2" xfId="0"/>
    <cellStyle name="쉼표 [0] 2 2 2 2 2 2 2 2 2 7 3" xfId="0"/>
    <cellStyle name="쉼표 [0] 2 2 2 2 2 2 2 2 2 7 4" xfId="0"/>
    <cellStyle name="쉼표 [0] 2 2 2 2 2 2 2 2 2 8" xfId="0"/>
    <cellStyle name="쉼표 [0] 2 2 2 2 2 2 2 2 2 8 2" xfId="0"/>
    <cellStyle name="쉼표 [0] 2 2 2 2 2 2 2 2 2 8 3" xfId="0"/>
    <cellStyle name="쉼표 [0] 2 2 2 2 2 2 2 2 2 8 4" xfId="0"/>
    <cellStyle name="쉼표 [0] 2 2 2 2 2 2 2 2 2 9" xfId="0"/>
    <cellStyle name="쉼표 [0] 2 2 2 2 2 2 2 2 2 9 2" xfId="0"/>
    <cellStyle name="쉼표 [0] 2 2 2 2 2 2 2 2 2 9 3" xfId="0"/>
    <cellStyle name="쉼표 [0] 2 2 2 2 2 2 2 2 2 9 4" xfId="0"/>
    <cellStyle name="쉼표 [0] 2 2 2 2 2 2 2 2 3" xfId="0"/>
    <cellStyle name="쉼표 [0] 2 2 2 2 2 2 2 2 3 2" xfId="0"/>
    <cellStyle name="쉼표 [0] 2 2 2 2 2 2 2 2 3 3" xfId="0"/>
    <cellStyle name="쉼표 [0] 2 2 2 2 2 2 2 2 3 4" xfId="0"/>
    <cellStyle name="쉼표 [0] 2 2 2 2 2 2 2 2 4" xfId="0"/>
    <cellStyle name="쉼표 [0] 2 2 2 2 2 2 2 2 4 2" xfId="0"/>
    <cellStyle name="쉼표 [0] 2 2 2 2 2 2 2 2 4 3" xfId="0"/>
    <cellStyle name="쉼표 [0] 2 2 2 2 2 2 2 2 4 4" xfId="0"/>
    <cellStyle name="쉼표 [0] 2 2 2 2 2 2 2 2 5" xfId="0"/>
    <cellStyle name="쉼표 [0] 2 2 2 2 2 2 2 2 5 2" xfId="0"/>
    <cellStyle name="쉼표 [0] 2 2 2 2 2 2 2 2 5 3" xfId="0"/>
    <cellStyle name="쉼표 [0] 2 2 2 2 2 2 2 2 5 4" xfId="0"/>
    <cellStyle name="쉼표 [0] 2 2 2 2 2 2 2 2 6" xfId="0"/>
    <cellStyle name="쉼표 [0] 2 2 2 2 2 2 2 2 6 2" xfId="0"/>
    <cellStyle name="쉼표 [0] 2 2 2 2 2 2 2 2 6 3" xfId="0"/>
    <cellStyle name="쉼표 [0] 2 2 2 2 2 2 2 2 6 4" xfId="0"/>
    <cellStyle name="쉼표 [0] 2 2 2 2 2 2 2 2 7" xfId="0"/>
    <cellStyle name="쉼표 [0] 2 2 2 2 2 2 2 2 7 2" xfId="0"/>
    <cellStyle name="쉼표 [0] 2 2 2 2 2 2 2 2 7 3" xfId="0"/>
    <cellStyle name="쉼표 [0] 2 2 2 2 2 2 2 2 7 4" xfId="0"/>
    <cellStyle name="쉼표 [0] 2 2 2 2 2 2 2 2 8" xfId="0"/>
    <cellStyle name="쉼표 [0] 2 2 2 2 2 2 2 2 8 2" xfId="0"/>
    <cellStyle name="쉼표 [0] 2 2 2 2 2 2 2 2 8 3" xfId="0"/>
    <cellStyle name="쉼표 [0] 2 2 2 2 2 2 2 2 8 4" xfId="0"/>
    <cellStyle name="쉼표 [0] 2 2 2 2 2 2 2 2 9" xfId="0"/>
    <cellStyle name="쉼표 [0] 2 2 2 2 2 2 2 2 9 2" xfId="0"/>
    <cellStyle name="쉼표 [0] 2 2 2 2 2 2 2 2 9 3" xfId="0"/>
    <cellStyle name="쉼표 [0] 2 2 2 2 2 2 2 2 9 4" xfId="0"/>
    <cellStyle name="쉼표 [0] 2 2 2 2 2 2 2 20" xfId="0"/>
    <cellStyle name="쉼표 [0] 2 2 2 2 2 2 2 20 2" xfId="0"/>
    <cellStyle name="쉼표 [0] 2 2 2 2 2 2 2 20 3" xfId="0"/>
    <cellStyle name="쉼표 [0] 2 2 2 2 2 2 2 20 4" xfId="0"/>
    <cellStyle name="쉼표 [0] 2 2 2 2 2 2 2 21" xfId="0"/>
    <cellStyle name="쉼표 [0] 2 2 2 2 2 2 2 21 2" xfId="0"/>
    <cellStyle name="쉼표 [0] 2 2 2 2 2 2 2 21 3" xfId="0"/>
    <cellStyle name="쉼표 [0] 2 2 2 2 2 2 2 21 4" xfId="0"/>
    <cellStyle name="쉼표 [0] 2 2 2 2 2 2 2 22" xfId="0"/>
    <cellStyle name="쉼표 [0] 2 2 2 2 2 2 2 22 2" xfId="0"/>
    <cellStyle name="쉼표 [0] 2 2 2 2 2 2 2 22 3" xfId="0"/>
    <cellStyle name="쉼표 [0] 2 2 2 2 2 2 2 22 4" xfId="0"/>
    <cellStyle name="쉼표 [0] 2 2 2 2 2 2 2 23" xfId="0"/>
    <cellStyle name="쉼표 [0] 2 2 2 2 2 2 2 23 2" xfId="0"/>
    <cellStyle name="쉼표 [0] 2 2 2 2 2 2 2 23 3" xfId="0"/>
    <cellStyle name="쉼표 [0] 2 2 2 2 2 2 2 23 4" xfId="0"/>
    <cellStyle name="쉼표 [0] 2 2 2 2 2 2 2 24" xfId="0"/>
    <cellStyle name="쉼표 [0] 2 2 2 2 2 2 2 24 2" xfId="0"/>
    <cellStyle name="쉼표 [0] 2 2 2 2 2 2 2 24 3" xfId="0"/>
    <cellStyle name="쉼표 [0] 2 2 2 2 2 2 2 24 4" xfId="0"/>
    <cellStyle name="쉼표 [0] 2 2 2 2 2 2 2 25" xfId="0"/>
    <cellStyle name="쉼표 [0] 2 2 2 2 2 2 2 25 2" xfId="0"/>
    <cellStyle name="쉼표 [0] 2 2 2 2 2 2 2 25 3" xfId="0"/>
    <cellStyle name="쉼표 [0] 2 2 2 2 2 2 2 25 4" xfId="0"/>
    <cellStyle name="쉼표 [0] 2 2 2 2 2 2 2 26" xfId="0"/>
    <cellStyle name="쉼표 [0] 2 2 2 2 2 2 2 26 2" xfId="0"/>
    <cellStyle name="쉼표 [0] 2 2 2 2 2 2 2 26 3" xfId="0"/>
    <cellStyle name="쉼표 [0] 2 2 2 2 2 2 2 26 4" xfId="0"/>
    <cellStyle name="쉼표 [0] 2 2 2 2 2 2 2 27" xfId="0"/>
    <cellStyle name="쉼표 [0] 2 2 2 2 2 2 2 27 2" xfId="0"/>
    <cellStyle name="쉼표 [0] 2 2 2 2 2 2 2 27 3" xfId="0"/>
    <cellStyle name="쉼표 [0] 2 2 2 2 2 2 2 27 4" xfId="0"/>
    <cellStyle name="쉼표 [0] 2 2 2 2 2 2 2 28" xfId="0"/>
    <cellStyle name="쉼표 [0] 2 2 2 2 2 2 2 28 2" xfId="0"/>
    <cellStyle name="쉼표 [0] 2 2 2 2 2 2 2 28 3" xfId="0"/>
    <cellStyle name="쉼표 [0] 2 2 2 2 2 2 2 28 4" xfId="0"/>
    <cellStyle name="쉼표 [0] 2 2 2 2 2 2 2 29" xfId="0"/>
    <cellStyle name="쉼표 [0] 2 2 2 2 2 2 2 29 2" xfId="0"/>
    <cellStyle name="쉼표 [0] 2 2 2 2 2 2 2 29 3" xfId="0"/>
    <cellStyle name="쉼표 [0] 2 2 2 2 2 2 2 29 4" xfId="0"/>
    <cellStyle name="쉼표 [0] 2 2 2 2 2 2 2 3" xfId="0"/>
    <cellStyle name="쉼표 [0] 2 2 2 2 2 2 2 3 2" xfId="0"/>
    <cellStyle name="쉼표 [0] 2 2 2 2 2 2 2 3 3" xfId="0"/>
    <cellStyle name="쉼표 [0] 2 2 2 2 2 2 2 3 4" xfId="0"/>
    <cellStyle name="쉼표 [0] 2 2 2 2 2 2 2 30" xfId="0"/>
    <cellStyle name="쉼표 [0] 2 2 2 2 2 2 2 31" xfId="0"/>
    <cellStyle name="쉼표 [0] 2 2 2 2 2 2 2 32" xfId="0"/>
    <cellStyle name="쉼표 [0] 2 2 2 2 2 2 2 4" xfId="0"/>
    <cellStyle name="쉼표 [0] 2 2 2 2 2 2 2 4 2" xfId="0"/>
    <cellStyle name="쉼표 [0] 2 2 2 2 2 2 2 4 3" xfId="0"/>
    <cellStyle name="쉼표 [0] 2 2 2 2 2 2 2 4 4" xfId="0"/>
    <cellStyle name="쉼표 [0] 2 2 2 2 2 2 2 5" xfId="0"/>
    <cellStyle name="쉼표 [0] 2 2 2 2 2 2 2 5 2" xfId="0"/>
    <cellStyle name="쉼표 [0] 2 2 2 2 2 2 2 5 3" xfId="0"/>
    <cellStyle name="쉼표 [0] 2 2 2 2 2 2 2 5 4" xfId="0"/>
    <cellStyle name="쉼표 [0] 2 2 2 2 2 2 2 6" xfId="0"/>
    <cellStyle name="쉼표 [0] 2 2 2 2 2 2 2 6 2" xfId="0"/>
    <cellStyle name="쉼표 [0] 2 2 2 2 2 2 2 6 3" xfId="0"/>
    <cellStyle name="쉼표 [0] 2 2 2 2 2 2 2 6 4" xfId="0"/>
    <cellStyle name="쉼표 [0] 2 2 2 2 2 2 2 7" xfId="0"/>
    <cellStyle name="쉼표 [0] 2 2 2 2 2 2 2 7 2" xfId="0"/>
    <cellStyle name="쉼표 [0] 2 2 2 2 2 2 2 7 3" xfId="0"/>
    <cellStyle name="쉼표 [0] 2 2 2 2 2 2 2 7 4" xfId="0"/>
    <cellStyle name="쉼표 [0] 2 2 2 2 2 2 2 8" xfId="0"/>
    <cellStyle name="쉼표 [0] 2 2 2 2 2 2 2 8 2" xfId="0"/>
    <cellStyle name="쉼표 [0] 2 2 2 2 2 2 2 8 3" xfId="0"/>
    <cellStyle name="쉼표 [0] 2 2 2 2 2 2 2 8 4" xfId="0"/>
    <cellStyle name="쉼표 [0] 2 2 2 2 2 2 2 9" xfId="0"/>
    <cellStyle name="쉼표 [0] 2 2 2 2 2 2 2 9 2" xfId="0"/>
    <cellStyle name="쉼표 [0] 2 2 2 2 2 2 2 9 3" xfId="0"/>
    <cellStyle name="쉼표 [0] 2 2 2 2 2 2 2 9 4" xfId="0"/>
    <cellStyle name="쉼표 [0] 2 2 2 2 2 2 20" xfId="0"/>
    <cellStyle name="쉼표 [0] 2 2 2 2 2 2 20 2" xfId="0"/>
    <cellStyle name="쉼표 [0] 2 2 2 2 2 2 20 3" xfId="0"/>
    <cellStyle name="쉼표 [0] 2 2 2 2 2 2 20 4" xfId="0"/>
    <cellStyle name="쉼표 [0] 2 2 2 2 2 2 21" xfId="0"/>
    <cellStyle name="쉼표 [0] 2 2 2 2 2 2 21 2" xfId="0"/>
    <cellStyle name="쉼표 [0] 2 2 2 2 2 2 21 3" xfId="0"/>
    <cellStyle name="쉼표 [0] 2 2 2 2 2 2 21 4" xfId="0"/>
    <cellStyle name="쉼표 [0] 2 2 2 2 2 2 22" xfId="0"/>
    <cellStyle name="쉼표 [0] 2 2 2 2 2 2 22 2" xfId="0"/>
    <cellStyle name="쉼표 [0] 2 2 2 2 2 2 22 3" xfId="0"/>
    <cellStyle name="쉼표 [0] 2 2 2 2 2 2 22 4" xfId="0"/>
    <cellStyle name="쉼표 [0] 2 2 2 2 2 2 23" xfId="0"/>
    <cellStyle name="쉼표 [0] 2 2 2 2 2 2 23 2" xfId="0"/>
    <cellStyle name="쉼표 [0] 2 2 2 2 2 2 23 3" xfId="0"/>
    <cellStyle name="쉼표 [0] 2 2 2 2 2 2 23 4" xfId="0"/>
    <cellStyle name="쉼표 [0] 2 2 2 2 2 2 24" xfId="0"/>
    <cellStyle name="쉼표 [0] 2 2 2 2 2 2 24 2" xfId="0"/>
    <cellStyle name="쉼표 [0] 2 2 2 2 2 2 24 3" xfId="0"/>
    <cellStyle name="쉼표 [0] 2 2 2 2 2 2 24 4" xfId="0"/>
    <cellStyle name="쉼표 [0] 2 2 2 2 2 2 25" xfId="0"/>
    <cellStyle name="쉼표 [0] 2 2 2 2 2 2 25 2" xfId="0"/>
    <cellStyle name="쉼표 [0] 2 2 2 2 2 2 25 3" xfId="0"/>
    <cellStyle name="쉼표 [0] 2 2 2 2 2 2 25 4" xfId="0"/>
    <cellStyle name="쉼표 [0] 2 2 2 2 2 2 26" xfId="0"/>
    <cellStyle name="쉼표 [0] 2 2 2 2 2 2 26 2" xfId="0"/>
    <cellStyle name="쉼표 [0] 2 2 2 2 2 2 26 3" xfId="0"/>
    <cellStyle name="쉼표 [0] 2 2 2 2 2 2 26 4" xfId="0"/>
    <cellStyle name="쉼표 [0] 2 2 2 2 2 2 27" xfId="0"/>
    <cellStyle name="쉼표 [0] 2 2 2 2 2 2 27 2" xfId="0"/>
    <cellStyle name="쉼표 [0] 2 2 2 2 2 2 27 3" xfId="0"/>
    <cellStyle name="쉼표 [0] 2 2 2 2 2 2 27 4" xfId="0"/>
    <cellStyle name="쉼표 [0] 2 2 2 2 2 2 28" xfId="0"/>
    <cellStyle name="쉼표 [0] 2 2 2 2 2 2 28 2" xfId="0"/>
    <cellStyle name="쉼표 [0] 2 2 2 2 2 2 28 3" xfId="0"/>
    <cellStyle name="쉼표 [0] 2 2 2 2 2 2 28 4" xfId="0"/>
    <cellStyle name="쉼표 [0] 2 2 2 2 2 2 29" xfId="0"/>
    <cellStyle name="쉼표 [0] 2 2 2 2 2 2 3" xfId="0"/>
    <cellStyle name="쉼표 [0] 2 2 2 2 2 2 3 10" xfId="0"/>
    <cellStyle name="쉼표 [0] 2 2 2 2 2 2 3 10 2" xfId="0"/>
    <cellStyle name="쉼표 [0] 2 2 2 2 2 2 3 10 3" xfId="0"/>
    <cellStyle name="쉼표 [0] 2 2 2 2 2 2 3 10 4" xfId="0"/>
    <cellStyle name="쉼표 [0] 2 2 2 2 2 2 3 11" xfId="0"/>
    <cellStyle name="쉼표 [0] 2 2 2 2 2 2 3 11 2" xfId="0"/>
    <cellStyle name="쉼표 [0] 2 2 2 2 2 2 3 11 3" xfId="0"/>
    <cellStyle name="쉼표 [0] 2 2 2 2 2 2 3 11 4" xfId="0"/>
    <cellStyle name="쉼표 [0] 2 2 2 2 2 2 3 12" xfId="0"/>
    <cellStyle name="쉼표 [0] 2 2 2 2 2 2 3 12 2" xfId="0"/>
    <cellStyle name="쉼표 [0] 2 2 2 2 2 2 3 12 3" xfId="0"/>
    <cellStyle name="쉼표 [0] 2 2 2 2 2 2 3 12 4" xfId="0"/>
    <cellStyle name="쉼표 [0] 2 2 2 2 2 2 3 13" xfId="0"/>
    <cellStyle name="쉼표 [0] 2 2 2 2 2 2 3 13 2" xfId="0"/>
    <cellStyle name="쉼표 [0] 2 2 2 2 2 2 3 13 3" xfId="0"/>
    <cellStyle name="쉼표 [0] 2 2 2 2 2 2 3 13 4" xfId="0"/>
    <cellStyle name="쉼표 [0] 2 2 2 2 2 2 3 14" xfId="0"/>
    <cellStyle name="쉼표 [0] 2 2 2 2 2 2 3 14 2" xfId="0"/>
    <cellStyle name="쉼표 [0] 2 2 2 2 2 2 3 14 3" xfId="0"/>
    <cellStyle name="쉼표 [0] 2 2 2 2 2 2 3 14 4" xfId="0"/>
    <cellStyle name="쉼표 [0] 2 2 2 2 2 2 3 15" xfId="0"/>
    <cellStyle name="쉼표 [0] 2 2 2 2 2 2 3 15 2" xfId="0"/>
    <cellStyle name="쉼표 [0] 2 2 2 2 2 2 3 15 3" xfId="0"/>
    <cellStyle name="쉼표 [0] 2 2 2 2 2 2 3 15 4" xfId="0"/>
    <cellStyle name="쉼표 [0] 2 2 2 2 2 2 3 16" xfId="0"/>
    <cellStyle name="쉼표 [0] 2 2 2 2 2 2 3 16 2" xfId="0"/>
    <cellStyle name="쉼표 [0] 2 2 2 2 2 2 3 16 3" xfId="0"/>
    <cellStyle name="쉼표 [0] 2 2 2 2 2 2 3 16 4" xfId="0"/>
    <cellStyle name="쉼표 [0] 2 2 2 2 2 2 3 17" xfId="0"/>
    <cellStyle name="쉼표 [0] 2 2 2 2 2 2 3 17 2" xfId="0"/>
    <cellStyle name="쉼표 [0] 2 2 2 2 2 2 3 17 3" xfId="0"/>
    <cellStyle name="쉼표 [0] 2 2 2 2 2 2 3 17 4" xfId="0"/>
    <cellStyle name="쉼표 [0] 2 2 2 2 2 2 3 18" xfId="0"/>
    <cellStyle name="쉼표 [0] 2 2 2 2 2 2 3 19" xfId="0"/>
    <cellStyle name="쉼표 [0] 2 2 2 2 2 2 3 2" xfId="0"/>
    <cellStyle name="쉼표 [0] 2 2 2 2 2 2 3 2 2" xfId="0"/>
    <cellStyle name="쉼표 [0] 2 2 2 2 2 2 3 2 3" xfId="0"/>
    <cellStyle name="쉼표 [0] 2 2 2 2 2 2 3 2 4" xfId="0"/>
    <cellStyle name="쉼표 [0] 2 2 2 2 2 2 3 20" xfId="0"/>
    <cellStyle name="쉼표 [0] 2 2 2 2 2 2 3 3" xfId="0"/>
    <cellStyle name="쉼표 [0] 2 2 2 2 2 2 3 3 2" xfId="0"/>
    <cellStyle name="쉼표 [0] 2 2 2 2 2 2 3 3 3" xfId="0"/>
    <cellStyle name="쉼표 [0] 2 2 2 2 2 2 3 3 4" xfId="0"/>
    <cellStyle name="쉼표 [0] 2 2 2 2 2 2 3 4" xfId="0"/>
    <cellStyle name="쉼표 [0] 2 2 2 2 2 2 3 4 2" xfId="0"/>
    <cellStyle name="쉼표 [0] 2 2 2 2 2 2 3 4 3" xfId="0"/>
    <cellStyle name="쉼표 [0] 2 2 2 2 2 2 3 4 4" xfId="0"/>
    <cellStyle name="쉼표 [0] 2 2 2 2 2 2 3 5" xfId="0"/>
    <cellStyle name="쉼표 [0] 2 2 2 2 2 2 3 5 2" xfId="0"/>
    <cellStyle name="쉼표 [0] 2 2 2 2 2 2 3 5 3" xfId="0"/>
    <cellStyle name="쉼표 [0] 2 2 2 2 2 2 3 5 4" xfId="0"/>
    <cellStyle name="쉼표 [0] 2 2 2 2 2 2 3 6" xfId="0"/>
    <cellStyle name="쉼표 [0] 2 2 2 2 2 2 3 6 2" xfId="0"/>
    <cellStyle name="쉼표 [0] 2 2 2 2 2 2 3 6 3" xfId="0"/>
    <cellStyle name="쉼표 [0] 2 2 2 2 2 2 3 6 4" xfId="0"/>
    <cellStyle name="쉼표 [0] 2 2 2 2 2 2 3 7" xfId="0"/>
    <cellStyle name="쉼표 [0] 2 2 2 2 2 2 3 7 2" xfId="0"/>
    <cellStyle name="쉼표 [0] 2 2 2 2 2 2 3 7 3" xfId="0"/>
    <cellStyle name="쉼표 [0] 2 2 2 2 2 2 3 7 4" xfId="0"/>
    <cellStyle name="쉼표 [0] 2 2 2 2 2 2 3 8" xfId="0"/>
    <cellStyle name="쉼표 [0] 2 2 2 2 2 2 3 8 2" xfId="0"/>
    <cellStyle name="쉼표 [0] 2 2 2 2 2 2 3 8 3" xfId="0"/>
    <cellStyle name="쉼표 [0] 2 2 2 2 2 2 3 8 4" xfId="0"/>
    <cellStyle name="쉼표 [0] 2 2 2 2 2 2 3 9" xfId="0"/>
    <cellStyle name="쉼표 [0] 2 2 2 2 2 2 3 9 2" xfId="0"/>
    <cellStyle name="쉼표 [0] 2 2 2 2 2 2 3 9 3" xfId="0"/>
    <cellStyle name="쉼표 [0] 2 2 2 2 2 2 3 9 4" xfId="0"/>
    <cellStyle name="쉼표 [0] 2 2 2 2 2 2 30" xfId="0"/>
    <cellStyle name="쉼표 [0] 2 2 2 2 2 2 31" xfId="0"/>
    <cellStyle name="쉼표 [0] 2 2 2 2 2 2 4" xfId="0"/>
    <cellStyle name="쉼표 [0] 2 2 2 2 2 2 4 10" xfId="0"/>
    <cellStyle name="쉼표 [0] 2 2 2 2 2 2 4 10 2" xfId="0"/>
    <cellStyle name="쉼표 [0] 2 2 2 2 2 2 4 10 3" xfId="0"/>
    <cellStyle name="쉼표 [0] 2 2 2 2 2 2 4 10 4" xfId="0"/>
    <cellStyle name="쉼표 [0] 2 2 2 2 2 2 4 11" xfId="0"/>
    <cellStyle name="쉼표 [0] 2 2 2 2 2 2 4 11 2" xfId="0"/>
    <cellStyle name="쉼표 [0] 2 2 2 2 2 2 4 11 3" xfId="0"/>
    <cellStyle name="쉼표 [0] 2 2 2 2 2 2 4 11 4" xfId="0"/>
    <cellStyle name="쉼표 [0] 2 2 2 2 2 2 4 12" xfId="0"/>
    <cellStyle name="쉼표 [0] 2 2 2 2 2 2 4 12 2" xfId="0"/>
    <cellStyle name="쉼표 [0] 2 2 2 2 2 2 4 12 3" xfId="0"/>
    <cellStyle name="쉼표 [0] 2 2 2 2 2 2 4 12 4" xfId="0"/>
    <cellStyle name="쉼표 [0] 2 2 2 2 2 2 4 13" xfId="0"/>
    <cellStyle name="쉼표 [0] 2 2 2 2 2 2 4 13 2" xfId="0"/>
    <cellStyle name="쉼표 [0] 2 2 2 2 2 2 4 13 3" xfId="0"/>
    <cellStyle name="쉼표 [0] 2 2 2 2 2 2 4 13 4" xfId="0"/>
    <cellStyle name="쉼표 [0] 2 2 2 2 2 2 4 14" xfId="0"/>
    <cellStyle name="쉼표 [0] 2 2 2 2 2 2 4 15" xfId="0"/>
    <cellStyle name="쉼표 [0] 2 2 2 2 2 2 4 16" xfId="0"/>
    <cellStyle name="쉼표 [0] 2 2 2 2 2 2 4 2" xfId="0"/>
    <cellStyle name="쉼표 [0] 2 2 2 2 2 2 4 2 2" xfId="0"/>
    <cellStyle name="쉼표 [0] 2 2 2 2 2 2 4 2 3" xfId="0"/>
    <cellStyle name="쉼표 [0] 2 2 2 2 2 2 4 2 4" xfId="0"/>
    <cellStyle name="쉼표 [0] 2 2 2 2 2 2 4 3" xfId="0"/>
    <cellStyle name="쉼표 [0] 2 2 2 2 2 2 4 3 2" xfId="0"/>
    <cellStyle name="쉼표 [0] 2 2 2 2 2 2 4 3 3" xfId="0"/>
    <cellStyle name="쉼표 [0] 2 2 2 2 2 2 4 3 4" xfId="0"/>
    <cellStyle name="쉼표 [0] 2 2 2 2 2 2 4 4" xfId="0"/>
    <cellStyle name="쉼표 [0] 2 2 2 2 2 2 4 4 2" xfId="0"/>
    <cellStyle name="쉼표 [0] 2 2 2 2 2 2 4 4 3" xfId="0"/>
    <cellStyle name="쉼표 [0] 2 2 2 2 2 2 4 4 4" xfId="0"/>
    <cellStyle name="쉼표 [0] 2 2 2 2 2 2 4 5" xfId="0"/>
    <cellStyle name="쉼표 [0] 2 2 2 2 2 2 4 5 2" xfId="0"/>
    <cellStyle name="쉼표 [0] 2 2 2 2 2 2 4 5 3" xfId="0"/>
    <cellStyle name="쉼표 [0] 2 2 2 2 2 2 4 5 4" xfId="0"/>
    <cellStyle name="쉼표 [0] 2 2 2 2 2 2 4 6" xfId="0"/>
    <cellStyle name="쉼표 [0] 2 2 2 2 2 2 4 6 2" xfId="0"/>
    <cellStyle name="쉼표 [0] 2 2 2 2 2 2 4 6 3" xfId="0"/>
    <cellStyle name="쉼표 [0] 2 2 2 2 2 2 4 6 4" xfId="0"/>
    <cellStyle name="쉼표 [0] 2 2 2 2 2 2 4 7" xfId="0"/>
    <cellStyle name="쉼표 [0] 2 2 2 2 2 2 4 7 2" xfId="0"/>
    <cellStyle name="쉼표 [0] 2 2 2 2 2 2 4 7 3" xfId="0"/>
    <cellStyle name="쉼표 [0] 2 2 2 2 2 2 4 7 4" xfId="0"/>
    <cellStyle name="쉼표 [0] 2 2 2 2 2 2 4 8" xfId="0"/>
    <cellStyle name="쉼표 [0] 2 2 2 2 2 2 4 8 2" xfId="0"/>
    <cellStyle name="쉼표 [0] 2 2 2 2 2 2 4 8 3" xfId="0"/>
    <cellStyle name="쉼표 [0] 2 2 2 2 2 2 4 8 4" xfId="0"/>
    <cellStyle name="쉼표 [0] 2 2 2 2 2 2 4 9" xfId="0"/>
    <cellStyle name="쉼표 [0] 2 2 2 2 2 2 4 9 2" xfId="0"/>
    <cellStyle name="쉼표 [0] 2 2 2 2 2 2 4 9 3" xfId="0"/>
    <cellStyle name="쉼표 [0] 2 2 2 2 2 2 4 9 4" xfId="0"/>
    <cellStyle name="쉼표 [0] 2 2 2 2 2 2 5" xfId="0"/>
    <cellStyle name="쉼표 [0] 2 2 2 2 2 2 5 10" xfId="0"/>
    <cellStyle name="쉼표 [0] 2 2 2 2 2 2 5 10 2" xfId="0"/>
    <cellStyle name="쉼표 [0] 2 2 2 2 2 2 5 10 3" xfId="0"/>
    <cellStyle name="쉼표 [0] 2 2 2 2 2 2 5 10 4" xfId="0"/>
    <cellStyle name="쉼표 [0] 2 2 2 2 2 2 5 11" xfId="0"/>
    <cellStyle name="쉼표 [0] 2 2 2 2 2 2 5 11 2" xfId="0"/>
    <cellStyle name="쉼표 [0] 2 2 2 2 2 2 5 11 3" xfId="0"/>
    <cellStyle name="쉼표 [0] 2 2 2 2 2 2 5 11 4" xfId="0"/>
    <cellStyle name="쉼표 [0] 2 2 2 2 2 2 5 12" xfId="0"/>
    <cellStyle name="쉼표 [0] 2 2 2 2 2 2 5 12 2" xfId="0"/>
    <cellStyle name="쉼표 [0] 2 2 2 2 2 2 5 12 3" xfId="0"/>
    <cellStyle name="쉼표 [0] 2 2 2 2 2 2 5 12 4" xfId="0"/>
    <cellStyle name="쉼표 [0] 2 2 2 2 2 2 5 13" xfId="0"/>
    <cellStyle name="쉼표 [0] 2 2 2 2 2 2 5 13 2" xfId="0"/>
    <cellStyle name="쉼표 [0] 2 2 2 2 2 2 5 13 3" xfId="0"/>
    <cellStyle name="쉼표 [0] 2 2 2 2 2 2 5 13 4" xfId="0"/>
    <cellStyle name="쉼표 [0] 2 2 2 2 2 2 5 14" xfId="0"/>
    <cellStyle name="쉼표 [0] 2 2 2 2 2 2 5 15" xfId="0"/>
    <cellStyle name="쉼표 [0] 2 2 2 2 2 2 5 16" xfId="0"/>
    <cellStyle name="쉼표 [0] 2 2 2 2 2 2 5 2" xfId="0"/>
    <cellStyle name="쉼표 [0] 2 2 2 2 2 2 5 2 2" xfId="0"/>
    <cellStyle name="쉼표 [0] 2 2 2 2 2 2 5 2 3" xfId="0"/>
    <cellStyle name="쉼표 [0] 2 2 2 2 2 2 5 2 4" xfId="0"/>
    <cellStyle name="쉼표 [0] 2 2 2 2 2 2 5 3" xfId="0"/>
    <cellStyle name="쉼표 [0] 2 2 2 2 2 2 5 3 2" xfId="0"/>
    <cellStyle name="쉼표 [0] 2 2 2 2 2 2 5 3 3" xfId="0"/>
    <cellStyle name="쉼표 [0] 2 2 2 2 2 2 5 3 4" xfId="0"/>
    <cellStyle name="쉼표 [0] 2 2 2 2 2 2 5 4" xfId="0"/>
    <cellStyle name="쉼표 [0] 2 2 2 2 2 2 5 4 2" xfId="0"/>
    <cellStyle name="쉼표 [0] 2 2 2 2 2 2 5 4 3" xfId="0"/>
    <cellStyle name="쉼표 [0] 2 2 2 2 2 2 5 4 4" xfId="0"/>
    <cellStyle name="쉼표 [0] 2 2 2 2 2 2 5 5" xfId="0"/>
    <cellStyle name="쉼표 [0] 2 2 2 2 2 2 5 5 2" xfId="0"/>
    <cellStyle name="쉼표 [0] 2 2 2 2 2 2 5 5 3" xfId="0"/>
    <cellStyle name="쉼표 [0] 2 2 2 2 2 2 5 5 4" xfId="0"/>
    <cellStyle name="쉼표 [0] 2 2 2 2 2 2 5 6" xfId="0"/>
    <cellStyle name="쉼표 [0] 2 2 2 2 2 2 5 6 2" xfId="0"/>
    <cellStyle name="쉼표 [0] 2 2 2 2 2 2 5 6 3" xfId="0"/>
    <cellStyle name="쉼표 [0] 2 2 2 2 2 2 5 6 4" xfId="0"/>
    <cellStyle name="쉼표 [0] 2 2 2 2 2 2 5 7" xfId="0"/>
    <cellStyle name="쉼표 [0] 2 2 2 2 2 2 5 7 2" xfId="0"/>
    <cellStyle name="쉼표 [0] 2 2 2 2 2 2 5 7 3" xfId="0"/>
    <cellStyle name="쉼표 [0] 2 2 2 2 2 2 5 7 4" xfId="0"/>
    <cellStyle name="쉼표 [0] 2 2 2 2 2 2 5 8" xfId="0"/>
    <cellStyle name="쉼표 [0] 2 2 2 2 2 2 5 8 2" xfId="0"/>
    <cellStyle name="쉼표 [0] 2 2 2 2 2 2 5 8 3" xfId="0"/>
    <cellStyle name="쉼표 [0] 2 2 2 2 2 2 5 8 4" xfId="0"/>
    <cellStyle name="쉼표 [0] 2 2 2 2 2 2 5 9" xfId="0"/>
    <cellStyle name="쉼표 [0] 2 2 2 2 2 2 5 9 2" xfId="0"/>
    <cellStyle name="쉼표 [0] 2 2 2 2 2 2 5 9 3" xfId="0"/>
    <cellStyle name="쉼표 [0] 2 2 2 2 2 2 5 9 4" xfId="0"/>
    <cellStyle name="쉼표 [0] 2 2 2 2 2 2 6" xfId="0"/>
    <cellStyle name="쉼표 [0] 2 2 2 2 2 2 6 2" xfId="0"/>
    <cellStyle name="쉼표 [0] 2 2 2 2 2 2 6 2 2" xfId="0"/>
    <cellStyle name="쉼표 [0] 2 2 2 2 2 2 6 2 3" xfId="0"/>
    <cellStyle name="쉼표 [0] 2 2 2 2 2 2 6 2 4" xfId="0"/>
    <cellStyle name="쉼표 [0] 2 2 2 2 2 2 6 3" xfId="0"/>
    <cellStyle name="쉼표 [0] 2 2 2 2 2 2 6 3 2" xfId="0"/>
    <cellStyle name="쉼표 [0] 2 2 2 2 2 2 6 3 3" xfId="0"/>
    <cellStyle name="쉼표 [0] 2 2 2 2 2 2 6 3 4" xfId="0"/>
    <cellStyle name="쉼표 [0] 2 2 2 2 2 2 6 4" xfId="0"/>
    <cellStyle name="쉼표 [0] 2 2 2 2 2 2 6 4 2" xfId="0"/>
    <cellStyle name="쉼표 [0] 2 2 2 2 2 2 6 4 3" xfId="0"/>
    <cellStyle name="쉼표 [0] 2 2 2 2 2 2 6 4 4" xfId="0"/>
    <cellStyle name="쉼표 [0] 2 2 2 2 2 2 6 5" xfId="0"/>
    <cellStyle name="쉼표 [0] 2 2 2 2 2 2 6 5 2" xfId="0"/>
    <cellStyle name="쉼표 [0] 2 2 2 2 2 2 6 5 3" xfId="0"/>
    <cellStyle name="쉼표 [0] 2 2 2 2 2 2 6 5 4" xfId="0"/>
    <cellStyle name="쉼표 [0] 2 2 2 2 2 2 6 6" xfId="0"/>
    <cellStyle name="쉼표 [0] 2 2 2 2 2 2 6 7" xfId="0"/>
    <cellStyle name="쉼표 [0] 2 2 2 2 2 2 6 8" xfId="0"/>
    <cellStyle name="쉼표 [0] 2 2 2 2 2 2 7" xfId="0"/>
    <cellStyle name="쉼표 [0] 2 2 2 2 2 2 7 2" xfId="0"/>
    <cellStyle name="쉼표 [0] 2 2 2 2 2 2 7 3" xfId="0"/>
    <cellStyle name="쉼표 [0] 2 2 2 2 2 2 7 4" xfId="0"/>
    <cellStyle name="쉼표 [0] 2 2 2 2 2 2 8" xfId="0"/>
    <cellStyle name="쉼표 [0] 2 2 2 2 2 2 8 2" xfId="0"/>
    <cellStyle name="쉼표 [0] 2 2 2 2 2 2 8 3" xfId="0"/>
    <cellStyle name="쉼표 [0] 2 2 2 2 2 2 8 4" xfId="0"/>
    <cellStyle name="쉼표 [0] 2 2 2 2 2 2 9" xfId="0"/>
    <cellStyle name="쉼표 [0] 2 2 2 2 2 2 9 2" xfId="0"/>
    <cellStyle name="쉼표 [0] 2 2 2 2 2 2 9 3" xfId="0"/>
    <cellStyle name="쉼표 [0] 2 2 2 2 2 2 9 4" xfId="0"/>
    <cellStyle name="쉼표 [0] 2 2 2 2 2 20" xfId="0"/>
    <cellStyle name="쉼표 [0] 2 2 2 2 2 20 2" xfId="0"/>
    <cellStyle name="쉼표 [0] 2 2 2 2 2 20 3" xfId="0"/>
    <cellStyle name="쉼표 [0] 2 2 2 2 2 20 4" xfId="0"/>
    <cellStyle name="쉼표 [0] 2 2 2 2 2 21" xfId="0"/>
    <cellStyle name="쉼표 [0] 2 2 2 2 2 21 2" xfId="0"/>
    <cellStyle name="쉼표 [0] 2 2 2 2 2 21 3" xfId="0"/>
    <cellStyle name="쉼표 [0] 2 2 2 2 2 21 4" xfId="0"/>
    <cellStyle name="쉼표 [0] 2 2 2 2 2 22" xfId="0"/>
    <cellStyle name="쉼표 [0] 2 2 2 2 2 22 2" xfId="0"/>
    <cellStyle name="쉼표 [0] 2 2 2 2 2 22 3" xfId="0"/>
    <cellStyle name="쉼표 [0] 2 2 2 2 2 22 4" xfId="0"/>
    <cellStyle name="쉼표 [0] 2 2 2 2 2 23" xfId="0"/>
    <cellStyle name="쉼표 [0] 2 2 2 2 2 23 2" xfId="0"/>
    <cellStyle name="쉼표 [0] 2 2 2 2 2 23 3" xfId="0"/>
    <cellStyle name="쉼표 [0] 2 2 2 2 2 23 4" xfId="0"/>
    <cellStyle name="쉼표 [0] 2 2 2 2 2 24" xfId="0"/>
    <cellStyle name="쉼표 [0] 2 2 2 2 2 24 2" xfId="0"/>
    <cellStyle name="쉼표 [0] 2 2 2 2 2 24 3" xfId="0"/>
    <cellStyle name="쉼표 [0] 2 2 2 2 2 24 4" xfId="0"/>
    <cellStyle name="쉼표 [0] 2 2 2 2 2 25" xfId="0"/>
    <cellStyle name="쉼표 [0] 2 2 2 2 2 25 2" xfId="0"/>
    <cellStyle name="쉼표 [0] 2 2 2 2 2 25 3" xfId="0"/>
    <cellStyle name="쉼표 [0] 2 2 2 2 2 25 4" xfId="0"/>
    <cellStyle name="쉼표 [0] 2 2 2 2 2 26" xfId="0"/>
    <cellStyle name="쉼표 [0] 2 2 2 2 2 26 2" xfId="0"/>
    <cellStyle name="쉼표 [0] 2 2 2 2 2 26 3" xfId="0"/>
    <cellStyle name="쉼표 [0] 2 2 2 2 2 26 4" xfId="0"/>
    <cellStyle name="쉼표 [0] 2 2 2 2 2 27" xfId="0"/>
    <cellStyle name="쉼표 [0] 2 2 2 2 2 27 2" xfId="0"/>
    <cellStyle name="쉼표 [0] 2 2 2 2 2 27 3" xfId="0"/>
    <cellStyle name="쉼표 [0] 2 2 2 2 2 27 4" xfId="0"/>
    <cellStyle name="쉼표 [0] 2 2 2 2 2 28" xfId="0"/>
    <cellStyle name="쉼표 [0] 2 2 2 2 2 28 2" xfId="0"/>
    <cellStyle name="쉼표 [0] 2 2 2 2 2 28 3" xfId="0"/>
    <cellStyle name="쉼표 [0] 2 2 2 2 2 28 4" xfId="0"/>
    <cellStyle name="쉼표 [0] 2 2 2 2 2 29" xfId="0"/>
    <cellStyle name="쉼표 [0] 2 2 2 2 2 3" xfId="0"/>
    <cellStyle name="쉼표 [0] 2 2 2 2 2 3 2" xfId="0"/>
    <cellStyle name="쉼표 [0] 2 2 2 2 2 3 2 2" xfId="0"/>
    <cellStyle name="쉼표 [0] 2 2 2 2 2 3 2 2 2" xfId="0"/>
    <cellStyle name="쉼표 [0] 2 2 2 2 2 3 2 2 3" xfId="0"/>
    <cellStyle name="쉼표 [0] 2 2 2 2 2 3 2 2 4" xfId="0"/>
    <cellStyle name="쉼표 [0] 2 2 2 2 2 3 2 3" xfId="0"/>
    <cellStyle name="쉼표 [0] 2 2 2 2 2 3 2 3 2" xfId="0"/>
    <cellStyle name="쉼표 [0] 2 2 2 2 2 3 2 3 3" xfId="0"/>
    <cellStyle name="쉼표 [0] 2 2 2 2 2 3 2 3 4" xfId="0"/>
    <cellStyle name="쉼표 [0] 2 2 2 2 2 3 2 4" xfId="0"/>
    <cellStyle name="쉼표 [0] 2 2 2 2 2 3 2 4 2" xfId="0"/>
    <cellStyle name="쉼표 [0] 2 2 2 2 2 3 2 4 3" xfId="0"/>
    <cellStyle name="쉼표 [0] 2 2 2 2 2 3 2 4 4" xfId="0"/>
    <cellStyle name="쉼표 [0] 2 2 2 2 2 3 2 5" xfId="0"/>
    <cellStyle name="쉼표 [0] 2 2 2 2 2 3 2 5 2" xfId="0"/>
    <cellStyle name="쉼표 [0] 2 2 2 2 2 3 2 5 3" xfId="0"/>
    <cellStyle name="쉼표 [0] 2 2 2 2 2 3 2 5 4" xfId="0"/>
    <cellStyle name="쉼표 [0] 2 2 2 2 2 3 2 6" xfId="0"/>
    <cellStyle name="쉼표 [0] 2 2 2 2 2 3 2 7" xfId="0"/>
    <cellStyle name="쉼표 [0] 2 2 2 2 2 3 2 8" xfId="0"/>
    <cellStyle name="쉼표 [0] 2 2 2 2 2 3 3" xfId="0"/>
    <cellStyle name="쉼표 [0] 2 2 2 2 2 3 3 2" xfId="0"/>
    <cellStyle name="쉼표 [0] 2 2 2 2 2 3 3 3" xfId="0"/>
    <cellStyle name="쉼표 [0] 2 2 2 2 2 3 3 4" xfId="0"/>
    <cellStyle name="쉼표 [0] 2 2 2 2 2 3 4" xfId="0"/>
    <cellStyle name="쉼표 [0] 2 2 2 2 2 3 4 2" xfId="0"/>
    <cellStyle name="쉼표 [0] 2 2 2 2 2 3 4 3" xfId="0"/>
    <cellStyle name="쉼표 [0] 2 2 2 2 2 3 4 4" xfId="0"/>
    <cellStyle name="쉼표 [0] 2 2 2 2 2 3 5" xfId="0"/>
    <cellStyle name="쉼표 [0] 2 2 2 2 2 3 5 2" xfId="0"/>
    <cellStyle name="쉼표 [0] 2 2 2 2 2 3 5 3" xfId="0"/>
    <cellStyle name="쉼표 [0] 2 2 2 2 2 3 5 4" xfId="0"/>
    <cellStyle name="쉼표 [0] 2 2 2 2 2 3 6" xfId="0"/>
    <cellStyle name="쉼표 [0] 2 2 2 2 2 3 7" xfId="0"/>
    <cellStyle name="쉼표 [0] 2 2 2 2 2 3 8" xfId="0"/>
    <cellStyle name="쉼표 [0] 2 2 2 2 2 30" xfId="0"/>
    <cellStyle name="쉼표 [0] 2 2 2 2 2 31" xfId="0"/>
    <cellStyle name="쉼표 [0] 2 2 2 2 2 4" xfId="0"/>
    <cellStyle name="쉼표 [0] 2 2 2 2 2 4 2" xfId="0"/>
    <cellStyle name="쉼표 [0] 2 2 2 2 2 4 2 2" xfId="0"/>
    <cellStyle name="쉼표 [0] 2 2 2 2 2 4 2 2 2" xfId="0"/>
    <cellStyle name="쉼표 [0] 2 2 2 2 2 4 2 2 3" xfId="0"/>
    <cellStyle name="쉼표 [0] 2 2 2 2 2 4 2 2 4" xfId="0"/>
    <cellStyle name="쉼표 [0] 2 2 2 2 2 4 2 3" xfId="0"/>
    <cellStyle name="쉼표 [0] 2 2 2 2 2 4 2 3 2" xfId="0"/>
    <cellStyle name="쉼표 [0] 2 2 2 2 2 4 2 3 3" xfId="0"/>
    <cellStyle name="쉼표 [0] 2 2 2 2 2 4 2 3 4" xfId="0"/>
    <cellStyle name="쉼표 [0] 2 2 2 2 2 4 2 4" xfId="0"/>
    <cellStyle name="쉼표 [0] 2 2 2 2 2 4 2 4 2" xfId="0"/>
    <cellStyle name="쉼표 [0] 2 2 2 2 2 4 2 4 3" xfId="0"/>
    <cellStyle name="쉼표 [0] 2 2 2 2 2 4 2 4 4" xfId="0"/>
    <cellStyle name="쉼표 [0] 2 2 2 2 2 4 2 5" xfId="0"/>
    <cellStyle name="쉼표 [0] 2 2 2 2 2 4 2 5 2" xfId="0"/>
    <cellStyle name="쉼표 [0] 2 2 2 2 2 4 2 5 3" xfId="0"/>
    <cellStyle name="쉼표 [0] 2 2 2 2 2 4 2 5 4" xfId="0"/>
    <cellStyle name="쉼표 [0] 2 2 2 2 2 4 2 6" xfId="0"/>
    <cellStyle name="쉼표 [0] 2 2 2 2 2 4 2 7" xfId="0"/>
    <cellStyle name="쉼표 [0] 2 2 2 2 2 4 2 8" xfId="0"/>
    <cellStyle name="쉼표 [0] 2 2 2 2 2 4 3" xfId="0"/>
    <cellStyle name="쉼표 [0] 2 2 2 2 2 4 3 2" xfId="0"/>
    <cellStyle name="쉼표 [0] 2 2 2 2 2 4 3 3" xfId="0"/>
    <cellStyle name="쉼표 [0] 2 2 2 2 2 4 3 4" xfId="0"/>
    <cellStyle name="쉼표 [0] 2 2 2 2 2 4 4" xfId="0"/>
    <cellStyle name="쉼표 [0] 2 2 2 2 2 4 4 2" xfId="0"/>
    <cellStyle name="쉼표 [0] 2 2 2 2 2 4 4 3" xfId="0"/>
    <cellStyle name="쉼표 [0] 2 2 2 2 2 4 4 4" xfId="0"/>
    <cellStyle name="쉼표 [0] 2 2 2 2 2 4 5" xfId="0"/>
    <cellStyle name="쉼표 [0] 2 2 2 2 2 4 5 2" xfId="0"/>
    <cellStyle name="쉼표 [0] 2 2 2 2 2 4 5 3" xfId="0"/>
    <cellStyle name="쉼표 [0] 2 2 2 2 2 4 5 4" xfId="0"/>
    <cellStyle name="쉼표 [0] 2 2 2 2 2 4 6" xfId="0"/>
    <cellStyle name="쉼표 [0] 2 2 2 2 2 4 7" xfId="0"/>
    <cellStyle name="쉼표 [0] 2 2 2 2 2 4 8" xfId="0"/>
    <cellStyle name="쉼표 [0] 2 2 2 2 2 5" xfId="0"/>
    <cellStyle name="쉼표 [0] 2 2 2 2 2 5 2" xfId="0"/>
    <cellStyle name="쉼표 [0] 2 2 2 2 2 5 2 2" xfId="0"/>
    <cellStyle name="쉼표 [0] 2 2 2 2 2 5 2 2 2" xfId="0"/>
    <cellStyle name="쉼표 [0] 2 2 2 2 2 5 2 2 3" xfId="0"/>
    <cellStyle name="쉼표 [0] 2 2 2 2 2 5 2 2 4" xfId="0"/>
    <cellStyle name="쉼표 [0] 2 2 2 2 2 5 2 3" xfId="0"/>
    <cellStyle name="쉼표 [0] 2 2 2 2 2 5 2 3 2" xfId="0"/>
    <cellStyle name="쉼표 [0] 2 2 2 2 2 5 2 3 3" xfId="0"/>
    <cellStyle name="쉼표 [0] 2 2 2 2 2 5 2 3 4" xfId="0"/>
    <cellStyle name="쉼표 [0] 2 2 2 2 2 5 2 4" xfId="0"/>
    <cellStyle name="쉼표 [0] 2 2 2 2 2 5 2 4 2" xfId="0"/>
    <cellStyle name="쉼표 [0] 2 2 2 2 2 5 2 4 3" xfId="0"/>
    <cellStyle name="쉼표 [0] 2 2 2 2 2 5 2 4 4" xfId="0"/>
    <cellStyle name="쉼표 [0] 2 2 2 2 2 5 2 5" xfId="0"/>
    <cellStyle name="쉼표 [0] 2 2 2 2 2 5 2 5 2" xfId="0"/>
    <cellStyle name="쉼표 [0] 2 2 2 2 2 5 2 5 3" xfId="0"/>
    <cellStyle name="쉼표 [0] 2 2 2 2 2 5 2 5 4" xfId="0"/>
    <cellStyle name="쉼표 [0] 2 2 2 2 2 5 2 6" xfId="0"/>
    <cellStyle name="쉼표 [0] 2 2 2 2 2 5 2 7" xfId="0"/>
    <cellStyle name="쉼표 [0] 2 2 2 2 2 5 2 8" xfId="0"/>
    <cellStyle name="쉼표 [0] 2 2 2 2 2 5 3" xfId="0"/>
    <cellStyle name="쉼표 [0] 2 2 2 2 2 5 3 2" xfId="0"/>
    <cellStyle name="쉼표 [0] 2 2 2 2 2 5 3 3" xfId="0"/>
    <cellStyle name="쉼표 [0] 2 2 2 2 2 5 3 4" xfId="0"/>
    <cellStyle name="쉼표 [0] 2 2 2 2 2 5 4" xfId="0"/>
    <cellStyle name="쉼표 [0] 2 2 2 2 2 5 4 2" xfId="0"/>
    <cellStyle name="쉼표 [0] 2 2 2 2 2 5 4 3" xfId="0"/>
    <cellStyle name="쉼표 [0] 2 2 2 2 2 5 4 4" xfId="0"/>
    <cellStyle name="쉼표 [0] 2 2 2 2 2 5 5" xfId="0"/>
    <cellStyle name="쉼표 [0] 2 2 2 2 2 5 5 2" xfId="0"/>
    <cellStyle name="쉼표 [0] 2 2 2 2 2 5 5 3" xfId="0"/>
    <cellStyle name="쉼표 [0] 2 2 2 2 2 5 5 4" xfId="0"/>
    <cellStyle name="쉼표 [0] 2 2 2 2 2 5 6" xfId="0"/>
    <cellStyle name="쉼표 [0] 2 2 2 2 2 5 7" xfId="0"/>
    <cellStyle name="쉼표 [0] 2 2 2 2 2 5 8" xfId="0"/>
    <cellStyle name="쉼표 [0] 2 2 2 2 2 6" xfId="0"/>
    <cellStyle name="쉼표 [0] 2 2 2 2 2 6 10" xfId="0"/>
    <cellStyle name="쉼표 [0] 2 2 2 2 2 6 10 2" xfId="0"/>
    <cellStyle name="쉼표 [0] 2 2 2 2 2 6 10 3" xfId="0"/>
    <cellStyle name="쉼표 [0] 2 2 2 2 2 6 10 4" xfId="0"/>
    <cellStyle name="쉼표 [0] 2 2 2 2 2 6 11" xfId="0"/>
    <cellStyle name="쉼표 [0] 2 2 2 2 2 6 11 2" xfId="0"/>
    <cellStyle name="쉼표 [0] 2 2 2 2 2 6 11 3" xfId="0"/>
    <cellStyle name="쉼표 [0] 2 2 2 2 2 6 11 4" xfId="0"/>
    <cellStyle name="쉼표 [0] 2 2 2 2 2 6 12" xfId="0"/>
    <cellStyle name="쉼표 [0] 2 2 2 2 2 6 12 2" xfId="0"/>
    <cellStyle name="쉼표 [0] 2 2 2 2 2 6 12 3" xfId="0"/>
    <cellStyle name="쉼표 [0] 2 2 2 2 2 6 12 4" xfId="0"/>
    <cellStyle name="쉼표 [0] 2 2 2 2 2 6 13" xfId="0"/>
    <cellStyle name="쉼표 [0] 2 2 2 2 2 6 13 2" xfId="0"/>
    <cellStyle name="쉼표 [0] 2 2 2 2 2 6 13 3" xfId="0"/>
    <cellStyle name="쉼표 [0] 2 2 2 2 2 6 13 4" xfId="0"/>
    <cellStyle name="쉼표 [0] 2 2 2 2 2 6 14" xfId="0"/>
    <cellStyle name="쉼표 [0] 2 2 2 2 2 6 15" xfId="0"/>
    <cellStyle name="쉼표 [0] 2 2 2 2 2 6 16" xfId="0"/>
    <cellStyle name="쉼표 [0] 2 2 2 2 2 6 2" xfId="0"/>
    <cellStyle name="쉼표 [0] 2 2 2 2 2 6 2 10" xfId="0"/>
    <cellStyle name="쉼표 [0] 2 2 2 2 2 6 2 10 2" xfId="0"/>
    <cellStyle name="쉼표 [0] 2 2 2 2 2 6 2 10 3" xfId="0"/>
    <cellStyle name="쉼표 [0] 2 2 2 2 2 6 2 10 4" xfId="0"/>
    <cellStyle name="쉼표 [0] 2 2 2 2 2 6 2 11" xfId="0"/>
    <cellStyle name="쉼표 [0] 2 2 2 2 2 6 2 12" xfId="0"/>
    <cellStyle name="쉼표 [0] 2 2 2 2 2 6 2 13" xfId="0"/>
    <cellStyle name="쉼표 [0] 2 2 2 2 2 6 2 2" xfId="0"/>
    <cellStyle name="쉼표 [0] 2 2 2 2 2 6 2 2 2" xfId="0"/>
    <cellStyle name="쉼표 [0] 2 2 2 2 2 6 2 2 2 2" xfId="0"/>
    <cellStyle name="쉼표 [0] 2 2 2 2 2 6 2 2 2 2 2" xfId="0"/>
    <cellStyle name="쉼표 [0] 2 2 2 2 2 6 2 2 2 2 3" xfId="0"/>
    <cellStyle name="쉼표 [0] 2 2 2 2 2 6 2 2 2 2 4" xfId="0"/>
    <cellStyle name="쉼표 [0] 2 2 2 2 2 6 2 2 2 3" xfId="0"/>
    <cellStyle name="쉼표 [0] 2 2 2 2 2 6 2 2 2 3 2" xfId="0"/>
    <cellStyle name="쉼표 [0] 2 2 2 2 2 6 2 2 2 3 3" xfId="0"/>
    <cellStyle name="쉼표 [0] 2 2 2 2 2 6 2 2 2 3 4" xfId="0"/>
    <cellStyle name="쉼표 [0] 2 2 2 2 2 6 2 2 2 4" xfId="0"/>
    <cellStyle name="쉼표 [0] 2 2 2 2 2 6 2 2 2 4 2" xfId="0"/>
    <cellStyle name="쉼표 [0] 2 2 2 2 2 6 2 2 2 4 3" xfId="0"/>
    <cellStyle name="쉼표 [0] 2 2 2 2 2 6 2 2 2 4 4" xfId="0"/>
    <cellStyle name="쉼표 [0] 2 2 2 2 2 6 2 2 2 5" xfId="0"/>
    <cellStyle name="쉼표 [0] 2 2 2 2 2 6 2 2 2 5 2" xfId="0"/>
    <cellStyle name="쉼표 [0] 2 2 2 2 2 6 2 2 2 5 3" xfId="0"/>
    <cellStyle name="쉼표 [0] 2 2 2 2 2 6 2 2 2 5 4" xfId="0"/>
    <cellStyle name="쉼표 [0] 2 2 2 2 2 6 2 2 2 6" xfId="0"/>
    <cellStyle name="쉼표 [0] 2 2 2 2 2 6 2 2 2 7" xfId="0"/>
    <cellStyle name="쉼표 [0] 2 2 2 2 2 6 2 2 2 8" xfId="0"/>
    <cellStyle name="쉼표 [0] 2 2 2 2 2 6 2 2 3" xfId="0"/>
    <cellStyle name="쉼표 [0] 2 2 2 2 2 6 2 2 3 2" xfId="0"/>
    <cellStyle name="쉼표 [0] 2 2 2 2 2 6 2 2 3 3" xfId="0"/>
    <cellStyle name="쉼표 [0] 2 2 2 2 2 6 2 2 3 4" xfId="0"/>
    <cellStyle name="쉼표 [0] 2 2 2 2 2 6 2 2 4" xfId="0"/>
    <cellStyle name="쉼표 [0] 2 2 2 2 2 6 2 2 4 2" xfId="0"/>
    <cellStyle name="쉼표 [0] 2 2 2 2 2 6 2 2 4 3" xfId="0"/>
    <cellStyle name="쉼표 [0] 2 2 2 2 2 6 2 2 4 4" xfId="0"/>
    <cellStyle name="쉼표 [0] 2 2 2 2 2 6 2 2 5" xfId="0"/>
    <cellStyle name="쉼표 [0] 2 2 2 2 2 6 2 2 5 2" xfId="0"/>
    <cellStyle name="쉼표 [0] 2 2 2 2 2 6 2 2 5 3" xfId="0"/>
    <cellStyle name="쉼표 [0] 2 2 2 2 2 6 2 2 5 4" xfId="0"/>
    <cellStyle name="쉼표 [0] 2 2 2 2 2 6 2 2 6" xfId="0"/>
    <cellStyle name="쉼표 [0] 2 2 2 2 2 6 2 2 7" xfId="0"/>
    <cellStyle name="쉼표 [0] 2 2 2 2 2 6 2 2 8" xfId="0"/>
    <cellStyle name="쉼표 [0] 2 2 2 2 2 6 2 3" xfId="0"/>
    <cellStyle name="쉼표 [0] 2 2 2 2 2 6 2 3 2" xfId="0"/>
    <cellStyle name="쉼표 [0] 2 2 2 2 2 6 2 3 3" xfId="0"/>
    <cellStyle name="쉼표 [0] 2 2 2 2 2 6 2 3 4" xfId="0"/>
    <cellStyle name="쉼표 [0] 2 2 2 2 2 6 2 4" xfId="0"/>
    <cellStyle name="쉼표 [0] 2 2 2 2 2 6 2 4 2" xfId="0"/>
    <cellStyle name="쉼표 [0] 2 2 2 2 2 6 2 4 3" xfId="0"/>
    <cellStyle name="쉼표 [0] 2 2 2 2 2 6 2 4 4" xfId="0"/>
    <cellStyle name="쉼표 [0] 2 2 2 2 2 6 2 5" xfId="0"/>
    <cellStyle name="쉼표 [0] 2 2 2 2 2 6 2 5 2" xfId="0"/>
    <cellStyle name="쉼표 [0] 2 2 2 2 2 6 2 5 3" xfId="0"/>
    <cellStyle name="쉼표 [0] 2 2 2 2 2 6 2 5 4" xfId="0"/>
    <cellStyle name="쉼표 [0] 2 2 2 2 2 6 2 6" xfId="0"/>
    <cellStyle name="쉼표 [0] 2 2 2 2 2 6 2 6 2" xfId="0"/>
    <cellStyle name="쉼표 [0] 2 2 2 2 2 6 2 6 3" xfId="0"/>
    <cellStyle name="쉼표 [0] 2 2 2 2 2 6 2 6 4" xfId="0"/>
    <cellStyle name="쉼표 [0] 2 2 2 2 2 6 2 7" xfId="0"/>
    <cellStyle name="쉼표 [0] 2 2 2 2 2 6 2 7 2" xfId="0"/>
    <cellStyle name="쉼표 [0] 2 2 2 2 2 6 2 7 3" xfId="0"/>
    <cellStyle name="쉼표 [0] 2 2 2 2 2 6 2 7 4" xfId="0"/>
    <cellStyle name="쉼표 [0] 2 2 2 2 2 6 2 8" xfId="0"/>
    <cellStyle name="쉼표 [0] 2 2 2 2 2 6 2 8 2" xfId="0"/>
    <cellStyle name="쉼표 [0] 2 2 2 2 2 6 2 8 3" xfId="0"/>
    <cellStyle name="쉼표 [0] 2 2 2 2 2 6 2 8 4" xfId="0"/>
    <cellStyle name="쉼표 [0] 2 2 2 2 2 6 2 9" xfId="0"/>
    <cellStyle name="쉼표 [0] 2 2 2 2 2 6 2 9 2" xfId="0"/>
    <cellStyle name="쉼표 [0] 2 2 2 2 2 6 2 9 3" xfId="0"/>
    <cellStyle name="쉼표 [0] 2 2 2 2 2 6 2 9 4" xfId="0"/>
    <cellStyle name="쉼표 [0] 2 2 2 2 2 6 3" xfId="0"/>
    <cellStyle name="쉼표 [0] 2 2 2 2 2 6 3 2" xfId="0"/>
    <cellStyle name="쉼표 [0] 2 2 2 2 2 6 3 3" xfId="0"/>
    <cellStyle name="쉼표 [0] 2 2 2 2 2 6 3 4" xfId="0"/>
    <cellStyle name="쉼표 [0] 2 2 2 2 2 6 4" xfId="0"/>
    <cellStyle name="쉼표 [0] 2 2 2 2 2 6 4 2" xfId="0"/>
    <cellStyle name="쉼표 [0] 2 2 2 2 2 6 4 3" xfId="0"/>
    <cellStyle name="쉼표 [0] 2 2 2 2 2 6 4 4" xfId="0"/>
    <cellStyle name="쉼표 [0] 2 2 2 2 2 6 5" xfId="0"/>
    <cellStyle name="쉼표 [0] 2 2 2 2 2 6 5 2" xfId="0"/>
    <cellStyle name="쉼표 [0] 2 2 2 2 2 6 5 3" xfId="0"/>
    <cellStyle name="쉼표 [0] 2 2 2 2 2 6 5 4" xfId="0"/>
    <cellStyle name="쉼표 [0] 2 2 2 2 2 6 6" xfId="0"/>
    <cellStyle name="쉼표 [0] 2 2 2 2 2 6 6 2" xfId="0"/>
    <cellStyle name="쉼표 [0] 2 2 2 2 2 6 6 3" xfId="0"/>
    <cellStyle name="쉼표 [0] 2 2 2 2 2 6 6 4" xfId="0"/>
    <cellStyle name="쉼표 [0] 2 2 2 2 2 6 7" xfId="0"/>
    <cellStyle name="쉼표 [0] 2 2 2 2 2 6 7 2" xfId="0"/>
    <cellStyle name="쉼표 [0] 2 2 2 2 2 6 7 3" xfId="0"/>
    <cellStyle name="쉼표 [0] 2 2 2 2 2 6 7 4" xfId="0"/>
    <cellStyle name="쉼표 [0] 2 2 2 2 2 6 8" xfId="0"/>
    <cellStyle name="쉼표 [0] 2 2 2 2 2 6 8 2" xfId="0"/>
    <cellStyle name="쉼표 [0] 2 2 2 2 2 6 8 3" xfId="0"/>
    <cellStyle name="쉼표 [0] 2 2 2 2 2 6 8 4" xfId="0"/>
    <cellStyle name="쉼표 [0] 2 2 2 2 2 6 9" xfId="0"/>
    <cellStyle name="쉼표 [0] 2 2 2 2 2 6 9 2" xfId="0"/>
    <cellStyle name="쉼표 [0] 2 2 2 2 2 6 9 3" xfId="0"/>
    <cellStyle name="쉼표 [0] 2 2 2 2 2 6 9 4" xfId="0"/>
    <cellStyle name="쉼표 [0] 2 2 2 2 2 7" xfId="0"/>
    <cellStyle name="쉼표 [0] 2 2 2 2 2 7 2" xfId="0"/>
    <cellStyle name="쉼표 [0] 2 2 2 2 2 7 2 2" xfId="0"/>
    <cellStyle name="쉼표 [0] 2 2 2 2 2 7 2 2 2" xfId="0"/>
    <cellStyle name="쉼표 [0] 2 2 2 2 2 7 2 2 3" xfId="0"/>
    <cellStyle name="쉼표 [0] 2 2 2 2 2 7 2 2 4" xfId="0"/>
    <cellStyle name="쉼표 [0] 2 2 2 2 2 7 2 3" xfId="0"/>
    <cellStyle name="쉼표 [0] 2 2 2 2 2 7 2 3 2" xfId="0"/>
    <cellStyle name="쉼표 [0] 2 2 2 2 2 7 2 3 3" xfId="0"/>
    <cellStyle name="쉼표 [0] 2 2 2 2 2 7 2 3 4" xfId="0"/>
    <cellStyle name="쉼표 [0] 2 2 2 2 2 7 2 4" xfId="0"/>
    <cellStyle name="쉼표 [0] 2 2 2 2 2 7 2 4 2" xfId="0"/>
    <cellStyle name="쉼표 [0] 2 2 2 2 2 7 2 4 3" xfId="0"/>
    <cellStyle name="쉼표 [0] 2 2 2 2 2 7 2 4 4" xfId="0"/>
    <cellStyle name="쉼표 [0] 2 2 2 2 2 7 2 5" xfId="0"/>
    <cellStyle name="쉼표 [0] 2 2 2 2 2 7 2 5 2" xfId="0"/>
    <cellStyle name="쉼표 [0] 2 2 2 2 2 7 2 5 3" xfId="0"/>
    <cellStyle name="쉼표 [0] 2 2 2 2 2 7 2 5 4" xfId="0"/>
    <cellStyle name="쉼표 [0] 2 2 2 2 2 7 2 6" xfId="0"/>
    <cellStyle name="쉼표 [0] 2 2 2 2 2 7 2 7" xfId="0"/>
    <cellStyle name="쉼표 [0] 2 2 2 2 2 7 2 8" xfId="0"/>
    <cellStyle name="쉼표 [0] 2 2 2 2 2 7 3" xfId="0"/>
    <cellStyle name="쉼표 [0] 2 2 2 2 2 7 3 2" xfId="0"/>
    <cellStyle name="쉼표 [0] 2 2 2 2 2 7 3 3" xfId="0"/>
    <cellStyle name="쉼표 [0] 2 2 2 2 2 7 3 4" xfId="0"/>
    <cellStyle name="쉼표 [0] 2 2 2 2 2 7 4" xfId="0"/>
    <cellStyle name="쉼표 [0] 2 2 2 2 2 7 4 2" xfId="0"/>
    <cellStyle name="쉼표 [0] 2 2 2 2 2 7 4 3" xfId="0"/>
    <cellStyle name="쉼표 [0] 2 2 2 2 2 7 4 4" xfId="0"/>
    <cellStyle name="쉼표 [0] 2 2 2 2 2 7 5" xfId="0"/>
    <cellStyle name="쉼표 [0] 2 2 2 2 2 7 5 2" xfId="0"/>
    <cellStyle name="쉼표 [0] 2 2 2 2 2 7 5 3" xfId="0"/>
    <cellStyle name="쉼표 [0] 2 2 2 2 2 7 5 4" xfId="0"/>
    <cellStyle name="쉼표 [0] 2 2 2 2 2 7 6" xfId="0"/>
    <cellStyle name="쉼표 [0] 2 2 2 2 2 7 7" xfId="0"/>
    <cellStyle name="쉼표 [0] 2 2 2 2 2 7 8" xfId="0"/>
    <cellStyle name="쉼표 [0] 2 2 2 2 2 8" xfId="0"/>
    <cellStyle name="쉼표 [0] 2 2 2 2 2 8 2" xfId="0"/>
    <cellStyle name="쉼표 [0] 2 2 2 2 2 8 2 2" xfId="0"/>
    <cellStyle name="쉼표 [0] 2 2 2 2 2 8 2 2 2" xfId="0"/>
    <cellStyle name="쉼표 [0] 2 2 2 2 2 8 2 2 3" xfId="0"/>
    <cellStyle name="쉼표 [0] 2 2 2 2 2 8 2 2 4" xfId="0"/>
    <cellStyle name="쉼표 [0] 2 2 2 2 2 8 2 3" xfId="0"/>
    <cellStyle name="쉼표 [0] 2 2 2 2 2 8 2 3 2" xfId="0"/>
    <cellStyle name="쉼표 [0] 2 2 2 2 2 8 2 3 3" xfId="0"/>
    <cellStyle name="쉼표 [0] 2 2 2 2 2 8 2 3 4" xfId="0"/>
    <cellStyle name="쉼표 [0] 2 2 2 2 2 8 2 4" xfId="0"/>
    <cellStyle name="쉼표 [0] 2 2 2 2 2 8 2 4 2" xfId="0"/>
    <cellStyle name="쉼표 [0] 2 2 2 2 2 8 2 4 3" xfId="0"/>
    <cellStyle name="쉼표 [0] 2 2 2 2 2 8 2 4 4" xfId="0"/>
    <cellStyle name="쉼표 [0] 2 2 2 2 2 8 2 5" xfId="0"/>
    <cellStyle name="쉼표 [0] 2 2 2 2 2 8 2 5 2" xfId="0"/>
    <cellStyle name="쉼표 [0] 2 2 2 2 2 8 2 5 3" xfId="0"/>
    <cellStyle name="쉼표 [0] 2 2 2 2 2 8 2 5 4" xfId="0"/>
    <cellStyle name="쉼표 [0] 2 2 2 2 2 8 2 6" xfId="0"/>
    <cellStyle name="쉼표 [0] 2 2 2 2 2 8 2 7" xfId="0"/>
    <cellStyle name="쉼표 [0] 2 2 2 2 2 8 2 8" xfId="0"/>
    <cellStyle name="쉼표 [0] 2 2 2 2 2 8 3" xfId="0"/>
    <cellStyle name="쉼표 [0] 2 2 2 2 2 8 3 2" xfId="0"/>
    <cellStyle name="쉼표 [0] 2 2 2 2 2 8 3 3" xfId="0"/>
    <cellStyle name="쉼표 [0] 2 2 2 2 2 8 3 4" xfId="0"/>
    <cellStyle name="쉼표 [0] 2 2 2 2 2 8 4" xfId="0"/>
    <cellStyle name="쉼표 [0] 2 2 2 2 2 8 4 2" xfId="0"/>
    <cellStyle name="쉼표 [0] 2 2 2 2 2 8 4 3" xfId="0"/>
    <cellStyle name="쉼표 [0] 2 2 2 2 2 8 4 4" xfId="0"/>
    <cellStyle name="쉼표 [0] 2 2 2 2 2 8 5" xfId="0"/>
    <cellStyle name="쉼표 [0] 2 2 2 2 2 8 5 2" xfId="0"/>
    <cellStyle name="쉼표 [0] 2 2 2 2 2 8 5 3" xfId="0"/>
    <cellStyle name="쉼표 [0] 2 2 2 2 2 8 5 4" xfId="0"/>
    <cellStyle name="쉼표 [0] 2 2 2 2 2 8 6" xfId="0"/>
    <cellStyle name="쉼표 [0] 2 2 2 2 2 8 7" xfId="0"/>
    <cellStyle name="쉼표 [0] 2 2 2 2 2 8 8" xfId="0"/>
    <cellStyle name="쉼표 [0] 2 2 2 2 2 9" xfId="0"/>
    <cellStyle name="쉼표 [0] 2 2 2 2 2 9 2" xfId="0"/>
    <cellStyle name="쉼표 [0] 2 2 2 2 2 9 2 2" xfId="0"/>
    <cellStyle name="쉼표 [0] 2 2 2 2 2 9 2 2 2" xfId="0"/>
    <cellStyle name="쉼표 [0] 2 2 2 2 2 9 2 2 3" xfId="0"/>
    <cellStyle name="쉼표 [0] 2 2 2 2 2 9 2 2 4" xfId="0"/>
    <cellStyle name="쉼표 [0] 2 2 2 2 2 9 2 3" xfId="0"/>
    <cellStyle name="쉼표 [0] 2 2 2 2 2 9 2 3 2" xfId="0"/>
    <cellStyle name="쉼표 [0] 2 2 2 2 2 9 2 3 3" xfId="0"/>
    <cellStyle name="쉼표 [0] 2 2 2 2 2 9 2 3 4" xfId="0"/>
    <cellStyle name="쉼표 [0] 2 2 2 2 2 9 2 4" xfId="0"/>
    <cellStyle name="쉼표 [0] 2 2 2 2 2 9 2 4 2" xfId="0"/>
    <cellStyle name="쉼표 [0] 2 2 2 2 2 9 2 4 3" xfId="0"/>
    <cellStyle name="쉼표 [0] 2 2 2 2 2 9 2 4 4" xfId="0"/>
    <cellStyle name="쉼표 [0] 2 2 2 2 2 9 2 5" xfId="0"/>
    <cellStyle name="쉼표 [0] 2 2 2 2 2 9 2 5 2" xfId="0"/>
    <cellStyle name="쉼표 [0] 2 2 2 2 2 9 2 5 3" xfId="0"/>
    <cellStyle name="쉼표 [0] 2 2 2 2 2 9 2 5 4" xfId="0"/>
    <cellStyle name="쉼표 [0] 2 2 2 2 2 9 2 6" xfId="0"/>
    <cellStyle name="쉼표 [0] 2 2 2 2 2 9 2 7" xfId="0"/>
    <cellStyle name="쉼표 [0] 2 2 2 2 2 9 2 8" xfId="0"/>
    <cellStyle name="쉼표 [0] 2 2 2 2 2 9 3" xfId="0"/>
    <cellStyle name="쉼표 [0] 2 2 2 2 2 9 3 2" xfId="0"/>
    <cellStyle name="쉼표 [0] 2 2 2 2 2 9 3 3" xfId="0"/>
    <cellStyle name="쉼표 [0] 2 2 2 2 2 9 3 4" xfId="0"/>
    <cellStyle name="쉼표 [0] 2 2 2 2 2 9 4" xfId="0"/>
    <cellStyle name="쉼표 [0] 2 2 2 2 2 9 4 2" xfId="0"/>
    <cellStyle name="쉼표 [0] 2 2 2 2 2 9 4 3" xfId="0"/>
    <cellStyle name="쉼표 [0] 2 2 2 2 2 9 4 4" xfId="0"/>
    <cellStyle name="쉼표 [0] 2 2 2 2 2 9 5" xfId="0"/>
    <cellStyle name="쉼표 [0] 2 2 2 2 2 9 5 2" xfId="0"/>
    <cellStyle name="쉼표 [0] 2 2 2 2 2 9 5 3" xfId="0"/>
    <cellStyle name="쉼표 [0] 2 2 2 2 2 9 5 4" xfId="0"/>
    <cellStyle name="쉼표 [0] 2 2 2 2 2 9 6" xfId="0"/>
    <cellStyle name="쉼표 [0] 2 2 2 2 2 9 7" xfId="0"/>
    <cellStyle name="쉼표 [0] 2 2 2 2 2 9 8" xfId="0"/>
    <cellStyle name="쉼표 [0] 2 2 2 2 20" xfId="0"/>
    <cellStyle name="쉼표 [0] 2 2 2 2 20 2" xfId="0"/>
    <cellStyle name="쉼표 [0] 2 2 2 2 20 3" xfId="0"/>
    <cellStyle name="쉼표 [0] 2 2 2 2 20 4" xfId="0"/>
    <cellStyle name="쉼표 [0] 2 2 2 2 21" xfId="0"/>
    <cellStyle name="쉼표 [0] 2 2 2 2 21 2" xfId="0"/>
    <cellStyle name="쉼표 [0] 2 2 2 2 21 3" xfId="0"/>
    <cellStyle name="쉼표 [0] 2 2 2 2 21 4" xfId="0"/>
    <cellStyle name="쉼표 [0] 2 2 2 2 22" xfId="0"/>
    <cellStyle name="쉼표 [0] 2 2 2 2 22 2" xfId="0"/>
    <cellStyle name="쉼표 [0] 2 2 2 2 22 3" xfId="0"/>
    <cellStyle name="쉼표 [0] 2 2 2 2 22 4" xfId="0"/>
    <cellStyle name="쉼표 [0] 2 2 2 2 23" xfId="0"/>
    <cellStyle name="쉼표 [0] 2 2 2 2 23 2" xfId="0"/>
    <cellStyle name="쉼표 [0] 2 2 2 2 23 3" xfId="0"/>
    <cellStyle name="쉼표 [0] 2 2 2 2 23 4" xfId="0"/>
    <cellStyle name="쉼표 [0] 2 2 2 2 24" xfId="0"/>
    <cellStyle name="쉼표 [0] 2 2 2 2 24 2" xfId="0"/>
    <cellStyle name="쉼표 [0] 2 2 2 2 24 3" xfId="0"/>
    <cellStyle name="쉼표 [0] 2 2 2 2 24 4" xfId="0"/>
    <cellStyle name="쉼표 [0] 2 2 2 2 25" xfId="0"/>
    <cellStyle name="쉼표 [0] 2 2 2 2 25 2" xfId="0"/>
    <cellStyle name="쉼표 [0] 2 2 2 2 25 3" xfId="0"/>
    <cellStyle name="쉼표 [0] 2 2 2 2 25 4" xfId="0"/>
    <cellStyle name="쉼표 [0] 2 2 2 2 26" xfId="0"/>
    <cellStyle name="쉼표 [0] 2 2 2 2 27" xfId="0"/>
    <cellStyle name="쉼표 [0] 2 2 2 2 28" xfId="0"/>
    <cellStyle name="쉼표 [0] 2 2 2 2 3" xfId="0"/>
    <cellStyle name="쉼표 [0] 2 2 2 2 3 10" xfId="0"/>
    <cellStyle name="쉼표 [0] 2 2 2 2 3 10 2" xfId="0"/>
    <cellStyle name="쉼표 [0] 2 2 2 2 3 10 3" xfId="0"/>
    <cellStyle name="쉼표 [0] 2 2 2 2 3 10 4" xfId="0"/>
    <cellStyle name="쉼표 [0] 2 2 2 2 3 11" xfId="0"/>
    <cellStyle name="쉼표 [0] 2 2 2 2 3 11 2" xfId="0"/>
    <cellStyle name="쉼표 [0] 2 2 2 2 3 11 3" xfId="0"/>
    <cellStyle name="쉼표 [0] 2 2 2 2 3 11 4" xfId="0"/>
    <cellStyle name="쉼표 [0] 2 2 2 2 3 12" xfId="0"/>
    <cellStyle name="쉼표 [0] 2 2 2 2 3 12 2" xfId="0"/>
    <cellStyle name="쉼표 [0] 2 2 2 2 3 12 3" xfId="0"/>
    <cellStyle name="쉼표 [0] 2 2 2 2 3 12 4" xfId="0"/>
    <cellStyle name="쉼표 [0] 2 2 2 2 3 13" xfId="0"/>
    <cellStyle name="쉼표 [0] 2 2 2 2 3 13 2" xfId="0"/>
    <cellStyle name="쉼표 [0] 2 2 2 2 3 13 3" xfId="0"/>
    <cellStyle name="쉼표 [0] 2 2 2 2 3 13 4" xfId="0"/>
    <cellStyle name="쉼표 [0] 2 2 2 2 3 14" xfId="0"/>
    <cellStyle name="쉼표 [0] 2 2 2 2 3 14 2" xfId="0"/>
    <cellStyle name="쉼표 [0] 2 2 2 2 3 14 3" xfId="0"/>
    <cellStyle name="쉼표 [0] 2 2 2 2 3 14 4" xfId="0"/>
    <cellStyle name="쉼표 [0] 2 2 2 2 3 15" xfId="0"/>
    <cellStyle name="쉼표 [0] 2 2 2 2 3 15 2" xfId="0"/>
    <cellStyle name="쉼표 [0] 2 2 2 2 3 15 3" xfId="0"/>
    <cellStyle name="쉼표 [0] 2 2 2 2 3 15 4" xfId="0"/>
    <cellStyle name="쉼표 [0] 2 2 2 2 3 16" xfId="0"/>
    <cellStyle name="쉼표 [0] 2 2 2 2 3 16 2" xfId="0"/>
    <cellStyle name="쉼표 [0] 2 2 2 2 3 16 3" xfId="0"/>
    <cellStyle name="쉼표 [0] 2 2 2 2 3 16 4" xfId="0"/>
    <cellStyle name="쉼표 [0] 2 2 2 2 3 17" xfId="0"/>
    <cellStyle name="쉼표 [0] 2 2 2 2 3 17 2" xfId="0"/>
    <cellStyle name="쉼표 [0] 2 2 2 2 3 17 3" xfId="0"/>
    <cellStyle name="쉼표 [0] 2 2 2 2 3 17 4" xfId="0"/>
    <cellStyle name="쉼표 [0] 2 2 2 2 3 18" xfId="0"/>
    <cellStyle name="쉼표 [0] 2 2 2 2 3 18 2" xfId="0"/>
    <cellStyle name="쉼표 [0] 2 2 2 2 3 18 3" xfId="0"/>
    <cellStyle name="쉼표 [0] 2 2 2 2 3 18 4" xfId="0"/>
    <cellStyle name="쉼표 [0] 2 2 2 2 3 19" xfId="0"/>
    <cellStyle name="쉼표 [0] 2 2 2 2 3 19 2" xfId="0"/>
    <cellStyle name="쉼표 [0] 2 2 2 2 3 19 3" xfId="0"/>
    <cellStyle name="쉼표 [0] 2 2 2 2 3 19 4" xfId="0"/>
    <cellStyle name="쉼표 [0] 2 2 2 2 3 2" xfId="0"/>
    <cellStyle name="쉼표 [0] 2 2 2 2 3 2 2" xfId="0"/>
    <cellStyle name="쉼표 [0] 2 2 2 2 3 2 3" xfId="0"/>
    <cellStyle name="쉼표 [0] 2 2 2 2 3 2 4" xfId="0"/>
    <cellStyle name="쉼표 [0] 2 2 2 2 3 20" xfId="0"/>
    <cellStyle name="쉼표 [0] 2 2 2 2 3 20 2" xfId="0"/>
    <cellStyle name="쉼표 [0] 2 2 2 2 3 20 3" xfId="0"/>
    <cellStyle name="쉼표 [0] 2 2 2 2 3 20 4" xfId="0"/>
    <cellStyle name="쉼표 [0] 2 2 2 2 3 21" xfId="0"/>
    <cellStyle name="쉼표 [0] 2 2 2 2 3 21 2" xfId="0"/>
    <cellStyle name="쉼표 [0] 2 2 2 2 3 21 3" xfId="0"/>
    <cellStyle name="쉼표 [0] 2 2 2 2 3 21 4" xfId="0"/>
    <cellStyle name="쉼표 [0] 2 2 2 2 3 22" xfId="0"/>
    <cellStyle name="쉼표 [0] 2 2 2 2 3 23" xfId="0"/>
    <cellStyle name="쉼표 [0] 2 2 2 2 3 24" xfId="0"/>
    <cellStyle name="쉼표 [0] 2 2 2 2 3 3" xfId="0"/>
    <cellStyle name="쉼표 [0] 2 2 2 2 3 3 2" xfId="0"/>
    <cellStyle name="쉼표 [0] 2 2 2 2 3 3 3" xfId="0"/>
    <cellStyle name="쉼표 [0] 2 2 2 2 3 3 4" xfId="0"/>
    <cellStyle name="쉼표 [0] 2 2 2 2 3 4" xfId="0"/>
    <cellStyle name="쉼표 [0] 2 2 2 2 3 4 2" xfId="0"/>
    <cellStyle name="쉼표 [0] 2 2 2 2 3 4 3" xfId="0"/>
    <cellStyle name="쉼표 [0] 2 2 2 2 3 4 4" xfId="0"/>
    <cellStyle name="쉼표 [0] 2 2 2 2 3 5" xfId="0"/>
    <cellStyle name="쉼표 [0] 2 2 2 2 3 5 2" xfId="0"/>
    <cellStyle name="쉼표 [0] 2 2 2 2 3 5 3" xfId="0"/>
    <cellStyle name="쉼표 [0] 2 2 2 2 3 5 4" xfId="0"/>
    <cellStyle name="쉼표 [0] 2 2 2 2 3 6" xfId="0"/>
    <cellStyle name="쉼표 [0] 2 2 2 2 3 6 2" xfId="0"/>
    <cellStyle name="쉼표 [0] 2 2 2 2 3 6 3" xfId="0"/>
    <cellStyle name="쉼표 [0] 2 2 2 2 3 6 4" xfId="0"/>
    <cellStyle name="쉼표 [0] 2 2 2 2 3 7" xfId="0"/>
    <cellStyle name="쉼표 [0] 2 2 2 2 3 7 2" xfId="0"/>
    <cellStyle name="쉼표 [0] 2 2 2 2 3 7 3" xfId="0"/>
    <cellStyle name="쉼표 [0] 2 2 2 2 3 7 4" xfId="0"/>
    <cellStyle name="쉼표 [0] 2 2 2 2 3 8" xfId="0"/>
    <cellStyle name="쉼표 [0] 2 2 2 2 3 8 2" xfId="0"/>
    <cellStyle name="쉼표 [0] 2 2 2 2 3 8 3" xfId="0"/>
    <cellStyle name="쉼표 [0] 2 2 2 2 3 8 4" xfId="0"/>
    <cellStyle name="쉼표 [0] 2 2 2 2 3 9" xfId="0"/>
    <cellStyle name="쉼표 [0] 2 2 2 2 3 9 2" xfId="0"/>
    <cellStyle name="쉼표 [0] 2 2 2 2 3 9 3" xfId="0"/>
    <cellStyle name="쉼표 [0] 2 2 2 2 3 9 4" xfId="0"/>
    <cellStyle name="쉼표 [0] 2 2 2 2 4" xfId="0"/>
    <cellStyle name="쉼표 [0] 2 2 2 2 4 10" xfId="0"/>
    <cellStyle name="쉼표 [0] 2 2 2 2 4 10 2" xfId="0"/>
    <cellStyle name="쉼표 [0] 2 2 2 2 4 10 3" xfId="0"/>
    <cellStyle name="쉼표 [0] 2 2 2 2 4 10 4" xfId="0"/>
    <cellStyle name="쉼표 [0] 2 2 2 2 4 11" xfId="0"/>
    <cellStyle name="쉼표 [0] 2 2 2 2 4 11 2" xfId="0"/>
    <cellStyle name="쉼표 [0] 2 2 2 2 4 11 3" xfId="0"/>
    <cellStyle name="쉼표 [0] 2 2 2 2 4 11 4" xfId="0"/>
    <cellStyle name="쉼표 [0] 2 2 2 2 4 12" xfId="0"/>
    <cellStyle name="쉼표 [0] 2 2 2 2 4 12 2" xfId="0"/>
    <cellStyle name="쉼표 [0] 2 2 2 2 4 12 3" xfId="0"/>
    <cellStyle name="쉼표 [0] 2 2 2 2 4 12 4" xfId="0"/>
    <cellStyle name="쉼표 [0] 2 2 2 2 4 13" xfId="0"/>
    <cellStyle name="쉼표 [0] 2 2 2 2 4 13 2" xfId="0"/>
    <cellStyle name="쉼표 [0] 2 2 2 2 4 13 3" xfId="0"/>
    <cellStyle name="쉼표 [0] 2 2 2 2 4 13 4" xfId="0"/>
    <cellStyle name="쉼표 [0] 2 2 2 2 4 14" xfId="0"/>
    <cellStyle name="쉼표 [0] 2 2 2 2 4 14 2" xfId="0"/>
    <cellStyle name="쉼표 [0] 2 2 2 2 4 14 3" xfId="0"/>
    <cellStyle name="쉼표 [0] 2 2 2 2 4 14 4" xfId="0"/>
    <cellStyle name="쉼표 [0] 2 2 2 2 4 15" xfId="0"/>
    <cellStyle name="쉼표 [0] 2 2 2 2 4 15 2" xfId="0"/>
    <cellStyle name="쉼표 [0] 2 2 2 2 4 15 3" xfId="0"/>
    <cellStyle name="쉼표 [0] 2 2 2 2 4 15 4" xfId="0"/>
    <cellStyle name="쉼표 [0] 2 2 2 2 4 16" xfId="0"/>
    <cellStyle name="쉼표 [0] 2 2 2 2 4 16 2" xfId="0"/>
    <cellStyle name="쉼표 [0] 2 2 2 2 4 16 3" xfId="0"/>
    <cellStyle name="쉼표 [0] 2 2 2 2 4 16 4" xfId="0"/>
    <cellStyle name="쉼표 [0] 2 2 2 2 4 17" xfId="0"/>
    <cellStyle name="쉼표 [0] 2 2 2 2 4 17 2" xfId="0"/>
    <cellStyle name="쉼표 [0] 2 2 2 2 4 17 3" xfId="0"/>
    <cellStyle name="쉼표 [0] 2 2 2 2 4 17 4" xfId="0"/>
    <cellStyle name="쉼표 [0] 2 2 2 2 4 18" xfId="0"/>
    <cellStyle name="쉼표 [0] 2 2 2 2 4 18 2" xfId="0"/>
    <cellStyle name="쉼표 [0] 2 2 2 2 4 18 3" xfId="0"/>
    <cellStyle name="쉼표 [0] 2 2 2 2 4 18 4" xfId="0"/>
    <cellStyle name="쉼표 [0] 2 2 2 2 4 19" xfId="0"/>
    <cellStyle name="쉼표 [0] 2 2 2 2 4 19 2" xfId="0"/>
    <cellStyle name="쉼표 [0] 2 2 2 2 4 19 3" xfId="0"/>
    <cellStyle name="쉼표 [0] 2 2 2 2 4 19 4" xfId="0"/>
    <cellStyle name="쉼표 [0] 2 2 2 2 4 2" xfId="0"/>
    <cellStyle name="쉼표 [0] 2 2 2 2 4 2 2" xfId="0"/>
    <cellStyle name="쉼표 [0] 2 2 2 2 4 2 3" xfId="0"/>
    <cellStyle name="쉼표 [0] 2 2 2 2 4 2 4" xfId="0"/>
    <cellStyle name="쉼표 [0] 2 2 2 2 4 20" xfId="0"/>
    <cellStyle name="쉼표 [0] 2 2 2 2 4 20 2" xfId="0"/>
    <cellStyle name="쉼표 [0] 2 2 2 2 4 20 3" xfId="0"/>
    <cellStyle name="쉼표 [0] 2 2 2 2 4 20 4" xfId="0"/>
    <cellStyle name="쉼표 [0] 2 2 2 2 4 21" xfId="0"/>
    <cellStyle name="쉼표 [0] 2 2 2 2 4 21 2" xfId="0"/>
    <cellStyle name="쉼표 [0] 2 2 2 2 4 21 3" xfId="0"/>
    <cellStyle name="쉼표 [0] 2 2 2 2 4 21 4" xfId="0"/>
    <cellStyle name="쉼표 [0] 2 2 2 2 4 22" xfId="0"/>
    <cellStyle name="쉼표 [0] 2 2 2 2 4 23" xfId="0"/>
    <cellStyle name="쉼표 [0] 2 2 2 2 4 24" xfId="0"/>
    <cellStyle name="쉼표 [0] 2 2 2 2 4 3" xfId="0"/>
    <cellStyle name="쉼표 [0] 2 2 2 2 4 3 2" xfId="0"/>
    <cellStyle name="쉼표 [0] 2 2 2 2 4 3 3" xfId="0"/>
    <cellStyle name="쉼표 [0] 2 2 2 2 4 3 4" xfId="0"/>
    <cellStyle name="쉼표 [0] 2 2 2 2 4 4" xfId="0"/>
    <cellStyle name="쉼표 [0] 2 2 2 2 4 4 2" xfId="0"/>
    <cellStyle name="쉼표 [0] 2 2 2 2 4 4 3" xfId="0"/>
    <cellStyle name="쉼표 [0] 2 2 2 2 4 4 4" xfId="0"/>
    <cellStyle name="쉼표 [0] 2 2 2 2 4 5" xfId="0"/>
    <cellStyle name="쉼표 [0] 2 2 2 2 4 5 2" xfId="0"/>
    <cellStyle name="쉼표 [0] 2 2 2 2 4 5 3" xfId="0"/>
    <cellStyle name="쉼표 [0] 2 2 2 2 4 5 4" xfId="0"/>
    <cellStyle name="쉼표 [0] 2 2 2 2 4 6" xfId="0"/>
    <cellStyle name="쉼표 [0] 2 2 2 2 4 6 2" xfId="0"/>
    <cellStyle name="쉼표 [0] 2 2 2 2 4 6 3" xfId="0"/>
    <cellStyle name="쉼표 [0] 2 2 2 2 4 6 4" xfId="0"/>
    <cellStyle name="쉼표 [0] 2 2 2 2 4 7" xfId="0"/>
    <cellStyle name="쉼표 [0] 2 2 2 2 4 7 2" xfId="0"/>
    <cellStyle name="쉼표 [0] 2 2 2 2 4 7 3" xfId="0"/>
    <cellStyle name="쉼표 [0] 2 2 2 2 4 7 4" xfId="0"/>
    <cellStyle name="쉼표 [0] 2 2 2 2 4 8" xfId="0"/>
    <cellStyle name="쉼표 [0] 2 2 2 2 4 8 2" xfId="0"/>
    <cellStyle name="쉼표 [0] 2 2 2 2 4 8 3" xfId="0"/>
    <cellStyle name="쉼표 [0] 2 2 2 2 4 8 4" xfId="0"/>
    <cellStyle name="쉼표 [0] 2 2 2 2 4 9" xfId="0"/>
    <cellStyle name="쉼표 [0] 2 2 2 2 4 9 2" xfId="0"/>
    <cellStyle name="쉼표 [0] 2 2 2 2 4 9 3" xfId="0"/>
    <cellStyle name="쉼표 [0] 2 2 2 2 4 9 4" xfId="0"/>
    <cellStyle name="쉼표 [0] 2 2 2 2 5" xfId="0"/>
    <cellStyle name="쉼표 [0] 2 2 2 2 5 10" xfId="0"/>
    <cellStyle name="쉼표 [0] 2 2 2 2 5 10 2" xfId="0"/>
    <cellStyle name="쉼표 [0] 2 2 2 2 5 10 3" xfId="0"/>
    <cellStyle name="쉼표 [0] 2 2 2 2 5 10 4" xfId="0"/>
    <cellStyle name="쉼표 [0] 2 2 2 2 5 11" xfId="0"/>
    <cellStyle name="쉼표 [0] 2 2 2 2 5 11 2" xfId="0"/>
    <cellStyle name="쉼표 [0] 2 2 2 2 5 11 3" xfId="0"/>
    <cellStyle name="쉼표 [0] 2 2 2 2 5 11 4" xfId="0"/>
    <cellStyle name="쉼표 [0] 2 2 2 2 5 12" xfId="0"/>
    <cellStyle name="쉼표 [0] 2 2 2 2 5 12 2" xfId="0"/>
    <cellStyle name="쉼표 [0] 2 2 2 2 5 12 3" xfId="0"/>
    <cellStyle name="쉼표 [0] 2 2 2 2 5 12 4" xfId="0"/>
    <cellStyle name="쉼표 [0] 2 2 2 2 5 13" xfId="0"/>
    <cellStyle name="쉼표 [0] 2 2 2 2 5 13 2" xfId="0"/>
    <cellStyle name="쉼표 [0] 2 2 2 2 5 13 3" xfId="0"/>
    <cellStyle name="쉼표 [0] 2 2 2 2 5 13 4" xfId="0"/>
    <cellStyle name="쉼표 [0] 2 2 2 2 5 14" xfId="0"/>
    <cellStyle name="쉼표 [0] 2 2 2 2 5 14 2" xfId="0"/>
    <cellStyle name="쉼표 [0] 2 2 2 2 5 14 3" xfId="0"/>
    <cellStyle name="쉼표 [0] 2 2 2 2 5 14 4" xfId="0"/>
    <cellStyle name="쉼표 [0] 2 2 2 2 5 15" xfId="0"/>
    <cellStyle name="쉼표 [0] 2 2 2 2 5 15 2" xfId="0"/>
    <cellStyle name="쉼표 [0] 2 2 2 2 5 15 3" xfId="0"/>
    <cellStyle name="쉼표 [0] 2 2 2 2 5 15 4" xfId="0"/>
    <cellStyle name="쉼표 [0] 2 2 2 2 5 16" xfId="0"/>
    <cellStyle name="쉼표 [0] 2 2 2 2 5 16 2" xfId="0"/>
    <cellStyle name="쉼표 [0] 2 2 2 2 5 16 3" xfId="0"/>
    <cellStyle name="쉼표 [0] 2 2 2 2 5 16 4" xfId="0"/>
    <cellStyle name="쉼표 [0] 2 2 2 2 5 17" xfId="0"/>
    <cellStyle name="쉼표 [0] 2 2 2 2 5 17 2" xfId="0"/>
    <cellStyle name="쉼표 [0] 2 2 2 2 5 17 3" xfId="0"/>
    <cellStyle name="쉼표 [0] 2 2 2 2 5 17 4" xfId="0"/>
    <cellStyle name="쉼표 [0] 2 2 2 2 5 18" xfId="0"/>
    <cellStyle name="쉼표 [0] 2 2 2 2 5 18 2" xfId="0"/>
    <cellStyle name="쉼표 [0] 2 2 2 2 5 18 3" xfId="0"/>
    <cellStyle name="쉼표 [0] 2 2 2 2 5 18 4" xfId="0"/>
    <cellStyle name="쉼표 [0] 2 2 2 2 5 19" xfId="0"/>
    <cellStyle name="쉼표 [0] 2 2 2 2 5 19 2" xfId="0"/>
    <cellStyle name="쉼표 [0] 2 2 2 2 5 19 3" xfId="0"/>
    <cellStyle name="쉼표 [0] 2 2 2 2 5 19 4" xfId="0"/>
    <cellStyle name="쉼표 [0] 2 2 2 2 5 2" xfId="0"/>
    <cellStyle name="쉼표 [0] 2 2 2 2 5 2 2" xfId="0"/>
    <cellStyle name="쉼표 [0] 2 2 2 2 5 2 3" xfId="0"/>
    <cellStyle name="쉼표 [0] 2 2 2 2 5 2 4" xfId="0"/>
    <cellStyle name="쉼표 [0] 2 2 2 2 5 20" xfId="0"/>
    <cellStyle name="쉼표 [0] 2 2 2 2 5 20 2" xfId="0"/>
    <cellStyle name="쉼표 [0] 2 2 2 2 5 20 3" xfId="0"/>
    <cellStyle name="쉼표 [0] 2 2 2 2 5 20 4" xfId="0"/>
    <cellStyle name="쉼표 [0] 2 2 2 2 5 21" xfId="0"/>
    <cellStyle name="쉼표 [0] 2 2 2 2 5 21 2" xfId="0"/>
    <cellStyle name="쉼표 [0] 2 2 2 2 5 21 3" xfId="0"/>
    <cellStyle name="쉼표 [0] 2 2 2 2 5 21 4" xfId="0"/>
    <cellStyle name="쉼표 [0] 2 2 2 2 5 22" xfId="0"/>
    <cellStyle name="쉼표 [0] 2 2 2 2 5 23" xfId="0"/>
    <cellStyle name="쉼표 [0] 2 2 2 2 5 24" xfId="0"/>
    <cellStyle name="쉼표 [0] 2 2 2 2 5 3" xfId="0"/>
    <cellStyle name="쉼표 [0] 2 2 2 2 5 3 2" xfId="0"/>
    <cellStyle name="쉼표 [0] 2 2 2 2 5 3 3" xfId="0"/>
    <cellStyle name="쉼표 [0] 2 2 2 2 5 3 4" xfId="0"/>
    <cellStyle name="쉼표 [0] 2 2 2 2 5 4" xfId="0"/>
    <cellStyle name="쉼표 [0] 2 2 2 2 5 4 2" xfId="0"/>
    <cellStyle name="쉼표 [0] 2 2 2 2 5 4 3" xfId="0"/>
    <cellStyle name="쉼표 [0] 2 2 2 2 5 4 4" xfId="0"/>
    <cellStyle name="쉼표 [0] 2 2 2 2 5 5" xfId="0"/>
    <cellStyle name="쉼표 [0] 2 2 2 2 5 5 2" xfId="0"/>
    <cellStyle name="쉼표 [0] 2 2 2 2 5 5 3" xfId="0"/>
    <cellStyle name="쉼표 [0] 2 2 2 2 5 5 4" xfId="0"/>
    <cellStyle name="쉼표 [0] 2 2 2 2 5 6" xfId="0"/>
    <cellStyle name="쉼표 [0] 2 2 2 2 5 6 2" xfId="0"/>
    <cellStyle name="쉼표 [0] 2 2 2 2 5 6 3" xfId="0"/>
    <cellStyle name="쉼표 [0] 2 2 2 2 5 6 4" xfId="0"/>
    <cellStyle name="쉼표 [0] 2 2 2 2 5 7" xfId="0"/>
    <cellStyle name="쉼표 [0] 2 2 2 2 5 7 2" xfId="0"/>
    <cellStyle name="쉼표 [0] 2 2 2 2 5 7 3" xfId="0"/>
    <cellStyle name="쉼표 [0] 2 2 2 2 5 7 4" xfId="0"/>
    <cellStyle name="쉼표 [0] 2 2 2 2 5 8" xfId="0"/>
    <cellStyle name="쉼표 [0] 2 2 2 2 5 8 2" xfId="0"/>
    <cellStyle name="쉼표 [0] 2 2 2 2 5 8 3" xfId="0"/>
    <cellStyle name="쉼표 [0] 2 2 2 2 5 8 4" xfId="0"/>
    <cellStyle name="쉼표 [0] 2 2 2 2 5 9" xfId="0"/>
    <cellStyle name="쉼표 [0] 2 2 2 2 5 9 2" xfId="0"/>
    <cellStyle name="쉼표 [0] 2 2 2 2 5 9 3" xfId="0"/>
    <cellStyle name="쉼표 [0] 2 2 2 2 5 9 4" xfId="0"/>
    <cellStyle name="쉼표 [0] 2 2 2 2 6" xfId="0"/>
    <cellStyle name="쉼표 [0] 2 2 2 2 6 10" xfId="0"/>
    <cellStyle name="쉼표 [0] 2 2 2 2 6 10 2" xfId="0"/>
    <cellStyle name="쉼표 [0] 2 2 2 2 6 10 3" xfId="0"/>
    <cellStyle name="쉼표 [0] 2 2 2 2 6 10 4" xfId="0"/>
    <cellStyle name="쉼표 [0] 2 2 2 2 6 11" xfId="0"/>
    <cellStyle name="쉼표 [0] 2 2 2 2 6 11 2" xfId="0"/>
    <cellStyle name="쉼표 [0] 2 2 2 2 6 11 3" xfId="0"/>
    <cellStyle name="쉼표 [0] 2 2 2 2 6 11 4" xfId="0"/>
    <cellStyle name="쉼표 [0] 2 2 2 2 6 12" xfId="0"/>
    <cellStyle name="쉼표 [0] 2 2 2 2 6 12 2" xfId="0"/>
    <cellStyle name="쉼표 [0] 2 2 2 2 6 12 3" xfId="0"/>
    <cellStyle name="쉼표 [0] 2 2 2 2 6 12 4" xfId="0"/>
    <cellStyle name="쉼표 [0] 2 2 2 2 6 13" xfId="0"/>
    <cellStyle name="쉼표 [0] 2 2 2 2 6 13 2" xfId="0"/>
    <cellStyle name="쉼표 [0] 2 2 2 2 6 13 3" xfId="0"/>
    <cellStyle name="쉼표 [0] 2 2 2 2 6 13 4" xfId="0"/>
    <cellStyle name="쉼표 [0] 2 2 2 2 6 14" xfId="0"/>
    <cellStyle name="쉼표 [0] 2 2 2 2 6 14 2" xfId="0"/>
    <cellStyle name="쉼표 [0] 2 2 2 2 6 14 3" xfId="0"/>
    <cellStyle name="쉼표 [0] 2 2 2 2 6 14 4" xfId="0"/>
    <cellStyle name="쉼표 [0] 2 2 2 2 6 15" xfId="0"/>
    <cellStyle name="쉼표 [0] 2 2 2 2 6 15 2" xfId="0"/>
    <cellStyle name="쉼표 [0] 2 2 2 2 6 15 3" xfId="0"/>
    <cellStyle name="쉼표 [0] 2 2 2 2 6 15 4" xfId="0"/>
    <cellStyle name="쉼표 [0] 2 2 2 2 6 16" xfId="0"/>
    <cellStyle name="쉼표 [0] 2 2 2 2 6 16 2" xfId="0"/>
    <cellStyle name="쉼표 [0] 2 2 2 2 6 16 3" xfId="0"/>
    <cellStyle name="쉼표 [0] 2 2 2 2 6 16 4" xfId="0"/>
    <cellStyle name="쉼표 [0] 2 2 2 2 6 17" xfId="0"/>
    <cellStyle name="쉼표 [0] 2 2 2 2 6 17 2" xfId="0"/>
    <cellStyle name="쉼표 [0] 2 2 2 2 6 17 3" xfId="0"/>
    <cellStyle name="쉼표 [0] 2 2 2 2 6 17 4" xfId="0"/>
    <cellStyle name="쉼표 [0] 2 2 2 2 6 18" xfId="0"/>
    <cellStyle name="쉼표 [0] 2 2 2 2 6 18 2" xfId="0"/>
    <cellStyle name="쉼표 [0] 2 2 2 2 6 18 3" xfId="0"/>
    <cellStyle name="쉼표 [0] 2 2 2 2 6 18 4" xfId="0"/>
    <cellStyle name="쉼표 [0] 2 2 2 2 6 19" xfId="0"/>
    <cellStyle name="쉼표 [0] 2 2 2 2 6 19 2" xfId="0"/>
    <cellStyle name="쉼표 [0] 2 2 2 2 6 19 3" xfId="0"/>
    <cellStyle name="쉼표 [0] 2 2 2 2 6 19 4" xfId="0"/>
    <cellStyle name="쉼표 [0] 2 2 2 2 6 2" xfId="0"/>
    <cellStyle name="쉼표 [0] 2 2 2 2 6 2 2" xfId="0"/>
    <cellStyle name="쉼표 [0] 2 2 2 2 6 2 3" xfId="0"/>
    <cellStyle name="쉼표 [0] 2 2 2 2 6 2 4" xfId="0"/>
    <cellStyle name="쉼표 [0] 2 2 2 2 6 20" xfId="0"/>
    <cellStyle name="쉼표 [0] 2 2 2 2 6 20 2" xfId="0"/>
    <cellStyle name="쉼표 [0] 2 2 2 2 6 20 3" xfId="0"/>
    <cellStyle name="쉼표 [0] 2 2 2 2 6 20 4" xfId="0"/>
    <cellStyle name="쉼표 [0] 2 2 2 2 6 21" xfId="0"/>
    <cellStyle name="쉼표 [0] 2 2 2 2 6 21 2" xfId="0"/>
    <cellStyle name="쉼표 [0] 2 2 2 2 6 21 3" xfId="0"/>
    <cellStyle name="쉼표 [0] 2 2 2 2 6 21 4" xfId="0"/>
    <cellStyle name="쉼표 [0] 2 2 2 2 6 22" xfId="0"/>
    <cellStyle name="쉼표 [0] 2 2 2 2 6 23" xfId="0"/>
    <cellStyle name="쉼표 [0] 2 2 2 2 6 24" xfId="0"/>
    <cellStyle name="쉼표 [0] 2 2 2 2 6 3" xfId="0"/>
    <cellStyle name="쉼표 [0] 2 2 2 2 6 3 2" xfId="0"/>
    <cellStyle name="쉼표 [0] 2 2 2 2 6 3 3" xfId="0"/>
    <cellStyle name="쉼표 [0] 2 2 2 2 6 3 4" xfId="0"/>
    <cellStyle name="쉼표 [0] 2 2 2 2 6 4" xfId="0"/>
    <cellStyle name="쉼표 [0] 2 2 2 2 6 4 2" xfId="0"/>
    <cellStyle name="쉼표 [0] 2 2 2 2 6 4 3" xfId="0"/>
    <cellStyle name="쉼표 [0] 2 2 2 2 6 4 4" xfId="0"/>
    <cellStyle name="쉼표 [0] 2 2 2 2 6 5" xfId="0"/>
    <cellStyle name="쉼표 [0] 2 2 2 2 6 5 2" xfId="0"/>
    <cellStyle name="쉼표 [0] 2 2 2 2 6 5 3" xfId="0"/>
    <cellStyle name="쉼표 [0] 2 2 2 2 6 5 4" xfId="0"/>
    <cellStyle name="쉼표 [0] 2 2 2 2 6 6" xfId="0"/>
    <cellStyle name="쉼표 [0] 2 2 2 2 6 6 2" xfId="0"/>
    <cellStyle name="쉼표 [0] 2 2 2 2 6 6 3" xfId="0"/>
    <cellStyle name="쉼표 [0] 2 2 2 2 6 6 4" xfId="0"/>
    <cellStyle name="쉼표 [0] 2 2 2 2 6 7" xfId="0"/>
    <cellStyle name="쉼표 [0] 2 2 2 2 6 7 2" xfId="0"/>
    <cellStyle name="쉼표 [0] 2 2 2 2 6 7 3" xfId="0"/>
    <cellStyle name="쉼표 [0] 2 2 2 2 6 7 4" xfId="0"/>
    <cellStyle name="쉼표 [0] 2 2 2 2 6 8" xfId="0"/>
    <cellStyle name="쉼표 [0] 2 2 2 2 6 8 2" xfId="0"/>
    <cellStyle name="쉼표 [0] 2 2 2 2 6 8 3" xfId="0"/>
    <cellStyle name="쉼표 [0] 2 2 2 2 6 8 4" xfId="0"/>
    <cellStyle name="쉼표 [0] 2 2 2 2 6 9" xfId="0"/>
    <cellStyle name="쉼표 [0] 2 2 2 2 6 9 2" xfId="0"/>
    <cellStyle name="쉼표 [0] 2 2 2 2 6 9 3" xfId="0"/>
    <cellStyle name="쉼표 [0] 2 2 2 2 6 9 4" xfId="0"/>
    <cellStyle name="쉼표 [0] 2 2 2 2 7" xfId="0"/>
    <cellStyle name="쉼표 [0] 2 2 2 2 7 10" xfId="0"/>
    <cellStyle name="쉼표 [0] 2 2 2 2 7 10 2" xfId="0"/>
    <cellStyle name="쉼표 [0] 2 2 2 2 7 10 3" xfId="0"/>
    <cellStyle name="쉼표 [0] 2 2 2 2 7 10 4" xfId="0"/>
    <cellStyle name="쉼표 [0] 2 2 2 2 7 11" xfId="0"/>
    <cellStyle name="쉼표 [0] 2 2 2 2 7 11 2" xfId="0"/>
    <cellStyle name="쉼표 [0] 2 2 2 2 7 11 3" xfId="0"/>
    <cellStyle name="쉼표 [0] 2 2 2 2 7 11 4" xfId="0"/>
    <cellStyle name="쉼표 [0] 2 2 2 2 7 12" xfId="0"/>
    <cellStyle name="쉼표 [0] 2 2 2 2 7 12 2" xfId="0"/>
    <cellStyle name="쉼표 [0] 2 2 2 2 7 12 3" xfId="0"/>
    <cellStyle name="쉼표 [0] 2 2 2 2 7 12 4" xfId="0"/>
    <cellStyle name="쉼표 [0] 2 2 2 2 7 13" xfId="0"/>
    <cellStyle name="쉼표 [0] 2 2 2 2 7 13 2" xfId="0"/>
    <cellStyle name="쉼표 [0] 2 2 2 2 7 13 3" xfId="0"/>
    <cellStyle name="쉼표 [0] 2 2 2 2 7 13 4" xfId="0"/>
    <cellStyle name="쉼표 [0] 2 2 2 2 7 14" xfId="0"/>
    <cellStyle name="쉼표 [0] 2 2 2 2 7 15" xfId="0"/>
    <cellStyle name="쉼표 [0] 2 2 2 2 7 16" xfId="0"/>
    <cellStyle name="쉼표 [0] 2 2 2 2 7 2" xfId="0"/>
    <cellStyle name="쉼표 [0] 2 2 2 2 7 2 10" xfId="0"/>
    <cellStyle name="쉼표 [0] 2 2 2 2 7 2 11" xfId="0"/>
    <cellStyle name="쉼표 [0] 2 2 2 2 7 2 12" xfId="0"/>
    <cellStyle name="쉼표 [0] 2 2 2 2 7 2 13" xfId="0"/>
    <cellStyle name="쉼표 [0] 2 2 2 2 7 2 2" xfId="0"/>
    <cellStyle name="쉼표 [0] 2 2 2 2 7 2 3" xfId="0"/>
    <cellStyle name="쉼표 [0] 2 2 2 2 7 2 4" xfId="0"/>
    <cellStyle name="쉼표 [0] 2 2 2 2 7 2 5" xfId="0"/>
    <cellStyle name="쉼표 [0] 2 2 2 2 7 2 6" xfId="0"/>
    <cellStyle name="쉼표 [0] 2 2 2 2 7 2 7" xfId="0"/>
    <cellStyle name="쉼표 [0] 2 2 2 2 7 2 8" xfId="0"/>
    <cellStyle name="쉼표 [0] 2 2 2 2 7 2 9" xfId="0"/>
    <cellStyle name="쉼표 [0] 2 2 2 2 7 3" xfId="0"/>
    <cellStyle name="쉼표 [0] 2 2 2 2 7 4" xfId="0"/>
    <cellStyle name="쉼표 [0] 2 2 2 2 7 5" xfId="0"/>
    <cellStyle name="쉼표 [0] 2 2 2 2 7 6" xfId="0"/>
    <cellStyle name="쉼표 [0] 2 2 2 2 7 6 2" xfId="0"/>
    <cellStyle name="쉼표 [0] 2 2 2 2 7 6 3" xfId="0"/>
    <cellStyle name="쉼표 [0] 2 2 2 2 7 6 4" xfId="0"/>
    <cellStyle name="쉼표 [0] 2 2 2 2 7 7" xfId="0"/>
    <cellStyle name="쉼표 [0] 2 2 2 2 7 7 2" xfId="0"/>
    <cellStyle name="쉼표 [0] 2 2 2 2 7 7 3" xfId="0"/>
    <cellStyle name="쉼표 [0] 2 2 2 2 7 7 4" xfId="0"/>
    <cellStyle name="쉼표 [0] 2 2 2 2 7 8" xfId="0"/>
    <cellStyle name="쉼표 [0] 2 2 2 2 7 8 2" xfId="0"/>
    <cellStyle name="쉼표 [0] 2 2 2 2 7 8 3" xfId="0"/>
    <cellStyle name="쉼표 [0] 2 2 2 2 7 8 4" xfId="0"/>
    <cellStyle name="쉼표 [0] 2 2 2 2 7 9" xfId="0"/>
    <cellStyle name="쉼표 [0] 2 2 2 2 7 9 2" xfId="0"/>
    <cellStyle name="쉼표 [0] 2 2 2 2 7 9 3" xfId="0"/>
    <cellStyle name="쉼표 [0] 2 2 2 2 7 9 4" xfId="0"/>
    <cellStyle name="쉼표 [0] 2 2 2 2 8" xfId="0"/>
    <cellStyle name="쉼표 [0] 2 2 2 2 8 10" xfId="0"/>
    <cellStyle name="쉼표 [0] 2 2 2 2 8 11" xfId="0"/>
    <cellStyle name="쉼표 [0] 2 2 2 2 8 11 2" xfId="0"/>
    <cellStyle name="쉼표 [0] 2 2 2 2 8 11 3" xfId="0"/>
    <cellStyle name="쉼표 [0] 2 2 2 2 8 11 4" xfId="0"/>
    <cellStyle name="쉼표 [0] 2 2 2 2 8 12" xfId="0"/>
    <cellStyle name="쉼표 [0] 2 2 2 2 8 12 2" xfId="0"/>
    <cellStyle name="쉼표 [0] 2 2 2 2 8 12 3" xfId="0"/>
    <cellStyle name="쉼표 [0] 2 2 2 2 8 12 4" xfId="0"/>
    <cellStyle name="쉼표 [0] 2 2 2 2 8 13" xfId="0"/>
    <cellStyle name="쉼표 [0] 2 2 2 2 8 13 2" xfId="0"/>
    <cellStyle name="쉼표 [0] 2 2 2 2 8 13 3" xfId="0"/>
    <cellStyle name="쉼표 [0] 2 2 2 2 8 13 4" xfId="0"/>
    <cellStyle name="쉼표 [0] 2 2 2 2 8 14" xfId="0"/>
    <cellStyle name="쉼표 [0] 2 2 2 2 8 14 2" xfId="0"/>
    <cellStyle name="쉼표 [0] 2 2 2 2 8 14 3" xfId="0"/>
    <cellStyle name="쉼표 [0] 2 2 2 2 8 14 4" xfId="0"/>
    <cellStyle name="쉼표 [0] 2 2 2 2 8 15" xfId="0"/>
    <cellStyle name="쉼표 [0] 2 2 2 2 8 16" xfId="0"/>
    <cellStyle name="쉼표 [0] 2 2 2 2 8 17" xfId="0"/>
    <cellStyle name="쉼표 [0] 2 2 2 2 8 18" xfId="0"/>
    <cellStyle name="쉼표 [0] 2 2 2 2 8 2" xfId="0"/>
    <cellStyle name="쉼표 [0] 2 2 2 2 8 2 2" xfId="0"/>
    <cellStyle name="쉼표 [0] 2 2 2 2 8 2 2 2" xfId="0"/>
    <cellStyle name="쉼표 [0] 2 2 2 2 8 2 2 3" xfId="0"/>
    <cellStyle name="쉼표 [0] 2 2 2 2 8 2 2 4" xfId="0"/>
    <cellStyle name="쉼표 [0] 2 2 2 2 8 2 2 5" xfId="0"/>
    <cellStyle name="쉼표 [0] 2 2 2 2 8 2 3" xfId="0"/>
    <cellStyle name="쉼표 [0] 2 2 2 2 8 2 3 2" xfId="0"/>
    <cellStyle name="쉼표 [0] 2 2 2 2 8 2 3 3" xfId="0"/>
    <cellStyle name="쉼표 [0] 2 2 2 2 8 2 3 4" xfId="0"/>
    <cellStyle name="쉼표 [0] 2 2 2 2 8 2 4" xfId="0"/>
    <cellStyle name="쉼표 [0] 2 2 2 2 8 2 4 2" xfId="0"/>
    <cellStyle name="쉼표 [0] 2 2 2 2 8 2 4 3" xfId="0"/>
    <cellStyle name="쉼표 [0] 2 2 2 2 8 2 4 4" xfId="0"/>
    <cellStyle name="쉼표 [0] 2 2 2 2 8 2 5" xfId="0"/>
    <cellStyle name="쉼표 [0] 2 2 2 2 8 2 5 2" xfId="0"/>
    <cellStyle name="쉼표 [0] 2 2 2 2 8 2 5 3" xfId="0"/>
    <cellStyle name="쉼표 [0] 2 2 2 2 8 2 5 4" xfId="0"/>
    <cellStyle name="쉼표 [0] 2 2 2 2 8 2 6" xfId="0"/>
    <cellStyle name="쉼표 [0] 2 2 2 2 8 2 7" xfId="0"/>
    <cellStyle name="쉼표 [0] 2 2 2 2 8 2 8" xfId="0"/>
    <cellStyle name="쉼표 [0] 2 2 2 2 8 3" xfId="0"/>
    <cellStyle name="쉼표 [0] 2 2 2 2 8 3 2" xfId="0"/>
    <cellStyle name="쉼표 [0] 2 2 2 2 8 3 2 2" xfId="0"/>
    <cellStyle name="쉼표 [0] 2 2 2 2 8 3 2 3" xfId="0"/>
    <cellStyle name="쉼표 [0] 2 2 2 2 8 3 2 4" xfId="0"/>
    <cellStyle name="쉼표 [0] 2 2 2 2 8 3 3" xfId="0"/>
    <cellStyle name="쉼표 [0] 2 2 2 2 8 3 3 2" xfId="0"/>
    <cellStyle name="쉼표 [0] 2 2 2 2 8 3 3 3" xfId="0"/>
    <cellStyle name="쉼표 [0] 2 2 2 2 8 3 3 4" xfId="0"/>
    <cellStyle name="쉼표 [0] 2 2 2 2 8 3 4" xfId="0"/>
    <cellStyle name="쉼표 [0] 2 2 2 2 8 3 4 2" xfId="0"/>
    <cellStyle name="쉼표 [0] 2 2 2 2 8 3 4 3" xfId="0"/>
    <cellStyle name="쉼표 [0] 2 2 2 2 8 3 4 4" xfId="0"/>
    <cellStyle name="쉼표 [0] 2 2 2 2 8 3 5" xfId="0"/>
    <cellStyle name="쉼표 [0] 2 2 2 2 8 3 5 2" xfId="0"/>
    <cellStyle name="쉼표 [0] 2 2 2 2 8 3 5 3" xfId="0"/>
    <cellStyle name="쉼표 [0] 2 2 2 2 8 3 5 4" xfId="0"/>
    <cellStyle name="쉼표 [0] 2 2 2 2 8 3 6" xfId="0"/>
    <cellStyle name="쉼표 [0] 2 2 2 2 8 3 7" xfId="0"/>
    <cellStyle name="쉼표 [0] 2 2 2 2 8 3 8" xfId="0"/>
    <cellStyle name="쉼표 [0] 2 2 2 2 8 4" xfId="0"/>
    <cellStyle name="쉼표 [0] 2 2 2 2 8 5" xfId="0"/>
    <cellStyle name="쉼표 [0] 2 2 2 2 8 6" xfId="0"/>
    <cellStyle name="쉼표 [0] 2 2 2 2 8 7" xfId="0"/>
    <cellStyle name="쉼표 [0] 2 2 2 2 8 8" xfId="0"/>
    <cellStyle name="쉼표 [0] 2 2 2 2 8 9" xfId="0"/>
    <cellStyle name="쉼표 [0] 2 2 2 2 9" xfId="0"/>
    <cellStyle name="쉼표 [0] 2 2 2 2 9 2" xfId="0"/>
    <cellStyle name="쉼표 [0] 2 2 2 2 9 2 2" xfId="0"/>
    <cellStyle name="쉼표 [0] 2 2 2 2 9 2 3" xfId="0"/>
    <cellStyle name="쉼표 [0] 2 2 2 2 9 2 4" xfId="0"/>
    <cellStyle name="쉼표 [0] 2 2 2 2 9 2 5" xfId="0"/>
    <cellStyle name="쉼표 [0] 2 2 2 2 9 3" xfId="0"/>
    <cellStyle name="쉼표 [0] 2 2 2 2 9 3 2" xfId="0"/>
    <cellStyle name="쉼표 [0] 2 2 2 2 9 3 3" xfId="0"/>
    <cellStyle name="쉼표 [0] 2 2 2 2 9 3 4" xfId="0"/>
    <cellStyle name="쉼표 [0] 2 2 2 2 9 4" xfId="0"/>
    <cellStyle name="쉼표 [0] 2 2 2 2 9 4 2" xfId="0"/>
    <cellStyle name="쉼표 [0] 2 2 2 2 9 4 3" xfId="0"/>
    <cellStyle name="쉼표 [0] 2 2 2 2 9 4 4" xfId="0"/>
    <cellStyle name="쉼표 [0] 2 2 2 2 9 5" xfId="0"/>
    <cellStyle name="쉼표 [0] 2 2 2 2 9 5 2" xfId="0"/>
    <cellStyle name="쉼표 [0] 2 2 2 2 9 5 3" xfId="0"/>
    <cellStyle name="쉼표 [0] 2 2 2 2 9 5 4" xfId="0"/>
    <cellStyle name="쉼표 [0] 2 2 2 2 9 6" xfId="0"/>
    <cellStyle name="쉼표 [0] 2 2 2 2 9 7" xfId="0"/>
    <cellStyle name="쉼표 [0] 2 2 2 2 9 8" xfId="0"/>
    <cellStyle name="쉼표 [0] 2 2 2 2 9 9" xfId="0"/>
    <cellStyle name="쉼표 [0] 2 2 2 20" xfId="0"/>
    <cellStyle name="쉼표 [0] 2 2 2 20 2" xfId="0"/>
    <cellStyle name="쉼표 [0] 2 2 2 21" xfId="0"/>
    <cellStyle name="쉼표 [0] 2 2 2 21 2" xfId="0"/>
    <cellStyle name="쉼표 [0] 2 2 2 22" xfId="0"/>
    <cellStyle name="쉼표 [0] 2 2 2 23" xfId="0"/>
    <cellStyle name="쉼표 [0] 2 2 2 24" xfId="0"/>
    <cellStyle name="쉼표 [0] 2 2 2 25" xfId="0"/>
    <cellStyle name="쉼표 [0] 2 2 2 26" xfId="0"/>
    <cellStyle name="쉼표 [0] 2 2 2 3" xfId="0"/>
    <cellStyle name="쉼표 [0] 2 2 2 3 10" xfId="0"/>
    <cellStyle name="쉼표 [0] 2 2 2 3 10 2" xfId="0"/>
    <cellStyle name="쉼표 [0] 2 2 2 3 11" xfId="0"/>
    <cellStyle name="쉼표 [0] 2 2 2 3 11 2" xfId="0"/>
    <cellStyle name="쉼표 [0] 2 2 2 3 12" xfId="0"/>
    <cellStyle name="쉼표 [0] 2 2 2 3 12 2" xfId="0"/>
    <cellStyle name="쉼표 [0] 2 2 2 3 13" xfId="0"/>
    <cellStyle name="쉼표 [0] 2 2 2 3 13 2" xfId="0"/>
    <cellStyle name="쉼표 [0] 2 2 2 3 14" xfId="0"/>
    <cellStyle name="쉼표 [0] 2 2 2 3 14 2" xfId="0"/>
    <cellStyle name="쉼표 [0] 2 2 2 3 15" xfId="0"/>
    <cellStyle name="쉼표 [0] 2 2 2 3 15 2" xfId="0"/>
    <cellStyle name="쉼표 [0] 2 2 2 3 16" xfId="0"/>
    <cellStyle name="쉼표 [0] 2 2 2 3 16 2" xfId="0"/>
    <cellStyle name="쉼표 [0] 2 2 2 3 17" xfId="0"/>
    <cellStyle name="쉼표 [0] 2 2 2 3 18" xfId="0"/>
    <cellStyle name="쉼표 [0] 2 2 2 3 19" xfId="0"/>
    <cellStyle name="쉼표 [0] 2 2 2 3 2" xfId="0"/>
    <cellStyle name="쉼표 [0] 2 2 2 3 2 10" xfId="0"/>
    <cellStyle name="쉼표 [0] 2 2 2 3 2 11" xfId="0"/>
    <cellStyle name="쉼표 [0] 2 2 2 3 2 12" xfId="0"/>
    <cellStyle name="쉼표 [0] 2 2 2 3 2 13" xfId="0"/>
    <cellStyle name="쉼표 [0] 2 2 2 3 2 2" xfId="0"/>
    <cellStyle name="쉼표 [0] 2 2 2 3 2 3" xfId="0"/>
    <cellStyle name="쉼표 [0] 2 2 2 3 2 4" xfId="0"/>
    <cellStyle name="쉼표 [0] 2 2 2 3 2 5" xfId="0"/>
    <cellStyle name="쉼표 [0] 2 2 2 3 2 6" xfId="0"/>
    <cellStyle name="쉼표 [0] 2 2 2 3 2 7" xfId="0"/>
    <cellStyle name="쉼표 [0] 2 2 2 3 2 8" xfId="0"/>
    <cellStyle name="쉼표 [0] 2 2 2 3 2 9" xfId="0"/>
    <cellStyle name="쉼표 [0] 2 2 2 3 20" xfId="0"/>
    <cellStyle name="쉼표 [0] 2 2 2 3 21" xfId="0"/>
    <cellStyle name="쉼표 [0] 2 2 2 3 22" xfId="0"/>
    <cellStyle name="쉼표 [0] 2 2 2 3 23" xfId="0"/>
    <cellStyle name="쉼표 [0] 2 2 2 3 24" xfId="0"/>
    <cellStyle name="쉼표 [0] 2 2 2 3 3" xfId="0"/>
    <cellStyle name="쉼표 [0] 2 2 2 3 3 10" xfId="0"/>
    <cellStyle name="쉼표 [0] 2 2 2 3 3 11" xfId="0"/>
    <cellStyle name="쉼표 [0] 2 2 2 3 3 12" xfId="0"/>
    <cellStyle name="쉼표 [0] 2 2 2 3 3 13" xfId="0"/>
    <cellStyle name="쉼표 [0] 2 2 2 3 3 2" xfId="0"/>
    <cellStyle name="쉼표 [0] 2 2 2 3 3 3" xfId="0"/>
    <cellStyle name="쉼표 [0] 2 2 2 3 3 4" xfId="0"/>
    <cellStyle name="쉼표 [0] 2 2 2 3 3 5" xfId="0"/>
    <cellStyle name="쉼표 [0] 2 2 2 3 3 6" xfId="0"/>
    <cellStyle name="쉼표 [0] 2 2 2 3 3 7" xfId="0"/>
    <cellStyle name="쉼표 [0] 2 2 2 3 3 8" xfId="0"/>
    <cellStyle name="쉼표 [0] 2 2 2 3 3 9" xfId="0"/>
    <cellStyle name="쉼표 [0] 2 2 2 3 4" xfId="0"/>
    <cellStyle name="쉼표 [0] 2 2 2 3 4 10" xfId="0"/>
    <cellStyle name="쉼표 [0] 2 2 2 3 4 11" xfId="0"/>
    <cellStyle name="쉼표 [0] 2 2 2 3 4 12" xfId="0"/>
    <cellStyle name="쉼표 [0] 2 2 2 3 4 13" xfId="0"/>
    <cellStyle name="쉼표 [0] 2 2 2 3 4 2" xfId="0"/>
    <cellStyle name="쉼표 [0] 2 2 2 3 4 3" xfId="0"/>
    <cellStyle name="쉼표 [0] 2 2 2 3 4 4" xfId="0"/>
    <cellStyle name="쉼표 [0] 2 2 2 3 4 5" xfId="0"/>
    <cellStyle name="쉼표 [0] 2 2 2 3 4 6" xfId="0"/>
    <cellStyle name="쉼표 [0] 2 2 2 3 4 7" xfId="0"/>
    <cellStyle name="쉼표 [0] 2 2 2 3 4 8" xfId="0"/>
    <cellStyle name="쉼표 [0] 2 2 2 3 4 9" xfId="0"/>
    <cellStyle name="쉼표 [0] 2 2 2 3 5" xfId="0"/>
    <cellStyle name="쉼표 [0] 2 2 2 3 5 10" xfId="0"/>
    <cellStyle name="쉼표 [0] 2 2 2 3 5 11" xfId="0"/>
    <cellStyle name="쉼표 [0] 2 2 2 3 5 12" xfId="0"/>
    <cellStyle name="쉼표 [0] 2 2 2 3 5 13" xfId="0"/>
    <cellStyle name="쉼표 [0] 2 2 2 3 5 2" xfId="0"/>
    <cellStyle name="쉼표 [0] 2 2 2 3 5 3" xfId="0"/>
    <cellStyle name="쉼표 [0] 2 2 2 3 5 4" xfId="0"/>
    <cellStyle name="쉼표 [0] 2 2 2 3 5 5" xfId="0"/>
    <cellStyle name="쉼표 [0] 2 2 2 3 5 6" xfId="0"/>
    <cellStyle name="쉼표 [0] 2 2 2 3 5 7" xfId="0"/>
    <cellStyle name="쉼표 [0] 2 2 2 3 5 8" xfId="0"/>
    <cellStyle name="쉼표 [0] 2 2 2 3 5 9" xfId="0"/>
    <cellStyle name="쉼표 [0] 2 2 2 3 6" xfId="0"/>
    <cellStyle name="쉼표 [0] 2 2 2 3 6 10" xfId="0"/>
    <cellStyle name="쉼표 [0] 2 2 2 3 6 11" xfId="0"/>
    <cellStyle name="쉼표 [0] 2 2 2 3 6 12" xfId="0"/>
    <cellStyle name="쉼표 [0] 2 2 2 3 6 13" xfId="0"/>
    <cellStyle name="쉼표 [0] 2 2 2 3 6 2" xfId="0"/>
    <cellStyle name="쉼표 [0] 2 2 2 3 6 3" xfId="0"/>
    <cellStyle name="쉼표 [0] 2 2 2 3 6 4" xfId="0"/>
    <cellStyle name="쉼표 [0] 2 2 2 3 6 5" xfId="0"/>
    <cellStyle name="쉼표 [0] 2 2 2 3 6 6" xfId="0"/>
    <cellStyle name="쉼표 [0] 2 2 2 3 6 7" xfId="0"/>
    <cellStyle name="쉼표 [0] 2 2 2 3 6 8" xfId="0"/>
    <cellStyle name="쉼표 [0] 2 2 2 3 6 9" xfId="0"/>
    <cellStyle name="쉼표 [0] 2 2 2 3 7" xfId="0"/>
    <cellStyle name="쉼표 [0] 2 2 2 3 7 2" xfId="0"/>
    <cellStyle name="쉼표 [0] 2 2 2 3 8" xfId="0"/>
    <cellStyle name="쉼표 [0] 2 2 2 3 8 2" xfId="0"/>
    <cellStyle name="쉼표 [0] 2 2 2 3 9" xfId="0"/>
    <cellStyle name="쉼표 [0] 2 2 2 3 9 2" xfId="0"/>
    <cellStyle name="쉼표 [0] 2 2 2 4" xfId="0"/>
    <cellStyle name="쉼표 [0] 2 2 2 4 10" xfId="0"/>
    <cellStyle name="쉼표 [0] 2 2 2 4 11" xfId="0"/>
    <cellStyle name="쉼표 [0] 2 2 2 4 12" xfId="0"/>
    <cellStyle name="쉼표 [0] 2 2 2 4 13" xfId="0"/>
    <cellStyle name="쉼표 [0] 2 2 2 4 14" xfId="0"/>
    <cellStyle name="쉼표 [0] 2 2 2 4 15" xfId="0"/>
    <cellStyle name="쉼표 [0] 2 2 2 4 16" xfId="0"/>
    <cellStyle name="쉼표 [0] 2 2 2 4 2" xfId="0"/>
    <cellStyle name="쉼표 [0] 2 2 2 4 2 10" xfId="0"/>
    <cellStyle name="쉼표 [0] 2 2 2 4 2 11" xfId="0"/>
    <cellStyle name="쉼표 [0] 2 2 2 4 2 12" xfId="0"/>
    <cellStyle name="쉼표 [0] 2 2 2 4 2 13" xfId="0"/>
    <cellStyle name="쉼표 [0] 2 2 2 4 2 2" xfId="0"/>
    <cellStyle name="쉼표 [0] 2 2 2 4 2 3" xfId="0"/>
    <cellStyle name="쉼표 [0] 2 2 2 4 2 4" xfId="0"/>
    <cellStyle name="쉼표 [0] 2 2 2 4 2 5" xfId="0"/>
    <cellStyle name="쉼표 [0] 2 2 2 4 2 6" xfId="0"/>
    <cellStyle name="쉼표 [0] 2 2 2 4 2 7" xfId="0"/>
    <cellStyle name="쉼표 [0] 2 2 2 4 2 8" xfId="0"/>
    <cellStyle name="쉼표 [0] 2 2 2 4 2 9" xfId="0"/>
    <cellStyle name="쉼표 [0] 2 2 2 4 3" xfId="0"/>
    <cellStyle name="쉼표 [0] 2 2 2 4 3 10" xfId="0"/>
    <cellStyle name="쉼표 [0] 2 2 2 4 3 11" xfId="0"/>
    <cellStyle name="쉼표 [0] 2 2 2 4 3 12" xfId="0"/>
    <cellStyle name="쉼표 [0] 2 2 2 4 3 13" xfId="0"/>
    <cellStyle name="쉼표 [0] 2 2 2 4 3 2" xfId="0"/>
    <cellStyle name="쉼표 [0] 2 2 2 4 3 3" xfId="0"/>
    <cellStyle name="쉼표 [0] 2 2 2 4 3 4" xfId="0"/>
    <cellStyle name="쉼표 [0] 2 2 2 4 3 5" xfId="0"/>
    <cellStyle name="쉼표 [0] 2 2 2 4 3 6" xfId="0"/>
    <cellStyle name="쉼표 [0] 2 2 2 4 3 7" xfId="0"/>
    <cellStyle name="쉼표 [0] 2 2 2 4 3 8" xfId="0"/>
    <cellStyle name="쉼표 [0] 2 2 2 4 3 9" xfId="0"/>
    <cellStyle name="쉼표 [0] 2 2 2 4 4" xfId="0"/>
    <cellStyle name="쉼표 [0] 2 2 2 4 4 10" xfId="0"/>
    <cellStyle name="쉼표 [0] 2 2 2 4 4 11" xfId="0"/>
    <cellStyle name="쉼표 [0] 2 2 2 4 4 12" xfId="0"/>
    <cellStyle name="쉼표 [0] 2 2 2 4 4 13" xfId="0"/>
    <cellStyle name="쉼표 [0] 2 2 2 4 4 2" xfId="0"/>
    <cellStyle name="쉼표 [0] 2 2 2 4 4 3" xfId="0"/>
    <cellStyle name="쉼표 [0] 2 2 2 4 4 4" xfId="0"/>
    <cellStyle name="쉼표 [0] 2 2 2 4 4 5" xfId="0"/>
    <cellStyle name="쉼표 [0] 2 2 2 4 4 6" xfId="0"/>
    <cellStyle name="쉼표 [0] 2 2 2 4 4 7" xfId="0"/>
    <cellStyle name="쉼표 [0] 2 2 2 4 4 8" xfId="0"/>
    <cellStyle name="쉼표 [0] 2 2 2 4 4 9" xfId="0"/>
    <cellStyle name="쉼표 [0] 2 2 2 4 5" xfId="0"/>
    <cellStyle name="쉼표 [0] 2 2 2 4 5 10" xfId="0"/>
    <cellStyle name="쉼표 [0] 2 2 2 4 5 11" xfId="0"/>
    <cellStyle name="쉼표 [0] 2 2 2 4 5 12" xfId="0"/>
    <cellStyle name="쉼표 [0] 2 2 2 4 5 13" xfId="0"/>
    <cellStyle name="쉼표 [0] 2 2 2 4 5 2" xfId="0"/>
    <cellStyle name="쉼표 [0] 2 2 2 4 5 3" xfId="0"/>
    <cellStyle name="쉼표 [0] 2 2 2 4 5 4" xfId="0"/>
    <cellStyle name="쉼표 [0] 2 2 2 4 5 5" xfId="0"/>
    <cellStyle name="쉼표 [0] 2 2 2 4 5 6" xfId="0"/>
    <cellStyle name="쉼표 [0] 2 2 2 4 5 7" xfId="0"/>
    <cellStyle name="쉼표 [0] 2 2 2 4 5 8" xfId="0"/>
    <cellStyle name="쉼표 [0] 2 2 2 4 5 9" xfId="0"/>
    <cellStyle name="쉼표 [0] 2 2 2 4 6" xfId="0"/>
    <cellStyle name="쉼표 [0] 2 2 2 4 7" xfId="0"/>
    <cellStyle name="쉼표 [0] 2 2 2 4 8" xfId="0"/>
    <cellStyle name="쉼표 [0] 2 2 2 4 9" xfId="0"/>
    <cellStyle name="쉼표 [0] 2 2 2 5" xfId="0"/>
    <cellStyle name="쉼표 [0] 2 2 2 5 10" xfId="0"/>
    <cellStyle name="쉼표 [0] 2 2 2 5 11" xfId="0"/>
    <cellStyle name="쉼표 [0] 2 2 2 5 12" xfId="0"/>
    <cellStyle name="쉼표 [0] 2 2 2 5 13" xfId="0"/>
    <cellStyle name="쉼표 [0] 2 2 2 5 2" xfId="0"/>
    <cellStyle name="쉼표 [0] 2 2 2 5 3" xfId="0"/>
    <cellStyle name="쉼표 [0] 2 2 2 5 4" xfId="0"/>
    <cellStyle name="쉼표 [0] 2 2 2 5 5" xfId="0"/>
    <cellStyle name="쉼표 [0] 2 2 2 5 6" xfId="0"/>
    <cellStyle name="쉼표 [0] 2 2 2 5 7" xfId="0"/>
    <cellStyle name="쉼표 [0] 2 2 2 5 8" xfId="0"/>
    <cellStyle name="쉼표 [0] 2 2 2 5 9" xfId="0"/>
    <cellStyle name="쉼표 [0] 2 2 2 6" xfId="0"/>
    <cellStyle name="쉼표 [0] 2 2 2 6 10" xfId="0"/>
    <cellStyle name="쉼표 [0] 2 2 2 6 11" xfId="0"/>
    <cellStyle name="쉼표 [0] 2 2 2 6 12" xfId="0"/>
    <cellStyle name="쉼표 [0] 2 2 2 6 13" xfId="0"/>
    <cellStyle name="쉼표 [0] 2 2 2 6 2" xfId="0"/>
    <cellStyle name="쉼표 [0] 2 2 2 6 3" xfId="0"/>
    <cellStyle name="쉼표 [0] 2 2 2 6 4" xfId="0"/>
    <cellStyle name="쉼표 [0] 2 2 2 6 5" xfId="0"/>
    <cellStyle name="쉼표 [0] 2 2 2 6 6" xfId="0"/>
    <cellStyle name="쉼표 [0] 2 2 2 6 7" xfId="0"/>
    <cellStyle name="쉼표 [0] 2 2 2 6 8" xfId="0"/>
    <cellStyle name="쉼표 [0] 2 2 2 6 9" xfId="0"/>
    <cellStyle name="쉼표 [0] 2 2 2 7" xfId="0"/>
    <cellStyle name="쉼표 [0] 2 2 2 7 10" xfId="0"/>
    <cellStyle name="쉼표 [0] 2 2 2 7 11" xfId="0"/>
    <cellStyle name="쉼표 [0] 2 2 2 7 12" xfId="0"/>
    <cellStyle name="쉼표 [0] 2 2 2 7 13" xfId="0"/>
    <cellStyle name="쉼표 [0] 2 2 2 7 2" xfId="0"/>
    <cellStyle name="쉼표 [0] 2 2 2 7 3" xfId="0"/>
    <cellStyle name="쉼표 [0] 2 2 2 7 4" xfId="0"/>
    <cellStyle name="쉼표 [0] 2 2 2 7 5" xfId="0"/>
    <cellStyle name="쉼표 [0] 2 2 2 7 6" xfId="0"/>
    <cellStyle name="쉼표 [0] 2 2 2 7 7" xfId="0"/>
    <cellStyle name="쉼표 [0] 2 2 2 7 8" xfId="0"/>
    <cellStyle name="쉼표 [0] 2 2 2 7 9" xfId="0"/>
    <cellStyle name="쉼표 [0] 2 2 2 8" xfId="0"/>
    <cellStyle name="쉼표 [0] 2 2 2 8 10" xfId="0"/>
    <cellStyle name="쉼표 [0] 2 2 2 8 11" xfId="0"/>
    <cellStyle name="쉼표 [0] 2 2 2 8 12" xfId="0"/>
    <cellStyle name="쉼표 [0] 2 2 2 8 13" xfId="0"/>
    <cellStyle name="쉼표 [0] 2 2 2 8 14" xfId="0"/>
    <cellStyle name="쉼표 [0] 2 2 2 8 15" xfId="0"/>
    <cellStyle name="쉼표 [0] 2 2 2 8 16" xfId="0"/>
    <cellStyle name="쉼표 [0] 2 2 2 8 17" xfId="0"/>
    <cellStyle name="쉼표 [0] 2 2 2 8 18" xfId="0"/>
    <cellStyle name="쉼표 [0] 2 2 2 8 19" xfId="0"/>
    <cellStyle name="쉼표 [0] 2 2 2 8 2" xfId="0"/>
    <cellStyle name="쉼표 [0] 2 2 2 8 2 2" xfId="0"/>
    <cellStyle name="쉼표 [0] 2 2 2 8 2 3" xfId="0"/>
    <cellStyle name="쉼표 [0] 2 2 2 8 2 4" xfId="0"/>
    <cellStyle name="쉼표 [0] 2 2 2 8 2 5" xfId="0"/>
    <cellStyle name="쉼표 [0] 2 2 2 8 2 6" xfId="0"/>
    <cellStyle name="쉼표 [0] 2 2 2 8 20" xfId="0"/>
    <cellStyle name="쉼표 [0] 2 2 2 8 3" xfId="0"/>
    <cellStyle name="쉼표 [0] 2 2 2 8 4" xfId="0"/>
    <cellStyle name="쉼표 [0] 2 2 2 8 5" xfId="0"/>
    <cellStyle name="쉼표 [0] 2 2 2 8 6" xfId="0"/>
    <cellStyle name="쉼표 [0] 2 2 2 8 7" xfId="0"/>
    <cellStyle name="쉼표 [0] 2 2 2 8 8" xfId="0"/>
    <cellStyle name="쉼표 [0] 2 2 2 8 9" xfId="0"/>
    <cellStyle name="쉼표 [0] 2 2 2 9" xfId="0"/>
    <cellStyle name="쉼표 [0] 2 2 2 9 10" xfId="0"/>
    <cellStyle name="쉼표 [0] 2 2 2 9 11" xfId="0"/>
    <cellStyle name="쉼표 [0] 2 2 2 9 12" xfId="0"/>
    <cellStyle name="쉼표 [0] 2 2 2 9 13" xfId="0"/>
    <cellStyle name="쉼표 [0] 2 2 2 9 2" xfId="0"/>
    <cellStyle name="쉼표 [0] 2 2 2 9 3" xfId="0"/>
    <cellStyle name="쉼표 [0] 2 2 2 9 4" xfId="0"/>
    <cellStyle name="쉼표 [0] 2 2 2 9 5" xfId="0"/>
    <cellStyle name="쉼표 [0] 2 2 2 9 6" xfId="0"/>
    <cellStyle name="쉼표 [0] 2 2 2 9 7" xfId="0"/>
    <cellStyle name="쉼표 [0] 2 2 2 9 8" xfId="0"/>
    <cellStyle name="쉼표 [0] 2 2 2 9 9" xfId="0"/>
    <cellStyle name="쉼표 [0] 2 2 20" xfId="0"/>
    <cellStyle name="쉼표 [0] 2 2 20 10" xfId="0"/>
    <cellStyle name="쉼표 [0] 2 2 20 11" xfId="0"/>
    <cellStyle name="쉼표 [0] 2 2 20 12" xfId="0"/>
    <cellStyle name="쉼표 [0] 2 2 20 13" xfId="0"/>
    <cellStyle name="쉼표 [0] 2 2 20 14" xfId="0"/>
    <cellStyle name="쉼표 [0] 2 2 20 2" xfId="0"/>
    <cellStyle name="쉼표 [0] 2 2 20 3" xfId="0"/>
    <cellStyle name="쉼표 [0] 2 2 20 4" xfId="0"/>
    <cellStyle name="쉼표 [0] 2 2 20 5" xfId="0"/>
    <cellStyle name="쉼표 [0] 2 2 20 6" xfId="0"/>
    <cellStyle name="쉼표 [0] 2 2 20 7" xfId="0"/>
    <cellStyle name="쉼표 [0] 2 2 20 8" xfId="0"/>
    <cellStyle name="쉼표 [0] 2 2 20 9" xfId="0"/>
    <cellStyle name="쉼표 [0] 2 2 21" xfId="0"/>
    <cellStyle name="쉼표 [0] 2 2 21 10" xfId="0"/>
    <cellStyle name="쉼표 [0] 2 2 21 11" xfId="0"/>
    <cellStyle name="쉼표 [0] 2 2 21 12" xfId="0"/>
    <cellStyle name="쉼표 [0] 2 2 21 13" xfId="0"/>
    <cellStyle name="쉼표 [0] 2 2 21 14" xfId="0"/>
    <cellStyle name="쉼표 [0] 2 2 21 2" xfId="0"/>
    <cellStyle name="쉼표 [0] 2 2 21 3" xfId="0"/>
    <cellStyle name="쉼표 [0] 2 2 21 4" xfId="0"/>
    <cellStyle name="쉼표 [0] 2 2 21 5" xfId="0"/>
    <cellStyle name="쉼표 [0] 2 2 21 6" xfId="0"/>
    <cellStyle name="쉼표 [0] 2 2 21 7" xfId="0"/>
    <cellStyle name="쉼표 [0] 2 2 21 8" xfId="0"/>
    <cellStyle name="쉼표 [0] 2 2 21 9" xfId="0"/>
    <cellStyle name="쉼표 [0] 2 2 22" xfId="0"/>
    <cellStyle name="쉼표 [0] 2 2 22 10" xfId="0"/>
    <cellStyle name="쉼표 [0] 2 2 22 11" xfId="0"/>
    <cellStyle name="쉼표 [0] 2 2 22 12" xfId="0"/>
    <cellStyle name="쉼표 [0] 2 2 22 13" xfId="0"/>
    <cellStyle name="쉼표 [0] 2 2 22 2" xfId="0"/>
    <cellStyle name="쉼표 [0] 2 2 22 3" xfId="0"/>
    <cellStyle name="쉼표 [0] 2 2 22 4" xfId="0"/>
    <cellStyle name="쉼표 [0] 2 2 22 5" xfId="0"/>
    <cellStyle name="쉼표 [0] 2 2 22 6" xfId="0"/>
    <cellStyle name="쉼표 [0] 2 2 22 7" xfId="0"/>
    <cellStyle name="쉼표 [0] 2 2 22 8" xfId="0"/>
    <cellStyle name="쉼표 [0] 2 2 22 9" xfId="0"/>
    <cellStyle name="쉼표 [0] 2 2 23" xfId="0"/>
    <cellStyle name="쉼표 [0] 2 2 23 10" xfId="0"/>
    <cellStyle name="쉼표 [0] 2 2 23 11" xfId="0"/>
    <cellStyle name="쉼표 [0] 2 2 23 12" xfId="0"/>
    <cellStyle name="쉼표 [0] 2 2 23 13" xfId="0"/>
    <cellStyle name="쉼표 [0] 2 2 23 2" xfId="0"/>
    <cellStyle name="쉼표 [0] 2 2 23 3" xfId="0"/>
    <cellStyle name="쉼표 [0] 2 2 23 4" xfId="0"/>
    <cellStyle name="쉼표 [0] 2 2 23 5" xfId="0"/>
    <cellStyle name="쉼표 [0] 2 2 23 6" xfId="0"/>
    <cellStyle name="쉼표 [0] 2 2 23 7" xfId="0"/>
    <cellStyle name="쉼표 [0] 2 2 23 8" xfId="0"/>
    <cellStyle name="쉼표 [0] 2 2 23 9" xfId="0"/>
    <cellStyle name="쉼표 [0] 2 2 24" xfId="0"/>
    <cellStyle name="쉼표 [0] 2 2 24 10" xfId="0"/>
    <cellStyle name="쉼표 [0] 2 2 24 11" xfId="0"/>
    <cellStyle name="쉼표 [0] 2 2 24 12" xfId="0"/>
    <cellStyle name="쉼표 [0] 2 2 24 13" xfId="0"/>
    <cellStyle name="쉼표 [0] 2 2 24 2" xfId="0"/>
    <cellStyle name="쉼표 [0] 2 2 24 3" xfId="0"/>
    <cellStyle name="쉼표 [0] 2 2 24 4" xfId="0"/>
    <cellStyle name="쉼표 [0] 2 2 24 5" xfId="0"/>
    <cellStyle name="쉼표 [0] 2 2 24 6" xfId="0"/>
    <cellStyle name="쉼표 [0] 2 2 24 7" xfId="0"/>
    <cellStyle name="쉼표 [0] 2 2 24 8" xfId="0"/>
    <cellStyle name="쉼표 [0] 2 2 24 9" xfId="0"/>
    <cellStyle name="쉼표 [0] 2 2 25" xfId="0"/>
    <cellStyle name="쉼표 [0] 2 2 25 10" xfId="0"/>
    <cellStyle name="쉼표 [0] 2 2 25 11" xfId="0"/>
    <cellStyle name="쉼표 [0] 2 2 25 12" xfId="0"/>
    <cellStyle name="쉼표 [0] 2 2 25 13" xfId="0"/>
    <cellStyle name="쉼표 [0] 2 2 25 2" xfId="0"/>
    <cellStyle name="쉼표 [0] 2 2 25 3" xfId="0"/>
    <cellStyle name="쉼표 [0] 2 2 25 4" xfId="0"/>
    <cellStyle name="쉼표 [0] 2 2 25 5" xfId="0"/>
    <cellStyle name="쉼표 [0] 2 2 25 6" xfId="0"/>
    <cellStyle name="쉼표 [0] 2 2 25 7" xfId="0"/>
    <cellStyle name="쉼표 [0] 2 2 25 8" xfId="0"/>
    <cellStyle name="쉼표 [0] 2 2 25 9" xfId="0"/>
    <cellStyle name="쉼표 [0] 2 2 26" xfId="0"/>
    <cellStyle name="쉼표 [0] 2 2 26 10" xfId="0"/>
    <cellStyle name="쉼표 [0] 2 2 26 11" xfId="0"/>
    <cellStyle name="쉼표 [0] 2 2 26 12" xfId="0"/>
    <cellStyle name="쉼표 [0] 2 2 26 13" xfId="0"/>
    <cellStyle name="쉼표 [0] 2 2 26 14" xfId="0"/>
    <cellStyle name="쉼표 [0] 2 2 26 15" xfId="0"/>
    <cellStyle name="쉼표 [0] 2 2 26 16" xfId="0"/>
    <cellStyle name="쉼표 [0] 2 2 26 17" xfId="0"/>
    <cellStyle name="쉼표 [0] 2 2 26 18" xfId="0"/>
    <cellStyle name="쉼표 [0] 2 2 26 2" xfId="0"/>
    <cellStyle name="쉼표 [0] 2 2 26 2 2" xfId="0"/>
    <cellStyle name="쉼표 [0] 2 2 26 2 2 10" xfId="0"/>
    <cellStyle name="쉼표 [0] 2 2 26 2 2 11" xfId="0"/>
    <cellStyle name="쉼표 [0] 2 2 26 2 2 12" xfId="0"/>
    <cellStyle name="쉼표 [0] 2 2 26 2 2 13" xfId="0"/>
    <cellStyle name="쉼표 [0] 2 2 26 2 2 14" xfId="0"/>
    <cellStyle name="쉼표 [0] 2 2 26 2 2 15" xfId="0"/>
    <cellStyle name="쉼표 [0] 2 2 26 2 2 16" xfId="0"/>
    <cellStyle name="쉼표 [0] 2 2 26 2 2 17" xfId="0"/>
    <cellStyle name="쉼표 [0] 2 2 26 2 2 2" xfId="0"/>
    <cellStyle name="쉼표 [0] 2 2 26 2 2 3" xfId="0"/>
    <cellStyle name="쉼표 [0] 2 2 26 2 2 4" xfId="0"/>
    <cellStyle name="쉼표 [0] 2 2 26 2 2 5" xfId="0"/>
    <cellStyle name="쉼표 [0] 2 2 26 2 2 6" xfId="0"/>
    <cellStyle name="쉼표 [0] 2 2 26 2 2 7" xfId="0"/>
    <cellStyle name="쉼표 [0] 2 2 26 2 2 8" xfId="0"/>
    <cellStyle name="쉼표 [0] 2 2 26 2 2 9" xfId="0"/>
    <cellStyle name="쉼표 [0] 2 2 26 2 3" xfId="0"/>
    <cellStyle name="쉼표 [0] 2 2 26 2 3 10" xfId="0"/>
    <cellStyle name="쉼표 [0] 2 2 26 2 3 11" xfId="0"/>
    <cellStyle name="쉼표 [0] 2 2 26 2 3 12" xfId="0"/>
    <cellStyle name="쉼표 [0] 2 2 26 2 3 13" xfId="0"/>
    <cellStyle name="쉼표 [0] 2 2 26 2 3 2" xfId="0"/>
    <cellStyle name="쉼표 [0] 2 2 26 2 3 3" xfId="0"/>
    <cellStyle name="쉼표 [0] 2 2 26 2 3 4" xfId="0"/>
    <cellStyle name="쉼표 [0] 2 2 26 2 3 5" xfId="0"/>
    <cellStyle name="쉼표 [0] 2 2 26 2 3 6" xfId="0"/>
    <cellStyle name="쉼표 [0] 2 2 26 2 3 7" xfId="0"/>
    <cellStyle name="쉼표 [0] 2 2 26 2 3 8" xfId="0"/>
    <cellStyle name="쉼표 [0] 2 2 26 2 3 9" xfId="0"/>
    <cellStyle name="쉼표 [0] 2 2 26 2 4" xfId="0"/>
    <cellStyle name="쉼표 [0] 2 2 26 2 4 10" xfId="0"/>
    <cellStyle name="쉼표 [0] 2 2 26 2 4 11" xfId="0"/>
    <cellStyle name="쉼표 [0] 2 2 26 2 4 12" xfId="0"/>
    <cellStyle name="쉼표 [0] 2 2 26 2 4 13" xfId="0"/>
    <cellStyle name="쉼표 [0] 2 2 26 2 4 2" xfId="0"/>
    <cellStyle name="쉼표 [0] 2 2 26 2 4 3" xfId="0"/>
    <cellStyle name="쉼표 [0] 2 2 26 2 4 4" xfId="0"/>
    <cellStyle name="쉼표 [0] 2 2 26 2 4 5" xfId="0"/>
    <cellStyle name="쉼표 [0] 2 2 26 2 4 6" xfId="0"/>
    <cellStyle name="쉼표 [0] 2 2 26 2 4 7" xfId="0"/>
    <cellStyle name="쉼표 [0] 2 2 26 2 4 8" xfId="0"/>
    <cellStyle name="쉼표 [0] 2 2 26 2 4 9" xfId="0"/>
    <cellStyle name="쉼표 [0] 2 2 26 2 5" xfId="0"/>
    <cellStyle name="쉼표 [0] 2 2 26 2 5 10" xfId="0"/>
    <cellStyle name="쉼표 [0] 2 2 26 2 5 11" xfId="0"/>
    <cellStyle name="쉼표 [0] 2 2 26 2 5 12" xfId="0"/>
    <cellStyle name="쉼표 [0] 2 2 26 2 5 13" xfId="0"/>
    <cellStyle name="쉼표 [0] 2 2 26 2 5 2" xfId="0"/>
    <cellStyle name="쉼표 [0] 2 2 26 2 5 3" xfId="0"/>
    <cellStyle name="쉼표 [0] 2 2 26 2 5 4" xfId="0"/>
    <cellStyle name="쉼표 [0] 2 2 26 2 5 5" xfId="0"/>
    <cellStyle name="쉼표 [0] 2 2 26 2 5 6" xfId="0"/>
    <cellStyle name="쉼표 [0] 2 2 26 2 5 7" xfId="0"/>
    <cellStyle name="쉼표 [0] 2 2 26 2 5 8" xfId="0"/>
    <cellStyle name="쉼표 [0] 2 2 26 2 5 9" xfId="0"/>
    <cellStyle name="쉼표 [0] 2 2 26 3" xfId="0"/>
    <cellStyle name="쉼표 [0] 2 2 26 4" xfId="0"/>
    <cellStyle name="쉼표 [0] 2 2 26 5" xfId="0"/>
    <cellStyle name="쉼표 [0] 2 2 26 6" xfId="0"/>
    <cellStyle name="쉼표 [0] 2 2 26 7" xfId="0"/>
    <cellStyle name="쉼표 [0] 2 2 26 8" xfId="0"/>
    <cellStyle name="쉼표 [0] 2 2 26 9" xfId="0"/>
    <cellStyle name="쉼표 [0] 2 2 27" xfId="0"/>
    <cellStyle name="쉼표 [0] 2 2 27 10" xfId="0"/>
    <cellStyle name="쉼표 [0] 2 2 27 11" xfId="0"/>
    <cellStyle name="쉼표 [0] 2 2 27 12" xfId="0"/>
    <cellStyle name="쉼표 [0] 2 2 27 13" xfId="0"/>
    <cellStyle name="쉼표 [0] 2 2 27 14" xfId="0"/>
    <cellStyle name="쉼표 [0] 2 2 27 15" xfId="0"/>
    <cellStyle name="쉼표 [0] 2 2 27 16" xfId="0"/>
    <cellStyle name="쉼표 [0] 2 2 27 17" xfId="0"/>
    <cellStyle name="쉼표 [0] 2 2 27 2" xfId="0"/>
    <cellStyle name="쉼표 [0] 2 2 27 3" xfId="0"/>
    <cellStyle name="쉼표 [0] 2 2 27 4" xfId="0"/>
    <cellStyle name="쉼표 [0] 2 2 27 5" xfId="0"/>
    <cellStyle name="쉼표 [0] 2 2 27 6" xfId="0"/>
    <cellStyle name="쉼표 [0] 2 2 27 7" xfId="0"/>
    <cellStyle name="쉼표 [0] 2 2 27 8" xfId="0"/>
    <cellStyle name="쉼표 [0] 2 2 27 9" xfId="0"/>
    <cellStyle name="쉼표 [0] 2 2 28" xfId="0"/>
    <cellStyle name="쉼표 [0] 2 2 28 10" xfId="0"/>
    <cellStyle name="쉼표 [0] 2 2 28 11" xfId="0"/>
    <cellStyle name="쉼표 [0] 2 2 28 12" xfId="0"/>
    <cellStyle name="쉼표 [0] 2 2 28 13" xfId="0"/>
    <cellStyle name="쉼표 [0] 2 2 28 2" xfId="0"/>
    <cellStyle name="쉼표 [0] 2 2 28 3" xfId="0"/>
    <cellStyle name="쉼표 [0] 2 2 28 4" xfId="0"/>
    <cellStyle name="쉼표 [0] 2 2 28 5" xfId="0"/>
    <cellStyle name="쉼표 [0] 2 2 28 6" xfId="0"/>
    <cellStyle name="쉼표 [0] 2 2 28 7" xfId="0"/>
    <cellStyle name="쉼표 [0] 2 2 28 8" xfId="0"/>
    <cellStyle name="쉼표 [0] 2 2 28 9" xfId="0"/>
    <cellStyle name="쉼표 [0] 2 2 29" xfId="0"/>
    <cellStyle name="쉼표 [0] 2 2 29 10" xfId="0"/>
    <cellStyle name="쉼표 [0] 2 2 29 11" xfId="0"/>
    <cellStyle name="쉼표 [0] 2 2 29 12" xfId="0"/>
    <cellStyle name="쉼표 [0] 2 2 29 13" xfId="0"/>
    <cellStyle name="쉼표 [0] 2 2 29 2" xfId="0"/>
    <cellStyle name="쉼표 [0] 2 2 29 3" xfId="0"/>
    <cellStyle name="쉼표 [0] 2 2 29 4" xfId="0"/>
    <cellStyle name="쉼표 [0] 2 2 29 5" xfId="0"/>
    <cellStyle name="쉼표 [0] 2 2 29 6" xfId="0"/>
    <cellStyle name="쉼표 [0] 2 2 29 7" xfId="0"/>
    <cellStyle name="쉼표 [0] 2 2 29 8" xfId="0"/>
    <cellStyle name="쉼표 [0] 2 2 29 9" xfId="0"/>
    <cellStyle name="쉼표 [0] 2 2 3" xfId="0"/>
    <cellStyle name="쉼표 [0] 2 2 3 10" xfId="0"/>
    <cellStyle name="쉼표 [0] 2 2 3 10 2" xfId="0"/>
    <cellStyle name="쉼표 [0] 2 2 3 11" xfId="0"/>
    <cellStyle name="쉼표 [0] 2 2 3 11 2" xfId="0"/>
    <cellStyle name="쉼표 [0] 2 2 3 12" xfId="0"/>
    <cellStyle name="쉼표 [0] 2 2 3 12 2" xfId="0"/>
    <cellStyle name="쉼표 [0] 2 2 3 13" xfId="0"/>
    <cellStyle name="쉼표 [0] 2 2 3 13 2" xfId="0"/>
    <cellStyle name="쉼표 [0] 2 2 3 14" xfId="0"/>
    <cellStyle name="쉼표 [0] 2 2 3 14 2" xfId="0"/>
    <cellStyle name="쉼표 [0] 2 2 3 15" xfId="0"/>
    <cellStyle name="쉼표 [0] 2 2 3 15 2" xfId="0"/>
    <cellStyle name="쉼표 [0] 2 2 3 16" xfId="0"/>
    <cellStyle name="쉼표 [0] 2 2 3 16 2" xfId="0"/>
    <cellStyle name="쉼표 [0] 2 2 3 17" xfId="0"/>
    <cellStyle name="쉼표 [0] 2 2 3 18" xfId="0"/>
    <cellStyle name="쉼표 [0] 2 2 3 19" xfId="0"/>
    <cellStyle name="쉼표 [0] 2 2 3 2" xfId="0"/>
    <cellStyle name="쉼표 [0] 2 2 3 2 10" xfId="0"/>
    <cellStyle name="쉼표 [0] 2 2 3 2 11" xfId="0"/>
    <cellStyle name="쉼표 [0] 2 2 3 2 12" xfId="0"/>
    <cellStyle name="쉼표 [0] 2 2 3 2 13" xfId="0"/>
    <cellStyle name="쉼표 [0] 2 2 3 2 2" xfId="0"/>
    <cellStyle name="쉼표 [0] 2 2 3 2 3" xfId="0"/>
    <cellStyle name="쉼표 [0] 2 2 3 2 4" xfId="0"/>
    <cellStyle name="쉼표 [0] 2 2 3 2 5" xfId="0"/>
    <cellStyle name="쉼표 [0] 2 2 3 2 6" xfId="0"/>
    <cellStyle name="쉼표 [0] 2 2 3 2 7" xfId="0"/>
    <cellStyle name="쉼표 [0] 2 2 3 2 8" xfId="0"/>
    <cellStyle name="쉼표 [0] 2 2 3 2 9" xfId="0"/>
    <cellStyle name="쉼표 [0] 2 2 3 20" xfId="0"/>
    <cellStyle name="쉼표 [0] 2 2 3 21" xfId="0"/>
    <cellStyle name="쉼표 [0] 2 2 3 22" xfId="0"/>
    <cellStyle name="쉼표 [0] 2 2 3 23" xfId="0"/>
    <cellStyle name="쉼표 [0] 2 2 3 24" xfId="0"/>
    <cellStyle name="쉼표 [0] 2 2 3 25" xfId="0"/>
    <cellStyle name="쉼표 [0] 2 2 3 3" xfId="0"/>
    <cellStyle name="쉼표 [0] 2 2 3 3 10" xfId="0"/>
    <cellStyle name="쉼표 [0] 2 2 3 3 11" xfId="0"/>
    <cellStyle name="쉼표 [0] 2 2 3 3 12" xfId="0"/>
    <cellStyle name="쉼표 [0] 2 2 3 3 13" xfId="0"/>
    <cellStyle name="쉼표 [0] 2 2 3 3 2" xfId="0"/>
    <cellStyle name="쉼표 [0] 2 2 3 3 3" xfId="0"/>
    <cellStyle name="쉼표 [0] 2 2 3 3 4" xfId="0"/>
    <cellStyle name="쉼표 [0] 2 2 3 3 5" xfId="0"/>
    <cellStyle name="쉼표 [0] 2 2 3 3 6" xfId="0"/>
    <cellStyle name="쉼표 [0] 2 2 3 3 7" xfId="0"/>
    <cellStyle name="쉼표 [0] 2 2 3 3 8" xfId="0"/>
    <cellStyle name="쉼표 [0] 2 2 3 3 9" xfId="0"/>
    <cellStyle name="쉼표 [0] 2 2 3 4" xfId="0"/>
    <cellStyle name="쉼표 [0] 2 2 3 4 10" xfId="0"/>
    <cellStyle name="쉼표 [0] 2 2 3 4 11" xfId="0"/>
    <cellStyle name="쉼표 [0] 2 2 3 4 12" xfId="0"/>
    <cellStyle name="쉼표 [0] 2 2 3 4 13" xfId="0"/>
    <cellStyle name="쉼표 [0] 2 2 3 4 2" xfId="0"/>
    <cellStyle name="쉼표 [0] 2 2 3 4 3" xfId="0"/>
    <cellStyle name="쉼표 [0] 2 2 3 4 4" xfId="0"/>
    <cellStyle name="쉼표 [0] 2 2 3 4 5" xfId="0"/>
    <cellStyle name="쉼표 [0] 2 2 3 4 6" xfId="0"/>
    <cellStyle name="쉼표 [0] 2 2 3 4 7" xfId="0"/>
    <cellStyle name="쉼표 [0] 2 2 3 4 8" xfId="0"/>
    <cellStyle name="쉼표 [0] 2 2 3 4 9" xfId="0"/>
    <cellStyle name="쉼표 [0] 2 2 3 5" xfId="0"/>
    <cellStyle name="쉼표 [0] 2 2 3 5 10" xfId="0"/>
    <cellStyle name="쉼표 [0] 2 2 3 5 11" xfId="0"/>
    <cellStyle name="쉼표 [0] 2 2 3 5 12" xfId="0"/>
    <cellStyle name="쉼표 [0] 2 2 3 5 13" xfId="0"/>
    <cellStyle name="쉼표 [0] 2 2 3 5 2" xfId="0"/>
    <cellStyle name="쉼표 [0] 2 2 3 5 3" xfId="0"/>
    <cellStyle name="쉼표 [0] 2 2 3 5 4" xfId="0"/>
    <cellStyle name="쉼표 [0] 2 2 3 5 5" xfId="0"/>
    <cellStyle name="쉼표 [0] 2 2 3 5 6" xfId="0"/>
    <cellStyle name="쉼표 [0] 2 2 3 5 7" xfId="0"/>
    <cellStyle name="쉼표 [0] 2 2 3 5 8" xfId="0"/>
    <cellStyle name="쉼표 [0] 2 2 3 5 9" xfId="0"/>
    <cellStyle name="쉼표 [0] 2 2 3 6" xfId="0"/>
    <cellStyle name="쉼표 [0] 2 2 3 6 10" xfId="0"/>
    <cellStyle name="쉼표 [0] 2 2 3 6 11" xfId="0"/>
    <cellStyle name="쉼표 [0] 2 2 3 6 12" xfId="0"/>
    <cellStyle name="쉼표 [0] 2 2 3 6 13" xfId="0"/>
    <cellStyle name="쉼표 [0] 2 2 3 6 2" xfId="0"/>
    <cellStyle name="쉼표 [0] 2 2 3 6 3" xfId="0"/>
    <cellStyle name="쉼표 [0] 2 2 3 6 4" xfId="0"/>
    <cellStyle name="쉼표 [0] 2 2 3 6 5" xfId="0"/>
    <cellStyle name="쉼표 [0] 2 2 3 6 6" xfId="0"/>
    <cellStyle name="쉼표 [0] 2 2 3 6 7" xfId="0"/>
    <cellStyle name="쉼표 [0] 2 2 3 6 8" xfId="0"/>
    <cellStyle name="쉼표 [0] 2 2 3 6 9" xfId="0"/>
    <cellStyle name="쉼표 [0] 2 2 3 7" xfId="0"/>
    <cellStyle name="쉼표 [0] 2 2 3 7 2" xfId="0"/>
    <cellStyle name="쉼표 [0] 2 2 3 8" xfId="0"/>
    <cellStyle name="쉼표 [0] 2 2 3 8 2" xfId="0"/>
    <cellStyle name="쉼표 [0] 2 2 3 9" xfId="0"/>
    <cellStyle name="쉼표 [0] 2 2 3 9 2" xfId="0"/>
    <cellStyle name="쉼표 [0] 2 2 30" xfId="0"/>
    <cellStyle name="쉼표 [0] 2 2 30 10" xfId="0"/>
    <cellStyle name="쉼표 [0] 2 2 30 11" xfId="0"/>
    <cellStyle name="쉼표 [0] 2 2 30 12" xfId="0"/>
    <cellStyle name="쉼표 [0] 2 2 30 13" xfId="0"/>
    <cellStyle name="쉼표 [0] 2 2 30 2" xfId="0"/>
    <cellStyle name="쉼표 [0] 2 2 30 3" xfId="0"/>
    <cellStyle name="쉼표 [0] 2 2 30 4" xfId="0"/>
    <cellStyle name="쉼표 [0] 2 2 30 5" xfId="0"/>
    <cellStyle name="쉼표 [0] 2 2 30 6" xfId="0"/>
    <cellStyle name="쉼표 [0] 2 2 30 7" xfId="0"/>
    <cellStyle name="쉼표 [0] 2 2 30 8" xfId="0"/>
    <cellStyle name="쉼표 [0] 2 2 30 9" xfId="0"/>
    <cellStyle name="쉼표 [0] 2 2 31" xfId="0"/>
    <cellStyle name="쉼표 [0] 2 2 31 10" xfId="0"/>
    <cellStyle name="쉼표 [0] 2 2 31 11" xfId="0"/>
    <cellStyle name="쉼표 [0] 2 2 31 12" xfId="0"/>
    <cellStyle name="쉼표 [0] 2 2 31 13" xfId="0"/>
    <cellStyle name="쉼표 [0] 2 2 31 2" xfId="0"/>
    <cellStyle name="쉼표 [0] 2 2 31 3" xfId="0"/>
    <cellStyle name="쉼표 [0] 2 2 31 4" xfId="0"/>
    <cellStyle name="쉼표 [0] 2 2 31 5" xfId="0"/>
    <cellStyle name="쉼표 [0] 2 2 31 6" xfId="0"/>
    <cellStyle name="쉼표 [0] 2 2 31 7" xfId="0"/>
    <cellStyle name="쉼표 [0] 2 2 31 8" xfId="0"/>
    <cellStyle name="쉼표 [0] 2 2 31 9" xfId="0"/>
    <cellStyle name="쉼표 [0] 2 2 32" xfId="0"/>
    <cellStyle name="쉼표 [0] 2 2 32 10" xfId="0"/>
    <cellStyle name="쉼표 [0] 2 2 32 11" xfId="0"/>
    <cellStyle name="쉼표 [0] 2 2 32 12" xfId="0"/>
    <cellStyle name="쉼표 [0] 2 2 32 13" xfId="0"/>
    <cellStyle name="쉼표 [0] 2 2 32 2" xfId="0"/>
    <cellStyle name="쉼표 [0] 2 2 32 3" xfId="0"/>
    <cellStyle name="쉼표 [0] 2 2 32 4" xfId="0"/>
    <cellStyle name="쉼표 [0] 2 2 32 5" xfId="0"/>
    <cellStyle name="쉼표 [0] 2 2 32 6" xfId="0"/>
    <cellStyle name="쉼표 [0] 2 2 32 7" xfId="0"/>
    <cellStyle name="쉼표 [0] 2 2 32 8" xfId="0"/>
    <cellStyle name="쉼표 [0] 2 2 32 9" xfId="0"/>
    <cellStyle name="쉼표 [0] 2 2 33" xfId="0"/>
    <cellStyle name="쉼표 [0] 2 2 33 10" xfId="0"/>
    <cellStyle name="쉼표 [0] 2 2 33 11" xfId="0"/>
    <cellStyle name="쉼표 [0] 2 2 33 12" xfId="0"/>
    <cellStyle name="쉼표 [0] 2 2 33 13" xfId="0"/>
    <cellStyle name="쉼표 [0] 2 2 33 2" xfId="0"/>
    <cellStyle name="쉼표 [0] 2 2 33 3" xfId="0"/>
    <cellStyle name="쉼표 [0] 2 2 33 4" xfId="0"/>
    <cellStyle name="쉼표 [0] 2 2 33 5" xfId="0"/>
    <cellStyle name="쉼표 [0] 2 2 33 6" xfId="0"/>
    <cellStyle name="쉼표 [0] 2 2 33 7" xfId="0"/>
    <cellStyle name="쉼표 [0] 2 2 33 8" xfId="0"/>
    <cellStyle name="쉼표 [0] 2 2 33 9" xfId="0"/>
    <cellStyle name="쉼표 [0] 2 2 34" xfId="0"/>
    <cellStyle name="쉼표 [0] 2 2 34 10" xfId="0"/>
    <cellStyle name="쉼표 [0] 2 2 34 11" xfId="0"/>
    <cellStyle name="쉼표 [0] 2 2 34 12" xfId="0"/>
    <cellStyle name="쉼표 [0] 2 2 34 13" xfId="0"/>
    <cellStyle name="쉼표 [0] 2 2 34 2" xfId="0"/>
    <cellStyle name="쉼표 [0] 2 2 34 3" xfId="0"/>
    <cellStyle name="쉼표 [0] 2 2 34 4" xfId="0"/>
    <cellStyle name="쉼표 [0] 2 2 34 5" xfId="0"/>
    <cellStyle name="쉼표 [0] 2 2 34 6" xfId="0"/>
    <cellStyle name="쉼표 [0] 2 2 34 7" xfId="0"/>
    <cellStyle name="쉼표 [0] 2 2 34 8" xfId="0"/>
    <cellStyle name="쉼표 [0] 2 2 34 9" xfId="0"/>
    <cellStyle name="쉼표 [0] 2 2 35" xfId="0"/>
    <cellStyle name="쉼표 [0] 2 2 35 2" xfId="0"/>
    <cellStyle name="쉼표 [0] 2 2 35 3" xfId="0"/>
    <cellStyle name="쉼표 [0] 2 2 35 4" xfId="0"/>
    <cellStyle name="쉼표 [0] 2 2 35 5" xfId="0"/>
    <cellStyle name="쉼표 [0] 2 2 36" xfId="0"/>
    <cellStyle name="쉼표 [0] 2 2 37" xfId="0"/>
    <cellStyle name="쉼표 [0] 2 2 38" xfId="0"/>
    <cellStyle name="쉼표 [0] 2 2 39" xfId="0"/>
    <cellStyle name="쉼표 [0] 2 2 4" xfId="0"/>
    <cellStyle name="쉼표 [0] 2 2 4 10" xfId="0"/>
    <cellStyle name="쉼표 [0] 2 2 4 10 2" xfId="0"/>
    <cellStyle name="쉼표 [0] 2 2 4 11" xfId="0"/>
    <cellStyle name="쉼표 [0] 2 2 4 11 2" xfId="0"/>
    <cellStyle name="쉼표 [0] 2 2 4 12" xfId="0"/>
    <cellStyle name="쉼표 [0] 2 2 4 12 2" xfId="0"/>
    <cellStyle name="쉼표 [0] 2 2 4 13" xfId="0"/>
    <cellStyle name="쉼표 [0] 2 2 4 13 2" xfId="0"/>
    <cellStyle name="쉼표 [0] 2 2 4 14" xfId="0"/>
    <cellStyle name="쉼표 [0] 2 2 4 14 2" xfId="0"/>
    <cellStyle name="쉼표 [0] 2 2 4 15" xfId="0"/>
    <cellStyle name="쉼표 [0] 2 2 4 15 2" xfId="0"/>
    <cellStyle name="쉼표 [0] 2 2 4 16" xfId="0"/>
    <cellStyle name="쉼표 [0] 2 2 4 16 2" xfId="0"/>
    <cellStyle name="쉼표 [0] 2 2 4 17" xfId="0"/>
    <cellStyle name="쉼표 [0] 2 2 4 18" xfId="0"/>
    <cellStyle name="쉼표 [0] 2 2 4 19" xfId="0"/>
    <cellStyle name="쉼표 [0] 2 2 4 2" xfId="0"/>
    <cellStyle name="쉼표 [0] 2 2 4 2 10" xfId="0"/>
    <cellStyle name="쉼표 [0] 2 2 4 2 11" xfId="0"/>
    <cellStyle name="쉼표 [0] 2 2 4 2 12" xfId="0"/>
    <cellStyle name="쉼표 [0] 2 2 4 2 13" xfId="0"/>
    <cellStyle name="쉼표 [0] 2 2 4 2 2" xfId="0"/>
    <cellStyle name="쉼표 [0] 2 2 4 2 3" xfId="0"/>
    <cellStyle name="쉼표 [0] 2 2 4 2 4" xfId="0"/>
    <cellStyle name="쉼표 [0] 2 2 4 2 5" xfId="0"/>
    <cellStyle name="쉼표 [0] 2 2 4 2 6" xfId="0"/>
    <cellStyle name="쉼표 [0] 2 2 4 2 7" xfId="0"/>
    <cellStyle name="쉼표 [0] 2 2 4 2 8" xfId="0"/>
    <cellStyle name="쉼표 [0] 2 2 4 2 9" xfId="0"/>
    <cellStyle name="쉼표 [0] 2 2 4 20" xfId="0"/>
    <cellStyle name="쉼표 [0] 2 2 4 21" xfId="0"/>
    <cellStyle name="쉼표 [0] 2 2 4 22" xfId="0"/>
    <cellStyle name="쉼표 [0] 2 2 4 23" xfId="0"/>
    <cellStyle name="쉼표 [0] 2 2 4 24" xfId="0"/>
    <cellStyle name="쉼표 [0] 2 2 4 25" xfId="0"/>
    <cellStyle name="쉼표 [0] 2 2 4 3" xfId="0"/>
    <cellStyle name="쉼표 [0] 2 2 4 3 10" xfId="0"/>
    <cellStyle name="쉼표 [0] 2 2 4 3 11" xfId="0"/>
    <cellStyle name="쉼표 [0] 2 2 4 3 12" xfId="0"/>
    <cellStyle name="쉼표 [0] 2 2 4 3 13" xfId="0"/>
    <cellStyle name="쉼표 [0] 2 2 4 3 2" xfId="0"/>
    <cellStyle name="쉼표 [0] 2 2 4 3 3" xfId="0"/>
    <cellStyle name="쉼표 [0] 2 2 4 3 4" xfId="0"/>
    <cellStyle name="쉼표 [0] 2 2 4 3 5" xfId="0"/>
    <cellStyle name="쉼표 [0] 2 2 4 3 6" xfId="0"/>
    <cellStyle name="쉼표 [0] 2 2 4 3 7" xfId="0"/>
    <cellStyle name="쉼표 [0] 2 2 4 3 8" xfId="0"/>
    <cellStyle name="쉼표 [0] 2 2 4 3 9" xfId="0"/>
    <cellStyle name="쉼표 [0] 2 2 4 4" xfId="0"/>
    <cellStyle name="쉼표 [0] 2 2 4 4 10" xfId="0"/>
    <cellStyle name="쉼표 [0] 2 2 4 4 11" xfId="0"/>
    <cellStyle name="쉼표 [0] 2 2 4 4 12" xfId="0"/>
    <cellStyle name="쉼표 [0] 2 2 4 4 13" xfId="0"/>
    <cellStyle name="쉼표 [0] 2 2 4 4 2" xfId="0"/>
    <cellStyle name="쉼표 [0] 2 2 4 4 3" xfId="0"/>
    <cellStyle name="쉼표 [0] 2 2 4 4 4" xfId="0"/>
    <cellStyle name="쉼표 [0] 2 2 4 4 5" xfId="0"/>
    <cellStyle name="쉼표 [0] 2 2 4 4 6" xfId="0"/>
    <cellStyle name="쉼표 [0] 2 2 4 4 7" xfId="0"/>
    <cellStyle name="쉼표 [0] 2 2 4 4 8" xfId="0"/>
    <cellStyle name="쉼표 [0] 2 2 4 4 9" xfId="0"/>
    <cellStyle name="쉼표 [0] 2 2 4 5" xfId="0"/>
    <cellStyle name="쉼표 [0] 2 2 4 5 10" xfId="0"/>
    <cellStyle name="쉼표 [0] 2 2 4 5 11" xfId="0"/>
    <cellStyle name="쉼표 [0] 2 2 4 5 12" xfId="0"/>
    <cellStyle name="쉼표 [0] 2 2 4 5 13" xfId="0"/>
    <cellStyle name="쉼표 [0] 2 2 4 5 2" xfId="0"/>
    <cellStyle name="쉼표 [0] 2 2 4 5 3" xfId="0"/>
    <cellStyle name="쉼표 [0] 2 2 4 5 4" xfId="0"/>
    <cellStyle name="쉼표 [0] 2 2 4 5 5" xfId="0"/>
    <cellStyle name="쉼표 [0] 2 2 4 5 6" xfId="0"/>
    <cellStyle name="쉼표 [0] 2 2 4 5 7" xfId="0"/>
    <cellStyle name="쉼표 [0] 2 2 4 5 8" xfId="0"/>
    <cellStyle name="쉼표 [0] 2 2 4 5 9" xfId="0"/>
    <cellStyle name="쉼표 [0] 2 2 4 6" xfId="0"/>
    <cellStyle name="쉼표 [0] 2 2 4 6 10" xfId="0"/>
    <cellStyle name="쉼표 [0] 2 2 4 6 11" xfId="0"/>
    <cellStyle name="쉼표 [0] 2 2 4 6 12" xfId="0"/>
    <cellStyle name="쉼표 [0] 2 2 4 6 13" xfId="0"/>
    <cellStyle name="쉼표 [0] 2 2 4 6 2" xfId="0"/>
    <cellStyle name="쉼표 [0] 2 2 4 6 3" xfId="0"/>
    <cellStyle name="쉼표 [0] 2 2 4 6 4" xfId="0"/>
    <cellStyle name="쉼표 [0] 2 2 4 6 5" xfId="0"/>
    <cellStyle name="쉼표 [0] 2 2 4 6 6" xfId="0"/>
    <cellStyle name="쉼표 [0] 2 2 4 6 7" xfId="0"/>
    <cellStyle name="쉼표 [0] 2 2 4 6 8" xfId="0"/>
    <cellStyle name="쉼표 [0] 2 2 4 6 9" xfId="0"/>
    <cellStyle name="쉼표 [0] 2 2 4 7" xfId="0"/>
    <cellStyle name="쉼표 [0] 2 2 4 7 2" xfId="0"/>
    <cellStyle name="쉼표 [0] 2 2 4 8" xfId="0"/>
    <cellStyle name="쉼표 [0] 2 2 4 8 2" xfId="0"/>
    <cellStyle name="쉼표 [0] 2 2 4 9" xfId="0"/>
    <cellStyle name="쉼표 [0] 2 2 4 9 2" xfId="0"/>
    <cellStyle name="쉼표 [0] 2 2 40" xfId="0"/>
    <cellStyle name="쉼표 [0] 2 2 41" xfId="0"/>
    <cellStyle name="쉼표 [0] 2 2 42" xfId="0"/>
    <cellStyle name="쉼표 [0] 2 2 43" xfId="0"/>
    <cellStyle name="쉼표 [0] 2 2 44" xfId="0"/>
    <cellStyle name="쉼표 [0] 2 2 44 2" xfId="0"/>
    <cellStyle name="쉼표 [0] 2 2 44 2 2" xfId="0"/>
    <cellStyle name="쉼표 [0] 2 2 44 2 3" xfId="0"/>
    <cellStyle name="쉼표 [0] 2 2 44 2 4" xfId="0"/>
    <cellStyle name="쉼표 [0] 2 2 44 3" xfId="0"/>
    <cellStyle name="쉼표 [0] 2 2 44 4" xfId="0"/>
    <cellStyle name="쉼표 [0] 2 2 44 5" xfId="0"/>
    <cellStyle name="쉼표 [0] 2 2 44 6" xfId="0"/>
    <cellStyle name="쉼표 [0] 2 2 44 7" xfId="0"/>
    <cellStyle name="쉼표 [0] 2 2 45" xfId="0"/>
    <cellStyle name="쉼표 [0] 2 2 46" xfId="0"/>
    <cellStyle name="쉼표 [0] 2 2 46 2" xfId="0"/>
    <cellStyle name="쉼표 [0] 2 2 46 3" xfId="0"/>
    <cellStyle name="쉼표 [0] 2 2 46 4" xfId="0"/>
    <cellStyle name="쉼표 [0] 2 2 47" xfId="0"/>
    <cellStyle name="쉼표 [0] 2 2 47 2" xfId="0"/>
    <cellStyle name="쉼표 [0] 2 2 47 3" xfId="0"/>
    <cellStyle name="쉼표 [0] 2 2 47 4" xfId="0"/>
    <cellStyle name="쉼표 [0] 2 2 48" xfId="0"/>
    <cellStyle name="쉼표 [0] 2 2 48 2" xfId="0"/>
    <cellStyle name="쉼표 [0] 2 2 48 3" xfId="0"/>
    <cellStyle name="쉼표 [0] 2 2 48 4" xfId="0"/>
    <cellStyle name="쉼표 [0] 2 2 49" xfId="0"/>
    <cellStyle name="쉼표 [0] 2 2 49 2" xfId="0"/>
    <cellStyle name="쉼표 [0] 2 2 49 3" xfId="0"/>
    <cellStyle name="쉼표 [0] 2 2 49 4" xfId="0"/>
    <cellStyle name="쉼표 [0] 2 2 5" xfId="0"/>
    <cellStyle name="쉼표 [0] 2 2 5 10" xfId="0"/>
    <cellStyle name="쉼표 [0] 2 2 5 11" xfId="0"/>
    <cellStyle name="쉼표 [0] 2 2 5 12" xfId="0"/>
    <cellStyle name="쉼표 [0] 2 2 5 13" xfId="0"/>
    <cellStyle name="쉼표 [0] 2 2 5 14" xfId="0"/>
    <cellStyle name="쉼표 [0] 2 2 5 15" xfId="0"/>
    <cellStyle name="쉼표 [0] 2 2 5 16" xfId="0"/>
    <cellStyle name="쉼표 [0] 2 2 5 17" xfId="0"/>
    <cellStyle name="쉼표 [0] 2 2 5 18" xfId="0"/>
    <cellStyle name="쉼표 [0] 2 2 5 19" xfId="0"/>
    <cellStyle name="쉼표 [0] 2 2 5 2" xfId="0"/>
    <cellStyle name="쉼표 [0] 2 2 5 20" xfId="0"/>
    <cellStyle name="쉼표 [0] 2 2 5 21" xfId="0"/>
    <cellStyle name="쉼표 [0] 2 2 5 22" xfId="0"/>
    <cellStyle name="쉼표 [0] 2 2 5 23" xfId="0"/>
    <cellStyle name="쉼표 [0] 2 2 5 24" xfId="0"/>
    <cellStyle name="쉼표 [0] 2 2 5 3" xfId="0"/>
    <cellStyle name="쉼표 [0] 2 2 5 4" xfId="0"/>
    <cellStyle name="쉼표 [0] 2 2 5 5" xfId="0"/>
    <cellStyle name="쉼표 [0] 2 2 5 6" xfId="0"/>
    <cellStyle name="쉼표 [0] 2 2 5 7" xfId="0"/>
    <cellStyle name="쉼표 [0] 2 2 5 8" xfId="0"/>
    <cellStyle name="쉼표 [0] 2 2 5 9" xfId="0"/>
    <cellStyle name="쉼표 [0] 2 2 50" xfId="0"/>
    <cellStyle name="쉼표 [0] 2 2 50 2" xfId="0"/>
    <cellStyle name="쉼표 [0] 2 2 50 3" xfId="0"/>
    <cellStyle name="쉼표 [0] 2 2 50 4" xfId="0"/>
    <cellStyle name="쉼표 [0] 2 2 51" xfId="0"/>
    <cellStyle name="쉼표 [0] 2 2 51 2" xfId="0"/>
    <cellStyle name="쉼표 [0] 2 2 51 3" xfId="0"/>
    <cellStyle name="쉼표 [0] 2 2 51 4" xfId="0"/>
    <cellStyle name="쉼표 [0] 2 2 52" xfId="0"/>
    <cellStyle name="쉼표 [0] 2 2 52 2" xfId="0"/>
    <cellStyle name="쉼표 [0] 2 2 52 3" xfId="0"/>
    <cellStyle name="쉼표 [0] 2 2 52 4" xfId="0"/>
    <cellStyle name="쉼표 [0] 2 2 53" xfId="0"/>
    <cellStyle name="쉼표 [0] 2 2 53 2" xfId="0"/>
    <cellStyle name="쉼표 [0] 2 2 53 3" xfId="0"/>
    <cellStyle name="쉼표 [0] 2 2 53 4" xfId="0"/>
    <cellStyle name="쉼표 [0] 2 2 54" xfId="0"/>
    <cellStyle name="쉼표 [0] 2 2 54 2" xfId="0"/>
    <cellStyle name="쉼표 [0] 2 2 54 3" xfId="0"/>
    <cellStyle name="쉼표 [0] 2 2 54 4" xfId="0"/>
    <cellStyle name="쉼표 [0] 2 2 55" xfId="0"/>
    <cellStyle name="쉼표 [0] 2 2 56" xfId="0"/>
    <cellStyle name="쉼표 [0] 2 2 57" xfId="0"/>
    <cellStyle name="쉼표 [0] 2 2 58" xfId="0"/>
    <cellStyle name="쉼표 [0] 2 2 59" xfId="0"/>
    <cellStyle name="쉼표 [0] 2 2 6" xfId="0"/>
    <cellStyle name="쉼표 [0] 2 2 6 10" xfId="0"/>
    <cellStyle name="쉼표 [0] 2 2 6 11" xfId="0"/>
    <cellStyle name="쉼표 [0] 2 2 6 12" xfId="0"/>
    <cellStyle name="쉼표 [0] 2 2 6 13" xfId="0"/>
    <cellStyle name="쉼표 [0] 2 2 6 14" xfId="0"/>
    <cellStyle name="쉼표 [0] 2 2 6 15" xfId="0"/>
    <cellStyle name="쉼표 [0] 2 2 6 16" xfId="0"/>
    <cellStyle name="쉼표 [0] 2 2 6 17" xfId="0"/>
    <cellStyle name="쉼표 [0] 2 2 6 18" xfId="0"/>
    <cellStyle name="쉼표 [0] 2 2 6 19" xfId="0"/>
    <cellStyle name="쉼표 [0] 2 2 6 2" xfId="0"/>
    <cellStyle name="쉼표 [0] 2 2 6 20" xfId="0"/>
    <cellStyle name="쉼표 [0] 2 2 6 21" xfId="0"/>
    <cellStyle name="쉼표 [0] 2 2 6 22" xfId="0"/>
    <cellStyle name="쉼표 [0] 2 2 6 23" xfId="0"/>
    <cellStyle name="쉼표 [0] 2 2 6 24" xfId="0"/>
    <cellStyle name="쉼표 [0] 2 2 6 25" xfId="0"/>
    <cellStyle name="쉼표 [0] 2 2 6 3" xfId="0"/>
    <cellStyle name="쉼표 [0] 2 2 6 4" xfId="0"/>
    <cellStyle name="쉼표 [0] 2 2 6 5" xfId="0"/>
    <cellStyle name="쉼표 [0] 2 2 6 6" xfId="0"/>
    <cellStyle name="쉼표 [0] 2 2 6 7" xfId="0"/>
    <cellStyle name="쉼표 [0] 2 2 6 8" xfId="0"/>
    <cellStyle name="쉼표 [0] 2 2 6 9" xfId="0"/>
    <cellStyle name="쉼표 [0] 2 2 60" xfId="0"/>
    <cellStyle name="쉼표 [0] 2 2 61" xfId="0"/>
    <cellStyle name="쉼표 [0] 2 2 62" xfId="0"/>
    <cellStyle name="쉼표 [0] 2 2 62 2" xfId="0"/>
    <cellStyle name="쉼표 [0] 2 2 62 2 2" xfId="0"/>
    <cellStyle name="쉼표 [0] 2 2 63" xfId="0"/>
    <cellStyle name="쉼표 [0] 2 2 7" xfId="0"/>
    <cellStyle name="쉼표 [0] 2 2 7 10" xfId="0"/>
    <cellStyle name="쉼표 [0] 2 2 7 11" xfId="0"/>
    <cellStyle name="쉼표 [0] 2 2 7 12" xfId="0"/>
    <cellStyle name="쉼표 [0] 2 2 7 13" xfId="0"/>
    <cellStyle name="쉼표 [0] 2 2 7 14" xfId="0"/>
    <cellStyle name="쉼표 [0] 2 2 7 15" xfId="0"/>
    <cellStyle name="쉼표 [0] 2 2 7 16" xfId="0"/>
    <cellStyle name="쉼표 [0] 2 2 7 17" xfId="0"/>
    <cellStyle name="쉼표 [0] 2 2 7 18" xfId="0"/>
    <cellStyle name="쉼표 [0] 2 2 7 19" xfId="0"/>
    <cellStyle name="쉼표 [0] 2 2 7 2" xfId="0"/>
    <cellStyle name="쉼표 [0] 2 2 7 20" xfId="0"/>
    <cellStyle name="쉼표 [0] 2 2 7 21" xfId="0"/>
    <cellStyle name="쉼표 [0] 2 2 7 22" xfId="0"/>
    <cellStyle name="쉼표 [0] 2 2 7 23" xfId="0"/>
    <cellStyle name="쉼표 [0] 2 2 7 24" xfId="0"/>
    <cellStyle name="쉼표 [0] 2 2 7 3" xfId="0"/>
    <cellStyle name="쉼표 [0] 2 2 7 4" xfId="0"/>
    <cellStyle name="쉼표 [0] 2 2 7 5" xfId="0"/>
    <cellStyle name="쉼표 [0] 2 2 7 6" xfId="0"/>
    <cellStyle name="쉼표 [0] 2 2 7 7" xfId="0"/>
    <cellStyle name="쉼표 [0] 2 2 7 8" xfId="0"/>
    <cellStyle name="쉼표 [0] 2 2 7 9" xfId="0"/>
    <cellStyle name="쉼표 [0] 2 2 8" xfId="0"/>
    <cellStyle name="쉼표 [0] 2 2 8 10" xfId="0"/>
    <cellStyle name="쉼표 [0] 2 2 8 11" xfId="0"/>
    <cellStyle name="쉼표 [0] 2 2 8 12" xfId="0"/>
    <cellStyle name="쉼표 [0] 2 2 8 13" xfId="0"/>
    <cellStyle name="쉼표 [0] 2 2 8 14" xfId="0"/>
    <cellStyle name="쉼표 [0] 2 2 8 15" xfId="0"/>
    <cellStyle name="쉼표 [0] 2 2 8 16" xfId="0"/>
    <cellStyle name="쉼표 [0] 2 2 8 17" xfId="0"/>
    <cellStyle name="쉼표 [0] 2 2 8 18" xfId="0"/>
    <cellStyle name="쉼표 [0] 2 2 8 19" xfId="0"/>
    <cellStyle name="쉼표 [0] 2 2 8 2" xfId="0"/>
    <cellStyle name="쉼표 [0] 2 2 8 20" xfId="0"/>
    <cellStyle name="쉼표 [0] 2 2 8 21" xfId="0"/>
    <cellStyle name="쉼표 [0] 2 2 8 22" xfId="0"/>
    <cellStyle name="쉼표 [0] 2 2 8 23" xfId="0"/>
    <cellStyle name="쉼표 [0] 2 2 8 24" xfId="0"/>
    <cellStyle name="쉼표 [0] 2 2 8 3" xfId="0"/>
    <cellStyle name="쉼표 [0] 2 2 8 4" xfId="0"/>
    <cellStyle name="쉼표 [0] 2 2 8 5" xfId="0"/>
    <cellStyle name="쉼표 [0] 2 2 8 6" xfId="0"/>
    <cellStyle name="쉼표 [0] 2 2 8 7" xfId="0"/>
    <cellStyle name="쉼표 [0] 2 2 8 8" xfId="0"/>
    <cellStyle name="쉼표 [0] 2 2 8 9" xfId="0"/>
    <cellStyle name="쉼표 [0] 2 2 9" xfId="0"/>
    <cellStyle name="쉼표 [0] 2 2 9 10" xfId="0"/>
    <cellStyle name="쉼표 [0] 2 2 9 11" xfId="0"/>
    <cellStyle name="쉼표 [0] 2 2 9 12" xfId="0"/>
    <cellStyle name="쉼표 [0] 2 2 9 13" xfId="0"/>
    <cellStyle name="쉼표 [0] 2 2 9 14" xfId="0"/>
    <cellStyle name="쉼표 [0] 2 2 9 15" xfId="0"/>
    <cellStyle name="쉼표 [0] 2 2 9 16" xfId="0"/>
    <cellStyle name="쉼표 [0] 2 2 9 17" xfId="0"/>
    <cellStyle name="쉼표 [0] 2 2 9 18" xfId="0"/>
    <cellStyle name="쉼표 [0] 2 2 9 19" xfId="0"/>
    <cellStyle name="쉼표 [0] 2 2 9 2" xfId="0"/>
    <cellStyle name="쉼표 [0] 2 2 9 20" xfId="0"/>
    <cellStyle name="쉼표 [0] 2 2 9 21" xfId="0"/>
    <cellStyle name="쉼표 [0] 2 2 9 22" xfId="0"/>
    <cellStyle name="쉼표 [0] 2 2 9 23" xfId="0"/>
    <cellStyle name="쉼표 [0] 2 2 9 24" xfId="0"/>
    <cellStyle name="쉼표 [0] 2 2 9 3" xfId="0"/>
    <cellStyle name="쉼표 [0] 2 2 9 4" xfId="0"/>
    <cellStyle name="쉼표 [0] 2 2 9 5" xfId="0"/>
    <cellStyle name="쉼표 [0] 2 2 9 6" xfId="0"/>
    <cellStyle name="쉼표 [0] 2 2 9 7" xfId="0"/>
    <cellStyle name="쉼표 [0] 2 2 9 8" xfId="0"/>
    <cellStyle name="쉼표 [0] 2 2 9 9" xfId="0"/>
    <cellStyle name="쉼표 [0] 2 20" xfId="0"/>
    <cellStyle name="쉼표 [0] 2 21" xfId="0"/>
    <cellStyle name="쉼표 [0] 2 22" xfId="0"/>
    <cellStyle name="쉼표 [0] 2 23" xfId="0"/>
    <cellStyle name="쉼표 [0] 2 24" xfId="0"/>
    <cellStyle name="쉼표 [0] 2 25" xfId="0"/>
    <cellStyle name="쉼표 [0] 2 26" xfId="0"/>
    <cellStyle name="쉼표 [0] 2 26 2" xfId="0"/>
    <cellStyle name="쉼표 [0] 2 26 2 10" xfId="0"/>
    <cellStyle name="쉼표 [0] 2 26 2 11" xfId="0"/>
    <cellStyle name="쉼표 [0] 2 26 2 12" xfId="0"/>
    <cellStyle name="쉼표 [0] 2 26 2 13" xfId="0"/>
    <cellStyle name="쉼표 [0] 2 26 2 14" xfId="0"/>
    <cellStyle name="쉼표 [0] 2 26 2 15" xfId="0"/>
    <cellStyle name="쉼표 [0] 2 26 2 16" xfId="0"/>
    <cellStyle name="쉼표 [0] 2 26 2 17" xfId="0"/>
    <cellStyle name="쉼표 [0] 2 26 2 2" xfId="0"/>
    <cellStyle name="쉼표 [0] 2 26 2 2 2" xfId="0"/>
    <cellStyle name="쉼표 [0] 2 26 2 2 2 10" xfId="0"/>
    <cellStyle name="쉼표 [0] 2 26 2 2 2 11" xfId="0"/>
    <cellStyle name="쉼표 [0] 2 26 2 2 2 12" xfId="0"/>
    <cellStyle name="쉼표 [0] 2 26 2 2 2 13" xfId="0"/>
    <cellStyle name="쉼표 [0] 2 26 2 2 2 2" xfId="0"/>
    <cellStyle name="쉼표 [0] 2 26 2 2 2 3" xfId="0"/>
    <cellStyle name="쉼표 [0] 2 26 2 2 2 4" xfId="0"/>
    <cellStyle name="쉼표 [0] 2 26 2 2 2 5" xfId="0"/>
    <cellStyle name="쉼표 [0] 2 26 2 2 2 6" xfId="0"/>
    <cellStyle name="쉼표 [0] 2 26 2 2 2 7" xfId="0"/>
    <cellStyle name="쉼표 [0] 2 26 2 2 2 8" xfId="0"/>
    <cellStyle name="쉼표 [0] 2 26 2 2 2 9" xfId="0"/>
    <cellStyle name="쉼표 [0] 2 26 2 2 3" xfId="0"/>
    <cellStyle name="쉼표 [0] 2 26 2 2 3 10" xfId="0"/>
    <cellStyle name="쉼표 [0] 2 26 2 2 3 11" xfId="0"/>
    <cellStyle name="쉼표 [0] 2 26 2 2 3 12" xfId="0"/>
    <cellStyle name="쉼표 [0] 2 26 2 2 3 13" xfId="0"/>
    <cellStyle name="쉼표 [0] 2 26 2 2 3 2" xfId="0"/>
    <cellStyle name="쉼표 [0] 2 26 2 2 3 3" xfId="0"/>
    <cellStyle name="쉼표 [0] 2 26 2 2 3 4" xfId="0"/>
    <cellStyle name="쉼표 [0] 2 26 2 2 3 5" xfId="0"/>
    <cellStyle name="쉼표 [0] 2 26 2 2 3 6" xfId="0"/>
    <cellStyle name="쉼표 [0] 2 26 2 2 3 7" xfId="0"/>
    <cellStyle name="쉼표 [0] 2 26 2 2 3 8" xfId="0"/>
    <cellStyle name="쉼표 [0] 2 26 2 2 3 9" xfId="0"/>
    <cellStyle name="쉼표 [0] 2 26 2 2 4" xfId="0"/>
    <cellStyle name="쉼표 [0] 2 26 2 2 4 10" xfId="0"/>
    <cellStyle name="쉼표 [0] 2 26 2 2 4 11" xfId="0"/>
    <cellStyle name="쉼표 [0] 2 26 2 2 4 12" xfId="0"/>
    <cellStyle name="쉼표 [0] 2 26 2 2 4 13" xfId="0"/>
    <cellStyle name="쉼표 [0] 2 26 2 2 4 2" xfId="0"/>
    <cellStyle name="쉼표 [0] 2 26 2 2 4 3" xfId="0"/>
    <cellStyle name="쉼표 [0] 2 26 2 2 4 4" xfId="0"/>
    <cellStyle name="쉼표 [0] 2 26 2 2 4 5" xfId="0"/>
    <cellStyle name="쉼표 [0] 2 26 2 2 4 6" xfId="0"/>
    <cellStyle name="쉼표 [0] 2 26 2 2 4 7" xfId="0"/>
    <cellStyle name="쉼표 [0] 2 26 2 2 4 8" xfId="0"/>
    <cellStyle name="쉼표 [0] 2 26 2 2 4 9" xfId="0"/>
    <cellStyle name="쉼표 [0] 2 26 2 2 5" xfId="0"/>
    <cellStyle name="쉼표 [0] 2 26 2 2 5 10" xfId="0"/>
    <cellStyle name="쉼표 [0] 2 26 2 2 5 11" xfId="0"/>
    <cellStyle name="쉼표 [0] 2 26 2 2 5 12" xfId="0"/>
    <cellStyle name="쉼표 [0] 2 26 2 2 5 13" xfId="0"/>
    <cellStyle name="쉼표 [0] 2 26 2 2 5 2" xfId="0"/>
    <cellStyle name="쉼표 [0] 2 26 2 2 5 3" xfId="0"/>
    <cellStyle name="쉼표 [0] 2 26 2 2 5 4" xfId="0"/>
    <cellStyle name="쉼표 [0] 2 26 2 2 5 5" xfId="0"/>
    <cellStyle name="쉼표 [0] 2 26 2 2 5 6" xfId="0"/>
    <cellStyle name="쉼표 [0] 2 26 2 2 5 7" xfId="0"/>
    <cellStyle name="쉼표 [0] 2 26 2 2 5 8" xfId="0"/>
    <cellStyle name="쉼표 [0] 2 26 2 2 5 9" xfId="0"/>
    <cellStyle name="쉼표 [0] 2 26 2 3" xfId="0"/>
    <cellStyle name="쉼표 [0] 2 26 2 4" xfId="0"/>
    <cellStyle name="쉼표 [0] 2 26 2 5" xfId="0"/>
    <cellStyle name="쉼표 [0] 2 26 2 6" xfId="0"/>
    <cellStyle name="쉼표 [0] 2 26 2 7" xfId="0"/>
    <cellStyle name="쉼표 [0] 2 26 2 8" xfId="0"/>
    <cellStyle name="쉼표 [0] 2 26 2 9" xfId="0"/>
    <cellStyle name="쉼표 [0] 2 26 3" xfId="0"/>
    <cellStyle name="쉼표 [0] 2 26 3 10" xfId="0"/>
    <cellStyle name="쉼표 [0] 2 26 3 11" xfId="0"/>
    <cellStyle name="쉼표 [0] 2 26 3 12" xfId="0"/>
    <cellStyle name="쉼표 [0] 2 26 3 13" xfId="0"/>
    <cellStyle name="쉼표 [0] 2 26 3 2" xfId="0"/>
    <cellStyle name="쉼표 [0] 2 26 3 3" xfId="0"/>
    <cellStyle name="쉼표 [0] 2 26 3 4" xfId="0"/>
    <cellStyle name="쉼표 [0] 2 26 3 5" xfId="0"/>
    <cellStyle name="쉼표 [0] 2 26 3 6" xfId="0"/>
    <cellStyle name="쉼표 [0] 2 26 3 7" xfId="0"/>
    <cellStyle name="쉼표 [0] 2 26 3 8" xfId="0"/>
    <cellStyle name="쉼표 [0] 2 26 3 9" xfId="0"/>
    <cellStyle name="쉼표 [0] 2 26 4" xfId="0"/>
    <cellStyle name="쉼표 [0] 2 26 4 10" xfId="0"/>
    <cellStyle name="쉼표 [0] 2 26 4 11" xfId="0"/>
    <cellStyle name="쉼표 [0] 2 26 4 12" xfId="0"/>
    <cellStyle name="쉼표 [0] 2 26 4 13" xfId="0"/>
    <cellStyle name="쉼표 [0] 2 26 4 2" xfId="0"/>
    <cellStyle name="쉼표 [0] 2 26 4 3" xfId="0"/>
    <cellStyle name="쉼표 [0] 2 26 4 4" xfId="0"/>
    <cellStyle name="쉼표 [0] 2 26 4 5" xfId="0"/>
    <cellStyle name="쉼표 [0] 2 26 4 6" xfId="0"/>
    <cellStyle name="쉼표 [0] 2 26 4 7" xfId="0"/>
    <cellStyle name="쉼표 [0] 2 26 4 8" xfId="0"/>
    <cellStyle name="쉼표 [0] 2 26 4 9" xfId="0"/>
    <cellStyle name="쉼표 [0] 2 26 5" xfId="0"/>
    <cellStyle name="쉼표 [0] 2 26 5 10" xfId="0"/>
    <cellStyle name="쉼표 [0] 2 26 5 11" xfId="0"/>
    <cellStyle name="쉼표 [0] 2 26 5 12" xfId="0"/>
    <cellStyle name="쉼표 [0] 2 26 5 13" xfId="0"/>
    <cellStyle name="쉼표 [0] 2 26 5 2" xfId="0"/>
    <cellStyle name="쉼표 [0] 2 26 5 3" xfId="0"/>
    <cellStyle name="쉼표 [0] 2 26 5 4" xfId="0"/>
    <cellStyle name="쉼표 [0] 2 26 5 5" xfId="0"/>
    <cellStyle name="쉼표 [0] 2 26 5 6" xfId="0"/>
    <cellStyle name="쉼표 [0] 2 26 5 7" xfId="0"/>
    <cellStyle name="쉼표 [0] 2 26 5 8" xfId="0"/>
    <cellStyle name="쉼표 [0] 2 26 5 9" xfId="0"/>
    <cellStyle name="쉼표 [0] 2 26 6" xfId="0"/>
    <cellStyle name="쉼표 [0] 2 26 6 10" xfId="0"/>
    <cellStyle name="쉼표 [0] 2 26 6 11" xfId="0"/>
    <cellStyle name="쉼표 [0] 2 26 6 12" xfId="0"/>
    <cellStyle name="쉼표 [0] 2 26 6 13" xfId="0"/>
    <cellStyle name="쉼표 [0] 2 26 6 2" xfId="0"/>
    <cellStyle name="쉼표 [0] 2 26 6 3" xfId="0"/>
    <cellStyle name="쉼표 [0] 2 26 6 4" xfId="0"/>
    <cellStyle name="쉼표 [0] 2 26 6 5" xfId="0"/>
    <cellStyle name="쉼표 [0] 2 26 6 6" xfId="0"/>
    <cellStyle name="쉼표 [0] 2 26 6 7" xfId="0"/>
    <cellStyle name="쉼표 [0] 2 26 6 8" xfId="0"/>
    <cellStyle name="쉼표 [0] 2 26 6 9" xfId="0"/>
    <cellStyle name="쉼표 [0] 2 27" xfId="0"/>
    <cellStyle name="쉼표 [0] 2 27 2" xfId="0"/>
    <cellStyle name="쉼표 [0] 2 27 2 10" xfId="0"/>
    <cellStyle name="쉼표 [0] 2 27 2 11" xfId="0"/>
    <cellStyle name="쉼표 [0] 2 27 2 12" xfId="0"/>
    <cellStyle name="쉼표 [0] 2 27 2 13" xfId="0"/>
    <cellStyle name="쉼표 [0] 2 27 2 2" xfId="0"/>
    <cellStyle name="쉼표 [0] 2 27 2 3" xfId="0"/>
    <cellStyle name="쉼표 [0] 2 27 2 4" xfId="0"/>
    <cellStyle name="쉼표 [0] 2 27 2 5" xfId="0"/>
    <cellStyle name="쉼표 [0] 2 27 2 6" xfId="0"/>
    <cellStyle name="쉼표 [0] 2 27 2 7" xfId="0"/>
    <cellStyle name="쉼표 [0] 2 27 2 8" xfId="0"/>
    <cellStyle name="쉼표 [0] 2 27 2 9" xfId="0"/>
    <cellStyle name="쉼표 [0] 2 27 3" xfId="0"/>
    <cellStyle name="쉼표 [0] 2 27 3 10" xfId="0"/>
    <cellStyle name="쉼표 [0] 2 27 3 11" xfId="0"/>
    <cellStyle name="쉼표 [0] 2 27 3 12" xfId="0"/>
    <cellStyle name="쉼표 [0] 2 27 3 13" xfId="0"/>
    <cellStyle name="쉼표 [0] 2 27 3 2" xfId="0"/>
    <cellStyle name="쉼표 [0] 2 27 3 3" xfId="0"/>
    <cellStyle name="쉼표 [0] 2 27 3 4" xfId="0"/>
    <cellStyle name="쉼표 [0] 2 27 3 5" xfId="0"/>
    <cellStyle name="쉼표 [0] 2 27 3 6" xfId="0"/>
    <cellStyle name="쉼표 [0] 2 27 3 7" xfId="0"/>
    <cellStyle name="쉼표 [0] 2 27 3 8" xfId="0"/>
    <cellStyle name="쉼표 [0] 2 27 3 9" xfId="0"/>
    <cellStyle name="쉼표 [0] 2 27 4" xfId="0"/>
    <cellStyle name="쉼표 [0] 2 27 4 10" xfId="0"/>
    <cellStyle name="쉼표 [0] 2 27 4 11" xfId="0"/>
    <cellStyle name="쉼표 [0] 2 27 4 12" xfId="0"/>
    <cellStyle name="쉼표 [0] 2 27 4 13" xfId="0"/>
    <cellStyle name="쉼표 [0] 2 27 4 2" xfId="0"/>
    <cellStyle name="쉼표 [0] 2 27 4 3" xfId="0"/>
    <cellStyle name="쉼표 [0] 2 27 4 4" xfId="0"/>
    <cellStyle name="쉼표 [0] 2 27 4 5" xfId="0"/>
    <cellStyle name="쉼표 [0] 2 27 4 6" xfId="0"/>
    <cellStyle name="쉼표 [0] 2 27 4 7" xfId="0"/>
    <cellStyle name="쉼표 [0] 2 27 4 8" xfId="0"/>
    <cellStyle name="쉼표 [0] 2 27 4 9" xfId="0"/>
    <cellStyle name="쉼표 [0] 2 27 5" xfId="0"/>
    <cellStyle name="쉼표 [0] 2 27 5 10" xfId="0"/>
    <cellStyle name="쉼표 [0] 2 27 5 11" xfId="0"/>
    <cellStyle name="쉼표 [0] 2 27 5 12" xfId="0"/>
    <cellStyle name="쉼표 [0] 2 27 5 13" xfId="0"/>
    <cellStyle name="쉼표 [0] 2 27 5 2" xfId="0"/>
    <cellStyle name="쉼표 [0] 2 27 5 3" xfId="0"/>
    <cellStyle name="쉼표 [0] 2 27 5 4" xfId="0"/>
    <cellStyle name="쉼표 [0] 2 27 5 5" xfId="0"/>
    <cellStyle name="쉼표 [0] 2 27 5 6" xfId="0"/>
    <cellStyle name="쉼표 [0] 2 27 5 7" xfId="0"/>
    <cellStyle name="쉼표 [0] 2 27 5 8" xfId="0"/>
    <cellStyle name="쉼표 [0] 2 27 5 9" xfId="0"/>
    <cellStyle name="쉼표 [0] 2 28" xfId="0"/>
    <cellStyle name="쉼표 [0] 2 29" xfId="0"/>
    <cellStyle name="쉼표 [0] 2 3" xfId="0"/>
    <cellStyle name="쉼표 [0] 2 3 10" xfId="0"/>
    <cellStyle name="쉼표 [0] 2 3 11" xfId="0"/>
    <cellStyle name="쉼표 [0] 2 3 12" xfId="0"/>
    <cellStyle name="쉼표 [0] 2 3 13" xfId="0"/>
    <cellStyle name="쉼표 [0] 2 3 2" xfId="0"/>
    <cellStyle name="쉼표 [0] 2 3 2 10" xfId="0"/>
    <cellStyle name="쉼표 [0] 2 3 2 10 2" xfId="0"/>
    <cellStyle name="쉼표 [0] 2 3 2 10 3" xfId="0"/>
    <cellStyle name="쉼표 [0] 2 3 2 10 4" xfId="0"/>
    <cellStyle name="쉼표 [0] 2 3 2 11" xfId="0"/>
    <cellStyle name="쉼표 [0] 2 3 2 2" xfId="0"/>
    <cellStyle name="쉼표 [0] 2 3 2 2 2" xfId="0"/>
    <cellStyle name="쉼표 [0] 2 3 2 2 3" xfId="0"/>
    <cellStyle name="쉼표 [0] 2 3 2 2 4" xfId="0"/>
    <cellStyle name="쉼표 [0] 2 3 2 3" xfId="0"/>
    <cellStyle name="쉼표 [0] 2 3 2 3 2" xfId="0"/>
    <cellStyle name="쉼표 [0] 2 3 2 3 3" xfId="0"/>
    <cellStyle name="쉼표 [0] 2 3 2 3 4" xfId="0"/>
    <cellStyle name="쉼표 [0] 2 3 2 4" xfId="0"/>
    <cellStyle name="쉼표 [0] 2 3 2 4 2" xfId="0"/>
    <cellStyle name="쉼표 [0] 2 3 2 4 3" xfId="0"/>
    <cellStyle name="쉼표 [0] 2 3 2 4 4" xfId="0"/>
    <cellStyle name="쉼표 [0] 2 3 2 5" xfId="0"/>
    <cellStyle name="쉼표 [0] 2 3 2 5 2" xfId="0"/>
    <cellStyle name="쉼표 [0] 2 3 2 5 3" xfId="0"/>
    <cellStyle name="쉼표 [0] 2 3 2 5 4" xfId="0"/>
    <cellStyle name="쉼표 [0] 2 3 2 6" xfId="0"/>
    <cellStyle name="쉼표 [0] 2 3 2 6 2" xfId="0"/>
    <cellStyle name="쉼표 [0] 2 3 2 6 3" xfId="0"/>
    <cellStyle name="쉼표 [0] 2 3 2 6 4" xfId="0"/>
    <cellStyle name="쉼표 [0] 2 3 2 7" xfId="0"/>
    <cellStyle name="쉼표 [0] 2 3 2 7 2" xfId="0"/>
    <cellStyle name="쉼표 [0] 2 3 2 7 3" xfId="0"/>
    <cellStyle name="쉼표 [0] 2 3 2 7 4" xfId="0"/>
    <cellStyle name="쉼표 [0] 2 3 2 8" xfId="0"/>
    <cellStyle name="쉼표 [0] 2 3 2 8 2" xfId="0"/>
    <cellStyle name="쉼표 [0] 2 3 2 8 3" xfId="0"/>
    <cellStyle name="쉼표 [0] 2 3 2 8 4" xfId="0"/>
    <cellStyle name="쉼표 [0] 2 3 2 9" xfId="0"/>
    <cellStyle name="쉼표 [0] 2 3 2 9 2" xfId="0"/>
    <cellStyle name="쉼표 [0] 2 3 2 9 3" xfId="0"/>
    <cellStyle name="쉼표 [0] 2 3 2 9 4" xfId="0"/>
    <cellStyle name="쉼표 [0] 2 3 3" xfId="0"/>
    <cellStyle name="쉼표 [0] 2 3 4" xfId="0"/>
    <cellStyle name="쉼표 [0] 2 3 5" xfId="0"/>
    <cellStyle name="쉼표 [0] 2 3 6" xfId="0"/>
    <cellStyle name="쉼표 [0] 2 3 7" xfId="0"/>
    <cellStyle name="쉼표 [0] 2 3 8" xfId="0"/>
    <cellStyle name="쉼표 [0] 2 3 9" xfId="0"/>
    <cellStyle name="쉼표 [0] 2 30" xfId="0"/>
    <cellStyle name="쉼표 [0] 2 31" xfId="0"/>
    <cellStyle name="쉼표 [0] 2 31 10" xfId="0"/>
    <cellStyle name="쉼표 [0] 2 31 10 2" xfId="0"/>
    <cellStyle name="쉼표 [0] 2 31 10 3" xfId="0"/>
    <cellStyle name="쉼표 [0] 2 31 10 4" xfId="0"/>
    <cellStyle name="쉼표 [0] 2 31 10 5" xfId="0"/>
    <cellStyle name="쉼표 [0] 2 31 10 6" xfId="0"/>
    <cellStyle name="쉼표 [0] 2 31 10 7" xfId="0"/>
    <cellStyle name="쉼표 [0] 2 31 11" xfId="0"/>
    <cellStyle name="쉼표 [0] 2 31 11 2" xfId="0"/>
    <cellStyle name="쉼표 [0] 2 31 11 3" xfId="0"/>
    <cellStyle name="쉼표 [0] 2 31 11 4" xfId="0"/>
    <cellStyle name="쉼표 [0] 2 31 11 5" xfId="0"/>
    <cellStyle name="쉼표 [0] 2 31 11 6" xfId="0"/>
    <cellStyle name="쉼표 [0] 2 31 11 7" xfId="0"/>
    <cellStyle name="쉼표 [0] 2 31 12" xfId="0"/>
    <cellStyle name="쉼표 [0] 2 31 12 2" xfId="0"/>
    <cellStyle name="쉼표 [0] 2 31 12 3" xfId="0"/>
    <cellStyle name="쉼표 [0] 2 31 12 4" xfId="0"/>
    <cellStyle name="쉼표 [0] 2 31 12 5" xfId="0"/>
    <cellStyle name="쉼표 [0] 2 31 12 6" xfId="0"/>
    <cellStyle name="쉼표 [0] 2 31 12 7" xfId="0"/>
    <cellStyle name="쉼표 [0] 2 31 13" xfId="0"/>
    <cellStyle name="쉼표 [0] 2 31 13 2" xfId="0"/>
    <cellStyle name="쉼표 [0] 2 31 13 3" xfId="0"/>
    <cellStyle name="쉼표 [0] 2 31 13 4" xfId="0"/>
    <cellStyle name="쉼표 [0] 2 31 13 5" xfId="0"/>
    <cellStyle name="쉼표 [0] 2 31 13 6" xfId="0"/>
    <cellStyle name="쉼표 [0] 2 31 13 7" xfId="0"/>
    <cellStyle name="쉼표 [0] 2 31 14" xfId="0"/>
    <cellStyle name="쉼표 [0] 2 31 14 2" xfId="0"/>
    <cellStyle name="쉼표 [0] 2 31 14 3" xfId="0"/>
    <cellStyle name="쉼표 [0] 2 31 14 4" xfId="0"/>
    <cellStyle name="쉼표 [0] 2 31 14 5" xfId="0"/>
    <cellStyle name="쉼표 [0] 2 31 14 6" xfId="0"/>
    <cellStyle name="쉼표 [0] 2 31 14 7" xfId="0"/>
    <cellStyle name="쉼표 [0] 2 31 15" xfId="0"/>
    <cellStyle name="쉼표 [0] 2 31 16" xfId="0"/>
    <cellStyle name="쉼표 [0] 2 31 17" xfId="0"/>
    <cellStyle name="쉼표 [0] 2 31 18" xfId="0"/>
    <cellStyle name="쉼표 [0] 2 31 19" xfId="0"/>
    <cellStyle name="쉼표 [0] 2 31 2" xfId="0"/>
    <cellStyle name="쉼표 [0] 2 31 2 2" xfId="0"/>
    <cellStyle name="쉼표 [0] 2 31 2 3" xfId="0"/>
    <cellStyle name="쉼표 [0] 2 31 2 4" xfId="0"/>
    <cellStyle name="쉼표 [0] 2 31 2 5" xfId="0"/>
    <cellStyle name="쉼표 [0] 2 31 2 6" xfId="0"/>
    <cellStyle name="쉼표 [0] 2 31 2 7" xfId="0"/>
    <cellStyle name="쉼표 [0] 2 31 20" xfId="0"/>
    <cellStyle name="쉼표 [0] 2 31 21" xfId="0"/>
    <cellStyle name="쉼표 [0] 2 31 22" xfId="0"/>
    <cellStyle name="쉼표 [0] 2 31 23" xfId="0"/>
    <cellStyle name="쉼표 [0] 2 31 24" xfId="0"/>
    <cellStyle name="쉼표 [0] 2 31 24 2" xfId="0"/>
    <cellStyle name="쉼표 [0] 2 31 24 3" xfId="0"/>
    <cellStyle name="쉼표 [0] 2 31 25" xfId="0"/>
    <cellStyle name="쉼표 [0] 2 31 25 2" xfId="0"/>
    <cellStyle name="쉼표 [0] 2 31 25 3" xfId="0"/>
    <cellStyle name="쉼표 [0] 2 31 26" xfId="0"/>
    <cellStyle name="쉼표 [0] 2 31 27" xfId="0"/>
    <cellStyle name="쉼표 [0] 2 31 28" xfId="0"/>
    <cellStyle name="쉼표 [0] 2 31 29" xfId="0"/>
    <cellStyle name="쉼표 [0] 2 31 3" xfId="0"/>
    <cellStyle name="쉼표 [0] 2 31 3 2" xfId="0"/>
    <cellStyle name="쉼표 [0] 2 31 3 3" xfId="0"/>
    <cellStyle name="쉼표 [0] 2 31 3 4" xfId="0"/>
    <cellStyle name="쉼표 [0] 2 31 3 5" xfId="0"/>
    <cellStyle name="쉼표 [0] 2 31 3 6" xfId="0"/>
    <cellStyle name="쉼표 [0] 2 31 3 7" xfId="0"/>
    <cellStyle name="쉼표 [0] 2 31 30" xfId="0"/>
    <cellStyle name="쉼표 [0] 2 31 4" xfId="0"/>
    <cellStyle name="쉼표 [0] 2 31 4 2" xfId="0"/>
    <cellStyle name="쉼표 [0] 2 31 4 3" xfId="0"/>
    <cellStyle name="쉼표 [0] 2 31 4 4" xfId="0"/>
    <cellStyle name="쉼표 [0] 2 31 4 5" xfId="0"/>
    <cellStyle name="쉼표 [0] 2 31 4 6" xfId="0"/>
    <cellStyle name="쉼표 [0] 2 31 4 7" xfId="0"/>
    <cellStyle name="쉼표 [0] 2 31 5" xfId="0"/>
    <cellStyle name="쉼표 [0] 2 31 5 2" xfId="0"/>
    <cellStyle name="쉼표 [0] 2 31 5 3" xfId="0"/>
    <cellStyle name="쉼표 [0] 2 31 5 4" xfId="0"/>
    <cellStyle name="쉼표 [0] 2 31 5 5" xfId="0"/>
    <cellStyle name="쉼표 [0] 2 31 5 6" xfId="0"/>
    <cellStyle name="쉼표 [0] 2 31 5 7" xfId="0"/>
    <cellStyle name="쉼표 [0] 2 31 6" xfId="0"/>
    <cellStyle name="쉼표 [0] 2 31 6 2" xfId="0"/>
    <cellStyle name="쉼표 [0] 2 31 6 3" xfId="0"/>
    <cellStyle name="쉼표 [0] 2 31 6 4" xfId="0"/>
    <cellStyle name="쉼표 [0] 2 31 6 5" xfId="0"/>
    <cellStyle name="쉼표 [0] 2 31 6 6" xfId="0"/>
    <cellStyle name="쉼표 [0] 2 31 6 7" xfId="0"/>
    <cellStyle name="쉼표 [0] 2 31 7" xfId="0"/>
    <cellStyle name="쉼표 [0] 2 31 7 2" xfId="0"/>
    <cellStyle name="쉼표 [0] 2 31 7 3" xfId="0"/>
    <cellStyle name="쉼표 [0] 2 31 7 4" xfId="0"/>
    <cellStyle name="쉼표 [0] 2 31 7 5" xfId="0"/>
    <cellStyle name="쉼표 [0] 2 31 7 6" xfId="0"/>
    <cellStyle name="쉼표 [0] 2 31 7 7" xfId="0"/>
    <cellStyle name="쉼표 [0] 2 31 8" xfId="0"/>
    <cellStyle name="쉼표 [0] 2 31 8 2" xfId="0"/>
    <cellStyle name="쉼표 [0] 2 31 8 3" xfId="0"/>
    <cellStyle name="쉼표 [0] 2 31 8 4" xfId="0"/>
    <cellStyle name="쉼표 [0] 2 31 8 5" xfId="0"/>
    <cellStyle name="쉼표 [0] 2 31 8 6" xfId="0"/>
    <cellStyle name="쉼표 [0] 2 31 8 7" xfId="0"/>
    <cellStyle name="쉼표 [0] 2 31 9" xfId="0"/>
    <cellStyle name="쉼표 [0] 2 31 9 2" xfId="0"/>
    <cellStyle name="쉼표 [0] 2 31 9 3" xfId="0"/>
    <cellStyle name="쉼표 [0] 2 31 9 4" xfId="0"/>
    <cellStyle name="쉼표 [0] 2 31 9 5" xfId="0"/>
    <cellStyle name="쉼표 [0] 2 31 9 6" xfId="0"/>
    <cellStyle name="쉼표 [0] 2 31 9 7" xfId="0"/>
    <cellStyle name="쉼표 [0] 2 32" xfId="0"/>
    <cellStyle name="쉼표 [0] 2 32 10" xfId="0"/>
    <cellStyle name="쉼표 [0] 2 32 10 2" xfId="0"/>
    <cellStyle name="쉼표 [0] 2 32 10 3" xfId="0"/>
    <cellStyle name="쉼표 [0] 2 32 10 4" xfId="0"/>
    <cellStyle name="쉼표 [0] 2 32 10 5" xfId="0"/>
    <cellStyle name="쉼표 [0] 2 32 10 6" xfId="0"/>
    <cellStyle name="쉼표 [0] 2 32 10 7" xfId="0"/>
    <cellStyle name="쉼표 [0] 2 32 11" xfId="0"/>
    <cellStyle name="쉼표 [0] 2 32 11 2" xfId="0"/>
    <cellStyle name="쉼표 [0] 2 32 11 3" xfId="0"/>
    <cellStyle name="쉼표 [0] 2 32 11 4" xfId="0"/>
    <cellStyle name="쉼표 [0] 2 32 11 5" xfId="0"/>
    <cellStyle name="쉼표 [0] 2 32 11 6" xfId="0"/>
    <cellStyle name="쉼표 [0] 2 32 11 7" xfId="0"/>
    <cellStyle name="쉼표 [0] 2 32 12" xfId="0"/>
    <cellStyle name="쉼표 [0] 2 32 12 2" xfId="0"/>
    <cellStyle name="쉼표 [0] 2 32 12 3" xfId="0"/>
    <cellStyle name="쉼표 [0] 2 32 12 4" xfId="0"/>
    <cellStyle name="쉼표 [0] 2 32 12 5" xfId="0"/>
    <cellStyle name="쉼표 [0] 2 32 12 6" xfId="0"/>
    <cellStyle name="쉼표 [0] 2 32 12 7" xfId="0"/>
    <cellStyle name="쉼표 [0] 2 32 13" xfId="0"/>
    <cellStyle name="쉼표 [0] 2 32 13 2" xfId="0"/>
    <cellStyle name="쉼표 [0] 2 32 13 3" xfId="0"/>
    <cellStyle name="쉼표 [0] 2 32 13 4" xfId="0"/>
    <cellStyle name="쉼표 [0] 2 32 13 5" xfId="0"/>
    <cellStyle name="쉼표 [0] 2 32 13 6" xfId="0"/>
    <cellStyle name="쉼표 [0] 2 32 13 7" xfId="0"/>
    <cellStyle name="쉼표 [0] 2 32 14" xfId="0"/>
    <cellStyle name="쉼표 [0] 2 32 14 2" xfId="0"/>
    <cellStyle name="쉼표 [0] 2 32 14 3" xfId="0"/>
    <cellStyle name="쉼표 [0] 2 32 14 4" xfId="0"/>
    <cellStyle name="쉼표 [0] 2 32 14 5" xfId="0"/>
    <cellStyle name="쉼표 [0] 2 32 14 6" xfId="0"/>
    <cellStyle name="쉼표 [0] 2 32 14 7" xfId="0"/>
    <cellStyle name="쉼표 [0] 2 32 15" xfId="0"/>
    <cellStyle name="쉼표 [0] 2 32 16" xfId="0"/>
    <cellStyle name="쉼표 [0] 2 32 17" xfId="0"/>
    <cellStyle name="쉼표 [0] 2 32 18" xfId="0"/>
    <cellStyle name="쉼표 [0] 2 32 19" xfId="0"/>
    <cellStyle name="쉼표 [0] 2 32 2" xfId="0"/>
    <cellStyle name="쉼표 [0] 2 32 2 2" xfId="0"/>
    <cellStyle name="쉼표 [0] 2 32 2 3" xfId="0"/>
    <cellStyle name="쉼표 [0] 2 32 2 4" xfId="0"/>
    <cellStyle name="쉼표 [0] 2 32 2 5" xfId="0"/>
    <cellStyle name="쉼표 [0] 2 32 2 6" xfId="0"/>
    <cellStyle name="쉼표 [0] 2 32 2 7" xfId="0"/>
    <cellStyle name="쉼표 [0] 2 32 20" xfId="0"/>
    <cellStyle name="쉼표 [0] 2 32 21" xfId="0"/>
    <cellStyle name="쉼표 [0] 2 32 22" xfId="0"/>
    <cellStyle name="쉼표 [0] 2 32 23" xfId="0"/>
    <cellStyle name="쉼표 [0] 2 32 24" xfId="0"/>
    <cellStyle name="쉼표 [0] 2 32 24 2" xfId="0"/>
    <cellStyle name="쉼표 [0] 2 32 24 3" xfId="0"/>
    <cellStyle name="쉼표 [0] 2 32 25" xfId="0"/>
    <cellStyle name="쉼표 [0] 2 32 25 2" xfId="0"/>
    <cellStyle name="쉼표 [0] 2 32 25 3" xfId="0"/>
    <cellStyle name="쉼표 [0] 2 32 26" xfId="0"/>
    <cellStyle name="쉼표 [0] 2 32 27" xfId="0"/>
    <cellStyle name="쉼표 [0] 2 32 28" xfId="0"/>
    <cellStyle name="쉼표 [0] 2 32 29" xfId="0"/>
    <cellStyle name="쉼표 [0] 2 32 3" xfId="0"/>
    <cellStyle name="쉼표 [0] 2 32 3 2" xfId="0"/>
    <cellStyle name="쉼표 [0] 2 32 3 3" xfId="0"/>
    <cellStyle name="쉼표 [0] 2 32 3 4" xfId="0"/>
    <cellStyle name="쉼표 [0] 2 32 3 5" xfId="0"/>
    <cellStyle name="쉼표 [0] 2 32 3 6" xfId="0"/>
    <cellStyle name="쉼표 [0] 2 32 3 7" xfId="0"/>
    <cellStyle name="쉼표 [0] 2 32 30" xfId="0"/>
    <cellStyle name="쉼표 [0] 2 32 4" xfId="0"/>
    <cellStyle name="쉼표 [0] 2 32 4 2" xfId="0"/>
    <cellStyle name="쉼표 [0] 2 32 4 3" xfId="0"/>
    <cellStyle name="쉼표 [0] 2 32 4 4" xfId="0"/>
    <cellStyle name="쉼표 [0] 2 32 4 5" xfId="0"/>
    <cellStyle name="쉼표 [0] 2 32 4 6" xfId="0"/>
    <cellStyle name="쉼표 [0] 2 32 4 7" xfId="0"/>
    <cellStyle name="쉼표 [0] 2 32 5" xfId="0"/>
    <cellStyle name="쉼표 [0] 2 32 5 2" xfId="0"/>
    <cellStyle name="쉼표 [0] 2 32 5 3" xfId="0"/>
    <cellStyle name="쉼표 [0] 2 32 5 4" xfId="0"/>
    <cellStyle name="쉼표 [0] 2 32 5 5" xfId="0"/>
    <cellStyle name="쉼표 [0] 2 32 5 6" xfId="0"/>
    <cellStyle name="쉼표 [0] 2 32 5 7" xfId="0"/>
    <cellStyle name="쉼표 [0] 2 32 6" xfId="0"/>
    <cellStyle name="쉼표 [0] 2 32 6 2" xfId="0"/>
    <cellStyle name="쉼표 [0] 2 32 6 3" xfId="0"/>
    <cellStyle name="쉼표 [0] 2 32 6 4" xfId="0"/>
    <cellStyle name="쉼표 [0] 2 32 6 5" xfId="0"/>
    <cellStyle name="쉼표 [0] 2 32 6 6" xfId="0"/>
    <cellStyle name="쉼표 [0] 2 32 6 7" xfId="0"/>
    <cellStyle name="쉼표 [0] 2 32 7" xfId="0"/>
    <cellStyle name="쉼표 [0] 2 32 7 2" xfId="0"/>
    <cellStyle name="쉼표 [0] 2 32 7 3" xfId="0"/>
    <cellStyle name="쉼표 [0] 2 32 7 4" xfId="0"/>
    <cellStyle name="쉼표 [0] 2 32 7 5" xfId="0"/>
    <cellStyle name="쉼표 [0] 2 32 7 6" xfId="0"/>
    <cellStyle name="쉼표 [0] 2 32 7 7" xfId="0"/>
    <cellStyle name="쉼표 [0] 2 32 8" xfId="0"/>
    <cellStyle name="쉼표 [0] 2 32 8 2" xfId="0"/>
    <cellStyle name="쉼표 [0] 2 32 8 3" xfId="0"/>
    <cellStyle name="쉼표 [0] 2 32 8 4" xfId="0"/>
    <cellStyle name="쉼표 [0] 2 32 8 5" xfId="0"/>
    <cellStyle name="쉼표 [0] 2 32 8 6" xfId="0"/>
    <cellStyle name="쉼표 [0] 2 32 8 7" xfId="0"/>
    <cellStyle name="쉼표 [0] 2 32 9" xfId="0"/>
    <cellStyle name="쉼표 [0] 2 32 9 2" xfId="0"/>
    <cellStyle name="쉼표 [0] 2 32 9 3" xfId="0"/>
    <cellStyle name="쉼표 [0] 2 32 9 4" xfId="0"/>
    <cellStyle name="쉼표 [0] 2 32 9 5" xfId="0"/>
    <cellStyle name="쉼표 [0] 2 32 9 6" xfId="0"/>
    <cellStyle name="쉼표 [0] 2 32 9 7" xfId="0"/>
    <cellStyle name="쉼표 [0] 2 33" xfId="0"/>
    <cellStyle name="쉼표 [0] 2 33 10" xfId="0"/>
    <cellStyle name="쉼표 [0] 2 33 10 2" xfId="0"/>
    <cellStyle name="쉼표 [0] 2 33 10 3" xfId="0"/>
    <cellStyle name="쉼표 [0] 2 33 10 4" xfId="0"/>
    <cellStyle name="쉼표 [0] 2 33 10 5" xfId="0"/>
    <cellStyle name="쉼표 [0] 2 33 10 6" xfId="0"/>
    <cellStyle name="쉼표 [0] 2 33 10 7" xfId="0"/>
    <cellStyle name="쉼표 [0] 2 33 11" xfId="0"/>
    <cellStyle name="쉼표 [0] 2 33 11 2" xfId="0"/>
    <cellStyle name="쉼표 [0] 2 33 11 3" xfId="0"/>
    <cellStyle name="쉼표 [0] 2 33 11 4" xfId="0"/>
    <cellStyle name="쉼표 [0] 2 33 11 5" xfId="0"/>
    <cellStyle name="쉼표 [0] 2 33 11 6" xfId="0"/>
    <cellStyle name="쉼표 [0] 2 33 11 7" xfId="0"/>
    <cellStyle name="쉼표 [0] 2 33 12" xfId="0"/>
    <cellStyle name="쉼표 [0] 2 33 12 2" xfId="0"/>
    <cellStyle name="쉼표 [0] 2 33 12 3" xfId="0"/>
    <cellStyle name="쉼표 [0] 2 33 12 4" xfId="0"/>
    <cellStyle name="쉼표 [0] 2 33 12 5" xfId="0"/>
    <cellStyle name="쉼표 [0] 2 33 12 6" xfId="0"/>
    <cellStyle name="쉼표 [0] 2 33 12 7" xfId="0"/>
    <cellStyle name="쉼표 [0] 2 33 13" xfId="0"/>
    <cellStyle name="쉼표 [0] 2 33 13 2" xfId="0"/>
    <cellStyle name="쉼표 [0] 2 33 13 3" xfId="0"/>
    <cellStyle name="쉼표 [0] 2 33 13 4" xfId="0"/>
    <cellStyle name="쉼표 [0] 2 33 13 5" xfId="0"/>
    <cellStyle name="쉼표 [0] 2 33 13 6" xfId="0"/>
    <cellStyle name="쉼표 [0] 2 33 13 7" xfId="0"/>
    <cellStyle name="쉼표 [0] 2 33 14" xfId="0"/>
    <cellStyle name="쉼표 [0] 2 33 14 2" xfId="0"/>
    <cellStyle name="쉼표 [0] 2 33 14 3" xfId="0"/>
    <cellStyle name="쉼표 [0] 2 33 14 4" xfId="0"/>
    <cellStyle name="쉼표 [0] 2 33 14 5" xfId="0"/>
    <cellStyle name="쉼표 [0] 2 33 14 6" xfId="0"/>
    <cellStyle name="쉼표 [0] 2 33 14 7" xfId="0"/>
    <cellStyle name="쉼표 [0] 2 33 15" xfId="0"/>
    <cellStyle name="쉼표 [0] 2 33 16" xfId="0"/>
    <cellStyle name="쉼표 [0] 2 33 17" xfId="0"/>
    <cellStyle name="쉼표 [0] 2 33 18" xfId="0"/>
    <cellStyle name="쉼표 [0] 2 33 19" xfId="0"/>
    <cellStyle name="쉼표 [0] 2 33 2" xfId="0"/>
    <cellStyle name="쉼표 [0] 2 33 2 2" xfId="0"/>
    <cellStyle name="쉼표 [0] 2 33 2 3" xfId="0"/>
    <cellStyle name="쉼표 [0] 2 33 2 4" xfId="0"/>
    <cellStyle name="쉼표 [0] 2 33 2 5" xfId="0"/>
    <cellStyle name="쉼표 [0] 2 33 2 6" xfId="0"/>
    <cellStyle name="쉼표 [0] 2 33 2 7" xfId="0"/>
    <cellStyle name="쉼표 [0] 2 33 20" xfId="0"/>
    <cellStyle name="쉼표 [0] 2 33 21" xfId="0"/>
    <cellStyle name="쉼표 [0] 2 33 22" xfId="0"/>
    <cellStyle name="쉼표 [0] 2 33 23" xfId="0"/>
    <cellStyle name="쉼표 [0] 2 33 24" xfId="0"/>
    <cellStyle name="쉼표 [0] 2 33 24 2" xfId="0"/>
    <cellStyle name="쉼표 [0] 2 33 24 3" xfId="0"/>
    <cellStyle name="쉼표 [0] 2 33 25" xfId="0"/>
    <cellStyle name="쉼표 [0] 2 33 25 2" xfId="0"/>
    <cellStyle name="쉼표 [0] 2 33 25 3" xfId="0"/>
    <cellStyle name="쉼표 [0] 2 33 26" xfId="0"/>
    <cellStyle name="쉼표 [0] 2 33 27" xfId="0"/>
    <cellStyle name="쉼표 [0] 2 33 28" xfId="0"/>
    <cellStyle name="쉼표 [0] 2 33 29" xfId="0"/>
    <cellStyle name="쉼표 [0] 2 33 3" xfId="0"/>
    <cellStyle name="쉼표 [0] 2 33 3 2" xfId="0"/>
    <cellStyle name="쉼표 [0] 2 33 3 3" xfId="0"/>
    <cellStyle name="쉼표 [0] 2 33 3 4" xfId="0"/>
    <cellStyle name="쉼표 [0] 2 33 3 5" xfId="0"/>
    <cellStyle name="쉼표 [0] 2 33 3 6" xfId="0"/>
    <cellStyle name="쉼표 [0] 2 33 3 7" xfId="0"/>
    <cellStyle name="쉼표 [0] 2 33 30" xfId="0"/>
    <cellStyle name="쉼표 [0] 2 33 4" xfId="0"/>
    <cellStyle name="쉼표 [0] 2 33 4 2" xfId="0"/>
    <cellStyle name="쉼표 [0] 2 33 4 3" xfId="0"/>
    <cellStyle name="쉼표 [0] 2 33 4 4" xfId="0"/>
    <cellStyle name="쉼표 [0] 2 33 4 5" xfId="0"/>
    <cellStyle name="쉼표 [0] 2 33 4 6" xfId="0"/>
    <cellStyle name="쉼표 [0] 2 33 4 7" xfId="0"/>
    <cellStyle name="쉼표 [0] 2 33 5" xfId="0"/>
    <cellStyle name="쉼표 [0] 2 33 5 2" xfId="0"/>
    <cellStyle name="쉼표 [0] 2 33 5 3" xfId="0"/>
    <cellStyle name="쉼표 [0] 2 33 5 4" xfId="0"/>
    <cellStyle name="쉼표 [0] 2 33 5 5" xfId="0"/>
    <cellStyle name="쉼표 [0] 2 33 5 6" xfId="0"/>
    <cellStyle name="쉼표 [0] 2 33 5 7" xfId="0"/>
    <cellStyle name="쉼표 [0] 2 33 6" xfId="0"/>
    <cellStyle name="쉼표 [0] 2 33 6 2" xfId="0"/>
    <cellStyle name="쉼표 [0] 2 33 6 3" xfId="0"/>
    <cellStyle name="쉼표 [0] 2 33 6 4" xfId="0"/>
    <cellStyle name="쉼표 [0] 2 33 6 5" xfId="0"/>
    <cellStyle name="쉼표 [0] 2 33 6 6" xfId="0"/>
    <cellStyle name="쉼표 [0] 2 33 6 7" xfId="0"/>
    <cellStyle name="쉼표 [0] 2 33 7" xfId="0"/>
    <cellStyle name="쉼표 [0] 2 33 7 2" xfId="0"/>
    <cellStyle name="쉼표 [0] 2 33 7 3" xfId="0"/>
    <cellStyle name="쉼표 [0] 2 33 7 4" xfId="0"/>
    <cellStyle name="쉼표 [0] 2 33 7 5" xfId="0"/>
    <cellStyle name="쉼표 [0] 2 33 7 6" xfId="0"/>
    <cellStyle name="쉼표 [0] 2 33 7 7" xfId="0"/>
    <cellStyle name="쉼표 [0] 2 33 8" xfId="0"/>
    <cellStyle name="쉼표 [0] 2 33 8 2" xfId="0"/>
    <cellStyle name="쉼표 [0] 2 33 8 3" xfId="0"/>
    <cellStyle name="쉼표 [0] 2 33 8 4" xfId="0"/>
    <cellStyle name="쉼표 [0] 2 33 8 5" xfId="0"/>
    <cellStyle name="쉼표 [0] 2 33 8 6" xfId="0"/>
    <cellStyle name="쉼표 [0] 2 33 8 7" xfId="0"/>
    <cellStyle name="쉼표 [0] 2 33 9" xfId="0"/>
    <cellStyle name="쉼표 [0] 2 33 9 2" xfId="0"/>
    <cellStyle name="쉼표 [0] 2 33 9 3" xfId="0"/>
    <cellStyle name="쉼표 [0] 2 33 9 4" xfId="0"/>
    <cellStyle name="쉼표 [0] 2 33 9 5" xfId="0"/>
    <cellStyle name="쉼표 [0] 2 33 9 6" xfId="0"/>
    <cellStyle name="쉼표 [0] 2 33 9 7" xfId="0"/>
    <cellStyle name="쉼표 [0] 2 34" xfId="0"/>
    <cellStyle name="쉼표 [0] 2 34 10" xfId="0"/>
    <cellStyle name="쉼표 [0] 2 34 10 2" xfId="0"/>
    <cellStyle name="쉼표 [0] 2 34 10 3" xfId="0"/>
    <cellStyle name="쉼표 [0] 2 34 10 4" xfId="0"/>
    <cellStyle name="쉼표 [0] 2 34 10 5" xfId="0"/>
    <cellStyle name="쉼표 [0] 2 34 10 6" xfId="0"/>
    <cellStyle name="쉼표 [0] 2 34 10 7" xfId="0"/>
    <cellStyle name="쉼표 [0] 2 34 11" xfId="0"/>
    <cellStyle name="쉼표 [0] 2 34 11 2" xfId="0"/>
    <cellStyle name="쉼표 [0] 2 34 11 3" xfId="0"/>
    <cellStyle name="쉼표 [0] 2 34 11 4" xfId="0"/>
    <cellStyle name="쉼표 [0] 2 34 11 5" xfId="0"/>
    <cellStyle name="쉼표 [0] 2 34 11 6" xfId="0"/>
    <cellStyle name="쉼표 [0] 2 34 11 7" xfId="0"/>
    <cellStyle name="쉼표 [0] 2 34 12" xfId="0"/>
    <cellStyle name="쉼표 [0] 2 34 12 2" xfId="0"/>
    <cellStyle name="쉼표 [0] 2 34 12 3" xfId="0"/>
    <cellStyle name="쉼표 [0] 2 34 12 4" xfId="0"/>
    <cellStyle name="쉼표 [0] 2 34 12 5" xfId="0"/>
    <cellStyle name="쉼표 [0] 2 34 12 6" xfId="0"/>
    <cellStyle name="쉼표 [0] 2 34 12 7" xfId="0"/>
    <cellStyle name="쉼표 [0] 2 34 13" xfId="0"/>
    <cellStyle name="쉼표 [0] 2 34 13 2" xfId="0"/>
    <cellStyle name="쉼표 [0] 2 34 13 3" xfId="0"/>
    <cellStyle name="쉼표 [0] 2 34 13 4" xfId="0"/>
    <cellStyle name="쉼표 [0] 2 34 13 5" xfId="0"/>
    <cellStyle name="쉼표 [0] 2 34 13 6" xfId="0"/>
    <cellStyle name="쉼표 [0] 2 34 13 7" xfId="0"/>
    <cellStyle name="쉼표 [0] 2 34 14" xfId="0"/>
    <cellStyle name="쉼표 [0] 2 34 14 2" xfId="0"/>
    <cellStyle name="쉼표 [0] 2 34 14 3" xfId="0"/>
    <cellStyle name="쉼표 [0] 2 34 14 4" xfId="0"/>
    <cellStyle name="쉼표 [0] 2 34 14 5" xfId="0"/>
    <cellStyle name="쉼표 [0] 2 34 14 6" xfId="0"/>
    <cellStyle name="쉼표 [0] 2 34 14 7" xfId="0"/>
    <cellStyle name="쉼표 [0] 2 34 15" xfId="0"/>
    <cellStyle name="쉼표 [0] 2 34 16" xfId="0"/>
    <cellStyle name="쉼표 [0] 2 34 17" xfId="0"/>
    <cellStyle name="쉼표 [0] 2 34 18" xfId="0"/>
    <cellStyle name="쉼표 [0] 2 34 19" xfId="0"/>
    <cellStyle name="쉼표 [0] 2 34 2" xfId="0"/>
    <cellStyle name="쉼표 [0] 2 34 2 2" xfId="0"/>
    <cellStyle name="쉼표 [0] 2 34 2 3" xfId="0"/>
    <cellStyle name="쉼표 [0] 2 34 2 4" xfId="0"/>
    <cellStyle name="쉼표 [0] 2 34 2 5" xfId="0"/>
    <cellStyle name="쉼표 [0] 2 34 2 6" xfId="0"/>
    <cellStyle name="쉼표 [0] 2 34 2 7" xfId="0"/>
    <cellStyle name="쉼표 [0] 2 34 20" xfId="0"/>
    <cellStyle name="쉼표 [0] 2 34 21" xfId="0"/>
    <cellStyle name="쉼표 [0] 2 34 22" xfId="0"/>
    <cellStyle name="쉼표 [0] 2 34 23" xfId="0"/>
    <cellStyle name="쉼표 [0] 2 34 24" xfId="0"/>
    <cellStyle name="쉼표 [0] 2 34 24 2" xfId="0"/>
    <cellStyle name="쉼표 [0] 2 34 24 3" xfId="0"/>
    <cellStyle name="쉼표 [0] 2 34 25" xfId="0"/>
    <cellStyle name="쉼표 [0] 2 34 25 2" xfId="0"/>
    <cellStyle name="쉼표 [0] 2 34 25 3" xfId="0"/>
    <cellStyle name="쉼표 [0] 2 34 26" xfId="0"/>
    <cellStyle name="쉼표 [0] 2 34 27" xfId="0"/>
    <cellStyle name="쉼표 [0] 2 34 3" xfId="0"/>
    <cellStyle name="쉼표 [0] 2 34 3 2" xfId="0"/>
    <cellStyle name="쉼표 [0] 2 34 3 3" xfId="0"/>
    <cellStyle name="쉼표 [0] 2 34 3 4" xfId="0"/>
    <cellStyle name="쉼표 [0] 2 34 3 5" xfId="0"/>
    <cellStyle name="쉼표 [0] 2 34 3 6" xfId="0"/>
    <cellStyle name="쉼표 [0] 2 34 3 7" xfId="0"/>
    <cellStyle name="쉼표 [0] 2 34 4" xfId="0"/>
    <cellStyle name="쉼표 [0] 2 34 4 2" xfId="0"/>
    <cellStyle name="쉼표 [0] 2 34 4 3" xfId="0"/>
    <cellStyle name="쉼표 [0] 2 34 4 4" xfId="0"/>
    <cellStyle name="쉼표 [0] 2 34 4 5" xfId="0"/>
    <cellStyle name="쉼표 [0] 2 34 4 6" xfId="0"/>
    <cellStyle name="쉼표 [0] 2 34 4 7" xfId="0"/>
    <cellStyle name="쉼표 [0] 2 34 5" xfId="0"/>
    <cellStyle name="쉼표 [0] 2 34 5 2" xfId="0"/>
    <cellStyle name="쉼표 [0] 2 34 5 3" xfId="0"/>
    <cellStyle name="쉼표 [0] 2 34 5 4" xfId="0"/>
    <cellStyle name="쉼표 [0] 2 34 5 5" xfId="0"/>
    <cellStyle name="쉼표 [0] 2 34 5 6" xfId="0"/>
    <cellStyle name="쉼표 [0] 2 34 5 7" xfId="0"/>
    <cellStyle name="쉼표 [0] 2 34 6" xfId="0"/>
    <cellStyle name="쉼표 [0] 2 34 6 2" xfId="0"/>
    <cellStyle name="쉼표 [0] 2 34 6 3" xfId="0"/>
    <cellStyle name="쉼표 [0] 2 34 6 4" xfId="0"/>
    <cellStyle name="쉼표 [0] 2 34 6 5" xfId="0"/>
    <cellStyle name="쉼표 [0] 2 34 6 6" xfId="0"/>
    <cellStyle name="쉼표 [0] 2 34 6 7" xfId="0"/>
    <cellStyle name="쉼표 [0] 2 34 7" xfId="0"/>
    <cellStyle name="쉼표 [0] 2 34 7 2" xfId="0"/>
    <cellStyle name="쉼표 [0] 2 34 7 3" xfId="0"/>
    <cellStyle name="쉼표 [0] 2 34 7 4" xfId="0"/>
    <cellStyle name="쉼표 [0] 2 34 7 5" xfId="0"/>
    <cellStyle name="쉼표 [0] 2 34 7 6" xfId="0"/>
    <cellStyle name="쉼표 [0] 2 34 7 7" xfId="0"/>
    <cellStyle name="쉼표 [0] 2 34 8" xfId="0"/>
    <cellStyle name="쉼표 [0] 2 34 8 2" xfId="0"/>
    <cellStyle name="쉼표 [0] 2 34 8 3" xfId="0"/>
    <cellStyle name="쉼표 [0] 2 34 8 4" xfId="0"/>
    <cellStyle name="쉼표 [0] 2 34 8 5" xfId="0"/>
    <cellStyle name="쉼표 [0] 2 34 8 6" xfId="0"/>
    <cellStyle name="쉼표 [0] 2 34 8 7" xfId="0"/>
    <cellStyle name="쉼표 [0] 2 34 9" xfId="0"/>
    <cellStyle name="쉼표 [0] 2 34 9 2" xfId="0"/>
    <cellStyle name="쉼표 [0] 2 34 9 3" xfId="0"/>
    <cellStyle name="쉼표 [0] 2 34 9 4" xfId="0"/>
    <cellStyle name="쉼표 [0] 2 34 9 5" xfId="0"/>
    <cellStyle name="쉼표 [0] 2 34 9 6" xfId="0"/>
    <cellStyle name="쉼표 [0] 2 34 9 7" xfId="0"/>
    <cellStyle name="쉼표 [0] 2 35" xfId="0"/>
    <cellStyle name="쉼표 [0] 2 35 10" xfId="0"/>
    <cellStyle name="쉼표 [0] 2 35 10 2" xfId="0"/>
    <cellStyle name="쉼표 [0] 2 35 10 3" xfId="0"/>
    <cellStyle name="쉼표 [0] 2 35 10 4" xfId="0"/>
    <cellStyle name="쉼표 [0] 2 35 10 5" xfId="0"/>
    <cellStyle name="쉼표 [0] 2 35 10 6" xfId="0"/>
    <cellStyle name="쉼표 [0] 2 35 10 7" xfId="0"/>
    <cellStyle name="쉼표 [0] 2 35 11" xfId="0"/>
    <cellStyle name="쉼표 [0] 2 35 11 2" xfId="0"/>
    <cellStyle name="쉼표 [0] 2 35 11 3" xfId="0"/>
    <cellStyle name="쉼표 [0] 2 35 11 4" xfId="0"/>
    <cellStyle name="쉼표 [0] 2 35 11 5" xfId="0"/>
    <cellStyle name="쉼표 [0] 2 35 11 6" xfId="0"/>
    <cellStyle name="쉼표 [0] 2 35 11 7" xfId="0"/>
    <cellStyle name="쉼표 [0] 2 35 12" xfId="0"/>
    <cellStyle name="쉼표 [0] 2 35 12 2" xfId="0"/>
    <cellStyle name="쉼표 [0] 2 35 12 3" xfId="0"/>
    <cellStyle name="쉼표 [0] 2 35 12 4" xfId="0"/>
    <cellStyle name="쉼표 [0] 2 35 12 5" xfId="0"/>
    <cellStyle name="쉼표 [0] 2 35 12 6" xfId="0"/>
    <cellStyle name="쉼표 [0] 2 35 12 7" xfId="0"/>
    <cellStyle name="쉼표 [0] 2 35 13" xfId="0"/>
    <cellStyle name="쉼표 [0] 2 35 13 2" xfId="0"/>
    <cellStyle name="쉼표 [0] 2 35 13 3" xfId="0"/>
    <cellStyle name="쉼표 [0] 2 35 13 4" xfId="0"/>
    <cellStyle name="쉼표 [0] 2 35 13 5" xfId="0"/>
    <cellStyle name="쉼표 [0] 2 35 13 6" xfId="0"/>
    <cellStyle name="쉼표 [0] 2 35 13 7" xfId="0"/>
    <cellStyle name="쉼표 [0] 2 35 14" xfId="0"/>
    <cellStyle name="쉼표 [0] 2 35 14 2" xfId="0"/>
    <cellStyle name="쉼표 [0] 2 35 14 3" xfId="0"/>
    <cellStyle name="쉼표 [0] 2 35 14 4" xfId="0"/>
    <cellStyle name="쉼표 [0] 2 35 14 5" xfId="0"/>
    <cellStyle name="쉼표 [0] 2 35 14 6" xfId="0"/>
    <cellStyle name="쉼표 [0] 2 35 14 7" xfId="0"/>
    <cellStyle name="쉼표 [0] 2 35 15" xfId="0"/>
    <cellStyle name="쉼표 [0] 2 35 16" xfId="0"/>
    <cellStyle name="쉼표 [0] 2 35 17" xfId="0"/>
    <cellStyle name="쉼표 [0] 2 35 18" xfId="0"/>
    <cellStyle name="쉼표 [0] 2 35 19" xfId="0"/>
    <cellStyle name="쉼표 [0] 2 35 2" xfId="0"/>
    <cellStyle name="쉼표 [0] 2 35 2 2" xfId="0"/>
    <cellStyle name="쉼표 [0] 2 35 2 3" xfId="0"/>
    <cellStyle name="쉼표 [0] 2 35 2 4" xfId="0"/>
    <cellStyle name="쉼표 [0] 2 35 2 5" xfId="0"/>
    <cellStyle name="쉼표 [0] 2 35 2 6" xfId="0"/>
    <cellStyle name="쉼표 [0] 2 35 2 7" xfId="0"/>
    <cellStyle name="쉼표 [0] 2 35 20" xfId="0"/>
    <cellStyle name="쉼표 [0] 2 35 21" xfId="0"/>
    <cellStyle name="쉼표 [0] 2 35 22" xfId="0"/>
    <cellStyle name="쉼표 [0] 2 35 23" xfId="0"/>
    <cellStyle name="쉼표 [0] 2 35 24" xfId="0"/>
    <cellStyle name="쉼표 [0] 2 35 24 2" xfId="0"/>
    <cellStyle name="쉼표 [0] 2 35 24 3" xfId="0"/>
    <cellStyle name="쉼표 [0] 2 35 25" xfId="0"/>
    <cellStyle name="쉼표 [0] 2 35 25 2" xfId="0"/>
    <cellStyle name="쉼표 [0] 2 35 25 3" xfId="0"/>
    <cellStyle name="쉼표 [0] 2 35 26" xfId="0"/>
    <cellStyle name="쉼표 [0] 2 35 27" xfId="0"/>
    <cellStyle name="쉼표 [0] 2 35 3" xfId="0"/>
    <cellStyle name="쉼표 [0] 2 35 3 2" xfId="0"/>
    <cellStyle name="쉼표 [0] 2 35 3 3" xfId="0"/>
    <cellStyle name="쉼표 [0] 2 35 3 4" xfId="0"/>
    <cellStyle name="쉼표 [0] 2 35 3 5" xfId="0"/>
    <cellStyle name="쉼표 [0] 2 35 3 6" xfId="0"/>
    <cellStyle name="쉼표 [0] 2 35 3 7" xfId="0"/>
    <cellStyle name="쉼표 [0] 2 35 4" xfId="0"/>
    <cellStyle name="쉼표 [0] 2 35 4 2" xfId="0"/>
    <cellStyle name="쉼표 [0] 2 35 4 3" xfId="0"/>
    <cellStyle name="쉼표 [0] 2 35 4 4" xfId="0"/>
    <cellStyle name="쉼표 [0] 2 35 4 5" xfId="0"/>
    <cellStyle name="쉼표 [0] 2 35 4 6" xfId="0"/>
    <cellStyle name="쉼표 [0] 2 35 4 7" xfId="0"/>
    <cellStyle name="쉼표 [0] 2 35 5" xfId="0"/>
    <cellStyle name="쉼표 [0] 2 35 5 2" xfId="0"/>
    <cellStyle name="쉼표 [0] 2 35 5 3" xfId="0"/>
    <cellStyle name="쉼표 [0] 2 35 5 4" xfId="0"/>
    <cellStyle name="쉼표 [0] 2 35 5 5" xfId="0"/>
    <cellStyle name="쉼표 [0] 2 35 5 6" xfId="0"/>
    <cellStyle name="쉼표 [0] 2 35 5 7" xfId="0"/>
    <cellStyle name="쉼표 [0] 2 35 6" xfId="0"/>
    <cellStyle name="쉼표 [0] 2 35 6 2" xfId="0"/>
    <cellStyle name="쉼표 [0] 2 35 6 3" xfId="0"/>
    <cellStyle name="쉼표 [0] 2 35 6 4" xfId="0"/>
    <cellStyle name="쉼표 [0] 2 35 6 5" xfId="0"/>
    <cellStyle name="쉼표 [0] 2 35 6 6" xfId="0"/>
    <cellStyle name="쉼표 [0] 2 35 6 7" xfId="0"/>
    <cellStyle name="쉼표 [0] 2 35 7" xfId="0"/>
    <cellStyle name="쉼표 [0] 2 35 7 2" xfId="0"/>
    <cellStyle name="쉼표 [0] 2 35 7 3" xfId="0"/>
    <cellStyle name="쉼표 [0] 2 35 7 4" xfId="0"/>
    <cellStyle name="쉼표 [0] 2 35 7 5" xfId="0"/>
    <cellStyle name="쉼표 [0] 2 35 7 6" xfId="0"/>
    <cellStyle name="쉼표 [0] 2 35 7 7" xfId="0"/>
    <cellStyle name="쉼표 [0] 2 35 8" xfId="0"/>
    <cellStyle name="쉼표 [0] 2 35 8 2" xfId="0"/>
    <cellStyle name="쉼표 [0] 2 35 8 3" xfId="0"/>
    <cellStyle name="쉼표 [0] 2 35 8 4" xfId="0"/>
    <cellStyle name="쉼표 [0] 2 35 8 5" xfId="0"/>
    <cellStyle name="쉼표 [0] 2 35 8 6" xfId="0"/>
    <cellStyle name="쉼표 [0] 2 35 8 7" xfId="0"/>
    <cellStyle name="쉼표 [0] 2 35 9" xfId="0"/>
    <cellStyle name="쉼표 [0] 2 35 9 2" xfId="0"/>
    <cellStyle name="쉼표 [0] 2 35 9 3" xfId="0"/>
    <cellStyle name="쉼표 [0] 2 35 9 4" xfId="0"/>
    <cellStyle name="쉼표 [0] 2 35 9 5" xfId="0"/>
    <cellStyle name="쉼표 [0] 2 35 9 6" xfId="0"/>
    <cellStyle name="쉼표 [0] 2 35 9 7" xfId="0"/>
    <cellStyle name="쉼표 [0] 2 36" xfId="0"/>
    <cellStyle name="쉼표 [0] 2 36 10" xfId="0"/>
    <cellStyle name="쉼표 [0] 2 36 10 2" xfId="0"/>
    <cellStyle name="쉼표 [0] 2 36 10 3" xfId="0"/>
    <cellStyle name="쉼표 [0] 2 36 10 4" xfId="0"/>
    <cellStyle name="쉼표 [0] 2 36 10 5" xfId="0"/>
    <cellStyle name="쉼표 [0] 2 36 10 6" xfId="0"/>
    <cellStyle name="쉼표 [0] 2 36 10 7" xfId="0"/>
    <cellStyle name="쉼표 [0] 2 36 11" xfId="0"/>
    <cellStyle name="쉼표 [0] 2 36 11 2" xfId="0"/>
    <cellStyle name="쉼표 [0] 2 36 11 3" xfId="0"/>
    <cellStyle name="쉼표 [0] 2 36 11 4" xfId="0"/>
    <cellStyle name="쉼표 [0] 2 36 11 5" xfId="0"/>
    <cellStyle name="쉼표 [0] 2 36 11 6" xfId="0"/>
    <cellStyle name="쉼표 [0] 2 36 11 7" xfId="0"/>
    <cellStyle name="쉼표 [0] 2 36 12" xfId="0"/>
    <cellStyle name="쉼표 [0] 2 36 12 2" xfId="0"/>
    <cellStyle name="쉼표 [0] 2 36 12 3" xfId="0"/>
    <cellStyle name="쉼표 [0] 2 36 12 4" xfId="0"/>
    <cellStyle name="쉼표 [0] 2 36 12 5" xfId="0"/>
    <cellStyle name="쉼표 [0] 2 36 12 6" xfId="0"/>
    <cellStyle name="쉼표 [0] 2 36 12 7" xfId="0"/>
    <cellStyle name="쉼표 [0] 2 36 13" xfId="0"/>
    <cellStyle name="쉼표 [0] 2 36 13 2" xfId="0"/>
    <cellStyle name="쉼표 [0] 2 36 13 3" xfId="0"/>
    <cellStyle name="쉼표 [0] 2 36 13 4" xfId="0"/>
    <cellStyle name="쉼표 [0] 2 36 13 5" xfId="0"/>
    <cellStyle name="쉼표 [0] 2 36 13 6" xfId="0"/>
    <cellStyle name="쉼표 [0] 2 36 13 7" xfId="0"/>
    <cellStyle name="쉼표 [0] 2 36 14" xfId="0"/>
    <cellStyle name="쉼표 [0] 2 36 14 2" xfId="0"/>
    <cellStyle name="쉼표 [0] 2 36 14 3" xfId="0"/>
    <cellStyle name="쉼표 [0] 2 36 14 4" xfId="0"/>
    <cellStyle name="쉼표 [0] 2 36 14 5" xfId="0"/>
    <cellStyle name="쉼표 [0] 2 36 14 6" xfId="0"/>
    <cellStyle name="쉼표 [0] 2 36 14 7" xfId="0"/>
    <cellStyle name="쉼표 [0] 2 36 15" xfId="0"/>
    <cellStyle name="쉼표 [0] 2 36 16" xfId="0"/>
    <cellStyle name="쉼표 [0] 2 36 17" xfId="0"/>
    <cellStyle name="쉼표 [0] 2 36 18" xfId="0"/>
    <cellStyle name="쉼표 [0] 2 36 19" xfId="0"/>
    <cellStyle name="쉼표 [0] 2 36 2" xfId="0"/>
    <cellStyle name="쉼표 [0] 2 36 2 2" xfId="0"/>
    <cellStyle name="쉼표 [0] 2 36 2 3" xfId="0"/>
    <cellStyle name="쉼표 [0] 2 36 2 4" xfId="0"/>
    <cellStyle name="쉼표 [0] 2 36 2 5" xfId="0"/>
    <cellStyle name="쉼표 [0] 2 36 2 6" xfId="0"/>
    <cellStyle name="쉼표 [0] 2 36 2 7" xfId="0"/>
    <cellStyle name="쉼표 [0] 2 36 20" xfId="0"/>
    <cellStyle name="쉼표 [0] 2 36 21" xfId="0"/>
    <cellStyle name="쉼표 [0] 2 36 22" xfId="0"/>
    <cellStyle name="쉼표 [0] 2 36 23" xfId="0"/>
    <cellStyle name="쉼표 [0] 2 36 24" xfId="0"/>
    <cellStyle name="쉼표 [0] 2 36 24 2" xfId="0"/>
    <cellStyle name="쉼표 [0] 2 36 24 3" xfId="0"/>
    <cellStyle name="쉼표 [0] 2 36 25" xfId="0"/>
    <cellStyle name="쉼표 [0] 2 36 25 2" xfId="0"/>
    <cellStyle name="쉼표 [0] 2 36 25 3" xfId="0"/>
    <cellStyle name="쉼표 [0] 2 36 26" xfId="0"/>
    <cellStyle name="쉼표 [0] 2 36 27" xfId="0"/>
    <cellStyle name="쉼표 [0] 2 36 3" xfId="0"/>
    <cellStyle name="쉼표 [0] 2 36 3 2" xfId="0"/>
    <cellStyle name="쉼표 [0] 2 36 3 3" xfId="0"/>
    <cellStyle name="쉼표 [0] 2 36 3 4" xfId="0"/>
    <cellStyle name="쉼표 [0] 2 36 3 5" xfId="0"/>
    <cellStyle name="쉼표 [0] 2 36 3 6" xfId="0"/>
    <cellStyle name="쉼표 [0] 2 36 3 7" xfId="0"/>
    <cellStyle name="쉼표 [0] 2 36 4" xfId="0"/>
    <cellStyle name="쉼표 [0] 2 36 4 2" xfId="0"/>
    <cellStyle name="쉼표 [0] 2 36 4 3" xfId="0"/>
    <cellStyle name="쉼표 [0] 2 36 4 4" xfId="0"/>
    <cellStyle name="쉼표 [0] 2 36 4 5" xfId="0"/>
    <cellStyle name="쉼표 [0] 2 36 4 6" xfId="0"/>
    <cellStyle name="쉼표 [0] 2 36 4 7" xfId="0"/>
    <cellStyle name="쉼표 [0] 2 36 5" xfId="0"/>
    <cellStyle name="쉼표 [0] 2 36 5 2" xfId="0"/>
    <cellStyle name="쉼표 [0] 2 36 5 3" xfId="0"/>
    <cellStyle name="쉼표 [0] 2 36 5 4" xfId="0"/>
    <cellStyle name="쉼표 [0] 2 36 5 5" xfId="0"/>
    <cellStyle name="쉼표 [0] 2 36 5 6" xfId="0"/>
    <cellStyle name="쉼표 [0] 2 36 5 7" xfId="0"/>
    <cellStyle name="쉼표 [0] 2 36 6" xfId="0"/>
    <cellStyle name="쉼표 [0] 2 36 6 2" xfId="0"/>
    <cellStyle name="쉼표 [0] 2 36 6 3" xfId="0"/>
    <cellStyle name="쉼표 [0] 2 36 6 4" xfId="0"/>
    <cellStyle name="쉼표 [0] 2 36 6 5" xfId="0"/>
    <cellStyle name="쉼표 [0] 2 36 6 6" xfId="0"/>
    <cellStyle name="쉼표 [0] 2 36 6 7" xfId="0"/>
    <cellStyle name="쉼표 [0] 2 36 7" xfId="0"/>
    <cellStyle name="쉼표 [0] 2 36 7 2" xfId="0"/>
    <cellStyle name="쉼표 [0] 2 36 7 3" xfId="0"/>
    <cellStyle name="쉼표 [0] 2 36 7 4" xfId="0"/>
    <cellStyle name="쉼표 [0] 2 36 7 5" xfId="0"/>
    <cellStyle name="쉼표 [0] 2 36 7 6" xfId="0"/>
    <cellStyle name="쉼표 [0] 2 36 7 7" xfId="0"/>
    <cellStyle name="쉼표 [0] 2 36 8" xfId="0"/>
    <cellStyle name="쉼표 [0] 2 36 8 2" xfId="0"/>
    <cellStyle name="쉼표 [0] 2 36 8 3" xfId="0"/>
    <cellStyle name="쉼표 [0] 2 36 8 4" xfId="0"/>
    <cellStyle name="쉼표 [0] 2 36 8 5" xfId="0"/>
    <cellStyle name="쉼표 [0] 2 36 8 6" xfId="0"/>
    <cellStyle name="쉼표 [0] 2 36 8 7" xfId="0"/>
    <cellStyle name="쉼표 [0] 2 36 9" xfId="0"/>
    <cellStyle name="쉼표 [0] 2 36 9 2" xfId="0"/>
    <cellStyle name="쉼표 [0] 2 36 9 3" xfId="0"/>
    <cellStyle name="쉼표 [0] 2 36 9 4" xfId="0"/>
    <cellStyle name="쉼표 [0] 2 36 9 5" xfId="0"/>
    <cellStyle name="쉼표 [0] 2 36 9 6" xfId="0"/>
    <cellStyle name="쉼표 [0] 2 36 9 7" xfId="0"/>
    <cellStyle name="쉼표 [0] 2 37" xfId="0"/>
    <cellStyle name="쉼표 [0] 2 38" xfId="0"/>
    <cellStyle name="쉼표 [0] 2 39" xfId="0"/>
    <cellStyle name="쉼표 [0] 2 4" xfId="0"/>
    <cellStyle name="쉼표 [0] 2 4 10" xfId="0"/>
    <cellStyle name="쉼표 [0] 2 4 11" xfId="0"/>
    <cellStyle name="쉼표 [0] 2 4 12" xfId="0"/>
    <cellStyle name="쉼표 [0] 2 4 13" xfId="0"/>
    <cellStyle name="쉼표 [0] 2 4 14" xfId="0"/>
    <cellStyle name="쉼표 [0] 2 4 2" xfId="0"/>
    <cellStyle name="쉼표 [0] 2 4 2 2" xfId="0"/>
    <cellStyle name="쉼표 [0] 2 4 3" xfId="0"/>
    <cellStyle name="쉼표 [0] 2 4 3 2" xfId="0"/>
    <cellStyle name="쉼표 [0] 2 4 4" xfId="0"/>
    <cellStyle name="쉼표 [0] 2 4 5" xfId="0"/>
    <cellStyle name="쉼표 [0] 2 4 6" xfId="0"/>
    <cellStyle name="쉼표 [0] 2 4 7" xfId="0"/>
    <cellStyle name="쉼표 [0] 2 4 8" xfId="0"/>
    <cellStyle name="쉼표 [0] 2 4 9" xfId="0"/>
    <cellStyle name="쉼표 [0] 2 40" xfId="0"/>
    <cellStyle name="쉼표 [0] 2 41" xfId="0"/>
    <cellStyle name="쉼표 [0] 2 42" xfId="0"/>
    <cellStyle name="쉼표 [0] 2 43" xfId="0"/>
    <cellStyle name="쉼표 [0] 2 44" xfId="0"/>
    <cellStyle name="쉼표 [0] 2 45" xfId="0"/>
    <cellStyle name="쉼표 [0] 2 45 2" xfId="0"/>
    <cellStyle name="쉼표 [0] 2 45 3" xfId="0"/>
    <cellStyle name="쉼표 [0] 2 45 4" xfId="0"/>
    <cellStyle name="쉼표 [0] 2 46" xfId="0"/>
    <cellStyle name="쉼표 [0] 2 46 2" xfId="0"/>
    <cellStyle name="쉼표 [0] 2 46 3" xfId="0"/>
    <cellStyle name="쉼표 [0] 2 46 4" xfId="0"/>
    <cellStyle name="쉼표 [0] 2 47" xfId="0"/>
    <cellStyle name="쉼표 [0] 2 47 2" xfId="0"/>
    <cellStyle name="쉼표 [0] 2 47 3" xfId="0"/>
    <cellStyle name="쉼표 [0] 2 47 4" xfId="0"/>
    <cellStyle name="쉼표 [0] 2 48" xfId="0"/>
    <cellStyle name="쉼표 [0] 2 48 2" xfId="0"/>
    <cellStyle name="쉼표 [0] 2 48 3" xfId="0"/>
    <cellStyle name="쉼표 [0] 2 48 4" xfId="0"/>
    <cellStyle name="쉼표 [0] 2 49" xfId="0"/>
    <cellStyle name="쉼표 [0] 2 49 2" xfId="0"/>
    <cellStyle name="쉼표 [0] 2 49 3" xfId="0"/>
    <cellStyle name="쉼표 [0] 2 49 4" xfId="0"/>
    <cellStyle name="쉼표 [0] 2 5" xfId="0"/>
    <cellStyle name="쉼표 [0] 2 5 10" xfId="0"/>
    <cellStyle name="쉼표 [0] 2 5 11" xfId="0"/>
    <cellStyle name="쉼표 [0] 2 5 12" xfId="0"/>
    <cellStyle name="쉼표 [0] 2 5 13" xfId="0"/>
    <cellStyle name="쉼표 [0] 2 5 14" xfId="0"/>
    <cellStyle name="쉼표 [0] 2 5 2" xfId="0"/>
    <cellStyle name="쉼표 [0] 2 5 3" xfId="0"/>
    <cellStyle name="쉼표 [0] 2 5 4" xfId="0"/>
    <cellStyle name="쉼표 [0] 2 5 5" xfId="0"/>
    <cellStyle name="쉼표 [0] 2 5 6" xfId="0"/>
    <cellStyle name="쉼표 [0] 2 5 7" xfId="0"/>
    <cellStyle name="쉼표 [0] 2 5 8" xfId="0"/>
    <cellStyle name="쉼표 [0] 2 5 9" xfId="0"/>
    <cellStyle name="쉼표 [0] 2 50" xfId="0"/>
    <cellStyle name="쉼표 [0] 2 50 2" xfId="0"/>
    <cellStyle name="쉼표 [0] 2 50 3" xfId="0"/>
    <cellStyle name="쉼표 [0] 2 50 4" xfId="0"/>
    <cellStyle name="쉼표 [0] 2 51" xfId="0"/>
    <cellStyle name="쉼표 [0] 2 51 2" xfId="0"/>
    <cellStyle name="쉼표 [0] 2 51 3" xfId="0"/>
    <cellStyle name="쉼표 [0] 2 51 4" xfId="0"/>
    <cellStyle name="쉼표 [0] 2 52" xfId="0"/>
    <cellStyle name="쉼표 [0] 2 52 2" xfId="0"/>
    <cellStyle name="쉼표 [0] 2 52 3" xfId="0"/>
    <cellStyle name="쉼표 [0] 2 52 4" xfId="0"/>
    <cellStyle name="쉼표 [0] 2 53" xfId="0"/>
    <cellStyle name="쉼표 [0] 2 54" xfId="0"/>
    <cellStyle name="쉼표 [0] 2 55" xfId="0"/>
    <cellStyle name="쉼표 [0] 2 56" xfId="0"/>
    <cellStyle name="쉼표 [0] 2 57" xfId="0"/>
    <cellStyle name="쉼표 [0] 2 58" xfId="0"/>
    <cellStyle name="쉼표 [0] 2 59" xfId="0"/>
    <cellStyle name="쉼표 [0] 2 6" xfId="0"/>
    <cellStyle name="쉼표 [0] 2 6 10" xfId="0"/>
    <cellStyle name="쉼표 [0] 2 6 11" xfId="0"/>
    <cellStyle name="쉼표 [0] 2 6 12" xfId="0"/>
    <cellStyle name="쉼표 [0] 2 6 13" xfId="0"/>
    <cellStyle name="쉼표 [0] 2 6 14" xfId="0"/>
    <cellStyle name="쉼표 [0] 2 6 2" xfId="0"/>
    <cellStyle name="쉼표 [0] 2 6 3" xfId="0"/>
    <cellStyle name="쉼표 [0] 2 6 4" xfId="0"/>
    <cellStyle name="쉼표 [0] 2 6 5" xfId="0"/>
    <cellStyle name="쉼표 [0] 2 6 6" xfId="0"/>
    <cellStyle name="쉼표 [0] 2 6 7" xfId="0"/>
    <cellStyle name="쉼표 [0] 2 6 8" xfId="0"/>
    <cellStyle name="쉼표 [0] 2 6 9" xfId="0"/>
    <cellStyle name="쉼표 [0] 2 60" xfId="0"/>
    <cellStyle name="쉼표 [0] 2 61" xfId="0"/>
    <cellStyle name="쉼표 [0] 2 62" xfId="0"/>
    <cellStyle name="쉼표 [0] 2 63" xfId="0"/>
    <cellStyle name="쉼표 [0] 2 64" xfId="0"/>
    <cellStyle name="쉼표 [0] 2 65" xfId="0"/>
    <cellStyle name="쉼표 [0] 2 66" xfId="0"/>
    <cellStyle name="쉼표 [0] 2 67" xfId="0"/>
    <cellStyle name="쉼표 [0] 2 68" xfId="0"/>
    <cellStyle name="쉼표 [0] 2 69" xfId="0"/>
    <cellStyle name="쉼표 [0] 2 7" xfId="0"/>
    <cellStyle name="쉼표 [0] 2 7 10" xfId="0"/>
    <cellStyle name="쉼표 [0] 2 7 11" xfId="0"/>
    <cellStyle name="쉼표 [0] 2 7 2" xfId="0"/>
    <cellStyle name="쉼표 [0] 2 7 2 2" xfId="0"/>
    <cellStyle name="쉼표 [0] 2 7 2 2 2" xfId="0"/>
    <cellStyle name="쉼표 [0] 2 7 2 2 3" xfId="0"/>
    <cellStyle name="쉼표 [0] 2 7 2 2 4" xfId="0"/>
    <cellStyle name="쉼표 [0] 2 7 2 3" xfId="0"/>
    <cellStyle name="쉼표 [0] 2 7 2 3 2" xfId="0"/>
    <cellStyle name="쉼표 [0] 2 7 2 3 3" xfId="0"/>
    <cellStyle name="쉼표 [0] 2 7 2 3 4" xfId="0"/>
    <cellStyle name="쉼표 [0] 2 7 2 4" xfId="0"/>
    <cellStyle name="쉼표 [0] 2 7 2 4 2" xfId="0"/>
    <cellStyle name="쉼표 [0] 2 7 2 4 3" xfId="0"/>
    <cellStyle name="쉼표 [0] 2 7 2 4 4" xfId="0"/>
    <cellStyle name="쉼표 [0] 2 7 2 5" xfId="0"/>
    <cellStyle name="쉼표 [0] 2 7 2 6" xfId="0"/>
    <cellStyle name="쉼표 [0] 2 7 2 7" xfId="0"/>
    <cellStyle name="쉼표 [0] 2 7 3" xfId="0"/>
    <cellStyle name="쉼표 [0] 2 7 3 2" xfId="0"/>
    <cellStyle name="쉼표 [0] 2 7 3 2 2" xfId="0"/>
    <cellStyle name="쉼표 [0] 2 7 3 2 3" xfId="0"/>
    <cellStyle name="쉼표 [0] 2 7 3 2 4" xfId="0"/>
    <cellStyle name="쉼표 [0] 2 7 3 2 5" xfId="0"/>
    <cellStyle name="쉼표 [0] 2 7 3 3" xfId="0"/>
    <cellStyle name="쉼표 [0] 2 7 3 4" xfId="0"/>
    <cellStyle name="쉼표 [0] 2 7 3 5" xfId="0"/>
    <cellStyle name="쉼표 [0] 2 7 4" xfId="0"/>
    <cellStyle name="쉼표 [0] 2 7 4 2" xfId="0"/>
    <cellStyle name="쉼표 [0] 2 7 4 3" xfId="0"/>
    <cellStyle name="쉼표 [0] 2 7 4 4" xfId="0"/>
    <cellStyle name="쉼표 [0] 2 7 4 5" xfId="0"/>
    <cellStyle name="쉼표 [0] 2 7 5" xfId="0"/>
    <cellStyle name="쉼표 [0] 2 7 6" xfId="0"/>
    <cellStyle name="쉼표 [0] 2 7 7" xfId="0"/>
    <cellStyle name="쉼표 [0] 2 7 8" xfId="0"/>
    <cellStyle name="쉼표 [0] 2 7 9" xfId="0"/>
    <cellStyle name="쉼표 [0] 2 70" xfId="0"/>
    <cellStyle name="쉼표 [0] 2 71" xfId="0"/>
    <cellStyle name="쉼표 [0] 2 72" xfId="0"/>
    <cellStyle name="쉼표 [0] 2 73" xfId="0"/>
    <cellStyle name="쉼표 [0] 2 74" xfId="0"/>
    <cellStyle name="쉼표 [0] 2 75" xfId="0"/>
    <cellStyle name="쉼표 [0] 2 76" xfId="0"/>
    <cellStyle name="쉼표 [0] 2 77" xfId="0"/>
    <cellStyle name="쉼표 [0] 2 78" xfId="0"/>
    <cellStyle name="쉼표 [0] 2 79" xfId="0"/>
    <cellStyle name="쉼표 [0] 2 8" xfId="0"/>
    <cellStyle name="쉼표 [0] 2 8 10" xfId="0"/>
    <cellStyle name="쉼표 [0] 2 8 11" xfId="0"/>
    <cellStyle name="쉼표 [0] 2 8 12" xfId="0"/>
    <cellStyle name="쉼표 [0] 2 8 13" xfId="0"/>
    <cellStyle name="쉼표 [0] 2 8 14" xfId="0"/>
    <cellStyle name="쉼표 [0] 2 8 15" xfId="0"/>
    <cellStyle name="쉼표 [0] 2 8 16" xfId="0"/>
    <cellStyle name="쉼표 [0] 2 8 2" xfId="0"/>
    <cellStyle name="쉼표 [0] 2 8 3" xfId="0"/>
    <cellStyle name="쉼표 [0] 2 8 4" xfId="0"/>
    <cellStyle name="쉼표 [0] 2 8 5" xfId="0"/>
    <cellStyle name="쉼표 [0] 2 8 6" xfId="0"/>
    <cellStyle name="쉼표 [0] 2 8 7" xfId="0"/>
    <cellStyle name="쉼표 [0] 2 8 8" xfId="0"/>
    <cellStyle name="쉼표 [0] 2 8 9" xfId="0"/>
    <cellStyle name="쉼표 [0] 2 80" xfId="0"/>
    <cellStyle name="쉼표 [0] 2 81" xfId="0"/>
    <cellStyle name="쉼표 [0] 2 82" xfId="0"/>
    <cellStyle name="쉼표 [0] 2 83" xfId="0"/>
    <cellStyle name="쉼표 [0] 2 84" xfId="0"/>
    <cellStyle name="쉼표 [0] 2 85" xfId="0"/>
    <cellStyle name="쉼표 [0] 2 86" xfId="0"/>
    <cellStyle name="쉼표 [0] 2 87" xfId="0"/>
    <cellStyle name="쉼표 [0] 2 88" xfId="0"/>
    <cellStyle name="쉼표 [0] 2 89" xfId="0"/>
    <cellStyle name="쉼표 [0] 2 9" xfId="0"/>
    <cellStyle name="쉼표 [0] 2 9 2" xfId="0"/>
    <cellStyle name="쉼표 [0] 2 9 2 2" xfId="0"/>
    <cellStyle name="쉼표 [0] 2 9 2 3" xfId="0"/>
    <cellStyle name="쉼표 [0] 2 9 2 4" xfId="0"/>
    <cellStyle name="쉼표 [0] 2 9 2 5" xfId="0"/>
    <cellStyle name="쉼표 [0] 2 9 3" xfId="0"/>
    <cellStyle name="쉼표 [0] 2 9 4" xfId="0"/>
    <cellStyle name="쉼표 [0] 2 9 5" xfId="0"/>
    <cellStyle name="쉼표 [0] 2 9 6" xfId="0"/>
    <cellStyle name="쉼표 [0] 2 9 7" xfId="0"/>
    <cellStyle name="쉼표 [0] 20" xfId="0"/>
    <cellStyle name="쉼표 [0] 20 2" xfId="0"/>
    <cellStyle name="쉼표 [0] 21" xfId="0"/>
    <cellStyle name="쉼표 [0] 22" xfId="0"/>
    <cellStyle name="쉼표 [0] 23" xfId="0"/>
    <cellStyle name="쉼표 [0] 24" xfId="0"/>
    <cellStyle name="쉼표 [0] 25" xfId="0"/>
    <cellStyle name="쉼표 [0] 25 2" xfId="0"/>
    <cellStyle name="쉼표 [0] 25 3" xfId="0"/>
    <cellStyle name="쉼표 [0] 25 4" xfId="0"/>
    <cellStyle name="쉼표 [0] 26" xfId="0"/>
    <cellStyle name="쉼표 [0] 27" xfId="0"/>
    <cellStyle name="쉼표 [0] 28" xfId="0"/>
    <cellStyle name="쉼표 [0] 28 2" xfId="0"/>
    <cellStyle name="쉼표 [0] 28 3" xfId="0"/>
    <cellStyle name="쉼표 [0] 28 4" xfId="0"/>
    <cellStyle name="쉼표 [0] 29" xfId="0"/>
    <cellStyle name="쉼표 [0] 2_Sheet1" xfId="0"/>
    <cellStyle name="쉼표 [0] 3" xfId="0"/>
    <cellStyle name="쉼표 [0] 3 10" xfId="0"/>
    <cellStyle name="쉼표 [0] 3 10 10" xfId="0"/>
    <cellStyle name="쉼표 [0] 3 10 11" xfId="0"/>
    <cellStyle name="쉼표 [0] 3 10 12" xfId="0"/>
    <cellStyle name="쉼표 [0] 3 10 13" xfId="0"/>
    <cellStyle name="쉼표 [0] 3 10 14" xfId="0"/>
    <cellStyle name="쉼표 [0] 3 10 2" xfId="0"/>
    <cellStyle name="쉼표 [0] 3 10 3" xfId="0"/>
    <cellStyle name="쉼표 [0] 3 10 4" xfId="0"/>
    <cellStyle name="쉼표 [0] 3 10 5" xfId="0"/>
    <cellStyle name="쉼표 [0] 3 10 6" xfId="0"/>
    <cellStyle name="쉼표 [0] 3 10 7" xfId="0"/>
    <cellStyle name="쉼표 [0] 3 10 8" xfId="0"/>
    <cellStyle name="쉼표 [0] 3 10 9" xfId="0"/>
    <cellStyle name="쉼표 [0] 3 11" xfId="0"/>
    <cellStyle name="쉼표 [0] 3 11 10" xfId="0"/>
    <cellStyle name="쉼표 [0] 3 11 11" xfId="0"/>
    <cellStyle name="쉼표 [0] 3 11 12" xfId="0"/>
    <cellStyle name="쉼표 [0] 3 11 13" xfId="0"/>
    <cellStyle name="쉼표 [0] 3 11 2" xfId="0"/>
    <cellStyle name="쉼표 [0] 3 11 3" xfId="0"/>
    <cellStyle name="쉼표 [0] 3 11 4" xfId="0"/>
    <cellStyle name="쉼표 [0] 3 11 5" xfId="0"/>
    <cellStyle name="쉼표 [0] 3 11 6" xfId="0"/>
    <cellStyle name="쉼표 [0] 3 11 7" xfId="0"/>
    <cellStyle name="쉼표 [0] 3 11 8" xfId="0"/>
    <cellStyle name="쉼표 [0] 3 11 9" xfId="0"/>
    <cellStyle name="쉼표 [0] 3 12" xfId="0"/>
    <cellStyle name="쉼표 [0] 3 12 10" xfId="0"/>
    <cellStyle name="쉼표 [0] 3 12 11" xfId="0"/>
    <cellStyle name="쉼표 [0] 3 12 12" xfId="0"/>
    <cellStyle name="쉼표 [0] 3 12 13" xfId="0"/>
    <cellStyle name="쉼표 [0] 3 12 2" xfId="0"/>
    <cellStyle name="쉼표 [0] 3 12 3" xfId="0"/>
    <cellStyle name="쉼표 [0] 3 12 4" xfId="0"/>
    <cellStyle name="쉼표 [0] 3 12 5" xfId="0"/>
    <cellStyle name="쉼표 [0] 3 12 6" xfId="0"/>
    <cellStyle name="쉼표 [0] 3 12 7" xfId="0"/>
    <cellStyle name="쉼표 [0] 3 12 8" xfId="0"/>
    <cellStyle name="쉼표 [0] 3 12 9" xfId="0"/>
    <cellStyle name="쉼표 [0] 3 13" xfId="0"/>
    <cellStyle name="쉼표 [0] 3 13 10" xfId="0"/>
    <cellStyle name="쉼표 [0] 3 13 11" xfId="0"/>
    <cellStyle name="쉼표 [0] 3 13 12" xfId="0"/>
    <cellStyle name="쉼표 [0] 3 13 13" xfId="0"/>
    <cellStyle name="쉼표 [0] 3 13 2" xfId="0"/>
    <cellStyle name="쉼표 [0] 3 13 3" xfId="0"/>
    <cellStyle name="쉼표 [0] 3 13 4" xfId="0"/>
    <cellStyle name="쉼표 [0] 3 13 5" xfId="0"/>
    <cellStyle name="쉼표 [0] 3 13 6" xfId="0"/>
    <cellStyle name="쉼표 [0] 3 13 7" xfId="0"/>
    <cellStyle name="쉼표 [0] 3 13 8" xfId="0"/>
    <cellStyle name="쉼표 [0] 3 13 9" xfId="0"/>
    <cellStyle name="쉼표 [0] 3 14" xfId="0"/>
    <cellStyle name="쉼표 [0] 3 14 10" xfId="0"/>
    <cellStyle name="쉼표 [0] 3 14 11" xfId="0"/>
    <cellStyle name="쉼표 [0] 3 14 12" xfId="0"/>
    <cellStyle name="쉼표 [0] 3 14 13" xfId="0"/>
    <cellStyle name="쉼표 [0] 3 14 2" xfId="0"/>
    <cellStyle name="쉼표 [0] 3 14 3" xfId="0"/>
    <cellStyle name="쉼표 [0] 3 14 4" xfId="0"/>
    <cellStyle name="쉼표 [0] 3 14 5" xfId="0"/>
    <cellStyle name="쉼표 [0] 3 14 6" xfId="0"/>
    <cellStyle name="쉼표 [0] 3 14 7" xfId="0"/>
    <cellStyle name="쉼표 [0] 3 14 8" xfId="0"/>
    <cellStyle name="쉼표 [0] 3 14 9" xfId="0"/>
    <cellStyle name="쉼표 [0] 3 15" xfId="0"/>
    <cellStyle name="쉼표 [0] 3 15 10" xfId="0"/>
    <cellStyle name="쉼표 [0] 3 15 11" xfId="0"/>
    <cellStyle name="쉼표 [0] 3 15 12" xfId="0"/>
    <cellStyle name="쉼표 [0] 3 15 13" xfId="0"/>
    <cellStyle name="쉼표 [0] 3 15 2" xfId="0"/>
    <cellStyle name="쉼표 [0] 3 15 3" xfId="0"/>
    <cellStyle name="쉼표 [0] 3 15 4" xfId="0"/>
    <cellStyle name="쉼표 [0] 3 15 5" xfId="0"/>
    <cellStyle name="쉼표 [0] 3 15 6" xfId="0"/>
    <cellStyle name="쉼표 [0] 3 15 7" xfId="0"/>
    <cellStyle name="쉼표 [0] 3 15 8" xfId="0"/>
    <cellStyle name="쉼표 [0] 3 15 9" xfId="0"/>
    <cellStyle name="쉼표 [0] 3 16" xfId="0"/>
    <cellStyle name="쉼표 [0] 3 16 10" xfId="0"/>
    <cellStyle name="쉼표 [0] 3 16 11" xfId="0"/>
    <cellStyle name="쉼표 [0] 3 16 12" xfId="0"/>
    <cellStyle name="쉼표 [0] 3 16 13" xfId="0"/>
    <cellStyle name="쉼표 [0] 3 16 2" xfId="0"/>
    <cellStyle name="쉼표 [0] 3 16 3" xfId="0"/>
    <cellStyle name="쉼표 [0] 3 16 4" xfId="0"/>
    <cellStyle name="쉼표 [0] 3 16 5" xfId="0"/>
    <cellStyle name="쉼표 [0] 3 16 6" xfId="0"/>
    <cellStyle name="쉼표 [0] 3 16 7" xfId="0"/>
    <cellStyle name="쉼표 [0] 3 16 8" xfId="0"/>
    <cellStyle name="쉼표 [0] 3 16 9" xfId="0"/>
    <cellStyle name="쉼표 [0] 3 17" xfId="0"/>
    <cellStyle name="쉼표 [0] 3 17 10" xfId="0"/>
    <cellStyle name="쉼표 [0] 3 17 11" xfId="0"/>
    <cellStyle name="쉼표 [0] 3 17 12" xfId="0"/>
    <cellStyle name="쉼표 [0] 3 17 13" xfId="0"/>
    <cellStyle name="쉼표 [0] 3 17 2" xfId="0"/>
    <cellStyle name="쉼표 [0] 3 17 3" xfId="0"/>
    <cellStyle name="쉼표 [0] 3 17 4" xfId="0"/>
    <cellStyle name="쉼표 [0] 3 17 5" xfId="0"/>
    <cellStyle name="쉼표 [0] 3 17 6" xfId="0"/>
    <cellStyle name="쉼표 [0] 3 17 7" xfId="0"/>
    <cellStyle name="쉼표 [0] 3 17 8" xfId="0"/>
    <cellStyle name="쉼표 [0] 3 17 9" xfId="0"/>
    <cellStyle name="쉼표 [0] 3 18" xfId="0"/>
    <cellStyle name="쉼표 [0] 3 18 10" xfId="0"/>
    <cellStyle name="쉼표 [0] 3 18 11" xfId="0"/>
    <cellStyle name="쉼표 [0] 3 18 12" xfId="0"/>
    <cellStyle name="쉼표 [0] 3 18 13" xfId="0"/>
    <cellStyle name="쉼표 [0] 3 18 2" xfId="0"/>
    <cellStyle name="쉼표 [0] 3 18 3" xfId="0"/>
    <cellStyle name="쉼표 [0] 3 18 4" xfId="0"/>
    <cellStyle name="쉼표 [0] 3 18 5" xfId="0"/>
    <cellStyle name="쉼표 [0] 3 18 6" xfId="0"/>
    <cellStyle name="쉼표 [0] 3 18 7" xfId="0"/>
    <cellStyle name="쉼표 [0] 3 18 8" xfId="0"/>
    <cellStyle name="쉼표 [0] 3 18 9" xfId="0"/>
    <cellStyle name="쉼표 [0] 3 19" xfId="0"/>
    <cellStyle name="쉼표 [0] 3 19 10" xfId="0"/>
    <cellStyle name="쉼표 [0] 3 19 11" xfId="0"/>
    <cellStyle name="쉼표 [0] 3 19 12" xfId="0"/>
    <cellStyle name="쉼표 [0] 3 19 13" xfId="0"/>
    <cellStyle name="쉼표 [0] 3 19 2" xfId="0"/>
    <cellStyle name="쉼표 [0] 3 19 3" xfId="0"/>
    <cellStyle name="쉼표 [0] 3 19 4" xfId="0"/>
    <cellStyle name="쉼표 [0] 3 19 5" xfId="0"/>
    <cellStyle name="쉼표 [0] 3 19 6" xfId="0"/>
    <cellStyle name="쉼표 [0] 3 19 7" xfId="0"/>
    <cellStyle name="쉼표 [0] 3 19 8" xfId="0"/>
    <cellStyle name="쉼표 [0] 3 19 9" xfId="0"/>
    <cellStyle name="쉼표 [0] 3 2" xfId="0"/>
    <cellStyle name="쉼표 [0] 3 2 10" xfId="0"/>
    <cellStyle name="쉼표 [0] 3 2 10 10" xfId="0"/>
    <cellStyle name="쉼표 [0] 3 2 10 11" xfId="0"/>
    <cellStyle name="쉼표 [0] 3 2 10 12" xfId="0"/>
    <cellStyle name="쉼표 [0] 3 2 10 13" xfId="0"/>
    <cellStyle name="쉼표 [0] 3 2 10 2" xfId="0"/>
    <cellStyle name="쉼표 [0] 3 2 10 3" xfId="0"/>
    <cellStyle name="쉼표 [0] 3 2 10 4" xfId="0"/>
    <cellStyle name="쉼표 [0] 3 2 10 5" xfId="0"/>
    <cellStyle name="쉼표 [0] 3 2 10 6" xfId="0"/>
    <cellStyle name="쉼표 [0] 3 2 10 7" xfId="0"/>
    <cellStyle name="쉼표 [0] 3 2 10 8" xfId="0"/>
    <cellStyle name="쉼표 [0] 3 2 10 9" xfId="0"/>
    <cellStyle name="쉼표 [0] 3 2 11" xfId="0"/>
    <cellStyle name="쉼표 [0] 3 2 11 2" xfId="0"/>
    <cellStyle name="쉼표 [0] 3 2 11 3" xfId="0"/>
    <cellStyle name="쉼표 [0] 3 2 11 4" xfId="0"/>
    <cellStyle name="쉼표 [0] 3 2 12" xfId="0"/>
    <cellStyle name="쉼표 [0] 3 2 13" xfId="0"/>
    <cellStyle name="쉼표 [0] 3 2 14" xfId="0"/>
    <cellStyle name="쉼표 [0] 3 2 15" xfId="0"/>
    <cellStyle name="쉼표 [0] 3 2 16" xfId="0"/>
    <cellStyle name="쉼표 [0] 3 2 17" xfId="0"/>
    <cellStyle name="쉼표 [0] 3 2 18" xfId="0"/>
    <cellStyle name="쉼표 [0] 3 2 19" xfId="0"/>
    <cellStyle name="쉼표 [0] 3 2 2" xfId="0"/>
    <cellStyle name="쉼표 [0] 3 2 2 10" xfId="0"/>
    <cellStyle name="쉼표 [0] 3 2 2 11" xfId="0"/>
    <cellStyle name="쉼표 [0] 3 2 2 12" xfId="0"/>
    <cellStyle name="쉼표 [0] 3 2 2 13" xfId="0"/>
    <cellStyle name="쉼표 [0] 3 2 2 14" xfId="0"/>
    <cellStyle name="쉼표 [0] 3 2 2 2" xfId="0"/>
    <cellStyle name="쉼표 [0] 3 2 2 3" xfId="0"/>
    <cellStyle name="쉼표 [0] 3 2 2 4" xfId="0"/>
    <cellStyle name="쉼표 [0] 3 2 2 5" xfId="0"/>
    <cellStyle name="쉼표 [0] 3 2 2 6" xfId="0"/>
    <cellStyle name="쉼표 [0] 3 2 2 7" xfId="0"/>
    <cellStyle name="쉼표 [0] 3 2 2 8" xfId="0"/>
    <cellStyle name="쉼표 [0] 3 2 2 9" xfId="0"/>
    <cellStyle name="쉼표 [0] 3 2 20" xfId="0"/>
    <cellStyle name="쉼표 [0] 3 2 21" xfId="0"/>
    <cellStyle name="쉼표 [0] 3 2 22" xfId="0"/>
    <cellStyle name="쉼표 [0] 3 2 23" xfId="0"/>
    <cellStyle name="쉼표 [0] 3 2 24" xfId="0"/>
    <cellStyle name="쉼표 [0] 3 2 25" xfId="0"/>
    <cellStyle name="쉼표 [0] 3 2 26" xfId="0"/>
    <cellStyle name="쉼표 [0] 3 2 3" xfId="0"/>
    <cellStyle name="쉼표 [0] 3 2 3 10" xfId="0"/>
    <cellStyle name="쉼표 [0] 3 2 3 11" xfId="0"/>
    <cellStyle name="쉼표 [0] 3 2 3 12" xfId="0"/>
    <cellStyle name="쉼표 [0] 3 2 3 13" xfId="0"/>
    <cellStyle name="쉼표 [0] 3 2 3 2" xfId="0"/>
    <cellStyle name="쉼표 [0] 3 2 3 3" xfId="0"/>
    <cellStyle name="쉼표 [0] 3 2 3 4" xfId="0"/>
    <cellStyle name="쉼표 [0] 3 2 3 5" xfId="0"/>
    <cellStyle name="쉼표 [0] 3 2 3 6" xfId="0"/>
    <cellStyle name="쉼표 [0] 3 2 3 7" xfId="0"/>
    <cellStyle name="쉼표 [0] 3 2 3 8" xfId="0"/>
    <cellStyle name="쉼표 [0] 3 2 3 9" xfId="0"/>
    <cellStyle name="쉼표 [0] 3 2 4" xfId="0"/>
    <cellStyle name="쉼표 [0] 3 2 4 10" xfId="0"/>
    <cellStyle name="쉼표 [0] 3 2 4 11" xfId="0"/>
    <cellStyle name="쉼표 [0] 3 2 4 12" xfId="0"/>
    <cellStyle name="쉼표 [0] 3 2 4 13" xfId="0"/>
    <cellStyle name="쉼표 [0] 3 2 4 2" xfId="0"/>
    <cellStyle name="쉼표 [0] 3 2 4 3" xfId="0"/>
    <cellStyle name="쉼표 [0] 3 2 4 4" xfId="0"/>
    <cellStyle name="쉼표 [0] 3 2 4 5" xfId="0"/>
    <cellStyle name="쉼표 [0] 3 2 4 6" xfId="0"/>
    <cellStyle name="쉼표 [0] 3 2 4 7" xfId="0"/>
    <cellStyle name="쉼표 [0] 3 2 4 8" xfId="0"/>
    <cellStyle name="쉼표 [0] 3 2 4 9" xfId="0"/>
    <cellStyle name="쉼표 [0] 3 2 5" xfId="0"/>
    <cellStyle name="쉼표 [0] 3 2 5 10" xfId="0"/>
    <cellStyle name="쉼표 [0] 3 2 5 11" xfId="0"/>
    <cellStyle name="쉼표 [0] 3 2 5 12" xfId="0"/>
    <cellStyle name="쉼표 [0] 3 2 5 13" xfId="0"/>
    <cellStyle name="쉼표 [0] 3 2 5 2" xfId="0"/>
    <cellStyle name="쉼표 [0] 3 2 5 3" xfId="0"/>
    <cellStyle name="쉼표 [0] 3 2 5 4" xfId="0"/>
    <cellStyle name="쉼표 [0] 3 2 5 5" xfId="0"/>
    <cellStyle name="쉼표 [0] 3 2 5 6" xfId="0"/>
    <cellStyle name="쉼표 [0] 3 2 5 7" xfId="0"/>
    <cellStyle name="쉼표 [0] 3 2 5 8" xfId="0"/>
    <cellStyle name="쉼표 [0] 3 2 5 9" xfId="0"/>
    <cellStyle name="쉼표 [0] 3 2 6" xfId="0"/>
    <cellStyle name="쉼표 [0] 3 2 6 10" xfId="0"/>
    <cellStyle name="쉼표 [0] 3 2 6 11" xfId="0"/>
    <cellStyle name="쉼표 [0] 3 2 6 12" xfId="0"/>
    <cellStyle name="쉼표 [0] 3 2 6 13" xfId="0"/>
    <cellStyle name="쉼표 [0] 3 2 6 2" xfId="0"/>
    <cellStyle name="쉼표 [0] 3 2 6 3" xfId="0"/>
    <cellStyle name="쉼표 [0] 3 2 6 4" xfId="0"/>
    <cellStyle name="쉼표 [0] 3 2 6 5" xfId="0"/>
    <cellStyle name="쉼표 [0] 3 2 6 6" xfId="0"/>
    <cellStyle name="쉼표 [0] 3 2 6 7" xfId="0"/>
    <cellStyle name="쉼표 [0] 3 2 6 8" xfId="0"/>
    <cellStyle name="쉼표 [0] 3 2 6 9" xfId="0"/>
    <cellStyle name="쉼표 [0] 3 2 7" xfId="0"/>
    <cellStyle name="쉼표 [0] 3 2 7 10" xfId="0"/>
    <cellStyle name="쉼표 [0] 3 2 7 11" xfId="0"/>
    <cellStyle name="쉼표 [0] 3 2 7 12" xfId="0"/>
    <cellStyle name="쉼표 [0] 3 2 7 13" xfId="0"/>
    <cellStyle name="쉼표 [0] 3 2 7 2" xfId="0"/>
    <cellStyle name="쉼표 [0] 3 2 7 3" xfId="0"/>
    <cellStyle name="쉼표 [0] 3 2 7 4" xfId="0"/>
    <cellStyle name="쉼표 [0] 3 2 7 5" xfId="0"/>
    <cellStyle name="쉼표 [0] 3 2 7 6" xfId="0"/>
    <cellStyle name="쉼표 [0] 3 2 7 7" xfId="0"/>
    <cellStyle name="쉼표 [0] 3 2 7 8" xfId="0"/>
    <cellStyle name="쉼표 [0] 3 2 7 9" xfId="0"/>
    <cellStyle name="쉼표 [0] 3 2 8" xfId="0"/>
    <cellStyle name="쉼표 [0] 3 2 8 10" xfId="0"/>
    <cellStyle name="쉼표 [0] 3 2 8 11" xfId="0"/>
    <cellStyle name="쉼표 [0] 3 2 8 12" xfId="0"/>
    <cellStyle name="쉼표 [0] 3 2 8 13" xfId="0"/>
    <cellStyle name="쉼표 [0] 3 2 8 2" xfId="0"/>
    <cellStyle name="쉼표 [0] 3 2 8 3" xfId="0"/>
    <cellStyle name="쉼표 [0] 3 2 8 4" xfId="0"/>
    <cellStyle name="쉼표 [0] 3 2 8 5" xfId="0"/>
    <cellStyle name="쉼표 [0] 3 2 8 6" xfId="0"/>
    <cellStyle name="쉼표 [0] 3 2 8 7" xfId="0"/>
    <cellStyle name="쉼표 [0] 3 2 8 8" xfId="0"/>
    <cellStyle name="쉼표 [0] 3 2 8 9" xfId="0"/>
    <cellStyle name="쉼표 [0] 3 2 9" xfId="0"/>
    <cellStyle name="쉼표 [0] 3 2 9 10" xfId="0"/>
    <cellStyle name="쉼표 [0] 3 2 9 11" xfId="0"/>
    <cellStyle name="쉼표 [0] 3 2 9 12" xfId="0"/>
    <cellStyle name="쉼표 [0] 3 2 9 13" xfId="0"/>
    <cellStyle name="쉼표 [0] 3 2 9 2" xfId="0"/>
    <cellStyle name="쉼표 [0] 3 2 9 3" xfId="0"/>
    <cellStyle name="쉼표 [0] 3 2 9 4" xfId="0"/>
    <cellStyle name="쉼표 [0] 3 2 9 5" xfId="0"/>
    <cellStyle name="쉼표 [0] 3 2 9 6" xfId="0"/>
    <cellStyle name="쉼표 [0] 3 2 9 7" xfId="0"/>
    <cellStyle name="쉼표 [0] 3 2 9 8" xfId="0"/>
    <cellStyle name="쉼표 [0] 3 2 9 9" xfId="0"/>
    <cellStyle name="쉼표 [0] 3 20" xfId="0"/>
    <cellStyle name="쉼표 [0] 3 20 10" xfId="0"/>
    <cellStyle name="쉼표 [0] 3 20 11" xfId="0"/>
    <cellStyle name="쉼표 [0] 3 20 12" xfId="0"/>
    <cellStyle name="쉼표 [0] 3 20 13" xfId="0"/>
    <cellStyle name="쉼표 [0] 3 20 2" xfId="0"/>
    <cellStyle name="쉼표 [0] 3 20 3" xfId="0"/>
    <cellStyle name="쉼표 [0] 3 20 4" xfId="0"/>
    <cellStyle name="쉼표 [0] 3 20 5" xfId="0"/>
    <cellStyle name="쉼표 [0] 3 20 6" xfId="0"/>
    <cellStyle name="쉼표 [0] 3 20 7" xfId="0"/>
    <cellStyle name="쉼표 [0] 3 20 8" xfId="0"/>
    <cellStyle name="쉼표 [0] 3 20 9" xfId="0"/>
    <cellStyle name="쉼표 [0] 3 21" xfId="0"/>
    <cellStyle name="쉼표 [0] 3 21 10" xfId="0"/>
    <cellStyle name="쉼표 [0] 3 21 11" xfId="0"/>
    <cellStyle name="쉼표 [0] 3 21 12" xfId="0"/>
    <cellStyle name="쉼표 [0] 3 21 13" xfId="0"/>
    <cellStyle name="쉼표 [0] 3 21 2" xfId="0"/>
    <cellStyle name="쉼표 [0] 3 21 3" xfId="0"/>
    <cellStyle name="쉼표 [0] 3 21 4" xfId="0"/>
    <cellStyle name="쉼표 [0] 3 21 5" xfId="0"/>
    <cellStyle name="쉼표 [0] 3 21 6" xfId="0"/>
    <cellStyle name="쉼표 [0] 3 21 7" xfId="0"/>
    <cellStyle name="쉼표 [0] 3 21 8" xfId="0"/>
    <cellStyle name="쉼표 [0] 3 21 9" xfId="0"/>
    <cellStyle name="쉼표 [0] 3 22" xfId="0"/>
    <cellStyle name="쉼표 [0] 3 22 10" xfId="0"/>
    <cellStyle name="쉼표 [0] 3 22 11" xfId="0"/>
    <cellStyle name="쉼표 [0] 3 22 12" xfId="0"/>
    <cellStyle name="쉼표 [0] 3 22 13" xfId="0"/>
    <cellStyle name="쉼표 [0] 3 22 2" xfId="0"/>
    <cellStyle name="쉼표 [0] 3 22 3" xfId="0"/>
    <cellStyle name="쉼표 [0] 3 22 4" xfId="0"/>
    <cellStyle name="쉼표 [0] 3 22 5" xfId="0"/>
    <cellStyle name="쉼표 [0] 3 22 6" xfId="0"/>
    <cellStyle name="쉼표 [0] 3 22 7" xfId="0"/>
    <cellStyle name="쉼표 [0] 3 22 8" xfId="0"/>
    <cellStyle name="쉼표 [0] 3 22 9" xfId="0"/>
    <cellStyle name="쉼표 [0] 3 23" xfId="0"/>
    <cellStyle name="쉼표 [0] 3 23 10" xfId="0"/>
    <cellStyle name="쉼표 [0] 3 23 11" xfId="0"/>
    <cellStyle name="쉼표 [0] 3 23 12" xfId="0"/>
    <cellStyle name="쉼표 [0] 3 23 13" xfId="0"/>
    <cellStyle name="쉼표 [0] 3 23 14" xfId="0"/>
    <cellStyle name="쉼표 [0] 3 23 2" xfId="0"/>
    <cellStyle name="쉼표 [0] 3 23 2 2" xfId="0"/>
    <cellStyle name="쉼표 [0] 3 23 2 3" xfId="0"/>
    <cellStyle name="쉼표 [0] 3 23 2 4" xfId="0"/>
    <cellStyle name="쉼표 [0] 3 23 2 5" xfId="0"/>
    <cellStyle name="쉼표 [0] 3 23 3" xfId="0"/>
    <cellStyle name="쉼표 [0] 3 23 4" xfId="0"/>
    <cellStyle name="쉼표 [0] 3 23 5" xfId="0"/>
    <cellStyle name="쉼표 [0] 3 23 6" xfId="0"/>
    <cellStyle name="쉼표 [0] 3 23 7" xfId="0"/>
    <cellStyle name="쉼표 [0] 3 23 8" xfId="0"/>
    <cellStyle name="쉼표 [0] 3 23 9" xfId="0"/>
    <cellStyle name="쉼표 [0] 3 24" xfId="0"/>
    <cellStyle name="쉼표 [0] 3 24 2" xfId="0"/>
    <cellStyle name="쉼표 [0] 3 25" xfId="0"/>
    <cellStyle name="쉼표 [0] 3 25 2" xfId="0"/>
    <cellStyle name="쉼표 [0] 3 26" xfId="0"/>
    <cellStyle name="쉼표 [0] 3 26 2" xfId="0"/>
    <cellStyle name="쉼표 [0] 3 27" xfId="0"/>
    <cellStyle name="쉼표 [0] 3 27 2" xfId="0"/>
    <cellStyle name="쉼표 [0] 3 28" xfId="0"/>
    <cellStyle name="쉼표 [0] 3 29" xfId="0"/>
    <cellStyle name="쉼표 [0] 3 3" xfId="0"/>
    <cellStyle name="쉼표 [0] 3 3 10" xfId="0"/>
    <cellStyle name="쉼표 [0] 3 3 11" xfId="0"/>
    <cellStyle name="쉼표 [0] 3 3 12" xfId="0"/>
    <cellStyle name="쉼표 [0] 3 3 13" xfId="0"/>
    <cellStyle name="쉼표 [0] 3 3 14" xfId="0"/>
    <cellStyle name="쉼표 [0] 3 3 15" xfId="0"/>
    <cellStyle name="쉼표 [0] 3 3 2" xfId="0"/>
    <cellStyle name="쉼표 [0] 3 3 2 10" xfId="0"/>
    <cellStyle name="쉼표 [0] 3 3 2 10 2" xfId="0"/>
    <cellStyle name="쉼표 [0] 3 3 2 10 3" xfId="0"/>
    <cellStyle name="쉼표 [0] 3 3 2 10 4" xfId="0"/>
    <cellStyle name="쉼표 [0] 3 3 2 2" xfId="0"/>
    <cellStyle name="쉼표 [0] 3 3 2 2 2" xfId="0"/>
    <cellStyle name="쉼표 [0] 3 3 2 2 3" xfId="0"/>
    <cellStyle name="쉼표 [0] 3 3 2 2 4" xfId="0"/>
    <cellStyle name="쉼표 [0] 3 3 2 3" xfId="0"/>
    <cellStyle name="쉼표 [0] 3 3 2 3 2" xfId="0"/>
    <cellStyle name="쉼표 [0] 3 3 2 3 3" xfId="0"/>
    <cellStyle name="쉼표 [0] 3 3 2 3 4" xfId="0"/>
    <cellStyle name="쉼표 [0] 3 3 2 4" xfId="0"/>
    <cellStyle name="쉼표 [0] 3 3 2 4 2" xfId="0"/>
    <cellStyle name="쉼표 [0] 3 3 2 4 3" xfId="0"/>
    <cellStyle name="쉼표 [0] 3 3 2 4 4" xfId="0"/>
    <cellStyle name="쉼표 [0] 3 3 2 5" xfId="0"/>
    <cellStyle name="쉼표 [0] 3 3 2 5 2" xfId="0"/>
    <cellStyle name="쉼표 [0] 3 3 2 5 3" xfId="0"/>
    <cellStyle name="쉼표 [0] 3 3 2 5 4" xfId="0"/>
    <cellStyle name="쉼표 [0] 3 3 2 6" xfId="0"/>
    <cellStyle name="쉼표 [0] 3 3 2 6 2" xfId="0"/>
    <cellStyle name="쉼표 [0] 3 3 2 6 3" xfId="0"/>
    <cellStyle name="쉼표 [0] 3 3 2 6 4" xfId="0"/>
    <cellStyle name="쉼표 [0] 3 3 2 7" xfId="0"/>
    <cellStyle name="쉼표 [0] 3 3 2 7 2" xfId="0"/>
    <cellStyle name="쉼표 [0] 3 3 2 7 3" xfId="0"/>
    <cellStyle name="쉼표 [0] 3 3 2 7 4" xfId="0"/>
    <cellStyle name="쉼표 [0] 3 3 2 8" xfId="0"/>
    <cellStyle name="쉼표 [0] 3 3 2 8 2" xfId="0"/>
    <cellStyle name="쉼표 [0] 3 3 2 8 3" xfId="0"/>
    <cellStyle name="쉼표 [0] 3 3 2 8 4" xfId="0"/>
    <cellStyle name="쉼표 [0] 3 3 2 9" xfId="0"/>
    <cellStyle name="쉼표 [0] 3 3 2 9 2" xfId="0"/>
    <cellStyle name="쉼표 [0] 3 3 2 9 3" xfId="0"/>
    <cellStyle name="쉼표 [0] 3 3 2 9 4" xfId="0"/>
    <cellStyle name="쉼표 [0] 3 3 3" xfId="0"/>
    <cellStyle name="쉼표 [0] 3 3 4" xfId="0"/>
    <cellStyle name="쉼표 [0] 3 3 5" xfId="0"/>
    <cellStyle name="쉼표 [0] 3 3 6" xfId="0"/>
    <cellStyle name="쉼표 [0] 3 3 7" xfId="0"/>
    <cellStyle name="쉼표 [0] 3 3 8" xfId="0"/>
    <cellStyle name="쉼표 [0] 3 3 9" xfId="0"/>
    <cellStyle name="쉼표 [0] 3 30" xfId="0"/>
    <cellStyle name="쉼표 [0] 3 31" xfId="0"/>
    <cellStyle name="쉼표 [0] 3 32" xfId="0"/>
    <cellStyle name="쉼표 [0] 3 33" xfId="0"/>
    <cellStyle name="쉼표 [0] 3 34" xfId="0"/>
    <cellStyle name="쉼표 [0] 3 35" xfId="0"/>
    <cellStyle name="쉼표 [0] 3 36" xfId="0"/>
    <cellStyle name="쉼표 [0] 3 37" xfId="0"/>
    <cellStyle name="쉼표 [0] 3 38" xfId="0"/>
    <cellStyle name="쉼표 [0] 3 39" xfId="0"/>
    <cellStyle name="쉼표 [0] 3 39 2" xfId="0"/>
    <cellStyle name="쉼표 [0] 3 39 3" xfId="0"/>
    <cellStyle name="쉼표 [0] 3 39 4" xfId="0"/>
    <cellStyle name="쉼표 [0] 3 4" xfId="0"/>
    <cellStyle name="쉼표 [0] 3 4 10" xfId="0"/>
    <cellStyle name="쉼표 [0] 3 4 11" xfId="0"/>
    <cellStyle name="쉼표 [0] 3 4 12" xfId="0"/>
    <cellStyle name="쉼표 [0] 3 4 13" xfId="0"/>
    <cellStyle name="쉼표 [0] 3 4 14" xfId="0"/>
    <cellStyle name="쉼표 [0] 3 4 15" xfId="0"/>
    <cellStyle name="쉼표 [0] 3 4 16" xfId="0"/>
    <cellStyle name="쉼표 [0] 3 4 2" xfId="0"/>
    <cellStyle name="쉼표 [0] 3 4 2 10" xfId="0"/>
    <cellStyle name="쉼표 [0] 3 4 2 10 2" xfId="0"/>
    <cellStyle name="쉼표 [0] 3 4 2 10 3" xfId="0"/>
    <cellStyle name="쉼표 [0] 3 4 2 10 4" xfId="0"/>
    <cellStyle name="쉼표 [0] 3 4 2 2" xfId="0"/>
    <cellStyle name="쉼표 [0] 3 4 2 2 2" xfId="0"/>
    <cellStyle name="쉼표 [0] 3 4 2 2 3" xfId="0"/>
    <cellStyle name="쉼표 [0] 3 4 2 2 4" xfId="0"/>
    <cellStyle name="쉼표 [0] 3 4 2 3" xfId="0"/>
    <cellStyle name="쉼표 [0] 3 4 2 3 2" xfId="0"/>
    <cellStyle name="쉼표 [0] 3 4 2 3 3" xfId="0"/>
    <cellStyle name="쉼표 [0] 3 4 2 3 4" xfId="0"/>
    <cellStyle name="쉼표 [0] 3 4 2 4" xfId="0"/>
    <cellStyle name="쉼표 [0] 3 4 2 4 2" xfId="0"/>
    <cellStyle name="쉼표 [0] 3 4 2 4 3" xfId="0"/>
    <cellStyle name="쉼표 [0] 3 4 2 4 4" xfId="0"/>
    <cellStyle name="쉼표 [0] 3 4 2 5" xfId="0"/>
    <cellStyle name="쉼표 [0] 3 4 2 5 2" xfId="0"/>
    <cellStyle name="쉼표 [0] 3 4 2 5 3" xfId="0"/>
    <cellStyle name="쉼표 [0] 3 4 2 5 4" xfId="0"/>
    <cellStyle name="쉼표 [0] 3 4 2 6" xfId="0"/>
    <cellStyle name="쉼표 [0] 3 4 2 6 2" xfId="0"/>
    <cellStyle name="쉼표 [0] 3 4 2 6 3" xfId="0"/>
    <cellStyle name="쉼표 [0] 3 4 2 6 4" xfId="0"/>
    <cellStyle name="쉼표 [0] 3 4 2 7" xfId="0"/>
    <cellStyle name="쉼표 [0] 3 4 2 7 2" xfId="0"/>
    <cellStyle name="쉼표 [0] 3 4 2 7 3" xfId="0"/>
    <cellStyle name="쉼표 [0] 3 4 2 7 4" xfId="0"/>
    <cellStyle name="쉼표 [0] 3 4 2 8" xfId="0"/>
    <cellStyle name="쉼표 [0] 3 4 2 8 2" xfId="0"/>
    <cellStyle name="쉼표 [0] 3 4 2 8 3" xfId="0"/>
    <cellStyle name="쉼표 [0] 3 4 2 8 4" xfId="0"/>
    <cellStyle name="쉼표 [0] 3 4 2 9" xfId="0"/>
    <cellStyle name="쉼표 [0] 3 4 2 9 2" xfId="0"/>
    <cellStyle name="쉼표 [0] 3 4 2 9 3" xfId="0"/>
    <cellStyle name="쉼표 [0] 3 4 2 9 4" xfId="0"/>
    <cellStyle name="쉼표 [0] 3 4 3" xfId="0"/>
    <cellStyle name="쉼표 [0] 3 4 4" xfId="0"/>
    <cellStyle name="쉼표 [0] 3 4 5" xfId="0"/>
    <cellStyle name="쉼표 [0] 3 4 6" xfId="0"/>
    <cellStyle name="쉼표 [0] 3 4 7" xfId="0"/>
    <cellStyle name="쉼표 [0] 3 4 8" xfId="0"/>
    <cellStyle name="쉼표 [0] 3 4 9" xfId="0"/>
    <cellStyle name="쉼표 [0] 3 40" xfId="0"/>
    <cellStyle name="쉼표 [0] 3 41" xfId="0"/>
    <cellStyle name="쉼표 [0] 3 42" xfId="0"/>
    <cellStyle name="쉼표 [0] 3 43" xfId="0"/>
    <cellStyle name="쉼표 [0] 3 44" xfId="0"/>
    <cellStyle name="쉼표 [0] 3 45" xfId="0"/>
    <cellStyle name="쉼표 [0] 3 46" xfId="0"/>
    <cellStyle name="쉼표 [0] 3 47" xfId="0"/>
    <cellStyle name="쉼표 [0] 3 48" xfId="0"/>
    <cellStyle name="쉼표 [0] 3 49" xfId="0"/>
    <cellStyle name="쉼표 [0] 3 5" xfId="0"/>
    <cellStyle name="쉼표 [0] 3 5 10" xfId="0"/>
    <cellStyle name="쉼표 [0] 3 5 11" xfId="0"/>
    <cellStyle name="쉼표 [0] 3 5 12" xfId="0"/>
    <cellStyle name="쉼표 [0] 3 5 2" xfId="0"/>
    <cellStyle name="쉼표 [0] 3 5 2 10" xfId="0"/>
    <cellStyle name="쉼표 [0] 3 5 2 10 2" xfId="0"/>
    <cellStyle name="쉼표 [0] 3 5 2 10 3" xfId="0"/>
    <cellStyle name="쉼표 [0] 3 5 2 10 4" xfId="0"/>
    <cellStyle name="쉼표 [0] 3 5 2 2" xfId="0"/>
    <cellStyle name="쉼표 [0] 3 5 2 2 2" xfId="0"/>
    <cellStyle name="쉼표 [0] 3 5 2 2 3" xfId="0"/>
    <cellStyle name="쉼표 [0] 3 5 2 2 4" xfId="0"/>
    <cellStyle name="쉼표 [0] 3 5 2 3" xfId="0"/>
    <cellStyle name="쉼표 [0] 3 5 2 3 2" xfId="0"/>
    <cellStyle name="쉼표 [0] 3 5 2 3 3" xfId="0"/>
    <cellStyle name="쉼표 [0] 3 5 2 3 4" xfId="0"/>
    <cellStyle name="쉼표 [0] 3 5 2 4" xfId="0"/>
    <cellStyle name="쉼표 [0] 3 5 2 4 2" xfId="0"/>
    <cellStyle name="쉼표 [0] 3 5 2 4 3" xfId="0"/>
    <cellStyle name="쉼표 [0] 3 5 2 4 4" xfId="0"/>
    <cellStyle name="쉼표 [0] 3 5 2 5" xfId="0"/>
    <cellStyle name="쉼표 [0] 3 5 2 5 2" xfId="0"/>
    <cellStyle name="쉼표 [0] 3 5 2 5 3" xfId="0"/>
    <cellStyle name="쉼표 [0] 3 5 2 5 4" xfId="0"/>
    <cellStyle name="쉼표 [0] 3 5 2 6" xfId="0"/>
    <cellStyle name="쉼표 [0] 3 5 2 6 2" xfId="0"/>
    <cellStyle name="쉼표 [0] 3 5 2 6 3" xfId="0"/>
    <cellStyle name="쉼표 [0] 3 5 2 6 4" xfId="0"/>
    <cellStyle name="쉼표 [0] 3 5 2 7" xfId="0"/>
    <cellStyle name="쉼표 [0] 3 5 2 7 2" xfId="0"/>
    <cellStyle name="쉼표 [0] 3 5 2 7 3" xfId="0"/>
    <cellStyle name="쉼표 [0] 3 5 2 7 4" xfId="0"/>
    <cellStyle name="쉼표 [0] 3 5 2 8" xfId="0"/>
    <cellStyle name="쉼표 [0] 3 5 2 8 2" xfId="0"/>
    <cellStyle name="쉼표 [0] 3 5 2 8 3" xfId="0"/>
    <cellStyle name="쉼표 [0] 3 5 2 8 4" xfId="0"/>
    <cellStyle name="쉼표 [0] 3 5 2 9" xfId="0"/>
    <cellStyle name="쉼표 [0] 3 5 2 9 2" xfId="0"/>
    <cellStyle name="쉼표 [0] 3 5 2 9 3" xfId="0"/>
    <cellStyle name="쉼표 [0] 3 5 2 9 4" xfId="0"/>
    <cellStyle name="쉼표 [0] 3 5 3" xfId="0"/>
    <cellStyle name="쉼표 [0] 3 5 4" xfId="0"/>
    <cellStyle name="쉼표 [0] 3 5 5" xfId="0"/>
    <cellStyle name="쉼표 [0] 3 5 6" xfId="0"/>
    <cellStyle name="쉼표 [0] 3 5 7" xfId="0"/>
    <cellStyle name="쉼표 [0] 3 5 8" xfId="0"/>
    <cellStyle name="쉼표 [0] 3 5 9" xfId="0"/>
    <cellStyle name="쉼표 [0] 3 50" xfId="0"/>
    <cellStyle name="쉼표 [0] 3 51" xfId="0"/>
    <cellStyle name="쉼표 [0] 3 52" xfId="0"/>
    <cellStyle name="쉼표 [0] 3 6" xfId="0"/>
    <cellStyle name="쉼표 [0] 3 6 10" xfId="0"/>
    <cellStyle name="쉼표 [0] 3 6 11" xfId="0"/>
    <cellStyle name="쉼표 [0] 3 6 12" xfId="0"/>
    <cellStyle name="쉼표 [0] 3 6 13" xfId="0"/>
    <cellStyle name="쉼표 [0] 3 6 14" xfId="0"/>
    <cellStyle name="쉼표 [0] 3 6 2" xfId="0"/>
    <cellStyle name="쉼표 [0] 3 6 2 10" xfId="0"/>
    <cellStyle name="쉼표 [0] 3 6 2 10 2" xfId="0"/>
    <cellStyle name="쉼표 [0] 3 6 2 10 3" xfId="0"/>
    <cellStyle name="쉼표 [0] 3 6 2 10 4" xfId="0"/>
    <cellStyle name="쉼표 [0] 3 6 2 2" xfId="0"/>
    <cellStyle name="쉼표 [0] 3 6 2 2 2" xfId="0"/>
    <cellStyle name="쉼표 [0] 3 6 2 2 3" xfId="0"/>
    <cellStyle name="쉼표 [0] 3 6 2 2 4" xfId="0"/>
    <cellStyle name="쉼표 [0] 3 6 2 3" xfId="0"/>
    <cellStyle name="쉼표 [0] 3 6 2 3 2" xfId="0"/>
    <cellStyle name="쉼표 [0] 3 6 2 3 3" xfId="0"/>
    <cellStyle name="쉼표 [0] 3 6 2 3 4" xfId="0"/>
    <cellStyle name="쉼표 [0] 3 6 2 4" xfId="0"/>
    <cellStyle name="쉼표 [0] 3 6 2 4 2" xfId="0"/>
    <cellStyle name="쉼표 [0] 3 6 2 4 3" xfId="0"/>
    <cellStyle name="쉼표 [0] 3 6 2 4 4" xfId="0"/>
    <cellStyle name="쉼표 [0] 3 6 2 5" xfId="0"/>
    <cellStyle name="쉼표 [0] 3 6 2 5 2" xfId="0"/>
    <cellStyle name="쉼표 [0] 3 6 2 5 3" xfId="0"/>
    <cellStyle name="쉼표 [0] 3 6 2 5 4" xfId="0"/>
    <cellStyle name="쉼표 [0] 3 6 2 6" xfId="0"/>
    <cellStyle name="쉼표 [0] 3 6 2 6 2" xfId="0"/>
    <cellStyle name="쉼표 [0] 3 6 2 6 3" xfId="0"/>
    <cellStyle name="쉼표 [0] 3 6 2 6 4" xfId="0"/>
    <cellStyle name="쉼표 [0] 3 6 2 7" xfId="0"/>
    <cellStyle name="쉼표 [0] 3 6 2 7 2" xfId="0"/>
    <cellStyle name="쉼표 [0] 3 6 2 7 3" xfId="0"/>
    <cellStyle name="쉼표 [0] 3 6 2 7 4" xfId="0"/>
    <cellStyle name="쉼표 [0] 3 6 2 8" xfId="0"/>
    <cellStyle name="쉼표 [0] 3 6 2 8 2" xfId="0"/>
    <cellStyle name="쉼표 [0] 3 6 2 8 3" xfId="0"/>
    <cellStyle name="쉼표 [0] 3 6 2 8 4" xfId="0"/>
    <cellStyle name="쉼표 [0] 3 6 2 9" xfId="0"/>
    <cellStyle name="쉼표 [0] 3 6 2 9 2" xfId="0"/>
    <cellStyle name="쉼표 [0] 3 6 2 9 3" xfId="0"/>
    <cellStyle name="쉼표 [0] 3 6 2 9 4" xfId="0"/>
    <cellStyle name="쉼표 [0] 3 6 3" xfId="0"/>
    <cellStyle name="쉼표 [0] 3 6 4" xfId="0"/>
    <cellStyle name="쉼표 [0] 3 6 5" xfId="0"/>
    <cellStyle name="쉼표 [0] 3 6 6" xfId="0"/>
    <cellStyle name="쉼표 [0] 3 6 7" xfId="0"/>
    <cellStyle name="쉼표 [0] 3 6 8" xfId="0"/>
    <cellStyle name="쉼표 [0] 3 6 9" xfId="0"/>
    <cellStyle name="쉼표 [0] 3 7" xfId="0"/>
    <cellStyle name="쉼표 [0] 3 7 10" xfId="0"/>
    <cellStyle name="쉼표 [0] 3 7 11" xfId="0"/>
    <cellStyle name="쉼표 [0] 3 7 12" xfId="0"/>
    <cellStyle name="쉼표 [0] 3 7 13" xfId="0"/>
    <cellStyle name="쉼표 [0] 3 7 14" xfId="0"/>
    <cellStyle name="쉼표 [0] 3 7 2" xfId="0"/>
    <cellStyle name="쉼표 [0] 3 7 2 10" xfId="0"/>
    <cellStyle name="쉼표 [0] 3 7 2 10 2" xfId="0"/>
    <cellStyle name="쉼표 [0] 3 7 2 10 3" xfId="0"/>
    <cellStyle name="쉼표 [0] 3 7 2 10 4" xfId="0"/>
    <cellStyle name="쉼표 [0] 3 7 2 2" xfId="0"/>
    <cellStyle name="쉼표 [0] 3 7 2 2 2" xfId="0"/>
    <cellStyle name="쉼표 [0] 3 7 2 2 3" xfId="0"/>
    <cellStyle name="쉼표 [0] 3 7 2 2 4" xfId="0"/>
    <cellStyle name="쉼표 [0] 3 7 2 3" xfId="0"/>
    <cellStyle name="쉼표 [0] 3 7 2 3 2" xfId="0"/>
    <cellStyle name="쉼표 [0] 3 7 2 3 3" xfId="0"/>
    <cellStyle name="쉼표 [0] 3 7 2 3 4" xfId="0"/>
    <cellStyle name="쉼표 [0] 3 7 2 4" xfId="0"/>
    <cellStyle name="쉼표 [0] 3 7 2 4 2" xfId="0"/>
    <cellStyle name="쉼표 [0] 3 7 2 4 3" xfId="0"/>
    <cellStyle name="쉼표 [0] 3 7 2 4 4" xfId="0"/>
    <cellStyle name="쉼표 [0] 3 7 2 5" xfId="0"/>
    <cellStyle name="쉼표 [0] 3 7 2 5 2" xfId="0"/>
    <cellStyle name="쉼표 [0] 3 7 2 5 3" xfId="0"/>
    <cellStyle name="쉼표 [0] 3 7 2 5 4" xfId="0"/>
    <cellStyle name="쉼표 [0] 3 7 2 6" xfId="0"/>
    <cellStyle name="쉼표 [0] 3 7 2 6 2" xfId="0"/>
    <cellStyle name="쉼표 [0] 3 7 2 6 3" xfId="0"/>
    <cellStyle name="쉼표 [0] 3 7 2 6 4" xfId="0"/>
    <cellStyle name="쉼표 [0] 3 7 2 7" xfId="0"/>
    <cellStyle name="쉼표 [0] 3 7 2 7 2" xfId="0"/>
    <cellStyle name="쉼표 [0] 3 7 2 7 3" xfId="0"/>
    <cellStyle name="쉼표 [0] 3 7 2 7 4" xfId="0"/>
    <cellStyle name="쉼표 [0] 3 7 2 8" xfId="0"/>
    <cellStyle name="쉼표 [0] 3 7 2 8 2" xfId="0"/>
    <cellStyle name="쉼표 [0] 3 7 2 8 3" xfId="0"/>
    <cellStyle name="쉼표 [0] 3 7 2 8 4" xfId="0"/>
    <cellStyle name="쉼표 [0] 3 7 2 9" xfId="0"/>
    <cellStyle name="쉼표 [0] 3 7 2 9 2" xfId="0"/>
    <cellStyle name="쉼표 [0] 3 7 2 9 3" xfId="0"/>
    <cellStyle name="쉼표 [0] 3 7 2 9 4" xfId="0"/>
    <cellStyle name="쉼표 [0] 3 7 3" xfId="0"/>
    <cellStyle name="쉼표 [0] 3 7 4" xfId="0"/>
    <cellStyle name="쉼표 [0] 3 7 5" xfId="0"/>
    <cellStyle name="쉼표 [0] 3 7 6" xfId="0"/>
    <cellStyle name="쉼표 [0] 3 7 7" xfId="0"/>
    <cellStyle name="쉼표 [0] 3 7 8" xfId="0"/>
    <cellStyle name="쉼표 [0] 3 7 9" xfId="0"/>
    <cellStyle name="쉼표 [0] 3 8" xfId="0"/>
    <cellStyle name="쉼표 [0] 3 8 10" xfId="0"/>
    <cellStyle name="쉼표 [0] 3 8 11" xfId="0"/>
    <cellStyle name="쉼표 [0] 3 8 12" xfId="0"/>
    <cellStyle name="쉼표 [0] 3 8 13" xfId="0"/>
    <cellStyle name="쉼표 [0] 3 8 14" xfId="0"/>
    <cellStyle name="쉼표 [0] 3 8 2" xfId="0"/>
    <cellStyle name="쉼표 [0] 3 8 3" xfId="0"/>
    <cellStyle name="쉼표 [0] 3 8 4" xfId="0"/>
    <cellStyle name="쉼표 [0] 3 8 5" xfId="0"/>
    <cellStyle name="쉼표 [0] 3 8 6" xfId="0"/>
    <cellStyle name="쉼표 [0] 3 8 7" xfId="0"/>
    <cellStyle name="쉼표 [0] 3 8 8" xfId="0"/>
    <cellStyle name="쉼표 [0] 3 8 9" xfId="0"/>
    <cellStyle name="쉼표 [0] 3 9" xfId="0"/>
    <cellStyle name="쉼표 [0] 3 9 10" xfId="0"/>
    <cellStyle name="쉼표 [0] 3 9 11" xfId="0"/>
    <cellStyle name="쉼표 [0] 3 9 12" xfId="0"/>
    <cellStyle name="쉼표 [0] 3 9 13" xfId="0"/>
    <cellStyle name="쉼표 [0] 3 9 14" xfId="0"/>
    <cellStyle name="쉼표 [0] 3 9 2" xfId="0"/>
    <cellStyle name="쉼표 [0] 3 9 3" xfId="0"/>
    <cellStyle name="쉼표 [0] 3 9 4" xfId="0"/>
    <cellStyle name="쉼표 [0] 3 9 5" xfId="0"/>
    <cellStyle name="쉼표 [0] 3 9 6" xfId="0"/>
    <cellStyle name="쉼표 [0] 3 9 7" xfId="0"/>
    <cellStyle name="쉼표 [0] 3 9 8" xfId="0"/>
    <cellStyle name="쉼표 [0] 3 9 9" xfId="0"/>
    <cellStyle name="쉼표 [0] 30" xfId="0"/>
    <cellStyle name="쉼표 [0] 31" xfId="0"/>
    <cellStyle name="쉼표 [0] 31 2" xfId="0"/>
    <cellStyle name="쉼표 [0] 32" xfId="0"/>
    <cellStyle name="쉼표 [0] 33" xfId="0"/>
    <cellStyle name="쉼표 [0] 3_Sheet1" xfId="0"/>
    <cellStyle name="쉼표 [0] 4" xfId="0"/>
    <cellStyle name="쉼표 [0] 4 2" xfId="0"/>
    <cellStyle name="쉼표 [0] 4 2 2" xfId="0"/>
    <cellStyle name="쉼표 [0] 4 2 3" xfId="0"/>
    <cellStyle name="쉼표 [0] 4 2 4" xfId="0"/>
    <cellStyle name="쉼표 [0] 4 2 5" xfId="0"/>
    <cellStyle name="쉼표 [0] 4 2 6" xfId="0"/>
    <cellStyle name="쉼표 [0] 4 3" xfId="0"/>
    <cellStyle name="쉼표 [0] 4 3 2" xfId="0"/>
    <cellStyle name="쉼표 [0] 4 3 3" xfId="0"/>
    <cellStyle name="쉼표 [0] 4 4" xfId="0"/>
    <cellStyle name="쉼표 [0] 4 4 2" xfId="0"/>
    <cellStyle name="쉼표 [0] 4 4 3" xfId="0"/>
    <cellStyle name="쉼표 [0] 4 5" xfId="0"/>
    <cellStyle name="쉼표 [0] 4 5 2" xfId="0"/>
    <cellStyle name="쉼표 [0] 4 6" xfId="0"/>
    <cellStyle name="쉼표 [0] 4 6 2" xfId="0"/>
    <cellStyle name="쉼표 [0] 4 7" xfId="0"/>
    <cellStyle name="쉼표 [0] 4 7 2" xfId="0"/>
    <cellStyle name="쉼표 [0] 4 8" xfId="0"/>
    <cellStyle name="쉼표 [0] 4 8 2" xfId="0"/>
    <cellStyle name="쉼표 [0] 4 9" xfId="0"/>
    <cellStyle name="쉼표 [0] 40" xfId="0"/>
    <cellStyle name="쉼표 [0] 41" xfId="0"/>
    <cellStyle name="쉼표 [0] 41 10" xfId="0"/>
    <cellStyle name="쉼표 [0] 41 10 2" xfId="0"/>
    <cellStyle name="쉼표 [0] 41 10 3" xfId="0"/>
    <cellStyle name="쉼표 [0] 41 10 4" xfId="0"/>
    <cellStyle name="쉼표 [0] 41 10 5" xfId="0"/>
    <cellStyle name="쉼표 [0] 41 11" xfId="0"/>
    <cellStyle name="쉼표 [0] 41 12" xfId="0"/>
    <cellStyle name="쉼표 [0] 41 13" xfId="0"/>
    <cellStyle name="쉼표 [0] 41 14" xfId="0"/>
    <cellStyle name="쉼표 [0] 41 2" xfId="0"/>
    <cellStyle name="쉼표 [0] 41 2 2" xfId="0"/>
    <cellStyle name="쉼표 [0] 41 2 3" xfId="0"/>
    <cellStyle name="쉼표 [0] 41 2 4" xfId="0"/>
    <cellStyle name="쉼표 [0] 41 2 5" xfId="0"/>
    <cellStyle name="쉼표 [0] 41 3" xfId="0"/>
    <cellStyle name="쉼표 [0] 41 3 2" xfId="0"/>
    <cellStyle name="쉼표 [0] 41 3 3" xfId="0"/>
    <cellStyle name="쉼표 [0] 41 3 4" xfId="0"/>
    <cellStyle name="쉼표 [0] 41 3 5" xfId="0"/>
    <cellStyle name="쉼표 [0] 41 4" xfId="0"/>
    <cellStyle name="쉼표 [0] 41 4 2" xfId="0"/>
    <cellStyle name="쉼표 [0] 41 4 3" xfId="0"/>
    <cellStyle name="쉼표 [0] 41 4 4" xfId="0"/>
    <cellStyle name="쉼표 [0] 41 4 5" xfId="0"/>
    <cellStyle name="쉼표 [0] 41 5" xfId="0"/>
    <cellStyle name="쉼표 [0] 41 5 2" xfId="0"/>
    <cellStyle name="쉼표 [0] 41 5 3" xfId="0"/>
    <cellStyle name="쉼표 [0] 41 5 4" xfId="0"/>
    <cellStyle name="쉼표 [0] 41 5 5" xfId="0"/>
    <cellStyle name="쉼표 [0] 41 6" xfId="0"/>
    <cellStyle name="쉼표 [0] 41 6 2" xfId="0"/>
    <cellStyle name="쉼표 [0] 41 6 3" xfId="0"/>
    <cellStyle name="쉼표 [0] 41 6 4" xfId="0"/>
    <cellStyle name="쉼표 [0] 41 6 5" xfId="0"/>
    <cellStyle name="쉼표 [0] 41 7" xfId="0"/>
    <cellStyle name="쉼표 [0] 41 7 2" xfId="0"/>
    <cellStyle name="쉼표 [0] 41 7 3" xfId="0"/>
    <cellStyle name="쉼표 [0] 41 7 4" xfId="0"/>
    <cellStyle name="쉼표 [0] 41 7 5" xfId="0"/>
    <cellStyle name="쉼표 [0] 41 8" xfId="0"/>
    <cellStyle name="쉼표 [0] 41 8 2" xfId="0"/>
    <cellStyle name="쉼표 [0] 41 8 3" xfId="0"/>
    <cellStyle name="쉼표 [0] 41 8 4" xfId="0"/>
    <cellStyle name="쉼표 [0] 41 8 5" xfId="0"/>
    <cellStyle name="쉼표 [0] 41 9" xfId="0"/>
    <cellStyle name="쉼표 [0] 41 9 2" xfId="0"/>
    <cellStyle name="쉼표 [0] 41 9 3" xfId="0"/>
    <cellStyle name="쉼표 [0] 41 9 4" xfId="0"/>
    <cellStyle name="쉼표 [0] 41 9 5" xfId="0"/>
    <cellStyle name="쉼표 [0] 5" xfId="0"/>
    <cellStyle name="쉼표 [0] 5 2" xfId="0"/>
    <cellStyle name="쉼표 [0] 5 2 2" xfId="0"/>
    <cellStyle name="쉼표 [0] 5 3" xfId="0"/>
    <cellStyle name="쉼표 [0] 5 3 2" xfId="0"/>
    <cellStyle name="쉼표 [0] 5 4" xfId="0"/>
    <cellStyle name="쉼표 [0] 5 4 2" xfId="0"/>
    <cellStyle name="쉼표 [0] 5 5" xfId="0"/>
    <cellStyle name="쉼표 [0] 5 5 2" xfId="0"/>
    <cellStyle name="쉼표 [0] 5 6" xfId="0"/>
    <cellStyle name="쉼표 [0] 5 6 2" xfId="0"/>
    <cellStyle name="쉼표 [0] 5 7" xfId="0"/>
    <cellStyle name="쉼표 [0] 5 7 2" xfId="0"/>
    <cellStyle name="쉼표 [0] 6" xfId="0"/>
    <cellStyle name="쉼표 [0] 6 10" xfId="0"/>
    <cellStyle name="쉼표 [0] 6 11" xfId="0"/>
    <cellStyle name="쉼표 [0] 6 2" xfId="0"/>
    <cellStyle name="쉼표 [0] 6 2 2" xfId="0"/>
    <cellStyle name="쉼표 [0] 6 3" xfId="0"/>
    <cellStyle name="쉼표 [0] 6 3 2" xfId="0"/>
    <cellStyle name="쉼표 [0] 6 4" xfId="0"/>
    <cellStyle name="쉼표 [0] 6 4 2" xfId="0"/>
    <cellStyle name="쉼표 [0] 6 5" xfId="0"/>
    <cellStyle name="쉼표 [0] 6 5 2" xfId="0"/>
    <cellStyle name="쉼표 [0] 6 6" xfId="0"/>
    <cellStyle name="쉼표 [0] 6 6 2" xfId="0"/>
    <cellStyle name="쉼표 [0] 6 7" xfId="0"/>
    <cellStyle name="쉼표 [0] 6 7 2" xfId="0"/>
    <cellStyle name="쉼표 [0] 6 8" xfId="0"/>
    <cellStyle name="쉼표 [0] 6 9" xfId="0"/>
    <cellStyle name="쉼표 [0] 61" xfId="0"/>
    <cellStyle name="쉼표 [0] 66" xfId="0"/>
    <cellStyle name="쉼표 [0] 67" xfId="0"/>
    <cellStyle name="쉼표 [0] 7" xfId="0"/>
    <cellStyle name="쉼표 [0] 7 2" xfId="0"/>
    <cellStyle name="쉼표 [0] 7 2 2" xfId="0"/>
    <cellStyle name="쉼표 [0] 7 2 3" xfId="0"/>
    <cellStyle name="쉼표 [0] 7 3" xfId="0"/>
    <cellStyle name="쉼표 [0] 7 3 2" xfId="0"/>
    <cellStyle name="쉼표 [0] 7 4" xfId="0"/>
    <cellStyle name="쉼표 [0] 7 5" xfId="0"/>
    <cellStyle name="쉼표 [0] 7 6" xfId="0"/>
    <cellStyle name="쉼표 [0] 7 7" xfId="0"/>
    <cellStyle name="쉼표 [0] 8" xfId="0"/>
    <cellStyle name="쉼표 [0] 8 2" xfId="0"/>
    <cellStyle name="쉼표 [0] 8 2 2" xfId="0"/>
    <cellStyle name="쉼표 [0] 8 2 2 2" xfId="0"/>
    <cellStyle name="쉼표 [0] 8 2 3" xfId="0"/>
    <cellStyle name="쉼표 [0] 8 3" xfId="0"/>
    <cellStyle name="쉼표 [0] 8 3 2" xfId="0"/>
    <cellStyle name="쉼표 [0] 8 4" xfId="0"/>
    <cellStyle name="쉼표 [0] 8 4 2" xfId="0"/>
    <cellStyle name="쉼표 [0] 8 5" xfId="0"/>
    <cellStyle name="쉼표 [0] 8 5 2" xfId="0"/>
    <cellStyle name="쉼표 [0] 8 6" xfId="0"/>
    <cellStyle name="쉼표 [0] 8 6 2" xfId="0"/>
    <cellStyle name="쉼표 [0] 8 7" xfId="0"/>
    <cellStyle name="쉼표 [0] 8 7 2" xfId="0"/>
    <cellStyle name="쉼표 [0] 9" xfId="0"/>
    <cellStyle name="쉼표 [0] 9 2" xfId="0"/>
    <cellStyle name="쉼표 [0] 9 2 2" xfId="0"/>
    <cellStyle name="쉼표 [0] 9 2 3" xfId="0"/>
    <cellStyle name="쉼표 [0] 9 3" xfId="0"/>
    <cellStyle name="쉼표 [0] 9 3 2" xfId="0"/>
    <cellStyle name="쉼표 [0] 9 3 2 2" xfId="0"/>
    <cellStyle name="쉼표 [0] 9 3 3" xfId="0"/>
    <cellStyle name="쉼표 [0] 9 4" xfId="0"/>
    <cellStyle name="쉼표 [0] 9 4 2" xfId="0"/>
    <cellStyle name="쉼표 [0] 9 5" xfId="0"/>
    <cellStyle name="쉼표 [0] 9 6" xfId="0"/>
    <cellStyle name="쉼표 [0] 9 7" xfId="0"/>
    <cellStyle name="스타일 1" xfId="0"/>
    <cellStyle name="스타일 1 10" xfId="0"/>
    <cellStyle name="스타일 1 11" xfId="0"/>
    <cellStyle name="스타일 1 12" xfId="0"/>
    <cellStyle name="스타일 1 13" xfId="0"/>
    <cellStyle name="스타일 1 14" xfId="0"/>
    <cellStyle name="스타일 1 15" xfId="0"/>
    <cellStyle name="스타일 1 16" xfId="0"/>
    <cellStyle name="스타일 1 17" xfId="0"/>
    <cellStyle name="스타일 1 18" xfId="0"/>
    <cellStyle name="스타일 1 19" xfId="0"/>
    <cellStyle name="스타일 1 2" xfId="0"/>
    <cellStyle name="스타일 1 20" xfId="0"/>
    <cellStyle name="스타일 1 21" xfId="0"/>
    <cellStyle name="스타일 1 22" xfId="0"/>
    <cellStyle name="스타일 1 23" xfId="0"/>
    <cellStyle name="스타일 1 24" xfId="0"/>
    <cellStyle name="스타일 1 25" xfId="0"/>
    <cellStyle name="스타일 1 26" xfId="0"/>
    <cellStyle name="스타일 1 27" xfId="0"/>
    <cellStyle name="스타일 1 28" xfId="0"/>
    <cellStyle name="스타일 1 29" xfId="0"/>
    <cellStyle name="스타일 1 3" xfId="0"/>
    <cellStyle name="스타일 1 30" xfId="0"/>
    <cellStyle name="스타일 1 31" xfId="0"/>
    <cellStyle name="스타일 1 32" xfId="0"/>
    <cellStyle name="스타일 1 33" xfId="0"/>
    <cellStyle name="스타일 1 34" xfId="0"/>
    <cellStyle name="스타일 1 35" xfId="0"/>
    <cellStyle name="스타일 1 36" xfId="0"/>
    <cellStyle name="스타일 1 37" xfId="0"/>
    <cellStyle name="스타일 1 38" xfId="0"/>
    <cellStyle name="스타일 1 39" xfId="0"/>
    <cellStyle name="스타일 1 4" xfId="0"/>
    <cellStyle name="스타일 1 40" xfId="0"/>
    <cellStyle name="스타일 1 41" xfId="0"/>
    <cellStyle name="스타일 1 42" xfId="0"/>
    <cellStyle name="스타일 1 43" xfId="0"/>
    <cellStyle name="스타일 1 44" xfId="0"/>
    <cellStyle name="스타일 1 45" xfId="0"/>
    <cellStyle name="스타일 1 46" xfId="0"/>
    <cellStyle name="스타일 1 47" xfId="0"/>
    <cellStyle name="스타일 1 48" xfId="0"/>
    <cellStyle name="스타일 1 49" xfId="0"/>
    <cellStyle name="스타일 1 5" xfId="0"/>
    <cellStyle name="스타일 1 50" xfId="0"/>
    <cellStyle name="스타일 1 51" xfId="0"/>
    <cellStyle name="스타일 1 52" xfId="0"/>
    <cellStyle name="스타일 1 53" xfId="0"/>
    <cellStyle name="스타일 1 54" xfId="0"/>
    <cellStyle name="스타일 1 55" xfId="0"/>
    <cellStyle name="스타일 1 56" xfId="0"/>
    <cellStyle name="스타일 1 57" xfId="0"/>
    <cellStyle name="스타일 1 58" xfId="0"/>
    <cellStyle name="스타일 1 59" xfId="0"/>
    <cellStyle name="스타일 1 6" xfId="0"/>
    <cellStyle name="스타일 1 60" xfId="0"/>
    <cellStyle name="스타일 1 61" xfId="0"/>
    <cellStyle name="스타일 1 7" xfId="0"/>
    <cellStyle name="스타일 1 8" xfId="0"/>
    <cellStyle name="스타일 1 9" xfId="0"/>
    <cellStyle name="스타일 10" xfId="0"/>
    <cellStyle name="스타일 100" xfId="0"/>
    <cellStyle name="스타일 101" xfId="0"/>
    <cellStyle name="스타일 102" xfId="0"/>
    <cellStyle name="스타일 103" xfId="0"/>
    <cellStyle name="스타일 104" xfId="0"/>
    <cellStyle name="스타일 105" xfId="0"/>
    <cellStyle name="스타일 106" xfId="0"/>
    <cellStyle name="스타일 107" xfId="0"/>
    <cellStyle name="스타일 108" xfId="0"/>
    <cellStyle name="스타일 109" xfId="0"/>
    <cellStyle name="스타일 11" xfId="0"/>
    <cellStyle name="스타일 110" xfId="0"/>
    <cellStyle name="스타일 111" xfId="0"/>
    <cellStyle name="스타일 112" xfId="0"/>
    <cellStyle name="스타일 113" xfId="0"/>
    <cellStyle name="스타일 114" xfId="0"/>
    <cellStyle name="스타일 115" xfId="0"/>
    <cellStyle name="스타일 116" xfId="0"/>
    <cellStyle name="스타일 117" xfId="0"/>
    <cellStyle name="스타일 118" xfId="0"/>
    <cellStyle name="스타일 119" xfId="0"/>
    <cellStyle name="스타일 12" xfId="0"/>
    <cellStyle name="스타일 120" xfId="0"/>
    <cellStyle name="스타일 121" xfId="0"/>
    <cellStyle name="스타일 122" xfId="0"/>
    <cellStyle name="스타일 123" xfId="0"/>
    <cellStyle name="스타일 124" xfId="0"/>
    <cellStyle name="스타일 125" xfId="0"/>
    <cellStyle name="스타일 126" xfId="0"/>
    <cellStyle name="스타일 127" xfId="0"/>
    <cellStyle name="스타일 128" xfId="0"/>
    <cellStyle name="스타일 129" xfId="0"/>
    <cellStyle name="스타일 13" xfId="0"/>
    <cellStyle name="스타일 130" xfId="0"/>
    <cellStyle name="스타일 131" xfId="0"/>
    <cellStyle name="스타일 132" xfId="0"/>
    <cellStyle name="스타일 133" xfId="0"/>
    <cellStyle name="스타일 134" xfId="0"/>
    <cellStyle name="스타일 135" xfId="0"/>
    <cellStyle name="스타일 136" xfId="0"/>
    <cellStyle name="스타일 137" xfId="0"/>
    <cellStyle name="스타일 138" xfId="0"/>
    <cellStyle name="스타일 139" xfId="0"/>
    <cellStyle name="스타일 14" xfId="0"/>
    <cellStyle name="스타일 140" xfId="0"/>
    <cellStyle name="스타일 141" xfId="0"/>
    <cellStyle name="스타일 142" xfId="0"/>
    <cellStyle name="스타일 143" xfId="0"/>
    <cellStyle name="스타일 144" xfId="0"/>
    <cellStyle name="스타일 145" xfId="0"/>
    <cellStyle name="스타일 146" xfId="0"/>
    <cellStyle name="스타일 147" xfId="0"/>
    <cellStyle name="스타일 148" xfId="0"/>
    <cellStyle name="스타일 149" xfId="0"/>
    <cellStyle name="스타일 15" xfId="0"/>
    <cellStyle name="스타일 150" xfId="0"/>
    <cellStyle name="스타일 151" xfId="0"/>
    <cellStyle name="스타일 152" xfId="0"/>
    <cellStyle name="스타일 153" xfId="0"/>
    <cellStyle name="스타일 154" xfId="0"/>
    <cellStyle name="스타일 155" xfId="0"/>
    <cellStyle name="스타일 156" xfId="0"/>
    <cellStyle name="스타일 157" xfId="0"/>
    <cellStyle name="스타일 158" xfId="0"/>
    <cellStyle name="스타일 16" xfId="0"/>
    <cellStyle name="스타일 17" xfId="0"/>
    <cellStyle name="스타일 18" xfId="0"/>
    <cellStyle name="스타일 19" xfId="0"/>
    <cellStyle name="스타일 2" xfId="0"/>
    <cellStyle name="스타일 20" xfId="0"/>
    <cellStyle name="스타일 21" xfId="0"/>
    <cellStyle name="스타일 22" xfId="0"/>
    <cellStyle name="스타일 23" xfId="0"/>
    <cellStyle name="스타일 24" xfId="0"/>
    <cellStyle name="스타일 25" xfId="0"/>
    <cellStyle name="스타일 26" xfId="0"/>
    <cellStyle name="스타일 27" xfId="0"/>
    <cellStyle name="스타일 28" xfId="0"/>
    <cellStyle name="스타일 29" xfId="0"/>
    <cellStyle name="스타일 3" xfId="0"/>
    <cellStyle name="스타일 30" xfId="0"/>
    <cellStyle name="스타일 31" xfId="0"/>
    <cellStyle name="스타일 32" xfId="0"/>
    <cellStyle name="스타일 33" xfId="0"/>
    <cellStyle name="스타일 34" xfId="0"/>
    <cellStyle name="스타일 35" xfId="0"/>
    <cellStyle name="스타일 36" xfId="0"/>
    <cellStyle name="스타일 37" xfId="0"/>
    <cellStyle name="스타일 38" xfId="0"/>
    <cellStyle name="스타일 39" xfId="0"/>
    <cellStyle name="스타일 4" xfId="0"/>
    <cellStyle name="스타일 40" xfId="0"/>
    <cellStyle name="스타일 41" xfId="0"/>
    <cellStyle name="스타일 42" xfId="0"/>
    <cellStyle name="스타일 43" xfId="0"/>
    <cellStyle name="스타일 44" xfId="0"/>
    <cellStyle name="스타일 45" xfId="0"/>
    <cellStyle name="스타일 46" xfId="0"/>
    <cellStyle name="스타일 47" xfId="0"/>
    <cellStyle name="스타일 48" xfId="0"/>
    <cellStyle name="스타일 49" xfId="0"/>
    <cellStyle name="스타일 5" xfId="0"/>
    <cellStyle name="스타일 50" xfId="0"/>
    <cellStyle name="스타일 51" xfId="0"/>
    <cellStyle name="스타일 52" xfId="0"/>
    <cellStyle name="스타일 53" xfId="0"/>
    <cellStyle name="스타일 54" xfId="0"/>
    <cellStyle name="스타일 55" xfId="0"/>
    <cellStyle name="스타일 56" xfId="0"/>
    <cellStyle name="스타일 57" xfId="0"/>
    <cellStyle name="스타일 58" xfId="0"/>
    <cellStyle name="스타일 59" xfId="0"/>
    <cellStyle name="스타일 6" xfId="0"/>
    <cellStyle name="스타일 60" xfId="0"/>
    <cellStyle name="스타일 61" xfId="0"/>
    <cellStyle name="스타일 62" xfId="0"/>
    <cellStyle name="스타일 63" xfId="0"/>
    <cellStyle name="스타일 64" xfId="0"/>
    <cellStyle name="스타일 65" xfId="0"/>
    <cellStyle name="스타일 66" xfId="0"/>
    <cellStyle name="스타일 67" xfId="0"/>
    <cellStyle name="스타일 68" xfId="0"/>
    <cellStyle name="스타일 69" xfId="0"/>
    <cellStyle name="스타일 7" xfId="0"/>
    <cellStyle name="스타일 70" xfId="0"/>
    <cellStyle name="스타일 71" xfId="0"/>
    <cellStyle name="스타일 72" xfId="0"/>
    <cellStyle name="스타일 73" xfId="0"/>
    <cellStyle name="스타일 74" xfId="0"/>
    <cellStyle name="스타일 75" xfId="0"/>
    <cellStyle name="스타일 76" xfId="0"/>
    <cellStyle name="스타일 77" xfId="0"/>
    <cellStyle name="스타일 78" xfId="0"/>
    <cellStyle name="스타일 79" xfId="0"/>
    <cellStyle name="스타일 8" xfId="0"/>
    <cellStyle name="스타일 80" xfId="0"/>
    <cellStyle name="스타일 81" xfId="0"/>
    <cellStyle name="스타일 82" xfId="0"/>
    <cellStyle name="스타일 83" xfId="0"/>
    <cellStyle name="스타일 84" xfId="0"/>
    <cellStyle name="스타일 85" xfId="0"/>
    <cellStyle name="스타일 86" xfId="0"/>
    <cellStyle name="스타일 87" xfId="0"/>
    <cellStyle name="스타일 88" xfId="0"/>
    <cellStyle name="스타일 89" xfId="0"/>
    <cellStyle name="스타일 9" xfId="0"/>
    <cellStyle name="스타일 90" xfId="0"/>
    <cellStyle name="스타일 91" xfId="0"/>
    <cellStyle name="스타일 92" xfId="0"/>
    <cellStyle name="스타일 93" xfId="0"/>
    <cellStyle name="스타일 94" xfId="0"/>
    <cellStyle name="스타일 95" xfId="0"/>
    <cellStyle name="스타일 96" xfId="0"/>
    <cellStyle name="스타일 97" xfId="0"/>
    <cellStyle name="스타일 98" xfId="0"/>
    <cellStyle name="스타일 99" xfId="0"/>
    <cellStyle name="신진수" xfId="0"/>
    <cellStyle name="안건회계법인" xfId="0"/>
    <cellStyle name="연결된 셀 10" xfId="0"/>
    <cellStyle name="연결된 셀 10 2" xfId="0"/>
    <cellStyle name="연결된 셀 10 2 2" xfId="0"/>
    <cellStyle name="연결된 셀 10 3" xfId="0"/>
    <cellStyle name="연결된 셀 10 3 2" xfId="0"/>
    <cellStyle name="연결된 셀 10 4" xfId="0"/>
    <cellStyle name="연결된 셀 10 4 2" xfId="0"/>
    <cellStyle name="연결된 셀 10 5" xfId="0"/>
    <cellStyle name="연결된 셀 10 6" xfId="0"/>
    <cellStyle name="연결된 셀 10 7" xfId="0"/>
    <cellStyle name="연결된 셀 11" xfId="0"/>
    <cellStyle name="연결된 셀 11 2" xfId="0"/>
    <cellStyle name="연결된 셀 11 2 2" xfId="0"/>
    <cellStyle name="연결된 셀 11 3" xfId="0"/>
    <cellStyle name="연결된 셀 11 3 2" xfId="0"/>
    <cellStyle name="연결된 셀 11 4" xfId="0"/>
    <cellStyle name="연결된 셀 11 4 2" xfId="0"/>
    <cellStyle name="연결된 셀 11 5" xfId="0"/>
    <cellStyle name="연결된 셀 11 6" xfId="0"/>
    <cellStyle name="연결된 셀 11 7" xfId="0"/>
    <cellStyle name="연결된 셀 12" xfId="0"/>
    <cellStyle name="연결된 셀 12 2" xfId="0"/>
    <cellStyle name="연결된 셀 12 3" xfId="0"/>
    <cellStyle name="연결된 셀 12 4" xfId="0"/>
    <cellStyle name="연결된 셀 12 5" xfId="0"/>
    <cellStyle name="연결된 셀 13" xfId="0"/>
    <cellStyle name="연결된 셀 13 2" xfId="0"/>
    <cellStyle name="연결된 셀 13 3" xfId="0"/>
    <cellStyle name="연결된 셀 13 4" xfId="0"/>
    <cellStyle name="연결된 셀 13 5" xfId="0"/>
    <cellStyle name="연결된 셀 14" xfId="0"/>
    <cellStyle name="연결된 셀 14 2" xfId="0"/>
    <cellStyle name="연결된 셀 14 3" xfId="0"/>
    <cellStyle name="연결된 셀 15" xfId="0"/>
    <cellStyle name="연결된 셀 15 2" xfId="0"/>
    <cellStyle name="연결된 셀 16" xfId="0"/>
    <cellStyle name="연결된 셀 16 2" xfId="0"/>
    <cellStyle name="연결된 셀 17" xfId="0"/>
    <cellStyle name="연결된 셀 17 2" xfId="0"/>
    <cellStyle name="연결된 셀 18" xfId="0"/>
    <cellStyle name="연결된 셀 19" xfId="0"/>
    <cellStyle name="연결된 셀 2" xfId="0"/>
    <cellStyle name="연결된 셀 2 10" xfId="0"/>
    <cellStyle name="연결된 셀 2 11" xfId="0"/>
    <cellStyle name="연결된 셀 2 12" xfId="0"/>
    <cellStyle name="연결된 셀 2 13" xfId="0"/>
    <cellStyle name="연결된 셀 2 14" xfId="0"/>
    <cellStyle name="연결된 셀 2 15" xfId="0"/>
    <cellStyle name="연결된 셀 2 16" xfId="0"/>
    <cellStyle name="연결된 셀 2 17" xfId="0"/>
    <cellStyle name="연결된 셀 2 2" xfId="0"/>
    <cellStyle name="연결된 셀 2 2 10" xfId="0"/>
    <cellStyle name="연결된 셀 2 2 2" xfId="0"/>
    <cellStyle name="연결된 셀 2 2 3" xfId="0"/>
    <cellStyle name="연결된 셀 2 2 4" xfId="0"/>
    <cellStyle name="연결된 셀 2 2 5" xfId="0"/>
    <cellStyle name="연결된 셀 2 2 6" xfId="0"/>
    <cellStyle name="연결된 셀 2 2 7" xfId="0"/>
    <cellStyle name="연결된 셀 2 2 8" xfId="0"/>
    <cellStyle name="연결된 셀 2 2 9" xfId="0"/>
    <cellStyle name="연결된 셀 2 3" xfId="0"/>
    <cellStyle name="연결된 셀 2 3 10" xfId="0"/>
    <cellStyle name="연결된 셀 2 3 2" xfId="0"/>
    <cellStyle name="연결된 셀 2 3 3" xfId="0"/>
    <cellStyle name="연결된 셀 2 3 4" xfId="0"/>
    <cellStyle name="연결된 셀 2 3 5" xfId="0"/>
    <cellStyle name="연결된 셀 2 3 6" xfId="0"/>
    <cellStyle name="연결된 셀 2 3 7" xfId="0"/>
    <cellStyle name="연결된 셀 2 3 8" xfId="0"/>
    <cellStyle name="연결된 셀 2 3 9" xfId="0"/>
    <cellStyle name="연결된 셀 2 4" xfId="0"/>
    <cellStyle name="연결된 셀 2 4 10" xfId="0"/>
    <cellStyle name="연결된 셀 2 4 2" xfId="0"/>
    <cellStyle name="연결된 셀 2 4 3" xfId="0"/>
    <cellStyle name="연결된 셀 2 4 4" xfId="0"/>
    <cellStyle name="연결된 셀 2 4 5" xfId="0"/>
    <cellStyle name="연결된 셀 2 4 6" xfId="0"/>
    <cellStyle name="연결된 셀 2 4 7" xfId="0"/>
    <cellStyle name="연결된 셀 2 4 8" xfId="0"/>
    <cellStyle name="연결된 셀 2 4 9" xfId="0"/>
    <cellStyle name="연결된 셀 2 5" xfId="0"/>
    <cellStyle name="연결된 셀 2 5 10" xfId="0"/>
    <cellStyle name="연결된 셀 2 5 2" xfId="0"/>
    <cellStyle name="연결된 셀 2 5 3" xfId="0"/>
    <cellStyle name="연결된 셀 2 5 4" xfId="0"/>
    <cellStyle name="연결된 셀 2 5 5" xfId="0"/>
    <cellStyle name="연결된 셀 2 5 6" xfId="0"/>
    <cellStyle name="연결된 셀 2 5 7" xfId="0"/>
    <cellStyle name="연결된 셀 2 5 8" xfId="0"/>
    <cellStyle name="연결된 셀 2 5 9" xfId="0"/>
    <cellStyle name="연결된 셀 2 6" xfId="0"/>
    <cellStyle name="연결된 셀 2 6 10" xfId="0"/>
    <cellStyle name="연결된 셀 2 6 2" xfId="0"/>
    <cellStyle name="연결된 셀 2 6 3" xfId="0"/>
    <cellStyle name="연결된 셀 2 6 4" xfId="0"/>
    <cellStyle name="연결된 셀 2 6 5" xfId="0"/>
    <cellStyle name="연결된 셀 2 6 6" xfId="0"/>
    <cellStyle name="연결된 셀 2 6 7" xfId="0"/>
    <cellStyle name="연결된 셀 2 6 8" xfId="0"/>
    <cellStyle name="연결된 셀 2 6 9" xfId="0"/>
    <cellStyle name="연결된 셀 2 7" xfId="0"/>
    <cellStyle name="연결된 셀 2 7 10" xfId="0"/>
    <cellStyle name="연결된 셀 2 7 2" xfId="0"/>
    <cellStyle name="연결된 셀 2 7 3" xfId="0"/>
    <cellStyle name="연결된 셀 2 7 4" xfId="0"/>
    <cellStyle name="연결된 셀 2 7 5" xfId="0"/>
    <cellStyle name="연결된 셀 2 7 6" xfId="0"/>
    <cellStyle name="연결된 셀 2 7 7" xfId="0"/>
    <cellStyle name="연결된 셀 2 7 8" xfId="0"/>
    <cellStyle name="연결된 셀 2 7 9" xfId="0"/>
    <cellStyle name="연결된 셀 2 8" xfId="0"/>
    <cellStyle name="연결된 셀 2 8 2" xfId="0"/>
    <cellStyle name="연결된 셀 2 9" xfId="0"/>
    <cellStyle name="연결된 셀 20" xfId="0"/>
    <cellStyle name="연결된 셀 21" xfId="0"/>
    <cellStyle name="연결된 셀 22" xfId="0"/>
    <cellStyle name="연결된 셀 23" xfId="0"/>
    <cellStyle name="연결된 셀 24" xfId="0"/>
    <cellStyle name="연결된 셀 25" xfId="0"/>
    <cellStyle name="연결된 셀 26" xfId="0"/>
    <cellStyle name="연결된 셀 27" xfId="0"/>
    <cellStyle name="연결된 셀 2_3300현금및예치금" xfId="0"/>
    <cellStyle name="연결된 셀 3" xfId="0"/>
    <cellStyle name="연결된 셀 3 10" xfId="0"/>
    <cellStyle name="연결된 셀 3 10 2" xfId="0"/>
    <cellStyle name="연결된 셀 3 11" xfId="0"/>
    <cellStyle name="연결된 셀 3 11 2" xfId="0"/>
    <cellStyle name="연결된 셀 3 12" xfId="0"/>
    <cellStyle name="연결된 셀 3 12 2" xfId="0"/>
    <cellStyle name="연결된 셀 3 13" xfId="0"/>
    <cellStyle name="연결된 셀 3 14" xfId="0"/>
    <cellStyle name="연결된 셀 3 15" xfId="0"/>
    <cellStyle name="연결된 셀 3 16" xfId="0"/>
    <cellStyle name="연결된 셀 3 17" xfId="0"/>
    <cellStyle name="연결된 셀 3 18" xfId="0"/>
    <cellStyle name="연결된 셀 3 19" xfId="0"/>
    <cellStyle name="연결된 셀 3 2" xfId="0"/>
    <cellStyle name="연결된 셀 3 2 2" xfId="0"/>
    <cellStyle name="연결된 셀 3 2 3" xfId="0"/>
    <cellStyle name="연결된 셀 3 20" xfId="0"/>
    <cellStyle name="연결된 셀 3 21" xfId="0"/>
    <cellStyle name="연결된 셀 3 3" xfId="0"/>
    <cellStyle name="연결된 셀 3 3 2" xfId="0"/>
    <cellStyle name="연결된 셀 3 3 3" xfId="0"/>
    <cellStyle name="연결된 셀 3 4" xfId="0"/>
    <cellStyle name="연결된 셀 3 4 2" xfId="0"/>
    <cellStyle name="연결된 셀 3 4 3" xfId="0"/>
    <cellStyle name="연결된 셀 3 5" xfId="0"/>
    <cellStyle name="연결된 셀 3 5 2" xfId="0"/>
    <cellStyle name="연결된 셀 3 5 3" xfId="0"/>
    <cellStyle name="연결된 셀 3 6" xfId="0"/>
    <cellStyle name="연결된 셀 3 6 2" xfId="0"/>
    <cellStyle name="연결된 셀 3 6 3" xfId="0"/>
    <cellStyle name="연결된 셀 3 7" xfId="0"/>
    <cellStyle name="연결된 셀 3 7 2" xfId="0"/>
    <cellStyle name="연결된 셀 3 7 3" xfId="0"/>
    <cellStyle name="연결된 셀 3 8" xfId="0"/>
    <cellStyle name="연결된 셀 3 8 2" xfId="0"/>
    <cellStyle name="연결된 셀 3 8 3" xfId="0"/>
    <cellStyle name="연결된 셀 3 9" xfId="0"/>
    <cellStyle name="연결된 셀 3 9 2" xfId="0"/>
    <cellStyle name="연결된 셀 3_운용자산별 손익분석" xfId="0"/>
    <cellStyle name="연결된 셀 4" xfId="0"/>
    <cellStyle name="연결된 셀 4 10" xfId="0"/>
    <cellStyle name="연결된 셀 4 11" xfId="0"/>
    <cellStyle name="연결된 셀 4 12" xfId="0"/>
    <cellStyle name="연결된 셀 4 13" xfId="0"/>
    <cellStyle name="연결된 셀 4 14" xfId="0"/>
    <cellStyle name="연결된 셀 4 15" xfId="0"/>
    <cellStyle name="연결된 셀 4 16" xfId="0"/>
    <cellStyle name="연결된 셀 4 17" xfId="0"/>
    <cellStyle name="연결된 셀 4 18" xfId="0"/>
    <cellStyle name="연결된 셀 4 19" xfId="0"/>
    <cellStyle name="연결된 셀 4 2" xfId="0"/>
    <cellStyle name="연결된 셀 4 2 10" xfId="0"/>
    <cellStyle name="연결된 셀 4 2 11" xfId="0"/>
    <cellStyle name="연결된 셀 4 2 2" xfId="0"/>
    <cellStyle name="연결된 셀 4 2 3" xfId="0"/>
    <cellStyle name="연결된 셀 4 2 4" xfId="0"/>
    <cellStyle name="연결된 셀 4 2 5" xfId="0"/>
    <cellStyle name="연결된 셀 4 2 6" xfId="0"/>
    <cellStyle name="연결된 셀 4 2 7" xfId="0"/>
    <cellStyle name="연결된 셀 4 2 8" xfId="0"/>
    <cellStyle name="연결된 셀 4 2 9" xfId="0"/>
    <cellStyle name="연결된 셀 4 20" xfId="0"/>
    <cellStyle name="연결된 셀 4 21" xfId="0"/>
    <cellStyle name="연결된 셀 4 22" xfId="0"/>
    <cellStyle name="연결된 셀 4 23" xfId="0"/>
    <cellStyle name="연결된 셀 4 24" xfId="0"/>
    <cellStyle name="연결된 셀 4 3" xfId="0"/>
    <cellStyle name="연결된 셀 4 4" xfId="0"/>
    <cellStyle name="연결된 셀 4 5" xfId="0"/>
    <cellStyle name="연결된 셀 4 6" xfId="0"/>
    <cellStyle name="연결된 셀 4 7" xfId="0"/>
    <cellStyle name="연결된 셀 4 8" xfId="0"/>
    <cellStyle name="연결된 셀 4 9" xfId="0"/>
    <cellStyle name="연결된 셀 4_운용자산별 손익분석" xfId="0"/>
    <cellStyle name="연결된 셀 5" xfId="0"/>
    <cellStyle name="연결된 셀 5 10" xfId="0"/>
    <cellStyle name="연결된 셀 5 11" xfId="0"/>
    <cellStyle name="연결된 셀 5 12" xfId="0"/>
    <cellStyle name="연결된 셀 5 13" xfId="0"/>
    <cellStyle name="연결된 셀 5 14" xfId="0"/>
    <cellStyle name="연결된 셀 5 15" xfId="0"/>
    <cellStyle name="연결된 셀 5 16" xfId="0"/>
    <cellStyle name="연결된 셀 5 17" xfId="0"/>
    <cellStyle name="연결된 셀 5 18" xfId="0"/>
    <cellStyle name="연결된 셀 5 19" xfId="0"/>
    <cellStyle name="연결된 셀 5 2" xfId="0"/>
    <cellStyle name="연결된 셀 5 20" xfId="0"/>
    <cellStyle name="연결된 셀 5 21" xfId="0"/>
    <cellStyle name="연결된 셀 5 22" xfId="0"/>
    <cellStyle name="연결된 셀 5 23" xfId="0"/>
    <cellStyle name="연결된 셀 5 24" xfId="0"/>
    <cellStyle name="연결된 셀 5 25" xfId="0"/>
    <cellStyle name="연결된 셀 5 26" xfId="0"/>
    <cellStyle name="연결된 셀 5 27" xfId="0"/>
    <cellStyle name="연결된 셀 5 28" xfId="0"/>
    <cellStyle name="연결된 셀 5 29" xfId="0"/>
    <cellStyle name="연결된 셀 5 3" xfId="0"/>
    <cellStyle name="연결된 셀 5 30" xfId="0"/>
    <cellStyle name="연결된 셀 5 31" xfId="0"/>
    <cellStyle name="연결된 셀 5 32" xfId="0"/>
    <cellStyle name="연결된 셀 5 33" xfId="0"/>
    <cellStyle name="연결된 셀 5 34" xfId="0"/>
    <cellStyle name="연결된 셀 5 35" xfId="0"/>
    <cellStyle name="연결된 셀 5 4" xfId="0"/>
    <cellStyle name="연결된 셀 5 5" xfId="0"/>
    <cellStyle name="연결된 셀 5 6" xfId="0"/>
    <cellStyle name="연결된 셀 5 7" xfId="0"/>
    <cellStyle name="연결된 셀 5 8" xfId="0"/>
    <cellStyle name="연결된 셀 5 9" xfId="0"/>
    <cellStyle name="연결된 셀 6" xfId="0"/>
    <cellStyle name="연결된 셀 6 10" xfId="0"/>
    <cellStyle name="연결된 셀 6 11" xfId="0"/>
    <cellStyle name="연결된 셀 6 12" xfId="0"/>
    <cellStyle name="연결된 셀 6 13" xfId="0"/>
    <cellStyle name="연결된 셀 6 14" xfId="0"/>
    <cellStyle name="연결된 셀 6 15" xfId="0"/>
    <cellStyle name="연결된 셀 6 16" xfId="0"/>
    <cellStyle name="연결된 셀 6 17" xfId="0"/>
    <cellStyle name="연결된 셀 6 18" xfId="0"/>
    <cellStyle name="연결된 셀 6 19" xfId="0"/>
    <cellStyle name="연결된 셀 6 2" xfId="0"/>
    <cellStyle name="연결된 셀 6 20" xfId="0"/>
    <cellStyle name="연결된 셀 6 21" xfId="0"/>
    <cellStyle name="연결된 셀 6 22" xfId="0"/>
    <cellStyle name="연결된 셀 6 23" xfId="0"/>
    <cellStyle name="연결된 셀 6 24" xfId="0"/>
    <cellStyle name="연결된 셀 6 25" xfId="0"/>
    <cellStyle name="연결된 셀 6 26" xfId="0"/>
    <cellStyle name="연결된 셀 6 27" xfId="0"/>
    <cellStyle name="연결된 셀 6 28" xfId="0"/>
    <cellStyle name="연결된 셀 6 29" xfId="0"/>
    <cellStyle name="연결된 셀 6 3" xfId="0"/>
    <cellStyle name="연결된 셀 6 30" xfId="0"/>
    <cellStyle name="연결된 셀 6 31" xfId="0"/>
    <cellStyle name="연결된 셀 6 4" xfId="0"/>
    <cellStyle name="연결된 셀 6 5" xfId="0"/>
    <cellStyle name="연결된 셀 6 6" xfId="0"/>
    <cellStyle name="연결된 셀 6 7" xfId="0"/>
    <cellStyle name="연결된 셀 6 8" xfId="0"/>
    <cellStyle name="연결된 셀 6 9" xfId="0"/>
    <cellStyle name="연결된 셀 7" xfId="0"/>
    <cellStyle name="연결된 셀 7 10" xfId="0"/>
    <cellStyle name="연결된 셀 7 11" xfId="0"/>
    <cellStyle name="연결된 셀 7 12" xfId="0"/>
    <cellStyle name="연결된 셀 7 13" xfId="0"/>
    <cellStyle name="연결된 셀 7 14" xfId="0"/>
    <cellStyle name="연결된 셀 7 15" xfId="0"/>
    <cellStyle name="연결된 셀 7 2" xfId="0"/>
    <cellStyle name="연결된 셀 7 2 2" xfId="0"/>
    <cellStyle name="연결된 셀 7 3" xfId="0"/>
    <cellStyle name="연결된 셀 7 3 2" xfId="0"/>
    <cellStyle name="연결된 셀 7 4" xfId="0"/>
    <cellStyle name="연결된 셀 7 4 2" xfId="0"/>
    <cellStyle name="연결된 셀 7 5" xfId="0"/>
    <cellStyle name="연결된 셀 7 5 2" xfId="0"/>
    <cellStyle name="연결된 셀 7 6" xfId="0"/>
    <cellStyle name="연결된 셀 7 6 2" xfId="0"/>
    <cellStyle name="연결된 셀 7 7" xfId="0"/>
    <cellStyle name="연결된 셀 7 8" xfId="0"/>
    <cellStyle name="연결된 셀 7 9" xfId="0"/>
    <cellStyle name="연결된 셀 8" xfId="0"/>
    <cellStyle name="연결된 셀 8 10" xfId="0"/>
    <cellStyle name="연결된 셀 8 11" xfId="0"/>
    <cellStyle name="연결된 셀 8 12" xfId="0"/>
    <cellStyle name="연결된 셀 8 13" xfId="0"/>
    <cellStyle name="연결된 셀 8 14" xfId="0"/>
    <cellStyle name="연결된 셀 8 2" xfId="0"/>
    <cellStyle name="연결된 셀 8 2 2" xfId="0"/>
    <cellStyle name="연결된 셀 8 3" xfId="0"/>
    <cellStyle name="연결된 셀 8 3 2" xfId="0"/>
    <cellStyle name="연결된 셀 8 4" xfId="0"/>
    <cellStyle name="연결된 셀 8 4 2" xfId="0"/>
    <cellStyle name="연결된 셀 8 5" xfId="0"/>
    <cellStyle name="연결된 셀 8 5 2" xfId="0"/>
    <cellStyle name="연결된 셀 8 6" xfId="0"/>
    <cellStyle name="연결된 셀 8 6 2" xfId="0"/>
    <cellStyle name="연결된 셀 8 7" xfId="0"/>
    <cellStyle name="연결된 셀 8 8" xfId="0"/>
    <cellStyle name="연결된 셀 8 9" xfId="0"/>
    <cellStyle name="연결된 셀 9" xfId="0"/>
    <cellStyle name="연결된 셀 9 10" xfId="0"/>
    <cellStyle name="연결된 셀 9 11" xfId="0"/>
    <cellStyle name="연결된 셀 9 12" xfId="0"/>
    <cellStyle name="연결된 셀 9 13" xfId="0"/>
    <cellStyle name="연결된 셀 9 14" xfId="0"/>
    <cellStyle name="연결된 셀 9 2" xfId="0"/>
    <cellStyle name="연결된 셀 9 2 2" xfId="0"/>
    <cellStyle name="연결된 셀 9 3" xfId="0"/>
    <cellStyle name="연결된 셀 9 3 2" xfId="0"/>
    <cellStyle name="연결된 셀 9 4" xfId="0"/>
    <cellStyle name="연결된 셀 9 4 2" xfId="0"/>
    <cellStyle name="연결된 셀 9 5" xfId="0"/>
    <cellStyle name="연결된 셀 9 5 2" xfId="0"/>
    <cellStyle name="연결된 셀 9 6" xfId="0"/>
    <cellStyle name="연결된 셀 9 6 2" xfId="0"/>
    <cellStyle name="연결된 셀 9 7" xfId="0"/>
    <cellStyle name="연결된 셀 9 8" xfId="0"/>
    <cellStyle name="연결된 셀 9 9" xfId="0"/>
    <cellStyle name="열어본 하이퍼링크" xfId="0"/>
    <cellStyle name="요약 10" xfId="0"/>
    <cellStyle name="요약 10 2" xfId="0"/>
    <cellStyle name="요약 10 2 2" xfId="0"/>
    <cellStyle name="요약 10 3" xfId="0"/>
    <cellStyle name="요약 10 3 2" xfId="0"/>
    <cellStyle name="요약 10 4" xfId="0"/>
    <cellStyle name="요약 10 4 2" xfId="0"/>
    <cellStyle name="요약 10 5" xfId="0"/>
    <cellStyle name="요약 10 6" xfId="0"/>
    <cellStyle name="요약 11" xfId="0"/>
    <cellStyle name="요약 11 2" xfId="0"/>
    <cellStyle name="요약 11 2 2" xfId="0"/>
    <cellStyle name="요약 11 3" xfId="0"/>
    <cellStyle name="요약 11 3 2" xfId="0"/>
    <cellStyle name="요약 11 4" xfId="0"/>
    <cellStyle name="요약 11 4 2" xfId="0"/>
    <cellStyle name="요약 11 5" xfId="0"/>
    <cellStyle name="요약 11 6" xfId="0"/>
    <cellStyle name="요약 12" xfId="0"/>
    <cellStyle name="요약 12 2" xfId="0"/>
    <cellStyle name="요약 12 2 2" xfId="0"/>
    <cellStyle name="요약 12 3" xfId="0"/>
    <cellStyle name="요약 12 3 2" xfId="0"/>
    <cellStyle name="요약 12 4" xfId="0"/>
    <cellStyle name="요약 12 5" xfId="0"/>
    <cellStyle name="요약 13" xfId="0"/>
    <cellStyle name="요약 13 2" xfId="0"/>
    <cellStyle name="요약 13 3" xfId="0"/>
    <cellStyle name="요약 13 4" xfId="0"/>
    <cellStyle name="요약 13 5" xfId="0"/>
    <cellStyle name="요약 14" xfId="0"/>
    <cellStyle name="요약 14 2" xfId="0"/>
    <cellStyle name="요약 14 3" xfId="0"/>
    <cellStyle name="요약 15" xfId="0"/>
    <cellStyle name="요약 15 2" xfId="0"/>
    <cellStyle name="요약 16" xfId="0"/>
    <cellStyle name="요약 16 2" xfId="0"/>
    <cellStyle name="요약 17" xfId="0"/>
    <cellStyle name="요약 17 2" xfId="0"/>
    <cellStyle name="요약 18" xfId="0"/>
    <cellStyle name="요약 19" xfId="0"/>
    <cellStyle name="요약 2" xfId="0"/>
    <cellStyle name="요약 2 10" xfId="0"/>
    <cellStyle name="요약 2 11" xfId="0"/>
    <cellStyle name="요약 2 12" xfId="0"/>
    <cellStyle name="요약 2 13" xfId="0"/>
    <cellStyle name="요약 2 14" xfId="0"/>
    <cellStyle name="요약 2 15" xfId="0"/>
    <cellStyle name="요약 2 16" xfId="0"/>
    <cellStyle name="요약 2 17" xfId="0"/>
    <cellStyle name="요약 2 2" xfId="0"/>
    <cellStyle name="요약 2 2 10" xfId="0"/>
    <cellStyle name="요약 2 2 2" xfId="0"/>
    <cellStyle name="요약 2 2 3" xfId="0"/>
    <cellStyle name="요약 2 2 4" xfId="0"/>
    <cellStyle name="요약 2 2 5" xfId="0"/>
    <cellStyle name="요약 2 2 6" xfId="0"/>
    <cellStyle name="요약 2 2 7" xfId="0"/>
    <cellStyle name="요약 2 2 8" xfId="0"/>
    <cellStyle name="요약 2 2 9" xfId="0"/>
    <cellStyle name="요약 2 3" xfId="0"/>
    <cellStyle name="요약 2 3 10" xfId="0"/>
    <cellStyle name="요약 2 3 2" xfId="0"/>
    <cellStyle name="요약 2 3 3" xfId="0"/>
    <cellStyle name="요약 2 3 4" xfId="0"/>
    <cellStyle name="요약 2 3 5" xfId="0"/>
    <cellStyle name="요약 2 3 6" xfId="0"/>
    <cellStyle name="요약 2 3 7" xfId="0"/>
    <cellStyle name="요약 2 3 8" xfId="0"/>
    <cellStyle name="요약 2 3 9" xfId="0"/>
    <cellStyle name="요약 2 4" xfId="0"/>
    <cellStyle name="요약 2 4 10" xfId="0"/>
    <cellStyle name="요약 2 4 2" xfId="0"/>
    <cellStyle name="요약 2 4 3" xfId="0"/>
    <cellStyle name="요약 2 4 4" xfId="0"/>
    <cellStyle name="요약 2 4 5" xfId="0"/>
    <cellStyle name="요약 2 4 6" xfId="0"/>
    <cellStyle name="요약 2 4 7" xfId="0"/>
    <cellStyle name="요약 2 4 8" xfId="0"/>
    <cellStyle name="요약 2 4 9" xfId="0"/>
    <cellStyle name="요약 2 5" xfId="0"/>
    <cellStyle name="요약 2 5 10" xfId="0"/>
    <cellStyle name="요약 2 5 2" xfId="0"/>
    <cellStyle name="요약 2 5 3" xfId="0"/>
    <cellStyle name="요약 2 5 4" xfId="0"/>
    <cellStyle name="요약 2 5 5" xfId="0"/>
    <cellStyle name="요약 2 5 6" xfId="0"/>
    <cellStyle name="요약 2 5 7" xfId="0"/>
    <cellStyle name="요약 2 5 8" xfId="0"/>
    <cellStyle name="요약 2 5 9" xfId="0"/>
    <cellStyle name="요약 2 6" xfId="0"/>
    <cellStyle name="요약 2 6 10" xfId="0"/>
    <cellStyle name="요약 2 6 2" xfId="0"/>
    <cellStyle name="요약 2 6 3" xfId="0"/>
    <cellStyle name="요약 2 6 4" xfId="0"/>
    <cellStyle name="요약 2 6 5" xfId="0"/>
    <cellStyle name="요약 2 6 6" xfId="0"/>
    <cellStyle name="요약 2 6 7" xfId="0"/>
    <cellStyle name="요약 2 6 8" xfId="0"/>
    <cellStyle name="요약 2 6 9" xfId="0"/>
    <cellStyle name="요약 2 7" xfId="0"/>
    <cellStyle name="요약 2 7 10" xfId="0"/>
    <cellStyle name="요약 2 7 2" xfId="0"/>
    <cellStyle name="요약 2 7 3" xfId="0"/>
    <cellStyle name="요약 2 7 4" xfId="0"/>
    <cellStyle name="요약 2 7 5" xfId="0"/>
    <cellStyle name="요약 2 7 6" xfId="0"/>
    <cellStyle name="요약 2 7 7" xfId="0"/>
    <cellStyle name="요약 2 7 8" xfId="0"/>
    <cellStyle name="요약 2 7 9" xfId="0"/>
    <cellStyle name="요약 2 8" xfId="0"/>
    <cellStyle name="요약 2 8 2" xfId="0"/>
    <cellStyle name="요약 2 9" xfId="0"/>
    <cellStyle name="요약 20" xfId="0"/>
    <cellStyle name="요약 21" xfId="0"/>
    <cellStyle name="요약 22" xfId="0"/>
    <cellStyle name="요약 23" xfId="0"/>
    <cellStyle name="요약 24" xfId="0"/>
    <cellStyle name="요약 25" xfId="0"/>
    <cellStyle name="요약 26" xfId="0"/>
    <cellStyle name="요약 27" xfId="0"/>
    <cellStyle name="요약 2_3300현금및예치금" xfId="0"/>
    <cellStyle name="요약 3" xfId="0"/>
    <cellStyle name="요약 3 10" xfId="0"/>
    <cellStyle name="요약 3 10 2" xfId="0"/>
    <cellStyle name="요약 3 11" xfId="0"/>
    <cellStyle name="요약 3 11 2" xfId="0"/>
    <cellStyle name="요약 3 12" xfId="0"/>
    <cellStyle name="요약 3 12 2" xfId="0"/>
    <cellStyle name="요약 3 13" xfId="0"/>
    <cellStyle name="요약 3 14" xfId="0"/>
    <cellStyle name="요약 3 15" xfId="0"/>
    <cellStyle name="요약 3 16" xfId="0"/>
    <cellStyle name="요약 3 17" xfId="0"/>
    <cellStyle name="요약 3 18" xfId="0"/>
    <cellStyle name="요약 3 19" xfId="0"/>
    <cellStyle name="요약 3 2" xfId="0"/>
    <cellStyle name="요약 3 2 2" xfId="0"/>
    <cellStyle name="요약 3 2 3" xfId="0"/>
    <cellStyle name="요약 3 20" xfId="0"/>
    <cellStyle name="요약 3 21" xfId="0"/>
    <cellStyle name="요약 3 3" xfId="0"/>
    <cellStyle name="요약 3 3 2" xfId="0"/>
    <cellStyle name="요약 3 3 3" xfId="0"/>
    <cellStyle name="요약 3 4" xfId="0"/>
    <cellStyle name="요약 3 4 2" xfId="0"/>
    <cellStyle name="요약 3 4 3" xfId="0"/>
    <cellStyle name="요약 3 5" xfId="0"/>
    <cellStyle name="요약 3 5 2" xfId="0"/>
    <cellStyle name="요약 3 5 3" xfId="0"/>
    <cellStyle name="요약 3 6" xfId="0"/>
    <cellStyle name="요약 3 6 2" xfId="0"/>
    <cellStyle name="요약 3 6 3" xfId="0"/>
    <cellStyle name="요약 3 7" xfId="0"/>
    <cellStyle name="요약 3 7 2" xfId="0"/>
    <cellStyle name="요약 3 7 3" xfId="0"/>
    <cellStyle name="요약 3 8" xfId="0"/>
    <cellStyle name="요약 3 8 2" xfId="0"/>
    <cellStyle name="요약 3 8 3" xfId="0"/>
    <cellStyle name="요약 3 9" xfId="0"/>
    <cellStyle name="요약 3 9 2" xfId="0"/>
    <cellStyle name="요약 3_운용자산별 손익분석" xfId="0"/>
    <cellStyle name="요약 4" xfId="0"/>
    <cellStyle name="요약 4 10" xfId="0"/>
    <cellStyle name="요약 4 11" xfId="0"/>
    <cellStyle name="요약 4 12" xfId="0"/>
    <cellStyle name="요약 4 13" xfId="0"/>
    <cellStyle name="요약 4 14" xfId="0"/>
    <cellStyle name="요약 4 15" xfId="0"/>
    <cellStyle name="요약 4 16" xfId="0"/>
    <cellStyle name="요약 4 17" xfId="0"/>
    <cellStyle name="요약 4 18" xfId="0"/>
    <cellStyle name="요약 4 19" xfId="0"/>
    <cellStyle name="요약 4 2" xfId="0"/>
    <cellStyle name="요약 4 2 10" xfId="0"/>
    <cellStyle name="요약 4 2 11" xfId="0"/>
    <cellStyle name="요약 4 2 2" xfId="0"/>
    <cellStyle name="요약 4 2 3" xfId="0"/>
    <cellStyle name="요약 4 2 4" xfId="0"/>
    <cellStyle name="요약 4 2 5" xfId="0"/>
    <cellStyle name="요약 4 2 6" xfId="0"/>
    <cellStyle name="요약 4 2 7" xfId="0"/>
    <cellStyle name="요약 4 2 8" xfId="0"/>
    <cellStyle name="요약 4 2 9" xfId="0"/>
    <cellStyle name="요약 4 20" xfId="0"/>
    <cellStyle name="요약 4 21" xfId="0"/>
    <cellStyle name="요약 4 22" xfId="0"/>
    <cellStyle name="요약 4 23" xfId="0"/>
    <cellStyle name="요약 4 3" xfId="0"/>
    <cellStyle name="요약 4 3 2" xfId="0"/>
    <cellStyle name="요약 4 4" xfId="0"/>
    <cellStyle name="요약 4 5" xfId="0"/>
    <cellStyle name="요약 4 6" xfId="0"/>
    <cellStyle name="요약 4 7" xfId="0"/>
    <cellStyle name="요약 4 8" xfId="0"/>
    <cellStyle name="요약 4 9" xfId="0"/>
    <cellStyle name="요약 4_운용자산별 손익분석" xfId="0"/>
    <cellStyle name="요약 5" xfId="0"/>
    <cellStyle name="요약 5 10" xfId="0"/>
    <cellStyle name="요약 5 11" xfId="0"/>
    <cellStyle name="요약 5 12" xfId="0"/>
    <cellStyle name="요약 5 13" xfId="0"/>
    <cellStyle name="요약 5 14" xfId="0"/>
    <cellStyle name="요약 5 15" xfId="0"/>
    <cellStyle name="요약 5 16" xfId="0"/>
    <cellStyle name="요약 5 17" xfId="0"/>
    <cellStyle name="요약 5 18" xfId="0"/>
    <cellStyle name="요약 5 19" xfId="0"/>
    <cellStyle name="요약 5 2" xfId="0"/>
    <cellStyle name="요약 5 2 2" xfId="0"/>
    <cellStyle name="요약 5 20" xfId="0"/>
    <cellStyle name="요약 5 21" xfId="0"/>
    <cellStyle name="요약 5 22" xfId="0"/>
    <cellStyle name="요약 5 23" xfId="0"/>
    <cellStyle name="요약 5 24" xfId="0"/>
    <cellStyle name="요약 5 25" xfId="0"/>
    <cellStyle name="요약 5 26" xfId="0"/>
    <cellStyle name="요약 5 27" xfId="0"/>
    <cellStyle name="요약 5 28" xfId="0"/>
    <cellStyle name="요약 5 29" xfId="0"/>
    <cellStyle name="요약 5 3" xfId="0"/>
    <cellStyle name="요약 5 3 2" xfId="0"/>
    <cellStyle name="요약 5 30" xfId="0"/>
    <cellStyle name="요약 5 31" xfId="0"/>
    <cellStyle name="요약 5 32" xfId="0"/>
    <cellStyle name="요약 5 33" xfId="0"/>
    <cellStyle name="요약 5 34" xfId="0"/>
    <cellStyle name="요약 5 4" xfId="0"/>
    <cellStyle name="요약 5 5" xfId="0"/>
    <cellStyle name="요약 5 6" xfId="0"/>
    <cellStyle name="요약 5 7" xfId="0"/>
    <cellStyle name="요약 5 8" xfId="0"/>
    <cellStyle name="요약 5 9" xfId="0"/>
    <cellStyle name="요약 6" xfId="0"/>
    <cellStyle name="요약 6 10" xfId="0"/>
    <cellStyle name="요약 6 11" xfId="0"/>
    <cellStyle name="요약 6 12" xfId="0"/>
    <cellStyle name="요약 6 13" xfId="0"/>
    <cellStyle name="요약 6 14" xfId="0"/>
    <cellStyle name="요약 6 15" xfId="0"/>
    <cellStyle name="요약 6 16" xfId="0"/>
    <cellStyle name="요약 6 17" xfId="0"/>
    <cellStyle name="요약 6 18" xfId="0"/>
    <cellStyle name="요약 6 19" xfId="0"/>
    <cellStyle name="요약 6 2" xfId="0"/>
    <cellStyle name="요약 6 2 2" xfId="0"/>
    <cellStyle name="요약 6 20" xfId="0"/>
    <cellStyle name="요약 6 21" xfId="0"/>
    <cellStyle name="요약 6 22" xfId="0"/>
    <cellStyle name="요약 6 23" xfId="0"/>
    <cellStyle name="요약 6 24" xfId="0"/>
    <cellStyle name="요약 6 25" xfId="0"/>
    <cellStyle name="요약 6 26" xfId="0"/>
    <cellStyle name="요약 6 27" xfId="0"/>
    <cellStyle name="요약 6 28" xfId="0"/>
    <cellStyle name="요약 6 29" xfId="0"/>
    <cellStyle name="요약 6 3" xfId="0"/>
    <cellStyle name="요약 6 3 2" xfId="0"/>
    <cellStyle name="요약 6 30" xfId="0"/>
    <cellStyle name="요약 6 4" xfId="0"/>
    <cellStyle name="요약 6 5" xfId="0"/>
    <cellStyle name="요약 6 6" xfId="0"/>
    <cellStyle name="요약 6 7" xfId="0"/>
    <cellStyle name="요약 6 8" xfId="0"/>
    <cellStyle name="요약 6 9" xfId="0"/>
    <cellStyle name="요약 7" xfId="0"/>
    <cellStyle name="요약 7 10" xfId="0"/>
    <cellStyle name="요약 7 11" xfId="0"/>
    <cellStyle name="요약 7 12" xfId="0"/>
    <cellStyle name="요약 7 13" xfId="0"/>
    <cellStyle name="요약 7 14" xfId="0"/>
    <cellStyle name="요약 7 2" xfId="0"/>
    <cellStyle name="요약 7 2 2" xfId="0"/>
    <cellStyle name="요약 7 3" xfId="0"/>
    <cellStyle name="요약 7 3 2" xfId="0"/>
    <cellStyle name="요약 7 4" xfId="0"/>
    <cellStyle name="요약 7 4 2" xfId="0"/>
    <cellStyle name="요약 7 5" xfId="0"/>
    <cellStyle name="요약 7 5 2" xfId="0"/>
    <cellStyle name="요약 7 6" xfId="0"/>
    <cellStyle name="요약 7 6 2" xfId="0"/>
    <cellStyle name="요약 7 7" xfId="0"/>
    <cellStyle name="요약 7 8" xfId="0"/>
    <cellStyle name="요약 7 9" xfId="0"/>
    <cellStyle name="요약 8" xfId="0"/>
    <cellStyle name="요약 8 10" xfId="0"/>
    <cellStyle name="요약 8 11" xfId="0"/>
    <cellStyle name="요약 8 12" xfId="0"/>
    <cellStyle name="요약 8 13" xfId="0"/>
    <cellStyle name="요약 8 2" xfId="0"/>
    <cellStyle name="요약 8 2 2" xfId="0"/>
    <cellStyle name="요약 8 3" xfId="0"/>
    <cellStyle name="요약 8 3 2" xfId="0"/>
    <cellStyle name="요약 8 4" xfId="0"/>
    <cellStyle name="요약 8 4 2" xfId="0"/>
    <cellStyle name="요약 8 5" xfId="0"/>
    <cellStyle name="요약 8 5 2" xfId="0"/>
    <cellStyle name="요약 8 6" xfId="0"/>
    <cellStyle name="요약 8 6 2" xfId="0"/>
    <cellStyle name="요약 8 7" xfId="0"/>
    <cellStyle name="요약 8 8" xfId="0"/>
    <cellStyle name="요약 8 9" xfId="0"/>
    <cellStyle name="요약 9" xfId="0"/>
    <cellStyle name="요약 9 10" xfId="0"/>
    <cellStyle name="요약 9 11" xfId="0"/>
    <cellStyle name="요약 9 12" xfId="0"/>
    <cellStyle name="요약 9 13" xfId="0"/>
    <cellStyle name="요약 9 2" xfId="0"/>
    <cellStyle name="요약 9 2 2" xfId="0"/>
    <cellStyle name="요약 9 3" xfId="0"/>
    <cellStyle name="요약 9 3 2" xfId="0"/>
    <cellStyle name="요약 9 4" xfId="0"/>
    <cellStyle name="요약 9 4 2" xfId="0"/>
    <cellStyle name="요약 9 5" xfId="0"/>
    <cellStyle name="요약 9 5 2" xfId="0"/>
    <cellStyle name="요약 9 6" xfId="0"/>
    <cellStyle name="요약 9 6 2" xfId="0"/>
    <cellStyle name="요약 9 7" xfId="0"/>
    <cellStyle name="요약 9 8" xfId="0"/>
    <cellStyle name="요약 9 9" xfId="0"/>
    <cellStyle name="원" xfId="0"/>
    <cellStyle name="원_02-04년 계약현황" xfId="0"/>
    <cellStyle name="원_02대여금" xfId="0"/>
    <cellStyle name="원_02투자" xfId="0"/>
    <cellStyle name="원_02투자및대여금종합" xfId="0"/>
    <cellStyle name="원_0304분석-1" xfId="0"/>
    <cellStyle name="원_04,05년인원변동내역" xfId="0"/>
    <cellStyle name="원_04년원가손익표(영업관리)확정-권역별" xfId="0"/>
    <cellStyle name="원_04년인센티브(안)건설" xfId="0"/>
    <cellStyle name="원_05년용역사인센티브지급안" xfId="0"/>
    <cellStyle name="원_06하반기업무보고회의년혼화제부문운영(안)" xfId="0"/>
    <cellStyle name="원_1%인상재원(ss용역사)" xfId="0"/>
    <cellStyle name="원_2003기본자료" xfId="0"/>
    <cellStyle name="원_2003년 승진심사명부" xfId="0"/>
    <cellStyle name="원_2003년 승진심사명부(대리이하)" xfId="0"/>
    <cellStyle name="원_2003년 승진심사명부(차장,과장)" xfId="0"/>
    <cellStyle name="원_2003년02월 공장장회의" xfId="0"/>
    <cellStyle name="원_2004.2 한용전체보고최종안-공장배치도" xfId="0"/>
    <cellStyle name="원_2004.2. TOP순회공장현황" xfId="0"/>
    <cellStyle name="원_20040222승진시 추가부담액(2004.2.22)" xfId="0"/>
    <cellStyle name="원_2004기본자료." xfId="0"/>
    <cellStyle name="원_2004년 승진심사명부" xfId="0"/>
    <cellStyle name="원_2004업무보고(04.07)" xfId="0"/>
    <cellStyle name="원_20050220 건재직급판단자료(급여) (version 2)" xfId="0"/>
    <cellStyle name="원_20050225 건재직급(안)" xfId="0"/>
    <cellStyle name="원_20050521  2005년 승진대상자 심사명부" xfId="0"/>
    <cellStyle name="원_20050606메이저인건비" xfId="0"/>
    <cellStyle name="원_20050606메이저인건비(이관자승진가액)" xfId="0"/>
    <cellStyle name="원_2005년추석상여재원" xfId="0"/>
    <cellStyle name="원_20061231 퇴직금추계(20060210 투사부요청 추정)" xfId="0"/>
    <cellStyle name="원_2006년노무비집계(호봉승급포함)" xfId="0"/>
    <cellStyle name="원_2006년호봉승급" xfId="0"/>
    <cellStyle name="원_20080114  공장별TO" xfId="0"/>
    <cellStyle name="원_5,6월 추정" xfId="0"/>
    <cellStyle name="원_Book1" xfId="0"/>
    <cellStyle name="원_Book3 (version 1)" xfId="0"/>
    <cellStyle name="원_Book5" xfId="0"/>
    <cellStyle name="원_CF" xfId="0"/>
    <cellStyle name="원_NCF6BB2F" xfId="0"/>
    <cellStyle name="원_NCF6BB2F_0304분석-1" xfId="0"/>
    <cellStyle name="원_NCF6BB2F_5,6월 추정" xfId="0"/>
    <cellStyle name="원_NCF6BB2F_5,6월 추정_유형자산증감명세서(for refer)" xfId="0"/>
    <cellStyle name="원_NCF6BB2F_CF" xfId="0"/>
    <cellStyle name="원_NCF6BB2F_월차보고서(04_04)" xfId="0"/>
    <cellStyle name="원_NCF6BB2F_월차보고서(04_04)_유형자산증감명세서(for refer)" xfId="0"/>
    <cellStyle name="원_NCF6BB2F_현금흐름표0305" xfId="0"/>
    <cellStyle name="원_~0031994" xfId="0"/>
    <cellStyle name="원_~0059044" xfId="0"/>
    <cellStyle name="원_~0064755" xfId="0"/>
    <cellStyle name="원_건재사연도별차입금현황" xfId="0"/>
    <cellStyle name="원_건재사인사명부(공장장이상-0408)" xfId="0"/>
    <cellStyle name="원_건재사임원임금현황" xfId="0"/>
    <cellStyle name="원_건재사직무별임금현황(0405현재)" xfId="0"/>
    <cellStyle name="원_건재인사명부(권역별-집계)" xfId="0"/>
    <cellStyle name="원_건재인사명부(권역별-집계)(040223)" xfId="0"/>
    <cellStyle name="원_건재인사명부(권역별팀장)(041001)" xfId="0"/>
    <cellStyle name="원_건재인사명부-중부전남-원본" xfId="0"/>
    <cellStyle name="원_건재임금현황집계(0402현재)" xfId="0"/>
    <cellStyle name="원_건재조직도(0402)" xfId="0"/>
    <cellStyle name="원_건재조직도(0408)" xfId="0"/>
    <cellStyle name="원_노무지집계(상여기준 등)20050908" xfId="0"/>
    <cellStyle name="원_메이저노무비(050823)" xfId="0"/>
    <cellStyle name="원_보고자료양식" xfId="0"/>
    <cellStyle name="원_부실채권현황05.01월" xfId="0"/>
    <cellStyle name="원_상반기 업무보고 자료(임경연과장 송부2)" xfId="0"/>
    <cellStyle name="원_손익분석" xfId="0"/>
    <cellStyle name="원_승진시 추가부담액(2004.2.22)" xfId="0"/>
    <cellStyle name="원_신명부2003년1월1일자" xfId="0"/>
    <cellStyle name="원_업무보고(박종만전무)0606" xfId="0"/>
    <cellStyle name="원_업무보고회의자료(4월노영인사장님방문1) (version 2)" xfId="0"/>
    <cellStyle name="원_영업부업무보고(대전계룡)" xfId="0"/>
    <cellStyle name="원_예산분석" xfId="0"/>
    <cellStyle name="원_원가손익05년실적(대전)" xfId="0"/>
    <cellStyle name="원_월차보고서(04_04)" xfId="0"/>
    <cellStyle name="원_익산손익수정." xfId="0"/>
    <cellStyle name="원_인계인수자금" xfId="0"/>
    <cellStyle name="원_인사명부-건재" xfId="0"/>
    <cellStyle name="원_인사조정-최종" xfId="0"/>
    <cellStyle name="원_인센티브-검토안" xfId="0"/>
    <cellStyle name="원_인센티브예상" xfId="0"/>
    <cellStyle name="원_인원구성비" xfId="0"/>
    <cellStyle name="원_인원현황" xfId="0"/>
    <cellStyle name="원_인원현황(0404)-영동권수신" xfId="0"/>
    <cellStyle name="원_인원현황(0408)-영동권수신" xfId="0"/>
    <cellStyle name="원_임원회의-보고완료(3월4)" xfId="0"/>
    <cellStyle name="원_조직-인원현황-0301" xfId="0"/>
    <cellStyle name="원_중부권" xfId="0"/>
    <cellStyle name="원_직급별 인사명부 최종분(03.6.10)" xfId="0"/>
    <cellStyle name="원_직급별 인사명부 최종분1(04.02.01)" xfId="0"/>
    <cellStyle name="원_직급별연봉(20060101)" xfId="0"/>
    <cellStyle name="원_직원명부" xfId="0"/>
    <cellStyle name="원_청주손익." xfId="0"/>
    <cellStyle name="원_태풍대책" xfId="0"/>
    <cellStyle name="원_태풍대책_02-03비교" xfId="0"/>
    <cellStyle name="원_태풍대책_2003.12계획" xfId="0"/>
    <cellStyle name="원_태풍대책_수급03-3월" xfId="0"/>
    <cellStyle name="원_태풍대책_수급03-3월_2003.12계획" xfId="0"/>
    <cellStyle name="원_태풍대책_수정목표" xfId="0"/>
    <cellStyle name="원_태풍대책_판매계획-정리분" xfId="0"/>
    <cellStyle name="원_태풍대책_판매계획-정리분_2003.12계획" xfId="0"/>
    <cellStyle name="원_태풍대책_판매계획분석" xfId="0"/>
    <cellStyle name="원_태풍대책_판매계획분석_2003.12계획" xfId="0"/>
    <cellStyle name="원_태풍대책_판매수정목표(안)030321" xfId="0"/>
    <cellStyle name="원_특수원가손익(200601당월발송)수신" xfId="0"/>
    <cellStyle name="원_품의-건자회" xfId="0"/>
    <cellStyle name="원_플랜트팀백자료(200602발송)" xfId="0"/>
    <cellStyle name="원_플랜트팀백자료(200606추정수신)김성철" xfId="0"/>
    <cellStyle name="원_한강노무비(100%)남환통보" xfId="0"/>
    <cellStyle name="원_합계" xfId="0"/>
    <cellStyle name="원_합병급여테이블(안)" xfId="0"/>
    <cellStyle name="원_현금흐름표0305" xfId="0"/>
    <cellStyle name="원_협조-인원조정-04-15" xfId="0"/>
    <cellStyle name="원_혼화제누계1-6월" xfId="0"/>
    <cellStyle name="원_혼화제원가손익(하반기추정수신530)" xfId="0"/>
    <cellStyle name="원_환경1팀수주최종본" xfId="0"/>
    <cellStyle name="원통화" xfId="0"/>
    <cellStyle name="원화" xfId="0"/>
    <cellStyle name="월당월 (2)" xfId="0"/>
    <cellStyle name="유입" xfId="0"/>
    <cellStyle name="이연사업비" xfId="0"/>
    <cellStyle name="일반" xfId="0"/>
    <cellStyle name="일반숫자" xfId="0"/>
    <cellStyle name="일자" xfId="0"/>
    <cellStyle name="입력 10" xfId="0"/>
    <cellStyle name="입력 10 2" xfId="0"/>
    <cellStyle name="입력 10 2 2" xfId="0"/>
    <cellStyle name="입력 10 3" xfId="0"/>
    <cellStyle name="입력 10 3 2" xfId="0"/>
    <cellStyle name="입력 10 4" xfId="0"/>
    <cellStyle name="입력 10 4 2" xfId="0"/>
    <cellStyle name="입력 10 5" xfId="0"/>
    <cellStyle name="입력 10 6" xfId="0"/>
    <cellStyle name="입력 10 7" xfId="0"/>
    <cellStyle name="입력 11" xfId="0"/>
    <cellStyle name="입력 11 2" xfId="0"/>
    <cellStyle name="입력 11 2 2" xfId="0"/>
    <cellStyle name="입력 11 3" xfId="0"/>
    <cellStyle name="입력 11 3 2" xfId="0"/>
    <cellStyle name="입력 11 4" xfId="0"/>
    <cellStyle name="입력 11 4 2" xfId="0"/>
    <cellStyle name="입력 11 5" xfId="0"/>
    <cellStyle name="입력 11 6" xfId="0"/>
    <cellStyle name="입력 11 7" xfId="0"/>
    <cellStyle name="입력 12" xfId="0"/>
    <cellStyle name="입력 12 2" xfId="0"/>
    <cellStyle name="입력 12 3" xfId="0"/>
    <cellStyle name="입력 12 4" xfId="0"/>
    <cellStyle name="입력 12 5" xfId="0"/>
    <cellStyle name="입력 13" xfId="0"/>
    <cellStyle name="입력 13 2" xfId="0"/>
    <cellStyle name="입력 13 3" xfId="0"/>
    <cellStyle name="입력 13 4" xfId="0"/>
    <cellStyle name="입력 13 5" xfId="0"/>
    <cellStyle name="입력 14" xfId="0"/>
    <cellStyle name="입력 14 2" xfId="0"/>
    <cellStyle name="입력 14 3" xfId="0"/>
    <cellStyle name="입력 15" xfId="0"/>
    <cellStyle name="입력 15 2" xfId="0"/>
    <cellStyle name="입력 16" xfId="0"/>
    <cellStyle name="입력 16 2" xfId="0"/>
    <cellStyle name="입력 17" xfId="0"/>
    <cellStyle name="입력 17 2" xfId="0"/>
    <cellStyle name="입력 18" xfId="0"/>
    <cellStyle name="입력 19" xfId="0"/>
    <cellStyle name="입력 2" xfId="0"/>
    <cellStyle name="입력 2 10" xfId="0"/>
    <cellStyle name="입력 2 11" xfId="0"/>
    <cellStyle name="입력 2 12" xfId="0"/>
    <cellStyle name="입력 2 13" xfId="0"/>
    <cellStyle name="입력 2 14" xfId="0"/>
    <cellStyle name="입력 2 15" xfId="0"/>
    <cellStyle name="입력 2 16" xfId="0"/>
    <cellStyle name="입력 2 17" xfId="0"/>
    <cellStyle name="입력 2 2" xfId="0"/>
    <cellStyle name="입력 2 2 10" xfId="0"/>
    <cellStyle name="입력 2 2 2" xfId="0"/>
    <cellStyle name="입력 2 2 3" xfId="0"/>
    <cellStyle name="입력 2 2 4" xfId="0"/>
    <cellStyle name="입력 2 2 5" xfId="0"/>
    <cellStyle name="입력 2 2 6" xfId="0"/>
    <cellStyle name="입력 2 2 7" xfId="0"/>
    <cellStyle name="입력 2 2 8" xfId="0"/>
    <cellStyle name="입력 2 2 9" xfId="0"/>
    <cellStyle name="입력 2 3" xfId="0"/>
    <cellStyle name="입력 2 3 10" xfId="0"/>
    <cellStyle name="입력 2 3 2" xfId="0"/>
    <cellStyle name="입력 2 3 3" xfId="0"/>
    <cellStyle name="입력 2 3 4" xfId="0"/>
    <cellStyle name="입력 2 3 5" xfId="0"/>
    <cellStyle name="입력 2 3 6" xfId="0"/>
    <cellStyle name="입력 2 3 7" xfId="0"/>
    <cellStyle name="입력 2 3 8" xfId="0"/>
    <cellStyle name="입력 2 3 9" xfId="0"/>
    <cellStyle name="입력 2 4" xfId="0"/>
    <cellStyle name="입력 2 4 10" xfId="0"/>
    <cellStyle name="입력 2 4 2" xfId="0"/>
    <cellStyle name="입력 2 4 3" xfId="0"/>
    <cellStyle name="입력 2 4 4" xfId="0"/>
    <cellStyle name="입력 2 4 5" xfId="0"/>
    <cellStyle name="입력 2 4 6" xfId="0"/>
    <cellStyle name="입력 2 4 7" xfId="0"/>
    <cellStyle name="입력 2 4 8" xfId="0"/>
    <cellStyle name="입력 2 4 9" xfId="0"/>
    <cellStyle name="입력 2 5" xfId="0"/>
    <cellStyle name="입력 2 5 10" xfId="0"/>
    <cellStyle name="입력 2 5 2" xfId="0"/>
    <cellStyle name="입력 2 5 3" xfId="0"/>
    <cellStyle name="입력 2 5 4" xfId="0"/>
    <cellStyle name="입력 2 5 5" xfId="0"/>
    <cellStyle name="입력 2 5 6" xfId="0"/>
    <cellStyle name="입력 2 5 7" xfId="0"/>
    <cellStyle name="입력 2 5 8" xfId="0"/>
    <cellStyle name="입력 2 5 9" xfId="0"/>
    <cellStyle name="입력 2 6" xfId="0"/>
    <cellStyle name="입력 2 6 10" xfId="0"/>
    <cellStyle name="입력 2 6 2" xfId="0"/>
    <cellStyle name="입력 2 6 3" xfId="0"/>
    <cellStyle name="입력 2 6 4" xfId="0"/>
    <cellStyle name="입력 2 6 5" xfId="0"/>
    <cellStyle name="입력 2 6 6" xfId="0"/>
    <cellStyle name="입력 2 6 7" xfId="0"/>
    <cellStyle name="입력 2 6 8" xfId="0"/>
    <cellStyle name="입력 2 6 9" xfId="0"/>
    <cellStyle name="입력 2 7" xfId="0"/>
    <cellStyle name="입력 2 7 10" xfId="0"/>
    <cellStyle name="입력 2 7 2" xfId="0"/>
    <cellStyle name="입력 2 7 3" xfId="0"/>
    <cellStyle name="입력 2 7 4" xfId="0"/>
    <cellStyle name="입력 2 7 5" xfId="0"/>
    <cellStyle name="입력 2 7 6" xfId="0"/>
    <cellStyle name="입력 2 7 7" xfId="0"/>
    <cellStyle name="입력 2 7 8" xfId="0"/>
    <cellStyle name="입력 2 7 9" xfId="0"/>
    <cellStyle name="입력 2 8" xfId="0"/>
    <cellStyle name="입력 2 8 2" xfId="0"/>
    <cellStyle name="입력 2 9" xfId="0"/>
    <cellStyle name="입력 20" xfId="0"/>
    <cellStyle name="입력 21" xfId="0"/>
    <cellStyle name="입력 22" xfId="0"/>
    <cellStyle name="입력 23" xfId="0"/>
    <cellStyle name="입력 24" xfId="0"/>
    <cellStyle name="입력 25" xfId="0"/>
    <cellStyle name="입력 26" xfId="0"/>
    <cellStyle name="입력 27" xfId="0"/>
    <cellStyle name="입력 2_3300현금및예치금" xfId="0"/>
    <cellStyle name="입력 3" xfId="0"/>
    <cellStyle name="입력 3 10" xfId="0"/>
    <cellStyle name="입력 3 10 2" xfId="0"/>
    <cellStyle name="입력 3 11" xfId="0"/>
    <cellStyle name="입력 3 11 2" xfId="0"/>
    <cellStyle name="입력 3 12" xfId="0"/>
    <cellStyle name="입력 3 12 2" xfId="0"/>
    <cellStyle name="입력 3 13" xfId="0"/>
    <cellStyle name="입력 3 14" xfId="0"/>
    <cellStyle name="입력 3 15" xfId="0"/>
    <cellStyle name="입력 3 16" xfId="0"/>
    <cellStyle name="입력 3 17" xfId="0"/>
    <cellStyle name="입력 3 18" xfId="0"/>
    <cellStyle name="입력 3 19" xfId="0"/>
    <cellStyle name="입력 3 2" xfId="0"/>
    <cellStyle name="입력 3 2 2" xfId="0"/>
    <cellStyle name="입력 3 2 3" xfId="0"/>
    <cellStyle name="입력 3 20" xfId="0"/>
    <cellStyle name="입력 3 21" xfId="0"/>
    <cellStyle name="입력 3 3" xfId="0"/>
    <cellStyle name="입력 3 3 2" xfId="0"/>
    <cellStyle name="입력 3 3 3" xfId="0"/>
    <cellStyle name="입력 3 4" xfId="0"/>
    <cellStyle name="입력 3 4 2" xfId="0"/>
    <cellStyle name="입력 3 4 3" xfId="0"/>
    <cellStyle name="입력 3 5" xfId="0"/>
    <cellStyle name="입력 3 5 2" xfId="0"/>
    <cellStyle name="입력 3 5 3" xfId="0"/>
    <cellStyle name="입력 3 6" xfId="0"/>
    <cellStyle name="입력 3 6 2" xfId="0"/>
    <cellStyle name="입력 3 6 3" xfId="0"/>
    <cellStyle name="입력 3 7" xfId="0"/>
    <cellStyle name="입력 3 7 2" xfId="0"/>
    <cellStyle name="입력 3 7 3" xfId="0"/>
    <cellStyle name="입력 3 8" xfId="0"/>
    <cellStyle name="입력 3 8 2" xfId="0"/>
    <cellStyle name="입력 3 8 3" xfId="0"/>
    <cellStyle name="입력 3 9" xfId="0"/>
    <cellStyle name="입력 3 9 2" xfId="0"/>
    <cellStyle name="입력 3_운용자산별 손익분석" xfId="0"/>
    <cellStyle name="입력 4" xfId="0"/>
    <cellStyle name="입력 4 10" xfId="0"/>
    <cellStyle name="입력 4 11" xfId="0"/>
    <cellStyle name="입력 4 12" xfId="0"/>
    <cellStyle name="입력 4 13" xfId="0"/>
    <cellStyle name="입력 4 14" xfId="0"/>
    <cellStyle name="입력 4 15" xfId="0"/>
    <cellStyle name="입력 4 16" xfId="0"/>
    <cellStyle name="입력 4 17" xfId="0"/>
    <cellStyle name="입력 4 18" xfId="0"/>
    <cellStyle name="입력 4 19" xfId="0"/>
    <cellStyle name="입력 4 2" xfId="0"/>
    <cellStyle name="입력 4 2 10" xfId="0"/>
    <cellStyle name="입력 4 2 11" xfId="0"/>
    <cellStyle name="입력 4 2 2" xfId="0"/>
    <cellStyle name="입력 4 2 3" xfId="0"/>
    <cellStyle name="입력 4 2 4" xfId="0"/>
    <cellStyle name="입력 4 2 5" xfId="0"/>
    <cellStyle name="입력 4 2 6" xfId="0"/>
    <cellStyle name="입력 4 2 7" xfId="0"/>
    <cellStyle name="입력 4 2 8" xfId="0"/>
    <cellStyle name="입력 4 2 9" xfId="0"/>
    <cellStyle name="입력 4 20" xfId="0"/>
    <cellStyle name="입력 4 21" xfId="0"/>
    <cellStyle name="입력 4 22" xfId="0"/>
    <cellStyle name="입력 4 23" xfId="0"/>
    <cellStyle name="입력 4 24" xfId="0"/>
    <cellStyle name="입력 4 3" xfId="0"/>
    <cellStyle name="입력 4 4" xfId="0"/>
    <cellStyle name="입력 4 5" xfId="0"/>
    <cellStyle name="입력 4 6" xfId="0"/>
    <cellStyle name="입력 4 7" xfId="0"/>
    <cellStyle name="입력 4 8" xfId="0"/>
    <cellStyle name="입력 4 9" xfId="0"/>
    <cellStyle name="입력 4_운용자산별 손익분석" xfId="0"/>
    <cellStyle name="입력 5" xfId="0"/>
    <cellStyle name="입력 5 10" xfId="0"/>
    <cellStyle name="입력 5 11" xfId="0"/>
    <cellStyle name="입력 5 12" xfId="0"/>
    <cellStyle name="입력 5 13" xfId="0"/>
    <cellStyle name="입력 5 14" xfId="0"/>
    <cellStyle name="입력 5 15" xfId="0"/>
    <cellStyle name="입력 5 16" xfId="0"/>
    <cellStyle name="입력 5 17" xfId="0"/>
    <cellStyle name="입력 5 18" xfId="0"/>
    <cellStyle name="입력 5 19" xfId="0"/>
    <cellStyle name="입력 5 2" xfId="0"/>
    <cellStyle name="입력 5 20" xfId="0"/>
    <cellStyle name="입력 5 21" xfId="0"/>
    <cellStyle name="입력 5 22" xfId="0"/>
    <cellStyle name="입력 5 23" xfId="0"/>
    <cellStyle name="입력 5 24" xfId="0"/>
    <cellStyle name="입력 5 25" xfId="0"/>
    <cellStyle name="입력 5 26" xfId="0"/>
    <cellStyle name="입력 5 27" xfId="0"/>
    <cellStyle name="입력 5 28" xfId="0"/>
    <cellStyle name="입력 5 29" xfId="0"/>
    <cellStyle name="입력 5 3" xfId="0"/>
    <cellStyle name="입력 5 30" xfId="0"/>
    <cellStyle name="입력 5 31" xfId="0"/>
    <cellStyle name="입력 5 32" xfId="0"/>
    <cellStyle name="입력 5 33" xfId="0"/>
    <cellStyle name="입력 5 34" xfId="0"/>
    <cellStyle name="입력 5 35" xfId="0"/>
    <cellStyle name="입력 5 4" xfId="0"/>
    <cellStyle name="입력 5 5" xfId="0"/>
    <cellStyle name="입력 5 6" xfId="0"/>
    <cellStyle name="입력 5 7" xfId="0"/>
    <cellStyle name="입력 5 8" xfId="0"/>
    <cellStyle name="입력 5 9" xfId="0"/>
    <cellStyle name="입력 6" xfId="0"/>
    <cellStyle name="입력 6 10" xfId="0"/>
    <cellStyle name="입력 6 11" xfId="0"/>
    <cellStyle name="입력 6 12" xfId="0"/>
    <cellStyle name="입력 6 13" xfId="0"/>
    <cellStyle name="입력 6 14" xfId="0"/>
    <cellStyle name="입력 6 15" xfId="0"/>
    <cellStyle name="입력 6 16" xfId="0"/>
    <cellStyle name="입력 6 17" xfId="0"/>
    <cellStyle name="입력 6 18" xfId="0"/>
    <cellStyle name="입력 6 19" xfId="0"/>
    <cellStyle name="입력 6 2" xfId="0"/>
    <cellStyle name="입력 6 20" xfId="0"/>
    <cellStyle name="입력 6 21" xfId="0"/>
    <cellStyle name="입력 6 22" xfId="0"/>
    <cellStyle name="입력 6 23" xfId="0"/>
    <cellStyle name="입력 6 24" xfId="0"/>
    <cellStyle name="입력 6 25" xfId="0"/>
    <cellStyle name="입력 6 26" xfId="0"/>
    <cellStyle name="입력 6 27" xfId="0"/>
    <cellStyle name="입력 6 28" xfId="0"/>
    <cellStyle name="입력 6 29" xfId="0"/>
    <cellStyle name="입력 6 3" xfId="0"/>
    <cellStyle name="입력 6 30" xfId="0"/>
    <cellStyle name="입력 6 31" xfId="0"/>
    <cellStyle name="입력 6 4" xfId="0"/>
    <cellStyle name="입력 6 5" xfId="0"/>
    <cellStyle name="입력 6 6" xfId="0"/>
    <cellStyle name="입력 6 7" xfId="0"/>
    <cellStyle name="입력 6 8" xfId="0"/>
    <cellStyle name="입력 6 9" xfId="0"/>
    <cellStyle name="입력 7" xfId="0"/>
    <cellStyle name="입력 7 10" xfId="0"/>
    <cellStyle name="입력 7 11" xfId="0"/>
    <cellStyle name="입력 7 12" xfId="0"/>
    <cellStyle name="입력 7 13" xfId="0"/>
    <cellStyle name="입력 7 14" xfId="0"/>
    <cellStyle name="입력 7 15" xfId="0"/>
    <cellStyle name="입력 7 2" xfId="0"/>
    <cellStyle name="입력 7 2 2" xfId="0"/>
    <cellStyle name="입력 7 3" xfId="0"/>
    <cellStyle name="입력 7 3 2" xfId="0"/>
    <cellStyle name="입력 7 4" xfId="0"/>
    <cellStyle name="입력 7 4 2" xfId="0"/>
    <cellStyle name="입력 7 5" xfId="0"/>
    <cellStyle name="입력 7 5 2" xfId="0"/>
    <cellStyle name="입력 7 6" xfId="0"/>
    <cellStyle name="입력 7 6 2" xfId="0"/>
    <cellStyle name="입력 7 7" xfId="0"/>
    <cellStyle name="입력 7 8" xfId="0"/>
    <cellStyle name="입력 7 9" xfId="0"/>
    <cellStyle name="입력 8" xfId="0"/>
    <cellStyle name="입력 8 10" xfId="0"/>
    <cellStyle name="입력 8 11" xfId="0"/>
    <cellStyle name="입력 8 12" xfId="0"/>
    <cellStyle name="입력 8 13" xfId="0"/>
    <cellStyle name="입력 8 14" xfId="0"/>
    <cellStyle name="입력 8 2" xfId="0"/>
    <cellStyle name="입력 8 2 2" xfId="0"/>
    <cellStyle name="입력 8 3" xfId="0"/>
    <cellStyle name="입력 8 3 2" xfId="0"/>
    <cellStyle name="입력 8 4" xfId="0"/>
    <cellStyle name="입력 8 4 2" xfId="0"/>
    <cellStyle name="입력 8 5" xfId="0"/>
    <cellStyle name="입력 8 5 2" xfId="0"/>
    <cellStyle name="입력 8 6" xfId="0"/>
    <cellStyle name="입력 8 6 2" xfId="0"/>
    <cellStyle name="입력 8 7" xfId="0"/>
    <cellStyle name="입력 8 8" xfId="0"/>
    <cellStyle name="입력 8 9" xfId="0"/>
    <cellStyle name="입력 9" xfId="0"/>
    <cellStyle name="입력 9 10" xfId="0"/>
    <cellStyle name="입력 9 11" xfId="0"/>
    <cellStyle name="입력 9 12" xfId="0"/>
    <cellStyle name="입력 9 13" xfId="0"/>
    <cellStyle name="입력 9 14" xfId="0"/>
    <cellStyle name="입력 9 2" xfId="0"/>
    <cellStyle name="입력 9 2 2" xfId="0"/>
    <cellStyle name="입력 9 3" xfId="0"/>
    <cellStyle name="입력 9 3 2" xfId="0"/>
    <cellStyle name="입력 9 4" xfId="0"/>
    <cellStyle name="입력 9 4 2" xfId="0"/>
    <cellStyle name="입력 9 5" xfId="0"/>
    <cellStyle name="입력 9 5 2" xfId="0"/>
    <cellStyle name="입력 9 6" xfId="0"/>
    <cellStyle name="입력 9 6 2" xfId="0"/>
    <cellStyle name="입력 9 7" xfId="0"/>
    <cellStyle name="입력 9 8" xfId="0"/>
    <cellStyle name="입력 9 9" xfId="0"/>
    <cellStyle name="자리수" xfId="0"/>
    <cellStyle name="자리수 2" xfId="0"/>
    <cellStyle name="자리수0" xfId="0"/>
    <cellStyle name="자리수0 2" xfId="0"/>
    <cellStyle name="장-품경" xfId="0"/>
    <cellStyle name="제목 1 10" xfId="0"/>
    <cellStyle name="제목 1 10 2" xfId="0"/>
    <cellStyle name="제목 1 10 2 2" xfId="0"/>
    <cellStyle name="제목 1 10 3" xfId="0"/>
    <cellStyle name="제목 1 10 3 2" xfId="0"/>
    <cellStyle name="제목 1 10 4" xfId="0"/>
    <cellStyle name="제목 1 10 4 2" xfId="0"/>
    <cellStyle name="제목 1 10 5" xfId="0"/>
    <cellStyle name="제목 1 10 6" xfId="0"/>
    <cellStyle name="제목 1 10 7" xfId="0"/>
    <cellStyle name="제목 1 11" xfId="0"/>
    <cellStyle name="제목 1 11 2" xfId="0"/>
    <cellStyle name="제목 1 11 2 2" xfId="0"/>
    <cellStyle name="제목 1 11 3" xfId="0"/>
    <cellStyle name="제목 1 11 3 2" xfId="0"/>
    <cellStyle name="제목 1 11 4" xfId="0"/>
    <cellStyle name="제목 1 11 4 2" xfId="0"/>
    <cellStyle name="제목 1 11 5" xfId="0"/>
    <cellStyle name="제목 1 11 6" xfId="0"/>
    <cellStyle name="제목 1 11 7" xfId="0"/>
    <cellStyle name="제목 1 12" xfId="0"/>
    <cellStyle name="제목 1 12 2" xfId="0"/>
    <cellStyle name="제목 1 12 3" xfId="0"/>
    <cellStyle name="제목 1 12 4" xfId="0"/>
    <cellStyle name="제목 1 12 5" xfId="0"/>
    <cellStyle name="제목 1 13" xfId="0"/>
    <cellStyle name="제목 1 13 2" xfId="0"/>
    <cellStyle name="제목 1 13 3" xfId="0"/>
    <cellStyle name="제목 1 13 4" xfId="0"/>
    <cellStyle name="제목 1 13 5" xfId="0"/>
    <cellStyle name="제목 1 14" xfId="0"/>
    <cellStyle name="제목 1 14 2" xfId="0"/>
    <cellStyle name="제목 1 14 3" xfId="0"/>
    <cellStyle name="제목 1 15" xfId="0"/>
    <cellStyle name="제목 1 15 2" xfId="0"/>
    <cellStyle name="제목 1 16" xfId="0"/>
    <cellStyle name="제목 1 16 2" xfId="0"/>
    <cellStyle name="제목 1 17" xfId="0"/>
    <cellStyle name="제목 1 17 2" xfId="0"/>
    <cellStyle name="제목 1 18" xfId="0"/>
    <cellStyle name="제목 1 19" xfId="0"/>
    <cellStyle name="제목 1 2" xfId="0"/>
    <cellStyle name="제목 1 2 10" xfId="0"/>
    <cellStyle name="제목 1 2 11" xfId="0"/>
    <cellStyle name="제목 1 2 12" xfId="0"/>
    <cellStyle name="제목 1 2 13" xfId="0"/>
    <cellStyle name="제목 1 2 14" xfId="0"/>
    <cellStyle name="제목 1 2 15" xfId="0"/>
    <cellStyle name="제목 1 2 16" xfId="0"/>
    <cellStyle name="제목 1 2 17" xfId="0"/>
    <cellStyle name="제목 1 2 2" xfId="0"/>
    <cellStyle name="제목 1 2 2 10" xfId="0"/>
    <cellStyle name="제목 1 2 2 2" xfId="0"/>
    <cellStyle name="제목 1 2 2 3" xfId="0"/>
    <cellStyle name="제목 1 2 2 4" xfId="0"/>
    <cellStyle name="제목 1 2 2 5" xfId="0"/>
    <cellStyle name="제목 1 2 2 6" xfId="0"/>
    <cellStyle name="제목 1 2 2 7" xfId="0"/>
    <cellStyle name="제목 1 2 2 8" xfId="0"/>
    <cellStyle name="제목 1 2 2 9" xfId="0"/>
    <cellStyle name="제목 1 2 3" xfId="0"/>
    <cellStyle name="제목 1 2 3 10" xfId="0"/>
    <cellStyle name="제목 1 2 3 2" xfId="0"/>
    <cellStyle name="제목 1 2 3 3" xfId="0"/>
    <cellStyle name="제목 1 2 3 4" xfId="0"/>
    <cellStyle name="제목 1 2 3 5" xfId="0"/>
    <cellStyle name="제목 1 2 3 6" xfId="0"/>
    <cellStyle name="제목 1 2 3 7" xfId="0"/>
    <cellStyle name="제목 1 2 3 8" xfId="0"/>
    <cellStyle name="제목 1 2 3 9" xfId="0"/>
    <cellStyle name="제목 1 2 4" xfId="0"/>
    <cellStyle name="제목 1 2 4 10" xfId="0"/>
    <cellStyle name="제목 1 2 4 2" xfId="0"/>
    <cellStyle name="제목 1 2 4 3" xfId="0"/>
    <cellStyle name="제목 1 2 4 4" xfId="0"/>
    <cellStyle name="제목 1 2 4 5" xfId="0"/>
    <cellStyle name="제목 1 2 4 6" xfId="0"/>
    <cellStyle name="제목 1 2 4 7" xfId="0"/>
    <cellStyle name="제목 1 2 4 8" xfId="0"/>
    <cellStyle name="제목 1 2 4 9" xfId="0"/>
    <cellStyle name="제목 1 2 5" xfId="0"/>
    <cellStyle name="제목 1 2 5 10" xfId="0"/>
    <cellStyle name="제목 1 2 5 2" xfId="0"/>
    <cellStyle name="제목 1 2 5 3" xfId="0"/>
    <cellStyle name="제목 1 2 5 4" xfId="0"/>
    <cellStyle name="제목 1 2 5 5" xfId="0"/>
    <cellStyle name="제목 1 2 5 6" xfId="0"/>
    <cellStyle name="제목 1 2 5 7" xfId="0"/>
    <cellStyle name="제목 1 2 5 8" xfId="0"/>
    <cellStyle name="제목 1 2 5 9" xfId="0"/>
    <cellStyle name="제목 1 2 6" xfId="0"/>
    <cellStyle name="제목 1 2 6 10" xfId="0"/>
    <cellStyle name="제목 1 2 6 2" xfId="0"/>
    <cellStyle name="제목 1 2 6 3" xfId="0"/>
    <cellStyle name="제목 1 2 6 4" xfId="0"/>
    <cellStyle name="제목 1 2 6 5" xfId="0"/>
    <cellStyle name="제목 1 2 6 6" xfId="0"/>
    <cellStyle name="제목 1 2 6 7" xfId="0"/>
    <cellStyle name="제목 1 2 6 8" xfId="0"/>
    <cellStyle name="제목 1 2 6 9" xfId="0"/>
    <cellStyle name="제목 1 2 7" xfId="0"/>
    <cellStyle name="제목 1 2 7 10" xfId="0"/>
    <cellStyle name="제목 1 2 7 2" xfId="0"/>
    <cellStyle name="제목 1 2 7 3" xfId="0"/>
    <cellStyle name="제목 1 2 7 4" xfId="0"/>
    <cellStyle name="제목 1 2 7 5" xfId="0"/>
    <cellStyle name="제목 1 2 7 6" xfId="0"/>
    <cellStyle name="제목 1 2 7 7" xfId="0"/>
    <cellStyle name="제목 1 2 7 8" xfId="0"/>
    <cellStyle name="제목 1 2 7 9" xfId="0"/>
    <cellStyle name="제목 1 2 8" xfId="0"/>
    <cellStyle name="제목 1 2 8 2" xfId="0"/>
    <cellStyle name="제목 1 2 9" xfId="0"/>
    <cellStyle name="제목 1 20" xfId="0"/>
    <cellStyle name="제목 1 21" xfId="0"/>
    <cellStyle name="제목 1 22" xfId="0"/>
    <cellStyle name="제목 1 23" xfId="0"/>
    <cellStyle name="제목 1 24" xfId="0"/>
    <cellStyle name="제목 1 25" xfId="0"/>
    <cellStyle name="제목 1 26" xfId="0"/>
    <cellStyle name="제목 1 27" xfId="0"/>
    <cellStyle name="제목 1 2_3300현금및예치금" xfId="0"/>
    <cellStyle name="제목 1 3" xfId="0"/>
    <cellStyle name="제목 1 3 10" xfId="0"/>
    <cellStyle name="제목 1 3 10 2" xfId="0"/>
    <cellStyle name="제목 1 3 11" xfId="0"/>
    <cellStyle name="제목 1 3 11 2" xfId="0"/>
    <cellStyle name="제목 1 3 12" xfId="0"/>
    <cellStyle name="제목 1 3 12 2" xfId="0"/>
    <cellStyle name="제목 1 3 13" xfId="0"/>
    <cellStyle name="제목 1 3 14" xfId="0"/>
    <cellStyle name="제목 1 3 15" xfId="0"/>
    <cellStyle name="제목 1 3 16" xfId="0"/>
    <cellStyle name="제목 1 3 17" xfId="0"/>
    <cellStyle name="제목 1 3 18" xfId="0"/>
    <cellStyle name="제목 1 3 19" xfId="0"/>
    <cellStyle name="제목 1 3 2" xfId="0"/>
    <cellStyle name="제목 1 3 2 2" xfId="0"/>
    <cellStyle name="제목 1 3 2 3" xfId="0"/>
    <cellStyle name="제목 1 3 20" xfId="0"/>
    <cellStyle name="제목 1 3 3" xfId="0"/>
    <cellStyle name="제목 1 3 3 2" xfId="0"/>
    <cellStyle name="제목 1 3 3 3" xfId="0"/>
    <cellStyle name="제목 1 3 4" xfId="0"/>
    <cellStyle name="제목 1 3 4 2" xfId="0"/>
    <cellStyle name="제목 1 3 4 3" xfId="0"/>
    <cellStyle name="제목 1 3 5" xfId="0"/>
    <cellStyle name="제목 1 3 5 2" xfId="0"/>
    <cellStyle name="제목 1 3 5 3" xfId="0"/>
    <cellStyle name="제목 1 3 6" xfId="0"/>
    <cellStyle name="제목 1 3 6 2" xfId="0"/>
    <cellStyle name="제목 1 3 6 3" xfId="0"/>
    <cellStyle name="제목 1 3 7" xfId="0"/>
    <cellStyle name="제목 1 3 7 2" xfId="0"/>
    <cellStyle name="제목 1 3 7 3" xfId="0"/>
    <cellStyle name="제목 1 3 8" xfId="0"/>
    <cellStyle name="제목 1 3 8 2" xfId="0"/>
    <cellStyle name="제목 1 3 8 3" xfId="0"/>
    <cellStyle name="제목 1 3 9" xfId="0"/>
    <cellStyle name="제목 1 3 9 2" xfId="0"/>
    <cellStyle name="제목 1 3_운용자산별 손익분석" xfId="0"/>
    <cellStyle name="제목 1 4" xfId="0"/>
    <cellStyle name="제목 1 4 10" xfId="0"/>
    <cellStyle name="제목 1 4 11" xfId="0"/>
    <cellStyle name="제목 1 4 12" xfId="0"/>
    <cellStyle name="제목 1 4 13" xfId="0"/>
    <cellStyle name="제목 1 4 14" xfId="0"/>
    <cellStyle name="제목 1 4 15" xfId="0"/>
    <cellStyle name="제목 1 4 16" xfId="0"/>
    <cellStyle name="제목 1 4 17" xfId="0"/>
    <cellStyle name="제목 1 4 18" xfId="0"/>
    <cellStyle name="제목 1 4 19" xfId="0"/>
    <cellStyle name="제목 1 4 2" xfId="0"/>
    <cellStyle name="제목 1 4 2 10" xfId="0"/>
    <cellStyle name="제목 1 4 2 11" xfId="0"/>
    <cellStyle name="제목 1 4 2 2" xfId="0"/>
    <cellStyle name="제목 1 4 2 3" xfId="0"/>
    <cellStyle name="제목 1 4 2 4" xfId="0"/>
    <cellStyle name="제목 1 4 2 5" xfId="0"/>
    <cellStyle name="제목 1 4 2 6" xfId="0"/>
    <cellStyle name="제목 1 4 2 7" xfId="0"/>
    <cellStyle name="제목 1 4 2 8" xfId="0"/>
    <cellStyle name="제목 1 4 2 9" xfId="0"/>
    <cellStyle name="제목 1 4 20" xfId="0"/>
    <cellStyle name="제목 1 4 21" xfId="0"/>
    <cellStyle name="제목 1 4 22" xfId="0"/>
    <cellStyle name="제목 1 4 23" xfId="0"/>
    <cellStyle name="제목 1 4 24" xfId="0"/>
    <cellStyle name="제목 1 4 3" xfId="0"/>
    <cellStyle name="제목 1 4 4" xfId="0"/>
    <cellStyle name="제목 1 4 5" xfId="0"/>
    <cellStyle name="제목 1 4 6" xfId="0"/>
    <cellStyle name="제목 1 4 7" xfId="0"/>
    <cellStyle name="제목 1 4 8" xfId="0"/>
    <cellStyle name="제목 1 4 9" xfId="0"/>
    <cellStyle name="제목 1 4_운용자산별 손익분석" xfId="0"/>
    <cellStyle name="제목 1 5" xfId="0"/>
    <cellStyle name="제목 1 5 10" xfId="0"/>
    <cellStyle name="제목 1 5 11" xfId="0"/>
    <cellStyle name="제목 1 5 12" xfId="0"/>
    <cellStyle name="제목 1 5 13" xfId="0"/>
    <cellStyle name="제목 1 5 14" xfId="0"/>
    <cellStyle name="제목 1 5 15" xfId="0"/>
    <cellStyle name="제목 1 5 16" xfId="0"/>
    <cellStyle name="제목 1 5 17" xfId="0"/>
    <cellStyle name="제목 1 5 18" xfId="0"/>
    <cellStyle name="제목 1 5 19" xfId="0"/>
    <cellStyle name="제목 1 5 2" xfId="0"/>
    <cellStyle name="제목 1 5 20" xfId="0"/>
    <cellStyle name="제목 1 5 21" xfId="0"/>
    <cellStyle name="제목 1 5 22" xfId="0"/>
    <cellStyle name="제목 1 5 23" xfId="0"/>
    <cellStyle name="제목 1 5 24" xfId="0"/>
    <cellStyle name="제목 1 5 25" xfId="0"/>
    <cellStyle name="제목 1 5 26" xfId="0"/>
    <cellStyle name="제목 1 5 27" xfId="0"/>
    <cellStyle name="제목 1 5 28" xfId="0"/>
    <cellStyle name="제목 1 5 29" xfId="0"/>
    <cellStyle name="제목 1 5 3" xfId="0"/>
    <cellStyle name="제목 1 5 30" xfId="0"/>
    <cellStyle name="제목 1 5 31" xfId="0"/>
    <cellStyle name="제목 1 5 32" xfId="0"/>
    <cellStyle name="제목 1 5 33" xfId="0"/>
    <cellStyle name="제목 1 5 34" xfId="0"/>
    <cellStyle name="제목 1 5 35" xfId="0"/>
    <cellStyle name="제목 1 5 4" xfId="0"/>
    <cellStyle name="제목 1 5 5" xfId="0"/>
    <cellStyle name="제목 1 5 6" xfId="0"/>
    <cellStyle name="제목 1 5 7" xfId="0"/>
    <cellStyle name="제목 1 5 8" xfId="0"/>
    <cellStyle name="제목 1 5 9" xfId="0"/>
    <cellStyle name="제목 1 6" xfId="0"/>
    <cellStyle name="제목 1 6 10" xfId="0"/>
    <cellStyle name="제목 1 6 11" xfId="0"/>
    <cellStyle name="제목 1 6 12" xfId="0"/>
    <cellStyle name="제목 1 6 13" xfId="0"/>
    <cellStyle name="제목 1 6 14" xfId="0"/>
    <cellStyle name="제목 1 6 15" xfId="0"/>
    <cellStyle name="제목 1 6 16" xfId="0"/>
    <cellStyle name="제목 1 6 17" xfId="0"/>
    <cellStyle name="제목 1 6 18" xfId="0"/>
    <cellStyle name="제목 1 6 19" xfId="0"/>
    <cellStyle name="제목 1 6 2" xfId="0"/>
    <cellStyle name="제목 1 6 20" xfId="0"/>
    <cellStyle name="제목 1 6 21" xfId="0"/>
    <cellStyle name="제목 1 6 22" xfId="0"/>
    <cellStyle name="제목 1 6 23" xfId="0"/>
    <cellStyle name="제목 1 6 24" xfId="0"/>
    <cellStyle name="제목 1 6 25" xfId="0"/>
    <cellStyle name="제목 1 6 26" xfId="0"/>
    <cellStyle name="제목 1 6 27" xfId="0"/>
    <cellStyle name="제목 1 6 28" xfId="0"/>
    <cellStyle name="제목 1 6 29" xfId="0"/>
    <cellStyle name="제목 1 6 3" xfId="0"/>
    <cellStyle name="제목 1 6 30" xfId="0"/>
    <cellStyle name="제목 1 6 31" xfId="0"/>
    <cellStyle name="제목 1 6 4" xfId="0"/>
    <cellStyle name="제목 1 6 5" xfId="0"/>
    <cellStyle name="제목 1 6 6" xfId="0"/>
    <cellStyle name="제목 1 6 7" xfId="0"/>
    <cellStyle name="제목 1 6 8" xfId="0"/>
    <cellStyle name="제목 1 6 9" xfId="0"/>
    <cellStyle name="제목 1 7" xfId="0"/>
    <cellStyle name="제목 1 7 10" xfId="0"/>
    <cellStyle name="제목 1 7 11" xfId="0"/>
    <cellStyle name="제목 1 7 12" xfId="0"/>
    <cellStyle name="제목 1 7 13" xfId="0"/>
    <cellStyle name="제목 1 7 14" xfId="0"/>
    <cellStyle name="제목 1 7 15" xfId="0"/>
    <cellStyle name="제목 1 7 2" xfId="0"/>
    <cellStyle name="제목 1 7 2 2" xfId="0"/>
    <cellStyle name="제목 1 7 3" xfId="0"/>
    <cellStyle name="제목 1 7 3 2" xfId="0"/>
    <cellStyle name="제목 1 7 4" xfId="0"/>
    <cellStyle name="제목 1 7 4 2" xfId="0"/>
    <cellStyle name="제목 1 7 5" xfId="0"/>
    <cellStyle name="제목 1 7 5 2" xfId="0"/>
    <cellStyle name="제목 1 7 6" xfId="0"/>
    <cellStyle name="제목 1 7 6 2" xfId="0"/>
    <cellStyle name="제목 1 7 7" xfId="0"/>
    <cellStyle name="제목 1 7 8" xfId="0"/>
    <cellStyle name="제목 1 7 9" xfId="0"/>
    <cellStyle name="제목 1 8" xfId="0"/>
    <cellStyle name="제목 1 8 10" xfId="0"/>
    <cellStyle name="제목 1 8 11" xfId="0"/>
    <cellStyle name="제목 1 8 12" xfId="0"/>
    <cellStyle name="제목 1 8 13" xfId="0"/>
    <cellStyle name="제목 1 8 14" xfId="0"/>
    <cellStyle name="제목 1 8 2" xfId="0"/>
    <cellStyle name="제목 1 8 2 2" xfId="0"/>
    <cellStyle name="제목 1 8 3" xfId="0"/>
    <cellStyle name="제목 1 8 3 2" xfId="0"/>
    <cellStyle name="제목 1 8 4" xfId="0"/>
    <cellStyle name="제목 1 8 4 2" xfId="0"/>
    <cellStyle name="제목 1 8 5" xfId="0"/>
    <cellStyle name="제목 1 8 5 2" xfId="0"/>
    <cellStyle name="제목 1 8 6" xfId="0"/>
    <cellStyle name="제목 1 8 6 2" xfId="0"/>
    <cellStyle name="제목 1 8 7" xfId="0"/>
    <cellStyle name="제목 1 8 8" xfId="0"/>
    <cellStyle name="제목 1 8 9" xfId="0"/>
    <cellStyle name="제목 1 9" xfId="0"/>
    <cellStyle name="제목 1 9 10" xfId="0"/>
    <cellStyle name="제목 1 9 11" xfId="0"/>
    <cellStyle name="제목 1 9 12" xfId="0"/>
    <cellStyle name="제목 1 9 13" xfId="0"/>
    <cellStyle name="제목 1 9 14" xfId="0"/>
    <cellStyle name="제목 1 9 2" xfId="0"/>
    <cellStyle name="제목 1 9 2 2" xfId="0"/>
    <cellStyle name="제목 1 9 3" xfId="0"/>
    <cellStyle name="제목 1 9 3 2" xfId="0"/>
    <cellStyle name="제목 1 9 4" xfId="0"/>
    <cellStyle name="제목 1 9 4 2" xfId="0"/>
    <cellStyle name="제목 1 9 5" xfId="0"/>
    <cellStyle name="제목 1 9 5 2" xfId="0"/>
    <cellStyle name="제목 1 9 6" xfId="0"/>
    <cellStyle name="제목 1 9 6 2" xfId="0"/>
    <cellStyle name="제목 1 9 7" xfId="0"/>
    <cellStyle name="제목 1 9 8" xfId="0"/>
    <cellStyle name="제목 1 9 9" xfId="0"/>
    <cellStyle name="제목 10" xfId="0"/>
    <cellStyle name="제목 10 10" xfId="0"/>
    <cellStyle name="제목 10 11" xfId="0"/>
    <cellStyle name="제목 10 12" xfId="0"/>
    <cellStyle name="제목 10 13" xfId="0"/>
    <cellStyle name="제목 10 14" xfId="0"/>
    <cellStyle name="제목 10 15" xfId="0"/>
    <cellStyle name="제목 10 2" xfId="0"/>
    <cellStyle name="제목 10 2 2" xfId="0"/>
    <cellStyle name="제목 10 3" xfId="0"/>
    <cellStyle name="제목 10 3 2" xfId="0"/>
    <cellStyle name="제목 10 4" xfId="0"/>
    <cellStyle name="제목 10 4 2" xfId="0"/>
    <cellStyle name="제목 10 5" xfId="0"/>
    <cellStyle name="제목 10 5 2" xfId="0"/>
    <cellStyle name="제목 10 6" xfId="0"/>
    <cellStyle name="제목 10 6 2" xfId="0"/>
    <cellStyle name="제목 10 7" xfId="0"/>
    <cellStyle name="제목 10 8" xfId="0"/>
    <cellStyle name="제목 10 9" xfId="0"/>
    <cellStyle name="제목 11" xfId="0"/>
    <cellStyle name="제목 11 10" xfId="0"/>
    <cellStyle name="제목 11 11" xfId="0"/>
    <cellStyle name="제목 11 12" xfId="0"/>
    <cellStyle name="제목 11 13" xfId="0"/>
    <cellStyle name="제목 11 14" xfId="0"/>
    <cellStyle name="제목 11 2" xfId="0"/>
    <cellStyle name="제목 11 2 2" xfId="0"/>
    <cellStyle name="제목 11 3" xfId="0"/>
    <cellStyle name="제목 11 3 2" xfId="0"/>
    <cellStyle name="제목 11 4" xfId="0"/>
    <cellStyle name="제목 11 4 2" xfId="0"/>
    <cellStyle name="제목 11 5" xfId="0"/>
    <cellStyle name="제목 11 5 2" xfId="0"/>
    <cellStyle name="제목 11 6" xfId="0"/>
    <cellStyle name="제목 11 6 2" xfId="0"/>
    <cellStyle name="제목 11 7" xfId="0"/>
    <cellStyle name="제목 11 8" xfId="0"/>
    <cellStyle name="제목 11 9" xfId="0"/>
    <cellStyle name="제목 12" xfId="0"/>
    <cellStyle name="제목 12 10" xfId="0"/>
    <cellStyle name="제목 12 11" xfId="0"/>
    <cellStyle name="제목 12 12" xfId="0"/>
    <cellStyle name="제목 12 13" xfId="0"/>
    <cellStyle name="제목 12 14" xfId="0"/>
    <cellStyle name="제목 12 2" xfId="0"/>
    <cellStyle name="제목 12 2 2" xfId="0"/>
    <cellStyle name="제목 12 3" xfId="0"/>
    <cellStyle name="제목 12 3 2" xfId="0"/>
    <cellStyle name="제목 12 4" xfId="0"/>
    <cellStyle name="제목 12 4 2" xfId="0"/>
    <cellStyle name="제목 12 5" xfId="0"/>
    <cellStyle name="제목 12 5 2" xfId="0"/>
    <cellStyle name="제목 12 6" xfId="0"/>
    <cellStyle name="제목 12 6 2" xfId="0"/>
    <cellStyle name="제목 12 7" xfId="0"/>
    <cellStyle name="제목 12 8" xfId="0"/>
    <cellStyle name="제목 12 9" xfId="0"/>
    <cellStyle name="제목 13" xfId="0"/>
    <cellStyle name="제목 13 2" xfId="0"/>
    <cellStyle name="제목 13 2 2" xfId="0"/>
    <cellStyle name="제목 13 3" xfId="0"/>
    <cellStyle name="제목 13 3 2" xfId="0"/>
    <cellStyle name="제목 13 4" xfId="0"/>
    <cellStyle name="제목 13 4 2" xfId="0"/>
    <cellStyle name="제목 13 5" xfId="0"/>
    <cellStyle name="제목 13 6" xfId="0"/>
    <cellStyle name="제목 13 7" xfId="0"/>
    <cellStyle name="제목 14" xfId="0"/>
    <cellStyle name="제목 14 2" xfId="0"/>
    <cellStyle name="제목 14 2 2" xfId="0"/>
    <cellStyle name="제목 14 3" xfId="0"/>
    <cellStyle name="제목 14 3 2" xfId="0"/>
    <cellStyle name="제목 14 4" xfId="0"/>
    <cellStyle name="제목 14 4 2" xfId="0"/>
    <cellStyle name="제목 14 5" xfId="0"/>
    <cellStyle name="제목 14 6" xfId="0"/>
    <cellStyle name="제목 14 7" xfId="0"/>
    <cellStyle name="제목 15" xfId="0"/>
    <cellStyle name="제목 15 2" xfId="0"/>
    <cellStyle name="제목 15 3" xfId="0"/>
    <cellStyle name="제목 15 4" xfId="0"/>
    <cellStyle name="제목 15 5" xfId="0"/>
    <cellStyle name="제목 16" xfId="0"/>
    <cellStyle name="제목 16 2" xfId="0"/>
    <cellStyle name="제목 16 3" xfId="0"/>
    <cellStyle name="제목 16 4" xfId="0"/>
    <cellStyle name="제목 16 5" xfId="0"/>
    <cellStyle name="제목 17" xfId="0"/>
    <cellStyle name="제목 17 2" xfId="0"/>
    <cellStyle name="제목 17 3" xfId="0"/>
    <cellStyle name="제목 18" xfId="0"/>
    <cellStyle name="제목 18 2" xfId="0"/>
    <cellStyle name="제목 19" xfId="0"/>
    <cellStyle name="제목 19 2" xfId="0"/>
    <cellStyle name="제목 2 10" xfId="0"/>
    <cellStyle name="제목 2 10 2" xfId="0"/>
    <cellStyle name="제목 2 10 2 2" xfId="0"/>
    <cellStyle name="제목 2 10 3" xfId="0"/>
    <cellStyle name="제목 2 10 3 2" xfId="0"/>
    <cellStyle name="제목 2 10 4" xfId="0"/>
    <cellStyle name="제목 2 10 4 2" xfId="0"/>
    <cellStyle name="제목 2 10 5" xfId="0"/>
    <cellStyle name="제목 2 10 6" xfId="0"/>
    <cellStyle name="제목 2 10 7" xfId="0"/>
    <cellStyle name="제목 2 11" xfId="0"/>
    <cellStyle name="제목 2 11 2" xfId="0"/>
    <cellStyle name="제목 2 11 2 2" xfId="0"/>
    <cellStyle name="제목 2 11 3" xfId="0"/>
    <cellStyle name="제목 2 11 3 2" xfId="0"/>
    <cellStyle name="제목 2 11 4" xfId="0"/>
    <cellStyle name="제목 2 11 4 2" xfId="0"/>
    <cellStyle name="제목 2 11 5" xfId="0"/>
    <cellStyle name="제목 2 11 6" xfId="0"/>
    <cellStyle name="제목 2 11 7" xfId="0"/>
    <cellStyle name="제목 2 12" xfId="0"/>
    <cellStyle name="제목 2 12 2" xfId="0"/>
    <cellStyle name="제목 2 12 3" xfId="0"/>
    <cellStyle name="제목 2 12 4" xfId="0"/>
    <cellStyle name="제목 2 12 5" xfId="0"/>
    <cellStyle name="제목 2 13" xfId="0"/>
    <cellStyle name="제목 2 13 2" xfId="0"/>
    <cellStyle name="제목 2 13 3" xfId="0"/>
    <cellStyle name="제목 2 13 4" xfId="0"/>
    <cellStyle name="제목 2 13 5" xfId="0"/>
    <cellStyle name="제목 2 14" xfId="0"/>
    <cellStyle name="제목 2 14 2" xfId="0"/>
    <cellStyle name="제목 2 14 3" xfId="0"/>
    <cellStyle name="제목 2 15" xfId="0"/>
    <cellStyle name="제목 2 15 2" xfId="0"/>
    <cellStyle name="제목 2 16" xfId="0"/>
    <cellStyle name="제목 2 16 2" xfId="0"/>
    <cellStyle name="제목 2 17" xfId="0"/>
    <cellStyle name="제목 2 17 2" xfId="0"/>
    <cellStyle name="제목 2 18" xfId="0"/>
    <cellStyle name="제목 2 19" xfId="0"/>
    <cellStyle name="제목 2 2" xfId="0"/>
    <cellStyle name="제목 2 2 10" xfId="0"/>
    <cellStyle name="제목 2 2 11" xfId="0"/>
    <cellStyle name="제목 2 2 12" xfId="0"/>
    <cellStyle name="제목 2 2 13" xfId="0"/>
    <cellStyle name="제목 2 2 14" xfId="0"/>
    <cellStyle name="제목 2 2 15" xfId="0"/>
    <cellStyle name="제목 2 2 16" xfId="0"/>
    <cellStyle name="제목 2 2 17" xfId="0"/>
    <cellStyle name="제목 2 2 2" xfId="0"/>
    <cellStyle name="제목 2 2 2 10" xfId="0"/>
    <cellStyle name="제목 2 2 2 2" xfId="0"/>
    <cellStyle name="제목 2 2 2 3" xfId="0"/>
    <cellStyle name="제목 2 2 2 4" xfId="0"/>
    <cellStyle name="제목 2 2 2 5" xfId="0"/>
    <cellStyle name="제목 2 2 2 6" xfId="0"/>
    <cellStyle name="제목 2 2 2 7" xfId="0"/>
    <cellStyle name="제목 2 2 2 8" xfId="0"/>
    <cellStyle name="제목 2 2 2 9" xfId="0"/>
    <cellStyle name="제목 2 2 3" xfId="0"/>
    <cellStyle name="제목 2 2 3 10" xfId="0"/>
    <cellStyle name="제목 2 2 3 2" xfId="0"/>
    <cellStyle name="제목 2 2 3 3" xfId="0"/>
    <cellStyle name="제목 2 2 3 4" xfId="0"/>
    <cellStyle name="제목 2 2 3 5" xfId="0"/>
    <cellStyle name="제목 2 2 3 6" xfId="0"/>
    <cellStyle name="제목 2 2 3 7" xfId="0"/>
    <cellStyle name="제목 2 2 3 8" xfId="0"/>
    <cellStyle name="제목 2 2 3 9" xfId="0"/>
    <cellStyle name="제목 2 2 4" xfId="0"/>
    <cellStyle name="제목 2 2 4 10" xfId="0"/>
    <cellStyle name="제목 2 2 4 2" xfId="0"/>
    <cellStyle name="제목 2 2 4 3" xfId="0"/>
    <cellStyle name="제목 2 2 4 4" xfId="0"/>
    <cellStyle name="제목 2 2 4 5" xfId="0"/>
    <cellStyle name="제목 2 2 4 6" xfId="0"/>
    <cellStyle name="제목 2 2 4 7" xfId="0"/>
    <cellStyle name="제목 2 2 4 8" xfId="0"/>
    <cellStyle name="제목 2 2 4 9" xfId="0"/>
    <cellStyle name="제목 2 2 5" xfId="0"/>
    <cellStyle name="제목 2 2 5 10" xfId="0"/>
    <cellStyle name="제목 2 2 5 2" xfId="0"/>
    <cellStyle name="제목 2 2 5 3" xfId="0"/>
    <cellStyle name="제목 2 2 5 4" xfId="0"/>
    <cellStyle name="제목 2 2 5 5" xfId="0"/>
    <cellStyle name="제목 2 2 5 6" xfId="0"/>
    <cellStyle name="제목 2 2 5 7" xfId="0"/>
    <cellStyle name="제목 2 2 5 8" xfId="0"/>
    <cellStyle name="제목 2 2 5 9" xfId="0"/>
    <cellStyle name="제목 2 2 6" xfId="0"/>
    <cellStyle name="제목 2 2 6 10" xfId="0"/>
    <cellStyle name="제목 2 2 6 2" xfId="0"/>
    <cellStyle name="제목 2 2 6 3" xfId="0"/>
    <cellStyle name="제목 2 2 6 4" xfId="0"/>
    <cellStyle name="제목 2 2 6 5" xfId="0"/>
    <cellStyle name="제목 2 2 6 6" xfId="0"/>
    <cellStyle name="제목 2 2 6 7" xfId="0"/>
    <cellStyle name="제목 2 2 6 8" xfId="0"/>
    <cellStyle name="제목 2 2 6 9" xfId="0"/>
    <cellStyle name="제목 2 2 7" xfId="0"/>
    <cellStyle name="제목 2 2 7 10" xfId="0"/>
    <cellStyle name="제목 2 2 7 2" xfId="0"/>
    <cellStyle name="제목 2 2 7 3" xfId="0"/>
    <cellStyle name="제목 2 2 7 4" xfId="0"/>
    <cellStyle name="제목 2 2 7 5" xfId="0"/>
    <cellStyle name="제목 2 2 7 6" xfId="0"/>
    <cellStyle name="제목 2 2 7 7" xfId="0"/>
    <cellStyle name="제목 2 2 7 8" xfId="0"/>
    <cellStyle name="제목 2 2 7 9" xfId="0"/>
    <cellStyle name="제목 2 2 8" xfId="0"/>
    <cellStyle name="제목 2 2 8 2" xfId="0"/>
    <cellStyle name="제목 2 2 9" xfId="0"/>
    <cellStyle name="제목 2 20" xfId="0"/>
    <cellStyle name="제목 2 21" xfId="0"/>
    <cellStyle name="제목 2 22" xfId="0"/>
    <cellStyle name="제목 2 23" xfId="0"/>
    <cellStyle name="제목 2 24" xfId="0"/>
    <cellStyle name="제목 2 25" xfId="0"/>
    <cellStyle name="제목 2 26" xfId="0"/>
    <cellStyle name="제목 2 27" xfId="0"/>
    <cellStyle name="제목 2 2_3300현금및예치금" xfId="0"/>
    <cellStyle name="제목 2 3" xfId="0"/>
    <cellStyle name="제목 2 3 10" xfId="0"/>
    <cellStyle name="제목 2 3 10 2" xfId="0"/>
    <cellStyle name="제목 2 3 11" xfId="0"/>
    <cellStyle name="제목 2 3 11 2" xfId="0"/>
    <cellStyle name="제목 2 3 12" xfId="0"/>
    <cellStyle name="제목 2 3 12 2" xfId="0"/>
    <cellStyle name="제목 2 3 13" xfId="0"/>
    <cellStyle name="제목 2 3 14" xfId="0"/>
    <cellStyle name="제목 2 3 15" xfId="0"/>
    <cellStyle name="제목 2 3 16" xfId="0"/>
    <cellStyle name="제목 2 3 17" xfId="0"/>
    <cellStyle name="제목 2 3 18" xfId="0"/>
    <cellStyle name="제목 2 3 19" xfId="0"/>
    <cellStyle name="제목 2 3 2" xfId="0"/>
    <cellStyle name="제목 2 3 2 2" xfId="0"/>
    <cellStyle name="제목 2 3 2 3" xfId="0"/>
    <cellStyle name="제목 2 3 20" xfId="0"/>
    <cellStyle name="제목 2 3 3" xfId="0"/>
    <cellStyle name="제목 2 3 3 2" xfId="0"/>
    <cellStyle name="제목 2 3 3 3" xfId="0"/>
    <cellStyle name="제목 2 3 4" xfId="0"/>
    <cellStyle name="제목 2 3 4 2" xfId="0"/>
    <cellStyle name="제목 2 3 4 3" xfId="0"/>
    <cellStyle name="제목 2 3 5" xfId="0"/>
    <cellStyle name="제목 2 3 5 2" xfId="0"/>
    <cellStyle name="제목 2 3 5 3" xfId="0"/>
    <cellStyle name="제목 2 3 6" xfId="0"/>
    <cellStyle name="제목 2 3 6 2" xfId="0"/>
    <cellStyle name="제목 2 3 6 3" xfId="0"/>
    <cellStyle name="제목 2 3 7" xfId="0"/>
    <cellStyle name="제목 2 3 7 2" xfId="0"/>
    <cellStyle name="제목 2 3 7 3" xfId="0"/>
    <cellStyle name="제목 2 3 8" xfId="0"/>
    <cellStyle name="제목 2 3 8 2" xfId="0"/>
    <cellStyle name="제목 2 3 8 3" xfId="0"/>
    <cellStyle name="제목 2 3 9" xfId="0"/>
    <cellStyle name="제목 2 3 9 2" xfId="0"/>
    <cellStyle name="제목 2 3_운용자산별 손익분석" xfId="0"/>
    <cellStyle name="제목 2 4" xfId="0"/>
    <cellStyle name="제목 2 4 10" xfId="0"/>
    <cellStyle name="제목 2 4 11" xfId="0"/>
    <cellStyle name="제목 2 4 12" xfId="0"/>
    <cellStyle name="제목 2 4 13" xfId="0"/>
    <cellStyle name="제목 2 4 14" xfId="0"/>
    <cellStyle name="제목 2 4 15" xfId="0"/>
    <cellStyle name="제목 2 4 16" xfId="0"/>
    <cellStyle name="제목 2 4 17" xfId="0"/>
    <cellStyle name="제목 2 4 18" xfId="0"/>
    <cellStyle name="제목 2 4 19" xfId="0"/>
    <cellStyle name="제목 2 4 2" xfId="0"/>
    <cellStyle name="제목 2 4 2 10" xfId="0"/>
    <cellStyle name="제목 2 4 2 11" xfId="0"/>
    <cellStyle name="제목 2 4 2 2" xfId="0"/>
    <cellStyle name="제목 2 4 2 3" xfId="0"/>
    <cellStyle name="제목 2 4 2 4" xfId="0"/>
    <cellStyle name="제목 2 4 2 5" xfId="0"/>
    <cellStyle name="제목 2 4 2 6" xfId="0"/>
    <cellStyle name="제목 2 4 2 7" xfId="0"/>
    <cellStyle name="제목 2 4 2 8" xfId="0"/>
    <cellStyle name="제목 2 4 2 9" xfId="0"/>
    <cellStyle name="제목 2 4 20" xfId="0"/>
    <cellStyle name="제목 2 4 21" xfId="0"/>
    <cellStyle name="제목 2 4 22" xfId="0"/>
    <cellStyle name="제목 2 4 23" xfId="0"/>
    <cellStyle name="제목 2 4 24" xfId="0"/>
    <cellStyle name="제목 2 4 3" xfId="0"/>
    <cellStyle name="제목 2 4 4" xfId="0"/>
    <cellStyle name="제목 2 4 5" xfId="0"/>
    <cellStyle name="제목 2 4 6" xfId="0"/>
    <cellStyle name="제목 2 4 7" xfId="0"/>
    <cellStyle name="제목 2 4 8" xfId="0"/>
    <cellStyle name="제목 2 4 9" xfId="0"/>
    <cellStyle name="제목 2 4_운용자산별 손익분석" xfId="0"/>
    <cellStyle name="제목 2 5" xfId="0"/>
    <cellStyle name="제목 2 5 10" xfId="0"/>
    <cellStyle name="제목 2 5 11" xfId="0"/>
    <cellStyle name="제목 2 5 12" xfId="0"/>
    <cellStyle name="제목 2 5 13" xfId="0"/>
    <cellStyle name="제목 2 5 14" xfId="0"/>
    <cellStyle name="제목 2 5 15" xfId="0"/>
    <cellStyle name="제목 2 5 16" xfId="0"/>
    <cellStyle name="제목 2 5 17" xfId="0"/>
    <cellStyle name="제목 2 5 18" xfId="0"/>
    <cellStyle name="제목 2 5 19" xfId="0"/>
    <cellStyle name="제목 2 5 2" xfId="0"/>
    <cellStyle name="제목 2 5 20" xfId="0"/>
    <cellStyle name="제목 2 5 21" xfId="0"/>
    <cellStyle name="제목 2 5 22" xfId="0"/>
    <cellStyle name="제목 2 5 23" xfId="0"/>
    <cellStyle name="제목 2 5 24" xfId="0"/>
    <cellStyle name="제목 2 5 25" xfId="0"/>
    <cellStyle name="제목 2 5 26" xfId="0"/>
    <cellStyle name="제목 2 5 27" xfId="0"/>
    <cellStyle name="제목 2 5 28" xfId="0"/>
    <cellStyle name="제목 2 5 29" xfId="0"/>
    <cellStyle name="제목 2 5 3" xfId="0"/>
    <cellStyle name="제목 2 5 30" xfId="0"/>
    <cellStyle name="제목 2 5 31" xfId="0"/>
    <cellStyle name="제목 2 5 32" xfId="0"/>
    <cellStyle name="제목 2 5 33" xfId="0"/>
    <cellStyle name="제목 2 5 34" xfId="0"/>
    <cellStyle name="제목 2 5 35" xfId="0"/>
    <cellStyle name="제목 2 5 4" xfId="0"/>
    <cellStyle name="제목 2 5 5" xfId="0"/>
    <cellStyle name="제목 2 5 6" xfId="0"/>
    <cellStyle name="제목 2 5 7" xfId="0"/>
    <cellStyle name="제목 2 5 8" xfId="0"/>
    <cellStyle name="제목 2 5 9" xfId="0"/>
    <cellStyle name="제목 2 6" xfId="0"/>
    <cellStyle name="제목 2 6 10" xfId="0"/>
    <cellStyle name="제목 2 6 11" xfId="0"/>
    <cellStyle name="제목 2 6 12" xfId="0"/>
    <cellStyle name="제목 2 6 13" xfId="0"/>
    <cellStyle name="제목 2 6 14" xfId="0"/>
    <cellStyle name="제목 2 6 15" xfId="0"/>
    <cellStyle name="제목 2 6 16" xfId="0"/>
    <cellStyle name="제목 2 6 17" xfId="0"/>
    <cellStyle name="제목 2 6 18" xfId="0"/>
    <cellStyle name="제목 2 6 19" xfId="0"/>
    <cellStyle name="제목 2 6 2" xfId="0"/>
    <cellStyle name="제목 2 6 20" xfId="0"/>
    <cellStyle name="제목 2 6 21" xfId="0"/>
    <cellStyle name="제목 2 6 22" xfId="0"/>
    <cellStyle name="제목 2 6 23" xfId="0"/>
    <cellStyle name="제목 2 6 24" xfId="0"/>
    <cellStyle name="제목 2 6 25" xfId="0"/>
    <cellStyle name="제목 2 6 26" xfId="0"/>
    <cellStyle name="제목 2 6 27" xfId="0"/>
    <cellStyle name="제목 2 6 28" xfId="0"/>
    <cellStyle name="제목 2 6 29" xfId="0"/>
    <cellStyle name="제목 2 6 3" xfId="0"/>
    <cellStyle name="제목 2 6 30" xfId="0"/>
    <cellStyle name="제목 2 6 31" xfId="0"/>
    <cellStyle name="제목 2 6 4" xfId="0"/>
    <cellStyle name="제목 2 6 5" xfId="0"/>
    <cellStyle name="제목 2 6 6" xfId="0"/>
    <cellStyle name="제목 2 6 7" xfId="0"/>
    <cellStyle name="제목 2 6 8" xfId="0"/>
    <cellStyle name="제목 2 6 9" xfId="0"/>
    <cellStyle name="제목 2 7" xfId="0"/>
    <cellStyle name="제목 2 7 10" xfId="0"/>
    <cellStyle name="제목 2 7 11" xfId="0"/>
    <cellStyle name="제목 2 7 12" xfId="0"/>
    <cellStyle name="제목 2 7 13" xfId="0"/>
    <cellStyle name="제목 2 7 14" xfId="0"/>
    <cellStyle name="제목 2 7 15" xfId="0"/>
    <cellStyle name="제목 2 7 2" xfId="0"/>
    <cellStyle name="제목 2 7 2 2" xfId="0"/>
    <cellStyle name="제목 2 7 3" xfId="0"/>
    <cellStyle name="제목 2 7 3 2" xfId="0"/>
    <cellStyle name="제목 2 7 4" xfId="0"/>
    <cellStyle name="제목 2 7 4 2" xfId="0"/>
    <cellStyle name="제목 2 7 5" xfId="0"/>
    <cellStyle name="제목 2 7 5 2" xfId="0"/>
    <cellStyle name="제목 2 7 6" xfId="0"/>
    <cellStyle name="제목 2 7 6 2" xfId="0"/>
    <cellStyle name="제목 2 7 7" xfId="0"/>
    <cellStyle name="제목 2 7 8" xfId="0"/>
    <cellStyle name="제목 2 7 9" xfId="0"/>
    <cellStyle name="제목 2 8" xfId="0"/>
    <cellStyle name="제목 2 8 10" xfId="0"/>
    <cellStyle name="제목 2 8 11" xfId="0"/>
    <cellStyle name="제목 2 8 12" xfId="0"/>
    <cellStyle name="제목 2 8 13" xfId="0"/>
    <cellStyle name="제목 2 8 14" xfId="0"/>
    <cellStyle name="제목 2 8 2" xfId="0"/>
    <cellStyle name="제목 2 8 2 2" xfId="0"/>
    <cellStyle name="제목 2 8 3" xfId="0"/>
    <cellStyle name="제목 2 8 3 2" xfId="0"/>
    <cellStyle name="제목 2 8 4" xfId="0"/>
    <cellStyle name="제목 2 8 4 2" xfId="0"/>
    <cellStyle name="제목 2 8 5" xfId="0"/>
    <cellStyle name="제목 2 8 5 2" xfId="0"/>
    <cellStyle name="제목 2 8 6" xfId="0"/>
    <cellStyle name="제목 2 8 6 2" xfId="0"/>
    <cellStyle name="제목 2 8 7" xfId="0"/>
    <cellStyle name="제목 2 8 8" xfId="0"/>
    <cellStyle name="제목 2 8 9" xfId="0"/>
    <cellStyle name="제목 2 9" xfId="0"/>
    <cellStyle name="제목 2 9 10" xfId="0"/>
    <cellStyle name="제목 2 9 11" xfId="0"/>
    <cellStyle name="제목 2 9 12" xfId="0"/>
    <cellStyle name="제목 2 9 13" xfId="0"/>
    <cellStyle name="제목 2 9 14" xfId="0"/>
    <cellStyle name="제목 2 9 2" xfId="0"/>
    <cellStyle name="제목 2 9 2 2" xfId="0"/>
    <cellStyle name="제목 2 9 3" xfId="0"/>
    <cellStyle name="제목 2 9 3 2" xfId="0"/>
    <cellStyle name="제목 2 9 4" xfId="0"/>
    <cellStyle name="제목 2 9 4 2" xfId="0"/>
    <cellStyle name="제목 2 9 5" xfId="0"/>
    <cellStyle name="제목 2 9 5 2" xfId="0"/>
    <cellStyle name="제목 2 9 6" xfId="0"/>
    <cellStyle name="제목 2 9 6 2" xfId="0"/>
    <cellStyle name="제목 2 9 7" xfId="0"/>
    <cellStyle name="제목 2 9 8" xfId="0"/>
    <cellStyle name="제목 2 9 9" xfId="0"/>
    <cellStyle name="제목 20" xfId="0"/>
    <cellStyle name="제목 20 2" xfId="0"/>
    <cellStyle name="제목 21" xfId="0"/>
    <cellStyle name="제목 21 2" xfId="0"/>
    <cellStyle name="제목 22" xfId="0"/>
    <cellStyle name="제목 22 2" xfId="0"/>
    <cellStyle name="제목 23" xfId="0"/>
    <cellStyle name="제목 23 2" xfId="0"/>
    <cellStyle name="제목 24" xfId="0"/>
    <cellStyle name="제목 24 2" xfId="0"/>
    <cellStyle name="제목 25" xfId="0"/>
    <cellStyle name="제목 25 2" xfId="0"/>
    <cellStyle name="제목 26" xfId="0"/>
    <cellStyle name="제목 27" xfId="0"/>
    <cellStyle name="제목 28" xfId="0"/>
    <cellStyle name="제목 29" xfId="0"/>
    <cellStyle name="제목 3 10" xfId="0"/>
    <cellStyle name="제목 3 10 2" xfId="0"/>
    <cellStyle name="제목 3 10 2 2" xfId="0"/>
    <cellStyle name="제목 3 10 3" xfId="0"/>
    <cellStyle name="제목 3 10 3 2" xfId="0"/>
    <cellStyle name="제목 3 10 4" xfId="0"/>
    <cellStyle name="제목 3 10 4 2" xfId="0"/>
    <cellStyle name="제목 3 10 5" xfId="0"/>
    <cellStyle name="제목 3 10 6" xfId="0"/>
    <cellStyle name="제목 3 10 7" xfId="0"/>
    <cellStyle name="제목 3 11" xfId="0"/>
    <cellStyle name="제목 3 11 2" xfId="0"/>
    <cellStyle name="제목 3 11 2 2" xfId="0"/>
    <cellStyle name="제목 3 11 3" xfId="0"/>
    <cellStyle name="제목 3 11 3 2" xfId="0"/>
    <cellStyle name="제목 3 11 4" xfId="0"/>
    <cellStyle name="제목 3 11 4 2" xfId="0"/>
    <cellStyle name="제목 3 11 5" xfId="0"/>
    <cellStyle name="제목 3 11 6" xfId="0"/>
    <cellStyle name="제목 3 11 7" xfId="0"/>
    <cellStyle name="제목 3 12" xfId="0"/>
    <cellStyle name="제목 3 12 2" xfId="0"/>
    <cellStyle name="제목 3 12 3" xfId="0"/>
    <cellStyle name="제목 3 12 4" xfId="0"/>
    <cellStyle name="제목 3 12 5" xfId="0"/>
    <cellStyle name="제목 3 13" xfId="0"/>
    <cellStyle name="제목 3 13 2" xfId="0"/>
    <cellStyle name="제목 3 13 3" xfId="0"/>
    <cellStyle name="제목 3 13 4" xfId="0"/>
    <cellStyle name="제목 3 13 5" xfId="0"/>
    <cellStyle name="제목 3 14" xfId="0"/>
    <cellStyle name="제목 3 14 2" xfId="0"/>
    <cellStyle name="제목 3 14 3" xfId="0"/>
    <cellStyle name="제목 3 15" xfId="0"/>
    <cellStyle name="제목 3 15 2" xfId="0"/>
    <cellStyle name="제목 3 16" xfId="0"/>
    <cellStyle name="제목 3 16 2" xfId="0"/>
    <cellStyle name="제목 3 17" xfId="0"/>
    <cellStyle name="제목 3 17 2" xfId="0"/>
    <cellStyle name="제목 3 18" xfId="0"/>
    <cellStyle name="제목 3 19" xfId="0"/>
    <cellStyle name="제목 3 2" xfId="0"/>
    <cellStyle name="제목 3 2 10" xfId="0"/>
    <cellStyle name="제목 3 2 11" xfId="0"/>
    <cellStyle name="제목 3 2 12" xfId="0"/>
    <cellStyle name="제목 3 2 13" xfId="0"/>
    <cellStyle name="제목 3 2 14" xfId="0"/>
    <cellStyle name="제목 3 2 15" xfId="0"/>
    <cellStyle name="제목 3 2 16" xfId="0"/>
    <cellStyle name="제목 3 2 17" xfId="0"/>
    <cellStyle name="제목 3 2 2" xfId="0"/>
    <cellStyle name="제목 3 2 2 10" xfId="0"/>
    <cellStyle name="제목 3 2 2 2" xfId="0"/>
    <cellStyle name="제목 3 2 2 3" xfId="0"/>
    <cellStyle name="제목 3 2 2 4" xfId="0"/>
    <cellStyle name="제목 3 2 2 5" xfId="0"/>
    <cellStyle name="제목 3 2 2 6" xfId="0"/>
    <cellStyle name="제목 3 2 2 7" xfId="0"/>
    <cellStyle name="제목 3 2 2 8" xfId="0"/>
    <cellStyle name="제목 3 2 2 9" xfId="0"/>
    <cellStyle name="제목 3 2 3" xfId="0"/>
    <cellStyle name="제목 3 2 3 10" xfId="0"/>
    <cellStyle name="제목 3 2 3 2" xfId="0"/>
    <cellStyle name="제목 3 2 3 3" xfId="0"/>
    <cellStyle name="제목 3 2 3 4" xfId="0"/>
    <cellStyle name="제목 3 2 3 5" xfId="0"/>
    <cellStyle name="제목 3 2 3 6" xfId="0"/>
    <cellStyle name="제목 3 2 3 7" xfId="0"/>
    <cellStyle name="제목 3 2 3 8" xfId="0"/>
    <cellStyle name="제목 3 2 3 9" xfId="0"/>
    <cellStyle name="제목 3 2 4" xfId="0"/>
    <cellStyle name="제목 3 2 4 10" xfId="0"/>
    <cellStyle name="제목 3 2 4 2" xfId="0"/>
    <cellStyle name="제목 3 2 4 3" xfId="0"/>
    <cellStyle name="제목 3 2 4 4" xfId="0"/>
    <cellStyle name="제목 3 2 4 5" xfId="0"/>
    <cellStyle name="제목 3 2 4 6" xfId="0"/>
    <cellStyle name="제목 3 2 4 7" xfId="0"/>
    <cellStyle name="제목 3 2 4 8" xfId="0"/>
    <cellStyle name="제목 3 2 4 9" xfId="0"/>
    <cellStyle name="제목 3 2 5" xfId="0"/>
    <cellStyle name="제목 3 2 5 10" xfId="0"/>
    <cellStyle name="제목 3 2 5 2" xfId="0"/>
    <cellStyle name="제목 3 2 5 3" xfId="0"/>
    <cellStyle name="제목 3 2 5 4" xfId="0"/>
    <cellStyle name="제목 3 2 5 5" xfId="0"/>
    <cellStyle name="제목 3 2 5 6" xfId="0"/>
    <cellStyle name="제목 3 2 5 7" xfId="0"/>
    <cellStyle name="제목 3 2 5 8" xfId="0"/>
    <cellStyle name="제목 3 2 5 9" xfId="0"/>
    <cellStyle name="제목 3 2 6" xfId="0"/>
    <cellStyle name="제목 3 2 6 10" xfId="0"/>
    <cellStyle name="제목 3 2 6 2" xfId="0"/>
    <cellStyle name="제목 3 2 6 3" xfId="0"/>
    <cellStyle name="제목 3 2 6 4" xfId="0"/>
    <cellStyle name="제목 3 2 6 5" xfId="0"/>
    <cellStyle name="제목 3 2 6 6" xfId="0"/>
    <cellStyle name="제목 3 2 6 7" xfId="0"/>
    <cellStyle name="제목 3 2 6 8" xfId="0"/>
    <cellStyle name="제목 3 2 6 9" xfId="0"/>
    <cellStyle name="제목 3 2 7" xfId="0"/>
    <cellStyle name="제목 3 2 7 10" xfId="0"/>
    <cellStyle name="제목 3 2 7 2" xfId="0"/>
    <cellStyle name="제목 3 2 7 3" xfId="0"/>
    <cellStyle name="제목 3 2 7 4" xfId="0"/>
    <cellStyle name="제목 3 2 7 5" xfId="0"/>
    <cellStyle name="제목 3 2 7 6" xfId="0"/>
    <cellStyle name="제목 3 2 7 7" xfId="0"/>
    <cellStyle name="제목 3 2 7 8" xfId="0"/>
    <cellStyle name="제목 3 2 7 9" xfId="0"/>
    <cellStyle name="제목 3 2 8" xfId="0"/>
    <cellStyle name="제목 3 2 8 2" xfId="0"/>
    <cellStyle name="제목 3 2 9" xfId="0"/>
    <cellStyle name="제목 3 20" xfId="0"/>
    <cellStyle name="제목 3 21" xfId="0"/>
    <cellStyle name="제목 3 22" xfId="0"/>
    <cellStyle name="제목 3 23" xfId="0"/>
    <cellStyle name="제목 3 24" xfId="0"/>
    <cellStyle name="제목 3 25" xfId="0"/>
    <cellStyle name="제목 3 26" xfId="0"/>
    <cellStyle name="제목 3 27" xfId="0"/>
    <cellStyle name="제목 3 2_3300현금및예치금" xfId="0"/>
    <cellStyle name="제목 3 3" xfId="0"/>
    <cellStyle name="제목 3 3 10" xfId="0"/>
    <cellStyle name="제목 3 3 10 2" xfId="0"/>
    <cellStyle name="제목 3 3 11" xfId="0"/>
    <cellStyle name="제목 3 3 11 2" xfId="0"/>
    <cellStyle name="제목 3 3 12" xfId="0"/>
    <cellStyle name="제목 3 3 12 2" xfId="0"/>
    <cellStyle name="제목 3 3 13" xfId="0"/>
    <cellStyle name="제목 3 3 14" xfId="0"/>
    <cellStyle name="제목 3 3 15" xfId="0"/>
    <cellStyle name="제목 3 3 16" xfId="0"/>
    <cellStyle name="제목 3 3 17" xfId="0"/>
    <cellStyle name="제목 3 3 18" xfId="0"/>
    <cellStyle name="제목 3 3 19" xfId="0"/>
    <cellStyle name="제목 3 3 2" xfId="0"/>
    <cellStyle name="제목 3 3 2 2" xfId="0"/>
    <cellStyle name="제목 3 3 2 3" xfId="0"/>
    <cellStyle name="제목 3 3 20" xfId="0"/>
    <cellStyle name="제목 3 3 3" xfId="0"/>
    <cellStyle name="제목 3 3 3 2" xfId="0"/>
    <cellStyle name="제목 3 3 3 3" xfId="0"/>
    <cellStyle name="제목 3 3 4" xfId="0"/>
    <cellStyle name="제목 3 3 4 2" xfId="0"/>
    <cellStyle name="제목 3 3 4 3" xfId="0"/>
    <cellStyle name="제목 3 3 5" xfId="0"/>
    <cellStyle name="제목 3 3 5 2" xfId="0"/>
    <cellStyle name="제목 3 3 5 3" xfId="0"/>
    <cellStyle name="제목 3 3 6" xfId="0"/>
    <cellStyle name="제목 3 3 6 2" xfId="0"/>
    <cellStyle name="제목 3 3 6 3" xfId="0"/>
    <cellStyle name="제목 3 3 7" xfId="0"/>
    <cellStyle name="제목 3 3 7 2" xfId="0"/>
    <cellStyle name="제목 3 3 7 3" xfId="0"/>
    <cellStyle name="제목 3 3 8" xfId="0"/>
    <cellStyle name="제목 3 3 8 2" xfId="0"/>
    <cellStyle name="제목 3 3 8 3" xfId="0"/>
    <cellStyle name="제목 3 3 9" xfId="0"/>
    <cellStyle name="제목 3 3 9 2" xfId="0"/>
    <cellStyle name="제목 3 3_운용자산별 손익분석" xfId="0"/>
    <cellStyle name="제목 3 4" xfId="0"/>
    <cellStyle name="제목 3 4 10" xfId="0"/>
    <cellStyle name="제목 3 4 11" xfId="0"/>
    <cellStyle name="제목 3 4 12" xfId="0"/>
    <cellStyle name="제목 3 4 13" xfId="0"/>
    <cellStyle name="제목 3 4 14" xfId="0"/>
    <cellStyle name="제목 3 4 15" xfId="0"/>
    <cellStyle name="제목 3 4 16" xfId="0"/>
    <cellStyle name="제목 3 4 17" xfId="0"/>
    <cellStyle name="제목 3 4 18" xfId="0"/>
    <cellStyle name="제목 3 4 19" xfId="0"/>
    <cellStyle name="제목 3 4 2" xfId="0"/>
    <cellStyle name="제목 3 4 2 10" xfId="0"/>
    <cellStyle name="제목 3 4 2 11" xfId="0"/>
    <cellStyle name="제목 3 4 2 2" xfId="0"/>
    <cellStyle name="제목 3 4 2 3" xfId="0"/>
    <cellStyle name="제목 3 4 2 4" xfId="0"/>
    <cellStyle name="제목 3 4 2 5" xfId="0"/>
    <cellStyle name="제목 3 4 2 6" xfId="0"/>
    <cellStyle name="제목 3 4 2 7" xfId="0"/>
    <cellStyle name="제목 3 4 2 8" xfId="0"/>
    <cellStyle name="제목 3 4 2 9" xfId="0"/>
    <cellStyle name="제목 3 4 20" xfId="0"/>
    <cellStyle name="제목 3 4 21" xfId="0"/>
    <cellStyle name="제목 3 4 22" xfId="0"/>
    <cellStyle name="제목 3 4 23" xfId="0"/>
    <cellStyle name="제목 3 4 24" xfId="0"/>
    <cellStyle name="제목 3 4 3" xfId="0"/>
    <cellStyle name="제목 3 4 4" xfId="0"/>
    <cellStyle name="제목 3 4 5" xfId="0"/>
    <cellStyle name="제목 3 4 6" xfId="0"/>
    <cellStyle name="제목 3 4 7" xfId="0"/>
    <cellStyle name="제목 3 4 8" xfId="0"/>
    <cellStyle name="제목 3 4 9" xfId="0"/>
    <cellStyle name="제목 3 4_운용자산별 손익분석" xfId="0"/>
    <cellStyle name="제목 3 5" xfId="0"/>
    <cellStyle name="제목 3 5 10" xfId="0"/>
    <cellStyle name="제목 3 5 11" xfId="0"/>
    <cellStyle name="제목 3 5 12" xfId="0"/>
    <cellStyle name="제목 3 5 13" xfId="0"/>
    <cellStyle name="제목 3 5 14" xfId="0"/>
    <cellStyle name="제목 3 5 15" xfId="0"/>
    <cellStyle name="제목 3 5 16" xfId="0"/>
    <cellStyle name="제목 3 5 17" xfId="0"/>
    <cellStyle name="제목 3 5 18" xfId="0"/>
    <cellStyle name="제목 3 5 19" xfId="0"/>
    <cellStyle name="제목 3 5 2" xfId="0"/>
    <cellStyle name="제목 3 5 20" xfId="0"/>
    <cellStyle name="제목 3 5 21" xfId="0"/>
    <cellStyle name="제목 3 5 22" xfId="0"/>
    <cellStyle name="제목 3 5 23" xfId="0"/>
    <cellStyle name="제목 3 5 24" xfId="0"/>
    <cellStyle name="제목 3 5 25" xfId="0"/>
    <cellStyle name="제목 3 5 26" xfId="0"/>
    <cellStyle name="제목 3 5 27" xfId="0"/>
    <cellStyle name="제목 3 5 28" xfId="0"/>
    <cellStyle name="제목 3 5 29" xfId="0"/>
    <cellStyle name="제목 3 5 3" xfId="0"/>
    <cellStyle name="제목 3 5 30" xfId="0"/>
    <cellStyle name="제목 3 5 31" xfId="0"/>
    <cellStyle name="제목 3 5 32" xfId="0"/>
    <cellStyle name="제목 3 5 33" xfId="0"/>
    <cellStyle name="제목 3 5 34" xfId="0"/>
    <cellStyle name="제목 3 5 35" xfId="0"/>
    <cellStyle name="제목 3 5 4" xfId="0"/>
    <cellStyle name="제목 3 5 5" xfId="0"/>
    <cellStyle name="제목 3 5 6" xfId="0"/>
    <cellStyle name="제목 3 5 7" xfId="0"/>
    <cellStyle name="제목 3 5 8" xfId="0"/>
    <cellStyle name="제목 3 5 9" xfId="0"/>
    <cellStyle name="제목 3 6" xfId="0"/>
    <cellStyle name="제목 3 6 10" xfId="0"/>
    <cellStyle name="제목 3 6 11" xfId="0"/>
    <cellStyle name="제목 3 6 12" xfId="0"/>
    <cellStyle name="제목 3 6 13" xfId="0"/>
    <cellStyle name="제목 3 6 14" xfId="0"/>
    <cellStyle name="제목 3 6 15" xfId="0"/>
    <cellStyle name="제목 3 6 16" xfId="0"/>
    <cellStyle name="제목 3 6 17" xfId="0"/>
    <cellStyle name="제목 3 6 18" xfId="0"/>
    <cellStyle name="제목 3 6 19" xfId="0"/>
    <cellStyle name="제목 3 6 2" xfId="0"/>
    <cellStyle name="제목 3 6 20" xfId="0"/>
    <cellStyle name="제목 3 6 21" xfId="0"/>
    <cellStyle name="제목 3 6 22" xfId="0"/>
    <cellStyle name="제목 3 6 23" xfId="0"/>
    <cellStyle name="제목 3 6 24" xfId="0"/>
    <cellStyle name="제목 3 6 25" xfId="0"/>
    <cellStyle name="제목 3 6 26" xfId="0"/>
    <cellStyle name="제목 3 6 27" xfId="0"/>
    <cellStyle name="제목 3 6 28" xfId="0"/>
    <cellStyle name="제목 3 6 29" xfId="0"/>
    <cellStyle name="제목 3 6 3" xfId="0"/>
    <cellStyle name="제목 3 6 30" xfId="0"/>
    <cellStyle name="제목 3 6 31" xfId="0"/>
    <cellStyle name="제목 3 6 4" xfId="0"/>
    <cellStyle name="제목 3 6 5" xfId="0"/>
    <cellStyle name="제목 3 6 6" xfId="0"/>
    <cellStyle name="제목 3 6 7" xfId="0"/>
    <cellStyle name="제목 3 6 8" xfId="0"/>
    <cellStyle name="제목 3 6 9" xfId="0"/>
    <cellStyle name="제목 3 7" xfId="0"/>
    <cellStyle name="제목 3 7 10" xfId="0"/>
    <cellStyle name="제목 3 7 11" xfId="0"/>
    <cellStyle name="제목 3 7 12" xfId="0"/>
    <cellStyle name="제목 3 7 13" xfId="0"/>
    <cellStyle name="제목 3 7 14" xfId="0"/>
    <cellStyle name="제목 3 7 15" xfId="0"/>
    <cellStyle name="제목 3 7 2" xfId="0"/>
    <cellStyle name="제목 3 7 2 2" xfId="0"/>
    <cellStyle name="제목 3 7 3" xfId="0"/>
    <cellStyle name="제목 3 7 3 2" xfId="0"/>
    <cellStyle name="제목 3 7 4" xfId="0"/>
    <cellStyle name="제목 3 7 4 2" xfId="0"/>
    <cellStyle name="제목 3 7 5" xfId="0"/>
    <cellStyle name="제목 3 7 5 2" xfId="0"/>
    <cellStyle name="제목 3 7 6" xfId="0"/>
    <cellStyle name="제목 3 7 6 2" xfId="0"/>
    <cellStyle name="제목 3 7 7" xfId="0"/>
    <cellStyle name="제목 3 7 8" xfId="0"/>
    <cellStyle name="제목 3 7 9" xfId="0"/>
    <cellStyle name="제목 3 8" xfId="0"/>
    <cellStyle name="제목 3 8 10" xfId="0"/>
    <cellStyle name="제목 3 8 11" xfId="0"/>
    <cellStyle name="제목 3 8 12" xfId="0"/>
    <cellStyle name="제목 3 8 13" xfId="0"/>
    <cellStyle name="제목 3 8 14" xfId="0"/>
    <cellStyle name="제목 3 8 2" xfId="0"/>
    <cellStyle name="제목 3 8 2 2" xfId="0"/>
    <cellStyle name="제목 3 8 3" xfId="0"/>
    <cellStyle name="제목 3 8 3 2" xfId="0"/>
    <cellStyle name="제목 3 8 4" xfId="0"/>
    <cellStyle name="제목 3 8 4 2" xfId="0"/>
    <cellStyle name="제목 3 8 5" xfId="0"/>
    <cellStyle name="제목 3 8 5 2" xfId="0"/>
    <cellStyle name="제목 3 8 6" xfId="0"/>
    <cellStyle name="제목 3 8 6 2" xfId="0"/>
    <cellStyle name="제목 3 8 7" xfId="0"/>
    <cellStyle name="제목 3 8 8" xfId="0"/>
    <cellStyle name="제목 3 8 9" xfId="0"/>
    <cellStyle name="제목 3 9" xfId="0"/>
    <cellStyle name="제목 3 9 10" xfId="0"/>
    <cellStyle name="제목 3 9 11" xfId="0"/>
    <cellStyle name="제목 3 9 12" xfId="0"/>
    <cellStyle name="제목 3 9 13" xfId="0"/>
    <cellStyle name="제목 3 9 14" xfId="0"/>
    <cellStyle name="제목 3 9 2" xfId="0"/>
    <cellStyle name="제목 3 9 2 2" xfId="0"/>
    <cellStyle name="제목 3 9 3" xfId="0"/>
    <cellStyle name="제목 3 9 3 2" xfId="0"/>
    <cellStyle name="제목 3 9 4" xfId="0"/>
    <cellStyle name="제목 3 9 4 2" xfId="0"/>
    <cellStyle name="제목 3 9 5" xfId="0"/>
    <cellStyle name="제목 3 9 5 2" xfId="0"/>
    <cellStyle name="제목 3 9 6" xfId="0"/>
    <cellStyle name="제목 3 9 6 2" xfId="0"/>
    <cellStyle name="제목 3 9 7" xfId="0"/>
    <cellStyle name="제목 3 9 8" xfId="0"/>
    <cellStyle name="제목 3 9 9" xfId="0"/>
    <cellStyle name="제목 30" xfId="0"/>
    <cellStyle name="제목 4 10" xfId="0"/>
    <cellStyle name="제목 4 10 2" xfId="0"/>
    <cellStyle name="제목 4 10 2 2" xfId="0"/>
    <cellStyle name="제목 4 10 3" xfId="0"/>
    <cellStyle name="제목 4 10 3 2" xfId="0"/>
    <cellStyle name="제목 4 10 4" xfId="0"/>
    <cellStyle name="제목 4 10 4 2" xfId="0"/>
    <cellStyle name="제목 4 10 5" xfId="0"/>
    <cellStyle name="제목 4 10 6" xfId="0"/>
    <cellStyle name="제목 4 10 7" xfId="0"/>
    <cellStyle name="제목 4 11" xfId="0"/>
    <cellStyle name="제목 4 11 2" xfId="0"/>
    <cellStyle name="제목 4 11 2 2" xfId="0"/>
    <cellStyle name="제목 4 11 3" xfId="0"/>
    <cellStyle name="제목 4 11 3 2" xfId="0"/>
    <cellStyle name="제목 4 11 4" xfId="0"/>
    <cellStyle name="제목 4 11 4 2" xfId="0"/>
    <cellStyle name="제목 4 11 5" xfId="0"/>
    <cellStyle name="제목 4 11 6" xfId="0"/>
    <cellStyle name="제목 4 11 7" xfId="0"/>
    <cellStyle name="제목 4 12" xfId="0"/>
    <cellStyle name="제목 4 12 2" xfId="0"/>
    <cellStyle name="제목 4 12 3" xfId="0"/>
    <cellStyle name="제목 4 12 4" xfId="0"/>
    <cellStyle name="제목 4 12 5" xfId="0"/>
    <cellStyle name="제목 4 13" xfId="0"/>
    <cellStyle name="제목 4 13 2" xfId="0"/>
    <cellStyle name="제목 4 13 3" xfId="0"/>
    <cellStyle name="제목 4 13 4" xfId="0"/>
    <cellStyle name="제목 4 13 5" xfId="0"/>
    <cellStyle name="제목 4 14" xfId="0"/>
    <cellStyle name="제목 4 14 2" xfId="0"/>
    <cellStyle name="제목 4 14 3" xfId="0"/>
    <cellStyle name="제목 4 15" xfId="0"/>
    <cellStyle name="제목 4 15 2" xfId="0"/>
    <cellStyle name="제목 4 16" xfId="0"/>
    <cellStyle name="제목 4 16 2" xfId="0"/>
    <cellStyle name="제목 4 17" xfId="0"/>
    <cellStyle name="제목 4 17 2" xfId="0"/>
    <cellStyle name="제목 4 18" xfId="0"/>
    <cellStyle name="제목 4 19" xfId="0"/>
    <cellStyle name="제목 4 2" xfId="0"/>
    <cellStyle name="제목 4 2 10" xfId="0"/>
    <cellStyle name="제목 4 2 11" xfId="0"/>
    <cellStyle name="제목 4 2 12" xfId="0"/>
    <cellStyle name="제목 4 2 13" xfId="0"/>
    <cellStyle name="제목 4 2 14" xfId="0"/>
    <cellStyle name="제목 4 2 15" xfId="0"/>
    <cellStyle name="제목 4 2 16" xfId="0"/>
    <cellStyle name="제목 4 2 17" xfId="0"/>
    <cellStyle name="제목 4 2 2" xfId="0"/>
    <cellStyle name="제목 4 2 2 10" xfId="0"/>
    <cellStyle name="제목 4 2 2 2" xfId="0"/>
    <cellStyle name="제목 4 2 2 3" xfId="0"/>
    <cellStyle name="제목 4 2 2 4" xfId="0"/>
    <cellStyle name="제목 4 2 2 5" xfId="0"/>
    <cellStyle name="제목 4 2 2 6" xfId="0"/>
    <cellStyle name="제목 4 2 2 7" xfId="0"/>
    <cellStyle name="제목 4 2 2 8" xfId="0"/>
    <cellStyle name="제목 4 2 2 9" xfId="0"/>
    <cellStyle name="제목 4 2 3" xfId="0"/>
    <cellStyle name="제목 4 2 3 10" xfId="0"/>
    <cellStyle name="제목 4 2 3 2" xfId="0"/>
    <cellStyle name="제목 4 2 3 3" xfId="0"/>
    <cellStyle name="제목 4 2 3 4" xfId="0"/>
    <cellStyle name="제목 4 2 3 5" xfId="0"/>
    <cellStyle name="제목 4 2 3 6" xfId="0"/>
    <cellStyle name="제목 4 2 3 7" xfId="0"/>
    <cellStyle name="제목 4 2 3 8" xfId="0"/>
    <cellStyle name="제목 4 2 3 9" xfId="0"/>
    <cellStyle name="제목 4 2 4" xfId="0"/>
    <cellStyle name="제목 4 2 4 10" xfId="0"/>
    <cellStyle name="제목 4 2 4 2" xfId="0"/>
    <cellStyle name="제목 4 2 4 3" xfId="0"/>
    <cellStyle name="제목 4 2 4 4" xfId="0"/>
    <cellStyle name="제목 4 2 4 5" xfId="0"/>
    <cellStyle name="제목 4 2 4 6" xfId="0"/>
    <cellStyle name="제목 4 2 4 7" xfId="0"/>
    <cellStyle name="제목 4 2 4 8" xfId="0"/>
    <cellStyle name="제목 4 2 4 9" xfId="0"/>
    <cellStyle name="제목 4 2 5" xfId="0"/>
    <cellStyle name="제목 4 2 5 10" xfId="0"/>
    <cellStyle name="제목 4 2 5 2" xfId="0"/>
    <cellStyle name="제목 4 2 5 3" xfId="0"/>
    <cellStyle name="제목 4 2 5 4" xfId="0"/>
    <cellStyle name="제목 4 2 5 5" xfId="0"/>
    <cellStyle name="제목 4 2 5 6" xfId="0"/>
    <cellStyle name="제목 4 2 5 7" xfId="0"/>
    <cellStyle name="제목 4 2 5 8" xfId="0"/>
    <cellStyle name="제목 4 2 5 9" xfId="0"/>
    <cellStyle name="제목 4 2 6" xfId="0"/>
    <cellStyle name="제목 4 2 6 10" xfId="0"/>
    <cellStyle name="제목 4 2 6 2" xfId="0"/>
    <cellStyle name="제목 4 2 6 3" xfId="0"/>
    <cellStyle name="제목 4 2 6 4" xfId="0"/>
    <cellStyle name="제목 4 2 6 5" xfId="0"/>
    <cellStyle name="제목 4 2 6 6" xfId="0"/>
    <cellStyle name="제목 4 2 6 7" xfId="0"/>
    <cellStyle name="제목 4 2 6 8" xfId="0"/>
    <cellStyle name="제목 4 2 6 9" xfId="0"/>
    <cellStyle name="제목 4 2 7" xfId="0"/>
    <cellStyle name="제목 4 2 7 10" xfId="0"/>
    <cellStyle name="제목 4 2 7 2" xfId="0"/>
    <cellStyle name="제목 4 2 7 3" xfId="0"/>
    <cellStyle name="제목 4 2 7 4" xfId="0"/>
    <cellStyle name="제목 4 2 7 5" xfId="0"/>
    <cellStyle name="제목 4 2 7 6" xfId="0"/>
    <cellStyle name="제목 4 2 7 7" xfId="0"/>
    <cellStyle name="제목 4 2 7 8" xfId="0"/>
    <cellStyle name="제목 4 2 7 9" xfId="0"/>
    <cellStyle name="제목 4 2 8" xfId="0"/>
    <cellStyle name="제목 4 2 8 2" xfId="0"/>
    <cellStyle name="제목 4 2 9" xfId="0"/>
    <cellStyle name="제목 4 20" xfId="0"/>
    <cellStyle name="제목 4 21" xfId="0"/>
    <cellStyle name="제목 4 22" xfId="0"/>
    <cellStyle name="제목 4 23" xfId="0"/>
    <cellStyle name="제목 4 24" xfId="0"/>
    <cellStyle name="제목 4 25" xfId="0"/>
    <cellStyle name="제목 4 26" xfId="0"/>
    <cellStyle name="제목 4 27" xfId="0"/>
    <cellStyle name="제목 4 2_3300현금및예치금" xfId="0"/>
    <cellStyle name="제목 4 3" xfId="0"/>
    <cellStyle name="제목 4 3 10" xfId="0"/>
    <cellStyle name="제목 4 3 10 2" xfId="0"/>
    <cellStyle name="제목 4 3 11" xfId="0"/>
    <cellStyle name="제목 4 3 11 2" xfId="0"/>
    <cellStyle name="제목 4 3 12" xfId="0"/>
    <cellStyle name="제목 4 3 12 2" xfId="0"/>
    <cellStyle name="제목 4 3 13" xfId="0"/>
    <cellStyle name="제목 4 3 14" xfId="0"/>
    <cellStyle name="제목 4 3 15" xfId="0"/>
    <cellStyle name="제목 4 3 16" xfId="0"/>
    <cellStyle name="제목 4 3 17" xfId="0"/>
    <cellStyle name="제목 4 3 18" xfId="0"/>
    <cellStyle name="제목 4 3 19" xfId="0"/>
    <cellStyle name="제목 4 3 2" xfId="0"/>
    <cellStyle name="제목 4 3 2 2" xfId="0"/>
    <cellStyle name="제목 4 3 2 3" xfId="0"/>
    <cellStyle name="제목 4 3 20" xfId="0"/>
    <cellStyle name="제목 4 3 3" xfId="0"/>
    <cellStyle name="제목 4 3 3 2" xfId="0"/>
    <cellStyle name="제목 4 3 3 3" xfId="0"/>
    <cellStyle name="제목 4 3 4" xfId="0"/>
    <cellStyle name="제목 4 3 4 2" xfId="0"/>
    <cellStyle name="제목 4 3 4 3" xfId="0"/>
    <cellStyle name="제목 4 3 5" xfId="0"/>
    <cellStyle name="제목 4 3 5 2" xfId="0"/>
    <cellStyle name="제목 4 3 5 3" xfId="0"/>
    <cellStyle name="제목 4 3 6" xfId="0"/>
    <cellStyle name="제목 4 3 6 2" xfId="0"/>
    <cellStyle name="제목 4 3 6 3" xfId="0"/>
    <cellStyle name="제목 4 3 7" xfId="0"/>
    <cellStyle name="제목 4 3 7 2" xfId="0"/>
    <cellStyle name="제목 4 3 7 3" xfId="0"/>
    <cellStyle name="제목 4 3 8" xfId="0"/>
    <cellStyle name="제목 4 3 8 2" xfId="0"/>
    <cellStyle name="제목 4 3 8 3" xfId="0"/>
    <cellStyle name="제목 4 3 9" xfId="0"/>
    <cellStyle name="제목 4 3 9 2" xfId="0"/>
    <cellStyle name="제목 4 3_운용자산별 손익분석" xfId="0"/>
    <cellStyle name="제목 4 4" xfId="0"/>
    <cellStyle name="제목 4 4 10" xfId="0"/>
    <cellStyle name="제목 4 4 11" xfId="0"/>
    <cellStyle name="제목 4 4 12" xfId="0"/>
    <cellStyle name="제목 4 4 13" xfId="0"/>
    <cellStyle name="제목 4 4 14" xfId="0"/>
    <cellStyle name="제목 4 4 15" xfId="0"/>
    <cellStyle name="제목 4 4 16" xfId="0"/>
    <cellStyle name="제목 4 4 17" xfId="0"/>
    <cellStyle name="제목 4 4 18" xfId="0"/>
    <cellStyle name="제목 4 4 19" xfId="0"/>
    <cellStyle name="제목 4 4 2" xfId="0"/>
    <cellStyle name="제목 4 4 2 10" xfId="0"/>
    <cellStyle name="제목 4 4 2 11" xfId="0"/>
    <cellStyle name="제목 4 4 2 2" xfId="0"/>
    <cellStyle name="제목 4 4 2 3" xfId="0"/>
    <cellStyle name="제목 4 4 2 4" xfId="0"/>
    <cellStyle name="제목 4 4 2 5" xfId="0"/>
    <cellStyle name="제목 4 4 2 6" xfId="0"/>
    <cellStyle name="제목 4 4 2 7" xfId="0"/>
    <cellStyle name="제목 4 4 2 8" xfId="0"/>
    <cellStyle name="제목 4 4 2 9" xfId="0"/>
    <cellStyle name="제목 4 4 20" xfId="0"/>
    <cellStyle name="제목 4 4 21" xfId="0"/>
    <cellStyle name="제목 4 4 22" xfId="0"/>
    <cellStyle name="제목 4 4 23" xfId="0"/>
    <cellStyle name="제목 4 4 24" xfId="0"/>
    <cellStyle name="제목 4 4 3" xfId="0"/>
    <cellStyle name="제목 4 4 4" xfId="0"/>
    <cellStyle name="제목 4 4 5" xfId="0"/>
    <cellStyle name="제목 4 4 6" xfId="0"/>
    <cellStyle name="제목 4 4 7" xfId="0"/>
    <cellStyle name="제목 4 4 8" xfId="0"/>
    <cellStyle name="제목 4 4 9" xfId="0"/>
    <cellStyle name="제목 4 4_운용자산별 손익분석" xfId="0"/>
    <cellStyle name="제목 4 5" xfId="0"/>
    <cellStyle name="제목 4 5 10" xfId="0"/>
    <cellStyle name="제목 4 5 11" xfId="0"/>
    <cellStyle name="제목 4 5 12" xfId="0"/>
    <cellStyle name="제목 4 5 13" xfId="0"/>
    <cellStyle name="제목 4 5 14" xfId="0"/>
    <cellStyle name="제목 4 5 15" xfId="0"/>
    <cellStyle name="제목 4 5 16" xfId="0"/>
    <cellStyle name="제목 4 5 17" xfId="0"/>
    <cellStyle name="제목 4 5 18" xfId="0"/>
    <cellStyle name="제목 4 5 19" xfId="0"/>
    <cellStyle name="제목 4 5 2" xfId="0"/>
    <cellStyle name="제목 4 5 20" xfId="0"/>
    <cellStyle name="제목 4 5 21" xfId="0"/>
    <cellStyle name="제목 4 5 22" xfId="0"/>
    <cellStyle name="제목 4 5 23" xfId="0"/>
    <cellStyle name="제목 4 5 24" xfId="0"/>
    <cellStyle name="제목 4 5 25" xfId="0"/>
    <cellStyle name="제목 4 5 26" xfId="0"/>
    <cellStyle name="제목 4 5 27" xfId="0"/>
    <cellStyle name="제목 4 5 28" xfId="0"/>
    <cellStyle name="제목 4 5 29" xfId="0"/>
    <cellStyle name="제목 4 5 3" xfId="0"/>
    <cellStyle name="제목 4 5 30" xfId="0"/>
    <cellStyle name="제목 4 5 31" xfId="0"/>
    <cellStyle name="제목 4 5 32" xfId="0"/>
    <cellStyle name="제목 4 5 33" xfId="0"/>
    <cellStyle name="제목 4 5 34" xfId="0"/>
    <cellStyle name="제목 4 5 35" xfId="0"/>
    <cellStyle name="제목 4 5 4" xfId="0"/>
    <cellStyle name="제목 4 5 5" xfId="0"/>
    <cellStyle name="제목 4 5 6" xfId="0"/>
    <cellStyle name="제목 4 5 7" xfId="0"/>
    <cellStyle name="제목 4 5 8" xfId="0"/>
    <cellStyle name="제목 4 5 9" xfId="0"/>
    <cellStyle name="제목 4 6" xfId="0"/>
    <cellStyle name="제목 4 6 10" xfId="0"/>
    <cellStyle name="제목 4 6 11" xfId="0"/>
    <cellStyle name="제목 4 6 12" xfId="0"/>
    <cellStyle name="제목 4 6 13" xfId="0"/>
    <cellStyle name="제목 4 6 14" xfId="0"/>
    <cellStyle name="제목 4 6 15" xfId="0"/>
    <cellStyle name="제목 4 6 16" xfId="0"/>
    <cellStyle name="제목 4 6 17" xfId="0"/>
    <cellStyle name="제목 4 6 18" xfId="0"/>
    <cellStyle name="제목 4 6 19" xfId="0"/>
    <cellStyle name="제목 4 6 2" xfId="0"/>
    <cellStyle name="제목 4 6 20" xfId="0"/>
    <cellStyle name="제목 4 6 21" xfId="0"/>
    <cellStyle name="제목 4 6 22" xfId="0"/>
    <cellStyle name="제목 4 6 23" xfId="0"/>
    <cellStyle name="제목 4 6 24" xfId="0"/>
    <cellStyle name="제목 4 6 25" xfId="0"/>
    <cellStyle name="제목 4 6 26" xfId="0"/>
    <cellStyle name="제목 4 6 27" xfId="0"/>
    <cellStyle name="제목 4 6 28" xfId="0"/>
    <cellStyle name="제목 4 6 29" xfId="0"/>
    <cellStyle name="제목 4 6 3" xfId="0"/>
    <cellStyle name="제목 4 6 30" xfId="0"/>
    <cellStyle name="제목 4 6 31" xfId="0"/>
    <cellStyle name="제목 4 6 4" xfId="0"/>
    <cellStyle name="제목 4 6 5" xfId="0"/>
    <cellStyle name="제목 4 6 6" xfId="0"/>
    <cellStyle name="제목 4 6 7" xfId="0"/>
    <cellStyle name="제목 4 6 8" xfId="0"/>
    <cellStyle name="제목 4 6 9" xfId="0"/>
    <cellStyle name="제목 4 7" xfId="0"/>
    <cellStyle name="제목 4 7 10" xfId="0"/>
    <cellStyle name="제목 4 7 11" xfId="0"/>
    <cellStyle name="제목 4 7 12" xfId="0"/>
    <cellStyle name="제목 4 7 13" xfId="0"/>
    <cellStyle name="제목 4 7 14" xfId="0"/>
    <cellStyle name="제목 4 7 15" xfId="0"/>
    <cellStyle name="제목 4 7 2" xfId="0"/>
    <cellStyle name="제목 4 7 2 2" xfId="0"/>
    <cellStyle name="제목 4 7 3" xfId="0"/>
    <cellStyle name="제목 4 7 3 2" xfId="0"/>
    <cellStyle name="제목 4 7 4" xfId="0"/>
    <cellStyle name="제목 4 7 4 2" xfId="0"/>
    <cellStyle name="제목 4 7 5" xfId="0"/>
    <cellStyle name="제목 4 7 5 2" xfId="0"/>
    <cellStyle name="제목 4 7 6" xfId="0"/>
    <cellStyle name="제목 4 7 6 2" xfId="0"/>
    <cellStyle name="제목 4 7 7" xfId="0"/>
    <cellStyle name="제목 4 7 8" xfId="0"/>
    <cellStyle name="제목 4 7 9" xfId="0"/>
    <cellStyle name="제목 4 8" xfId="0"/>
    <cellStyle name="제목 4 8 10" xfId="0"/>
    <cellStyle name="제목 4 8 11" xfId="0"/>
    <cellStyle name="제목 4 8 12" xfId="0"/>
    <cellStyle name="제목 4 8 13" xfId="0"/>
    <cellStyle name="제목 4 8 14" xfId="0"/>
    <cellStyle name="제목 4 8 2" xfId="0"/>
    <cellStyle name="제목 4 8 2 2" xfId="0"/>
    <cellStyle name="제목 4 8 3" xfId="0"/>
    <cellStyle name="제목 4 8 3 2" xfId="0"/>
    <cellStyle name="제목 4 8 4" xfId="0"/>
    <cellStyle name="제목 4 8 4 2" xfId="0"/>
    <cellStyle name="제목 4 8 5" xfId="0"/>
    <cellStyle name="제목 4 8 5 2" xfId="0"/>
    <cellStyle name="제목 4 8 6" xfId="0"/>
    <cellStyle name="제목 4 8 6 2" xfId="0"/>
    <cellStyle name="제목 4 8 7" xfId="0"/>
    <cellStyle name="제목 4 8 8" xfId="0"/>
    <cellStyle name="제목 4 8 9" xfId="0"/>
    <cellStyle name="제목 4 9" xfId="0"/>
    <cellStyle name="제목 4 9 10" xfId="0"/>
    <cellStyle name="제목 4 9 11" xfId="0"/>
    <cellStyle name="제목 4 9 12" xfId="0"/>
    <cellStyle name="제목 4 9 13" xfId="0"/>
    <cellStyle name="제목 4 9 14" xfId="0"/>
    <cellStyle name="제목 4 9 2" xfId="0"/>
    <cellStyle name="제목 4 9 2 2" xfId="0"/>
    <cellStyle name="제목 4 9 3" xfId="0"/>
    <cellStyle name="제목 4 9 3 2" xfId="0"/>
    <cellStyle name="제목 4 9 4" xfId="0"/>
    <cellStyle name="제목 4 9 4 2" xfId="0"/>
    <cellStyle name="제목 4 9 5" xfId="0"/>
    <cellStyle name="제목 4 9 5 2" xfId="0"/>
    <cellStyle name="제목 4 9 6" xfId="0"/>
    <cellStyle name="제목 4 9 6 2" xfId="0"/>
    <cellStyle name="제목 4 9 7" xfId="0"/>
    <cellStyle name="제목 4 9 8" xfId="0"/>
    <cellStyle name="제목 4 9 9" xfId="0"/>
    <cellStyle name="제목 5" xfId="0"/>
    <cellStyle name="제목 5 10" xfId="0"/>
    <cellStyle name="제목 5 11" xfId="0"/>
    <cellStyle name="제목 5 12" xfId="0"/>
    <cellStyle name="제목 5 13" xfId="0"/>
    <cellStyle name="제목 5 13 2" xfId="0"/>
    <cellStyle name="제목 5 14" xfId="0"/>
    <cellStyle name="제목 5 15" xfId="0"/>
    <cellStyle name="제목 5 16" xfId="0"/>
    <cellStyle name="제목 5 17" xfId="0"/>
    <cellStyle name="제목 5 18" xfId="0"/>
    <cellStyle name="제목 5 2" xfId="0"/>
    <cellStyle name="제목 5 2 10" xfId="0"/>
    <cellStyle name="제목 5 2 2" xfId="0"/>
    <cellStyle name="제목 5 2 3" xfId="0"/>
    <cellStyle name="제목 5 2 4" xfId="0"/>
    <cellStyle name="제목 5 2 5" xfId="0"/>
    <cellStyle name="제목 5 2 6" xfId="0"/>
    <cellStyle name="제목 5 2 7" xfId="0"/>
    <cellStyle name="제목 5 2 8" xfId="0"/>
    <cellStyle name="제목 5 2 9" xfId="0"/>
    <cellStyle name="제목 5 3" xfId="0"/>
    <cellStyle name="제목 5 3 10" xfId="0"/>
    <cellStyle name="제목 5 3 2" xfId="0"/>
    <cellStyle name="제목 5 3 3" xfId="0"/>
    <cellStyle name="제목 5 3 4" xfId="0"/>
    <cellStyle name="제목 5 3 5" xfId="0"/>
    <cellStyle name="제목 5 3 6" xfId="0"/>
    <cellStyle name="제목 5 3 7" xfId="0"/>
    <cellStyle name="제목 5 3 8" xfId="0"/>
    <cellStyle name="제목 5 3 9" xfId="0"/>
    <cellStyle name="제목 5 4" xfId="0"/>
    <cellStyle name="제목 5 4 10" xfId="0"/>
    <cellStyle name="제목 5 4 2" xfId="0"/>
    <cellStyle name="제목 5 4 3" xfId="0"/>
    <cellStyle name="제목 5 4 4" xfId="0"/>
    <cellStyle name="제목 5 4 5" xfId="0"/>
    <cellStyle name="제목 5 4 6" xfId="0"/>
    <cellStyle name="제목 5 4 7" xfId="0"/>
    <cellStyle name="제목 5 4 8" xfId="0"/>
    <cellStyle name="제목 5 4 9" xfId="0"/>
    <cellStyle name="제목 5 5" xfId="0"/>
    <cellStyle name="제목 5 5 10" xfId="0"/>
    <cellStyle name="제목 5 5 2" xfId="0"/>
    <cellStyle name="제목 5 5 3" xfId="0"/>
    <cellStyle name="제목 5 5 4" xfId="0"/>
    <cellStyle name="제목 5 5 5" xfId="0"/>
    <cellStyle name="제목 5 5 6" xfId="0"/>
    <cellStyle name="제목 5 5 7" xfId="0"/>
    <cellStyle name="제목 5 5 8" xfId="0"/>
    <cellStyle name="제목 5 5 9" xfId="0"/>
    <cellStyle name="제목 5 6" xfId="0"/>
    <cellStyle name="제목 5 6 10" xfId="0"/>
    <cellStyle name="제목 5 6 2" xfId="0"/>
    <cellStyle name="제목 5 6 3" xfId="0"/>
    <cellStyle name="제목 5 6 4" xfId="0"/>
    <cellStyle name="제목 5 6 5" xfId="0"/>
    <cellStyle name="제목 5 6 6" xfId="0"/>
    <cellStyle name="제목 5 6 7" xfId="0"/>
    <cellStyle name="제목 5 6 8" xfId="0"/>
    <cellStyle name="제목 5 6 9" xfId="0"/>
    <cellStyle name="제목 5 7" xfId="0"/>
    <cellStyle name="제목 5 7 10" xfId="0"/>
    <cellStyle name="제목 5 7 2" xfId="0"/>
    <cellStyle name="제목 5 7 3" xfId="0"/>
    <cellStyle name="제목 5 7 4" xfId="0"/>
    <cellStyle name="제목 5 7 5" xfId="0"/>
    <cellStyle name="제목 5 7 6" xfId="0"/>
    <cellStyle name="제목 5 7 7" xfId="0"/>
    <cellStyle name="제목 5 7 8" xfId="0"/>
    <cellStyle name="제목 5 7 9" xfId="0"/>
    <cellStyle name="제목 5 8" xfId="0"/>
    <cellStyle name="제목 5 8 2" xfId="0"/>
    <cellStyle name="제목 5 9" xfId="0"/>
    <cellStyle name="제목 5_3300현금및예치금" xfId="0"/>
    <cellStyle name="제목 6" xfId="0"/>
    <cellStyle name="제목 6 10" xfId="0"/>
    <cellStyle name="제목 6 10 2" xfId="0"/>
    <cellStyle name="제목 6 11" xfId="0"/>
    <cellStyle name="제목 6 11 2" xfId="0"/>
    <cellStyle name="제목 6 12" xfId="0"/>
    <cellStyle name="제목 6 12 2" xfId="0"/>
    <cellStyle name="제목 6 13" xfId="0"/>
    <cellStyle name="제목 6 14" xfId="0"/>
    <cellStyle name="제목 6 15" xfId="0"/>
    <cellStyle name="제목 6 16" xfId="0"/>
    <cellStyle name="제목 6 17" xfId="0"/>
    <cellStyle name="제목 6 18" xfId="0"/>
    <cellStyle name="제목 6 19" xfId="0"/>
    <cellStyle name="제목 6 2" xfId="0"/>
    <cellStyle name="제목 6 2 2" xfId="0"/>
    <cellStyle name="제목 6 2 3" xfId="0"/>
    <cellStyle name="제목 6 20" xfId="0"/>
    <cellStyle name="제목 6 3" xfId="0"/>
    <cellStyle name="제목 6 3 2" xfId="0"/>
    <cellStyle name="제목 6 3 3" xfId="0"/>
    <cellStyle name="제목 6 4" xfId="0"/>
    <cellStyle name="제목 6 4 2" xfId="0"/>
    <cellStyle name="제목 6 4 3" xfId="0"/>
    <cellStyle name="제목 6 5" xfId="0"/>
    <cellStyle name="제목 6 5 2" xfId="0"/>
    <cellStyle name="제목 6 5 3" xfId="0"/>
    <cellStyle name="제목 6 6" xfId="0"/>
    <cellStyle name="제목 6 6 2" xfId="0"/>
    <cellStyle name="제목 6 6 3" xfId="0"/>
    <cellStyle name="제목 6 7" xfId="0"/>
    <cellStyle name="제목 6 7 2" xfId="0"/>
    <cellStyle name="제목 6 7 3" xfId="0"/>
    <cellStyle name="제목 6 8" xfId="0"/>
    <cellStyle name="제목 6 8 2" xfId="0"/>
    <cellStyle name="제목 6 8 3" xfId="0"/>
    <cellStyle name="제목 6 9" xfId="0"/>
    <cellStyle name="제목 6 9 2" xfId="0"/>
    <cellStyle name="제목 6_운용자산별 손익분석" xfId="0"/>
    <cellStyle name="제목 7" xfId="0"/>
    <cellStyle name="제목 7 10" xfId="0"/>
    <cellStyle name="제목 7 11" xfId="0"/>
    <cellStyle name="제목 7 12" xfId="0"/>
    <cellStyle name="제목 7 13" xfId="0"/>
    <cellStyle name="제목 7 14" xfId="0"/>
    <cellStyle name="제목 7 15" xfId="0"/>
    <cellStyle name="제목 7 16" xfId="0"/>
    <cellStyle name="제목 7 17" xfId="0"/>
    <cellStyle name="제목 7 18" xfId="0"/>
    <cellStyle name="제목 7 19" xfId="0"/>
    <cellStyle name="제목 7 2" xfId="0"/>
    <cellStyle name="제목 7 2 10" xfId="0"/>
    <cellStyle name="제목 7 2 11" xfId="0"/>
    <cellStyle name="제목 7 2 2" xfId="0"/>
    <cellStyle name="제목 7 2 3" xfId="0"/>
    <cellStyle name="제목 7 2 4" xfId="0"/>
    <cellStyle name="제목 7 2 5" xfId="0"/>
    <cellStyle name="제목 7 2 6" xfId="0"/>
    <cellStyle name="제목 7 2 7" xfId="0"/>
    <cellStyle name="제목 7 2 8" xfId="0"/>
    <cellStyle name="제목 7 2 9" xfId="0"/>
    <cellStyle name="제목 7 20" xfId="0"/>
    <cellStyle name="제목 7 21" xfId="0"/>
    <cellStyle name="제목 7 22" xfId="0"/>
    <cellStyle name="제목 7 23" xfId="0"/>
    <cellStyle name="제목 7 3" xfId="0"/>
    <cellStyle name="제목 7 4" xfId="0"/>
    <cellStyle name="제목 7 5" xfId="0"/>
    <cellStyle name="제목 7 6" xfId="0"/>
    <cellStyle name="제목 7 7" xfId="0"/>
    <cellStyle name="제목 7 8" xfId="0"/>
    <cellStyle name="제목 7 9" xfId="0"/>
    <cellStyle name="제목 7_운용자산별 손익분석" xfId="0"/>
    <cellStyle name="제목 8" xfId="0"/>
    <cellStyle name="제목 8 10" xfId="0"/>
    <cellStyle name="제목 8 11" xfId="0"/>
    <cellStyle name="제목 8 12" xfId="0"/>
    <cellStyle name="제목 8 13" xfId="0"/>
    <cellStyle name="제목 8 14" xfId="0"/>
    <cellStyle name="제목 8 15" xfId="0"/>
    <cellStyle name="제목 8 16" xfId="0"/>
    <cellStyle name="제목 8 17" xfId="0"/>
    <cellStyle name="제목 8 18" xfId="0"/>
    <cellStyle name="제목 8 19" xfId="0"/>
    <cellStyle name="제목 8 2" xfId="0"/>
    <cellStyle name="제목 8 20" xfId="0"/>
    <cellStyle name="제목 8 21" xfId="0"/>
    <cellStyle name="제목 8 22" xfId="0"/>
    <cellStyle name="제목 8 23" xfId="0"/>
    <cellStyle name="제목 8 24" xfId="0"/>
    <cellStyle name="제목 8 25" xfId="0"/>
    <cellStyle name="제목 8 26" xfId="0"/>
    <cellStyle name="제목 8 27" xfId="0"/>
    <cellStyle name="제목 8 28" xfId="0"/>
    <cellStyle name="제목 8 29" xfId="0"/>
    <cellStyle name="제목 8 3" xfId="0"/>
    <cellStyle name="제목 8 30" xfId="0"/>
    <cellStyle name="제목 8 31" xfId="0"/>
    <cellStyle name="제목 8 32" xfId="0"/>
    <cellStyle name="제목 8 33" xfId="0"/>
    <cellStyle name="제목 8 34" xfId="0"/>
    <cellStyle name="제목 8 4" xfId="0"/>
    <cellStyle name="제목 8 5" xfId="0"/>
    <cellStyle name="제목 8 6" xfId="0"/>
    <cellStyle name="제목 8 7" xfId="0"/>
    <cellStyle name="제목 8 8" xfId="0"/>
    <cellStyle name="제목 8 9" xfId="0"/>
    <cellStyle name="제목 9" xfId="0"/>
    <cellStyle name="제목 9 10" xfId="0"/>
    <cellStyle name="제목 9 11" xfId="0"/>
    <cellStyle name="제목 9 12" xfId="0"/>
    <cellStyle name="제목 9 13" xfId="0"/>
    <cellStyle name="제목 9 14" xfId="0"/>
    <cellStyle name="제목 9 15" xfId="0"/>
    <cellStyle name="제목 9 16" xfId="0"/>
    <cellStyle name="제목 9 17" xfId="0"/>
    <cellStyle name="제목 9 18" xfId="0"/>
    <cellStyle name="제목 9 19" xfId="0"/>
    <cellStyle name="제목 9 2" xfId="0"/>
    <cellStyle name="제목 9 20" xfId="0"/>
    <cellStyle name="제목 9 21" xfId="0"/>
    <cellStyle name="제목 9 22" xfId="0"/>
    <cellStyle name="제목 9 23" xfId="0"/>
    <cellStyle name="제목 9 24" xfId="0"/>
    <cellStyle name="제목 9 25" xfId="0"/>
    <cellStyle name="제목 9 26" xfId="0"/>
    <cellStyle name="제목 9 27" xfId="0"/>
    <cellStyle name="제목 9 28" xfId="0"/>
    <cellStyle name="제목 9 29" xfId="0"/>
    <cellStyle name="제목 9 3" xfId="0"/>
    <cellStyle name="제목 9 30" xfId="0"/>
    <cellStyle name="제목 9 4" xfId="0"/>
    <cellStyle name="제목 9 5" xfId="0"/>
    <cellStyle name="제목 9 6" xfId="0"/>
    <cellStyle name="제목 9 7" xfId="0"/>
    <cellStyle name="제목 9 8" xfId="0"/>
    <cellStyle name="제목 9 9" xfId="0"/>
    <cellStyle name="제목1" xfId="0"/>
    <cellStyle name="제목2" xfId="0"/>
    <cellStyle name="좋은양식" xfId="0"/>
    <cellStyle name="좋음 10" xfId="0"/>
    <cellStyle name="좋음 10 2" xfId="0"/>
    <cellStyle name="좋음 10 2 2" xfId="0"/>
    <cellStyle name="좋음 10 3" xfId="0"/>
    <cellStyle name="좋음 10 3 2" xfId="0"/>
    <cellStyle name="좋음 10 4" xfId="0"/>
    <cellStyle name="좋음 10 4 2" xfId="0"/>
    <cellStyle name="좋음 10 5" xfId="0"/>
    <cellStyle name="좋음 10 6" xfId="0"/>
    <cellStyle name="좋음 10 7" xfId="0"/>
    <cellStyle name="좋음 11" xfId="0"/>
    <cellStyle name="좋음 11 2" xfId="0"/>
    <cellStyle name="좋음 11 2 2" xfId="0"/>
    <cellStyle name="좋음 11 3" xfId="0"/>
    <cellStyle name="좋음 11 3 2" xfId="0"/>
    <cellStyle name="좋음 11 4" xfId="0"/>
    <cellStyle name="좋음 11 4 2" xfId="0"/>
    <cellStyle name="좋음 11 5" xfId="0"/>
    <cellStyle name="좋음 11 6" xfId="0"/>
    <cellStyle name="좋음 11 7" xfId="0"/>
    <cellStyle name="좋음 12" xfId="0"/>
    <cellStyle name="좋음 12 2" xfId="0"/>
    <cellStyle name="좋음 12 3" xfId="0"/>
    <cellStyle name="좋음 12 4" xfId="0"/>
    <cellStyle name="좋음 12 5" xfId="0"/>
    <cellStyle name="좋음 13" xfId="0"/>
    <cellStyle name="좋음 13 2" xfId="0"/>
    <cellStyle name="좋음 13 3" xfId="0"/>
    <cellStyle name="좋음 13 4" xfId="0"/>
    <cellStyle name="좋음 13 5" xfId="0"/>
    <cellStyle name="좋음 14" xfId="0"/>
    <cellStyle name="좋음 14 2" xfId="0"/>
    <cellStyle name="좋음 14 3" xfId="0"/>
    <cellStyle name="좋음 15" xfId="0"/>
    <cellStyle name="좋음 15 2" xfId="0"/>
    <cellStyle name="좋음 16" xfId="0"/>
    <cellStyle name="좋음 16 2" xfId="0"/>
    <cellStyle name="좋음 17" xfId="0"/>
    <cellStyle name="좋음 17 2" xfId="0"/>
    <cellStyle name="좋음 18" xfId="0"/>
    <cellStyle name="좋음 19" xfId="0"/>
    <cellStyle name="좋음 2" xfId="0"/>
    <cellStyle name="좋음 2 10" xfId="0"/>
    <cellStyle name="좋음 2 11" xfId="0"/>
    <cellStyle name="좋음 2 12" xfId="0"/>
    <cellStyle name="좋음 2 13" xfId="0"/>
    <cellStyle name="좋음 2 14" xfId="0"/>
    <cellStyle name="좋음 2 15" xfId="0"/>
    <cellStyle name="좋음 2 16" xfId="0"/>
    <cellStyle name="좋음 2 17" xfId="0"/>
    <cellStyle name="좋음 2 2" xfId="0"/>
    <cellStyle name="좋음 2 2 10" xfId="0"/>
    <cellStyle name="좋음 2 2 2" xfId="0"/>
    <cellStyle name="좋음 2 2 3" xfId="0"/>
    <cellStyle name="좋음 2 2 4" xfId="0"/>
    <cellStyle name="좋음 2 2 5" xfId="0"/>
    <cellStyle name="좋음 2 2 6" xfId="0"/>
    <cellStyle name="좋음 2 2 7" xfId="0"/>
    <cellStyle name="좋음 2 2 8" xfId="0"/>
    <cellStyle name="좋음 2 2 9" xfId="0"/>
    <cellStyle name="좋음 2 3" xfId="0"/>
    <cellStyle name="좋음 2 3 10" xfId="0"/>
    <cellStyle name="좋음 2 3 2" xfId="0"/>
    <cellStyle name="좋음 2 3 3" xfId="0"/>
    <cellStyle name="좋음 2 3 4" xfId="0"/>
    <cellStyle name="좋음 2 3 5" xfId="0"/>
    <cellStyle name="좋음 2 3 6" xfId="0"/>
    <cellStyle name="좋음 2 3 7" xfId="0"/>
    <cellStyle name="좋음 2 3 8" xfId="0"/>
    <cellStyle name="좋음 2 3 9" xfId="0"/>
    <cellStyle name="좋음 2 4" xfId="0"/>
    <cellStyle name="좋음 2 4 10" xfId="0"/>
    <cellStyle name="좋음 2 4 2" xfId="0"/>
    <cellStyle name="좋음 2 4 3" xfId="0"/>
    <cellStyle name="좋음 2 4 4" xfId="0"/>
    <cellStyle name="좋음 2 4 5" xfId="0"/>
    <cellStyle name="좋음 2 4 6" xfId="0"/>
    <cellStyle name="좋음 2 4 7" xfId="0"/>
    <cellStyle name="좋음 2 4 8" xfId="0"/>
    <cellStyle name="좋음 2 4 9" xfId="0"/>
    <cellStyle name="좋음 2 5" xfId="0"/>
    <cellStyle name="좋음 2 5 10" xfId="0"/>
    <cellStyle name="좋음 2 5 2" xfId="0"/>
    <cellStyle name="좋음 2 5 3" xfId="0"/>
    <cellStyle name="좋음 2 5 4" xfId="0"/>
    <cellStyle name="좋음 2 5 5" xfId="0"/>
    <cellStyle name="좋음 2 5 6" xfId="0"/>
    <cellStyle name="좋음 2 5 7" xfId="0"/>
    <cellStyle name="좋음 2 5 8" xfId="0"/>
    <cellStyle name="좋음 2 5 9" xfId="0"/>
    <cellStyle name="좋음 2 6" xfId="0"/>
    <cellStyle name="좋음 2 6 10" xfId="0"/>
    <cellStyle name="좋음 2 6 2" xfId="0"/>
    <cellStyle name="좋음 2 6 3" xfId="0"/>
    <cellStyle name="좋음 2 6 4" xfId="0"/>
    <cellStyle name="좋음 2 6 5" xfId="0"/>
    <cellStyle name="좋음 2 6 6" xfId="0"/>
    <cellStyle name="좋음 2 6 7" xfId="0"/>
    <cellStyle name="좋음 2 6 8" xfId="0"/>
    <cellStyle name="좋음 2 6 9" xfId="0"/>
    <cellStyle name="좋음 2 7" xfId="0"/>
    <cellStyle name="좋음 2 7 10" xfId="0"/>
    <cellStyle name="좋음 2 7 2" xfId="0"/>
    <cellStyle name="좋음 2 7 3" xfId="0"/>
    <cellStyle name="좋음 2 7 4" xfId="0"/>
    <cellStyle name="좋음 2 7 5" xfId="0"/>
    <cellStyle name="좋음 2 7 6" xfId="0"/>
    <cellStyle name="좋음 2 7 7" xfId="0"/>
    <cellStyle name="좋음 2 7 8" xfId="0"/>
    <cellStyle name="좋음 2 7 9" xfId="0"/>
    <cellStyle name="좋음 2 8" xfId="0"/>
    <cellStyle name="좋음 2 8 2" xfId="0"/>
    <cellStyle name="좋음 2 9" xfId="0"/>
    <cellStyle name="좋음 20" xfId="0"/>
    <cellStyle name="좋음 21" xfId="0"/>
    <cellStyle name="좋음 22" xfId="0"/>
    <cellStyle name="좋음 23" xfId="0"/>
    <cellStyle name="좋음 24" xfId="0"/>
    <cellStyle name="좋음 25" xfId="0"/>
    <cellStyle name="좋음 26" xfId="0"/>
    <cellStyle name="좋음 27" xfId="0"/>
    <cellStyle name="좋음 2_3300현금및예치금" xfId="0"/>
    <cellStyle name="좋음 3" xfId="0"/>
    <cellStyle name="좋음 3 10" xfId="0"/>
    <cellStyle name="좋음 3 10 2" xfId="0"/>
    <cellStyle name="좋음 3 11" xfId="0"/>
    <cellStyle name="좋음 3 11 2" xfId="0"/>
    <cellStyle name="좋음 3 12" xfId="0"/>
    <cellStyle name="좋음 3 12 2" xfId="0"/>
    <cellStyle name="좋음 3 13" xfId="0"/>
    <cellStyle name="좋음 3 14" xfId="0"/>
    <cellStyle name="좋음 3 15" xfId="0"/>
    <cellStyle name="좋음 3 16" xfId="0"/>
    <cellStyle name="좋음 3 17" xfId="0"/>
    <cellStyle name="좋음 3 18" xfId="0"/>
    <cellStyle name="좋음 3 19" xfId="0"/>
    <cellStyle name="좋음 3 2" xfId="0"/>
    <cellStyle name="좋음 3 2 2" xfId="0"/>
    <cellStyle name="좋음 3 2 3" xfId="0"/>
    <cellStyle name="좋음 3 20" xfId="0"/>
    <cellStyle name="좋음 3 21" xfId="0"/>
    <cellStyle name="좋음 3 3" xfId="0"/>
    <cellStyle name="좋음 3 3 2" xfId="0"/>
    <cellStyle name="좋음 3 3 3" xfId="0"/>
    <cellStyle name="좋음 3 4" xfId="0"/>
    <cellStyle name="좋음 3 4 2" xfId="0"/>
    <cellStyle name="좋음 3 4 3" xfId="0"/>
    <cellStyle name="좋음 3 5" xfId="0"/>
    <cellStyle name="좋음 3 5 2" xfId="0"/>
    <cellStyle name="좋음 3 5 3" xfId="0"/>
    <cellStyle name="좋음 3 6" xfId="0"/>
    <cellStyle name="좋음 3 6 2" xfId="0"/>
    <cellStyle name="좋음 3 6 3" xfId="0"/>
    <cellStyle name="좋음 3 7" xfId="0"/>
    <cellStyle name="좋음 3 7 2" xfId="0"/>
    <cellStyle name="좋음 3 7 3" xfId="0"/>
    <cellStyle name="좋음 3 8" xfId="0"/>
    <cellStyle name="좋음 3 8 2" xfId="0"/>
    <cellStyle name="좋음 3 8 3" xfId="0"/>
    <cellStyle name="좋음 3 9" xfId="0"/>
    <cellStyle name="좋음 3 9 2" xfId="0"/>
    <cellStyle name="좋음 3_운용자산별 손익분석" xfId="0"/>
    <cellStyle name="좋음 4" xfId="0"/>
    <cellStyle name="좋음 4 10" xfId="0"/>
    <cellStyle name="좋음 4 11" xfId="0"/>
    <cellStyle name="좋음 4 12" xfId="0"/>
    <cellStyle name="좋음 4 13" xfId="0"/>
    <cellStyle name="좋음 4 14" xfId="0"/>
    <cellStyle name="좋음 4 15" xfId="0"/>
    <cellStyle name="좋음 4 16" xfId="0"/>
    <cellStyle name="좋음 4 17" xfId="0"/>
    <cellStyle name="좋음 4 18" xfId="0"/>
    <cellStyle name="좋음 4 19" xfId="0"/>
    <cellStyle name="좋음 4 2" xfId="0"/>
    <cellStyle name="좋음 4 2 10" xfId="0"/>
    <cellStyle name="좋음 4 2 11" xfId="0"/>
    <cellStyle name="좋음 4 2 2" xfId="0"/>
    <cellStyle name="좋음 4 2 3" xfId="0"/>
    <cellStyle name="좋음 4 2 4" xfId="0"/>
    <cellStyle name="좋음 4 2 5" xfId="0"/>
    <cellStyle name="좋음 4 2 6" xfId="0"/>
    <cellStyle name="좋음 4 2 7" xfId="0"/>
    <cellStyle name="좋음 4 2 8" xfId="0"/>
    <cellStyle name="좋음 4 2 9" xfId="0"/>
    <cellStyle name="좋음 4 20" xfId="0"/>
    <cellStyle name="좋음 4 21" xfId="0"/>
    <cellStyle name="좋음 4 22" xfId="0"/>
    <cellStyle name="좋음 4 23" xfId="0"/>
    <cellStyle name="좋음 4 24" xfId="0"/>
    <cellStyle name="좋음 4 3" xfId="0"/>
    <cellStyle name="좋음 4 4" xfId="0"/>
    <cellStyle name="좋음 4 5" xfId="0"/>
    <cellStyle name="좋음 4 6" xfId="0"/>
    <cellStyle name="좋음 4 7" xfId="0"/>
    <cellStyle name="좋음 4 8" xfId="0"/>
    <cellStyle name="좋음 4 9" xfId="0"/>
    <cellStyle name="좋음 4_운용자산별 손익분석" xfId="0"/>
    <cellStyle name="좋음 5" xfId="0"/>
    <cellStyle name="좋음 5 10" xfId="0"/>
    <cellStyle name="좋음 5 11" xfId="0"/>
    <cellStyle name="좋음 5 12" xfId="0"/>
    <cellStyle name="좋음 5 13" xfId="0"/>
    <cellStyle name="좋음 5 14" xfId="0"/>
    <cellStyle name="좋음 5 15" xfId="0"/>
    <cellStyle name="좋음 5 16" xfId="0"/>
    <cellStyle name="좋음 5 17" xfId="0"/>
    <cellStyle name="좋음 5 18" xfId="0"/>
    <cellStyle name="좋음 5 19" xfId="0"/>
    <cellStyle name="좋음 5 2" xfId="0"/>
    <cellStyle name="좋음 5 20" xfId="0"/>
    <cellStyle name="좋음 5 21" xfId="0"/>
    <cellStyle name="좋음 5 22" xfId="0"/>
    <cellStyle name="좋음 5 23" xfId="0"/>
    <cellStyle name="좋음 5 24" xfId="0"/>
    <cellStyle name="좋음 5 25" xfId="0"/>
    <cellStyle name="좋음 5 26" xfId="0"/>
    <cellStyle name="좋음 5 27" xfId="0"/>
    <cellStyle name="좋음 5 28" xfId="0"/>
    <cellStyle name="좋음 5 29" xfId="0"/>
    <cellStyle name="좋음 5 3" xfId="0"/>
    <cellStyle name="좋음 5 30" xfId="0"/>
    <cellStyle name="좋음 5 31" xfId="0"/>
    <cellStyle name="좋음 5 32" xfId="0"/>
    <cellStyle name="좋음 5 33" xfId="0"/>
    <cellStyle name="좋음 5 34" xfId="0"/>
    <cellStyle name="좋음 5 35" xfId="0"/>
    <cellStyle name="좋음 5 4" xfId="0"/>
    <cellStyle name="좋음 5 5" xfId="0"/>
    <cellStyle name="좋음 5 6" xfId="0"/>
    <cellStyle name="좋음 5 7" xfId="0"/>
    <cellStyle name="좋음 5 8" xfId="0"/>
    <cellStyle name="좋음 5 9" xfId="0"/>
    <cellStyle name="좋음 6" xfId="0"/>
    <cellStyle name="좋음 6 10" xfId="0"/>
    <cellStyle name="좋음 6 11" xfId="0"/>
    <cellStyle name="좋음 6 12" xfId="0"/>
    <cellStyle name="좋음 6 13" xfId="0"/>
    <cellStyle name="좋음 6 14" xfId="0"/>
    <cellStyle name="좋음 6 15" xfId="0"/>
    <cellStyle name="좋음 6 16" xfId="0"/>
    <cellStyle name="좋음 6 17" xfId="0"/>
    <cellStyle name="좋음 6 18" xfId="0"/>
    <cellStyle name="좋음 6 19" xfId="0"/>
    <cellStyle name="좋음 6 2" xfId="0"/>
    <cellStyle name="좋음 6 20" xfId="0"/>
    <cellStyle name="좋음 6 21" xfId="0"/>
    <cellStyle name="좋음 6 22" xfId="0"/>
    <cellStyle name="좋음 6 23" xfId="0"/>
    <cellStyle name="좋음 6 24" xfId="0"/>
    <cellStyle name="좋음 6 25" xfId="0"/>
    <cellStyle name="좋음 6 26" xfId="0"/>
    <cellStyle name="좋음 6 27" xfId="0"/>
    <cellStyle name="좋음 6 28" xfId="0"/>
    <cellStyle name="좋음 6 29" xfId="0"/>
    <cellStyle name="좋음 6 3" xfId="0"/>
    <cellStyle name="좋음 6 30" xfId="0"/>
    <cellStyle name="좋음 6 31" xfId="0"/>
    <cellStyle name="좋음 6 4" xfId="0"/>
    <cellStyle name="좋음 6 5" xfId="0"/>
    <cellStyle name="좋음 6 6" xfId="0"/>
    <cellStyle name="좋음 6 7" xfId="0"/>
    <cellStyle name="좋음 6 8" xfId="0"/>
    <cellStyle name="좋음 6 9" xfId="0"/>
    <cellStyle name="좋음 7" xfId="0"/>
    <cellStyle name="좋음 7 10" xfId="0"/>
    <cellStyle name="좋음 7 11" xfId="0"/>
    <cellStyle name="좋음 7 12" xfId="0"/>
    <cellStyle name="좋음 7 13" xfId="0"/>
    <cellStyle name="좋음 7 14" xfId="0"/>
    <cellStyle name="좋음 7 15" xfId="0"/>
    <cellStyle name="좋음 7 2" xfId="0"/>
    <cellStyle name="좋음 7 2 2" xfId="0"/>
    <cellStyle name="좋음 7 3" xfId="0"/>
    <cellStyle name="좋음 7 3 2" xfId="0"/>
    <cellStyle name="좋음 7 4" xfId="0"/>
    <cellStyle name="좋음 7 4 2" xfId="0"/>
    <cellStyle name="좋음 7 5" xfId="0"/>
    <cellStyle name="좋음 7 5 2" xfId="0"/>
    <cellStyle name="좋음 7 6" xfId="0"/>
    <cellStyle name="좋음 7 6 2" xfId="0"/>
    <cellStyle name="좋음 7 7" xfId="0"/>
    <cellStyle name="좋음 7 8" xfId="0"/>
    <cellStyle name="좋음 7 9" xfId="0"/>
    <cellStyle name="좋음 8" xfId="0"/>
    <cellStyle name="좋음 8 10" xfId="0"/>
    <cellStyle name="좋음 8 11" xfId="0"/>
    <cellStyle name="좋음 8 12" xfId="0"/>
    <cellStyle name="좋음 8 13" xfId="0"/>
    <cellStyle name="좋음 8 14" xfId="0"/>
    <cellStyle name="좋음 8 2" xfId="0"/>
    <cellStyle name="좋음 8 2 2" xfId="0"/>
    <cellStyle name="좋음 8 3" xfId="0"/>
    <cellStyle name="좋음 8 3 2" xfId="0"/>
    <cellStyle name="좋음 8 4" xfId="0"/>
    <cellStyle name="좋음 8 4 2" xfId="0"/>
    <cellStyle name="좋음 8 5" xfId="0"/>
    <cellStyle name="좋음 8 5 2" xfId="0"/>
    <cellStyle name="좋음 8 6" xfId="0"/>
    <cellStyle name="좋음 8 6 2" xfId="0"/>
    <cellStyle name="좋음 8 7" xfId="0"/>
    <cellStyle name="좋음 8 8" xfId="0"/>
    <cellStyle name="좋음 8 9" xfId="0"/>
    <cellStyle name="좋음 9" xfId="0"/>
    <cellStyle name="좋음 9 10" xfId="0"/>
    <cellStyle name="좋음 9 11" xfId="0"/>
    <cellStyle name="좋음 9 12" xfId="0"/>
    <cellStyle name="좋음 9 13" xfId="0"/>
    <cellStyle name="좋음 9 14" xfId="0"/>
    <cellStyle name="좋음 9 2" xfId="0"/>
    <cellStyle name="좋음 9 2 2" xfId="0"/>
    <cellStyle name="좋음 9 3" xfId="0"/>
    <cellStyle name="좋음 9 3 2" xfId="0"/>
    <cellStyle name="좋음 9 4" xfId="0"/>
    <cellStyle name="좋음 9 4 2" xfId="0"/>
    <cellStyle name="좋음 9 5" xfId="0"/>
    <cellStyle name="좋음 9 5 2" xfId="0"/>
    <cellStyle name="좋음 9 6" xfId="0"/>
    <cellStyle name="좋음 9 6 2" xfId="0"/>
    <cellStyle name="좋음 9 7" xfId="0"/>
    <cellStyle name="좋음 9 8" xfId="0"/>
    <cellStyle name="좋음 9 9" xfId="0"/>
    <cellStyle name="주의항목" xfId="0"/>
    <cellStyle name="줄바꾸기" xfId="0"/>
    <cellStyle name="줄바꿈" xfId="0"/>
    <cellStyle name="줄바꿈(중앙)" xfId="0"/>
    <cellStyle name="중앙(표준)" xfId="0"/>
    <cellStyle name="즂" xfId="0"/>
    <cellStyle name="지정되지 않음" xfId="0"/>
    <cellStyle name="지정되지 않음 10" xfId="0"/>
    <cellStyle name="지정되지 않음 11" xfId="0"/>
    <cellStyle name="지정되지 않음 12" xfId="0"/>
    <cellStyle name="지정되지 않음 13" xfId="0"/>
    <cellStyle name="지정되지 않음 14" xfId="0"/>
    <cellStyle name="지정되지 않음 15" xfId="0"/>
    <cellStyle name="지정되지 않음 16" xfId="0"/>
    <cellStyle name="지정되지 않음 17" xfId="0"/>
    <cellStyle name="지정되지 않음 2" xfId="0"/>
    <cellStyle name="지정되지 않음 2 10" xfId="0"/>
    <cellStyle name="지정되지 않음 2 2" xfId="0"/>
    <cellStyle name="지정되지 않음 2 3" xfId="0"/>
    <cellStyle name="지정되지 않음 2 4" xfId="0"/>
    <cellStyle name="지정되지 않음 2 5" xfId="0"/>
    <cellStyle name="지정되지 않음 2 6" xfId="0"/>
    <cellStyle name="지정되지 않음 2 7" xfId="0"/>
    <cellStyle name="지정되지 않음 2 8" xfId="0"/>
    <cellStyle name="지정되지 않음 2 9" xfId="0"/>
    <cellStyle name="지정되지 않음 3" xfId="0"/>
    <cellStyle name="지정되지 않음 4" xfId="0"/>
    <cellStyle name="지정되지 않음 5" xfId="0"/>
    <cellStyle name="지정되지 않음 6" xfId="0"/>
    <cellStyle name="지정되지 않음 7" xfId="0"/>
    <cellStyle name="지정되지 않음 8" xfId="0"/>
    <cellStyle name="지정되지 않음 9" xfId="0"/>
    <cellStyle name="쨊ㅐ쫨E0899intecosch" xfId="0"/>
    <cellStyle name="쨊ㅐ쫨E0899M1RP" xfId="0"/>
    <cellStyle name="쨊ㅐ쫨E0]_0899intecosch" xfId="0"/>
    <cellStyle name="쨊ㅐ쫨E1999Year End Provision" xfId="0"/>
    <cellStyle name="참조" xfId="0"/>
    <cellStyle name="추가" xfId="0"/>
    <cellStyle name="추가2" xfId="0"/>
    <cellStyle name="추가3" xfId="0"/>
    <cellStyle name="출 (한장)" xfId="0"/>
    <cellStyle name="출력 10" xfId="0"/>
    <cellStyle name="출력 10 2" xfId="0"/>
    <cellStyle name="출력 10 2 2" xfId="0"/>
    <cellStyle name="출력 10 3" xfId="0"/>
    <cellStyle name="출력 10 3 2" xfId="0"/>
    <cellStyle name="출력 10 4" xfId="0"/>
    <cellStyle name="출력 10 4 2" xfId="0"/>
    <cellStyle name="출력 10 5" xfId="0"/>
    <cellStyle name="출력 10 6" xfId="0"/>
    <cellStyle name="출력 11" xfId="0"/>
    <cellStyle name="출력 11 2" xfId="0"/>
    <cellStyle name="출력 11 2 2" xfId="0"/>
    <cellStyle name="출력 11 3" xfId="0"/>
    <cellStyle name="출력 11 3 2" xfId="0"/>
    <cellStyle name="출력 11 4" xfId="0"/>
    <cellStyle name="출력 11 4 2" xfId="0"/>
    <cellStyle name="출력 11 5" xfId="0"/>
    <cellStyle name="출력 11 6" xfId="0"/>
    <cellStyle name="출력 12" xfId="0"/>
    <cellStyle name="출력 12 2" xfId="0"/>
    <cellStyle name="출력 12 2 2" xfId="0"/>
    <cellStyle name="출력 12 3" xfId="0"/>
    <cellStyle name="출력 12 3 2" xfId="0"/>
    <cellStyle name="출력 12 4" xfId="0"/>
    <cellStyle name="출력 12 5" xfId="0"/>
    <cellStyle name="출력 13" xfId="0"/>
    <cellStyle name="출력 13 2" xfId="0"/>
    <cellStyle name="출력 13 3" xfId="0"/>
    <cellStyle name="출력 13 4" xfId="0"/>
    <cellStyle name="출력 13 5" xfId="0"/>
    <cellStyle name="출력 14" xfId="0"/>
    <cellStyle name="출력 14 2" xfId="0"/>
    <cellStyle name="출력 14 3" xfId="0"/>
    <cellStyle name="출력 15" xfId="0"/>
    <cellStyle name="출력 15 2" xfId="0"/>
    <cellStyle name="출력 16" xfId="0"/>
    <cellStyle name="출력 16 2" xfId="0"/>
    <cellStyle name="출력 17" xfId="0"/>
    <cellStyle name="출력 17 2" xfId="0"/>
    <cellStyle name="출력 18" xfId="0"/>
    <cellStyle name="출력 19" xfId="0"/>
    <cellStyle name="출력 2" xfId="0"/>
    <cellStyle name="출력 2 10" xfId="0"/>
    <cellStyle name="출력 2 11" xfId="0"/>
    <cellStyle name="출력 2 12" xfId="0"/>
    <cellStyle name="출력 2 13" xfId="0"/>
    <cellStyle name="출력 2 14" xfId="0"/>
    <cellStyle name="출력 2 15" xfId="0"/>
    <cellStyle name="출력 2 16" xfId="0"/>
    <cellStyle name="출력 2 17" xfId="0"/>
    <cellStyle name="출력 2 2" xfId="0"/>
    <cellStyle name="출력 2 2 10" xfId="0"/>
    <cellStyle name="출력 2 2 2" xfId="0"/>
    <cellStyle name="출력 2 2 3" xfId="0"/>
    <cellStyle name="출력 2 2 4" xfId="0"/>
    <cellStyle name="출력 2 2 5" xfId="0"/>
    <cellStyle name="출력 2 2 6" xfId="0"/>
    <cellStyle name="출력 2 2 7" xfId="0"/>
    <cellStyle name="출력 2 2 8" xfId="0"/>
    <cellStyle name="출력 2 2 9" xfId="0"/>
    <cellStyle name="출력 2 3" xfId="0"/>
    <cellStyle name="출력 2 3 10" xfId="0"/>
    <cellStyle name="출력 2 3 2" xfId="0"/>
    <cellStyle name="출력 2 3 3" xfId="0"/>
    <cellStyle name="출력 2 3 4" xfId="0"/>
    <cellStyle name="출력 2 3 5" xfId="0"/>
    <cellStyle name="출력 2 3 6" xfId="0"/>
    <cellStyle name="출력 2 3 7" xfId="0"/>
    <cellStyle name="출력 2 3 8" xfId="0"/>
    <cellStyle name="출력 2 3 9" xfId="0"/>
    <cellStyle name="출력 2 4" xfId="0"/>
    <cellStyle name="출력 2 4 10" xfId="0"/>
    <cellStyle name="출력 2 4 2" xfId="0"/>
    <cellStyle name="출력 2 4 3" xfId="0"/>
    <cellStyle name="출력 2 4 4" xfId="0"/>
    <cellStyle name="출력 2 4 5" xfId="0"/>
    <cellStyle name="출력 2 4 6" xfId="0"/>
    <cellStyle name="출력 2 4 7" xfId="0"/>
    <cellStyle name="출력 2 4 8" xfId="0"/>
    <cellStyle name="출력 2 4 9" xfId="0"/>
    <cellStyle name="출력 2 5" xfId="0"/>
    <cellStyle name="출력 2 5 10" xfId="0"/>
    <cellStyle name="출력 2 5 2" xfId="0"/>
    <cellStyle name="출력 2 5 3" xfId="0"/>
    <cellStyle name="출력 2 5 4" xfId="0"/>
    <cellStyle name="출력 2 5 5" xfId="0"/>
    <cellStyle name="출력 2 5 6" xfId="0"/>
    <cellStyle name="출력 2 5 7" xfId="0"/>
    <cellStyle name="출력 2 5 8" xfId="0"/>
    <cellStyle name="출력 2 5 9" xfId="0"/>
    <cellStyle name="출력 2 6" xfId="0"/>
    <cellStyle name="출력 2 6 10" xfId="0"/>
    <cellStyle name="출력 2 6 2" xfId="0"/>
    <cellStyle name="출력 2 6 3" xfId="0"/>
    <cellStyle name="출력 2 6 4" xfId="0"/>
    <cellStyle name="출력 2 6 5" xfId="0"/>
    <cellStyle name="출력 2 6 6" xfId="0"/>
    <cellStyle name="출력 2 6 7" xfId="0"/>
    <cellStyle name="출력 2 6 8" xfId="0"/>
    <cellStyle name="출력 2 6 9" xfId="0"/>
    <cellStyle name="출력 2 7" xfId="0"/>
    <cellStyle name="출력 2 7 10" xfId="0"/>
    <cellStyle name="출력 2 7 2" xfId="0"/>
    <cellStyle name="출력 2 7 3" xfId="0"/>
    <cellStyle name="출력 2 7 4" xfId="0"/>
    <cellStyle name="출력 2 7 5" xfId="0"/>
    <cellStyle name="출력 2 7 6" xfId="0"/>
    <cellStyle name="출력 2 7 7" xfId="0"/>
    <cellStyle name="출력 2 7 8" xfId="0"/>
    <cellStyle name="출력 2 7 9" xfId="0"/>
    <cellStyle name="출력 2 8" xfId="0"/>
    <cellStyle name="출력 2 8 2" xfId="0"/>
    <cellStyle name="출력 2 9" xfId="0"/>
    <cellStyle name="출력 20" xfId="0"/>
    <cellStyle name="출력 21" xfId="0"/>
    <cellStyle name="출력 22" xfId="0"/>
    <cellStyle name="출력 23" xfId="0"/>
    <cellStyle name="출력 24" xfId="0"/>
    <cellStyle name="출력 25" xfId="0"/>
    <cellStyle name="출력 26" xfId="0"/>
    <cellStyle name="출력 27" xfId="0"/>
    <cellStyle name="출력 2_3300현금및예치금" xfId="0"/>
    <cellStyle name="출력 3" xfId="0"/>
    <cellStyle name="출력 3 10" xfId="0"/>
    <cellStyle name="출력 3 10 2" xfId="0"/>
    <cellStyle name="출력 3 11" xfId="0"/>
    <cellStyle name="출력 3 11 2" xfId="0"/>
    <cellStyle name="출력 3 12" xfId="0"/>
    <cellStyle name="출력 3 12 2" xfId="0"/>
    <cellStyle name="출력 3 13" xfId="0"/>
    <cellStyle name="출력 3 14" xfId="0"/>
    <cellStyle name="출력 3 15" xfId="0"/>
    <cellStyle name="출력 3 16" xfId="0"/>
    <cellStyle name="출력 3 17" xfId="0"/>
    <cellStyle name="출력 3 18" xfId="0"/>
    <cellStyle name="출력 3 19" xfId="0"/>
    <cellStyle name="출력 3 2" xfId="0"/>
    <cellStyle name="출력 3 2 2" xfId="0"/>
    <cellStyle name="출력 3 2 3" xfId="0"/>
    <cellStyle name="출력 3 20" xfId="0"/>
    <cellStyle name="출력 3 21" xfId="0"/>
    <cellStyle name="출력 3 3" xfId="0"/>
    <cellStyle name="출력 3 3 2" xfId="0"/>
    <cellStyle name="출력 3 3 3" xfId="0"/>
    <cellStyle name="출력 3 4" xfId="0"/>
    <cellStyle name="출력 3 4 2" xfId="0"/>
    <cellStyle name="출력 3 4 3" xfId="0"/>
    <cellStyle name="출력 3 5" xfId="0"/>
    <cellStyle name="출력 3 5 2" xfId="0"/>
    <cellStyle name="출력 3 5 3" xfId="0"/>
    <cellStyle name="출력 3 6" xfId="0"/>
    <cellStyle name="출력 3 6 2" xfId="0"/>
    <cellStyle name="출력 3 6 3" xfId="0"/>
    <cellStyle name="출력 3 7" xfId="0"/>
    <cellStyle name="출력 3 7 2" xfId="0"/>
    <cellStyle name="출력 3 7 3" xfId="0"/>
    <cellStyle name="출력 3 8" xfId="0"/>
    <cellStyle name="출력 3 8 2" xfId="0"/>
    <cellStyle name="출력 3 8 3" xfId="0"/>
    <cellStyle name="출력 3 9" xfId="0"/>
    <cellStyle name="출력 3 9 2" xfId="0"/>
    <cellStyle name="출력 3_운용자산별 손익분석" xfId="0"/>
    <cellStyle name="출력 4" xfId="0"/>
    <cellStyle name="출력 4 10" xfId="0"/>
    <cellStyle name="출력 4 11" xfId="0"/>
    <cellStyle name="출력 4 12" xfId="0"/>
    <cellStyle name="출력 4 13" xfId="0"/>
    <cellStyle name="출력 4 14" xfId="0"/>
    <cellStyle name="출력 4 15" xfId="0"/>
    <cellStyle name="출력 4 16" xfId="0"/>
    <cellStyle name="출력 4 17" xfId="0"/>
    <cellStyle name="출력 4 18" xfId="0"/>
    <cellStyle name="출력 4 19" xfId="0"/>
    <cellStyle name="출력 4 2" xfId="0"/>
    <cellStyle name="출력 4 2 10" xfId="0"/>
    <cellStyle name="출력 4 2 11" xfId="0"/>
    <cellStyle name="출력 4 2 2" xfId="0"/>
    <cellStyle name="출력 4 2 3" xfId="0"/>
    <cellStyle name="출력 4 2 4" xfId="0"/>
    <cellStyle name="출력 4 2 5" xfId="0"/>
    <cellStyle name="출력 4 2 6" xfId="0"/>
    <cellStyle name="출력 4 2 7" xfId="0"/>
    <cellStyle name="출력 4 2 8" xfId="0"/>
    <cellStyle name="출력 4 2 9" xfId="0"/>
    <cellStyle name="출력 4 20" xfId="0"/>
    <cellStyle name="출력 4 21" xfId="0"/>
    <cellStyle name="출력 4 22" xfId="0"/>
    <cellStyle name="출력 4 23" xfId="0"/>
    <cellStyle name="출력 4 3" xfId="0"/>
    <cellStyle name="출력 4 3 2" xfId="0"/>
    <cellStyle name="출력 4 4" xfId="0"/>
    <cellStyle name="출력 4 5" xfId="0"/>
    <cellStyle name="출력 4 6" xfId="0"/>
    <cellStyle name="출력 4 7" xfId="0"/>
    <cellStyle name="출력 4 8" xfId="0"/>
    <cellStyle name="출력 4 9" xfId="0"/>
    <cellStyle name="출력 4_운용자산별 손익분석" xfId="0"/>
    <cellStyle name="출력 5" xfId="0"/>
    <cellStyle name="출력 5 10" xfId="0"/>
    <cellStyle name="출력 5 11" xfId="0"/>
    <cellStyle name="출력 5 12" xfId="0"/>
    <cellStyle name="출력 5 13" xfId="0"/>
    <cellStyle name="출력 5 14" xfId="0"/>
    <cellStyle name="출력 5 15" xfId="0"/>
    <cellStyle name="출력 5 16" xfId="0"/>
    <cellStyle name="출력 5 17" xfId="0"/>
    <cellStyle name="출력 5 18" xfId="0"/>
    <cellStyle name="출력 5 19" xfId="0"/>
    <cellStyle name="출력 5 2" xfId="0"/>
    <cellStyle name="출력 5 2 2" xfId="0"/>
    <cellStyle name="출력 5 20" xfId="0"/>
    <cellStyle name="출력 5 21" xfId="0"/>
    <cellStyle name="출력 5 22" xfId="0"/>
    <cellStyle name="출력 5 23" xfId="0"/>
    <cellStyle name="출력 5 24" xfId="0"/>
    <cellStyle name="출력 5 25" xfId="0"/>
    <cellStyle name="출력 5 26" xfId="0"/>
    <cellStyle name="출력 5 27" xfId="0"/>
    <cellStyle name="출력 5 28" xfId="0"/>
    <cellStyle name="출력 5 29" xfId="0"/>
    <cellStyle name="출력 5 3" xfId="0"/>
    <cellStyle name="출력 5 3 2" xfId="0"/>
    <cellStyle name="출력 5 30" xfId="0"/>
    <cellStyle name="출력 5 31" xfId="0"/>
    <cellStyle name="출력 5 32" xfId="0"/>
    <cellStyle name="출력 5 33" xfId="0"/>
    <cellStyle name="출력 5 34" xfId="0"/>
    <cellStyle name="출력 5 4" xfId="0"/>
    <cellStyle name="출력 5 5" xfId="0"/>
    <cellStyle name="출력 5 6" xfId="0"/>
    <cellStyle name="출력 5 7" xfId="0"/>
    <cellStyle name="출력 5 8" xfId="0"/>
    <cellStyle name="출력 5 9" xfId="0"/>
    <cellStyle name="출력 6" xfId="0"/>
    <cellStyle name="출력 6 10" xfId="0"/>
    <cellStyle name="출력 6 11" xfId="0"/>
    <cellStyle name="출력 6 12" xfId="0"/>
    <cellStyle name="출력 6 13" xfId="0"/>
    <cellStyle name="출력 6 14" xfId="0"/>
    <cellStyle name="출력 6 15" xfId="0"/>
    <cellStyle name="출력 6 16" xfId="0"/>
    <cellStyle name="출력 6 17" xfId="0"/>
    <cellStyle name="출력 6 18" xfId="0"/>
    <cellStyle name="출력 6 19" xfId="0"/>
    <cellStyle name="출력 6 2" xfId="0"/>
    <cellStyle name="출력 6 2 2" xfId="0"/>
    <cellStyle name="출력 6 20" xfId="0"/>
    <cellStyle name="출력 6 21" xfId="0"/>
    <cellStyle name="출력 6 22" xfId="0"/>
    <cellStyle name="출력 6 23" xfId="0"/>
    <cellStyle name="출력 6 24" xfId="0"/>
    <cellStyle name="출력 6 25" xfId="0"/>
    <cellStyle name="출력 6 26" xfId="0"/>
    <cellStyle name="출력 6 27" xfId="0"/>
    <cellStyle name="출력 6 28" xfId="0"/>
    <cellStyle name="출력 6 29" xfId="0"/>
    <cellStyle name="출력 6 3" xfId="0"/>
    <cellStyle name="출력 6 3 2" xfId="0"/>
    <cellStyle name="출력 6 30" xfId="0"/>
    <cellStyle name="출력 6 4" xfId="0"/>
    <cellStyle name="출력 6 5" xfId="0"/>
    <cellStyle name="출력 6 6" xfId="0"/>
    <cellStyle name="출력 6 7" xfId="0"/>
    <cellStyle name="출력 6 8" xfId="0"/>
    <cellStyle name="출력 6 9" xfId="0"/>
    <cellStyle name="출력 7" xfId="0"/>
    <cellStyle name="출력 7 10" xfId="0"/>
    <cellStyle name="출력 7 11" xfId="0"/>
    <cellStyle name="출력 7 12" xfId="0"/>
    <cellStyle name="출력 7 13" xfId="0"/>
    <cellStyle name="출력 7 14" xfId="0"/>
    <cellStyle name="출력 7 2" xfId="0"/>
    <cellStyle name="출력 7 2 2" xfId="0"/>
    <cellStyle name="출력 7 3" xfId="0"/>
    <cellStyle name="출력 7 3 2" xfId="0"/>
    <cellStyle name="출력 7 4" xfId="0"/>
    <cellStyle name="출력 7 4 2" xfId="0"/>
    <cellStyle name="출력 7 5" xfId="0"/>
    <cellStyle name="출력 7 5 2" xfId="0"/>
    <cellStyle name="출력 7 6" xfId="0"/>
    <cellStyle name="출력 7 6 2" xfId="0"/>
    <cellStyle name="출력 7 7" xfId="0"/>
    <cellStyle name="출력 7 8" xfId="0"/>
    <cellStyle name="출력 7 9" xfId="0"/>
    <cellStyle name="출력 8" xfId="0"/>
    <cellStyle name="출력 8 10" xfId="0"/>
    <cellStyle name="출력 8 11" xfId="0"/>
    <cellStyle name="출력 8 12" xfId="0"/>
    <cellStyle name="출력 8 13" xfId="0"/>
    <cellStyle name="출력 8 2" xfId="0"/>
    <cellStyle name="출력 8 2 2" xfId="0"/>
    <cellStyle name="출력 8 3" xfId="0"/>
    <cellStyle name="출력 8 3 2" xfId="0"/>
    <cellStyle name="출력 8 4" xfId="0"/>
    <cellStyle name="출력 8 4 2" xfId="0"/>
    <cellStyle name="출력 8 5" xfId="0"/>
    <cellStyle name="출력 8 5 2" xfId="0"/>
    <cellStyle name="출력 8 6" xfId="0"/>
    <cellStyle name="출력 8 6 2" xfId="0"/>
    <cellStyle name="출력 8 7" xfId="0"/>
    <cellStyle name="출력 8 8" xfId="0"/>
    <cellStyle name="출력 8 9" xfId="0"/>
    <cellStyle name="출력 9" xfId="0"/>
    <cellStyle name="출력 9 10" xfId="0"/>
    <cellStyle name="출력 9 11" xfId="0"/>
    <cellStyle name="출력 9 12" xfId="0"/>
    <cellStyle name="출력 9 13" xfId="0"/>
    <cellStyle name="출력 9 2" xfId="0"/>
    <cellStyle name="출력 9 2 2" xfId="0"/>
    <cellStyle name="출력 9 3" xfId="0"/>
    <cellStyle name="출력 9 3 2" xfId="0"/>
    <cellStyle name="출력 9 4" xfId="0"/>
    <cellStyle name="출력 9 4 2" xfId="0"/>
    <cellStyle name="출력 9 5" xfId="0"/>
    <cellStyle name="출력 9 5 2" xfId="0"/>
    <cellStyle name="출력 9 6" xfId="0"/>
    <cellStyle name="출력 9 6 2" xfId="0"/>
    <cellStyle name="출력 9 7" xfId="0"/>
    <cellStyle name="출력 9 8" xfId="0"/>
    <cellStyle name="출력 9 9" xfId="0"/>
    <cellStyle name="콤" xfId="0"/>
    <cellStyle name="콤?_x0003_" xfId="0"/>
    <cellStyle name="콤? [0]" xfId="0"/>
    <cellStyle name="콤? [0] 2" xfId="0"/>
    <cellStyle name="콤? [0] 3" xfId="0"/>
    <cellStyle name="콤? [0] 4" xfId="0"/>
    <cellStyle name="콤? [0] 5" xfId="0"/>
    <cellStyle name="콤? [0] 6" xfId="0"/>
    <cellStyle name="콤_Valuation_(주)LG_ver1" xfId="0"/>
    <cellStyle name="콤냡?&lt;_x000f_$??:&#9;`1_1 " xfId="0"/>
    <cellStyle name="콤냡?&lt;_x000f_$??: `1_1" xfId="0"/>
    <cellStyle name="콤릈_laroux_2" xfId="0"/>
    <cellStyle name="콤마 [" xfId="0"/>
    <cellStyle name="콤마 [0]" xfId="0"/>
    <cellStyle name="콤마 [0]-총계" xfId="0"/>
    <cellStyle name="콤마 [0]-합계" xfId="0"/>
    <cellStyle name="콤마 [0]-합계2" xfId="0"/>
    <cellStyle name="콤마 [0]?SAUP-1" xfId="0"/>
    <cellStyle name="콤마 [0]_" xfId="0"/>
    <cellStyle name="콤마 [0]_00재무제표영한" xfId="0"/>
    <cellStyle name="콤마 [0]⛸SAUP-1" xfId="0"/>
    <cellStyle name="콤마 [0]螨방침" xfId="0"/>
    <cellStyle name="콤마 [0]견적서(성남)" xfId="0"/>
    <cellStyle name="콤마 [0]노무 (2)" xfId="0"/>
    <cellStyle name="콤마 [2]" xfId="0"/>
    <cellStyle name="콤마 [2] 2" xfId="0"/>
    <cellStyle name="콤마 [kcd]" xfId="0"/>
    <cellStyle name="콤마,_x0005__x0014_" xfId="0"/>
    <cellStyle name="콤마_  &quot;  (라)" xfId="0"/>
    <cellStyle name="콤마숫자" xfId="0"/>
    <cellStyle name="콤마견적 표지" xfId="0"/>
    <cellStyle name="콤마鍮?(2)" xfId="0"/>
    <cellStyle name="쿯뱐_0899intecosch" xfId="0"/>
    <cellStyle name="쿯퉩E[0]_0899intecosch" xfId="0"/>
    <cellStyle name="턜퀂뎡" xfId="0"/>
    <cellStyle name="테두리(실선)" xfId="0"/>
    <cellStyle name="텍스트" xfId="0"/>
    <cellStyle name="통" xfId="0"/>
    <cellStyle name="통화 2" xfId="0"/>
    <cellStyle name="통화 3" xfId="0"/>
    <cellStyle name="통화 [" xfId="0"/>
    <cellStyle name="통화 [0] 12" xfId="0"/>
    <cellStyle name="통화 [0] 2" xfId="0"/>
    <cellStyle name="통화 [0] 2 2" xfId="0"/>
    <cellStyle name="통화 [0] 2 2 2" xfId="0"/>
    <cellStyle name="통화 [0] 2 3" xfId="0"/>
    <cellStyle name="통화 [0] 2 3 2" xfId="0"/>
    <cellStyle name="통화 [0] 2 4" xfId="0"/>
    <cellStyle name="통화 [0] 3" xfId="0"/>
    <cellStyle name="통화 [0] 3 2" xfId="0"/>
    <cellStyle name="통화 [0] 3 3" xfId="0"/>
    <cellStyle name="통화 [0] 4" xfId="0"/>
    <cellStyle name="통화 [0] 5" xfId="0"/>
    <cellStyle name="통화 [0] 6" xfId="0"/>
    <cellStyle name="통화 [0] 6 2" xfId="0"/>
    <cellStyle name="통화 [0] 7" xfId="0"/>
    <cellStyle name="통화 [0] 7 2" xfId="0"/>
    <cellStyle name="통화 [0] 8" xfId="0"/>
    <cellStyle name="통화 [0] 8 2" xfId="0"/>
    <cellStyle name="통화 [0ɝ_laroux_성일개발(주)현금흐름표" xfId="0"/>
    <cellStyle name="통화 [1]" xfId="0"/>
    <cellStyle name="통화 [4]" xfId="0"/>
    <cellStyle name="통화tBook1 Chart 3-1" xfId="0"/>
    <cellStyle name="통화갑지(토탈)_1" xfId="0"/>
    <cellStyle name="퍼센트" xfId="0"/>
    <cellStyle name="퍼센트 2" xfId="0"/>
    <cellStyle name="퍼센트[0.00]" xfId="0"/>
    <cellStyle name="표" xfId="0"/>
    <cellStyle name="표10" xfId="0"/>
    <cellStyle name="표13" xfId="0"/>
    <cellStyle name="표_Valuation_(주)LG_ver1" xfId="0"/>
    <cellStyle name="표준 10" xfId="0"/>
    <cellStyle name="표준 10 10" xfId="0"/>
    <cellStyle name="표준 10 10 10" xfId="0"/>
    <cellStyle name="표준 10 10 2" xfId="0"/>
    <cellStyle name="표준 10 10 3" xfId="0"/>
    <cellStyle name="표준 10 10 4" xfId="0"/>
    <cellStyle name="표준 10 10 5" xfId="0"/>
    <cellStyle name="표준 10 10 6" xfId="0"/>
    <cellStyle name="표준 10 10 7" xfId="0"/>
    <cellStyle name="표준 10 10 8" xfId="0"/>
    <cellStyle name="표준 10 10 9" xfId="0"/>
    <cellStyle name="표준 10 11" xfId="0"/>
    <cellStyle name="표준 10 11 2" xfId="0"/>
    <cellStyle name="표준 10 11 3" xfId="0"/>
    <cellStyle name="표준 10 11 4" xfId="0"/>
    <cellStyle name="표준 10 11 5" xfId="0"/>
    <cellStyle name="표준 10 11 6" xfId="0"/>
    <cellStyle name="표준 10 11 7" xfId="0"/>
    <cellStyle name="표준 10 11 8" xfId="0"/>
    <cellStyle name="표준 10 11 9" xfId="0"/>
    <cellStyle name="표준 10 12" xfId="0"/>
    <cellStyle name="표준 10 12 2" xfId="0"/>
    <cellStyle name="표준 10 12 3" xfId="0"/>
    <cellStyle name="표준 10 12 4" xfId="0"/>
    <cellStyle name="표준 10 12 5" xfId="0"/>
    <cellStyle name="표준 10 12 6" xfId="0"/>
    <cellStyle name="표준 10 12 7" xfId="0"/>
    <cellStyle name="표준 10 12 8" xfId="0"/>
    <cellStyle name="표준 10 12 9" xfId="0"/>
    <cellStyle name="표준 10 13" xfId="0"/>
    <cellStyle name="표준 10 13 2" xfId="0"/>
    <cellStyle name="표준 10 13 3" xfId="0"/>
    <cellStyle name="표준 10 13 4" xfId="0"/>
    <cellStyle name="표준 10 13 5" xfId="0"/>
    <cellStyle name="표준 10 14" xfId="0"/>
    <cellStyle name="표준 10 14 2" xfId="0"/>
    <cellStyle name="표준 10 14 3" xfId="0"/>
    <cellStyle name="표준 10 14 4" xfId="0"/>
    <cellStyle name="표준 10 14 5" xfId="0"/>
    <cellStyle name="표준 10 15" xfId="0"/>
    <cellStyle name="표준 10 15 10" xfId="0"/>
    <cellStyle name="표준 10 15 2" xfId="0"/>
    <cellStyle name="표준 10 15 2 2" xfId="0"/>
    <cellStyle name="표준 10 15 2 2 2" xfId="0"/>
    <cellStyle name="표준 10 15 2 3" xfId="0"/>
    <cellStyle name="표준 10 15 2 4" xfId="0"/>
    <cellStyle name="표준 10 15 2 5" xfId="0"/>
    <cellStyle name="표준 10 15 2 6" xfId="0"/>
    <cellStyle name="표준 10 15 3" xfId="0"/>
    <cellStyle name="표준 10 15 3 2" xfId="0"/>
    <cellStyle name="표준 10 15 3 3" xfId="0"/>
    <cellStyle name="표준 10 15 3 4" xfId="0"/>
    <cellStyle name="표준 10 15 3 5" xfId="0"/>
    <cellStyle name="표준 10 15 3 6" xfId="0"/>
    <cellStyle name="표준 10 15 4" xfId="0"/>
    <cellStyle name="표준 10 15 4 2" xfId="0"/>
    <cellStyle name="표준 10 15 4 3" xfId="0"/>
    <cellStyle name="표준 10 15 4 4" xfId="0"/>
    <cellStyle name="표준 10 15 4 5" xfId="0"/>
    <cellStyle name="표준 10 15 4 6" xfId="0"/>
    <cellStyle name="표준 10 15 5" xfId="0"/>
    <cellStyle name="표준 10 15 5 2" xfId="0"/>
    <cellStyle name="표준 10 15 5 3" xfId="0"/>
    <cellStyle name="표준 10 15 5 4" xfId="0"/>
    <cellStyle name="표준 10 15 5 5" xfId="0"/>
    <cellStyle name="표준 10 15 5 6" xfId="0"/>
    <cellStyle name="표준 10 15 6" xfId="0"/>
    <cellStyle name="표준 10 15 7" xfId="0"/>
    <cellStyle name="표준 10 15 8" xfId="0"/>
    <cellStyle name="표준 10 15 9" xfId="0"/>
    <cellStyle name="표준 10 16" xfId="0"/>
    <cellStyle name="표준 10 16 2" xfId="0"/>
    <cellStyle name="표준 10 17" xfId="0"/>
    <cellStyle name="표준 10 17 2" xfId="0"/>
    <cellStyle name="표준 10 18" xfId="0"/>
    <cellStyle name="표준 10 18 2" xfId="0"/>
    <cellStyle name="표준 10 19" xfId="0"/>
    <cellStyle name="표준 10 19 2" xfId="0"/>
    <cellStyle name="표준 10 2" xfId="0"/>
    <cellStyle name="표준 10 2 10" xfId="0"/>
    <cellStyle name="표준 10 2 10 2" xfId="0"/>
    <cellStyle name="표준 10 2 2" xfId="0"/>
    <cellStyle name="표준 10 2 2 2" xfId="0"/>
    <cellStyle name="표준 10 2 3" xfId="0"/>
    <cellStyle name="표준 10 2 3 2" xfId="0"/>
    <cellStyle name="표준 10 2 4" xfId="0"/>
    <cellStyle name="표준 10 2 4 2" xfId="0"/>
    <cellStyle name="표준 10 2 5" xfId="0"/>
    <cellStyle name="표준 10 2 5 2" xfId="0"/>
    <cellStyle name="표준 10 2 6" xfId="0"/>
    <cellStyle name="표준 10 2 6 2" xfId="0"/>
    <cellStyle name="표준 10 2 7" xfId="0"/>
    <cellStyle name="표준 10 2 7 2" xfId="0"/>
    <cellStyle name="표준 10 2 8" xfId="0"/>
    <cellStyle name="표준 10 2 8 2" xfId="0"/>
    <cellStyle name="표준 10 2 9" xfId="0"/>
    <cellStyle name="표준 10 2 9 2" xfId="0"/>
    <cellStyle name="표준 10 20" xfId="0"/>
    <cellStyle name="표준 10 21" xfId="0"/>
    <cellStyle name="표준 10 22" xfId="0"/>
    <cellStyle name="표준 10 23" xfId="0"/>
    <cellStyle name="표준 10 24" xfId="0"/>
    <cellStyle name="표준 10 25" xfId="0"/>
    <cellStyle name="표준 10 26" xfId="0"/>
    <cellStyle name="표준 10 27" xfId="0"/>
    <cellStyle name="표준 10 3" xfId="0"/>
    <cellStyle name="표준 10 3 10" xfId="0"/>
    <cellStyle name="표준 10 3 2" xfId="0"/>
    <cellStyle name="표준 10 3 3" xfId="0"/>
    <cellStyle name="표준 10 3 4" xfId="0"/>
    <cellStyle name="표준 10 3 5" xfId="0"/>
    <cellStyle name="표준 10 3 6" xfId="0"/>
    <cellStyle name="표준 10 3 7" xfId="0"/>
    <cellStyle name="표준 10 3 8" xfId="0"/>
    <cellStyle name="표준 10 3 9" xfId="0"/>
    <cellStyle name="표준 10 4" xfId="0"/>
    <cellStyle name="표준 10 4 10" xfId="0"/>
    <cellStyle name="표준 10 4 2" xfId="0"/>
    <cellStyle name="표준 10 4 3" xfId="0"/>
    <cellStyle name="표준 10 4 4" xfId="0"/>
    <cellStyle name="표준 10 4 5" xfId="0"/>
    <cellStyle name="표준 10 4 6" xfId="0"/>
    <cellStyle name="표준 10 4 7" xfId="0"/>
    <cellStyle name="표준 10 4 8" xfId="0"/>
    <cellStyle name="표준 10 4 9" xfId="0"/>
    <cellStyle name="표준 10 5" xfId="0"/>
    <cellStyle name="표준 10 5 10" xfId="0"/>
    <cellStyle name="표준 10 5 2" xfId="0"/>
    <cellStyle name="표준 10 5 3" xfId="0"/>
    <cellStyle name="표준 10 5 4" xfId="0"/>
    <cellStyle name="표준 10 5 5" xfId="0"/>
    <cellStyle name="표준 10 5 6" xfId="0"/>
    <cellStyle name="표준 10 5 7" xfId="0"/>
    <cellStyle name="표준 10 5 8" xfId="0"/>
    <cellStyle name="표준 10 5 9" xfId="0"/>
    <cellStyle name="표준 10 6" xfId="0"/>
    <cellStyle name="표준 10 6 10" xfId="0"/>
    <cellStyle name="표준 10 6 2" xfId="0"/>
    <cellStyle name="표준 10 6 3" xfId="0"/>
    <cellStyle name="표준 10 6 4" xfId="0"/>
    <cellStyle name="표준 10 6 5" xfId="0"/>
    <cellStyle name="표준 10 6 6" xfId="0"/>
    <cellStyle name="표준 10 6 7" xfId="0"/>
    <cellStyle name="표준 10 6 8" xfId="0"/>
    <cellStyle name="표준 10 6 9" xfId="0"/>
    <cellStyle name="표준 10 7" xfId="0"/>
    <cellStyle name="표준 10 7 10" xfId="0"/>
    <cellStyle name="표준 10 7 2" xfId="0"/>
    <cellStyle name="표준 10 7 3" xfId="0"/>
    <cellStyle name="표준 10 7 4" xfId="0"/>
    <cellStyle name="표준 10 7 5" xfId="0"/>
    <cellStyle name="표준 10 7 6" xfId="0"/>
    <cellStyle name="표준 10 7 7" xfId="0"/>
    <cellStyle name="표준 10 7 8" xfId="0"/>
    <cellStyle name="표준 10 7 9" xfId="0"/>
    <cellStyle name="표준 10 8" xfId="0"/>
    <cellStyle name="표준 10 8 10" xfId="0"/>
    <cellStyle name="표준 10 8 2" xfId="0"/>
    <cellStyle name="표준 10 8 3" xfId="0"/>
    <cellStyle name="표준 10 8 4" xfId="0"/>
    <cellStyle name="표준 10 8 5" xfId="0"/>
    <cellStyle name="표준 10 8 6" xfId="0"/>
    <cellStyle name="표준 10 8 7" xfId="0"/>
    <cellStyle name="표준 10 8 8" xfId="0"/>
    <cellStyle name="표준 10 8 9" xfId="0"/>
    <cellStyle name="표준 10 9" xfId="0"/>
    <cellStyle name="표준 10 9 10" xfId="0"/>
    <cellStyle name="표준 10 9 2" xfId="0"/>
    <cellStyle name="표준 10 9 3" xfId="0"/>
    <cellStyle name="표준 10 9 4" xfId="0"/>
    <cellStyle name="표준 10 9 5" xfId="0"/>
    <cellStyle name="표준 10 9 6" xfId="0"/>
    <cellStyle name="표준 10 9 7" xfId="0"/>
    <cellStyle name="표준 10 9 8" xfId="0"/>
    <cellStyle name="표준 10 9 9" xfId="0"/>
    <cellStyle name="표준 100" xfId="0"/>
    <cellStyle name="표준 100 10" xfId="0"/>
    <cellStyle name="표준 100 11" xfId="0"/>
    <cellStyle name="표준 100 12" xfId="0"/>
    <cellStyle name="표준 100 13" xfId="0"/>
    <cellStyle name="표준 100 2" xfId="0"/>
    <cellStyle name="표준 100 3" xfId="0"/>
    <cellStyle name="표준 100 4" xfId="0"/>
    <cellStyle name="표준 100 5" xfId="0"/>
    <cellStyle name="표준 100 6" xfId="0"/>
    <cellStyle name="표준 100 7" xfId="0"/>
    <cellStyle name="표준 100 8" xfId="0"/>
    <cellStyle name="표준 100 9" xfId="0"/>
    <cellStyle name="표준 101" xfId="0"/>
    <cellStyle name="표준 101 10" xfId="0"/>
    <cellStyle name="표준 101 11" xfId="0"/>
    <cellStyle name="표준 101 12" xfId="0"/>
    <cellStyle name="표준 101 13" xfId="0"/>
    <cellStyle name="표준 101 2" xfId="0"/>
    <cellStyle name="표준 101 3" xfId="0"/>
    <cellStyle name="표준 101 4" xfId="0"/>
    <cellStyle name="표준 101 5" xfId="0"/>
    <cellStyle name="표준 101 6" xfId="0"/>
    <cellStyle name="표준 101 7" xfId="0"/>
    <cellStyle name="표준 101 8" xfId="0"/>
    <cellStyle name="표준 101 9" xfId="0"/>
    <cellStyle name="표준 102" xfId="0"/>
    <cellStyle name="표준 102 10" xfId="0"/>
    <cellStyle name="표준 102 11" xfId="0"/>
    <cellStyle name="표준 102 12" xfId="0"/>
    <cellStyle name="표준 102 13" xfId="0"/>
    <cellStyle name="표준 102 2" xfId="0"/>
    <cellStyle name="표준 102 3" xfId="0"/>
    <cellStyle name="표준 102 4" xfId="0"/>
    <cellStyle name="표준 102 5" xfId="0"/>
    <cellStyle name="표준 102 6" xfId="0"/>
    <cellStyle name="표준 102 7" xfId="0"/>
    <cellStyle name="표준 102 8" xfId="0"/>
    <cellStyle name="표준 102 9" xfId="0"/>
    <cellStyle name="표준 103" xfId="0"/>
    <cellStyle name="표준 103 10" xfId="0"/>
    <cellStyle name="표준 103 10 2" xfId="0"/>
    <cellStyle name="표준 103 11" xfId="0"/>
    <cellStyle name="표준 103 11 2" xfId="0"/>
    <cellStyle name="표준 103 12" xfId="0"/>
    <cellStyle name="표준 103 12 2" xfId="0"/>
    <cellStyle name="표준 103 13" xfId="0"/>
    <cellStyle name="표준 103 13 2" xfId="0"/>
    <cellStyle name="표준 103 14" xfId="0"/>
    <cellStyle name="표준 103 15" xfId="0"/>
    <cellStyle name="표준 103 16" xfId="0"/>
    <cellStyle name="표준 103 17" xfId="0"/>
    <cellStyle name="표준 103 2" xfId="0"/>
    <cellStyle name="표준 103 2 2" xfId="0"/>
    <cellStyle name="표준 103 2 3" xfId="0"/>
    <cellStyle name="표준 103 3" xfId="0"/>
    <cellStyle name="표준 103 3 2" xfId="0"/>
    <cellStyle name="표준 103 3 3" xfId="0"/>
    <cellStyle name="표준 103 4" xfId="0"/>
    <cellStyle name="표준 103 4 2" xfId="0"/>
    <cellStyle name="표준 103 4 3" xfId="0"/>
    <cellStyle name="표준 103 5" xfId="0"/>
    <cellStyle name="표준 103 5 2" xfId="0"/>
    <cellStyle name="표준 103 5 3" xfId="0"/>
    <cellStyle name="표준 103 6" xfId="0"/>
    <cellStyle name="표준 103 6 2" xfId="0"/>
    <cellStyle name="표준 103 6 3" xfId="0"/>
    <cellStyle name="표준 103 7" xfId="0"/>
    <cellStyle name="표준 103 7 2" xfId="0"/>
    <cellStyle name="표준 103 8" xfId="0"/>
    <cellStyle name="표준 103 8 2" xfId="0"/>
    <cellStyle name="표준 103 9" xfId="0"/>
    <cellStyle name="표준 103 9 2" xfId="0"/>
    <cellStyle name="표준 104" xfId="0"/>
    <cellStyle name="표준 104 10" xfId="0"/>
    <cellStyle name="표준 104 11" xfId="0"/>
    <cellStyle name="표준 104 12" xfId="0"/>
    <cellStyle name="표준 104 13" xfId="0"/>
    <cellStyle name="표준 104 2" xfId="0"/>
    <cellStyle name="표준 104 2 2" xfId="0"/>
    <cellStyle name="표준 104 3" xfId="0"/>
    <cellStyle name="표준 104 4" xfId="0"/>
    <cellStyle name="표준 104 5" xfId="0"/>
    <cellStyle name="표준 104 6" xfId="0"/>
    <cellStyle name="표준 104 7" xfId="0"/>
    <cellStyle name="표준 104 8" xfId="0"/>
    <cellStyle name="표준 104 9" xfId="0"/>
    <cellStyle name="표준 105" xfId="0"/>
    <cellStyle name="표준 105 10" xfId="0"/>
    <cellStyle name="표준 105 11" xfId="0"/>
    <cellStyle name="표준 105 12" xfId="0"/>
    <cellStyle name="표준 105 13" xfId="0"/>
    <cellStyle name="표준 105 2" xfId="0"/>
    <cellStyle name="표준 105 3" xfId="0"/>
    <cellStyle name="표준 105 4" xfId="0"/>
    <cellStyle name="표준 105 5" xfId="0"/>
    <cellStyle name="표준 105 6" xfId="0"/>
    <cellStyle name="표준 105 7" xfId="0"/>
    <cellStyle name="표준 105 8" xfId="0"/>
    <cellStyle name="표준 105 9" xfId="0"/>
    <cellStyle name="표준 106" xfId="0"/>
    <cellStyle name="표준 106 10" xfId="0"/>
    <cellStyle name="표준 106 10 2" xfId="0"/>
    <cellStyle name="표준 106 11" xfId="0"/>
    <cellStyle name="표준 106 11 2" xfId="0"/>
    <cellStyle name="표준 106 12" xfId="0"/>
    <cellStyle name="표준 106 12 2" xfId="0"/>
    <cellStyle name="표준 106 13" xfId="0"/>
    <cellStyle name="표준 106 13 2" xfId="0"/>
    <cellStyle name="표준 106 14" xfId="0"/>
    <cellStyle name="표준 106 15" xfId="0"/>
    <cellStyle name="표준 106 16" xfId="0"/>
    <cellStyle name="표준 106 17" xfId="0"/>
    <cellStyle name="표준 106 2" xfId="0"/>
    <cellStyle name="표준 106 2 2" xfId="0"/>
    <cellStyle name="표준 106 2 3" xfId="0"/>
    <cellStyle name="표준 106 3" xfId="0"/>
    <cellStyle name="표준 106 3 2" xfId="0"/>
    <cellStyle name="표준 106 3 3" xfId="0"/>
    <cellStyle name="표준 106 4" xfId="0"/>
    <cellStyle name="표준 106 4 2" xfId="0"/>
    <cellStyle name="표준 106 4 3" xfId="0"/>
    <cellStyle name="표준 106 5" xfId="0"/>
    <cellStyle name="표준 106 5 2" xfId="0"/>
    <cellStyle name="표준 106 5 3" xfId="0"/>
    <cellStyle name="표준 106 6" xfId="0"/>
    <cellStyle name="표준 106 6 2" xfId="0"/>
    <cellStyle name="표준 106 6 3" xfId="0"/>
    <cellStyle name="표준 106 7" xfId="0"/>
    <cellStyle name="표준 106 7 2" xfId="0"/>
    <cellStyle name="표준 106 8" xfId="0"/>
    <cellStyle name="표준 106 8 2" xfId="0"/>
    <cellStyle name="표준 106 9" xfId="0"/>
    <cellStyle name="표준 106 9 2" xfId="0"/>
    <cellStyle name="표준 107" xfId="0"/>
    <cellStyle name="표준 107 10" xfId="0"/>
    <cellStyle name="표준 107 11" xfId="0"/>
    <cellStyle name="표준 107 12" xfId="0"/>
    <cellStyle name="표준 107 13" xfId="0"/>
    <cellStyle name="표준 107 2" xfId="0"/>
    <cellStyle name="표준 107 3" xfId="0"/>
    <cellStyle name="표준 107 4" xfId="0"/>
    <cellStyle name="표준 107 5" xfId="0"/>
    <cellStyle name="표준 107 6" xfId="0"/>
    <cellStyle name="표준 107 7" xfId="0"/>
    <cellStyle name="표준 107 8" xfId="0"/>
    <cellStyle name="표준 107 9" xfId="0"/>
    <cellStyle name="표준 108" xfId="0"/>
    <cellStyle name="표준 108 10" xfId="0"/>
    <cellStyle name="표준 108 11" xfId="0"/>
    <cellStyle name="표준 108 12" xfId="0"/>
    <cellStyle name="표준 108 13" xfId="0"/>
    <cellStyle name="표준 108 14" xfId="0"/>
    <cellStyle name="표준 108 2" xfId="0"/>
    <cellStyle name="표준 108 3" xfId="0"/>
    <cellStyle name="표준 108 4" xfId="0"/>
    <cellStyle name="표준 108 5" xfId="0"/>
    <cellStyle name="표준 108 6" xfId="0"/>
    <cellStyle name="표준 108 7" xfId="0"/>
    <cellStyle name="표준 108 8" xfId="0"/>
    <cellStyle name="표준 108 9" xfId="0"/>
    <cellStyle name="표준 109" xfId="0"/>
    <cellStyle name="표준 109 10" xfId="0"/>
    <cellStyle name="표준 109 11" xfId="0"/>
    <cellStyle name="표준 109 12" xfId="0"/>
    <cellStyle name="표준 109 13" xfId="0"/>
    <cellStyle name="표준 109 2" xfId="0"/>
    <cellStyle name="표준 109 3" xfId="0"/>
    <cellStyle name="표준 109 4" xfId="0"/>
    <cellStyle name="표준 109 5" xfId="0"/>
    <cellStyle name="표준 109 6" xfId="0"/>
    <cellStyle name="표준 109 7" xfId="0"/>
    <cellStyle name="표준 109 8" xfId="0"/>
    <cellStyle name="표준 109 9" xfId="0"/>
    <cellStyle name="표준 10_3300현금및예치금" xfId="0"/>
    <cellStyle name="표준 11" xfId="0"/>
    <cellStyle name="표준 11 10" xfId="0"/>
    <cellStyle name="표준 11 10 10" xfId="0"/>
    <cellStyle name="표준 11 10 2" xfId="0"/>
    <cellStyle name="표준 11 10 3" xfId="0"/>
    <cellStyle name="표준 11 10 4" xfId="0"/>
    <cellStyle name="표준 11 10 5" xfId="0"/>
    <cellStyle name="표준 11 10 6" xfId="0"/>
    <cellStyle name="표준 11 10 7" xfId="0"/>
    <cellStyle name="표준 11 10 8" xfId="0"/>
    <cellStyle name="표준 11 10 9" xfId="0"/>
    <cellStyle name="표준 11 11" xfId="0"/>
    <cellStyle name="표준 11 11 2" xfId="0"/>
    <cellStyle name="표준 11 11 3" xfId="0"/>
    <cellStyle name="표준 11 11 4" xfId="0"/>
    <cellStyle name="표준 11 11 5" xfId="0"/>
    <cellStyle name="표준 11 11 6" xfId="0"/>
    <cellStyle name="표준 11 11 7" xfId="0"/>
    <cellStyle name="표준 11 11 8" xfId="0"/>
    <cellStyle name="표준 11 11 9" xfId="0"/>
    <cellStyle name="표준 11 12" xfId="0"/>
    <cellStyle name="표준 11 12 2" xfId="0"/>
    <cellStyle name="표준 11 12 3" xfId="0"/>
    <cellStyle name="표준 11 12 4" xfId="0"/>
    <cellStyle name="표준 11 12 5" xfId="0"/>
    <cellStyle name="표준 11 12 6" xfId="0"/>
    <cellStyle name="표준 11 12 7" xfId="0"/>
    <cellStyle name="표준 11 12 8" xfId="0"/>
    <cellStyle name="표준 11 12 9" xfId="0"/>
    <cellStyle name="표준 11 13" xfId="0"/>
    <cellStyle name="표준 11 13 2" xfId="0"/>
    <cellStyle name="표준 11 13 3" xfId="0"/>
    <cellStyle name="표준 11 13 4" xfId="0"/>
    <cellStyle name="표준 11 13 5" xfId="0"/>
    <cellStyle name="표준 11 14" xfId="0"/>
    <cellStyle name="표준 11 14 2" xfId="0"/>
    <cellStyle name="표준 11 14 3" xfId="0"/>
    <cellStyle name="표준 11 14 4" xfId="0"/>
    <cellStyle name="표준 11 14 5" xfId="0"/>
    <cellStyle name="표준 11 15" xfId="0"/>
    <cellStyle name="표준 11 15 2" xfId="0"/>
    <cellStyle name="표준 11 15 2 2" xfId="0"/>
    <cellStyle name="표준 11 15 3" xfId="0"/>
    <cellStyle name="표준 11 15 3 2" xfId="0"/>
    <cellStyle name="표준 11 15 4" xfId="0"/>
    <cellStyle name="표준 11 15 4 2" xfId="0"/>
    <cellStyle name="표준 11 15 5" xfId="0"/>
    <cellStyle name="표준 11 15 5 2" xfId="0"/>
    <cellStyle name="표준 11 15 6" xfId="0"/>
    <cellStyle name="표준 11 16" xfId="0"/>
    <cellStyle name="표준 11 16 2" xfId="0"/>
    <cellStyle name="표준 11 17" xfId="0"/>
    <cellStyle name="표준 11 18" xfId="0"/>
    <cellStyle name="표준 11 19" xfId="0"/>
    <cellStyle name="표준 11 2" xfId="0"/>
    <cellStyle name="표준 11 2 10" xfId="0"/>
    <cellStyle name="표준 11 2 10 2" xfId="0"/>
    <cellStyle name="표준 11 2 2" xfId="0"/>
    <cellStyle name="표준 11 2 2 2" xfId="0"/>
    <cellStyle name="표준 11 2 3" xfId="0"/>
    <cellStyle name="표준 11 2 3 2" xfId="0"/>
    <cellStyle name="표준 11 2 4" xfId="0"/>
    <cellStyle name="표준 11 2 4 2" xfId="0"/>
    <cellStyle name="표준 11 2 5" xfId="0"/>
    <cellStyle name="표준 11 2 5 2" xfId="0"/>
    <cellStyle name="표준 11 2 6" xfId="0"/>
    <cellStyle name="표준 11 2 6 2" xfId="0"/>
    <cellStyle name="표준 11 2 7" xfId="0"/>
    <cellStyle name="표준 11 2 7 2" xfId="0"/>
    <cellStyle name="표준 11 2 8" xfId="0"/>
    <cellStyle name="표준 11 2 8 2" xfId="0"/>
    <cellStyle name="표준 11 2 9" xfId="0"/>
    <cellStyle name="표준 11 2 9 2" xfId="0"/>
    <cellStyle name="표준 11 20" xfId="0"/>
    <cellStyle name="표준 11 21" xfId="0"/>
    <cellStyle name="표준 11 22" xfId="0"/>
    <cellStyle name="표준 11 23" xfId="0"/>
    <cellStyle name="표준 11 24" xfId="0"/>
    <cellStyle name="표준 11 25" xfId="0"/>
    <cellStyle name="표준 11 26" xfId="0"/>
    <cellStyle name="표준 11 27" xfId="0"/>
    <cellStyle name="표준 11 27 2" xfId="0"/>
    <cellStyle name="표준 11 27 3" xfId="0"/>
    <cellStyle name="표준 11 27 4" xfId="0"/>
    <cellStyle name="표준 11 28" xfId="0"/>
    <cellStyle name="표준 11 3" xfId="0"/>
    <cellStyle name="표준 11 3 10" xfId="0"/>
    <cellStyle name="표준 11 3 10 2" xfId="0"/>
    <cellStyle name="표준 11 3 2" xfId="0"/>
    <cellStyle name="표준 11 3 2 2" xfId="0"/>
    <cellStyle name="표준 11 3 3" xfId="0"/>
    <cellStyle name="표준 11 3 3 2" xfId="0"/>
    <cellStyle name="표준 11 3 4" xfId="0"/>
    <cellStyle name="표준 11 3 4 2" xfId="0"/>
    <cellStyle name="표준 11 3 5" xfId="0"/>
    <cellStyle name="표준 11 3 5 2" xfId="0"/>
    <cellStyle name="표준 11 3 6" xfId="0"/>
    <cellStyle name="표준 11 3 6 2" xfId="0"/>
    <cellStyle name="표준 11 3 7" xfId="0"/>
    <cellStyle name="표준 11 3 7 2" xfId="0"/>
    <cellStyle name="표준 11 3 8" xfId="0"/>
    <cellStyle name="표준 11 3 8 2" xfId="0"/>
    <cellStyle name="표준 11 3 9" xfId="0"/>
    <cellStyle name="표준 11 3 9 2" xfId="0"/>
    <cellStyle name="표준 11 4" xfId="0"/>
    <cellStyle name="표준 11 4 10" xfId="0"/>
    <cellStyle name="표준 11 4 10 2" xfId="0"/>
    <cellStyle name="표준 11 4 2" xfId="0"/>
    <cellStyle name="표준 11 4 2 2" xfId="0"/>
    <cellStyle name="표준 11 4 3" xfId="0"/>
    <cellStyle name="표준 11 4 3 2" xfId="0"/>
    <cellStyle name="표준 11 4 4" xfId="0"/>
    <cellStyle name="표준 11 4 4 2" xfId="0"/>
    <cellStyle name="표준 11 4 5" xfId="0"/>
    <cellStyle name="표준 11 4 5 2" xfId="0"/>
    <cellStyle name="표준 11 4 6" xfId="0"/>
    <cellStyle name="표준 11 4 6 2" xfId="0"/>
    <cellStyle name="표준 11 4 7" xfId="0"/>
    <cellStyle name="표준 11 4 7 2" xfId="0"/>
    <cellStyle name="표준 11 4 8" xfId="0"/>
    <cellStyle name="표준 11 4 8 2" xfId="0"/>
    <cellStyle name="표준 11 4 9" xfId="0"/>
    <cellStyle name="표준 11 4 9 2" xfId="0"/>
    <cellStyle name="표준 11 5" xfId="0"/>
    <cellStyle name="표준 11 5 10" xfId="0"/>
    <cellStyle name="표준 11 5 10 2" xfId="0"/>
    <cellStyle name="표준 11 5 2" xfId="0"/>
    <cellStyle name="표준 11 5 2 2" xfId="0"/>
    <cellStyle name="표준 11 5 3" xfId="0"/>
    <cellStyle name="표준 11 5 3 2" xfId="0"/>
    <cellStyle name="표준 11 5 4" xfId="0"/>
    <cellStyle name="표준 11 5 4 2" xfId="0"/>
    <cellStyle name="표준 11 5 5" xfId="0"/>
    <cellStyle name="표준 11 5 5 2" xfId="0"/>
    <cellStyle name="표준 11 5 6" xfId="0"/>
    <cellStyle name="표준 11 5 6 2" xfId="0"/>
    <cellStyle name="표준 11 5 7" xfId="0"/>
    <cellStyle name="표준 11 5 7 2" xfId="0"/>
    <cellStyle name="표준 11 5 8" xfId="0"/>
    <cellStyle name="표준 11 5 8 2" xfId="0"/>
    <cellStyle name="표준 11 5 9" xfId="0"/>
    <cellStyle name="표준 11 5 9 2" xfId="0"/>
    <cellStyle name="표준 11 6" xfId="0"/>
    <cellStyle name="표준 11 6 10" xfId="0"/>
    <cellStyle name="표준 11 6 2" xfId="0"/>
    <cellStyle name="표준 11 6 3" xfId="0"/>
    <cellStyle name="표준 11 6 4" xfId="0"/>
    <cellStyle name="표준 11 6 5" xfId="0"/>
    <cellStyle name="표준 11 6 6" xfId="0"/>
    <cellStyle name="표준 11 6 7" xfId="0"/>
    <cellStyle name="표준 11 6 8" xfId="0"/>
    <cellStyle name="표준 11 6 9" xfId="0"/>
    <cellStyle name="표준 11 7" xfId="0"/>
    <cellStyle name="표준 11 7 10" xfId="0"/>
    <cellStyle name="표준 11 7 2" xfId="0"/>
    <cellStyle name="표준 11 7 3" xfId="0"/>
    <cellStyle name="표준 11 7 4" xfId="0"/>
    <cellStyle name="표준 11 7 5" xfId="0"/>
    <cellStyle name="표준 11 7 6" xfId="0"/>
    <cellStyle name="표준 11 7 7" xfId="0"/>
    <cellStyle name="표준 11 7 8" xfId="0"/>
    <cellStyle name="표준 11 7 9" xfId="0"/>
    <cellStyle name="표준 11 8" xfId="0"/>
    <cellStyle name="표준 11 8 10" xfId="0"/>
    <cellStyle name="표준 11 8 2" xfId="0"/>
    <cellStyle name="표준 11 8 3" xfId="0"/>
    <cellStyle name="표준 11 8 4" xfId="0"/>
    <cellStyle name="표준 11 8 5" xfId="0"/>
    <cellStyle name="표준 11 8 6" xfId="0"/>
    <cellStyle name="표준 11 8 7" xfId="0"/>
    <cellStyle name="표준 11 8 8" xfId="0"/>
    <cellStyle name="표준 11 8 9" xfId="0"/>
    <cellStyle name="표준 11 9" xfId="0"/>
    <cellStyle name="표준 11 9 10" xfId="0"/>
    <cellStyle name="표준 11 9 2" xfId="0"/>
    <cellStyle name="표준 11 9 3" xfId="0"/>
    <cellStyle name="표준 11 9 4" xfId="0"/>
    <cellStyle name="표준 11 9 5" xfId="0"/>
    <cellStyle name="표준 11 9 6" xfId="0"/>
    <cellStyle name="표준 11 9 7" xfId="0"/>
    <cellStyle name="표준 11 9 8" xfId="0"/>
    <cellStyle name="표준 11 9 9" xfId="0"/>
    <cellStyle name="표준 110" xfId="0"/>
    <cellStyle name="표준 110 10" xfId="0"/>
    <cellStyle name="표준 110 11" xfId="0"/>
    <cellStyle name="표준 110 12" xfId="0"/>
    <cellStyle name="표준 110 13" xfId="0"/>
    <cellStyle name="표준 110 2" xfId="0"/>
    <cellStyle name="표준 110 3" xfId="0"/>
    <cellStyle name="표준 110 4" xfId="0"/>
    <cellStyle name="표준 110 5" xfId="0"/>
    <cellStyle name="표준 110 6" xfId="0"/>
    <cellStyle name="표준 110 7" xfId="0"/>
    <cellStyle name="표준 110 8" xfId="0"/>
    <cellStyle name="표준 110 9" xfId="0"/>
    <cellStyle name="표준 111" xfId="0"/>
    <cellStyle name="표준 111 10" xfId="0"/>
    <cellStyle name="표준 111 11" xfId="0"/>
    <cellStyle name="표준 111 12" xfId="0"/>
    <cellStyle name="표준 111 13" xfId="0"/>
    <cellStyle name="표준 111 2" xfId="0"/>
    <cellStyle name="표준 111 3" xfId="0"/>
    <cellStyle name="표준 111 4" xfId="0"/>
    <cellStyle name="표준 111 5" xfId="0"/>
    <cellStyle name="표준 111 6" xfId="0"/>
    <cellStyle name="표준 111 7" xfId="0"/>
    <cellStyle name="표준 111 8" xfId="0"/>
    <cellStyle name="표준 111 9" xfId="0"/>
    <cellStyle name="표준 112" xfId="0"/>
    <cellStyle name="표준 112 10" xfId="0"/>
    <cellStyle name="표준 112 11" xfId="0"/>
    <cellStyle name="표준 112 12" xfId="0"/>
    <cellStyle name="표준 112 13" xfId="0"/>
    <cellStyle name="표준 112 2" xfId="0"/>
    <cellStyle name="표준 112 3" xfId="0"/>
    <cellStyle name="표준 112 4" xfId="0"/>
    <cellStyle name="표준 112 5" xfId="0"/>
    <cellStyle name="표준 112 6" xfId="0"/>
    <cellStyle name="표준 112 7" xfId="0"/>
    <cellStyle name="표준 112 8" xfId="0"/>
    <cellStyle name="표준 112 9" xfId="0"/>
    <cellStyle name="표준 113" xfId="0"/>
    <cellStyle name="표준 113 10" xfId="0"/>
    <cellStyle name="표준 113 11" xfId="0"/>
    <cellStyle name="표준 113 12" xfId="0"/>
    <cellStyle name="표준 113 13" xfId="0"/>
    <cellStyle name="표준 113 2" xfId="0"/>
    <cellStyle name="표준 113 3" xfId="0"/>
    <cellStyle name="표준 113 4" xfId="0"/>
    <cellStyle name="표준 113 5" xfId="0"/>
    <cellStyle name="표준 113 6" xfId="0"/>
    <cellStyle name="표준 113 7" xfId="0"/>
    <cellStyle name="표준 113 8" xfId="0"/>
    <cellStyle name="표준 113 9" xfId="0"/>
    <cellStyle name="표준 114" xfId="0"/>
    <cellStyle name="표준 114 10" xfId="0"/>
    <cellStyle name="표준 114 10 2" xfId="0"/>
    <cellStyle name="표준 114 11" xfId="0"/>
    <cellStyle name="표준 114 11 2" xfId="0"/>
    <cellStyle name="표준 114 12" xfId="0"/>
    <cellStyle name="표준 114 12 2" xfId="0"/>
    <cellStyle name="표준 114 13" xfId="0"/>
    <cellStyle name="표준 114 13 2" xfId="0"/>
    <cellStyle name="표준 114 14" xfId="0"/>
    <cellStyle name="표준 114 15" xfId="0"/>
    <cellStyle name="표준 114 16" xfId="0"/>
    <cellStyle name="표준 114 17" xfId="0"/>
    <cellStyle name="표준 114 2" xfId="0"/>
    <cellStyle name="표준 114 2 2" xfId="0"/>
    <cellStyle name="표준 114 2 3" xfId="0"/>
    <cellStyle name="표준 114 3" xfId="0"/>
    <cellStyle name="표준 114 3 2" xfId="0"/>
    <cellStyle name="표준 114 3 3" xfId="0"/>
    <cellStyle name="표준 114 4" xfId="0"/>
    <cellStyle name="표준 114 4 2" xfId="0"/>
    <cellStyle name="표준 114 4 3" xfId="0"/>
    <cellStyle name="표준 114 5" xfId="0"/>
    <cellStyle name="표준 114 5 2" xfId="0"/>
    <cellStyle name="표준 114 5 3" xfId="0"/>
    <cellStyle name="표준 114 6" xfId="0"/>
    <cellStyle name="표준 114 6 2" xfId="0"/>
    <cellStyle name="표준 114 6 3" xfId="0"/>
    <cellStyle name="표준 114 7" xfId="0"/>
    <cellStyle name="표준 114 7 2" xfId="0"/>
    <cellStyle name="표준 114 8" xfId="0"/>
    <cellStyle name="표준 114 8 2" xfId="0"/>
    <cellStyle name="표준 114 9" xfId="0"/>
    <cellStyle name="표준 114 9 2" xfId="0"/>
    <cellStyle name="표준 115" xfId="0"/>
    <cellStyle name="표준 115 2" xfId="0"/>
    <cellStyle name="표준 115 2 2" xfId="0"/>
    <cellStyle name="표준 115 3" xfId="0"/>
    <cellStyle name="표준 115 4" xfId="0"/>
    <cellStyle name="표준 116" xfId="0"/>
    <cellStyle name="표준 116 10" xfId="0"/>
    <cellStyle name="표준 116 11" xfId="0"/>
    <cellStyle name="표준 116 12" xfId="0"/>
    <cellStyle name="표준 116 13" xfId="0"/>
    <cellStyle name="표준 116 14" xfId="0"/>
    <cellStyle name="표준 116 15" xfId="0"/>
    <cellStyle name="표준 116 16" xfId="0"/>
    <cellStyle name="표준 116 2" xfId="0"/>
    <cellStyle name="표준 116 2 2" xfId="0"/>
    <cellStyle name="표준 116 3" xfId="0"/>
    <cellStyle name="표준 116 3 2" xfId="0"/>
    <cellStyle name="표준 116 4" xfId="0"/>
    <cellStyle name="표준 116 4 2" xfId="0"/>
    <cellStyle name="표준 116 5" xfId="0"/>
    <cellStyle name="표준 116 5 2" xfId="0"/>
    <cellStyle name="표준 116 6" xfId="0"/>
    <cellStyle name="표준 116 6 2" xfId="0"/>
    <cellStyle name="표준 116 7" xfId="0"/>
    <cellStyle name="표준 116 8" xfId="0"/>
    <cellStyle name="표준 116 9" xfId="0"/>
    <cellStyle name="표준 117" xfId="0"/>
    <cellStyle name="표준 117 2" xfId="0"/>
    <cellStyle name="표준 117 3" xfId="0"/>
    <cellStyle name="표준 118" xfId="0"/>
    <cellStyle name="표준 118 10" xfId="0"/>
    <cellStyle name="표준 118 11" xfId="0"/>
    <cellStyle name="표준 118 12" xfId="0"/>
    <cellStyle name="표준 118 13" xfId="0"/>
    <cellStyle name="표준 118 14" xfId="0"/>
    <cellStyle name="표준 118 15" xfId="0"/>
    <cellStyle name="표준 118 16" xfId="0"/>
    <cellStyle name="표준 118 17" xfId="0"/>
    <cellStyle name="표준 118 2" xfId="0"/>
    <cellStyle name="표준 118 2 2" xfId="0"/>
    <cellStyle name="표준 118 3" xfId="0"/>
    <cellStyle name="표준 118 3 2" xfId="0"/>
    <cellStyle name="표준 118 4" xfId="0"/>
    <cellStyle name="표준 118 4 2" xfId="0"/>
    <cellStyle name="표준 118 5" xfId="0"/>
    <cellStyle name="표준 118 5 2" xfId="0"/>
    <cellStyle name="표준 118 6" xfId="0"/>
    <cellStyle name="표준 118 6 2" xfId="0"/>
    <cellStyle name="표준 118 7" xfId="0"/>
    <cellStyle name="표준 118 7 2" xfId="0"/>
    <cellStyle name="표준 118 8" xfId="0"/>
    <cellStyle name="표준 118 9" xfId="0"/>
    <cellStyle name="표준 119" xfId="0"/>
    <cellStyle name="표준 119 10" xfId="0"/>
    <cellStyle name="표준 119 11" xfId="0"/>
    <cellStyle name="표준 119 12" xfId="0"/>
    <cellStyle name="표준 119 13" xfId="0"/>
    <cellStyle name="표준 119 2" xfId="0"/>
    <cellStyle name="표준 119 3" xfId="0"/>
    <cellStyle name="표준 119 4" xfId="0"/>
    <cellStyle name="표준 119 5" xfId="0"/>
    <cellStyle name="표준 119 6" xfId="0"/>
    <cellStyle name="표준 119 7" xfId="0"/>
    <cellStyle name="표준 119 8" xfId="0"/>
    <cellStyle name="표준 119 9" xfId="0"/>
    <cellStyle name="표준 12" xfId="0"/>
    <cellStyle name="표준 12 10" xfId="0"/>
    <cellStyle name="표준 12 10 2" xfId="0"/>
    <cellStyle name="표준 12 11" xfId="0"/>
    <cellStyle name="표준 12 11 2" xfId="0"/>
    <cellStyle name="표준 12 12" xfId="0"/>
    <cellStyle name="표준 12 13" xfId="0"/>
    <cellStyle name="표준 12 13 2" xfId="0"/>
    <cellStyle name="표준 12 14" xfId="0"/>
    <cellStyle name="표준 12 14 2" xfId="0"/>
    <cellStyle name="표준 12 15" xfId="0"/>
    <cellStyle name="표준 12 15 2" xfId="0"/>
    <cellStyle name="표준 12 16" xfId="0"/>
    <cellStyle name="표준 12 16 2" xfId="0"/>
    <cellStyle name="표준 12 17" xfId="0"/>
    <cellStyle name="표준 12 17 2" xfId="0"/>
    <cellStyle name="표준 12 18" xfId="0"/>
    <cellStyle name="표준 12 19" xfId="0"/>
    <cellStyle name="표준 12 2" xfId="0"/>
    <cellStyle name="표준 12 2 10" xfId="0"/>
    <cellStyle name="표준 12 2 11" xfId="0"/>
    <cellStyle name="표준 12 2 2" xfId="0"/>
    <cellStyle name="표준 12 2 2 10" xfId="0"/>
    <cellStyle name="표준 12 2 2 11" xfId="0"/>
    <cellStyle name="표준 12 2 2 2" xfId="0"/>
    <cellStyle name="표준 12 2 2 3" xfId="0"/>
    <cellStyle name="표준 12 2 2 4" xfId="0"/>
    <cellStyle name="표준 12 2 2 5" xfId="0"/>
    <cellStyle name="표준 12 2 2 6" xfId="0"/>
    <cellStyle name="표준 12 2 2 7" xfId="0"/>
    <cellStyle name="표준 12 2 2 8" xfId="0"/>
    <cellStyle name="표준 12 2 2 9" xfId="0"/>
    <cellStyle name="표준 12 2 3" xfId="0"/>
    <cellStyle name="표준 12 2 4" xfId="0"/>
    <cellStyle name="표준 12 2 5" xfId="0"/>
    <cellStyle name="표준 12 2 6" xfId="0"/>
    <cellStyle name="표준 12 2 7" xfId="0"/>
    <cellStyle name="표준 12 2 8" xfId="0"/>
    <cellStyle name="표준 12 2 9" xfId="0"/>
    <cellStyle name="표준 12 20" xfId="0"/>
    <cellStyle name="표준 12 21" xfId="0"/>
    <cellStyle name="표준 12 22" xfId="0"/>
    <cellStyle name="표준 12 23" xfId="0"/>
    <cellStyle name="표준 12 24" xfId="0"/>
    <cellStyle name="표준 12 3" xfId="0"/>
    <cellStyle name="표준 12 3 10" xfId="0"/>
    <cellStyle name="표준 12 3 11" xfId="0"/>
    <cellStyle name="표준 12 3 2" xfId="0"/>
    <cellStyle name="표준 12 3 2 10" xfId="0"/>
    <cellStyle name="표준 12 3 2 11" xfId="0"/>
    <cellStyle name="표준 12 3 2 2" xfId="0"/>
    <cellStyle name="표준 12 3 2 3" xfId="0"/>
    <cellStyle name="표준 12 3 2 4" xfId="0"/>
    <cellStyle name="표준 12 3 2 5" xfId="0"/>
    <cellStyle name="표준 12 3 2 6" xfId="0"/>
    <cellStyle name="표준 12 3 2 7" xfId="0"/>
    <cellStyle name="표준 12 3 2 8" xfId="0"/>
    <cellStyle name="표준 12 3 2 9" xfId="0"/>
    <cellStyle name="표준 12 3 3" xfId="0"/>
    <cellStyle name="표준 12 3 4" xfId="0"/>
    <cellStyle name="표준 12 3 5" xfId="0"/>
    <cellStyle name="표준 12 3 6" xfId="0"/>
    <cellStyle name="표준 12 3 7" xfId="0"/>
    <cellStyle name="표준 12 3 8" xfId="0"/>
    <cellStyle name="표준 12 3 9" xfId="0"/>
    <cellStyle name="표준 12 4" xfId="0"/>
    <cellStyle name="표준 12 4 10" xfId="0"/>
    <cellStyle name="표준 12 4 2" xfId="0"/>
    <cellStyle name="표준 12 4 2 2" xfId="0"/>
    <cellStyle name="표준 12 4 2 2 2" xfId="0"/>
    <cellStyle name="표준 12 4 2 2 3" xfId="0"/>
    <cellStyle name="표준 12 4 2 2 4" xfId="0"/>
    <cellStyle name="표준 12 4 2 2 5" xfId="0"/>
    <cellStyle name="표준 12 4 2 3" xfId="0"/>
    <cellStyle name="표준 12 4 2 4" xfId="0"/>
    <cellStyle name="표준 12 4 2 5" xfId="0"/>
    <cellStyle name="표준 12 4 2 6" xfId="0"/>
    <cellStyle name="표준 12 4 2 7" xfId="0"/>
    <cellStyle name="표준 12 4 2 8" xfId="0"/>
    <cellStyle name="표준 12 4 2 9" xfId="0"/>
    <cellStyle name="표준 12 4 3" xfId="0"/>
    <cellStyle name="표준 12 4 3 2" xfId="0"/>
    <cellStyle name="표준 12 4 3 3" xfId="0"/>
    <cellStyle name="표준 12 4 3 4" xfId="0"/>
    <cellStyle name="표준 12 4 3 5" xfId="0"/>
    <cellStyle name="표준 12 4 4" xfId="0"/>
    <cellStyle name="표준 12 4 4 2" xfId="0"/>
    <cellStyle name="표준 12 4 4 3" xfId="0"/>
    <cellStyle name="표준 12 4 4 4" xfId="0"/>
    <cellStyle name="표준 12 4 4 5" xfId="0"/>
    <cellStyle name="표준 12 4 5" xfId="0"/>
    <cellStyle name="표준 12 4 5 2" xfId="0"/>
    <cellStyle name="표준 12 4 5 3" xfId="0"/>
    <cellStyle name="표준 12 4 5 4" xfId="0"/>
    <cellStyle name="표준 12 4 5 5" xfId="0"/>
    <cellStyle name="표준 12 4 6" xfId="0"/>
    <cellStyle name="표준 12 4 6 2" xfId="0"/>
    <cellStyle name="표준 12 4 6 3" xfId="0"/>
    <cellStyle name="표준 12 4 6 4" xfId="0"/>
    <cellStyle name="표준 12 4 6 5" xfId="0"/>
    <cellStyle name="표준 12 4 7" xfId="0"/>
    <cellStyle name="표준 12 4 8" xfId="0"/>
    <cellStyle name="표준 12 4 9" xfId="0"/>
    <cellStyle name="표준 12 5" xfId="0"/>
    <cellStyle name="표준 12 5 2" xfId="0"/>
    <cellStyle name="표준 12 5 3" xfId="0"/>
    <cellStyle name="표준 12 5 4" xfId="0"/>
    <cellStyle name="표준 12 6" xfId="0"/>
    <cellStyle name="표준 12 6 2" xfId="0"/>
    <cellStyle name="표준 12 6 3" xfId="0"/>
    <cellStyle name="표준 12 6 4" xfId="0"/>
    <cellStyle name="표준 12 7" xfId="0"/>
    <cellStyle name="표준 12 7 2" xfId="0"/>
    <cellStyle name="표준 12 7 3" xfId="0"/>
    <cellStyle name="표준 12 8" xfId="0"/>
    <cellStyle name="표준 12 8 2" xfId="0"/>
    <cellStyle name="표준 12 8 3" xfId="0"/>
    <cellStyle name="표준 12 9" xfId="0"/>
    <cellStyle name="표준 12 9 2" xfId="0"/>
    <cellStyle name="표준 12 9 3" xfId="0"/>
    <cellStyle name="표준 120" xfId="0"/>
    <cellStyle name="표준 120 2" xfId="0"/>
    <cellStyle name="표준 120 2 2" xfId="0"/>
    <cellStyle name="표준 120 2 2 2" xfId="0"/>
    <cellStyle name="표준 120 2 3" xfId="0"/>
    <cellStyle name="표준 121" xfId="0"/>
    <cellStyle name="표준 121 10" xfId="0"/>
    <cellStyle name="표준 121 11" xfId="0"/>
    <cellStyle name="표준 121 12" xfId="0"/>
    <cellStyle name="표준 121 13" xfId="0"/>
    <cellStyle name="표준 121 14" xfId="0"/>
    <cellStyle name="표준 121 15" xfId="0"/>
    <cellStyle name="표준 121 16" xfId="0"/>
    <cellStyle name="표준 121 17" xfId="0"/>
    <cellStyle name="표준 121 18" xfId="0"/>
    <cellStyle name="표준 121 19" xfId="0"/>
    <cellStyle name="표준 121 2" xfId="0"/>
    <cellStyle name="표준 121 2 2" xfId="0"/>
    <cellStyle name="표준 121 3" xfId="0"/>
    <cellStyle name="표준 121 3 2" xfId="0"/>
    <cellStyle name="표준 121 4" xfId="0"/>
    <cellStyle name="표준 121 4 2" xfId="0"/>
    <cellStyle name="표준 121 5" xfId="0"/>
    <cellStyle name="표준 121 5 2" xfId="0"/>
    <cellStyle name="표준 121 6" xfId="0"/>
    <cellStyle name="표준 121 6 2" xfId="0"/>
    <cellStyle name="표준 121 7" xfId="0"/>
    <cellStyle name="표준 121 7 2" xfId="0"/>
    <cellStyle name="표준 121 8" xfId="0"/>
    <cellStyle name="표준 121 8 2" xfId="0"/>
    <cellStyle name="표준 121 9" xfId="0"/>
    <cellStyle name="표준 122" xfId="0"/>
    <cellStyle name="표준 122 10" xfId="0"/>
    <cellStyle name="표준 122 11" xfId="0"/>
    <cellStyle name="표준 122 12" xfId="0"/>
    <cellStyle name="표준 122 13" xfId="0"/>
    <cellStyle name="표준 122 2" xfId="0"/>
    <cellStyle name="표준 122 2 2" xfId="0"/>
    <cellStyle name="표준 122 3" xfId="0"/>
    <cellStyle name="표준 122 3 2" xfId="0"/>
    <cellStyle name="표준 122 4" xfId="0"/>
    <cellStyle name="표준 122 4 2" xfId="0"/>
    <cellStyle name="표준 122 5" xfId="0"/>
    <cellStyle name="표준 122 6" xfId="0"/>
    <cellStyle name="표준 122 7" xfId="0"/>
    <cellStyle name="표준 122 8" xfId="0"/>
    <cellStyle name="표준 122 9" xfId="0"/>
    <cellStyle name="표준 123" xfId="0"/>
    <cellStyle name="표준 123 10" xfId="0"/>
    <cellStyle name="표준 123 11" xfId="0"/>
    <cellStyle name="표준 123 12" xfId="0"/>
    <cellStyle name="표준 123 13" xfId="0"/>
    <cellStyle name="표준 123 14" xfId="0"/>
    <cellStyle name="표준 123 15" xfId="0"/>
    <cellStyle name="표준 123 16" xfId="0"/>
    <cellStyle name="표준 123 17" xfId="0"/>
    <cellStyle name="표준 123 18" xfId="0"/>
    <cellStyle name="표준 123 2" xfId="0"/>
    <cellStyle name="표준 123 2 2" xfId="0"/>
    <cellStyle name="표준 123 3" xfId="0"/>
    <cellStyle name="표준 123 3 2" xfId="0"/>
    <cellStyle name="표준 123 4" xfId="0"/>
    <cellStyle name="표준 123 4 2" xfId="0"/>
    <cellStyle name="표준 123 5" xfId="0"/>
    <cellStyle name="표준 123 5 2" xfId="0"/>
    <cellStyle name="표준 123 6" xfId="0"/>
    <cellStyle name="표준 123 6 2" xfId="0"/>
    <cellStyle name="표준 123 7" xfId="0"/>
    <cellStyle name="표준 123 7 2" xfId="0"/>
    <cellStyle name="표준 123 8" xfId="0"/>
    <cellStyle name="표준 123 9" xfId="0"/>
    <cellStyle name="표준 124" xfId="0"/>
    <cellStyle name="표준 124 2" xfId="0"/>
    <cellStyle name="표준 125" xfId="0"/>
    <cellStyle name="표준 125 10" xfId="0"/>
    <cellStyle name="표준 125 11" xfId="0"/>
    <cellStyle name="표준 125 12" xfId="0"/>
    <cellStyle name="표준 125 13" xfId="0"/>
    <cellStyle name="표준 125 14" xfId="0"/>
    <cellStyle name="표준 125 15" xfId="0"/>
    <cellStyle name="표준 125 16" xfId="0"/>
    <cellStyle name="표준 125 17" xfId="0"/>
    <cellStyle name="표준 125 2" xfId="0"/>
    <cellStyle name="표준 125 2 2" xfId="0"/>
    <cellStyle name="표준 125 3" xfId="0"/>
    <cellStyle name="표준 125 3 2" xfId="0"/>
    <cellStyle name="표준 125 4" xfId="0"/>
    <cellStyle name="표준 125 4 2" xfId="0"/>
    <cellStyle name="표준 125 5" xfId="0"/>
    <cellStyle name="표준 125 5 2" xfId="0"/>
    <cellStyle name="표준 125 6" xfId="0"/>
    <cellStyle name="표준 125 6 2" xfId="0"/>
    <cellStyle name="표준 125 7" xfId="0"/>
    <cellStyle name="표준 125 7 2" xfId="0"/>
    <cellStyle name="표준 125 8" xfId="0"/>
    <cellStyle name="표준 125 9" xfId="0"/>
    <cellStyle name="표준 126" xfId="0"/>
    <cellStyle name="표준 126 10" xfId="0"/>
    <cellStyle name="표준 126 11" xfId="0"/>
    <cellStyle name="표준 126 12" xfId="0"/>
    <cellStyle name="표준 126 13" xfId="0"/>
    <cellStyle name="표준 126 14" xfId="0"/>
    <cellStyle name="표준 126 15" xfId="0"/>
    <cellStyle name="표준 126 16" xfId="0"/>
    <cellStyle name="표준 126 17" xfId="0"/>
    <cellStyle name="표준 126 2" xfId="0"/>
    <cellStyle name="표준 126 2 2" xfId="0"/>
    <cellStyle name="표준 126 3" xfId="0"/>
    <cellStyle name="표준 126 3 2" xfId="0"/>
    <cellStyle name="표준 126 4" xfId="0"/>
    <cellStyle name="표준 126 4 2" xfId="0"/>
    <cellStyle name="표준 126 5" xfId="0"/>
    <cellStyle name="표준 126 5 2" xfId="0"/>
    <cellStyle name="표준 126 6" xfId="0"/>
    <cellStyle name="표준 126 6 2" xfId="0"/>
    <cellStyle name="표준 126 7" xfId="0"/>
    <cellStyle name="표준 126 7 2" xfId="0"/>
    <cellStyle name="표준 126 8" xfId="0"/>
    <cellStyle name="표준 126 9" xfId="0"/>
    <cellStyle name="표준 127" xfId="0"/>
    <cellStyle name="표준 127 10" xfId="0"/>
    <cellStyle name="표준 127 11" xfId="0"/>
    <cellStyle name="표준 127 12" xfId="0"/>
    <cellStyle name="표준 127 13" xfId="0"/>
    <cellStyle name="표준 127 14" xfId="0"/>
    <cellStyle name="표준 127 15" xfId="0"/>
    <cellStyle name="표준 127 16" xfId="0"/>
    <cellStyle name="표준 127 17" xfId="0"/>
    <cellStyle name="표준 127 18" xfId="0"/>
    <cellStyle name="표준 127 2" xfId="0"/>
    <cellStyle name="표준 127 2 2" xfId="0"/>
    <cellStyle name="표준 127 3" xfId="0"/>
    <cellStyle name="표준 127 3 2" xfId="0"/>
    <cellStyle name="표준 127 4" xfId="0"/>
    <cellStyle name="표준 127 4 2" xfId="0"/>
    <cellStyle name="표준 127 5" xfId="0"/>
    <cellStyle name="표준 127 5 2" xfId="0"/>
    <cellStyle name="표준 127 6" xfId="0"/>
    <cellStyle name="표준 127 6 2" xfId="0"/>
    <cellStyle name="표준 127 7" xfId="0"/>
    <cellStyle name="표준 127 7 2" xfId="0"/>
    <cellStyle name="표준 127 8" xfId="0"/>
    <cellStyle name="표준 127 9" xfId="0"/>
    <cellStyle name="표준 128" xfId="0"/>
    <cellStyle name="표준 129" xfId="0"/>
    <cellStyle name="표준 129 10" xfId="0"/>
    <cellStyle name="표준 129 11" xfId="0"/>
    <cellStyle name="표준 129 12" xfId="0"/>
    <cellStyle name="표준 129 13" xfId="0"/>
    <cellStyle name="표준 129 14" xfId="0"/>
    <cellStyle name="표준 129 15" xfId="0"/>
    <cellStyle name="표준 129 16" xfId="0"/>
    <cellStyle name="표준 129 17" xfId="0"/>
    <cellStyle name="표준 129 18" xfId="0"/>
    <cellStyle name="표준 129 2" xfId="0"/>
    <cellStyle name="표준 129 2 2" xfId="0"/>
    <cellStyle name="표준 129 3" xfId="0"/>
    <cellStyle name="표준 129 3 2" xfId="0"/>
    <cellStyle name="표준 129 4" xfId="0"/>
    <cellStyle name="표준 129 4 2" xfId="0"/>
    <cellStyle name="표준 129 5" xfId="0"/>
    <cellStyle name="표준 129 5 2" xfId="0"/>
    <cellStyle name="표준 129 6" xfId="0"/>
    <cellStyle name="표준 129 6 2" xfId="0"/>
    <cellStyle name="표준 129 7" xfId="0"/>
    <cellStyle name="표준 129 7 2" xfId="0"/>
    <cellStyle name="표준 129 8" xfId="0"/>
    <cellStyle name="표준 129 9" xfId="0"/>
    <cellStyle name="표준 12_@2009 BSPL(10월)_최종본" xfId="0"/>
    <cellStyle name="표준 13" xfId="0"/>
    <cellStyle name="표준 13 10" xfId="0"/>
    <cellStyle name="표준 13 10 2" xfId="0"/>
    <cellStyle name="표준 13 10 3" xfId="0"/>
    <cellStyle name="표준 13 10 4" xfId="0"/>
    <cellStyle name="표준 13 10 5" xfId="0"/>
    <cellStyle name="표준 13 10 6" xfId="0"/>
    <cellStyle name="표준 13 10 7" xfId="0"/>
    <cellStyle name="표준 13 10 8" xfId="0"/>
    <cellStyle name="표준 13 10 9" xfId="0"/>
    <cellStyle name="표준 13 11" xfId="0"/>
    <cellStyle name="표준 13 11 2" xfId="0"/>
    <cellStyle name="표준 13 11 3" xfId="0"/>
    <cellStyle name="표준 13 11 4" xfId="0"/>
    <cellStyle name="표준 13 11 5" xfId="0"/>
    <cellStyle name="표준 13 12" xfId="0"/>
    <cellStyle name="표준 13 12 2" xfId="0"/>
    <cellStyle name="표준 13 12 3" xfId="0"/>
    <cellStyle name="표준 13 12 4" xfId="0"/>
    <cellStyle name="표준 13 12 5" xfId="0"/>
    <cellStyle name="표준 13 13" xfId="0"/>
    <cellStyle name="표준 13 13 2" xfId="0"/>
    <cellStyle name="표준 13 13 3" xfId="0"/>
    <cellStyle name="표준 13 13 4" xfId="0"/>
    <cellStyle name="표준 13 13 5" xfId="0"/>
    <cellStyle name="표준 13 14" xfId="0"/>
    <cellStyle name="표준 13 14 2" xfId="0"/>
    <cellStyle name="표준 13 14 2 2" xfId="0"/>
    <cellStyle name="표준 13 14 2 3" xfId="0"/>
    <cellStyle name="표준 13 14 2 4" xfId="0"/>
    <cellStyle name="표준 13 14 2 5" xfId="0"/>
    <cellStyle name="표준 13 14 2 6" xfId="0"/>
    <cellStyle name="표준 13 14 3" xfId="0"/>
    <cellStyle name="표준 13 14 3 2" xfId="0"/>
    <cellStyle name="표준 13 14 3 3" xfId="0"/>
    <cellStyle name="표준 13 14 3 4" xfId="0"/>
    <cellStyle name="표준 13 14 3 5" xfId="0"/>
    <cellStyle name="표준 13 14 3 6" xfId="0"/>
    <cellStyle name="표준 13 14 4" xfId="0"/>
    <cellStyle name="표준 13 14 4 2" xfId="0"/>
    <cellStyle name="표준 13 14 4 3" xfId="0"/>
    <cellStyle name="표준 13 14 4 4" xfId="0"/>
    <cellStyle name="표준 13 14 4 5" xfId="0"/>
    <cellStyle name="표준 13 14 4 6" xfId="0"/>
    <cellStyle name="표준 13 14 5" xfId="0"/>
    <cellStyle name="표준 13 14 5 2" xfId="0"/>
    <cellStyle name="표준 13 14 5 3" xfId="0"/>
    <cellStyle name="표준 13 14 5 4" xfId="0"/>
    <cellStyle name="표준 13 14 5 5" xfId="0"/>
    <cellStyle name="표준 13 14 5 6" xfId="0"/>
    <cellStyle name="표준 13 14 6" xfId="0"/>
    <cellStyle name="표준 13 14 7" xfId="0"/>
    <cellStyle name="표준 13 14 8" xfId="0"/>
    <cellStyle name="표준 13 15" xfId="0"/>
    <cellStyle name="표준 13 15 2" xfId="0"/>
    <cellStyle name="표준 13 16" xfId="0"/>
    <cellStyle name="표준 13 16 2" xfId="0"/>
    <cellStyle name="표준 13 17" xfId="0"/>
    <cellStyle name="표준 13 17 2" xfId="0"/>
    <cellStyle name="표준 13 18" xfId="0"/>
    <cellStyle name="표준 13 18 2" xfId="0"/>
    <cellStyle name="표준 13 19" xfId="0"/>
    <cellStyle name="표준 13 2" xfId="0"/>
    <cellStyle name="표준 13 2 10" xfId="0"/>
    <cellStyle name="표준 13 2 10 2" xfId="0"/>
    <cellStyle name="표준 13 2 11" xfId="0"/>
    <cellStyle name="표준 13 2 2" xfId="0"/>
    <cellStyle name="표준 13 2 2 10" xfId="0"/>
    <cellStyle name="표준 13 2 2 11" xfId="0"/>
    <cellStyle name="표준 13 2 2 2" xfId="0"/>
    <cellStyle name="표준 13 2 2 3" xfId="0"/>
    <cellStyle name="표준 13 2 2 4" xfId="0"/>
    <cellStyle name="표준 13 2 2 5" xfId="0"/>
    <cellStyle name="표준 13 2 2 6" xfId="0"/>
    <cellStyle name="표준 13 2 2 7" xfId="0"/>
    <cellStyle name="표준 13 2 2 8" xfId="0"/>
    <cellStyle name="표준 13 2 2 9" xfId="0"/>
    <cellStyle name="표준 13 2 3" xfId="0"/>
    <cellStyle name="표준 13 2 3 2" xfId="0"/>
    <cellStyle name="표준 13 2 4" xfId="0"/>
    <cellStyle name="표준 13 2 4 2" xfId="0"/>
    <cellStyle name="표준 13 2 5" xfId="0"/>
    <cellStyle name="표준 13 2 5 2" xfId="0"/>
    <cellStyle name="표준 13 2 6" xfId="0"/>
    <cellStyle name="표준 13 2 6 2" xfId="0"/>
    <cellStyle name="표준 13 2 7" xfId="0"/>
    <cellStyle name="표준 13 2 7 2" xfId="0"/>
    <cellStyle name="표준 13 2 8" xfId="0"/>
    <cellStyle name="표준 13 2 8 2" xfId="0"/>
    <cellStyle name="표준 13 2 9" xfId="0"/>
    <cellStyle name="표준 13 2 9 2" xfId="0"/>
    <cellStyle name="표준 13 20" xfId="0"/>
    <cellStyle name="표준 13 21" xfId="0"/>
    <cellStyle name="표준 13 22" xfId="0"/>
    <cellStyle name="표준 13 23" xfId="0"/>
    <cellStyle name="표준 13 24" xfId="0"/>
    <cellStyle name="표준 13 25" xfId="0"/>
    <cellStyle name="표준 13 3" xfId="0"/>
    <cellStyle name="표준 13 3 10" xfId="0"/>
    <cellStyle name="표준 13 3 10 2" xfId="0"/>
    <cellStyle name="표준 13 3 11" xfId="0"/>
    <cellStyle name="표준 13 3 2" xfId="0"/>
    <cellStyle name="표준 13 3 2 10" xfId="0"/>
    <cellStyle name="표준 13 3 2 11" xfId="0"/>
    <cellStyle name="표준 13 3 2 2" xfId="0"/>
    <cellStyle name="표준 13 3 2 3" xfId="0"/>
    <cellStyle name="표준 13 3 2 4" xfId="0"/>
    <cellStyle name="표준 13 3 2 5" xfId="0"/>
    <cellStyle name="표준 13 3 2 6" xfId="0"/>
    <cellStyle name="표준 13 3 2 7" xfId="0"/>
    <cellStyle name="표준 13 3 2 8" xfId="0"/>
    <cellStyle name="표준 13 3 2 9" xfId="0"/>
    <cellStyle name="표준 13 3 3" xfId="0"/>
    <cellStyle name="표준 13 3 3 2" xfId="0"/>
    <cellStyle name="표준 13 3 4" xfId="0"/>
    <cellStyle name="표준 13 3 4 2" xfId="0"/>
    <cellStyle name="표준 13 3 5" xfId="0"/>
    <cellStyle name="표준 13 3 5 2" xfId="0"/>
    <cellStyle name="표준 13 3 6" xfId="0"/>
    <cellStyle name="표준 13 3 6 2" xfId="0"/>
    <cellStyle name="표준 13 3 7" xfId="0"/>
    <cellStyle name="표준 13 3 7 2" xfId="0"/>
    <cellStyle name="표준 13 3 8" xfId="0"/>
    <cellStyle name="표준 13 3 8 2" xfId="0"/>
    <cellStyle name="표준 13 3 9" xfId="0"/>
    <cellStyle name="표준 13 3 9 2" xfId="0"/>
    <cellStyle name="표준 13 4" xfId="0"/>
    <cellStyle name="표준 13 4 10" xfId="0"/>
    <cellStyle name="표준 13 4 11" xfId="0"/>
    <cellStyle name="표준 13 4 2" xfId="0"/>
    <cellStyle name="표준 13 4 3" xfId="0"/>
    <cellStyle name="표준 13 4 4" xfId="0"/>
    <cellStyle name="표준 13 4 5" xfId="0"/>
    <cellStyle name="표준 13 4 6" xfId="0"/>
    <cellStyle name="표준 13 4 7" xfId="0"/>
    <cellStyle name="표준 13 4 8" xfId="0"/>
    <cellStyle name="표준 13 4 9" xfId="0"/>
    <cellStyle name="표준 13 5" xfId="0"/>
    <cellStyle name="표준 13 5 10" xfId="0"/>
    <cellStyle name="표준 13 5 11" xfId="0"/>
    <cellStyle name="표준 13 5 2" xfId="0"/>
    <cellStyle name="표준 13 5 3" xfId="0"/>
    <cellStyle name="표준 13 5 4" xfId="0"/>
    <cellStyle name="표준 13 5 5" xfId="0"/>
    <cellStyle name="표준 13 5 6" xfId="0"/>
    <cellStyle name="표준 13 5 7" xfId="0"/>
    <cellStyle name="표준 13 5 8" xfId="0"/>
    <cellStyle name="표준 13 5 9" xfId="0"/>
    <cellStyle name="표준 13 6" xfId="0"/>
    <cellStyle name="표준 13 6 10" xfId="0"/>
    <cellStyle name="표준 13 6 11" xfId="0"/>
    <cellStyle name="표준 13 6 2" xfId="0"/>
    <cellStyle name="표준 13 6 3" xfId="0"/>
    <cellStyle name="표준 13 6 4" xfId="0"/>
    <cellStyle name="표준 13 6 5" xfId="0"/>
    <cellStyle name="표준 13 6 6" xfId="0"/>
    <cellStyle name="표준 13 6 7" xfId="0"/>
    <cellStyle name="표준 13 6 8" xfId="0"/>
    <cellStyle name="표준 13 6 9" xfId="0"/>
    <cellStyle name="표준 13 7" xfId="0"/>
    <cellStyle name="표준 13 7 10" xfId="0"/>
    <cellStyle name="표준 13 7 2" xfId="0"/>
    <cellStyle name="표준 13 7 3" xfId="0"/>
    <cellStyle name="표준 13 7 4" xfId="0"/>
    <cellStyle name="표준 13 7 5" xfId="0"/>
    <cellStyle name="표준 13 7 6" xfId="0"/>
    <cellStyle name="표준 13 7 7" xfId="0"/>
    <cellStyle name="표준 13 7 8" xfId="0"/>
    <cellStyle name="표준 13 7 9" xfId="0"/>
    <cellStyle name="표준 13 8" xfId="0"/>
    <cellStyle name="표준 13 8 10" xfId="0"/>
    <cellStyle name="표준 13 8 2" xfId="0"/>
    <cellStyle name="표준 13 8 3" xfId="0"/>
    <cellStyle name="표준 13 8 4" xfId="0"/>
    <cellStyle name="표준 13 8 5" xfId="0"/>
    <cellStyle name="표준 13 8 6" xfId="0"/>
    <cellStyle name="표준 13 8 7" xfId="0"/>
    <cellStyle name="표준 13 8 8" xfId="0"/>
    <cellStyle name="표준 13 8 9" xfId="0"/>
    <cellStyle name="표준 13 9" xfId="0"/>
    <cellStyle name="표준 13 9 2" xfId="0"/>
    <cellStyle name="표준 13 9 3" xfId="0"/>
    <cellStyle name="표준 13 9 4" xfId="0"/>
    <cellStyle name="표준 13 9 5" xfId="0"/>
    <cellStyle name="표준 13 9 6" xfId="0"/>
    <cellStyle name="표준 13 9 7" xfId="0"/>
    <cellStyle name="표준 13 9 8" xfId="0"/>
    <cellStyle name="표준 13 9 9" xfId="0"/>
    <cellStyle name="표준 130" xfId="0"/>
    <cellStyle name="표준 130 10" xfId="0"/>
    <cellStyle name="표준 130 11" xfId="0"/>
    <cellStyle name="표준 130 12" xfId="0"/>
    <cellStyle name="표준 130 13" xfId="0"/>
    <cellStyle name="표준 130 14" xfId="0"/>
    <cellStyle name="표준 130 15" xfId="0"/>
    <cellStyle name="표준 130 16" xfId="0"/>
    <cellStyle name="표준 130 2" xfId="0"/>
    <cellStyle name="표준 130 2 2" xfId="0"/>
    <cellStyle name="표준 130 3" xfId="0"/>
    <cellStyle name="표준 130 3 2" xfId="0"/>
    <cellStyle name="표준 130 4" xfId="0"/>
    <cellStyle name="표준 130 4 2" xfId="0"/>
    <cellStyle name="표준 130 5" xfId="0"/>
    <cellStyle name="표준 130 5 2" xfId="0"/>
    <cellStyle name="표준 130 6" xfId="0"/>
    <cellStyle name="표준 130 6 2" xfId="0"/>
    <cellStyle name="표준 130 7" xfId="0"/>
    <cellStyle name="표준 130 8" xfId="0"/>
    <cellStyle name="표준 130 9" xfId="0"/>
    <cellStyle name="표준 131" xfId="0"/>
    <cellStyle name="표준 131 2" xfId="0"/>
    <cellStyle name="표준 132" xfId="0"/>
    <cellStyle name="표준 132 2" xfId="0"/>
    <cellStyle name="표준 133" xfId="0"/>
    <cellStyle name="표준 134" xfId="0"/>
    <cellStyle name="표준 135" xfId="0"/>
    <cellStyle name="표준 136" xfId="0"/>
    <cellStyle name="표준 137" xfId="0"/>
    <cellStyle name="표준 138" xfId="0"/>
    <cellStyle name="표준 139" xfId="0"/>
    <cellStyle name="표준 139 2" xfId="0"/>
    <cellStyle name="표준 13_운용자산별 손익분석" xfId="0"/>
    <cellStyle name="표준 14" xfId="0"/>
    <cellStyle name="표준 14 10" xfId="0"/>
    <cellStyle name="표준 14 10 10" xfId="0"/>
    <cellStyle name="표준 14 10 2" xfId="0"/>
    <cellStyle name="표준 14 10 2 2" xfId="0"/>
    <cellStyle name="표준 14 10 3" xfId="0"/>
    <cellStyle name="표준 14 10 4" xfId="0"/>
    <cellStyle name="표준 14 10 5" xfId="0"/>
    <cellStyle name="표준 14 10 6" xfId="0"/>
    <cellStyle name="표준 14 10 7" xfId="0"/>
    <cellStyle name="표준 14 10 8" xfId="0"/>
    <cellStyle name="표준 14 10 9" xfId="0"/>
    <cellStyle name="표준 14 11" xfId="0"/>
    <cellStyle name="표준 14 11 2" xfId="0"/>
    <cellStyle name="표준 14 12" xfId="0"/>
    <cellStyle name="표준 14 12 2" xfId="0"/>
    <cellStyle name="표준 14 13" xfId="0"/>
    <cellStyle name="표준 14 13 2" xfId="0"/>
    <cellStyle name="표준 14 14" xfId="0"/>
    <cellStyle name="표준 14 14 2" xfId="0"/>
    <cellStyle name="표준 14 15" xfId="0"/>
    <cellStyle name="표준 14 15 2" xfId="0"/>
    <cellStyle name="표준 14 16" xfId="0"/>
    <cellStyle name="표준 14 16 2" xfId="0"/>
    <cellStyle name="표준 14 17" xfId="0"/>
    <cellStyle name="표준 14 17 2" xfId="0"/>
    <cellStyle name="표준 14 18" xfId="0"/>
    <cellStyle name="표준 14 18 2" xfId="0"/>
    <cellStyle name="표준 14 19" xfId="0"/>
    <cellStyle name="표준 14 19 2" xfId="0"/>
    <cellStyle name="표준 14 2" xfId="0"/>
    <cellStyle name="표준 14 2 10" xfId="0"/>
    <cellStyle name="표준 14 2 11" xfId="0"/>
    <cellStyle name="표준 14 2 2" xfId="0"/>
    <cellStyle name="표준 14 2 2 10" xfId="0"/>
    <cellStyle name="표준 14 2 2 11" xfId="0"/>
    <cellStyle name="표준 14 2 2 2" xfId="0"/>
    <cellStyle name="표준 14 2 2 3" xfId="0"/>
    <cellStyle name="표준 14 2 2 4" xfId="0"/>
    <cellStyle name="표준 14 2 2 5" xfId="0"/>
    <cellStyle name="표준 14 2 2 6" xfId="0"/>
    <cellStyle name="표준 14 2 2 7" xfId="0"/>
    <cellStyle name="표준 14 2 2 8" xfId="0"/>
    <cellStyle name="표준 14 2 2 9" xfId="0"/>
    <cellStyle name="표준 14 2 3" xfId="0"/>
    <cellStyle name="표준 14 2 4" xfId="0"/>
    <cellStyle name="표준 14 2 5" xfId="0"/>
    <cellStyle name="표준 14 2 6" xfId="0"/>
    <cellStyle name="표준 14 2 7" xfId="0"/>
    <cellStyle name="표준 14 2 8" xfId="0"/>
    <cellStyle name="표준 14 2 9" xfId="0"/>
    <cellStyle name="표준 14 20" xfId="0"/>
    <cellStyle name="표준 14 20 2" xfId="0"/>
    <cellStyle name="표준 14 21" xfId="0"/>
    <cellStyle name="표준 14 21 2" xfId="0"/>
    <cellStyle name="표준 14 22" xfId="0"/>
    <cellStyle name="표준 14 22 2" xfId="0"/>
    <cellStyle name="표준 14 23" xfId="0"/>
    <cellStyle name="표준 14 23 2" xfId="0"/>
    <cellStyle name="표준 14 23 2 2" xfId="0"/>
    <cellStyle name="표준 14 23 3" xfId="0"/>
    <cellStyle name="표준 14 23 4" xfId="0"/>
    <cellStyle name="표준 14 23 5" xfId="0"/>
    <cellStyle name="표준 14 23 6" xfId="0"/>
    <cellStyle name="표준 14 24" xfId="0"/>
    <cellStyle name="표준 14 24 2" xfId="0"/>
    <cellStyle name="표준 14 24 2 2" xfId="0"/>
    <cellStyle name="표준 14 24 3" xfId="0"/>
    <cellStyle name="표준 14 24 4" xfId="0"/>
    <cellStyle name="표준 14 24 5" xfId="0"/>
    <cellStyle name="표준 14 24 6" xfId="0"/>
    <cellStyle name="표준 14 25" xfId="0"/>
    <cellStyle name="표준 14 25 2" xfId="0"/>
    <cellStyle name="표준 14 25 2 2" xfId="0"/>
    <cellStyle name="표준 14 25 3" xfId="0"/>
    <cellStyle name="표준 14 25 4" xfId="0"/>
    <cellStyle name="표준 14 25 5" xfId="0"/>
    <cellStyle name="표준 14 25 6" xfId="0"/>
    <cellStyle name="표준 14 26" xfId="0"/>
    <cellStyle name="표준 14 26 2" xfId="0"/>
    <cellStyle name="표준 14 26 2 2" xfId="0"/>
    <cellStyle name="표준 14 26 3" xfId="0"/>
    <cellStyle name="표준 14 26 4" xfId="0"/>
    <cellStyle name="표준 14 26 5" xfId="0"/>
    <cellStyle name="표준 14 26 6" xfId="0"/>
    <cellStyle name="표준 14 27" xfId="0"/>
    <cellStyle name="표준 14 28" xfId="0"/>
    <cellStyle name="표준 14 29" xfId="0"/>
    <cellStyle name="표준 14 3" xfId="0"/>
    <cellStyle name="표준 14 3 10" xfId="0"/>
    <cellStyle name="표준 14 3 11" xfId="0"/>
    <cellStyle name="표준 14 3 2" xfId="0"/>
    <cellStyle name="표준 14 3 2 10" xfId="0"/>
    <cellStyle name="표준 14 3 2 11" xfId="0"/>
    <cellStyle name="표준 14 3 2 2" xfId="0"/>
    <cellStyle name="표준 14 3 2 3" xfId="0"/>
    <cellStyle name="표준 14 3 2 4" xfId="0"/>
    <cellStyle name="표준 14 3 2 5" xfId="0"/>
    <cellStyle name="표준 14 3 2 6" xfId="0"/>
    <cellStyle name="표준 14 3 2 7" xfId="0"/>
    <cellStyle name="표준 14 3 2 8" xfId="0"/>
    <cellStyle name="표준 14 3 2 9" xfId="0"/>
    <cellStyle name="표준 14 3 3" xfId="0"/>
    <cellStyle name="표준 14 3 4" xfId="0"/>
    <cellStyle name="표준 14 3 5" xfId="0"/>
    <cellStyle name="표준 14 3 6" xfId="0"/>
    <cellStyle name="표준 14 3 7" xfId="0"/>
    <cellStyle name="표준 14 3 8" xfId="0"/>
    <cellStyle name="표준 14 3 9" xfId="0"/>
    <cellStyle name="표준 14 30" xfId="0"/>
    <cellStyle name="표준 14 31" xfId="0"/>
    <cellStyle name="표준 14 32" xfId="0"/>
    <cellStyle name="표준 14 4" xfId="0"/>
    <cellStyle name="표준 14 4 10" xfId="0"/>
    <cellStyle name="표준 14 4 11" xfId="0"/>
    <cellStyle name="표준 14 4 2" xfId="0"/>
    <cellStyle name="표준 14 4 2 10" xfId="0"/>
    <cellStyle name="표준 14 4 2 11" xfId="0"/>
    <cellStyle name="표준 14 4 2 2" xfId="0"/>
    <cellStyle name="표준 14 4 2 3" xfId="0"/>
    <cellStyle name="표준 14 4 2 4" xfId="0"/>
    <cellStyle name="표준 14 4 2 5" xfId="0"/>
    <cellStyle name="표준 14 4 2 6" xfId="0"/>
    <cellStyle name="표준 14 4 2 7" xfId="0"/>
    <cellStyle name="표준 14 4 2 8" xfId="0"/>
    <cellStyle name="표준 14 4 2 9" xfId="0"/>
    <cellStyle name="표준 14 4 3" xfId="0"/>
    <cellStyle name="표준 14 4 4" xfId="0"/>
    <cellStyle name="표준 14 4 5" xfId="0"/>
    <cellStyle name="표준 14 4 6" xfId="0"/>
    <cellStyle name="표준 14 4 7" xfId="0"/>
    <cellStyle name="표준 14 4 8" xfId="0"/>
    <cellStyle name="표준 14 4 9" xfId="0"/>
    <cellStyle name="표준 14 5" xfId="0"/>
    <cellStyle name="표준 14 5 10" xfId="0"/>
    <cellStyle name="표준 14 5 11" xfId="0"/>
    <cellStyle name="표준 14 5 2" xfId="0"/>
    <cellStyle name="표준 14 5 2 10" xfId="0"/>
    <cellStyle name="표준 14 5 2 11" xfId="0"/>
    <cellStyle name="표준 14 5 2 2" xfId="0"/>
    <cellStyle name="표준 14 5 2 3" xfId="0"/>
    <cellStyle name="표준 14 5 2 4" xfId="0"/>
    <cellStyle name="표준 14 5 2 5" xfId="0"/>
    <cellStyle name="표준 14 5 2 6" xfId="0"/>
    <cellStyle name="표준 14 5 2 7" xfId="0"/>
    <cellStyle name="표준 14 5 2 8" xfId="0"/>
    <cellStyle name="표준 14 5 2 9" xfId="0"/>
    <cellStyle name="표준 14 5 3" xfId="0"/>
    <cellStyle name="표준 14 5 4" xfId="0"/>
    <cellStyle name="표준 14 5 5" xfId="0"/>
    <cellStyle name="표준 14 5 6" xfId="0"/>
    <cellStyle name="표준 14 5 7" xfId="0"/>
    <cellStyle name="표준 14 5 8" xfId="0"/>
    <cellStyle name="표준 14 5 9" xfId="0"/>
    <cellStyle name="표준 14 6" xfId="0"/>
    <cellStyle name="표준 14 6 10" xfId="0"/>
    <cellStyle name="표준 14 6 11" xfId="0"/>
    <cellStyle name="표준 14 6 2" xfId="0"/>
    <cellStyle name="표준 14 6 2 10" xfId="0"/>
    <cellStyle name="표준 14 6 2 11" xfId="0"/>
    <cellStyle name="표준 14 6 2 2" xfId="0"/>
    <cellStyle name="표준 14 6 2 3" xfId="0"/>
    <cellStyle name="표준 14 6 2 4" xfId="0"/>
    <cellStyle name="표준 14 6 2 5" xfId="0"/>
    <cellStyle name="표준 14 6 2 6" xfId="0"/>
    <cellStyle name="표준 14 6 2 7" xfId="0"/>
    <cellStyle name="표준 14 6 2 8" xfId="0"/>
    <cellStyle name="표준 14 6 2 9" xfId="0"/>
    <cellStyle name="표준 14 6 3" xfId="0"/>
    <cellStyle name="표준 14 6 4" xfId="0"/>
    <cellStyle name="표준 14 6 5" xfId="0"/>
    <cellStyle name="표준 14 6 6" xfId="0"/>
    <cellStyle name="표준 14 6 7" xfId="0"/>
    <cellStyle name="표준 14 6 8" xfId="0"/>
    <cellStyle name="표준 14 6 9" xfId="0"/>
    <cellStyle name="표준 14 7" xfId="0"/>
    <cellStyle name="표준 14 7 10" xfId="0"/>
    <cellStyle name="표준 14 7 2" xfId="0"/>
    <cellStyle name="표준 14 7 2 10" xfId="0"/>
    <cellStyle name="표준 14 7 2 11" xfId="0"/>
    <cellStyle name="표준 14 7 2 2" xfId="0"/>
    <cellStyle name="표준 14 7 2 3" xfId="0"/>
    <cellStyle name="표준 14 7 2 4" xfId="0"/>
    <cellStyle name="표준 14 7 2 5" xfId="0"/>
    <cellStyle name="표준 14 7 2 6" xfId="0"/>
    <cellStyle name="표준 14 7 2 7" xfId="0"/>
    <cellStyle name="표준 14 7 2 8" xfId="0"/>
    <cellStyle name="표준 14 7 2 9" xfId="0"/>
    <cellStyle name="표준 14 7 3" xfId="0"/>
    <cellStyle name="표준 14 7 4" xfId="0"/>
    <cellStyle name="표준 14 7 5" xfId="0"/>
    <cellStyle name="표준 14 7 6" xfId="0"/>
    <cellStyle name="표준 14 7 7" xfId="0"/>
    <cellStyle name="표준 14 7 8" xfId="0"/>
    <cellStyle name="표준 14 7 9" xfId="0"/>
    <cellStyle name="표준 14 8" xfId="0"/>
    <cellStyle name="표준 14 8 10" xfId="0"/>
    <cellStyle name="표준 14 8 2" xfId="0"/>
    <cellStyle name="표준 14 8 2 2" xfId="0"/>
    <cellStyle name="표준 14 8 3" xfId="0"/>
    <cellStyle name="표준 14 8 4" xfId="0"/>
    <cellStyle name="표준 14 8 5" xfId="0"/>
    <cellStyle name="표준 14 8 6" xfId="0"/>
    <cellStyle name="표준 14 8 7" xfId="0"/>
    <cellStyle name="표준 14 8 8" xfId="0"/>
    <cellStyle name="표준 14 8 9" xfId="0"/>
    <cellStyle name="표준 14 9" xfId="0"/>
    <cellStyle name="표준 14 9 10" xfId="0"/>
    <cellStyle name="표준 14 9 2" xfId="0"/>
    <cellStyle name="표준 14 9 2 2" xfId="0"/>
    <cellStyle name="표준 14 9 3" xfId="0"/>
    <cellStyle name="표준 14 9 4" xfId="0"/>
    <cellStyle name="표준 14 9 5" xfId="0"/>
    <cellStyle name="표준 14 9 6" xfId="0"/>
    <cellStyle name="표준 14 9 7" xfId="0"/>
    <cellStyle name="표준 14 9 8" xfId="0"/>
    <cellStyle name="표준 14 9 9" xfId="0"/>
    <cellStyle name="표준 140" xfId="0"/>
    <cellStyle name="표준 140 2" xfId="0"/>
    <cellStyle name="표준 141" xfId="0"/>
    <cellStyle name="표준 142" xfId="0"/>
    <cellStyle name="표준 142 10" xfId="0"/>
    <cellStyle name="표준 142 11" xfId="0"/>
    <cellStyle name="표준 142 12" xfId="0"/>
    <cellStyle name="표준 142 13" xfId="0"/>
    <cellStyle name="표준 142 14" xfId="0"/>
    <cellStyle name="표준 142 15" xfId="0"/>
    <cellStyle name="표준 142 16" xfId="0"/>
    <cellStyle name="표준 142 17" xfId="0"/>
    <cellStyle name="표준 142 2" xfId="0"/>
    <cellStyle name="표준 142 2 2" xfId="0"/>
    <cellStyle name="표준 142 3" xfId="0"/>
    <cellStyle name="표준 142 3 2" xfId="0"/>
    <cellStyle name="표준 142 4" xfId="0"/>
    <cellStyle name="표준 142 4 2" xfId="0"/>
    <cellStyle name="표준 142 5" xfId="0"/>
    <cellStyle name="표준 142 5 2" xfId="0"/>
    <cellStyle name="표준 142 6" xfId="0"/>
    <cellStyle name="표준 142 6 2" xfId="0"/>
    <cellStyle name="표준 142 7" xfId="0"/>
    <cellStyle name="표준 142 7 2" xfId="0"/>
    <cellStyle name="표준 142 8" xfId="0"/>
    <cellStyle name="표준 142 9" xfId="0"/>
    <cellStyle name="표준 143" xfId="0"/>
    <cellStyle name="표준 144" xfId="0"/>
    <cellStyle name="표준 145" xfId="0"/>
    <cellStyle name="표준 145 10" xfId="0"/>
    <cellStyle name="표준 145 11" xfId="0"/>
    <cellStyle name="표준 145 12" xfId="0"/>
    <cellStyle name="표준 145 13" xfId="0"/>
    <cellStyle name="표준 145 14" xfId="0"/>
    <cellStyle name="표준 145 15" xfId="0"/>
    <cellStyle name="표준 145 16" xfId="0"/>
    <cellStyle name="표준 145 17" xfId="0"/>
    <cellStyle name="표준 145 2" xfId="0"/>
    <cellStyle name="표준 145 2 2" xfId="0"/>
    <cellStyle name="표준 145 3" xfId="0"/>
    <cellStyle name="표준 145 3 2" xfId="0"/>
    <cellStyle name="표준 145 4" xfId="0"/>
    <cellStyle name="표준 145 4 2" xfId="0"/>
    <cellStyle name="표준 145 5" xfId="0"/>
    <cellStyle name="표준 145 5 2" xfId="0"/>
    <cellStyle name="표준 145 6" xfId="0"/>
    <cellStyle name="표준 145 6 2" xfId="0"/>
    <cellStyle name="표준 145 7" xfId="0"/>
    <cellStyle name="표준 145 7 2" xfId="0"/>
    <cellStyle name="표준 145 8" xfId="0"/>
    <cellStyle name="표준 145 9" xfId="0"/>
    <cellStyle name="표준 146" xfId="0"/>
    <cellStyle name="표준 146 10" xfId="0"/>
    <cellStyle name="표준 146 11" xfId="0"/>
    <cellStyle name="표준 146 12" xfId="0"/>
    <cellStyle name="표준 146 13" xfId="0"/>
    <cellStyle name="표준 146 14" xfId="0"/>
    <cellStyle name="표준 146 15" xfId="0"/>
    <cellStyle name="표준 146 16" xfId="0"/>
    <cellStyle name="표준 146 17" xfId="0"/>
    <cellStyle name="표준 146 2" xfId="0"/>
    <cellStyle name="표준 146 2 2" xfId="0"/>
    <cellStyle name="표준 146 3" xfId="0"/>
    <cellStyle name="표준 146 3 2" xfId="0"/>
    <cellStyle name="표준 146 4" xfId="0"/>
    <cellStyle name="표준 146 4 2" xfId="0"/>
    <cellStyle name="표준 146 5" xfId="0"/>
    <cellStyle name="표준 146 5 2" xfId="0"/>
    <cellStyle name="표준 146 6" xfId="0"/>
    <cellStyle name="표준 146 6 2" xfId="0"/>
    <cellStyle name="표준 146 7" xfId="0"/>
    <cellStyle name="표준 146 7 2" xfId="0"/>
    <cellStyle name="표준 146 8" xfId="0"/>
    <cellStyle name="표준 146 9" xfId="0"/>
    <cellStyle name="표준 147" xfId="0"/>
    <cellStyle name="표준 148" xfId="0"/>
    <cellStyle name="표준 149" xfId="0"/>
    <cellStyle name="표준 149 10" xfId="0"/>
    <cellStyle name="표준 149 11" xfId="0"/>
    <cellStyle name="표준 149 12" xfId="0"/>
    <cellStyle name="표준 149 13" xfId="0"/>
    <cellStyle name="표준 149 14" xfId="0"/>
    <cellStyle name="표준 149 15" xfId="0"/>
    <cellStyle name="표준 149 16" xfId="0"/>
    <cellStyle name="표준 149 2" xfId="0"/>
    <cellStyle name="표준 149 2 2" xfId="0"/>
    <cellStyle name="표준 149 3" xfId="0"/>
    <cellStyle name="표준 149 3 2" xfId="0"/>
    <cellStyle name="표준 149 4" xfId="0"/>
    <cellStyle name="표준 149 4 2" xfId="0"/>
    <cellStyle name="표준 149 5" xfId="0"/>
    <cellStyle name="표준 149 5 2" xfId="0"/>
    <cellStyle name="표준 149 6" xfId="0"/>
    <cellStyle name="표준 149 6 2" xfId="0"/>
    <cellStyle name="표준 149 7" xfId="0"/>
    <cellStyle name="표준 149 8" xfId="0"/>
    <cellStyle name="표준 149 9" xfId="0"/>
    <cellStyle name="표준 15" xfId="0"/>
    <cellStyle name="표준 15 10" xfId="0"/>
    <cellStyle name="표준 15 10 10" xfId="0"/>
    <cellStyle name="표준 15 10 2" xfId="0"/>
    <cellStyle name="표준 15 10 2 2" xfId="0"/>
    <cellStyle name="표준 15 10 3" xfId="0"/>
    <cellStyle name="표준 15 10 4" xfId="0"/>
    <cellStyle name="표준 15 10 5" xfId="0"/>
    <cellStyle name="표준 15 10 6" xfId="0"/>
    <cellStyle name="표준 15 10 7" xfId="0"/>
    <cellStyle name="표준 15 10 8" xfId="0"/>
    <cellStyle name="표준 15 10 9" xfId="0"/>
    <cellStyle name="표준 15 11" xfId="0"/>
    <cellStyle name="표준 15 11 2" xfId="0"/>
    <cellStyle name="표준 15 12" xfId="0"/>
    <cellStyle name="표준 15 12 2" xfId="0"/>
    <cellStyle name="표준 15 13" xfId="0"/>
    <cellStyle name="표준 15 13 2" xfId="0"/>
    <cellStyle name="표준 15 14" xfId="0"/>
    <cellStyle name="표준 15 14 2" xfId="0"/>
    <cellStyle name="표준 15 15" xfId="0"/>
    <cellStyle name="표준 15 15 2" xfId="0"/>
    <cellStyle name="표준 15 16" xfId="0"/>
    <cellStyle name="표준 15 16 2" xfId="0"/>
    <cellStyle name="표준 15 17" xfId="0"/>
    <cellStyle name="표준 15 17 2" xfId="0"/>
    <cellStyle name="표준 15 18" xfId="0"/>
    <cellStyle name="표준 15 18 2" xfId="0"/>
    <cellStyle name="표준 15 19" xfId="0"/>
    <cellStyle name="표준 15 19 2" xfId="0"/>
    <cellStyle name="표준 15 2" xfId="0"/>
    <cellStyle name="표준 15 2 10" xfId="0"/>
    <cellStyle name="표준 15 2 11" xfId="0"/>
    <cellStyle name="표준 15 2 2" xfId="0"/>
    <cellStyle name="표준 15 2 2 10" xfId="0"/>
    <cellStyle name="표준 15 2 2 11" xfId="0"/>
    <cellStyle name="표준 15 2 2 2" xfId="0"/>
    <cellStyle name="표준 15 2 2 3" xfId="0"/>
    <cellStyle name="표준 15 2 2 4" xfId="0"/>
    <cellStyle name="표준 15 2 2 5" xfId="0"/>
    <cellStyle name="표준 15 2 2 6" xfId="0"/>
    <cellStyle name="표준 15 2 2 7" xfId="0"/>
    <cellStyle name="표준 15 2 2 8" xfId="0"/>
    <cellStyle name="표준 15 2 2 9" xfId="0"/>
    <cellStyle name="표준 15 2 3" xfId="0"/>
    <cellStyle name="표준 15 2 4" xfId="0"/>
    <cellStyle name="표준 15 2 5" xfId="0"/>
    <cellStyle name="표준 15 2 6" xfId="0"/>
    <cellStyle name="표준 15 2 7" xfId="0"/>
    <cellStyle name="표준 15 2 8" xfId="0"/>
    <cellStyle name="표준 15 2 9" xfId="0"/>
    <cellStyle name="표준 15 20" xfId="0"/>
    <cellStyle name="표준 15 20 2" xfId="0"/>
    <cellStyle name="표준 15 21" xfId="0"/>
    <cellStyle name="표준 15 21 2" xfId="0"/>
    <cellStyle name="표준 15 22" xfId="0"/>
    <cellStyle name="표준 15 22 2" xfId="0"/>
    <cellStyle name="표준 15 22 3" xfId="0"/>
    <cellStyle name="표준 15 23" xfId="0"/>
    <cellStyle name="표준 15 23 2" xfId="0"/>
    <cellStyle name="표준 15 23 3" xfId="0"/>
    <cellStyle name="표준 15 24" xfId="0"/>
    <cellStyle name="표준 15 24 2" xfId="0"/>
    <cellStyle name="표준 15 24 2 2" xfId="0"/>
    <cellStyle name="표준 15 24 2 3" xfId="0"/>
    <cellStyle name="표준 15 24 2 4" xfId="0"/>
    <cellStyle name="표준 15 24 2 5" xfId="0"/>
    <cellStyle name="표준 15 24 2 6" xfId="0"/>
    <cellStyle name="표준 15 24 3" xfId="0"/>
    <cellStyle name="표준 15 24 3 2" xfId="0"/>
    <cellStyle name="표준 15 24 3 3" xfId="0"/>
    <cellStyle name="표준 15 24 3 4" xfId="0"/>
    <cellStyle name="표준 15 24 3 5" xfId="0"/>
    <cellStyle name="표준 15 24 4" xfId="0"/>
    <cellStyle name="표준 15 24 4 2" xfId="0"/>
    <cellStyle name="표준 15 24 4 3" xfId="0"/>
    <cellStyle name="표준 15 24 4 4" xfId="0"/>
    <cellStyle name="표준 15 24 4 5" xfId="0"/>
    <cellStyle name="표준 15 24 5" xfId="0"/>
    <cellStyle name="표준 15 24 5 2" xfId="0"/>
    <cellStyle name="표준 15 24 5 3" xfId="0"/>
    <cellStyle name="표준 15 24 5 4" xfId="0"/>
    <cellStyle name="표준 15 24 5 5" xfId="0"/>
    <cellStyle name="표준 15 24 6" xfId="0"/>
    <cellStyle name="표준 15 24 7" xfId="0"/>
    <cellStyle name="표준 15 24 8" xfId="0"/>
    <cellStyle name="표준 15 25" xfId="0"/>
    <cellStyle name="표준 15 25 2" xfId="0"/>
    <cellStyle name="표준 15 25 3" xfId="0"/>
    <cellStyle name="표준 15 26" xfId="0"/>
    <cellStyle name="표준 15 26 2" xfId="0"/>
    <cellStyle name="표준 15 26 3" xfId="0"/>
    <cellStyle name="표준 15 27" xfId="0"/>
    <cellStyle name="표준 15 27 2" xfId="0"/>
    <cellStyle name="표준 15 27 3" xfId="0"/>
    <cellStyle name="표준 15 28" xfId="0"/>
    <cellStyle name="표준 15 29" xfId="0"/>
    <cellStyle name="표준 15 3" xfId="0"/>
    <cellStyle name="표준 15 3 10" xfId="0"/>
    <cellStyle name="표준 15 3 11" xfId="0"/>
    <cellStyle name="표준 15 3 2" xfId="0"/>
    <cellStyle name="표준 15 3 2 10" xfId="0"/>
    <cellStyle name="표준 15 3 2 11" xfId="0"/>
    <cellStyle name="표준 15 3 2 2" xfId="0"/>
    <cellStyle name="표준 15 3 2 3" xfId="0"/>
    <cellStyle name="표준 15 3 2 4" xfId="0"/>
    <cellStyle name="표준 15 3 2 5" xfId="0"/>
    <cellStyle name="표준 15 3 2 6" xfId="0"/>
    <cellStyle name="표준 15 3 2 7" xfId="0"/>
    <cellStyle name="표준 15 3 2 8" xfId="0"/>
    <cellStyle name="표준 15 3 2 9" xfId="0"/>
    <cellStyle name="표준 15 3 3" xfId="0"/>
    <cellStyle name="표준 15 3 4" xfId="0"/>
    <cellStyle name="표준 15 3 5" xfId="0"/>
    <cellStyle name="표준 15 3 6" xfId="0"/>
    <cellStyle name="표준 15 3 7" xfId="0"/>
    <cellStyle name="표준 15 3 8" xfId="0"/>
    <cellStyle name="표준 15 3 9" xfId="0"/>
    <cellStyle name="표준 15 30" xfId="0"/>
    <cellStyle name="표준 15 4" xfId="0"/>
    <cellStyle name="표준 15 4 10" xfId="0"/>
    <cellStyle name="표준 15 4 11" xfId="0"/>
    <cellStyle name="표준 15 4 2" xfId="0"/>
    <cellStyle name="표준 15 4 2 10" xfId="0"/>
    <cellStyle name="표준 15 4 2 11" xfId="0"/>
    <cellStyle name="표준 15 4 2 2" xfId="0"/>
    <cellStyle name="표준 15 4 2 3" xfId="0"/>
    <cellStyle name="표준 15 4 2 4" xfId="0"/>
    <cellStyle name="표준 15 4 2 5" xfId="0"/>
    <cellStyle name="표준 15 4 2 6" xfId="0"/>
    <cellStyle name="표준 15 4 2 7" xfId="0"/>
    <cellStyle name="표준 15 4 2 8" xfId="0"/>
    <cellStyle name="표준 15 4 2 9" xfId="0"/>
    <cellStyle name="표준 15 4 3" xfId="0"/>
    <cellStyle name="표준 15 4 4" xfId="0"/>
    <cellStyle name="표준 15 4 5" xfId="0"/>
    <cellStyle name="표준 15 4 6" xfId="0"/>
    <cellStyle name="표준 15 4 7" xfId="0"/>
    <cellStyle name="표준 15 4 8" xfId="0"/>
    <cellStyle name="표준 15 4 9" xfId="0"/>
    <cellStyle name="표준 15 5" xfId="0"/>
    <cellStyle name="표준 15 5 10" xfId="0"/>
    <cellStyle name="표준 15 5 11" xfId="0"/>
    <cellStyle name="표준 15 5 2" xfId="0"/>
    <cellStyle name="표준 15 5 2 10" xfId="0"/>
    <cellStyle name="표준 15 5 2 11" xfId="0"/>
    <cellStyle name="표준 15 5 2 2" xfId="0"/>
    <cellStyle name="표준 15 5 2 3" xfId="0"/>
    <cellStyle name="표준 15 5 2 4" xfId="0"/>
    <cellStyle name="표준 15 5 2 5" xfId="0"/>
    <cellStyle name="표준 15 5 2 6" xfId="0"/>
    <cellStyle name="표준 15 5 2 7" xfId="0"/>
    <cellStyle name="표준 15 5 2 8" xfId="0"/>
    <cellStyle name="표준 15 5 2 9" xfId="0"/>
    <cellStyle name="표준 15 5 3" xfId="0"/>
    <cellStyle name="표준 15 5 4" xfId="0"/>
    <cellStyle name="표준 15 5 5" xfId="0"/>
    <cellStyle name="표준 15 5 6" xfId="0"/>
    <cellStyle name="표준 15 5 7" xfId="0"/>
    <cellStyle name="표준 15 5 8" xfId="0"/>
    <cellStyle name="표준 15 5 9" xfId="0"/>
    <cellStyle name="표준 15 6" xfId="0"/>
    <cellStyle name="표준 15 6 10" xfId="0"/>
    <cellStyle name="표준 15 6 11" xfId="0"/>
    <cellStyle name="표준 15 6 2" xfId="0"/>
    <cellStyle name="표준 15 6 2 10" xfId="0"/>
    <cellStyle name="표준 15 6 2 11" xfId="0"/>
    <cellStyle name="표준 15 6 2 2" xfId="0"/>
    <cellStyle name="표준 15 6 2 3" xfId="0"/>
    <cellStyle name="표준 15 6 2 4" xfId="0"/>
    <cellStyle name="표준 15 6 2 5" xfId="0"/>
    <cellStyle name="표준 15 6 2 6" xfId="0"/>
    <cellStyle name="표준 15 6 2 7" xfId="0"/>
    <cellStyle name="표준 15 6 2 8" xfId="0"/>
    <cellStyle name="표준 15 6 2 9" xfId="0"/>
    <cellStyle name="표준 15 6 3" xfId="0"/>
    <cellStyle name="표준 15 6 4" xfId="0"/>
    <cellStyle name="표준 15 6 5" xfId="0"/>
    <cellStyle name="표준 15 6 6" xfId="0"/>
    <cellStyle name="표준 15 6 7" xfId="0"/>
    <cellStyle name="표준 15 6 8" xfId="0"/>
    <cellStyle name="표준 15 6 9" xfId="0"/>
    <cellStyle name="표준 15 7" xfId="0"/>
    <cellStyle name="표준 15 7 10" xfId="0"/>
    <cellStyle name="표준 15 7 2" xfId="0"/>
    <cellStyle name="표준 15 7 2 10" xfId="0"/>
    <cellStyle name="표준 15 7 2 11" xfId="0"/>
    <cellStyle name="표준 15 7 2 2" xfId="0"/>
    <cellStyle name="표준 15 7 2 3" xfId="0"/>
    <cellStyle name="표준 15 7 2 4" xfId="0"/>
    <cellStyle name="표준 15 7 2 5" xfId="0"/>
    <cellStyle name="표준 15 7 2 6" xfId="0"/>
    <cellStyle name="표준 15 7 2 7" xfId="0"/>
    <cellStyle name="표준 15 7 2 8" xfId="0"/>
    <cellStyle name="표준 15 7 2 9" xfId="0"/>
    <cellStyle name="표준 15 7 3" xfId="0"/>
    <cellStyle name="표준 15 7 4" xfId="0"/>
    <cellStyle name="표준 15 7 5" xfId="0"/>
    <cellStyle name="표준 15 7 6" xfId="0"/>
    <cellStyle name="표준 15 7 7" xfId="0"/>
    <cellStyle name="표준 15 7 8" xfId="0"/>
    <cellStyle name="표준 15 7 9" xfId="0"/>
    <cellStyle name="표준 15 8" xfId="0"/>
    <cellStyle name="표준 15 8 10" xfId="0"/>
    <cellStyle name="표준 15 8 2" xfId="0"/>
    <cellStyle name="표준 15 8 2 2" xfId="0"/>
    <cellStyle name="표준 15 8 3" xfId="0"/>
    <cellStyle name="표준 15 8 4" xfId="0"/>
    <cellStyle name="표준 15 8 5" xfId="0"/>
    <cellStyle name="표준 15 8 6" xfId="0"/>
    <cellStyle name="표준 15 8 7" xfId="0"/>
    <cellStyle name="표준 15 8 8" xfId="0"/>
    <cellStyle name="표준 15 8 9" xfId="0"/>
    <cellStyle name="표준 15 9" xfId="0"/>
    <cellStyle name="표준 15 9 10" xfId="0"/>
    <cellStyle name="표준 15 9 2" xfId="0"/>
    <cellStyle name="표준 15 9 2 2" xfId="0"/>
    <cellStyle name="표준 15 9 3" xfId="0"/>
    <cellStyle name="표준 15 9 4" xfId="0"/>
    <cellStyle name="표준 15 9 5" xfId="0"/>
    <cellStyle name="표준 15 9 6" xfId="0"/>
    <cellStyle name="표준 15 9 7" xfId="0"/>
    <cellStyle name="표준 15 9 8" xfId="0"/>
    <cellStyle name="표준 15 9 9" xfId="0"/>
    <cellStyle name="표준 150" xfId="0"/>
    <cellStyle name="표준 150 10" xfId="0"/>
    <cellStyle name="표준 150 11" xfId="0"/>
    <cellStyle name="표준 150 12" xfId="0"/>
    <cellStyle name="표준 150 13" xfId="0"/>
    <cellStyle name="표준 150 14" xfId="0"/>
    <cellStyle name="표준 150 15" xfId="0"/>
    <cellStyle name="표준 150 16" xfId="0"/>
    <cellStyle name="표준 150 2" xfId="0"/>
    <cellStyle name="표준 150 2 2" xfId="0"/>
    <cellStyle name="표준 150 3" xfId="0"/>
    <cellStyle name="표준 150 3 2" xfId="0"/>
    <cellStyle name="표준 150 4" xfId="0"/>
    <cellStyle name="표준 150 4 2" xfId="0"/>
    <cellStyle name="표준 150 5" xfId="0"/>
    <cellStyle name="표준 150 5 2" xfId="0"/>
    <cellStyle name="표준 150 6" xfId="0"/>
    <cellStyle name="표준 150 6 2" xfId="0"/>
    <cellStyle name="표준 150 7" xfId="0"/>
    <cellStyle name="표준 150 8" xfId="0"/>
    <cellStyle name="표준 150 9" xfId="0"/>
    <cellStyle name="표준 151" xfId="0"/>
    <cellStyle name="표준 151 10" xfId="0"/>
    <cellStyle name="표준 151 11" xfId="0"/>
    <cellStyle name="표준 151 12" xfId="0"/>
    <cellStyle name="표준 151 13" xfId="0"/>
    <cellStyle name="표준 151 14" xfId="0"/>
    <cellStyle name="표준 151 15" xfId="0"/>
    <cellStyle name="표준 151 16" xfId="0"/>
    <cellStyle name="표준 151 17" xfId="0"/>
    <cellStyle name="표준 151 2" xfId="0"/>
    <cellStyle name="표준 151 2 2" xfId="0"/>
    <cellStyle name="표준 151 3" xfId="0"/>
    <cellStyle name="표준 151 3 2" xfId="0"/>
    <cellStyle name="표준 151 4" xfId="0"/>
    <cellStyle name="표준 151 4 2" xfId="0"/>
    <cellStyle name="표준 151 5" xfId="0"/>
    <cellStyle name="표준 151 5 2" xfId="0"/>
    <cellStyle name="표준 151 6" xfId="0"/>
    <cellStyle name="표준 151 6 2" xfId="0"/>
    <cellStyle name="표준 151 7" xfId="0"/>
    <cellStyle name="표준 151 7 2" xfId="0"/>
    <cellStyle name="표준 151 8" xfId="0"/>
    <cellStyle name="표준 151 9" xfId="0"/>
    <cellStyle name="표준 152" xfId="0"/>
    <cellStyle name="표준 152 2" xfId="0"/>
    <cellStyle name="표준 153" xfId="0"/>
    <cellStyle name="표준 153 10" xfId="0"/>
    <cellStyle name="표준 153 11" xfId="0"/>
    <cellStyle name="표준 153 12" xfId="0"/>
    <cellStyle name="표준 153 13" xfId="0"/>
    <cellStyle name="표준 153 14" xfId="0"/>
    <cellStyle name="표준 153 15" xfId="0"/>
    <cellStyle name="표준 153 16" xfId="0"/>
    <cellStyle name="표준 153 2" xfId="0"/>
    <cellStyle name="표준 153 2 2" xfId="0"/>
    <cellStyle name="표준 153 3" xfId="0"/>
    <cellStyle name="표준 153 3 2" xfId="0"/>
    <cellStyle name="표준 153 4" xfId="0"/>
    <cellStyle name="표준 153 4 2" xfId="0"/>
    <cellStyle name="표준 153 5" xfId="0"/>
    <cellStyle name="표준 153 5 2" xfId="0"/>
    <cellStyle name="표준 153 6" xfId="0"/>
    <cellStyle name="표준 153 6 2" xfId="0"/>
    <cellStyle name="표준 153 7" xfId="0"/>
    <cellStyle name="표준 153 8" xfId="0"/>
    <cellStyle name="표준 153 9" xfId="0"/>
    <cellStyle name="표준 154" xfId="0"/>
    <cellStyle name="표준 154 10" xfId="0"/>
    <cellStyle name="표준 154 11" xfId="0"/>
    <cellStyle name="표준 154 12" xfId="0"/>
    <cellStyle name="표준 154 13" xfId="0"/>
    <cellStyle name="표준 154 14" xfId="0"/>
    <cellStyle name="표준 154 15" xfId="0"/>
    <cellStyle name="표준 154 16" xfId="0"/>
    <cellStyle name="표준 154 2" xfId="0"/>
    <cellStyle name="표준 154 2 2" xfId="0"/>
    <cellStyle name="표준 154 3" xfId="0"/>
    <cellStyle name="표준 154 3 2" xfId="0"/>
    <cellStyle name="표준 154 4" xfId="0"/>
    <cellStyle name="표준 154 4 2" xfId="0"/>
    <cellStyle name="표준 154 5" xfId="0"/>
    <cellStyle name="표준 154 5 2" xfId="0"/>
    <cellStyle name="표준 154 6" xfId="0"/>
    <cellStyle name="표준 154 6 2" xfId="0"/>
    <cellStyle name="표준 154 7" xfId="0"/>
    <cellStyle name="표준 154 8" xfId="0"/>
    <cellStyle name="표준 154 9" xfId="0"/>
    <cellStyle name="표준 155" xfId="0"/>
    <cellStyle name="표준 155 10" xfId="0"/>
    <cellStyle name="표준 155 11" xfId="0"/>
    <cellStyle name="표준 155 12" xfId="0"/>
    <cellStyle name="표준 155 13" xfId="0"/>
    <cellStyle name="표준 155 14" xfId="0"/>
    <cellStyle name="표준 155 15" xfId="0"/>
    <cellStyle name="표준 155 16" xfId="0"/>
    <cellStyle name="표준 155 17" xfId="0"/>
    <cellStyle name="표준 155 18" xfId="0"/>
    <cellStyle name="표준 155 19" xfId="0"/>
    <cellStyle name="표준 155 2" xfId="0"/>
    <cellStyle name="표준 155 2 2" xfId="0"/>
    <cellStyle name="표준 155 3" xfId="0"/>
    <cellStyle name="표준 155 3 2" xfId="0"/>
    <cellStyle name="표준 155 4" xfId="0"/>
    <cellStyle name="표준 155 4 2" xfId="0"/>
    <cellStyle name="표준 155 5" xfId="0"/>
    <cellStyle name="표준 155 5 2" xfId="0"/>
    <cellStyle name="표준 155 6" xfId="0"/>
    <cellStyle name="표준 155 6 2" xfId="0"/>
    <cellStyle name="표준 155 7" xfId="0"/>
    <cellStyle name="표준 155 7 2" xfId="0"/>
    <cellStyle name="표준 155 8" xfId="0"/>
    <cellStyle name="표준 155 9" xfId="0"/>
    <cellStyle name="표준 156" xfId="0"/>
    <cellStyle name="표준 156 10" xfId="0"/>
    <cellStyle name="표준 156 11" xfId="0"/>
    <cellStyle name="표준 156 12" xfId="0"/>
    <cellStyle name="표준 156 13" xfId="0"/>
    <cellStyle name="표준 156 14" xfId="0"/>
    <cellStyle name="표준 156 15" xfId="0"/>
    <cellStyle name="표준 156 16" xfId="0"/>
    <cellStyle name="표준 156 17" xfId="0"/>
    <cellStyle name="표준 156 18" xfId="0"/>
    <cellStyle name="표준 156 2" xfId="0"/>
    <cellStyle name="표준 156 2 2" xfId="0"/>
    <cellStyle name="표준 156 3" xfId="0"/>
    <cellStyle name="표준 156 3 2" xfId="0"/>
    <cellStyle name="표준 156 4" xfId="0"/>
    <cellStyle name="표준 156 4 2" xfId="0"/>
    <cellStyle name="표준 156 5" xfId="0"/>
    <cellStyle name="표준 156 5 2" xfId="0"/>
    <cellStyle name="표준 156 6" xfId="0"/>
    <cellStyle name="표준 156 6 2" xfId="0"/>
    <cellStyle name="표준 156 7" xfId="0"/>
    <cellStyle name="표준 156 7 2" xfId="0"/>
    <cellStyle name="표준 156 8" xfId="0"/>
    <cellStyle name="표준 156 9" xfId="0"/>
    <cellStyle name="표준 157" xfId="0"/>
    <cellStyle name="표준 157 10" xfId="0"/>
    <cellStyle name="표준 157 11" xfId="0"/>
    <cellStyle name="표준 157 12" xfId="0"/>
    <cellStyle name="표준 157 13" xfId="0"/>
    <cellStyle name="표준 157 14" xfId="0"/>
    <cellStyle name="표준 157 15" xfId="0"/>
    <cellStyle name="표준 157 16" xfId="0"/>
    <cellStyle name="표준 157 17" xfId="0"/>
    <cellStyle name="표준 157 18" xfId="0"/>
    <cellStyle name="표준 157 2" xfId="0"/>
    <cellStyle name="표준 157 2 2" xfId="0"/>
    <cellStyle name="표준 157 3" xfId="0"/>
    <cellStyle name="표준 157 3 2" xfId="0"/>
    <cellStyle name="표준 157 4" xfId="0"/>
    <cellStyle name="표준 157 4 2" xfId="0"/>
    <cellStyle name="표준 157 5" xfId="0"/>
    <cellStyle name="표준 157 5 2" xfId="0"/>
    <cellStyle name="표준 157 6" xfId="0"/>
    <cellStyle name="표준 157 6 2" xfId="0"/>
    <cellStyle name="표준 157 7" xfId="0"/>
    <cellStyle name="표준 157 7 2" xfId="0"/>
    <cellStyle name="표준 157 8" xfId="0"/>
    <cellStyle name="표준 157 9" xfId="0"/>
    <cellStyle name="표준 158" xfId="0"/>
    <cellStyle name="표준 158 10" xfId="0"/>
    <cellStyle name="표준 158 11" xfId="0"/>
    <cellStyle name="표준 158 12" xfId="0"/>
    <cellStyle name="표준 158 13" xfId="0"/>
    <cellStyle name="표준 158 14" xfId="0"/>
    <cellStyle name="표준 158 15" xfId="0"/>
    <cellStyle name="표준 158 16" xfId="0"/>
    <cellStyle name="표준 158 17" xfId="0"/>
    <cellStyle name="표준 158 2" xfId="0"/>
    <cellStyle name="표준 158 2 2" xfId="0"/>
    <cellStyle name="표준 158 3" xfId="0"/>
    <cellStyle name="표준 158 3 2" xfId="0"/>
    <cellStyle name="표준 158 4" xfId="0"/>
    <cellStyle name="표준 158 4 2" xfId="0"/>
    <cellStyle name="표준 158 5" xfId="0"/>
    <cellStyle name="표준 158 5 2" xfId="0"/>
    <cellStyle name="표준 158 6" xfId="0"/>
    <cellStyle name="표준 158 6 2" xfId="0"/>
    <cellStyle name="표준 158 7" xfId="0"/>
    <cellStyle name="표준 158 7 2" xfId="0"/>
    <cellStyle name="표준 158 8" xfId="0"/>
    <cellStyle name="표준 158 9" xfId="0"/>
    <cellStyle name="표준 159" xfId="0"/>
    <cellStyle name="표준 159 10" xfId="0"/>
    <cellStyle name="표준 159 11" xfId="0"/>
    <cellStyle name="표준 159 12" xfId="0"/>
    <cellStyle name="표준 159 13" xfId="0"/>
    <cellStyle name="표준 159 14" xfId="0"/>
    <cellStyle name="표준 159 15" xfId="0"/>
    <cellStyle name="표준 159 16" xfId="0"/>
    <cellStyle name="표준 159 17" xfId="0"/>
    <cellStyle name="표준 159 2" xfId="0"/>
    <cellStyle name="표준 159 2 2" xfId="0"/>
    <cellStyle name="표준 159 3" xfId="0"/>
    <cellStyle name="표준 159 3 2" xfId="0"/>
    <cellStyle name="표준 159 4" xfId="0"/>
    <cellStyle name="표준 159 4 2" xfId="0"/>
    <cellStyle name="표준 159 5" xfId="0"/>
    <cellStyle name="표준 159 5 2" xfId="0"/>
    <cellStyle name="표준 159 6" xfId="0"/>
    <cellStyle name="표준 159 6 2" xfId="0"/>
    <cellStyle name="표준 159 7" xfId="0"/>
    <cellStyle name="표준 159 7 2" xfId="0"/>
    <cellStyle name="표준 159 8" xfId="0"/>
    <cellStyle name="표준 159 9" xfId="0"/>
    <cellStyle name="표준 16" xfId="0"/>
    <cellStyle name="표준 16 10" xfId="0"/>
    <cellStyle name="표준 16 11" xfId="0"/>
    <cellStyle name="표준 16 12" xfId="0"/>
    <cellStyle name="표준 16 2" xfId="0"/>
    <cellStyle name="표준 16 2 10" xfId="0"/>
    <cellStyle name="표준 16 2 11" xfId="0"/>
    <cellStyle name="표준 16 2 12" xfId="0"/>
    <cellStyle name="표준 16 2 2" xfId="0"/>
    <cellStyle name="표준 16 2 3" xfId="0"/>
    <cellStyle name="표준 16 2 4" xfId="0"/>
    <cellStyle name="표준 16 2 5" xfId="0"/>
    <cellStyle name="표준 16 2 6" xfId="0"/>
    <cellStyle name="표준 16 2 7" xfId="0"/>
    <cellStyle name="표준 16 2 8" xfId="0"/>
    <cellStyle name="표준 16 2 9" xfId="0"/>
    <cellStyle name="표준 16 3" xfId="0"/>
    <cellStyle name="표준 16 3 10" xfId="0"/>
    <cellStyle name="표준 16 3 11" xfId="0"/>
    <cellStyle name="표준 16 3 2" xfId="0"/>
    <cellStyle name="표준 16 3 3" xfId="0"/>
    <cellStyle name="표준 16 3 4" xfId="0"/>
    <cellStyle name="표준 16 3 5" xfId="0"/>
    <cellStyle name="표준 16 3 6" xfId="0"/>
    <cellStyle name="표준 16 3 7" xfId="0"/>
    <cellStyle name="표준 16 3 8" xfId="0"/>
    <cellStyle name="표준 16 3 9" xfId="0"/>
    <cellStyle name="표준 16 4" xfId="0"/>
    <cellStyle name="표준 16 4 2" xfId="0"/>
    <cellStyle name="표준 16 4 3" xfId="0"/>
    <cellStyle name="표준 16 5" xfId="0"/>
    <cellStyle name="표준 16 5 2" xfId="0"/>
    <cellStyle name="표준 16 5 2 2" xfId="0"/>
    <cellStyle name="표준 16 5 2 3" xfId="0"/>
    <cellStyle name="표준 16 5 2 4" xfId="0"/>
    <cellStyle name="표준 16 5 2 5" xfId="0"/>
    <cellStyle name="표준 16 5 3" xfId="0"/>
    <cellStyle name="표준 16 5 4" xfId="0"/>
    <cellStyle name="표준 16 6" xfId="0"/>
    <cellStyle name="표준 16 6 2" xfId="0"/>
    <cellStyle name="표준 16 7" xfId="0"/>
    <cellStyle name="표준 16 8" xfId="0"/>
    <cellStyle name="표준 16 9" xfId="0"/>
    <cellStyle name="표준 160" xfId="0"/>
    <cellStyle name="표준 160 10" xfId="0"/>
    <cellStyle name="표준 160 11" xfId="0"/>
    <cellStyle name="표준 160 12" xfId="0"/>
    <cellStyle name="표준 160 13" xfId="0"/>
    <cellStyle name="표준 160 14" xfId="0"/>
    <cellStyle name="표준 160 15" xfId="0"/>
    <cellStyle name="표준 160 16" xfId="0"/>
    <cellStyle name="표준 160 17" xfId="0"/>
    <cellStyle name="표준 160 2" xfId="0"/>
    <cellStyle name="표준 160 2 2" xfId="0"/>
    <cellStyle name="표준 160 3" xfId="0"/>
    <cellStyle name="표준 160 3 2" xfId="0"/>
    <cellStyle name="표준 160 4" xfId="0"/>
    <cellStyle name="표준 160 4 2" xfId="0"/>
    <cellStyle name="표준 160 5" xfId="0"/>
    <cellStyle name="표준 160 5 2" xfId="0"/>
    <cellStyle name="표준 160 6" xfId="0"/>
    <cellStyle name="표준 160 6 2" xfId="0"/>
    <cellStyle name="표준 160 7" xfId="0"/>
    <cellStyle name="표준 160 7 2" xfId="0"/>
    <cellStyle name="표준 160 8" xfId="0"/>
    <cellStyle name="표준 160 9" xfId="0"/>
    <cellStyle name="표준 161" xfId="0"/>
    <cellStyle name="표준 161 10" xfId="0"/>
    <cellStyle name="표준 161 11" xfId="0"/>
    <cellStyle name="표준 161 12" xfId="0"/>
    <cellStyle name="표준 161 13" xfId="0"/>
    <cellStyle name="표준 161 14" xfId="0"/>
    <cellStyle name="표준 161 15" xfId="0"/>
    <cellStyle name="표준 161 16" xfId="0"/>
    <cellStyle name="표준 161 2" xfId="0"/>
    <cellStyle name="표준 161 2 2" xfId="0"/>
    <cellStyle name="표준 161 3" xfId="0"/>
    <cellStyle name="표준 161 3 2" xfId="0"/>
    <cellStyle name="표준 161 4" xfId="0"/>
    <cellStyle name="표준 161 4 2" xfId="0"/>
    <cellStyle name="표준 161 5" xfId="0"/>
    <cellStyle name="표준 161 5 2" xfId="0"/>
    <cellStyle name="표준 161 6" xfId="0"/>
    <cellStyle name="표준 161 6 2" xfId="0"/>
    <cellStyle name="표준 161 7" xfId="0"/>
    <cellStyle name="표준 161 8" xfId="0"/>
    <cellStyle name="표준 161 9" xfId="0"/>
    <cellStyle name="표준 162" xfId="0"/>
    <cellStyle name="표준 163" xfId="0"/>
    <cellStyle name="표준 163 10" xfId="0"/>
    <cellStyle name="표준 163 11" xfId="0"/>
    <cellStyle name="표준 163 12" xfId="0"/>
    <cellStyle name="표준 163 13" xfId="0"/>
    <cellStyle name="표준 163 14" xfId="0"/>
    <cellStyle name="표준 163 15" xfId="0"/>
    <cellStyle name="표준 163 16" xfId="0"/>
    <cellStyle name="표준 163 17" xfId="0"/>
    <cellStyle name="표준 163 2" xfId="0"/>
    <cellStyle name="표준 163 2 2" xfId="0"/>
    <cellStyle name="표준 163 3" xfId="0"/>
    <cellStyle name="표준 163 3 2" xfId="0"/>
    <cellStyle name="표준 163 4" xfId="0"/>
    <cellStyle name="표준 163 4 2" xfId="0"/>
    <cellStyle name="표준 163 5" xfId="0"/>
    <cellStyle name="표준 163 5 2" xfId="0"/>
    <cellStyle name="표준 163 6" xfId="0"/>
    <cellStyle name="표준 163 6 2" xfId="0"/>
    <cellStyle name="표준 163 7" xfId="0"/>
    <cellStyle name="표준 163 7 2" xfId="0"/>
    <cellStyle name="표준 163 8" xfId="0"/>
    <cellStyle name="표준 163 9" xfId="0"/>
    <cellStyle name="표준 164" xfId="0"/>
    <cellStyle name="표준 165" xfId="0"/>
    <cellStyle name="표준 165 10" xfId="0"/>
    <cellStyle name="표준 165 11" xfId="0"/>
    <cellStyle name="표준 165 12" xfId="0"/>
    <cellStyle name="표준 165 13" xfId="0"/>
    <cellStyle name="표준 165 14" xfId="0"/>
    <cellStyle name="표준 165 15" xfId="0"/>
    <cellStyle name="표준 165 16" xfId="0"/>
    <cellStyle name="표준 165 17" xfId="0"/>
    <cellStyle name="표준 165 2" xfId="0"/>
    <cellStyle name="표준 165 2 2" xfId="0"/>
    <cellStyle name="표준 165 3" xfId="0"/>
    <cellStyle name="표준 165 3 2" xfId="0"/>
    <cellStyle name="표준 165 4" xfId="0"/>
    <cellStyle name="표준 165 4 2" xfId="0"/>
    <cellStyle name="표준 165 5" xfId="0"/>
    <cellStyle name="표준 165 5 2" xfId="0"/>
    <cellStyle name="표준 165 6" xfId="0"/>
    <cellStyle name="표준 165 6 2" xfId="0"/>
    <cellStyle name="표준 165 7" xfId="0"/>
    <cellStyle name="표준 165 7 2" xfId="0"/>
    <cellStyle name="표준 165 8" xfId="0"/>
    <cellStyle name="표준 165 9" xfId="0"/>
    <cellStyle name="표준 166" xfId="0"/>
    <cellStyle name="표준 166 10" xfId="0"/>
    <cellStyle name="표준 166 11" xfId="0"/>
    <cellStyle name="표준 166 12" xfId="0"/>
    <cellStyle name="표준 166 13" xfId="0"/>
    <cellStyle name="표준 166 14" xfId="0"/>
    <cellStyle name="표준 166 15" xfId="0"/>
    <cellStyle name="표준 166 16" xfId="0"/>
    <cellStyle name="표준 166 17" xfId="0"/>
    <cellStyle name="표준 166 2" xfId="0"/>
    <cellStyle name="표준 166 2 2" xfId="0"/>
    <cellStyle name="표준 166 3" xfId="0"/>
    <cellStyle name="표준 166 3 2" xfId="0"/>
    <cellStyle name="표준 166 4" xfId="0"/>
    <cellStyle name="표준 166 4 2" xfId="0"/>
    <cellStyle name="표준 166 5" xfId="0"/>
    <cellStyle name="표준 166 5 2" xfId="0"/>
    <cellStyle name="표준 166 6" xfId="0"/>
    <cellStyle name="표준 166 6 2" xfId="0"/>
    <cellStyle name="표준 166 7" xfId="0"/>
    <cellStyle name="표준 166 7 2" xfId="0"/>
    <cellStyle name="표준 166 8" xfId="0"/>
    <cellStyle name="표준 166 9" xfId="0"/>
    <cellStyle name="표준 167" xfId="0"/>
    <cellStyle name="표준 168" xfId="0"/>
    <cellStyle name="표준 168 10" xfId="0"/>
    <cellStyle name="표준 168 11" xfId="0"/>
    <cellStyle name="표준 168 12" xfId="0"/>
    <cellStyle name="표준 168 13" xfId="0"/>
    <cellStyle name="표준 168 14" xfId="0"/>
    <cellStyle name="표준 168 15" xfId="0"/>
    <cellStyle name="표준 168 16" xfId="0"/>
    <cellStyle name="표준 168 2" xfId="0"/>
    <cellStyle name="표준 168 2 2" xfId="0"/>
    <cellStyle name="표준 168 3" xfId="0"/>
    <cellStyle name="표준 168 3 2" xfId="0"/>
    <cellStyle name="표준 168 4" xfId="0"/>
    <cellStyle name="표준 168 4 2" xfId="0"/>
    <cellStyle name="표준 168 5" xfId="0"/>
    <cellStyle name="표준 168 5 2" xfId="0"/>
    <cellStyle name="표준 168 6" xfId="0"/>
    <cellStyle name="표준 168 6 2" xfId="0"/>
    <cellStyle name="표준 168 7" xfId="0"/>
    <cellStyle name="표준 168 8" xfId="0"/>
    <cellStyle name="표준 168 9" xfId="0"/>
    <cellStyle name="표준 169" xfId="0"/>
    <cellStyle name="표준 169 10" xfId="0"/>
    <cellStyle name="표준 169 11" xfId="0"/>
    <cellStyle name="표준 169 12" xfId="0"/>
    <cellStyle name="표준 169 13" xfId="0"/>
    <cellStyle name="표준 169 14" xfId="0"/>
    <cellStyle name="표준 169 15" xfId="0"/>
    <cellStyle name="표준 169 16" xfId="0"/>
    <cellStyle name="표준 169 2" xfId="0"/>
    <cellStyle name="표준 169 2 2" xfId="0"/>
    <cellStyle name="표준 169 3" xfId="0"/>
    <cellStyle name="표준 169 3 2" xfId="0"/>
    <cellStyle name="표준 169 4" xfId="0"/>
    <cellStyle name="표준 169 4 2" xfId="0"/>
    <cellStyle name="표준 169 5" xfId="0"/>
    <cellStyle name="표준 169 5 2" xfId="0"/>
    <cellStyle name="표준 169 6" xfId="0"/>
    <cellStyle name="표준 169 6 2" xfId="0"/>
    <cellStyle name="표준 169 7" xfId="0"/>
    <cellStyle name="표준 169 8" xfId="0"/>
    <cellStyle name="표준 169 9" xfId="0"/>
    <cellStyle name="표준 17" xfId="0"/>
    <cellStyle name="표준 17 10" xfId="0"/>
    <cellStyle name="표준 17 11" xfId="0"/>
    <cellStyle name="표준 17 12" xfId="0"/>
    <cellStyle name="표준 17 13" xfId="0"/>
    <cellStyle name="표준 17 14" xfId="0"/>
    <cellStyle name="표준 17 15" xfId="0"/>
    <cellStyle name="표준 17 16" xfId="0"/>
    <cellStyle name="표준 17 17" xfId="0"/>
    <cellStyle name="표준 17 17 2" xfId="0"/>
    <cellStyle name="표준 17 2" xfId="0"/>
    <cellStyle name="표준 17 2 10" xfId="0"/>
    <cellStyle name="표준 17 2 2" xfId="0"/>
    <cellStyle name="표준 17 2 3" xfId="0"/>
    <cellStyle name="표준 17 2 4" xfId="0"/>
    <cellStyle name="표준 17 2 5" xfId="0"/>
    <cellStyle name="표준 17 2 6" xfId="0"/>
    <cellStyle name="표준 17 2 7" xfId="0"/>
    <cellStyle name="표준 17 2 8" xfId="0"/>
    <cellStyle name="표준 17 2 9" xfId="0"/>
    <cellStyle name="표준 17 3" xfId="0"/>
    <cellStyle name="표준 17 3 10" xfId="0"/>
    <cellStyle name="표준 17 3 2" xfId="0"/>
    <cellStyle name="표준 17 3 3" xfId="0"/>
    <cellStyle name="표준 17 3 4" xfId="0"/>
    <cellStyle name="표준 17 3 5" xfId="0"/>
    <cellStyle name="표준 17 3 6" xfId="0"/>
    <cellStyle name="표준 17 3 7" xfId="0"/>
    <cellStyle name="표준 17 3 8" xfId="0"/>
    <cellStyle name="표준 17 3 9" xfId="0"/>
    <cellStyle name="표준 17 4" xfId="0"/>
    <cellStyle name="표준 17 4 2" xfId="0"/>
    <cellStyle name="표준 17 5" xfId="0"/>
    <cellStyle name="표준 17 6" xfId="0"/>
    <cellStyle name="표준 17 7" xfId="0"/>
    <cellStyle name="표준 17 8" xfId="0"/>
    <cellStyle name="표준 17 9" xfId="0"/>
    <cellStyle name="표준 170" xfId="0"/>
    <cellStyle name="표준 171" xfId="0"/>
    <cellStyle name="표준 171 10" xfId="0"/>
    <cellStyle name="표준 171 11" xfId="0"/>
    <cellStyle name="표준 171 12" xfId="0"/>
    <cellStyle name="표준 171 13" xfId="0"/>
    <cellStyle name="표준 171 14" xfId="0"/>
    <cellStyle name="표준 171 15" xfId="0"/>
    <cellStyle name="표준 171 16" xfId="0"/>
    <cellStyle name="표준 171 17" xfId="0"/>
    <cellStyle name="표준 171 2" xfId="0"/>
    <cellStyle name="표준 171 2 2" xfId="0"/>
    <cellStyle name="표준 171 3" xfId="0"/>
    <cellStyle name="표준 171 3 2" xfId="0"/>
    <cellStyle name="표준 171 4" xfId="0"/>
    <cellStyle name="표준 171 4 2" xfId="0"/>
    <cellStyle name="표준 171 5" xfId="0"/>
    <cellStyle name="표준 171 5 2" xfId="0"/>
    <cellStyle name="표준 171 6" xfId="0"/>
    <cellStyle name="표준 171 6 2" xfId="0"/>
    <cellStyle name="표준 171 7" xfId="0"/>
    <cellStyle name="표준 171 7 2" xfId="0"/>
    <cellStyle name="표준 171 8" xfId="0"/>
    <cellStyle name="표준 171 9" xfId="0"/>
    <cellStyle name="표준 172" xfId="0"/>
    <cellStyle name="표준 173" xfId="0"/>
    <cellStyle name="표준 174" xfId="0"/>
    <cellStyle name="표준 174 10" xfId="0"/>
    <cellStyle name="표준 174 11" xfId="0"/>
    <cellStyle name="표준 174 12" xfId="0"/>
    <cellStyle name="표준 174 13" xfId="0"/>
    <cellStyle name="표준 174 14" xfId="0"/>
    <cellStyle name="표준 174 15" xfId="0"/>
    <cellStyle name="표준 174 16" xfId="0"/>
    <cellStyle name="표준 174 2" xfId="0"/>
    <cellStyle name="표준 174 2 2" xfId="0"/>
    <cellStyle name="표준 174 3" xfId="0"/>
    <cellStyle name="표준 174 3 2" xfId="0"/>
    <cellStyle name="표준 174 4" xfId="0"/>
    <cellStyle name="표준 174 4 2" xfId="0"/>
    <cellStyle name="표준 174 5" xfId="0"/>
    <cellStyle name="표준 174 5 2" xfId="0"/>
    <cellStyle name="표준 174 6" xfId="0"/>
    <cellStyle name="표준 174 6 2" xfId="0"/>
    <cellStyle name="표준 174 7" xfId="0"/>
    <cellStyle name="표준 174 8" xfId="0"/>
    <cellStyle name="표준 174 9" xfId="0"/>
    <cellStyle name="표준 175" xfId="0"/>
    <cellStyle name="표준 175 10" xfId="0"/>
    <cellStyle name="표준 175 11" xfId="0"/>
    <cellStyle name="표준 175 12" xfId="0"/>
    <cellStyle name="표준 175 13" xfId="0"/>
    <cellStyle name="표준 175 14" xfId="0"/>
    <cellStyle name="표준 175 15" xfId="0"/>
    <cellStyle name="표준 175 16" xfId="0"/>
    <cellStyle name="표준 175 2" xfId="0"/>
    <cellStyle name="표준 175 2 2" xfId="0"/>
    <cellStyle name="표준 175 3" xfId="0"/>
    <cellStyle name="표준 175 3 2" xfId="0"/>
    <cellStyle name="표준 175 4" xfId="0"/>
    <cellStyle name="표준 175 4 2" xfId="0"/>
    <cellStyle name="표준 175 5" xfId="0"/>
    <cellStyle name="표준 175 5 2" xfId="0"/>
    <cellStyle name="표준 175 6" xfId="0"/>
    <cellStyle name="표준 175 6 2" xfId="0"/>
    <cellStyle name="표준 175 7" xfId="0"/>
    <cellStyle name="표준 175 8" xfId="0"/>
    <cellStyle name="표준 175 9" xfId="0"/>
    <cellStyle name="표준 176" xfId="0"/>
    <cellStyle name="표준 177" xfId="0"/>
    <cellStyle name="표준 178" xfId="0"/>
    <cellStyle name="표준 178 2" xfId="0"/>
    <cellStyle name="표준 179" xfId="0"/>
    <cellStyle name="표준 179 2" xfId="0"/>
    <cellStyle name="표준 18" xfId="0"/>
    <cellStyle name="표준 18 10" xfId="0"/>
    <cellStyle name="표준 18 10 2" xfId="0"/>
    <cellStyle name="표준 18 11" xfId="0"/>
    <cellStyle name="표준 18 12" xfId="0"/>
    <cellStyle name="표준 18 12 2" xfId="0"/>
    <cellStyle name="표준 18 13" xfId="0"/>
    <cellStyle name="표준 18 14" xfId="0"/>
    <cellStyle name="표준 18 15" xfId="0"/>
    <cellStyle name="표준 18 16" xfId="0"/>
    <cellStyle name="표준 18 17" xfId="0"/>
    <cellStyle name="표준 18 18" xfId="0"/>
    <cellStyle name="표준 18 19" xfId="0"/>
    <cellStyle name="표준 18 2" xfId="0"/>
    <cellStyle name="표준 18 2 2" xfId="0"/>
    <cellStyle name="표준 18 2 2 2" xfId="0"/>
    <cellStyle name="표준 18 2 2 2 2" xfId="0"/>
    <cellStyle name="표준 18 2 2 2 3" xfId="0"/>
    <cellStyle name="표준 18 2 2 2 4" xfId="0"/>
    <cellStyle name="표준 18 2 2 2 5" xfId="0"/>
    <cellStyle name="표준 18 2 2 3" xfId="0"/>
    <cellStyle name="표준 18 2 2 4" xfId="0"/>
    <cellStyle name="표준 18 2 2 5" xfId="0"/>
    <cellStyle name="표준 18 2 2 6" xfId="0"/>
    <cellStyle name="표준 18 2 2 7" xfId="0"/>
    <cellStyle name="표준 18 2 2 8" xfId="0"/>
    <cellStyle name="표준 18 2 2 9" xfId="0"/>
    <cellStyle name="표준 18 2 3" xfId="0"/>
    <cellStyle name="표준 18 2 3 2" xfId="0"/>
    <cellStyle name="표준 18 2 3 3" xfId="0"/>
    <cellStyle name="표준 18 2 3 4" xfId="0"/>
    <cellStyle name="표준 18 2 3 5" xfId="0"/>
    <cellStyle name="표준 18 2 4" xfId="0"/>
    <cellStyle name="표준 18 2 4 2" xfId="0"/>
    <cellStyle name="표준 18 2 4 3" xfId="0"/>
    <cellStyle name="표준 18 2 4 4" xfId="0"/>
    <cellStyle name="표준 18 2 4 5" xfId="0"/>
    <cellStyle name="표준 18 2 5" xfId="0"/>
    <cellStyle name="표준 18 2 5 2" xfId="0"/>
    <cellStyle name="표준 18 2 5 3" xfId="0"/>
    <cellStyle name="표준 18 2 5 4" xfId="0"/>
    <cellStyle name="표준 18 2 5 5" xfId="0"/>
    <cellStyle name="표준 18 2 6" xfId="0"/>
    <cellStyle name="표준 18 2 6 2" xfId="0"/>
    <cellStyle name="표준 18 2 6 3" xfId="0"/>
    <cellStyle name="표준 18 2 6 4" xfId="0"/>
    <cellStyle name="표준 18 2 6 5" xfId="0"/>
    <cellStyle name="표준 18 2 7" xfId="0"/>
    <cellStyle name="표준 18 2 8" xfId="0"/>
    <cellStyle name="표준 18 2 9" xfId="0"/>
    <cellStyle name="표준 18 20" xfId="0"/>
    <cellStyle name="표준 18 21" xfId="0"/>
    <cellStyle name="표준 18 22" xfId="0"/>
    <cellStyle name="표준 18 23" xfId="0"/>
    <cellStyle name="표준 18 3" xfId="0"/>
    <cellStyle name="표준 18 3 2" xfId="0"/>
    <cellStyle name="표준 18 3 3" xfId="0"/>
    <cellStyle name="표준 18 4" xfId="0"/>
    <cellStyle name="표준 18 4 2" xfId="0"/>
    <cellStyle name="표준 18 4 3" xfId="0"/>
    <cellStyle name="표준 18 5" xfId="0"/>
    <cellStyle name="표준 18 5 2" xfId="0"/>
    <cellStyle name="표준 18 5 3" xfId="0"/>
    <cellStyle name="표준 18 6" xfId="0"/>
    <cellStyle name="표준 18 6 2" xfId="0"/>
    <cellStyle name="표준 18 6 3" xfId="0"/>
    <cellStyle name="표준 18 7" xfId="0"/>
    <cellStyle name="표준 18 7 2" xfId="0"/>
    <cellStyle name="표준 18 7 3" xfId="0"/>
    <cellStyle name="표준 18 8" xfId="0"/>
    <cellStyle name="표준 18 8 2" xfId="0"/>
    <cellStyle name="표준 18 9" xfId="0"/>
    <cellStyle name="표준 18 9 2" xfId="0"/>
    <cellStyle name="표준 180" xfId="0"/>
    <cellStyle name="표준 181" xfId="0"/>
    <cellStyle name="표준 181 2" xfId="0"/>
    <cellStyle name="표준 182" xfId="0"/>
    <cellStyle name="표준 182 2" xfId="0"/>
    <cellStyle name="표준 183" xfId="0"/>
    <cellStyle name="표준 183 2" xfId="0"/>
    <cellStyle name="표준 183 2 2" xfId="0"/>
    <cellStyle name="표준 183 3" xfId="0"/>
    <cellStyle name="표준 184" xfId="0"/>
    <cellStyle name="표준 184 2" xfId="0"/>
    <cellStyle name="표준 184 2 2" xfId="0"/>
    <cellStyle name="표준 184 3" xfId="0"/>
    <cellStyle name="표준 184 4" xfId="0"/>
    <cellStyle name="표준 185" xfId="0"/>
    <cellStyle name="표준 185 2" xfId="0"/>
    <cellStyle name="표준 186" xfId="0"/>
    <cellStyle name="표준 186 2" xfId="0"/>
    <cellStyle name="표준 186 3" xfId="0"/>
    <cellStyle name="표준 187" xfId="0"/>
    <cellStyle name="표준 187 2" xfId="0"/>
    <cellStyle name="표준 187 3" xfId="0"/>
    <cellStyle name="표준 187 3 2" xfId="0"/>
    <cellStyle name="표준 187 3 2 2" xfId="0"/>
    <cellStyle name="표준 187 3 3" xfId="0"/>
    <cellStyle name="표준 187 4" xfId="0"/>
    <cellStyle name="표준 187 4 2" xfId="0"/>
    <cellStyle name="표준 187 4 2 2" xfId="0"/>
    <cellStyle name="표준 187 4 3" xfId="0"/>
    <cellStyle name="표준 188" xfId="0"/>
    <cellStyle name="표준 188 2" xfId="0"/>
    <cellStyle name="표준 188 2 2" xfId="0"/>
    <cellStyle name="표준 188 3" xfId="0"/>
    <cellStyle name="표준 189" xfId="0"/>
    <cellStyle name="표준 18_운용자산별 손익분석" xfId="0"/>
    <cellStyle name="표준 19" xfId="0"/>
    <cellStyle name="표준 19 10" xfId="0"/>
    <cellStyle name="표준 19 11" xfId="0"/>
    <cellStyle name="표준 19 12" xfId="0"/>
    <cellStyle name="표준 19 13" xfId="0"/>
    <cellStyle name="표준 19 14" xfId="0"/>
    <cellStyle name="표준 19 15" xfId="0"/>
    <cellStyle name="표준 19 16" xfId="0"/>
    <cellStyle name="표준 19 17" xfId="0"/>
    <cellStyle name="표준 19 18" xfId="0"/>
    <cellStyle name="표준 19 19" xfId="0"/>
    <cellStyle name="표준 19 2" xfId="0"/>
    <cellStyle name="표준 19 20" xfId="0"/>
    <cellStyle name="표준 19 21" xfId="0"/>
    <cellStyle name="표준 19 3" xfId="0"/>
    <cellStyle name="표준 19 4" xfId="0"/>
    <cellStyle name="표준 19 5" xfId="0"/>
    <cellStyle name="표준 19 6" xfId="0"/>
    <cellStyle name="표준 19 7" xfId="0"/>
    <cellStyle name="표준 19 8" xfId="0"/>
    <cellStyle name="표준 19 9" xfId="0"/>
    <cellStyle name="표준 190" xfId="0"/>
    <cellStyle name="표준 190 2" xfId="0"/>
    <cellStyle name="표준 191" xfId="0"/>
    <cellStyle name="표준 191 2" xfId="0"/>
    <cellStyle name="표준 191 2 2" xfId="0"/>
    <cellStyle name="표준 192" xfId="0"/>
    <cellStyle name="표준 192 2" xfId="0"/>
    <cellStyle name="표준 192 2 2" xfId="0"/>
    <cellStyle name="표준 193" xfId="0"/>
    <cellStyle name="표준 193 2" xfId="0"/>
    <cellStyle name="표준 193 2 2" xfId="0"/>
    <cellStyle name="표준 194" xfId="0"/>
    <cellStyle name="표준 194 2" xfId="0"/>
    <cellStyle name="표준 194 2 2" xfId="0"/>
    <cellStyle name="표준 195" xfId="0"/>
    <cellStyle name="표준 195 2" xfId="0"/>
    <cellStyle name="표준 195 2 2" xfId="0"/>
    <cellStyle name="표준 195 3" xfId="0"/>
    <cellStyle name="표준 196" xfId="0"/>
    <cellStyle name="표준 196 2" xfId="0"/>
    <cellStyle name="표준 196 2 2" xfId="0"/>
    <cellStyle name="표준 196 3" xfId="0"/>
    <cellStyle name="표준 197" xfId="0"/>
    <cellStyle name="표준 197 2" xfId="0"/>
    <cellStyle name="표준 197 2 2" xfId="0"/>
    <cellStyle name="표준 198" xfId="0"/>
    <cellStyle name="표준 199" xfId="0"/>
    <cellStyle name="표준 2" xfId="0"/>
    <cellStyle name="표준 2 10" xfId="0"/>
    <cellStyle name="표준 2 10 10" xfId="0"/>
    <cellStyle name="표준 2 10 11" xfId="0"/>
    <cellStyle name="표준 2 10 12" xfId="0"/>
    <cellStyle name="표준 2 10 13" xfId="0"/>
    <cellStyle name="표준 2 10 14" xfId="0"/>
    <cellStyle name="표준 2 10 2" xfId="0"/>
    <cellStyle name="표준 2 10 3" xfId="0"/>
    <cellStyle name="표준 2 10 4" xfId="0"/>
    <cellStyle name="표준 2 10 5" xfId="0"/>
    <cellStyle name="표준 2 10 6" xfId="0"/>
    <cellStyle name="표준 2 10 7" xfId="0"/>
    <cellStyle name="표준 2 10 8" xfId="0"/>
    <cellStyle name="표준 2 10 9" xfId="0"/>
    <cellStyle name="표준 2 11" xfId="0"/>
    <cellStyle name="표준 2 11 10" xfId="0"/>
    <cellStyle name="표준 2 11 11" xfId="0"/>
    <cellStyle name="표준 2 11 12" xfId="0"/>
    <cellStyle name="표준 2 11 13" xfId="0"/>
    <cellStyle name="표준 2 11 14" xfId="0"/>
    <cellStyle name="표준 2 11 15" xfId="0"/>
    <cellStyle name="표준 2 11 2" xfId="0"/>
    <cellStyle name="표준 2 11 2 10" xfId="0"/>
    <cellStyle name="표준 2 11 2 11" xfId="0"/>
    <cellStyle name="표준 2 11 2 12" xfId="0"/>
    <cellStyle name="표준 2 11 2 13" xfId="0"/>
    <cellStyle name="표준 2 11 2 14" xfId="0"/>
    <cellStyle name="표준 2 11 2 15" xfId="0"/>
    <cellStyle name="표준 2 11 2 2" xfId="0"/>
    <cellStyle name="표준 2 11 2 3" xfId="0"/>
    <cellStyle name="표준 2 11 2 4" xfId="0"/>
    <cellStyle name="표준 2 11 2 5" xfId="0"/>
    <cellStyle name="표준 2 11 2 6" xfId="0"/>
    <cellStyle name="표준 2 11 2 7" xfId="0"/>
    <cellStyle name="표준 2 11 2 8" xfId="0"/>
    <cellStyle name="표준 2 11 2 9" xfId="0"/>
    <cellStyle name="표준 2 11 3" xfId="0"/>
    <cellStyle name="표준 2 11 3 10" xfId="0"/>
    <cellStyle name="표준 2 11 3 2" xfId="0"/>
    <cellStyle name="표준 2 11 3 3" xfId="0"/>
    <cellStyle name="표준 2 11 3 4" xfId="0"/>
    <cellStyle name="표준 2 11 3 5" xfId="0"/>
    <cellStyle name="표준 2 11 3 6" xfId="0"/>
    <cellStyle name="표준 2 11 3 7" xfId="0"/>
    <cellStyle name="표준 2 11 3 8" xfId="0"/>
    <cellStyle name="표준 2 11 3 9" xfId="0"/>
    <cellStyle name="표준 2 11 4" xfId="0"/>
    <cellStyle name="표준 2 11 4 10" xfId="0"/>
    <cellStyle name="표준 2 11 4 2" xfId="0"/>
    <cellStyle name="표준 2 11 4 3" xfId="0"/>
    <cellStyle name="표준 2 11 4 4" xfId="0"/>
    <cellStyle name="표준 2 11 4 5" xfId="0"/>
    <cellStyle name="표준 2 11 4 6" xfId="0"/>
    <cellStyle name="표준 2 11 4 7" xfId="0"/>
    <cellStyle name="표준 2 11 4 8" xfId="0"/>
    <cellStyle name="표준 2 11 4 9" xfId="0"/>
    <cellStyle name="표준 2 11 5" xfId="0"/>
    <cellStyle name="표준 2 11 5 10" xfId="0"/>
    <cellStyle name="표준 2 11 5 2" xfId="0"/>
    <cellStyle name="표준 2 11 5 3" xfId="0"/>
    <cellStyle name="표준 2 11 5 4" xfId="0"/>
    <cellStyle name="표준 2 11 5 5" xfId="0"/>
    <cellStyle name="표준 2 11 5 6" xfId="0"/>
    <cellStyle name="표준 2 11 5 7" xfId="0"/>
    <cellStyle name="표준 2 11 5 8" xfId="0"/>
    <cellStyle name="표준 2 11 5 9" xfId="0"/>
    <cellStyle name="표준 2 11 6" xfId="0"/>
    <cellStyle name="표준 2 11 6 10" xfId="0"/>
    <cellStyle name="표준 2 11 6 2" xfId="0"/>
    <cellStyle name="표준 2 11 6 3" xfId="0"/>
    <cellStyle name="표준 2 11 6 4" xfId="0"/>
    <cellStyle name="표준 2 11 6 5" xfId="0"/>
    <cellStyle name="표준 2 11 6 6" xfId="0"/>
    <cellStyle name="표준 2 11 6 7" xfId="0"/>
    <cellStyle name="표준 2 11 6 8" xfId="0"/>
    <cellStyle name="표준 2 11 6 9" xfId="0"/>
    <cellStyle name="표준 2 11 7" xfId="0"/>
    <cellStyle name="표준 2 11 8" xfId="0"/>
    <cellStyle name="표준 2 11 9" xfId="0"/>
    <cellStyle name="표준 2 12" xfId="0"/>
    <cellStyle name="표준 2 12 10" xfId="0"/>
    <cellStyle name="표준 2 12 2" xfId="0"/>
    <cellStyle name="표준 2 12 3" xfId="0"/>
    <cellStyle name="표준 2 12 4" xfId="0"/>
    <cellStyle name="표준 2 12 5" xfId="0"/>
    <cellStyle name="표준 2 12 6" xfId="0"/>
    <cellStyle name="표준 2 12 7" xfId="0"/>
    <cellStyle name="표준 2 12 8" xfId="0"/>
    <cellStyle name="표준 2 12 9" xfId="0"/>
    <cellStyle name="표준 2 13" xfId="0"/>
    <cellStyle name="표준 2 13 10" xfId="0"/>
    <cellStyle name="표준 2 13 2" xfId="0"/>
    <cellStyle name="표준 2 13 3" xfId="0"/>
    <cellStyle name="표준 2 13 4" xfId="0"/>
    <cellStyle name="표준 2 13 5" xfId="0"/>
    <cellStyle name="표준 2 13 6" xfId="0"/>
    <cellStyle name="표준 2 13 7" xfId="0"/>
    <cellStyle name="표준 2 13 8" xfId="0"/>
    <cellStyle name="표준 2 13 9" xfId="0"/>
    <cellStyle name="표준 2 14" xfId="0"/>
    <cellStyle name="표준 2 14 10" xfId="0"/>
    <cellStyle name="표준 2 14 11" xfId="0"/>
    <cellStyle name="표준 2 14 2" xfId="0"/>
    <cellStyle name="표준 2 14 3" xfId="0"/>
    <cellStyle name="표준 2 14 4" xfId="0"/>
    <cellStyle name="표준 2 14 5" xfId="0"/>
    <cellStyle name="표준 2 14 6" xfId="0"/>
    <cellStyle name="표준 2 14 7" xfId="0"/>
    <cellStyle name="표준 2 14 8" xfId="0"/>
    <cellStyle name="표준 2 14 9" xfId="0"/>
    <cellStyle name="표준 2 15" xfId="0"/>
    <cellStyle name="표준 2 16" xfId="0"/>
    <cellStyle name="표준 2 17" xfId="0"/>
    <cellStyle name="표준 2 17 10" xfId="0"/>
    <cellStyle name="표준 2 17 11" xfId="0"/>
    <cellStyle name="표준 2 17 2" xfId="0"/>
    <cellStyle name="표준 2 17 3" xfId="0"/>
    <cellStyle name="표준 2 17 4" xfId="0"/>
    <cellStyle name="표준 2 17 5" xfId="0"/>
    <cellStyle name="표준 2 17 6" xfId="0"/>
    <cellStyle name="표준 2 17 7" xfId="0"/>
    <cellStyle name="표준 2 17 8" xfId="0"/>
    <cellStyle name="표준 2 17 9" xfId="0"/>
    <cellStyle name="표준 2 18" xfId="0"/>
    <cellStyle name="표준 2 18 10" xfId="0"/>
    <cellStyle name="표준 2 18 11" xfId="0"/>
    <cellStyle name="표준 2 18 2" xfId="0"/>
    <cellStyle name="표준 2 18 3" xfId="0"/>
    <cellStyle name="표준 2 18 4" xfId="0"/>
    <cellStyle name="표준 2 18 5" xfId="0"/>
    <cellStyle name="표준 2 18 6" xfId="0"/>
    <cellStyle name="표준 2 18 7" xfId="0"/>
    <cellStyle name="표준 2 18 8" xfId="0"/>
    <cellStyle name="표준 2 18 9" xfId="0"/>
    <cellStyle name="표준 2 19" xfId="0"/>
    <cellStyle name="표준 2 19 10" xfId="0"/>
    <cellStyle name="표준 2 19 11" xfId="0"/>
    <cellStyle name="표준 2 19 2" xfId="0"/>
    <cellStyle name="표준 2 19 3" xfId="0"/>
    <cellStyle name="표준 2 19 4" xfId="0"/>
    <cellStyle name="표준 2 19 5" xfId="0"/>
    <cellStyle name="표준 2 19 6" xfId="0"/>
    <cellStyle name="표준 2 19 7" xfId="0"/>
    <cellStyle name="표준 2 19 8" xfId="0"/>
    <cellStyle name="표준 2 19 9" xfId="0"/>
    <cellStyle name="표준 2 2" xfId="0"/>
    <cellStyle name="표준 2 2 10" xfId="0"/>
    <cellStyle name="표준 2 2 10 10" xfId="0"/>
    <cellStyle name="표준 2 2 10 10 2" xfId="0"/>
    <cellStyle name="표준 2 2 10 2" xfId="0"/>
    <cellStyle name="표준 2 2 10 2 2" xfId="0"/>
    <cellStyle name="표준 2 2 10 3" xfId="0"/>
    <cellStyle name="표준 2 2 10 3 2" xfId="0"/>
    <cellStyle name="표준 2 2 10 4" xfId="0"/>
    <cellStyle name="표준 2 2 10 4 2" xfId="0"/>
    <cellStyle name="표준 2 2 10 5" xfId="0"/>
    <cellStyle name="표준 2 2 10 5 2" xfId="0"/>
    <cellStyle name="표준 2 2 10 6" xfId="0"/>
    <cellStyle name="표준 2 2 10 6 2" xfId="0"/>
    <cellStyle name="표준 2 2 10 7" xfId="0"/>
    <cellStyle name="표준 2 2 10 7 2" xfId="0"/>
    <cellStyle name="표준 2 2 10 8" xfId="0"/>
    <cellStyle name="표준 2 2 10 8 2" xfId="0"/>
    <cellStyle name="표준 2 2 10 9" xfId="0"/>
    <cellStyle name="표준 2 2 10 9 2" xfId="0"/>
    <cellStyle name="표준 2 2 11" xfId="0"/>
    <cellStyle name="표준 2 2 11 10" xfId="0"/>
    <cellStyle name="표준 2 2 11 10 2" xfId="0"/>
    <cellStyle name="표준 2 2 11 11" xfId="0"/>
    <cellStyle name="표준 2 2 11 11 2" xfId="0"/>
    <cellStyle name="표준 2 2 11 12" xfId="0"/>
    <cellStyle name="표준 2 2 11 12 2" xfId="0"/>
    <cellStyle name="표준 2 2 11 13" xfId="0"/>
    <cellStyle name="표준 2 2 11 13 2" xfId="0"/>
    <cellStyle name="표준 2 2 11 14" xfId="0"/>
    <cellStyle name="표준 2 2 11 14 2" xfId="0"/>
    <cellStyle name="표준 2 2 11 15" xfId="0"/>
    <cellStyle name="표준 2 2 11 15 2" xfId="0"/>
    <cellStyle name="표준 2 2 11 2" xfId="0"/>
    <cellStyle name="표준 2 2 11 2 2" xfId="0"/>
    <cellStyle name="표준 2 2 11 2 2 10" xfId="0"/>
    <cellStyle name="표준 2 2 11 2 2 2" xfId="0"/>
    <cellStyle name="표준 2 2 11 2 2 3" xfId="0"/>
    <cellStyle name="표준 2 2 11 2 2 4" xfId="0"/>
    <cellStyle name="표준 2 2 11 2 2 5" xfId="0"/>
    <cellStyle name="표준 2 2 11 2 2 6" xfId="0"/>
    <cellStyle name="표준 2 2 11 2 2 7" xfId="0"/>
    <cellStyle name="표준 2 2 11 2 2 8" xfId="0"/>
    <cellStyle name="표준 2 2 11 2 2 9" xfId="0"/>
    <cellStyle name="표준 2 2 11 2 3" xfId="0"/>
    <cellStyle name="표준 2 2 11 2 3 10" xfId="0"/>
    <cellStyle name="표준 2 2 11 2 3 2" xfId="0"/>
    <cellStyle name="표준 2 2 11 2 3 3" xfId="0"/>
    <cellStyle name="표준 2 2 11 2 3 4" xfId="0"/>
    <cellStyle name="표준 2 2 11 2 3 5" xfId="0"/>
    <cellStyle name="표준 2 2 11 2 3 6" xfId="0"/>
    <cellStyle name="표준 2 2 11 2 3 7" xfId="0"/>
    <cellStyle name="표준 2 2 11 2 3 8" xfId="0"/>
    <cellStyle name="표준 2 2 11 2 3 9" xfId="0"/>
    <cellStyle name="표준 2 2 11 2 4" xfId="0"/>
    <cellStyle name="표준 2 2 11 2 4 10" xfId="0"/>
    <cellStyle name="표준 2 2 11 2 4 2" xfId="0"/>
    <cellStyle name="표준 2 2 11 2 4 3" xfId="0"/>
    <cellStyle name="표준 2 2 11 2 4 4" xfId="0"/>
    <cellStyle name="표준 2 2 11 2 4 5" xfId="0"/>
    <cellStyle name="표준 2 2 11 2 4 6" xfId="0"/>
    <cellStyle name="표준 2 2 11 2 4 7" xfId="0"/>
    <cellStyle name="표준 2 2 11 2 4 8" xfId="0"/>
    <cellStyle name="표준 2 2 11 2 4 9" xfId="0"/>
    <cellStyle name="표준 2 2 11 2 5" xfId="0"/>
    <cellStyle name="표준 2 2 11 2 5 10" xfId="0"/>
    <cellStyle name="표준 2 2 11 2 5 2" xfId="0"/>
    <cellStyle name="표준 2 2 11 2 5 3" xfId="0"/>
    <cellStyle name="표준 2 2 11 2 5 4" xfId="0"/>
    <cellStyle name="표준 2 2 11 2 5 5" xfId="0"/>
    <cellStyle name="표준 2 2 11 2 5 6" xfId="0"/>
    <cellStyle name="표준 2 2 11 2 5 7" xfId="0"/>
    <cellStyle name="표준 2 2 11 2 5 8" xfId="0"/>
    <cellStyle name="표준 2 2 11 2 5 9" xfId="0"/>
    <cellStyle name="표준 2 2 11 2 6" xfId="0"/>
    <cellStyle name="표준 2 2 11 2 6 10" xfId="0"/>
    <cellStyle name="표준 2 2 11 2 6 2" xfId="0"/>
    <cellStyle name="표준 2 2 11 2 6 3" xfId="0"/>
    <cellStyle name="표준 2 2 11 2 6 4" xfId="0"/>
    <cellStyle name="표준 2 2 11 2 6 5" xfId="0"/>
    <cellStyle name="표준 2 2 11 2 6 6" xfId="0"/>
    <cellStyle name="표준 2 2 11 2 6 7" xfId="0"/>
    <cellStyle name="표준 2 2 11 2 6 8" xfId="0"/>
    <cellStyle name="표준 2 2 11 2 6 9" xfId="0"/>
    <cellStyle name="표준 2 2 11 3" xfId="0"/>
    <cellStyle name="표준 2 2 11 4" xfId="0"/>
    <cellStyle name="표준 2 2 11 5" xfId="0"/>
    <cellStyle name="표준 2 2 11 6" xfId="0"/>
    <cellStyle name="표준 2 2 11 7" xfId="0"/>
    <cellStyle name="표준 2 2 11 7 2" xfId="0"/>
    <cellStyle name="표준 2 2 11 8" xfId="0"/>
    <cellStyle name="표준 2 2 11 8 2" xfId="0"/>
    <cellStyle name="표준 2 2 11 9" xfId="0"/>
    <cellStyle name="표준 2 2 11 9 2" xfId="0"/>
    <cellStyle name="표준 2 2 12" xfId="0"/>
    <cellStyle name="표준 2 2 12 10" xfId="0"/>
    <cellStyle name="표준 2 2 12 10 2" xfId="0"/>
    <cellStyle name="표준 2 2 12 2" xfId="0"/>
    <cellStyle name="표준 2 2 12 2 2" xfId="0"/>
    <cellStyle name="표준 2 2 12 3" xfId="0"/>
    <cellStyle name="표준 2 2 12 3 2" xfId="0"/>
    <cellStyle name="표준 2 2 12 4" xfId="0"/>
    <cellStyle name="표준 2 2 12 4 2" xfId="0"/>
    <cellStyle name="표준 2 2 12 5" xfId="0"/>
    <cellStyle name="표준 2 2 12 5 2" xfId="0"/>
    <cellStyle name="표준 2 2 12 6" xfId="0"/>
    <cellStyle name="표준 2 2 12 6 2" xfId="0"/>
    <cellStyle name="표준 2 2 12 7" xfId="0"/>
    <cellStyle name="표준 2 2 12 7 2" xfId="0"/>
    <cellStyle name="표준 2 2 12 8" xfId="0"/>
    <cellStyle name="표준 2 2 12 8 2" xfId="0"/>
    <cellStyle name="표준 2 2 12 9" xfId="0"/>
    <cellStyle name="표준 2 2 12 9 2" xfId="0"/>
    <cellStyle name="표준 2 2 13" xfId="0"/>
    <cellStyle name="표준 2 2 13 10" xfId="0"/>
    <cellStyle name="표준 2 2 13 10 2" xfId="0"/>
    <cellStyle name="표준 2 2 13 2" xfId="0"/>
    <cellStyle name="표준 2 2 13 2 2" xfId="0"/>
    <cellStyle name="표준 2 2 13 3" xfId="0"/>
    <cellStyle name="표준 2 2 13 3 2" xfId="0"/>
    <cellStyle name="표준 2 2 13 4" xfId="0"/>
    <cellStyle name="표준 2 2 13 4 2" xfId="0"/>
    <cellStyle name="표준 2 2 13 5" xfId="0"/>
    <cellStyle name="표준 2 2 13 5 2" xfId="0"/>
    <cellStyle name="표준 2 2 13 6" xfId="0"/>
    <cellStyle name="표준 2 2 13 6 2" xfId="0"/>
    <cellStyle name="표준 2 2 13 7" xfId="0"/>
    <cellStyle name="표준 2 2 13 7 2" xfId="0"/>
    <cellStyle name="표준 2 2 13 8" xfId="0"/>
    <cellStyle name="표준 2 2 13 8 2" xfId="0"/>
    <cellStyle name="표준 2 2 13 9" xfId="0"/>
    <cellStyle name="표준 2 2 13 9 2" xfId="0"/>
    <cellStyle name="표준 2 2 14" xfId="0"/>
    <cellStyle name="표준 2 2 14 10" xfId="0"/>
    <cellStyle name="표준 2 2 14 10 2" xfId="0"/>
    <cellStyle name="표준 2 2 14 2" xfId="0"/>
    <cellStyle name="표준 2 2 14 2 2" xfId="0"/>
    <cellStyle name="표준 2 2 14 3" xfId="0"/>
    <cellStyle name="표준 2 2 14 3 2" xfId="0"/>
    <cellStyle name="표준 2 2 14 4" xfId="0"/>
    <cellStyle name="표준 2 2 14 4 2" xfId="0"/>
    <cellStyle name="표준 2 2 14 5" xfId="0"/>
    <cellStyle name="표준 2 2 14 5 2" xfId="0"/>
    <cellStyle name="표준 2 2 14 6" xfId="0"/>
    <cellStyle name="표준 2 2 14 6 2" xfId="0"/>
    <cellStyle name="표준 2 2 14 7" xfId="0"/>
    <cellStyle name="표준 2 2 14 7 2" xfId="0"/>
    <cellStyle name="표준 2 2 14 8" xfId="0"/>
    <cellStyle name="표준 2 2 14 8 2" xfId="0"/>
    <cellStyle name="표준 2 2 14 9" xfId="0"/>
    <cellStyle name="표준 2 2 14 9 2" xfId="0"/>
    <cellStyle name="표준 2 2 15" xfId="0"/>
    <cellStyle name="표준 2 2 15 10" xfId="0"/>
    <cellStyle name="표준 2 2 15 10 2" xfId="0"/>
    <cellStyle name="표준 2 2 15 2" xfId="0"/>
    <cellStyle name="표준 2 2 15 2 2" xfId="0"/>
    <cellStyle name="표준 2 2 15 3" xfId="0"/>
    <cellStyle name="표준 2 2 15 3 2" xfId="0"/>
    <cellStyle name="표준 2 2 15 4" xfId="0"/>
    <cellStyle name="표준 2 2 15 4 2" xfId="0"/>
    <cellStyle name="표준 2 2 15 5" xfId="0"/>
    <cellStyle name="표준 2 2 15 5 2" xfId="0"/>
    <cellStyle name="표준 2 2 15 6" xfId="0"/>
    <cellStyle name="표준 2 2 15 6 2" xfId="0"/>
    <cellStyle name="표준 2 2 15 7" xfId="0"/>
    <cellStyle name="표준 2 2 15 7 2" xfId="0"/>
    <cellStyle name="표준 2 2 15 8" xfId="0"/>
    <cellStyle name="표준 2 2 15 8 2" xfId="0"/>
    <cellStyle name="표준 2 2 15 9" xfId="0"/>
    <cellStyle name="표준 2 2 15 9 2" xfId="0"/>
    <cellStyle name="표준 2 2 16" xfId="0"/>
    <cellStyle name="표준 2 2 16 10" xfId="0"/>
    <cellStyle name="표준 2 2 16 10 2" xfId="0"/>
    <cellStyle name="표준 2 2 16 2" xfId="0"/>
    <cellStyle name="표준 2 2 16 2 2" xfId="0"/>
    <cellStyle name="표준 2 2 16 3" xfId="0"/>
    <cellStyle name="표준 2 2 16 3 2" xfId="0"/>
    <cellStyle name="표준 2 2 16 4" xfId="0"/>
    <cellStyle name="표준 2 2 16 4 2" xfId="0"/>
    <cellStyle name="표준 2 2 16 5" xfId="0"/>
    <cellStyle name="표준 2 2 16 5 2" xfId="0"/>
    <cellStyle name="표준 2 2 16 6" xfId="0"/>
    <cellStyle name="표준 2 2 16 6 2" xfId="0"/>
    <cellStyle name="표준 2 2 16 7" xfId="0"/>
    <cellStyle name="표준 2 2 16 7 2" xfId="0"/>
    <cellStyle name="표준 2 2 16 8" xfId="0"/>
    <cellStyle name="표준 2 2 16 8 2" xfId="0"/>
    <cellStyle name="표준 2 2 16 9" xfId="0"/>
    <cellStyle name="표준 2 2 16 9 2" xfId="0"/>
    <cellStyle name="표준 2 2 17" xfId="0"/>
    <cellStyle name="표준 2 2 17 10" xfId="0"/>
    <cellStyle name="표준 2 2 17 2" xfId="0"/>
    <cellStyle name="표준 2 2 17 3" xfId="0"/>
    <cellStyle name="표준 2 2 17 4" xfId="0"/>
    <cellStyle name="표준 2 2 17 5" xfId="0"/>
    <cellStyle name="표준 2 2 17 6" xfId="0"/>
    <cellStyle name="표준 2 2 17 7" xfId="0"/>
    <cellStyle name="표준 2 2 17 8" xfId="0"/>
    <cellStyle name="표준 2 2 17 9" xfId="0"/>
    <cellStyle name="표준 2 2 18" xfId="0"/>
    <cellStyle name="표준 2 2 18 10" xfId="0"/>
    <cellStyle name="표준 2 2 18 10 2" xfId="0"/>
    <cellStyle name="표준 2 2 18 2" xfId="0"/>
    <cellStyle name="표준 2 2 18 2 2" xfId="0"/>
    <cellStyle name="표준 2 2 18 3" xfId="0"/>
    <cellStyle name="표준 2 2 18 3 2" xfId="0"/>
    <cellStyle name="표준 2 2 18 4" xfId="0"/>
    <cellStyle name="표준 2 2 18 4 2" xfId="0"/>
    <cellStyle name="표준 2 2 18 5" xfId="0"/>
    <cellStyle name="표준 2 2 18 5 2" xfId="0"/>
    <cellStyle name="표준 2 2 18 6" xfId="0"/>
    <cellStyle name="표준 2 2 18 6 2" xfId="0"/>
    <cellStyle name="표준 2 2 18 7" xfId="0"/>
    <cellStyle name="표준 2 2 18 7 2" xfId="0"/>
    <cellStyle name="표준 2 2 18 8" xfId="0"/>
    <cellStyle name="표준 2 2 18 8 2" xfId="0"/>
    <cellStyle name="표준 2 2 18 9" xfId="0"/>
    <cellStyle name="표준 2 2 18 9 2" xfId="0"/>
    <cellStyle name="표준 2 2 19" xfId="0"/>
    <cellStyle name="표준 2 2 19 10" xfId="0"/>
    <cellStyle name="표준 2 2 19 10 2" xfId="0"/>
    <cellStyle name="표준 2 2 19 2" xfId="0"/>
    <cellStyle name="표준 2 2 19 2 2" xfId="0"/>
    <cellStyle name="표준 2 2 19 3" xfId="0"/>
    <cellStyle name="표준 2 2 19 3 2" xfId="0"/>
    <cellStyle name="표준 2 2 19 4" xfId="0"/>
    <cellStyle name="표준 2 2 19 4 2" xfId="0"/>
    <cellStyle name="표준 2 2 19 5" xfId="0"/>
    <cellStyle name="표준 2 2 19 5 2" xfId="0"/>
    <cellStyle name="표준 2 2 19 6" xfId="0"/>
    <cellStyle name="표준 2 2 19 6 2" xfId="0"/>
    <cellStyle name="표준 2 2 19 7" xfId="0"/>
    <cellStyle name="표준 2 2 19 7 2" xfId="0"/>
    <cellStyle name="표준 2 2 19 8" xfId="0"/>
    <cellStyle name="표준 2 2 19 8 2" xfId="0"/>
    <cellStyle name="표준 2 2 19 9" xfId="0"/>
    <cellStyle name="표준 2 2 19 9 2" xfId="0"/>
    <cellStyle name="표준 2 2 2" xfId="0"/>
    <cellStyle name="표준 2 2 2 10" xfId="0"/>
    <cellStyle name="표준 2 2 2 10 10" xfId="0"/>
    <cellStyle name="표준 2 2 2 10 11" xfId="0"/>
    <cellStyle name="표준 2 2 2 10 12" xfId="0"/>
    <cellStyle name="표준 2 2 2 10 13" xfId="0"/>
    <cellStyle name="표준 2 2 2 10 14" xfId="0"/>
    <cellStyle name="표준 2 2 2 10 15" xfId="0"/>
    <cellStyle name="표준 2 2 2 10 2" xfId="0"/>
    <cellStyle name="표준 2 2 2 10 2 10" xfId="0"/>
    <cellStyle name="표준 2 2 2 10 2 11" xfId="0"/>
    <cellStyle name="표준 2 2 2 10 2 12" xfId="0"/>
    <cellStyle name="표준 2 2 2 10 2 13" xfId="0"/>
    <cellStyle name="표준 2 2 2 10 2 14" xfId="0"/>
    <cellStyle name="표준 2 2 2 10 2 15" xfId="0"/>
    <cellStyle name="표준 2 2 2 10 2 2" xfId="0"/>
    <cellStyle name="표준 2 2 2 10 2 3" xfId="0"/>
    <cellStyle name="표준 2 2 2 10 2 4" xfId="0"/>
    <cellStyle name="표준 2 2 2 10 2 5" xfId="0"/>
    <cellStyle name="표준 2 2 2 10 2 6" xfId="0"/>
    <cellStyle name="표준 2 2 2 10 2 7" xfId="0"/>
    <cellStyle name="표준 2 2 2 10 2 8" xfId="0"/>
    <cellStyle name="표준 2 2 2 10 2 9" xfId="0"/>
    <cellStyle name="표준 2 2 2 10 3" xfId="0"/>
    <cellStyle name="표준 2 2 2 10 3 10" xfId="0"/>
    <cellStyle name="표준 2 2 2 10 3 2" xfId="0"/>
    <cellStyle name="표준 2 2 2 10 3 3" xfId="0"/>
    <cellStyle name="표준 2 2 2 10 3 4" xfId="0"/>
    <cellStyle name="표준 2 2 2 10 3 5" xfId="0"/>
    <cellStyle name="표준 2 2 2 10 3 6" xfId="0"/>
    <cellStyle name="표준 2 2 2 10 3 7" xfId="0"/>
    <cellStyle name="표준 2 2 2 10 3 8" xfId="0"/>
    <cellStyle name="표준 2 2 2 10 3 9" xfId="0"/>
    <cellStyle name="표준 2 2 2 10 4" xfId="0"/>
    <cellStyle name="표준 2 2 2 10 4 10" xfId="0"/>
    <cellStyle name="표준 2 2 2 10 4 2" xfId="0"/>
    <cellStyle name="표준 2 2 2 10 4 3" xfId="0"/>
    <cellStyle name="표준 2 2 2 10 4 4" xfId="0"/>
    <cellStyle name="표준 2 2 2 10 4 5" xfId="0"/>
    <cellStyle name="표준 2 2 2 10 4 6" xfId="0"/>
    <cellStyle name="표준 2 2 2 10 4 7" xfId="0"/>
    <cellStyle name="표준 2 2 2 10 4 8" xfId="0"/>
    <cellStyle name="표준 2 2 2 10 4 9" xfId="0"/>
    <cellStyle name="표준 2 2 2 10 5" xfId="0"/>
    <cellStyle name="표준 2 2 2 10 5 10" xfId="0"/>
    <cellStyle name="표준 2 2 2 10 5 2" xfId="0"/>
    <cellStyle name="표준 2 2 2 10 5 3" xfId="0"/>
    <cellStyle name="표준 2 2 2 10 5 4" xfId="0"/>
    <cellStyle name="표준 2 2 2 10 5 5" xfId="0"/>
    <cellStyle name="표준 2 2 2 10 5 6" xfId="0"/>
    <cellStyle name="표준 2 2 2 10 5 7" xfId="0"/>
    <cellStyle name="표준 2 2 2 10 5 8" xfId="0"/>
    <cellStyle name="표준 2 2 2 10 5 9" xfId="0"/>
    <cellStyle name="표준 2 2 2 10 6" xfId="0"/>
    <cellStyle name="표준 2 2 2 10 6 10" xfId="0"/>
    <cellStyle name="표준 2 2 2 10 6 2" xfId="0"/>
    <cellStyle name="표준 2 2 2 10 6 3" xfId="0"/>
    <cellStyle name="표준 2 2 2 10 6 4" xfId="0"/>
    <cellStyle name="표준 2 2 2 10 6 5" xfId="0"/>
    <cellStyle name="표준 2 2 2 10 6 6" xfId="0"/>
    <cellStyle name="표준 2 2 2 10 6 7" xfId="0"/>
    <cellStyle name="표준 2 2 2 10 6 8" xfId="0"/>
    <cellStyle name="표준 2 2 2 10 6 9" xfId="0"/>
    <cellStyle name="표준 2 2 2 10 7" xfId="0"/>
    <cellStyle name="표준 2 2 2 10 8" xfId="0"/>
    <cellStyle name="표준 2 2 2 10 9" xfId="0"/>
    <cellStyle name="표준 2 2 2 11" xfId="0"/>
    <cellStyle name="표준 2 2 2 11 10" xfId="0"/>
    <cellStyle name="표준 2 2 2 11 2" xfId="0"/>
    <cellStyle name="표준 2 2 2 11 3" xfId="0"/>
    <cellStyle name="표준 2 2 2 11 4" xfId="0"/>
    <cellStyle name="표준 2 2 2 11 5" xfId="0"/>
    <cellStyle name="표준 2 2 2 11 6" xfId="0"/>
    <cellStyle name="표준 2 2 2 11 7" xfId="0"/>
    <cellStyle name="표준 2 2 2 11 8" xfId="0"/>
    <cellStyle name="표준 2 2 2 11 9" xfId="0"/>
    <cellStyle name="표준 2 2 2 12" xfId="0"/>
    <cellStyle name="표준 2 2 2 12 10" xfId="0"/>
    <cellStyle name="표준 2 2 2 12 2" xfId="0"/>
    <cellStyle name="표준 2 2 2 12 3" xfId="0"/>
    <cellStyle name="표준 2 2 2 12 4" xfId="0"/>
    <cellStyle name="표준 2 2 2 12 5" xfId="0"/>
    <cellStyle name="표준 2 2 2 12 6" xfId="0"/>
    <cellStyle name="표준 2 2 2 12 7" xfId="0"/>
    <cellStyle name="표준 2 2 2 12 8" xfId="0"/>
    <cellStyle name="표준 2 2 2 12 9" xfId="0"/>
    <cellStyle name="표준 2 2 2 13" xfId="0"/>
    <cellStyle name="표준 2 2 2 13 10" xfId="0"/>
    <cellStyle name="표준 2 2 2 13 2" xfId="0"/>
    <cellStyle name="표준 2 2 2 13 3" xfId="0"/>
    <cellStyle name="표준 2 2 2 13 4" xfId="0"/>
    <cellStyle name="표준 2 2 2 13 5" xfId="0"/>
    <cellStyle name="표준 2 2 2 13 6" xfId="0"/>
    <cellStyle name="표준 2 2 2 13 7" xfId="0"/>
    <cellStyle name="표준 2 2 2 13 8" xfId="0"/>
    <cellStyle name="표준 2 2 2 13 9" xfId="0"/>
    <cellStyle name="표준 2 2 2 14" xfId="0"/>
    <cellStyle name="표준 2 2 2 14 10" xfId="0"/>
    <cellStyle name="표준 2 2 2 14 2" xfId="0"/>
    <cellStyle name="표준 2 2 2 14 3" xfId="0"/>
    <cellStyle name="표준 2 2 2 14 4" xfId="0"/>
    <cellStyle name="표준 2 2 2 14 5" xfId="0"/>
    <cellStyle name="표준 2 2 2 14 6" xfId="0"/>
    <cellStyle name="표준 2 2 2 14 7" xfId="0"/>
    <cellStyle name="표준 2 2 2 14 8" xfId="0"/>
    <cellStyle name="표준 2 2 2 14 9" xfId="0"/>
    <cellStyle name="표준 2 2 2 15" xfId="0"/>
    <cellStyle name="표준 2 2 2 15 10" xfId="0"/>
    <cellStyle name="표준 2 2 2 15 2" xfId="0"/>
    <cellStyle name="표준 2 2 2 15 3" xfId="0"/>
    <cellStyle name="표준 2 2 2 15 4" xfId="0"/>
    <cellStyle name="표준 2 2 2 15 5" xfId="0"/>
    <cellStyle name="표준 2 2 2 15 6" xfId="0"/>
    <cellStyle name="표준 2 2 2 15 7" xfId="0"/>
    <cellStyle name="표준 2 2 2 15 8" xfId="0"/>
    <cellStyle name="표준 2 2 2 15 9" xfId="0"/>
    <cellStyle name="표준 2 2 2 16" xfId="0"/>
    <cellStyle name="표준 2 2 2 16 10" xfId="0"/>
    <cellStyle name="표준 2 2 2 16 2" xfId="0"/>
    <cellStyle name="표준 2 2 2 16 3" xfId="0"/>
    <cellStyle name="표준 2 2 2 16 4" xfId="0"/>
    <cellStyle name="표준 2 2 2 16 5" xfId="0"/>
    <cellStyle name="표준 2 2 2 16 6" xfId="0"/>
    <cellStyle name="표준 2 2 2 16 7" xfId="0"/>
    <cellStyle name="표준 2 2 2 16 8" xfId="0"/>
    <cellStyle name="표준 2 2 2 16 9" xfId="0"/>
    <cellStyle name="표준 2 2 2 17" xfId="0"/>
    <cellStyle name="표준 2 2 2 17 10" xfId="0"/>
    <cellStyle name="표준 2 2 2 17 2" xfId="0"/>
    <cellStyle name="표준 2 2 2 17 3" xfId="0"/>
    <cellStyle name="표준 2 2 2 17 4" xfId="0"/>
    <cellStyle name="표준 2 2 2 17 5" xfId="0"/>
    <cellStyle name="표준 2 2 2 17 6" xfId="0"/>
    <cellStyle name="표준 2 2 2 17 7" xfId="0"/>
    <cellStyle name="표준 2 2 2 17 8" xfId="0"/>
    <cellStyle name="표준 2 2 2 17 9" xfId="0"/>
    <cellStyle name="표준 2 2 2 18" xfId="0"/>
    <cellStyle name="표준 2 2 2 18 10" xfId="0"/>
    <cellStyle name="표준 2 2 2 18 2" xfId="0"/>
    <cellStyle name="표준 2 2 2 18 3" xfId="0"/>
    <cellStyle name="표준 2 2 2 18 4" xfId="0"/>
    <cellStyle name="표준 2 2 2 18 5" xfId="0"/>
    <cellStyle name="표준 2 2 2 18 6" xfId="0"/>
    <cellStyle name="표준 2 2 2 18 7" xfId="0"/>
    <cellStyle name="표준 2 2 2 18 8" xfId="0"/>
    <cellStyle name="표준 2 2 2 18 9" xfId="0"/>
    <cellStyle name="표준 2 2 2 19" xfId="0"/>
    <cellStyle name="표준 2 2 2 19 10" xfId="0"/>
    <cellStyle name="표준 2 2 2 19 2" xfId="0"/>
    <cellStyle name="표준 2 2 2 19 3" xfId="0"/>
    <cellStyle name="표준 2 2 2 19 4" xfId="0"/>
    <cellStyle name="표준 2 2 2 19 5" xfId="0"/>
    <cellStyle name="표준 2 2 2 19 6" xfId="0"/>
    <cellStyle name="표준 2 2 2 19 7" xfId="0"/>
    <cellStyle name="표준 2 2 2 19 8" xfId="0"/>
    <cellStyle name="표준 2 2 2 19 9" xfId="0"/>
    <cellStyle name="표준 2 2 2 2" xfId="0"/>
    <cellStyle name="표준 2 2 2 2 10" xfId="0"/>
    <cellStyle name="표준 2 2 2 2 10 10" xfId="0"/>
    <cellStyle name="표준 2 2 2 2 10 10 2" xfId="0"/>
    <cellStyle name="표준 2 2 2 2 10 2" xfId="0"/>
    <cellStyle name="표준 2 2 2 2 10 2 2" xfId="0"/>
    <cellStyle name="표준 2 2 2 2 10 3" xfId="0"/>
    <cellStyle name="표준 2 2 2 2 10 3 2" xfId="0"/>
    <cellStyle name="표준 2 2 2 2 10 4" xfId="0"/>
    <cellStyle name="표준 2 2 2 2 10 4 2" xfId="0"/>
    <cellStyle name="표준 2 2 2 2 10 5" xfId="0"/>
    <cellStyle name="표준 2 2 2 2 10 5 2" xfId="0"/>
    <cellStyle name="표준 2 2 2 2 10 6" xfId="0"/>
    <cellStyle name="표준 2 2 2 2 10 6 2" xfId="0"/>
    <cellStyle name="표준 2 2 2 2 10 7" xfId="0"/>
    <cellStyle name="표준 2 2 2 2 10 7 2" xfId="0"/>
    <cellStyle name="표준 2 2 2 2 10 8" xfId="0"/>
    <cellStyle name="표준 2 2 2 2 10 8 2" xfId="0"/>
    <cellStyle name="표준 2 2 2 2 10 9" xfId="0"/>
    <cellStyle name="표준 2 2 2 2 10 9 2" xfId="0"/>
    <cellStyle name="표준 2 2 2 2 11" xfId="0"/>
    <cellStyle name="표준 2 2 2 2 11 10" xfId="0"/>
    <cellStyle name="표준 2 2 2 2 11 10 2" xfId="0"/>
    <cellStyle name="표준 2 2 2 2 11 2" xfId="0"/>
    <cellStyle name="표준 2 2 2 2 11 2 2" xfId="0"/>
    <cellStyle name="표준 2 2 2 2 11 3" xfId="0"/>
    <cellStyle name="표준 2 2 2 2 11 3 2" xfId="0"/>
    <cellStyle name="표준 2 2 2 2 11 4" xfId="0"/>
    <cellStyle name="표준 2 2 2 2 11 4 2" xfId="0"/>
    <cellStyle name="표준 2 2 2 2 11 5" xfId="0"/>
    <cellStyle name="표준 2 2 2 2 11 5 2" xfId="0"/>
    <cellStyle name="표준 2 2 2 2 11 6" xfId="0"/>
    <cellStyle name="표준 2 2 2 2 11 6 2" xfId="0"/>
    <cellStyle name="표준 2 2 2 2 11 7" xfId="0"/>
    <cellStyle name="표준 2 2 2 2 11 7 2" xfId="0"/>
    <cellStyle name="표준 2 2 2 2 11 8" xfId="0"/>
    <cellStyle name="표준 2 2 2 2 11 8 2" xfId="0"/>
    <cellStyle name="표준 2 2 2 2 11 9" xfId="0"/>
    <cellStyle name="표준 2 2 2 2 11 9 2" xfId="0"/>
    <cellStyle name="표준 2 2 2 2 12" xfId="0"/>
    <cellStyle name="표준 2 2 2 2 12 10" xfId="0"/>
    <cellStyle name="표준 2 2 2 2 12 10 2" xfId="0"/>
    <cellStyle name="표준 2 2 2 2 12 2" xfId="0"/>
    <cellStyle name="표준 2 2 2 2 12 2 2" xfId="0"/>
    <cellStyle name="표준 2 2 2 2 12 3" xfId="0"/>
    <cellStyle name="표준 2 2 2 2 12 3 2" xfId="0"/>
    <cellStyle name="표준 2 2 2 2 12 4" xfId="0"/>
    <cellStyle name="표준 2 2 2 2 12 4 2" xfId="0"/>
    <cellStyle name="표준 2 2 2 2 12 5" xfId="0"/>
    <cellStyle name="표준 2 2 2 2 12 5 2" xfId="0"/>
    <cellStyle name="표준 2 2 2 2 12 6" xfId="0"/>
    <cellStyle name="표준 2 2 2 2 12 6 2" xfId="0"/>
    <cellStyle name="표준 2 2 2 2 12 7" xfId="0"/>
    <cellStyle name="표준 2 2 2 2 12 7 2" xfId="0"/>
    <cellStyle name="표준 2 2 2 2 12 8" xfId="0"/>
    <cellStyle name="표준 2 2 2 2 12 8 2" xfId="0"/>
    <cellStyle name="표준 2 2 2 2 12 9" xfId="0"/>
    <cellStyle name="표준 2 2 2 2 12 9 2" xfId="0"/>
    <cellStyle name="표준 2 2 2 2 13" xfId="0"/>
    <cellStyle name="표준 2 2 2 2 13 10" xfId="0"/>
    <cellStyle name="표준 2 2 2 2 13 10 2" xfId="0"/>
    <cellStyle name="표준 2 2 2 2 13 2" xfId="0"/>
    <cellStyle name="표준 2 2 2 2 13 2 2" xfId="0"/>
    <cellStyle name="표준 2 2 2 2 13 3" xfId="0"/>
    <cellStyle name="표준 2 2 2 2 13 3 2" xfId="0"/>
    <cellStyle name="표준 2 2 2 2 13 4" xfId="0"/>
    <cellStyle name="표준 2 2 2 2 13 4 2" xfId="0"/>
    <cellStyle name="표준 2 2 2 2 13 5" xfId="0"/>
    <cellStyle name="표준 2 2 2 2 13 5 2" xfId="0"/>
    <cellStyle name="표준 2 2 2 2 13 6" xfId="0"/>
    <cellStyle name="표준 2 2 2 2 13 6 2" xfId="0"/>
    <cellStyle name="표준 2 2 2 2 13 7" xfId="0"/>
    <cellStyle name="표준 2 2 2 2 13 7 2" xfId="0"/>
    <cellStyle name="표준 2 2 2 2 13 8" xfId="0"/>
    <cellStyle name="표준 2 2 2 2 13 8 2" xfId="0"/>
    <cellStyle name="표준 2 2 2 2 13 9" xfId="0"/>
    <cellStyle name="표준 2 2 2 2 13 9 2" xfId="0"/>
    <cellStyle name="표준 2 2 2 2 14" xfId="0"/>
    <cellStyle name="표준 2 2 2 2 14 10" xfId="0"/>
    <cellStyle name="표준 2 2 2 2 14 2" xfId="0"/>
    <cellStyle name="표준 2 2 2 2 14 3" xfId="0"/>
    <cellStyle name="표준 2 2 2 2 14 4" xfId="0"/>
    <cellStyle name="표준 2 2 2 2 14 5" xfId="0"/>
    <cellStyle name="표준 2 2 2 2 14 6" xfId="0"/>
    <cellStyle name="표준 2 2 2 2 14 7" xfId="0"/>
    <cellStyle name="표준 2 2 2 2 14 8" xfId="0"/>
    <cellStyle name="표준 2 2 2 2 14 9" xfId="0"/>
    <cellStyle name="표준 2 2 2 2 15" xfId="0"/>
    <cellStyle name="표준 2 2 2 2 15 10" xfId="0"/>
    <cellStyle name="표준 2 2 2 2 15 10 2" xfId="0"/>
    <cellStyle name="표준 2 2 2 2 15 2" xfId="0"/>
    <cellStyle name="표준 2 2 2 2 15 2 2" xfId="0"/>
    <cellStyle name="표준 2 2 2 2 15 3" xfId="0"/>
    <cellStyle name="표준 2 2 2 2 15 3 2" xfId="0"/>
    <cellStyle name="표준 2 2 2 2 15 4" xfId="0"/>
    <cellStyle name="표준 2 2 2 2 15 4 2" xfId="0"/>
    <cellStyle name="표준 2 2 2 2 15 5" xfId="0"/>
    <cellStyle name="표준 2 2 2 2 15 5 2" xfId="0"/>
    <cellStyle name="표준 2 2 2 2 15 6" xfId="0"/>
    <cellStyle name="표준 2 2 2 2 15 6 2" xfId="0"/>
    <cellStyle name="표준 2 2 2 2 15 7" xfId="0"/>
    <cellStyle name="표준 2 2 2 2 15 7 2" xfId="0"/>
    <cellStyle name="표준 2 2 2 2 15 8" xfId="0"/>
    <cellStyle name="표준 2 2 2 2 15 8 2" xfId="0"/>
    <cellStyle name="표준 2 2 2 2 15 9" xfId="0"/>
    <cellStyle name="표준 2 2 2 2 15 9 2" xfId="0"/>
    <cellStyle name="표준 2 2 2 2 16" xfId="0"/>
    <cellStyle name="표준 2 2 2 2 16 10" xfId="0"/>
    <cellStyle name="표준 2 2 2 2 16 10 2" xfId="0"/>
    <cellStyle name="표준 2 2 2 2 16 2" xfId="0"/>
    <cellStyle name="표준 2 2 2 2 16 2 2" xfId="0"/>
    <cellStyle name="표준 2 2 2 2 16 3" xfId="0"/>
    <cellStyle name="표준 2 2 2 2 16 3 2" xfId="0"/>
    <cellStyle name="표준 2 2 2 2 16 4" xfId="0"/>
    <cellStyle name="표준 2 2 2 2 16 4 2" xfId="0"/>
    <cellStyle name="표준 2 2 2 2 16 5" xfId="0"/>
    <cellStyle name="표준 2 2 2 2 16 5 2" xfId="0"/>
    <cellStyle name="표준 2 2 2 2 16 6" xfId="0"/>
    <cellStyle name="표준 2 2 2 2 16 6 2" xfId="0"/>
    <cellStyle name="표준 2 2 2 2 16 7" xfId="0"/>
    <cellStyle name="표준 2 2 2 2 16 7 2" xfId="0"/>
    <cellStyle name="표준 2 2 2 2 16 8" xfId="0"/>
    <cellStyle name="표준 2 2 2 2 16 8 2" xfId="0"/>
    <cellStyle name="표준 2 2 2 2 16 9" xfId="0"/>
    <cellStyle name="표준 2 2 2 2 16 9 2" xfId="0"/>
    <cellStyle name="표준 2 2 2 2 17" xfId="0"/>
    <cellStyle name="표준 2 2 2 2 17 2" xfId="0"/>
    <cellStyle name="표준 2 2 2 2 17 2 2" xfId="0"/>
    <cellStyle name="표준 2 2 2 2 17 2 2 2" xfId="0"/>
    <cellStyle name="표준 2 2 2 2 17 2 2 3" xfId="0"/>
    <cellStyle name="표준 2 2 2 2 17 2 2 4" xfId="0"/>
    <cellStyle name="표준 2 2 2 2 17 2 2 5" xfId="0"/>
    <cellStyle name="표준 2 2 2 2 17 2 3" xfId="0"/>
    <cellStyle name="표준 2 2 2 2 17 2 4" xfId="0"/>
    <cellStyle name="표준 2 2 2 2 17 2 5" xfId="0"/>
    <cellStyle name="표준 2 2 2 2 17 3" xfId="0"/>
    <cellStyle name="표준 2 2 2 2 17 4" xfId="0"/>
    <cellStyle name="표준 2 2 2 2 17 5" xfId="0"/>
    <cellStyle name="표준 2 2 2 2 17 6" xfId="0"/>
    <cellStyle name="표준 2 2 2 2 17 7" xfId="0"/>
    <cellStyle name="표준 2 2 2 2 18" xfId="0"/>
    <cellStyle name="표준 2 2 2 2 18 2" xfId="0"/>
    <cellStyle name="표준 2 2 2 2 18 3" xfId="0"/>
    <cellStyle name="표준 2 2 2 2 18 4" xfId="0"/>
    <cellStyle name="표준 2 2 2 2 18 5" xfId="0"/>
    <cellStyle name="표준 2 2 2 2 18 6" xfId="0"/>
    <cellStyle name="표준 2 2 2 2 19" xfId="0"/>
    <cellStyle name="표준 2 2 2 2 19 2" xfId="0"/>
    <cellStyle name="표준 2 2 2 2 19 3" xfId="0"/>
    <cellStyle name="표준 2 2 2 2 19 4" xfId="0"/>
    <cellStyle name="표준 2 2 2 2 19 5" xfId="0"/>
    <cellStyle name="표준 2 2 2 2 19 6" xfId="0"/>
    <cellStyle name="표준 2 2 2 2 2" xfId="0"/>
    <cellStyle name="표준 2 2 2 2 2 10" xfId="0"/>
    <cellStyle name="표준 2 2 2 2 2 10 10" xfId="0"/>
    <cellStyle name="표준 2 2 2 2 2 10 2" xfId="0"/>
    <cellStyle name="표준 2 2 2 2 2 10 3" xfId="0"/>
    <cellStyle name="표준 2 2 2 2 2 10 4" xfId="0"/>
    <cellStyle name="표준 2 2 2 2 2 10 5" xfId="0"/>
    <cellStyle name="표준 2 2 2 2 2 10 6" xfId="0"/>
    <cellStyle name="표준 2 2 2 2 2 10 7" xfId="0"/>
    <cellStyle name="표준 2 2 2 2 2 10 8" xfId="0"/>
    <cellStyle name="표준 2 2 2 2 2 10 9" xfId="0"/>
    <cellStyle name="표준 2 2 2 2 2 11" xfId="0"/>
    <cellStyle name="표준 2 2 2 2 2 11 10" xfId="0"/>
    <cellStyle name="표준 2 2 2 2 2 11 2" xfId="0"/>
    <cellStyle name="표준 2 2 2 2 2 11 3" xfId="0"/>
    <cellStyle name="표준 2 2 2 2 2 11 4" xfId="0"/>
    <cellStyle name="표준 2 2 2 2 2 11 5" xfId="0"/>
    <cellStyle name="표준 2 2 2 2 2 11 6" xfId="0"/>
    <cellStyle name="표준 2 2 2 2 2 11 7" xfId="0"/>
    <cellStyle name="표준 2 2 2 2 2 11 8" xfId="0"/>
    <cellStyle name="표준 2 2 2 2 2 11 9" xfId="0"/>
    <cellStyle name="표준 2 2 2 2 2 12" xfId="0"/>
    <cellStyle name="표준 2 2 2 2 2 12 10" xfId="0"/>
    <cellStyle name="표준 2 2 2 2 2 12 2" xfId="0"/>
    <cellStyle name="표준 2 2 2 2 2 12 3" xfId="0"/>
    <cellStyle name="표준 2 2 2 2 2 12 4" xfId="0"/>
    <cellStyle name="표준 2 2 2 2 2 12 5" xfId="0"/>
    <cellStyle name="표준 2 2 2 2 2 12 6" xfId="0"/>
    <cellStyle name="표준 2 2 2 2 2 12 7" xfId="0"/>
    <cellStyle name="표준 2 2 2 2 2 12 8" xfId="0"/>
    <cellStyle name="표준 2 2 2 2 2 12 9" xfId="0"/>
    <cellStyle name="표준 2 2 2 2 2 13" xfId="0"/>
    <cellStyle name="표준 2 2 2 2 2 13 10" xfId="0"/>
    <cellStyle name="표준 2 2 2 2 2 13 2" xfId="0"/>
    <cellStyle name="표준 2 2 2 2 2 13 3" xfId="0"/>
    <cellStyle name="표준 2 2 2 2 2 13 4" xfId="0"/>
    <cellStyle name="표준 2 2 2 2 2 13 5" xfId="0"/>
    <cellStyle name="표준 2 2 2 2 2 13 6" xfId="0"/>
    <cellStyle name="표준 2 2 2 2 2 13 7" xfId="0"/>
    <cellStyle name="표준 2 2 2 2 2 13 8" xfId="0"/>
    <cellStyle name="표준 2 2 2 2 2 13 9" xfId="0"/>
    <cellStyle name="표준 2 2 2 2 2 14" xfId="0"/>
    <cellStyle name="표준 2 2 2 2 2 14 10" xfId="0"/>
    <cellStyle name="표준 2 2 2 2 2 14 2" xfId="0"/>
    <cellStyle name="표준 2 2 2 2 2 14 3" xfId="0"/>
    <cellStyle name="표준 2 2 2 2 2 14 4" xfId="0"/>
    <cellStyle name="표준 2 2 2 2 2 14 5" xfId="0"/>
    <cellStyle name="표준 2 2 2 2 2 14 6" xfId="0"/>
    <cellStyle name="표준 2 2 2 2 2 14 7" xfId="0"/>
    <cellStyle name="표준 2 2 2 2 2 14 8" xfId="0"/>
    <cellStyle name="표준 2 2 2 2 2 14 9" xfId="0"/>
    <cellStyle name="표준 2 2 2 2 2 15" xfId="0"/>
    <cellStyle name="표준 2 2 2 2 2 15 10" xfId="0"/>
    <cellStyle name="표준 2 2 2 2 2 15 2" xfId="0"/>
    <cellStyle name="표준 2 2 2 2 2 15 3" xfId="0"/>
    <cellStyle name="표준 2 2 2 2 2 15 4" xfId="0"/>
    <cellStyle name="표준 2 2 2 2 2 15 5" xfId="0"/>
    <cellStyle name="표준 2 2 2 2 2 15 6" xfId="0"/>
    <cellStyle name="표준 2 2 2 2 2 15 7" xfId="0"/>
    <cellStyle name="표준 2 2 2 2 2 15 8" xfId="0"/>
    <cellStyle name="표준 2 2 2 2 2 15 9" xfId="0"/>
    <cellStyle name="표준 2 2 2 2 2 16" xfId="0"/>
    <cellStyle name="표준 2 2 2 2 2 16 10" xfId="0"/>
    <cellStyle name="표준 2 2 2 2 2 16 11" xfId="0"/>
    <cellStyle name="표준 2 2 2 2 2 16 2" xfId="0"/>
    <cellStyle name="표준 2 2 2 2 2 16 2 2" xfId="0"/>
    <cellStyle name="표준 2 2 2 2 2 16 3" xfId="0"/>
    <cellStyle name="표준 2 2 2 2 2 16 3 2" xfId="0"/>
    <cellStyle name="표준 2 2 2 2 2 16 4" xfId="0"/>
    <cellStyle name="표준 2 2 2 2 2 16 4 2" xfId="0"/>
    <cellStyle name="표준 2 2 2 2 2 16 5" xfId="0"/>
    <cellStyle name="표준 2 2 2 2 2 16 5 2" xfId="0"/>
    <cellStyle name="표준 2 2 2 2 2 16 6" xfId="0"/>
    <cellStyle name="표준 2 2 2 2 2 16 6 2" xfId="0"/>
    <cellStyle name="표준 2 2 2 2 2 16 7" xfId="0"/>
    <cellStyle name="표준 2 2 2 2 2 16 7 2" xfId="0"/>
    <cellStyle name="표준 2 2 2 2 2 16 8" xfId="0"/>
    <cellStyle name="표준 2 2 2 2 2 16 8 2" xfId="0"/>
    <cellStyle name="표준 2 2 2 2 2 16 9" xfId="0"/>
    <cellStyle name="표준 2 2 2 2 2 16 9 2" xfId="0"/>
    <cellStyle name="표준 2 2 2 2 2 17" xfId="0"/>
    <cellStyle name="표준 2 2 2 2 2 17 10" xfId="0"/>
    <cellStyle name="표준 2 2 2 2 2 17 2" xfId="0"/>
    <cellStyle name="표준 2 2 2 2 2 17 3" xfId="0"/>
    <cellStyle name="표준 2 2 2 2 2 17 4" xfId="0"/>
    <cellStyle name="표준 2 2 2 2 2 17 5" xfId="0"/>
    <cellStyle name="표준 2 2 2 2 2 17 6" xfId="0"/>
    <cellStyle name="표준 2 2 2 2 2 17 7" xfId="0"/>
    <cellStyle name="표준 2 2 2 2 2 17 8" xfId="0"/>
    <cellStyle name="표준 2 2 2 2 2 17 9" xfId="0"/>
    <cellStyle name="표준 2 2 2 2 2 18" xfId="0"/>
    <cellStyle name="표준 2 2 2 2 2 18 2" xfId="0"/>
    <cellStyle name="표준 2 2 2 2 2 18 3" xfId="0"/>
    <cellStyle name="표준 2 2 2 2 2 18 4" xfId="0"/>
    <cellStyle name="표준 2 2 2 2 2 18 5" xfId="0"/>
    <cellStyle name="표준 2 2 2 2 2 18 6" xfId="0"/>
    <cellStyle name="표준 2 2 2 2 2 19" xfId="0"/>
    <cellStyle name="표준 2 2 2 2 2 19 2" xfId="0"/>
    <cellStyle name="표준 2 2 2 2 2 19 3" xfId="0"/>
    <cellStyle name="표준 2 2 2 2 2 19 4" xfId="0"/>
    <cellStyle name="표준 2 2 2 2 2 19 5" xfId="0"/>
    <cellStyle name="표준 2 2 2 2 2 19 6" xfId="0"/>
    <cellStyle name="표준 2 2 2 2 2 2" xfId="0"/>
    <cellStyle name="표준 2 2 2 2 2 2 10" xfId="0"/>
    <cellStyle name="표준 2 2 2 2 2 2 10 10" xfId="0"/>
    <cellStyle name="표준 2 2 2 2 2 2 10 10 2" xfId="0"/>
    <cellStyle name="표준 2 2 2 2 2 2 10 2" xfId="0"/>
    <cellStyle name="표준 2 2 2 2 2 2 10 2 2" xfId="0"/>
    <cellStyle name="표준 2 2 2 2 2 2 10 3" xfId="0"/>
    <cellStyle name="표준 2 2 2 2 2 2 10 3 2" xfId="0"/>
    <cellStyle name="표준 2 2 2 2 2 2 10 4" xfId="0"/>
    <cellStyle name="표준 2 2 2 2 2 2 10 4 2" xfId="0"/>
    <cellStyle name="표준 2 2 2 2 2 2 10 5" xfId="0"/>
    <cellStyle name="표준 2 2 2 2 2 2 10 5 2" xfId="0"/>
    <cellStyle name="표준 2 2 2 2 2 2 10 6" xfId="0"/>
    <cellStyle name="표준 2 2 2 2 2 2 10 6 2" xfId="0"/>
    <cellStyle name="표준 2 2 2 2 2 2 10 7" xfId="0"/>
    <cellStyle name="표준 2 2 2 2 2 2 10 7 2" xfId="0"/>
    <cellStyle name="표준 2 2 2 2 2 2 10 8" xfId="0"/>
    <cellStyle name="표준 2 2 2 2 2 2 10 8 2" xfId="0"/>
    <cellStyle name="표준 2 2 2 2 2 2 10 9" xfId="0"/>
    <cellStyle name="표준 2 2 2 2 2 2 10 9 2" xfId="0"/>
    <cellStyle name="표준 2 2 2 2 2 2 11" xfId="0"/>
    <cellStyle name="표준 2 2 2 2 2 2 11 10" xfId="0"/>
    <cellStyle name="표준 2 2 2 2 2 2 11 10 2" xfId="0"/>
    <cellStyle name="표준 2 2 2 2 2 2 11 2" xfId="0"/>
    <cellStyle name="표준 2 2 2 2 2 2 11 2 2" xfId="0"/>
    <cellStyle name="표준 2 2 2 2 2 2 11 3" xfId="0"/>
    <cellStyle name="표준 2 2 2 2 2 2 11 3 2" xfId="0"/>
    <cellStyle name="표준 2 2 2 2 2 2 11 4" xfId="0"/>
    <cellStyle name="표준 2 2 2 2 2 2 11 4 2" xfId="0"/>
    <cellStyle name="표준 2 2 2 2 2 2 11 5" xfId="0"/>
    <cellStyle name="표준 2 2 2 2 2 2 11 5 2" xfId="0"/>
    <cellStyle name="표준 2 2 2 2 2 2 11 6" xfId="0"/>
    <cellStyle name="표준 2 2 2 2 2 2 11 6 2" xfId="0"/>
    <cellStyle name="표준 2 2 2 2 2 2 11 7" xfId="0"/>
    <cellStyle name="표준 2 2 2 2 2 2 11 7 2" xfId="0"/>
    <cellStyle name="표준 2 2 2 2 2 2 11 8" xfId="0"/>
    <cellStyle name="표준 2 2 2 2 2 2 11 8 2" xfId="0"/>
    <cellStyle name="표준 2 2 2 2 2 2 11 9" xfId="0"/>
    <cellStyle name="표준 2 2 2 2 2 2 11 9 2" xfId="0"/>
    <cellStyle name="표준 2 2 2 2 2 2 12" xfId="0"/>
    <cellStyle name="표준 2 2 2 2 2 2 12 10" xfId="0"/>
    <cellStyle name="표준 2 2 2 2 2 2 12 10 2" xfId="0"/>
    <cellStyle name="표준 2 2 2 2 2 2 12 2" xfId="0"/>
    <cellStyle name="표준 2 2 2 2 2 2 12 2 2" xfId="0"/>
    <cellStyle name="표준 2 2 2 2 2 2 12 3" xfId="0"/>
    <cellStyle name="표준 2 2 2 2 2 2 12 3 2" xfId="0"/>
    <cellStyle name="표준 2 2 2 2 2 2 12 4" xfId="0"/>
    <cellStyle name="표준 2 2 2 2 2 2 12 4 2" xfId="0"/>
    <cellStyle name="표준 2 2 2 2 2 2 12 5" xfId="0"/>
    <cellStyle name="표준 2 2 2 2 2 2 12 5 2" xfId="0"/>
    <cellStyle name="표준 2 2 2 2 2 2 12 6" xfId="0"/>
    <cellStyle name="표준 2 2 2 2 2 2 12 6 2" xfId="0"/>
    <cellStyle name="표준 2 2 2 2 2 2 12 7" xfId="0"/>
    <cellStyle name="표준 2 2 2 2 2 2 12 7 2" xfId="0"/>
    <cellStyle name="표준 2 2 2 2 2 2 12 8" xfId="0"/>
    <cellStyle name="표준 2 2 2 2 2 2 12 8 2" xfId="0"/>
    <cellStyle name="표준 2 2 2 2 2 2 12 9" xfId="0"/>
    <cellStyle name="표준 2 2 2 2 2 2 12 9 2" xfId="0"/>
    <cellStyle name="표준 2 2 2 2 2 2 13" xfId="0"/>
    <cellStyle name="표준 2 2 2 2 2 2 13 10" xfId="0"/>
    <cellStyle name="표준 2 2 2 2 2 2 13 10 2" xfId="0"/>
    <cellStyle name="표준 2 2 2 2 2 2 13 2" xfId="0"/>
    <cellStyle name="표준 2 2 2 2 2 2 13 2 2" xfId="0"/>
    <cellStyle name="표준 2 2 2 2 2 2 13 3" xfId="0"/>
    <cellStyle name="표준 2 2 2 2 2 2 13 3 2" xfId="0"/>
    <cellStyle name="표준 2 2 2 2 2 2 13 4" xfId="0"/>
    <cellStyle name="표준 2 2 2 2 2 2 13 4 2" xfId="0"/>
    <cellStyle name="표준 2 2 2 2 2 2 13 5" xfId="0"/>
    <cellStyle name="표준 2 2 2 2 2 2 13 5 2" xfId="0"/>
    <cellStyle name="표준 2 2 2 2 2 2 13 6" xfId="0"/>
    <cellStyle name="표준 2 2 2 2 2 2 13 6 2" xfId="0"/>
    <cellStyle name="표준 2 2 2 2 2 2 13 7" xfId="0"/>
    <cellStyle name="표준 2 2 2 2 2 2 13 7 2" xfId="0"/>
    <cellStyle name="표준 2 2 2 2 2 2 13 8" xfId="0"/>
    <cellStyle name="표준 2 2 2 2 2 2 13 8 2" xfId="0"/>
    <cellStyle name="표준 2 2 2 2 2 2 13 9" xfId="0"/>
    <cellStyle name="표준 2 2 2 2 2 2 13 9 2" xfId="0"/>
    <cellStyle name="표준 2 2 2 2 2 2 14" xfId="0"/>
    <cellStyle name="표준 2 2 2 2 2 2 14 10" xfId="0"/>
    <cellStyle name="표준 2 2 2 2 2 2 14 2" xfId="0"/>
    <cellStyle name="표준 2 2 2 2 2 2 14 2 2" xfId="0"/>
    <cellStyle name="표준 2 2 2 2 2 2 14 3" xfId="0"/>
    <cellStyle name="표준 2 2 2 2 2 2 14 3 2" xfId="0"/>
    <cellStyle name="표준 2 2 2 2 2 2 14 4" xfId="0"/>
    <cellStyle name="표준 2 2 2 2 2 2 14 4 2" xfId="0"/>
    <cellStyle name="표준 2 2 2 2 2 2 14 5" xfId="0"/>
    <cellStyle name="표준 2 2 2 2 2 2 14 5 2" xfId="0"/>
    <cellStyle name="표준 2 2 2 2 2 2 14 6" xfId="0"/>
    <cellStyle name="표준 2 2 2 2 2 2 14 6 2" xfId="0"/>
    <cellStyle name="표준 2 2 2 2 2 2 14 7" xfId="0"/>
    <cellStyle name="표준 2 2 2 2 2 2 14 7 2" xfId="0"/>
    <cellStyle name="표준 2 2 2 2 2 2 14 8" xfId="0"/>
    <cellStyle name="표준 2 2 2 2 2 2 14 8 2" xfId="0"/>
    <cellStyle name="표준 2 2 2 2 2 2 14 9" xfId="0"/>
    <cellStyle name="표준 2 2 2 2 2 2 14 9 2" xfId="0"/>
    <cellStyle name="표준 2 2 2 2 2 2 15" xfId="0"/>
    <cellStyle name="표준 2 2 2 2 2 2 15 10" xfId="0"/>
    <cellStyle name="표준 2 2 2 2 2 2 15 2" xfId="0"/>
    <cellStyle name="표준 2 2 2 2 2 2 15 2 2" xfId="0"/>
    <cellStyle name="표준 2 2 2 2 2 2 15 3" xfId="0"/>
    <cellStyle name="표준 2 2 2 2 2 2 15 3 2" xfId="0"/>
    <cellStyle name="표준 2 2 2 2 2 2 15 4" xfId="0"/>
    <cellStyle name="표준 2 2 2 2 2 2 15 4 2" xfId="0"/>
    <cellStyle name="표준 2 2 2 2 2 2 15 5" xfId="0"/>
    <cellStyle name="표준 2 2 2 2 2 2 15 5 2" xfId="0"/>
    <cellStyle name="표준 2 2 2 2 2 2 15 6" xfId="0"/>
    <cellStyle name="표준 2 2 2 2 2 2 15 6 2" xfId="0"/>
    <cellStyle name="표준 2 2 2 2 2 2 15 7" xfId="0"/>
    <cellStyle name="표준 2 2 2 2 2 2 15 7 2" xfId="0"/>
    <cellStyle name="표준 2 2 2 2 2 2 15 8" xfId="0"/>
    <cellStyle name="표준 2 2 2 2 2 2 15 8 2" xfId="0"/>
    <cellStyle name="표준 2 2 2 2 2 2 15 9" xfId="0"/>
    <cellStyle name="표준 2 2 2 2 2 2 15 9 2" xfId="0"/>
    <cellStyle name="표준 2 2 2 2 2 2 16" xfId="0"/>
    <cellStyle name="표준 2 2 2 2 2 2 16 10" xfId="0"/>
    <cellStyle name="표준 2 2 2 2 2 2 16 2" xfId="0"/>
    <cellStyle name="표준 2 2 2 2 2 2 16 2 2" xfId="0"/>
    <cellStyle name="표준 2 2 2 2 2 2 16 3" xfId="0"/>
    <cellStyle name="표준 2 2 2 2 2 2 16 3 2" xfId="0"/>
    <cellStyle name="표준 2 2 2 2 2 2 16 4" xfId="0"/>
    <cellStyle name="표준 2 2 2 2 2 2 16 4 2" xfId="0"/>
    <cellStyle name="표준 2 2 2 2 2 2 16 5" xfId="0"/>
    <cellStyle name="표준 2 2 2 2 2 2 16 5 2" xfId="0"/>
    <cellStyle name="표준 2 2 2 2 2 2 16 6" xfId="0"/>
    <cellStyle name="표준 2 2 2 2 2 2 16 7" xfId="0"/>
    <cellStyle name="표준 2 2 2 2 2 2 16 8" xfId="0"/>
    <cellStyle name="표준 2 2 2 2 2 2 16 9" xfId="0"/>
    <cellStyle name="표준 2 2 2 2 2 2 17" xfId="0"/>
    <cellStyle name="표준 2 2 2 2 2 2 17 2" xfId="0"/>
    <cellStyle name="표준 2 2 2 2 2 2 17 3" xfId="0"/>
    <cellStyle name="표준 2 2 2 2 2 2 17 4" xfId="0"/>
    <cellStyle name="표준 2 2 2 2 2 2 17 5" xfId="0"/>
    <cellStyle name="표준 2 2 2 2 2 2 18" xfId="0"/>
    <cellStyle name="표준 2 2 2 2 2 2 18 2" xfId="0"/>
    <cellStyle name="표준 2 2 2 2 2 2 18 3" xfId="0"/>
    <cellStyle name="표준 2 2 2 2 2 2 18 4" xfId="0"/>
    <cellStyle name="표준 2 2 2 2 2 2 18 5" xfId="0"/>
    <cellStyle name="표준 2 2 2 2 2 2 18 6" xfId="0"/>
    <cellStyle name="표준 2 2 2 2 2 2 19" xfId="0"/>
    <cellStyle name="표준 2 2 2 2 2 2 19 2" xfId="0"/>
    <cellStyle name="표준 2 2 2 2 2 2 19 3" xfId="0"/>
    <cellStyle name="표준 2 2 2 2 2 2 19 4" xfId="0"/>
    <cellStyle name="표준 2 2 2 2 2 2 19 5" xfId="0"/>
    <cellStyle name="표준 2 2 2 2 2 2 19 6" xfId="0"/>
    <cellStyle name="표준 2 2 2 2 2 2 2" xfId="0"/>
    <cellStyle name="표준 2 2 2 2 2 2 2 10" xfId="0"/>
    <cellStyle name="표준 2 2 2 2 2 2 2 10 10" xfId="0"/>
    <cellStyle name="표준 2 2 2 2 2 2 2 10 11" xfId="0"/>
    <cellStyle name="표준 2 2 2 2 2 2 2 10 2" xfId="0"/>
    <cellStyle name="표준 2 2 2 2 2 2 2 10 2 2" xfId="0"/>
    <cellStyle name="표준 2 2 2 2 2 2 2 10 3" xfId="0"/>
    <cellStyle name="표준 2 2 2 2 2 2 2 10 3 2" xfId="0"/>
    <cellStyle name="표준 2 2 2 2 2 2 2 10 4" xfId="0"/>
    <cellStyle name="표준 2 2 2 2 2 2 2 10 4 2" xfId="0"/>
    <cellStyle name="표준 2 2 2 2 2 2 2 10 5" xfId="0"/>
    <cellStyle name="표준 2 2 2 2 2 2 2 10 5 2" xfId="0"/>
    <cellStyle name="표준 2 2 2 2 2 2 2 10 6" xfId="0"/>
    <cellStyle name="표준 2 2 2 2 2 2 2 10 6 2" xfId="0"/>
    <cellStyle name="표준 2 2 2 2 2 2 2 10 7" xfId="0"/>
    <cellStyle name="표준 2 2 2 2 2 2 2 10 7 2" xfId="0"/>
    <cellStyle name="표준 2 2 2 2 2 2 2 10 8" xfId="0"/>
    <cellStyle name="표준 2 2 2 2 2 2 2 10 8 2" xfId="0"/>
    <cellStyle name="표준 2 2 2 2 2 2 2 10 9" xfId="0"/>
    <cellStyle name="표준 2 2 2 2 2 2 2 10 9 2" xfId="0"/>
    <cellStyle name="표준 2 2 2 2 2 2 2 11" xfId="0"/>
    <cellStyle name="표준 2 2 2 2 2 2 2 11 10" xfId="0"/>
    <cellStyle name="표준 2 2 2 2 2 2 2 11 11" xfId="0"/>
    <cellStyle name="표준 2 2 2 2 2 2 2 11 2" xfId="0"/>
    <cellStyle name="표준 2 2 2 2 2 2 2 11 2 2" xfId="0"/>
    <cellStyle name="표준 2 2 2 2 2 2 2 11 3" xfId="0"/>
    <cellStyle name="표준 2 2 2 2 2 2 2 11 3 2" xfId="0"/>
    <cellStyle name="표준 2 2 2 2 2 2 2 11 4" xfId="0"/>
    <cellStyle name="표준 2 2 2 2 2 2 2 11 4 2" xfId="0"/>
    <cellStyle name="표준 2 2 2 2 2 2 2 11 5" xfId="0"/>
    <cellStyle name="표준 2 2 2 2 2 2 2 11 5 2" xfId="0"/>
    <cellStyle name="표준 2 2 2 2 2 2 2 11 6" xfId="0"/>
    <cellStyle name="표준 2 2 2 2 2 2 2 11 6 2" xfId="0"/>
    <cellStyle name="표준 2 2 2 2 2 2 2 11 7" xfId="0"/>
    <cellStyle name="표준 2 2 2 2 2 2 2 11 7 2" xfId="0"/>
    <cellStyle name="표준 2 2 2 2 2 2 2 11 8" xfId="0"/>
    <cellStyle name="표준 2 2 2 2 2 2 2 11 8 2" xfId="0"/>
    <cellStyle name="표준 2 2 2 2 2 2 2 11 9" xfId="0"/>
    <cellStyle name="표준 2 2 2 2 2 2 2 11 9 2" xfId="0"/>
    <cellStyle name="표준 2 2 2 2 2 2 2 12" xfId="0"/>
    <cellStyle name="표준 2 2 2 2 2 2 2 12 10" xfId="0"/>
    <cellStyle name="표준 2 2 2 2 2 2 2 12 11" xfId="0"/>
    <cellStyle name="표준 2 2 2 2 2 2 2 12 2" xfId="0"/>
    <cellStyle name="표준 2 2 2 2 2 2 2 12 2 2" xfId="0"/>
    <cellStyle name="표준 2 2 2 2 2 2 2 12 3" xfId="0"/>
    <cellStyle name="표준 2 2 2 2 2 2 2 12 3 2" xfId="0"/>
    <cellStyle name="표준 2 2 2 2 2 2 2 12 4" xfId="0"/>
    <cellStyle name="표준 2 2 2 2 2 2 2 12 4 2" xfId="0"/>
    <cellStyle name="표준 2 2 2 2 2 2 2 12 5" xfId="0"/>
    <cellStyle name="표준 2 2 2 2 2 2 2 12 5 2" xfId="0"/>
    <cellStyle name="표준 2 2 2 2 2 2 2 12 6" xfId="0"/>
    <cellStyle name="표준 2 2 2 2 2 2 2 12 7" xfId="0"/>
    <cellStyle name="표준 2 2 2 2 2 2 2 12 8" xfId="0"/>
    <cellStyle name="표준 2 2 2 2 2 2 2 12 9" xfId="0"/>
    <cellStyle name="표준 2 2 2 2 2 2 2 13" xfId="0"/>
    <cellStyle name="표준 2 2 2 2 2 2 2 13 10" xfId="0"/>
    <cellStyle name="표준 2 2 2 2 2 2 2 13 11" xfId="0"/>
    <cellStyle name="표준 2 2 2 2 2 2 2 13 2" xfId="0"/>
    <cellStyle name="표준 2 2 2 2 2 2 2 13 2 2" xfId="0"/>
    <cellStyle name="표준 2 2 2 2 2 2 2 13 3" xfId="0"/>
    <cellStyle name="표준 2 2 2 2 2 2 2 13 3 2" xfId="0"/>
    <cellStyle name="표준 2 2 2 2 2 2 2 13 4" xfId="0"/>
    <cellStyle name="표준 2 2 2 2 2 2 2 13 4 2" xfId="0"/>
    <cellStyle name="표준 2 2 2 2 2 2 2 13 5" xfId="0"/>
    <cellStyle name="표준 2 2 2 2 2 2 2 13 5 2" xfId="0"/>
    <cellStyle name="표준 2 2 2 2 2 2 2 13 6" xfId="0"/>
    <cellStyle name="표준 2 2 2 2 2 2 2 13 7" xfId="0"/>
    <cellStyle name="표준 2 2 2 2 2 2 2 13 8" xfId="0"/>
    <cellStyle name="표준 2 2 2 2 2 2 2 13 9" xfId="0"/>
    <cellStyle name="표준 2 2 2 2 2 2 2 14" xfId="0"/>
    <cellStyle name="표준 2 2 2 2 2 2 2 14 2" xfId="0"/>
    <cellStyle name="표준 2 2 2 2 2 2 2 14 3" xfId="0"/>
    <cellStyle name="표준 2 2 2 2 2 2 2 14 4" xfId="0"/>
    <cellStyle name="표준 2 2 2 2 2 2 2 14 5" xfId="0"/>
    <cellStyle name="표준 2 2 2 2 2 2 2 14 6" xfId="0"/>
    <cellStyle name="표준 2 2 2 2 2 2 2 15" xfId="0"/>
    <cellStyle name="표준 2 2 2 2 2 2 2 15 2" xfId="0"/>
    <cellStyle name="표준 2 2 2 2 2 2 2 15 3" xfId="0"/>
    <cellStyle name="표준 2 2 2 2 2 2 2 15 4" xfId="0"/>
    <cellStyle name="표준 2 2 2 2 2 2 2 15 5" xfId="0"/>
    <cellStyle name="표준 2 2 2 2 2 2 2 15 6" xfId="0"/>
    <cellStyle name="표준 2 2 2 2 2 2 2 16" xfId="0"/>
    <cellStyle name="표준 2 2 2 2 2 2 2 16 2" xfId="0"/>
    <cellStyle name="표준 2 2 2 2 2 2 2 16 3" xfId="0"/>
    <cellStyle name="표준 2 2 2 2 2 2 2 17" xfId="0"/>
    <cellStyle name="표준 2 2 2 2 2 2 2 17 2" xfId="0"/>
    <cellStyle name="표준 2 2 2 2 2 2 2 18" xfId="0"/>
    <cellStyle name="표준 2 2 2 2 2 2 2 18 2" xfId="0"/>
    <cellStyle name="표준 2 2 2 2 2 2 2 19" xfId="0"/>
    <cellStyle name="표준 2 2 2 2 2 2 2 19 2" xfId="0"/>
    <cellStyle name="표준 2 2 2 2 2 2 2 2" xfId="0"/>
    <cellStyle name="표준 2 2 2 2 2 2 2 2 10" xfId="0"/>
    <cellStyle name="표준 2 2 2 2 2 2 2 2 10 2" xfId="0"/>
    <cellStyle name="표준 2 2 2 2 2 2 2 2 10 3" xfId="0"/>
    <cellStyle name="표준 2 2 2 2 2 2 2 2 10 4" xfId="0"/>
    <cellStyle name="표준 2 2 2 2 2 2 2 2 10 5" xfId="0"/>
    <cellStyle name="표준 2 2 2 2 2 2 2 2 10 6" xfId="0"/>
    <cellStyle name="표준 2 2 2 2 2 2 2 2 10 7" xfId="0"/>
    <cellStyle name="표준 2 2 2 2 2 2 2 2 10 8" xfId="0"/>
    <cellStyle name="표준 2 2 2 2 2 2 2 2 10 9" xfId="0"/>
    <cellStyle name="표준 2 2 2 2 2 2 2 2 11" xfId="0"/>
    <cellStyle name="표준 2 2 2 2 2 2 2 2 11 2" xfId="0"/>
    <cellStyle name="표준 2 2 2 2 2 2 2 2 11 3" xfId="0"/>
    <cellStyle name="표준 2 2 2 2 2 2 2 2 11 4" xfId="0"/>
    <cellStyle name="표준 2 2 2 2 2 2 2 2 11 5" xfId="0"/>
    <cellStyle name="표준 2 2 2 2 2 2 2 2 11 6" xfId="0"/>
    <cellStyle name="표준 2 2 2 2 2 2 2 2 11 7" xfId="0"/>
    <cellStyle name="표준 2 2 2 2 2 2 2 2 11 8" xfId="0"/>
    <cellStyle name="표준 2 2 2 2 2 2 2 2 11 9" xfId="0"/>
    <cellStyle name="표준 2 2 2 2 2 2 2 2 12" xfId="0"/>
    <cellStyle name="표준 2 2 2 2 2 2 2 2 12 2" xfId="0"/>
    <cellStyle name="표준 2 2 2 2 2 2 2 2 12 3" xfId="0"/>
    <cellStyle name="표준 2 2 2 2 2 2 2 2 12 4" xfId="0"/>
    <cellStyle name="표준 2 2 2 2 2 2 2 2 12 5" xfId="0"/>
    <cellStyle name="표준 2 2 2 2 2 2 2 2 13" xfId="0"/>
    <cellStyle name="표준 2 2 2 2 2 2 2 2 13 2" xfId="0"/>
    <cellStyle name="표준 2 2 2 2 2 2 2 2 13 3" xfId="0"/>
    <cellStyle name="표준 2 2 2 2 2 2 2 2 13 4" xfId="0"/>
    <cellStyle name="표준 2 2 2 2 2 2 2 2 13 5" xfId="0"/>
    <cellStyle name="표준 2 2 2 2 2 2 2 2 14" xfId="0"/>
    <cellStyle name="표준 2 2 2 2 2 2 2 2 14 2" xfId="0"/>
    <cellStyle name="표준 2 2 2 2 2 2 2 2 14 3" xfId="0"/>
    <cellStyle name="표준 2 2 2 2 2 2 2 2 14 4" xfId="0"/>
    <cellStyle name="표준 2 2 2 2 2 2 2 2 14 5" xfId="0"/>
    <cellStyle name="표준 2 2 2 2 2 2 2 2 14 6" xfId="0"/>
    <cellStyle name="표준 2 2 2 2 2 2 2 2 15" xfId="0"/>
    <cellStyle name="표준 2 2 2 2 2 2 2 2 15 2" xfId="0"/>
    <cellStyle name="표준 2 2 2 2 2 2 2 2 15 3" xfId="0"/>
    <cellStyle name="표준 2 2 2 2 2 2 2 2 15 4" xfId="0"/>
    <cellStyle name="표준 2 2 2 2 2 2 2 2 15 5" xfId="0"/>
    <cellStyle name="표준 2 2 2 2 2 2 2 2 15 6" xfId="0"/>
    <cellStyle name="표준 2 2 2 2 2 2 2 2 16" xfId="0"/>
    <cellStyle name="표준 2 2 2 2 2 2 2 2 16 2" xfId="0"/>
    <cellStyle name="표준 2 2 2 2 2 2 2 2 16 3" xfId="0"/>
    <cellStyle name="표준 2 2 2 2 2 2 2 2 17" xfId="0"/>
    <cellStyle name="표준 2 2 2 2 2 2 2 2 17 2" xfId="0"/>
    <cellStyle name="표준 2 2 2 2 2 2 2 2 18" xfId="0"/>
    <cellStyle name="표준 2 2 2 2 2 2 2 2 18 2" xfId="0"/>
    <cellStyle name="표준 2 2 2 2 2 2 2 2 19" xfId="0"/>
    <cellStyle name="표준 2 2 2 2 2 2 2 2 19 2" xfId="0"/>
    <cellStyle name="표준 2 2 2 2 2 2 2 2 2" xfId="0"/>
    <cellStyle name="표준 2 2 2 2 2 2 2 2 2 10" xfId="0"/>
    <cellStyle name="표준 2 2 2 2 2 2 2 2 2 10 2" xfId="0"/>
    <cellStyle name="표준 2 2 2 2 2 2 2 2 2 10 3" xfId="0"/>
    <cellStyle name="표준 2 2 2 2 2 2 2 2 2 10 4" xfId="0"/>
    <cellStyle name="표준 2 2 2 2 2 2 2 2 2 10 5" xfId="0"/>
    <cellStyle name="표준 2 2 2 2 2 2 2 2 2 10 6" xfId="0"/>
    <cellStyle name="표준 2 2 2 2 2 2 2 2 2 11" xfId="0"/>
    <cellStyle name="표준 2 2 2 2 2 2 2 2 2 11 2" xfId="0"/>
    <cellStyle name="표준 2 2 2 2 2 2 2 2 2 11 3" xfId="0"/>
    <cellStyle name="표준 2 2 2 2 2 2 2 2 2 11 4" xfId="0"/>
    <cellStyle name="표준 2 2 2 2 2 2 2 2 2 11 5" xfId="0"/>
    <cellStyle name="표준 2 2 2 2 2 2 2 2 2 11 6" xfId="0"/>
    <cellStyle name="표준 2 2 2 2 2 2 2 2 2 12" xfId="0"/>
    <cellStyle name="표준 2 2 2 2 2 2 2 2 2 12 2" xfId="0"/>
    <cellStyle name="표준 2 2 2 2 2 2 2 2 2 12 3" xfId="0"/>
    <cellStyle name="표준 2 2 2 2 2 2 2 2 2 12 4" xfId="0"/>
    <cellStyle name="표준 2 2 2 2 2 2 2 2 2 12 5" xfId="0"/>
    <cellStyle name="표준 2 2 2 2 2 2 2 2 2 12 6" xfId="0"/>
    <cellStyle name="표준 2 2 2 2 2 2 2 2 2 13" xfId="0"/>
    <cellStyle name="표준 2 2 2 2 2 2 2 2 2 13 2" xfId="0"/>
    <cellStyle name="표준 2 2 2 2 2 2 2 2 2 13 3" xfId="0"/>
    <cellStyle name="표준 2 2 2 2 2 2 2 2 2 13 4" xfId="0"/>
    <cellStyle name="표준 2 2 2 2 2 2 2 2 2 13 5" xfId="0"/>
    <cellStyle name="표준 2 2 2 2 2 2 2 2 2 13 6" xfId="0"/>
    <cellStyle name="표준 2 2 2 2 2 2 2 2 2 14" xfId="0"/>
    <cellStyle name="표준 2 2 2 2 2 2 2 2 2 14 2" xfId="0"/>
    <cellStyle name="표준 2 2 2 2 2 2 2 2 2 14 3" xfId="0"/>
    <cellStyle name="표준 2 2 2 2 2 2 2 2 2 15" xfId="0"/>
    <cellStyle name="표준 2 2 2 2 2 2 2 2 2 15 2" xfId="0"/>
    <cellStyle name="표준 2 2 2 2 2 2 2 2 2 16" xfId="0"/>
    <cellStyle name="표준 2 2 2 2 2 2 2 2 2 16 2" xfId="0"/>
    <cellStyle name="표준 2 2 2 2 2 2 2 2 2 17" xfId="0"/>
    <cellStyle name="표준 2 2 2 2 2 2 2 2 2 17 2" xfId="0"/>
    <cellStyle name="표준 2 2 2 2 2 2 2 2 2 18" xfId="0"/>
    <cellStyle name="표준 2 2 2 2 2 2 2 2 2 18 2" xfId="0"/>
    <cellStyle name="표준 2 2 2 2 2 2 2 2 2 19" xfId="0"/>
    <cellStyle name="표준 2 2 2 2 2 2 2 2 2 19 2" xfId="0"/>
    <cellStyle name="표준 2 2 2 2 2 2 2 2 2 2" xfId="0"/>
    <cellStyle name="표준 2 2 2 2 2 2 2 2 2 2 10" xfId="0"/>
    <cellStyle name="표준 2 2 2 2 2 2 2 2 2 2 10 2" xfId="0"/>
    <cellStyle name="표준 2 2 2 2 2 2 2 2 2 2 10 3" xfId="0"/>
    <cellStyle name="표준 2 2 2 2 2 2 2 2 2 2 10 4" xfId="0"/>
    <cellStyle name="표준 2 2 2 2 2 2 2 2 2 2 10 5" xfId="0"/>
    <cellStyle name="표준 2 2 2 2 2 2 2 2 2 2 11" xfId="0"/>
    <cellStyle name="표준 2 2 2 2 2 2 2 2 2 2 11 2" xfId="0"/>
    <cellStyle name="표준 2 2 2 2 2 2 2 2 2 2 11 3" xfId="0"/>
    <cellStyle name="표준 2 2 2 2 2 2 2 2 2 2 11 4" xfId="0"/>
    <cellStyle name="표준 2 2 2 2 2 2 2 2 2 2 11 5" xfId="0"/>
    <cellStyle name="표준 2 2 2 2 2 2 2 2 2 2 12" xfId="0"/>
    <cellStyle name="표준 2 2 2 2 2 2 2 2 2 2 12 2" xfId="0"/>
    <cellStyle name="표준 2 2 2 2 2 2 2 2 2 2 12 3" xfId="0"/>
    <cellStyle name="표준 2 2 2 2 2 2 2 2 2 2 12 4" xfId="0"/>
    <cellStyle name="표준 2 2 2 2 2 2 2 2 2 2 12 5" xfId="0"/>
    <cellStyle name="표준 2 2 2 2 2 2 2 2 2 2 12 6" xfId="0"/>
    <cellStyle name="표준 2 2 2 2 2 2 2 2 2 2 13" xfId="0"/>
    <cellStyle name="표준 2 2 2 2 2 2 2 2 2 2 13 2" xfId="0"/>
    <cellStyle name="표준 2 2 2 2 2 2 2 2 2 2 13 3" xfId="0"/>
    <cellStyle name="표준 2 2 2 2 2 2 2 2 2 2 13 4" xfId="0"/>
    <cellStyle name="표준 2 2 2 2 2 2 2 2 2 2 13 5" xfId="0"/>
    <cellStyle name="표준 2 2 2 2 2 2 2 2 2 2 13 6" xfId="0"/>
    <cellStyle name="표준 2 2 2 2 2 2 2 2 2 2 14" xfId="0"/>
    <cellStyle name="표준 2 2 2 2 2 2 2 2 2 2 14 2" xfId="0"/>
    <cellStyle name="표준 2 2 2 2 2 2 2 2 2 2 14 3" xfId="0"/>
    <cellStyle name="표준 2 2 2 2 2 2 2 2 2 2 15" xfId="0"/>
    <cellStyle name="표준 2 2 2 2 2 2 2 2 2 2 15 2" xfId="0"/>
    <cellStyle name="표준 2 2 2 2 2 2 2 2 2 2 16" xfId="0"/>
    <cellStyle name="표준 2 2 2 2 2 2 2 2 2 2 16 2" xfId="0"/>
    <cellStyle name="표준 2 2 2 2 2 2 2 2 2 2 17" xfId="0"/>
    <cellStyle name="표준 2 2 2 2 2 2 2 2 2 2 17 2" xfId="0"/>
    <cellStyle name="표준 2 2 2 2 2 2 2 2 2 2 18" xfId="0"/>
    <cellStyle name="표준 2 2 2 2 2 2 2 2 2 2 18 2" xfId="0"/>
    <cellStyle name="표준 2 2 2 2 2 2 2 2 2 2 19" xfId="0"/>
    <cellStyle name="표준 2 2 2 2 2 2 2 2 2 2 19 2" xfId="0"/>
    <cellStyle name="표준 2 2 2 2 2 2 2 2 2 2 2" xfId="0"/>
    <cellStyle name="표준 2 2 2 2 2 2 2 2 2 2 2 10" xfId="0"/>
    <cellStyle name="표준 2 2 2 2 2 2 2 2 2 2 2 10 2" xfId="0"/>
    <cellStyle name="표준 2 2 2 2 2 2 2 2 2 2 2 10 3" xfId="0"/>
    <cellStyle name="표준 2 2 2 2 2 2 2 2 2 2 2 11" xfId="0"/>
    <cellStyle name="표준 2 2 2 2 2 2 2 2 2 2 2 11 2" xfId="0"/>
    <cellStyle name="표준 2 2 2 2 2 2 2 2 2 2 2 12" xfId="0"/>
    <cellStyle name="표준 2 2 2 2 2 2 2 2 2 2 2 12 2" xfId="0"/>
    <cellStyle name="표준 2 2 2 2 2 2 2 2 2 2 2 13" xfId="0"/>
    <cellStyle name="표준 2 2 2 2 2 2 2 2 2 2 2 13 2" xfId="0"/>
    <cellStyle name="표준 2 2 2 2 2 2 2 2 2 2 2 14" xfId="0"/>
    <cellStyle name="표준 2 2 2 2 2 2 2 2 2 2 2 14 2" xfId="0"/>
    <cellStyle name="표준 2 2 2 2 2 2 2 2 2 2 2 15" xfId="0"/>
    <cellStyle name="표준 2 2 2 2 2 2 2 2 2 2 2 15 2" xfId="0"/>
    <cellStyle name="표준 2 2 2 2 2 2 2 2 2 2 2 16" xfId="0"/>
    <cellStyle name="표준 2 2 2 2 2 2 2 2 2 2 2 16 2" xfId="0"/>
    <cellStyle name="표준 2 2 2 2 2 2 2 2 2 2 2 17" xfId="0"/>
    <cellStyle name="표준 2 2 2 2 2 2 2 2 2 2 2 2" xfId="0"/>
    <cellStyle name="표준 2 2 2 2 2 2 2 2 2 2 2 2 10" xfId="0"/>
    <cellStyle name="표준 2 2 2 2 2 2 2 2 2 2 2 2 10 2" xfId="0"/>
    <cellStyle name="표준 2 2 2 2 2 2 2 2 2 2 2 2 10 3" xfId="0"/>
    <cellStyle name="표준 2 2 2 2 2 2 2 2 2 2 2 2 11" xfId="0"/>
    <cellStyle name="표준 2 2 2 2 2 2 2 2 2 2 2 2 11 2" xfId="0"/>
    <cellStyle name="표준 2 2 2 2 2 2 2 2 2 2 2 2 12" xfId="0"/>
    <cellStyle name="표준 2 2 2 2 2 2 2 2 2 2 2 2 12 2" xfId="0"/>
    <cellStyle name="표준 2 2 2 2 2 2 2 2 2 2 2 2 13" xfId="0"/>
    <cellStyle name="표준 2 2 2 2 2 2 2 2 2 2 2 2 13 2" xfId="0"/>
    <cellStyle name="표준 2 2 2 2 2 2 2 2 2 2 2 2 14" xfId="0"/>
    <cellStyle name="표준 2 2 2 2 2 2 2 2 2 2 2 2 14 2" xfId="0"/>
    <cellStyle name="표준 2 2 2 2 2 2 2 2 2 2 2 2 15" xfId="0"/>
    <cellStyle name="표준 2 2 2 2 2 2 2 2 2 2 2 2 15 2" xfId="0"/>
    <cellStyle name="표준 2 2 2 2 2 2 2 2 2 2 2 2 16" xfId="0"/>
    <cellStyle name="표준 2 2 2 2 2 2 2 2 2 2 2 2 16 2" xfId="0"/>
    <cellStyle name="표준 2 2 2 2 2 2 2 2 2 2 2 2 17" xfId="0"/>
    <cellStyle name="표준 2 2 2 2 2 2 2 2 2 2 2 2 2" xfId="0"/>
    <cellStyle name="표준 2 2 2 2 2 2 2 2 2 2 2 2 2 10" xfId="0"/>
    <cellStyle name="표준 2 2 2 2 2 2 2 2 2 2 2 2 2 10 2" xfId="0"/>
    <cellStyle name="표준 2 2 2 2 2 2 2 2 2 2 2 2 2 11" xfId="0"/>
    <cellStyle name="표준 2 2 2 2 2 2 2 2 2 2 2 2 2 11 2" xfId="0"/>
    <cellStyle name="표준 2 2 2 2 2 2 2 2 2 2 2 2 2 12" xfId="0"/>
    <cellStyle name="표준 2 2 2 2 2 2 2 2 2 2 2 2 2 12 2" xfId="0"/>
    <cellStyle name="표준 2 2 2 2 2 2 2 2 2 2 2 2 2 13" xfId="0"/>
    <cellStyle name="표준 2 2 2 2 2 2 2 2 2 2 2 2 2 13 2" xfId="0"/>
    <cellStyle name="표준 2 2 2 2 2 2 2 2 2 2 2 2 2 14" xfId="0"/>
    <cellStyle name="표준 2 2 2 2 2 2 2 2 2 2 2 2 2 14 2" xfId="0"/>
    <cellStyle name="표준 2 2 2 2 2 2 2 2 2 2 2 2 2 15" xfId="0"/>
    <cellStyle name="표준 2 2 2 2 2 2 2 2 2 2 2 2 2 15 2" xfId="0"/>
    <cellStyle name="표준 2 2 2 2 2 2 2 2 2 2 2 2 2 16" xfId="0"/>
    <cellStyle name="표준 2 2 2 2 2 2 2 2 2 2 2 2 2 2" xfId="0"/>
    <cellStyle name="표준 2 2 2 2 2 2 2 2 2 2 2 2 2 2 10" xfId="0"/>
    <cellStyle name="표준 2 2 2 2 2 2 2 2 2 2 2 2 2 2 2" xfId="0"/>
    <cellStyle name="표준 2 2 2 2 2 2 2 2 2 2 2 2 2 2 2 2" xfId="0"/>
    <cellStyle name="표준 2 2 2 2 2 2 2 2 2 2 2 2 2 2 2 2 2" xfId="0"/>
    <cellStyle name="표준 2 2 2 2 2 2 2 2 2 2 2 2 2 2 2 2 2 2" xfId="0"/>
    <cellStyle name="표준 2 2 2 2 2 2 2 2 2 2 2 2 2 2 2 2 2 2 2" xfId="0"/>
    <cellStyle name="표준 2 2 2 2 2 2 2 2 2 2 2 2 2 2 2 2 2 2 3" xfId="0"/>
    <cellStyle name="표준 2 2 2 2 2 2 2 2 2 2 2 2 2 2 2 2 2 3" xfId="0"/>
    <cellStyle name="표준 2 2 2 2 2 2 2 2 2 2 2 2 2 2 2 2 2 4" xfId="0"/>
    <cellStyle name="표준 2 2 2 2 2 2 2 2 2 2 2 2 2 2 2 2 2 5" xfId="0"/>
    <cellStyle name="표준 2 2 2 2 2 2 2 2 2 2 2 2 2 2 2 2 3" xfId="0"/>
    <cellStyle name="표준 2 2 2 2 2 2 2 2 2 2 2 2 2 2 2 2 4" xfId="0"/>
    <cellStyle name="표준 2 2 2 2 2 2 2 2 2 2 2 2 2 2 2 2 5" xfId="0"/>
    <cellStyle name="표준 2 2 2 2 2 2 2 2 2 2 2 2 2 2 2 2 6" xfId="0"/>
    <cellStyle name="표준 2 2 2 2 2 2 2 2 2 2 2 2 2 2 2 2 6 2" xfId="0"/>
    <cellStyle name="표준 2 2 2 2 2 2 2 2 2 2 2 2 2 2 2 2 7" xfId="0"/>
    <cellStyle name="표준 2 2 2 2 2 2 2 2 2 2 2 2 2 2 2 2 8" xfId="0"/>
    <cellStyle name="표준 2 2 2 2 2 2 2 2 2 2 2 2 2 2 2 3" xfId="0"/>
    <cellStyle name="표준 2 2 2 2 2 2 2 2 2 2 2 2 2 2 2 3 2" xfId="0"/>
    <cellStyle name="표준 2 2 2 2 2 2 2 2 2 2 2 2 2 2 2 3 3" xfId="0"/>
    <cellStyle name="표준 2 2 2 2 2 2 2 2 2 2 2 2 2 2 2 3 4" xfId="0"/>
    <cellStyle name="표준 2 2 2 2 2 2 2 2 2 2 2 2 2 2 2 3 5" xfId="0"/>
    <cellStyle name="표준 2 2 2 2 2 2 2 2 2 2 2 2 2 2 2 4" xfId="0"/>
    <cellStyle name="표준 2 2 2 2 2 2 2 2 2 2 2 2 2 2 2 4 2" xfId="0"/>
    <cellStyle name="표준 2 2 2 2 2 2 2 2 2 2 2 2 2 2 2 4 3" xfId="0"/>
    <cellStyle name="표준 2 2 2 2 2 2 2 2 2 2 2 2 2 2 2 4 4" xfId="0"/>
    <cellStyle name="표준 2 2 2 2 2 2 2 2 2 2 2 2 2 2 2 4 5" xfId="0"/>
    <cellStyle name="표준 2 2 2 2 2 2 2 2 2 2 2 2 2 2 2 5" xfId="0"/>
    <cellStyle name="표준 2 2 2 2 2 2 2 2 2 2 2 2 2 2 2 5 2" xfId="0"/>
    <cellStyle name="표준 2 2 2 2 2 2 2 2 2 2 2 2 2 2 2 5 3" xfId="0"/>
    <cellStyle name="표준 2 2 2 2 2 2 2 2 2 2 2 2 2 2 2 5 4" xfId="0"/>
    <cellStyle name="표준 2 2 2 2 2 2 2 2 2 2 2 2 2 2 2 5 5" xfId="0"/>
    <cellStyle name="표준 2 2 2 2 2 2 2 2 2 2 2 2 2 2 2 6" xfId="0"/>
    <cellStyle name="표준 2 2 2 2 2 2 2 2 2 2 2 2 2 2 2 6 2" xfId="0"/>
    <cellStyle name="표준 2 2 2 2 2 2 2 2 2 2 2 2 2 2 2 7" xfId="0"/>
    <cellStyle name="표준 2 2 2 2 2 2 2 2 2 2 2 2 2 2 2 8" xfId="0"/>
    <cellStyle name="표준 2 2 2 2 2 2 2 2 2 2 2 2 2 2 2 9" xfId="0"/>
    <cellStyle name="표준 2 2 2 2 2 2 2 2 2 2 2 2 2 2 3" xfId="0"/>
    <cellStyle name="표준 2 2 2 2 2 2 2 2 2 2 2 2 2 2 4" xfId="0"/>
    <cellStyle name="표준 2 2 2 2 2 2 2 2 2 2 2 2 2 2 4 2" xfId="0"/>
    <cellStyle name="표준 2 2 2 2 2 2 2 2 2 2 2 2 2 2 4 3" xfId="0"/>
    <cellStyle name="표준 2 2 2 2 2 2 2 2 2 2 2 2 2 2 4 4" xfId="0"/>
    <cellStyle name="표준 2 2 2 2 2 2 2 2 2 2 2 2 2 2 4 5" xfId="0"/>
    <cellStyle name="표준 2 2 2 2 2 2 2 2 2 2 2 2 2 2 5" xfId="0"/>
    <cellStyle name="표준 2 2 2 2 2 2 2 2 2 2 2 2 2 2 5 2" xfId="0"/>
    <cellStyle name="표준 2 2 2 2 2 2 2 2 2 2 2 2 2 2 5 3" xfId="0"/>
    <cellStyle name="표준 2 2 2 2 2 2 2 2 2 2 2 2 2 2 5 4" xfId="0"/>
    <cellStyle name="표준 2 2 2 2 2 2 2 2 2 2 2 2 2 2 5 5" xfId="0"/>
    <cellStyle name="표준 2 2 2 2 2 2 2 2 2 2 2 2 2 2 6" xfId="0"/>
    <cellStyle name="표준 2 2 2 2 2 2 2 2 2 2 2 2 2 2 6 2" xfId="0"/>
    <cellStyle name="표준 2 2 2 2 2 2 2 2 2 2 2 2 2 2 6 3" xfId="0"/>
    <cellStyle name="표준 2 2 2 2 2 2 2 2 2 2 2 2 2 2 6 4" xfId="0"/>
    <cellStyle name="표준 2 2 2 2 2 2 2 2 2 2 2 2 2 2 6 5" xfId="0"/>
    <cellStyle name="표준 2 2 2 2 2 2 2 2 2 2 2 2 2 2 7" xfId="0"/>
    <cellStyle name="표준 2 2 2 2 2 2 2 2 2 2 2 2 2 2 7 2" xfId="0"/>
    <cellStyle name="표준 2 2 2 2 2 2 2 2 2 2 2 2 2 2 7 3" xfId="0"/>
    <cellStyle name="표준 2 2 2 2 2 2 2 2 2 2 2 2 2 2 7 4" xfId="0"/>
    <cellStyle name="표준 2 2 2 2 2 2 2 2 2 2 2 2 2 2 7 5" xfId="0"/>
    <cellStyle name="표준 2 2 2 2 2 2 2 2 2 2 2 2 2 2 8" xfId="0"/>
    <cellStyle name="표준 2 2 2 2 2 2 2 2 2 2 2 2 2 2 8 2" xfId="0"/>
    <cellStyle name="표준 2 2 2 2 2 2 2 2 2 2 2 2 2 2 9" xfId="0"/>
    <cellStyle name="표준 2 2 2 2 2 2 2 2 2 2 2 2 2 3" xfId="0"/>
    <cellStyle name="표준 2 2 2 2 2 2 2 2 2 2 2 2 2 3 10" xfId="0"/>
    <cellStyle name="표준 2 2 2 2 2 2 2 2 2 2 2 2 2 3 2" xfId="0"/>
    <cellStyle name="표준 2 2 2 2 2 2 2 2 2 2 2 2 2 3 3" xfId="0"/>
    <cellStyle name="표준 2 2 2 2 2 2 2 2 2 2 2 2 2 3 4" xfId="0"/>
    <cellStyle name="표준 2 2 2 2 2 2 2 2 2 2 2 2 2 3 5" xfId="0"/>
    <cellStyle name="표준 2 2 2 2 2 2 2 2 2 2 2 2 2 3 6" xfId="0"/>
    <cellStyle name="표준 2 2 2 2 2 2 2 2 2 2 2 2 2 3 7" xfId="0"/>
    <cellStyle name="표준 2 2 2 2 2 2 2 2 2 2 2 2 2 3 8" xfId="0"/>
    <cellStyle name="표준 2 2 2 2 2 2 2 2 2 2 2 2 2 3 9" xfId="0"/>
    <cellStyle name="표준 2 2 2 2 2 2 2 2 2 2 2 2 2 4" xfId="0"/>
    <cellStyle name="표준 2 2 2 2 2 2 2 2 2 2 2 2 2 4 2" xfId="0"/>
    <cellStyle name="표준 2 2 2 2 2 2 2 2 2 2 2 2 2 4 3" xfId="0"/>
    <cellStyle name="표준 2 2 2 2 2 2 2 2 2 2 2 2 2 4 4" xfId="0"/>
    <cellStyle name="표준 2 2 2 2 2 2 2 2 2 2 2 2 2 4 5" xfId="0"/>
    <cellStyle name="표준 2 2 2 2 2 2 2 2 2 2 2 2 2 4 6" xfId="0"/>
    <cellStyle name="표준 2 2 2 2 2 2 2 2 2 2 2 2 2 5" xfId="0"/>
    <cellStyle name="표준 2 2 2 2 2 2 2 2 2 2 2 2 2 5 2" xfId="0"/>
    <cellStyle name="표준 2 2 2 2 2 2 2 2 2 2 2 2 2 5 3" xfId="0"/>
    <cellStyle name="표준 2 2 2 2 2 2 2 2 2 2 2 2 2 5 4" xfId="0"/>
    <cellStyle name="표준 2 2 2 2 2 2 2 2 2 2 2 2 2 5 5" xfId="0"/>
    <cellStyle name="표준 2 2 2 2 2 2 2 2 2 2 2 2 2 5 6" xfId="0"/>
    <cellStyle name="표준 2 2 2 2 2 2 2 2 2 2 2 2 2 6" xfId="0"/>
    <cellStyle name="표준 2 2 2 2 2 2 2 2 2 2 2 2 2 6 2" xfId="0"/>
    <cellStyle name="표준 2 2 2 2 2 2 2 2 2 2 2 2 2 6 3" xfId="0"/>
    <cellStyle name="표준 2 2 2 2 2 2 2 2 2 2 2 2 2 6 4" xfId="0"/>
    <cellStyle name="표준 2 2 2 2 2 2 2 2 2 2 2 2 2 6 5" xfId="0"/>
    <cellStyle name="표준 2 2 2 2 2 2 2 2 2 2 2 2 2 6 6" xfId="0"/>
    <cellStyle name="표준 2 2 2 2 2 2 2 2 2 2 2 2 2 7" xfId="0"/>
    <cellStyle name="표준 2 2 2 2 2 2 2 2 2 2 2 2 2 7 2" xfId="0"/>
    <cellStyle name="표준 2 2 2 2 2 2 2 2 2 2 2 2 2 7 3" xfId="0"/>
    <cellStyle name="표준 2 2 2 2 2 2 2 2 2 2 2 2 2 7 4" xfId="0"/>
    <cellStyle name="표준 2 2 2 2 2 2 2 2 2 2 2 2 2 7 5" xfId="0"/>
    <cellStyle name="표준 2 2 2 2 2 2 2 2 2 2 2 2 2 7 6" xfId="0"/>
    <cellStyle name="표준 2 2 2 2 2 2 2 2 2 2 2 2 2 8" xfId="0"/>
    <cellStyle name="표준 2 2 2 2 2 2 2 2 2 2 2 2 2 8 2" xfId="0"/>
    <cellStyle name="표준 2 2 2 2 2 2 2 2 2 2 2 2 2 8 3" xfId="0"/>
    <cellStyle name="표준 2 2 2 2 2 2 2 2 2 2 2 2 2 9" xfId="0"/>
    <cellStyle name="표준 2 2 2 2 2 2 2 2 2 2 2 2 2 9 2" xfId="0"/>
    <cellStyle name="표준 2 2 2 2 2 2 2 2 2 2 2 2 3" xfId="0"/>
    <cellStyle name="표준 2 2 2 2 2 2 2 2 2 2 2 2 3 10" xfId="0"/>
    <cellStyle name="표준 2 2 2 2 2 2 2 2 2 2 2 2 3 10 2" xfId="0"/>
    <cellStyle name="표준 2 2 2 2 2 2 2 2 2 2 2 2 3 2" xfId="0"/>
    <cellStyle name="표준 2 2 2 2 2 2 2 2 2 2 2 2 3 2 2" xfId="0"/>
    <cellStyle name="표준 2 2 2 2 2 2 2 2 2 2 2 2 3 3" xfId="0"/>
    <cellStyle name="표준 2 2 2 2 2 2 2 2 2 2 2 2 3 3 2" xfId="0"/>
    <cellStyle name="표준 2 2 2 2 2 2 2 2 2 2 2 2 3 4" xfId="0"/>
    <cellStyle name="표준 2 2 2 2 2 2 2 2 2 2 2 2 3 4 2" xfId="0"/>
    <cellStyle name="표준 2 2 2 2 2 2 2 2 2 2 2 2 3 5" xfId="0"/>
    <cellStyle name="표준 2 2 2 2 2 2 2 2 2 2 2 2 3 5 2" xfId="0"/>
    <cellStyle name="표준 2 2 2 2 2 2 2 2 2 2 2 2 3 6" xfId="0"/>
    <cellStyle name="표준 2 2 2 2 2 2 2 2 2 2 2 2 3 6 2" xfId="0"/>
    <cellStyle name="표준 2 2 2 2 2 2 2 2 2 2 2 2 3 7" xfId="0"/>
    <cellStyle name="표준 2 2 2 2 2 2 2 2 2 2 2 2 3 7 2" xfId="0"/>
    <cellStyle name="표준 2 2 2 2 2 2 2 2 2 2 2 2 3 8" xfId="0"/>
    <cellStyle name="표준 2 2 2 2 2 2 2 2 2 2 2 2 3 8 2" xfId="0"/>
    <cellStyle name="표준 2 2 2 2 2 2 2 2 2 2 2 2 3 9" xfId="0"/>
    <cellStyle name="표준 2 2 2 2 2 2 2 2 2 2 2 2 3 9 2" xfId="0"/>
    <cellStyle name="표준 2 2 2 2 2 2 2 2 2 2 2 2 4" xfId="0"/>
    <cellStyle name="표준 2 2 2 2 2 2 2 2 2 2 2 2 4 10" xfId="0"/>
    <cellStyle name="표준 2 2 2 2 2 2 2 2 2 2 2 2 4 2" xfId="0"/>
    <cellStyle name="표준 2 2 2 2 2 2 2 2 2 2 2 2 4 2 2" xfId="0"/>
    <cellStyle name="표준 2 2 2 2 2 2 2 2 2 2 2 2 4 3" xfId="0"/>
    <cellStyle name="표준 2 2 2 2 2 2 2 2 2 2 2 2 4 3 2" xfId="0"/>
    <cellStyle name="표준 2 2 2 2 2 2 2 2 2 2 2 2 4 4" xfId="0"/>
    <cellStyle name="표준 2 2 2 2 2 2 2 2 2 2 2 2 4 4 2" xfId="0"/>
    <cellStyle name="표준 2 2 2 2 2 2 2 2 2 2 2 2 4 5" xfId="0"/>
    <cellStyle name="표준 2 2 2 2 2 2 2 2 2 2 2 2 4 5 2" xfId="0"/>
    <cellStyle name="표준 2 2 2 2 2 2 2 2 2 2 2 2 4 6" xfId="0"/>
    <cellStyle name="표준 2 2 2 2 2 2 2 2 2 2 2 2 4 6 2" xfId="0"/>
    <cellStyle name="표준 2 2 2 2 2 2 2 2 2 2 2 2 4 7" xfId="0"/>
    <cellStyle name="표준 2 2 2 2 2 2 2 2 2 2 2 2 4 7 2" xfId="0"/>
    <cellStyle name="표준 2 2 2 2 2 2 2 2 2 2 2 2 4 8" xfId="0"/>
    <cellStyle name="표준 2 2 2 2 2 2 2 2 2 2 2 2 4 8 2" xfId="0"/>
    <cellStyle name="표준 2 2 2 2 2 2 2 2 2 2 2 2 4 9" xfId="0"/>
    <cellStyle name="표준 2 2 2 2 2 2 2 2 2 2 2 2 4 9 2" xfId="0"/>
    <cellStyle name="표준 2 2 2 2 2 2 2 2 2 2 2 2 5" xfId="0"/>
    <cellStyle name="표준 2 2 2 2 2 2 2 2 2 2 2 2 5 2" xfId="0"/>
    <cellStyle name="표준 2 2 2 2 2 2 2 2 2 2 2 2 5 3" xfId="0"/>
    <cellStyle name="표준 2 2 2 2 2 2 2 2 2 2 2 2 5 4" xfId="0"/>
    <cellStyle name="표준 2 2 2 2 2 2 2 2 2 2 2 2 5 5" xfId="0"/>
    <cellStyle name="표준 2 2 2 2 2 2 2 2 2 2 2 2 5 6" xfId="0"/>
    <cellStyle name="표준 2 2 2 2 2 2 2 2 2 2 2 2 5 7" xfId="0"/>
    <cellStyle name="표준 2 2 2 2 2 2 2 2 2 2 2 2 5 8" xfId="0"/>
    <cellStyle name="표준 2 2 2 2 2 2 2 2 2 2 2 2 5 9" xfId="0"/>
    <cellStyle name="표준 2 2 2 2 2 2 2 2 2 2 2 2 6" xfId="0"/>
    <cellStyle name="표준 2 2 2 2 2 2 2 2 2 2 2 2 6 2" xfId="0"/>
    <cellStyle name="표준 2 2 2 2 2 2 2 2 2 2 2 2 6 3" xfId="0"/>
    <cellStyle name="표준 2 2 2 2 2 2 2 2 2 2 2 2 6 4" xfId="0"/>
    <cellStyle name="표준 2 2 2 2 2 2 2 2 2 2 2 2 6 5" xfId="0"/>
    <cellStyle name="표준 2 2 2 2 2 2 2 2 2 2 2 2 7" xfId="0"/>
    <cellStyle name="표준 2 2 2 2 2 2 2 2 2 2 2 2 7 2" xfId="0"/>
    <cellStyle name="표준 2 2 2 2 2 2 2 2 2 2 2 2 7 3" xfId="0"/>
    <cellStyle name="표준 2 2 2 2 2 2 2 2 2 2 2 2 7 4" xfId="0"/>
    <cellStyle name="표준 2 2 2 2 2 2 2 2 2 2 2 2 7 5" xfId="0"/>
    <cellStyle name="표준 2 2 2 2 2 2 2 2 2 2 2 2 8" xfId="0"/>
    <cellStyle name="표준 2 2 2 2 2 2 2 2 2 2 2 2 8 2" xfId="0"/>
    <cellStyle name="표준 2 2 2 2 2 2 2 2 2 2 2 2 8 3" xfId="0"/>
    <cellStyle name="표준 2 2 2 2 2 2 2 2 2 2 2 2 8 4" xfId="0"/>
    <cellStyle name="표준 2 2 2 2 2 2 2 2 2 2 2 2 8 5" xfId="0"/>
    <cellStyle name="표준 2 2 2 2 2 2 2 2 2 2 2 2 8 6" xfId="0"/>
    <cellStyle name="표준 2 2 2 2 2 2 2 2 2 2 2 2 9" xfId="0"/>
    <cellStyle name="표준 2 2 2 2 2 2 2 2 2 2 2 2 9 2" xfId="0"/>
    <cellStyle name="표준 2 2 2 2 2 2 2 2 2 2 2 2 9 3" xfId="0"/>
    <cellStyle name="표준 2 2 2 2 2 2 2 2 2 2 2 2 9 4" xfId="0"/>
    <cellStyle name="표준 2 2 2 2 2 2 2 2 2 2 2 2 9 5" xfId="0"/>
    <cellStyle name="표준 2 2 2 2 2 2 2 2 2 2 2 2 9 6" xfId="0"/>
    <cellStyle name="표준 2 2 2 2 2 2 2 2 2 2 2 3" xfId="0"/>
    <cellStyle name="표준 2 2 2 2 2 2 2 2 2 2 2 3 10" xfId="0"/>
    <cellStyle name="표준 2 2 2 2 2 2 2 2 2 2 2 3 2" xfId="0"/>
    <cellStyle name="표준 2 2 2 2 2 2 2 2 2 2 2 3 3" xfId="0"/>
    <cellStyle name="표준 2 2 2 2 2 2 2 2 2 2 2 3 4" xfId="0"/>
    <cellStyle name="표준 2 2 2 2 2 2 2 2 2 2 2 3 5" xfId="0"/>
    <cellStyle name="표준 2 2 2 2 2 2 2 2 2 2 2 3 6" xfId="0"/>
    <cellStyle name="표준 2 2 2 2 2 2 2 2 2 2 2 3 7" xfId="0"/>
    <cellStyle name="표준 2 2 2 2 2 2 2 2 2 2 2 3 8" xfId="0"/>
    <cellStyle name="표준 2 2 2 2 2 2 2 2 2 2 2 3 9" xfId="0"/>
    <cellStyle name="표준 2 2 2 2 2 2 2 2 2 2 2 4" xfId="0"/>
    <cellStyle name="표준 2 2 2 2 2 2 2 2 2 2 2 4 10" xfId="0"/>
    <cellStyle name="표준 2 2 2 2 2 2 2 2 2 2 2 4 11" xfId="0"/>
    <cellStyle name="표준 2 2 2 2 2 2 2 2 2 2 2 4 2" xfId="0"/>
    <cellStyle name="표준 2 2 2 2 2 2 2 2 2 2 2 4 2 2" xfId="0"/>
    <cellStyle name="표준 2 2 2 2 2 2 2 2 2 2 2 4 3" xfId="0"/>
    <cellStyle name="표준 2 2 2 2 2 2 2 2 2 2 2 4 3 2" xfId="0"/>
    <cellStyle name="표준 2 2 2 2 2 2 2 2 2 2 2 4 4" xfId="0"/>
    <cellStyle name="표준 2 2 2 2 2 2 2 2 2 2 2 4 4 2" xfId="0"/>
    <cellStyle name="표준 2 2 2 2 2 2 2 2 2 2 2 4 5" xfId="0"/>
    <cellStyle name="표준 2 2 2 2 2 2 2 2 2 2 2 4 5 2" xfId="0"/>
    <cellStyle name="표준 2 2 2 2 2 2 2 2 2 2 2 4 6" xfId="0"/>
    <cellStyle name="표준 2 2 2 2 2 2 2 2 2 2 2 4 6 2" xfId="0"/>
    <cellStyle name="표준 2 2 2 2 2 2 2 2 2 2 2 4 7" xfId="0"/>
    <cellStyle name="표준 2 2 2 2 2 2 2 2 2 2 2 4 7 2" xfId="0"/>
    <cellStyle name="표준 2 2 2 2 2 2 2 2 2 2 2 4 8" xfId="0"/>
    <cellStyle name="표준 2 2 2 2 2 2 2 2 2 2 2 4 8 2" xfId="0"/>
    <cellStyle name="표준 2 2 2 2 2 2 2 2 2 2 2 4 9" xfId="0"/>
    <cellStyle name="표준 2 2 2 2 2 2 2 2 2 2 2 4 9 2" xfId="0"/>
    <cellStyle name="표준 2 2 2 2 2 2 2 2 2 2 2 5" xfId="0"/>
    <cellStyle name="표준 2 2 2 2 2 2 2 2 2 2 2 5 10" xfId="0"/>
    <cellStyle name="표준 2 2 2 2 2 2 2 2 2 2 2 5 2" xfId="0"/>
    <cellStyle name="표준 2 2 2 2 2 2 2 2 2 2 2 5 3" xfId="0"/>
    <cellStyle name="표준 2 2 2 2 2 2 2 2 2 2 2 5 4" xfId="0"/>
    <cellStyle name="표준 2 2 2 2 2 2 2 2 2 2 2 5 5" xfId="0"/>
    <cellStyle name="표준 2 2 2 2 2 2 2 2 2 2 2 5 6" xfId="0"/>
    <cellStyle name="표준 2 2 2 2 2 2 2 2 2 2 2 5 7" xfId="0"/>
    <cellStyle name="표준 2 2 2 2 2 2 2 2 2 2 2 5 8" xfId="0"/>
    <cellStyle name="표준 2 2 2 2 2 2 2 2 2 2 2 5 9" xfId="0"/>
    <cellStyle name="표준 2 2 2 2 2 2 2 2 2 2 2 6" xfId="0"/>
    <cellStyle name="표준 2 2 2 2 2 2 2 2 2 2 2 6 2" xfId="0"/>
    <cellStyle name="표준 2 2 2 2 2 2 2 2 2 2 2 6 3" xfId="0"/>
    <cellStyle name="표준 2 2 2 2 2 2 2 2 2 2 2 6 4" xfId="0"/>
    <cellStyle name="표준 2 2 2 2 2 2 2 2 2 2 2 6 5" xfId="0"/>
    <cellStyle name="표준 2 2 2 2 2 2 2 2 2 2 2 6 6" xfId="0"/>
    <cellStyle name="표준 2 2 2 2 2 2 2 2 2 2 2 7" xfId="0"/>
    <cellStyle name="표준 2 2 2 2 2 2 2 2 2 2 2 7 2" xfId="0"/>
    <cellStyle name="표준 2 2 2 2 2 2 2 2 2 2 2 7 3" xfId="0"/>
    <cellStyle name="표준 2 2 2 2 2 2 2 2 2 2 2 7 4" xfId="0"/>
    <cellStyle name="표준 2 2 2 2 2 2 2 2 2 2 2 7 5" xfId="0"/>
    <cellStyle name="표준 2 2 2 2 2 2 2 2 2 2 2 7 6" xfId="0"/>
    <cellStyle name="표준 2 2 2 2 2 2 2 2 2 2 2 8" xfId="0"/>
    <cellStyle name="표준 2 2 2 2 2 2 2 2 2 2 2 8 2" xfId="0"/>
    <cellStyle name="표준 2 2 2 2 2 2 2 2 2 2 2 8 3" xfId="0"/>
    <cellStyle name="표준 2 2 2 2 2 2 2 2 2 2 2 8 4" xfId="0"/>
    <cellStyle name="표준 2 2 2 2 2 2 2 2 2 2 2 8 5" xfId="0"/>
    <cellStyle name="표준 2 2 2 2 2 2 2 2 2 2 2 8 6" xfId="0"/>
    <cellStyle name="표준 2 2 2 2 2 2 2 2 2 2 2 9" xfId="0"/>
    <cellStyle name="표준 2 2 2 2 2 2 2 2 2 2 2 9 2" xfId="0"/>
    <cellStyle name="표준 2 2 2 2 2 2 2 2 2 2 2 9 3" xfId="0"/>
    <cellStyle name="표준 2 2 2 2 2 2 2 2 2 2 2 9 4" xfId="0"/>
    <cellStyle name="표준 2 2 2 2 2 2 2 2 2 2 2 9 5" xfId="0"/>
    <cellStyle name="표준 2 2 2 2 2 2 2 2 2 2 2 9 6" xfId="0"/>
    <cellStyle name="표준 2 2 2 2 2 2 2 2 2 2 20" xfId="0"/>
    <cellStyle name="표준 2 2 2 2 2 2 2 2 2 2 20 2" xfId="0"/>
    <cellStyle name="표준 2 2 2 2 2 2 2 2 2 2 21" xfId="0"/>
    <cellStyle name="표준 2 2 2 2 2 2 2 2 2 2 3" xfId="0"/>
    <cellStyle name="표준 2 2 2 2 2 2 2 2 2 2 3 10" xfId="0"/>
    <cellStyle name="표준 2 2 2 2 2 2 2 2 2 2 3 10 2" xfId="0"/>
    <cellStyle name="표준 2 2 2 2 2 2 2 2 2 2 3 2" xfId="0"/>
    <cellStyle name="표준 2 2 2 2 2 2 2 2 2 2 3 2 2" xfId="0"/>
    <cellStyle name="표준 2 2 2 2 2 2 2 2 2 2 3 3" xfId="0"/>
    <cellStyle name="표준 2 2 2 2 2 2 2 2 2 2 3 3 2" xfId="0"/>
    <cellStyle name="표준 2 2 2 2 2 2 2 2 2 2 3 4" xfId="0"/>
    <cellStyle name="표준 2 2 2 2 2 2 2 2 2 2 3 4 2" xfId="0"/>
    <cellStyle name="표준 2 2 2 2 2 2 2 2 2 2 3 5" xfId="0"/>
    <cellStyle name="표준 2 2 2 2 2 2 2 2 2 2 3 5 2" xfId="0"/>
    <cellStyle name="표준 2 2 2 2 2 2 2 2 2 2 3 6" xfId="0"/>
    <cellStyle name="표준 2 2 2 2 2 2 2 2 2 2 3 6 2" xfId="0"/>
    <cellStyle name="표준 2 2 2 2 2 2 2 2 2 2 3 7" xfId="0"/>
    <cellStyle name="표준 2 2 2 2 2 2 2 2 2 2 3 7 2" xfId="0"/>
    <cellStyle name="표준 2 2 2 2 2 2 2 2 2 2 3 8" xfId="0"/>
    <cellStyle name="표준 2 2 2 2 2 2 2 2 2 2 3 8 2" xfId="0"/>
    <cellStyle name="표준 2 2 2 2 2 2 2 2 2 2 3 9" xfId="0"/>
    <cellStyle name="표준 2 2 2 2 2 2 2 2 2 2 3 9 2" xfId="0"/>
    <cellStyle name="표준 2 2 2 2 2 2 2 2 2 2 4" xfId="0"/>
    <cellStyle name="표준 2 2 2 2 2 2 2 2 2 2 4 10" xfId="0"/>
    <cellStyle name="표준 2 2 2 2 2 2 2 2 2 2 4 10 2" xfId="0"/>
    <cellStyle name="표준 2 2 2 2 2 2 2 2 2 2 4 2" xfId="0"/>
    <cellStyle name="표준 2 2 2 2 2 2 2 2 2 2 4 2 2" xfId="0"/>
    <cellStyle name="표준 2 2 2 2 2 2 2 2 2 2 4 3" xfId="0"/>
    <cellStyle name="표준 2 2 2 2 2 2 2 2 2 2 4 3 2" xfId="0"/>
    <cellStyle name="표준 2 2 2 2 2 2 2 2 2 2 4 4" xfId="0"/>
    <cellStyle name="표준 2 2 2 2 2 2 2 2 2 2 4 4 2" xfId="0"/>
    <cellStyle name="표준 2 2 2 2 2 2 2 2 2 2 4 5" xfId="0"/>
    <cellStyle name="표준 2 2 2 2 2 2 2 2 2 2 4 5 2" xfId="0"/>
    <cellStyle name="표준 2 2 2 2 2 2 2 2 2 2 4 6" xfId="0"/>
    <cellStyle name="표준 2 2 2 2 2 2 2 2 2 2 4 6 2" xfId="0"/>
    <cellStyle name="표준 2 2 2 2 2 2 2 2 2 2 4 7" xfId="0"/>
    <cellStyle name="표준 2 2 2 2 2 2 2 2 2 2 4 7 2" xfId="0"/>
    <cellStyle name="표준 2 2 2 2 2 2 2 2 2 2 4 8" xfId="0"/>
    <cellStyle name="표준 2 2 2 2 2 2 2 2 2 2 4 8 2" xfId="0"/>
    <cellStyle name="표준 2 2 2 2 2 2 2 2 2 2 4 9" xfId="0"/>
    <cellStyle name="표준 2 2 2 2 2 2 2 2 2 2 4 9 2" xfId="0"/>
    <cellStyle name="표준 2 2 2 2 2 2 2 2 2 2 5" xfId="0"/>
    <cellStyle name="표준 2 2 2 2 2 2 2 2 2 2 5 10" xfId="0"/>
    <cellStyle name="표준 2 2 2 2 2 2 2 2 2 2 5 10 2" xfId="0"/>
    <cellStyle name="표준 2 2 2 2 2 2 2 2 2 2 5 2" xfId="0"/>
    <cellStyle name="표준 2 2 2 2 2 2 2 2 2 2 5 2 2" xfId="0"/>
    <cellStyle name="표준 2 2 2 2 2 2 2 2 2 2 5 3" xfId="0"/>
    <cellStyle name="표준 2 2 2 2 2 2 2 2 2 2 5 3 2" xfId="0"/>
    <cellStyle name="표준 2 2 2 2 2 2 2 2 2 2 5 4" xfId="0"/>
    <cellStyle name="표준 2 2 2 2 2 2 2 2 2 2 5 4 2" xfId="0"/>
    <cellStyle name="표준 2 2 2 2 2 2 2 2 2 2 5 5" xfId="0"/>
    <cellStyle name="표준 2 2 2 2 2 2 2 2 2 2 5 5 2" xfId="0"/>
    <cellStyle name="표준 2 2 2 2 2 2 2 2 2 2 5 6" xfId="0"/>
    <cellStyle name="표준 2 2 2 2 2 2 2 2 2 2 5 6 2" xfId="0"/>
    <cellStyle name="표준 2 2 2 2 2 2 2 2 2 2 5 7" xfId="0"/>
    <cellStyle name="표준 2 2 2 2 2 2 2 2 2 2 5 7 2" xfId="0"/>
    <cellStyle name="표준 2 2 2 2 2 2 2 2 2 2 5 8" xfId="0"/>
    <cellStyle name="표준 2 2 2 2 2 2 2 2 2 2 5 8 2" xfId="0"/>
    <cellStyle name="표준 2 2 2 2 2 2 2 2 2 2 5 9" xfId="0"/>
    <cellStyle name="표준 2 2 2 2 2 2 2 2 2 2 5 9 2" xfId="0"/>
    <cellStyle name="표준 2 2 2 2 2 2 2 2 2 2 6" xfId="0"/>
    <cellStyle name="표준 2 2 2 2 2 2 2 2 2 2 6 10" xfId="0"/>
    <cellStyle name="표준 2 2 2 2 2 2 2 2 2 2 6 2" xfId="0"/>
    <cellStyle name="표준 2 2 2 2 2 2 2 2 2 2 6 3" xfId="0"/>
    <cellStyle name="표준 2 2 2 2 2 2 2 2 2 2 6 4" xfId="0"/>
    <cellStyle name="표준 2 2 2 2 2 2 2 2 2 2 6 5" xfId="0"/>
    <cellStyle name="표준 2 2 2 2 2 2 2 2 2 2 6 6" xfId="0"/>
    <cellStyle name="표준 2 2 2 2 2 2 2 2 2 2 6 7" xfId="0"/>
    <cellStyle name="표준 2 2 2 2 2 2 2 2 2 2 6 8" xfId="0"/>
    <cellStyle name="표준 2 2 2 2 2 2 2 2 2 2 6 9" xfId="0"/>
    <cellStyle name="표준 2 2 2 2 2 2 2 2 2 2 7" xfId="0"/>
    <cellStyle name="표준 2 2 2 2 2 2 2 2 2 2 7 10" xfId="0"/>
    <cellStyle name="표준 2 2 2 2 2 2 2 2 2 2 7 2" xfId="0"/>
    <cellStyle name="표준 2 2 2 2 2 2 2 2 2 2 7 3" xfId="0"/>
    <cellStyle name="표준 2 2 2 2 2 2 2 2 2 2 7 4" xfId="0"/>
    <cellStyle name="표준 2 2 2 2 2 2 2 2 2 2 7 5" xfId="0"/>
    <cellStyle name="표준 2 2 2 2 2 2 2 2 2 2 7 6" xfId="0"/>
    <cellStyle name="표준 2 2 2 2 2 2 2 2 2 2 7 7" xfId="0"/>
    <cellStyle name="표준 2 2 2 2 2 2 2 2 2 2 7 8" xfId="0"/>
    <cellStyle name="표준 2 2 2 2 2 2 2 2 2 2 7 9" xfId="0"/>
    <cellStyle name="표준 2 2 2 2 2 2 2 2 2 2 8" xfId="0"/>
    <cellStyle name="표준 2 2 2 2 2 2 2 2 2 2 8 2" xfId="0"/>
    <cellStyle name="표준 2 2 2 2 2 2 2 2 2 2 8 3" xfId="0"/>
    <cellStyle name="표준 2 2 2 2 2 2 2 2 2 2 8 4" xfId="0"/>
    <cellStyle name="표준 2 2 2 2 2 2 2 2 2 2 8 5" xfId="0"/>
    <cellStyle name="표준 2 2 2 2 2 2 2 2 2 2 8 6" xfId="0"/>
    <cellStyle name="표준 2 2 2 2 2 2 2 2 2 2 8 7" xfId="0"/>
    <cellStyle name="표준 2 2 2 2 2 2 2 2 2 2 8 8" xfId="0"/>
    <cellStyle name="표준 2 2 2 2 2 2 2 2 2 2 8 9" xfId="0"/>
    <cellStyle name="표준 2 2 2 2 2 2 2 2 2 2 9" xfId="0"/>
    <cellStyle name="표준 2 2 2 2 2 2 2 2 2 2 9 2" xfId="0"/>
    <cellStyle name="표준 2 2 2 2 2 2 2 2 2 2 9 3" xfId="0"/>
    <cellStyle name="표준 2 2 2 2 2 2 2 2 2 2 9 4" xfId="0"/>
    <cellStyle name="표준 2 2 2 2 2 2 2 2 2 2 9 5" xfId="0"/>
    <cellStyle name="표준 2 2 2 2 2 2 2 2 2 2 9 6" xfId="0"/>
    <cellStyle name="표준 2 2 2 2 2 2 2 2 2 2 9 7" xfId="0"/>
    <cellStyle name="표준 2 2 2 2 2 2 2 2 2 2 9 8" xfId="0"/>
    <cellStyle name="표준 2 2 2 2 2 2 2 2 2 2 9 9" xfId="0"/>
    <cellStyle name="표준 2 2 2 2 2 2 2 2 2 20" xfId="0"/>
    <cellStyle name="표준 2 2 2 2 2 2 2 2 2 20 2" xfId="0"/>
    <cellStyle name="표준 2 2 2 2 2 2 2 2 2 21" xfId="0"/>
    <cellStyle name="표준 2 2 2 2 2 2 2 2 2 3" xfId="0"/>
    <cellStyle name="표준 2 2 2 2 2 2 2 2 2 3 10" xfId="0"/>
    <cellStyle name="표준 2 2 2 2 2 2 2 2 2 3 2" xfId="0"/>
    <cellStyle name="표준 2 2 2 2 2 2 2 2 2 3 3" xfId="0"/>
    <cellStyle name="표준 2 2 2 2 2 2 2 2 2 3 4" xfId="0"/>
    <cellStyle name="표준 2 2 2 2 2 2 2 2 2 3 5" xfId="0"/>
    <cellStyle name="표준 2 2 2 2 2 2 2 2 2 3 6" xfId="0"/>
    <cellStyle name="표준 2 2 2 2 2 2 2 2 2 3 7" xfId="0"/>
    <cellStyle name="표준 2 2 2 2 2 2 2 2 2 3 8" xfId="0"/>
    <cellStyle name="표준 2 2 2 2 2 2 2 2 2 3 9" xfId="0"/>
    <cellStyle name="표준 2 2 2 2 2 2 2 2 2 4" xfId="0"/>
    <cellStyle name="표준 2 2 2 2 2 2 2 2 2 4 10" xfId="0"/>
    <cellStyle name="표준 2 2 2 2 2 2 2 2 2 4 2" xfId="0"/>
    <cellStyle name="표준 2 2 2 2 2 2 2 2 2 4 3" xfId="0"/>
    <cellStyle name="표준 2 2 2 2 2 2 2 2 2 4 4" xfId="0"/>
    <cellStyle name="표준 2 2 2 2 2 2 2 2 2 4 5" xfId="0"/>
    <cellStyle name="표준 2 2 2 2 2 2 2 2 2 4 6" xfId="0"/>
    <cellStyle name="표준 2 2 2 2 2 2 2 2 2 4 7" xfId="0"/>
    <cellStyle name="표준 2 2 2 2 2 2 2 2 2 4 8" xfId="0"/>
    <cellStyle name="표준 2 2 2 2 2 2 2 2 2 4 9" xfId="0"/>
    <cellStyle name="표준 2 2 2 2 2 2 2 2 2 5" xfId="0"/>
    <cellStyle name="표준 2 2 2 2 2 2 2 2 2 5 10" xfId="0"/>
    <cellStyle name="표준 2 2 2 2 2 2 2 2 2 5 2" xfId="0"/>
    <cellStyle name="표준 2 2 2 2 2 2 2 2 2 5 3" xfId="0"/>
    <cellStyle name="표준 2 2 2 2 2 2 2 2 2 5 4" xfId="0"/>
    <cellStyle name="표준 2 2 2 2 2 2 2 2 2 5 5" xfId="0"/>
    <cellStyle name="표준 2 2 2 2 2 2 2 2 2 5 6" xfId="0"/>
    <cellStyle name="표준 2 2 2 2 2 2 2 2 2 5 7" xfId="0"/>
    <cellStyle name="표준 2 2 2 2 2 2 2 2 2 5 8" xfId="0"/>
    <cellStyle name="표준 2 2 2 2 2 2 2 2 2 5 9" xfId="0"/>
    <cellStyle name="표준 2 2 2 2 2 2 2 2 2 6" xfId="0"/>
    <cellStyle name="표준 2 2 2 2 2 2 2 2 2 7" xfId="0"/>
    <cellStyle name="표준 2 2 2 2 2 2 2 2 2 8" xfId="0"/>
    <cellStyle name="표준 2 2 2 2 2 2 2 2 2 8 10" xfId="0"/>
    <cellStyle name="표준 2 2 2 2 2 2 2 2 2 8 2" xfId="0"/>
    <cellStyle name="표준 2 2 2 2 2 2 2 2 2 8 3" xfId="0"/>
    <cellStyle name="표준 2 2 2 2 2 2 2 2 2 8 4" xfId="0"/>
    <cellStyle name="표준 2 2 2 2 2 2 2 2 2 8 5" xfId="0"/>
    <cellStyle name="표준 2 2 2 2 2 2 2 2 2 8 6" xfId="0"/>
    <cellStyle name="표준 2 2 2 2 2 2 2 2 2 8 7" xfId="0"/>
    <cellStyle name="표준 2 2 2 2 2 2 2 2 2 8 8" xfId="0"/>
    <cellStyle name="표준 2 2 2 2 2 2 2 2 2 8 9" xfId="0"/>
    <cellStyle name="표준 2 2 2 2 2 2 2 2 2 9" xfId="0"/>
    <cellStyle name="표준 2 2 2 2 2 2 2 2 2 9 10" xfId="0"/>
    <cellStyle name="표준 2 2 2 2 2 2 2 2 2 9 2" xfId="0"/>
    <cellStyle name="표준 2 2 2 2 2 2 2 2 2 9 3" xfId="0"/>
    <cellStyle name="표준 2 2 2 2 2 2 2 2 2 9 4" xfId="0"/>
    <cellStyle name="표준 2 2 2 2 2 2 2 2 2 9 5" xfId="0"/>
    <cellStyle name="표준 2 2 2 2 2 2 2 2 2 9 6" xfId="0"/>
    <cellStyle name="표준 2 2 2 2 2 2 2 2 2 9 7" xfId="0"/>
    <cellStyle name="표준 2 2 2 2 2 2 2 2 2 9 8" xfId="0"/>
    <cellStyle name="표준 2 2 2 2 2 2 2 2 2 9 9" xfId="0"/>
    <cellStyle name="표준 2 2 2 2 2 2 2 2 20" xfId="0"/>
    <cellStyle name="표준 2 2 2 2 2 2 2 2 20 2" xfId="0"/>
    <cellStyle name="표준 2 2 2 2 2 2 2 2 21" xfId="0"/>
    <cellStyle name="표준 2 2 2 2 2 2 2 2 21 2" xfId="0"/>
    <cellStyle name="표준 2 2 2 2 2 2 2 2 22" xfId="0"/>
    <cellStyle name="표준 2 2 2 2 2 2 2 2 22 2" xfId="0"/>
    <cellStyle name="표준 2 2 2 2 2 2 2 2 23" xfId="0"/>
    <cellStyle name="표준 2 2 2 2 2 2 2 2 3" xfId="0"/>
    <cellStyle name="표준 2 2 2 2 2 2 2 2 3 10" xfId="0"/>
    <cellStyle name="표준 2 2 2 2 2 2 2 2 3 10 2" xfId="0"/>
    <cellStyle name="표준 2 2 2 2 2 2 2 2 3 2" xfId="0"/>
    <cellStyle name="표준 2 2 2 2 2 2 2 2 3 2 2" xfId="0"/>
    <cellStyle name="표준 2 2 2 2 2 2 2 2 3 3" xfId="0"/>
    <cellStyle name="표준 2 2 2 2 2 2 2 2 3 3 2" xfId="0"/>
    <cellStyle name="표준 2 2 2 2 2 2 2 2 3 4" xfId="0"/>
    <cellStyle name="표준 2 2 2 2 2 2 2 2 3 4 2" xfId="0"/>
    <cellStyle name="표준 2 2 2 2 2 2 2 2 3 5" xfId="0"/>
    <cellStyle name="표준 2 2 2 2 2 2 2 2 3 5 2" xfId="0"/>
    <cellStyle name="표준 2 2 2 2 2 2 2 2 3 6" xfId="0"/>
    <cellStyle name="표준 2 2 2 2 2 2 2 2 3 6 2" xfId="0"/>
    <cellStyle name="표준 2 2 2 2 2 2 2 2 3 7" xfId="0"/>
    <cellStyle name="표준 2 2 2 2 2 2 2 2 3 7 2" xfId="0"/>
    <cellStyle name="표준 2 2 2 2 2 2 2 2 3 8" xfId="0"/>
    <cellStyle name="표준 2 2 2 2 2 2 2 2 3 8 2" xfId="0"/>
    <cellStyle name="표준 2 2 2 2 2 2 2 2 3 9" xfId="0"/>
    <cellStyle name="표준 2 2 2 2 2 2 2 2 3 9 2" xfId="0"/>
    <cellStyle name="표준 2 2 2 2 2 2 2 2 4" xfId="0"/>
    <cellStyle name="표준 2 2 2 2 2 2 2 2 4 10" xfId="0"/>
    <cellStyle name="표준 2 2 2 2 2 2 2 2 4 10 2" xfId="0"/>
    <cellStyle name="표준 2 2 2 2 2 2 2 2 4 2" xfId="0"/>
    <cellStyle name="표준 2 2 2 2 2 2 2 2 4 2 2" xfId="0"/>
    <cellStyle name="표준 2 2 2 2 2 2 2 2 4 3" xfId="0"/>
    <cellStyle name="표준 2 2 2 2 2 2 2 2 4 3 2" xfId="0"/>
    <cellStyle name="표준 2 2 2 2 2 2 2 2 4 4" xfId="0"/>
    <cellStyle name="표준 2 2 2 2 2 2 2 2 4 4 2" xfId="0"/>
    <cellStyle name="표준 2 2 2 2 2 2 2 2 4 5" xfId="0"/>
    <cellStyle name="표준 2 2 2 2 2 2 2 2 4 5 2" xfId="0"/>
    <cellStyle name="표준 2 2 2 2 2 2 2 2 4 6" xfId="0"/>
    <cellStyle name="표준 2 2 2 2 2 2 2 2 4 6 2" xfId="0"/>
    <cellStyle name="표준 2 2 2 2 2 2 2 2 4 7" xfId="0"/>
    <cellStyle name="표준 2 2 2 2 2 2 2 2 4 7 2" xfId="0"/>
    <cellStyle name="표준 2 2 2 2 2 2 2 2 4 8" xfId="0"/>
    <cellStyle name="표준 2 2 2 2 2 2 2 2 4 8 2" xfId="0"/>
    <cellStyle name="표준 2 2 2 2 2 2 2 2 4 9" xfId="0"/>
    <cellStyle name="표준 2 2 2 2 2 2 2 2 4 9 2" xfId="0"/>
    <cellStyle name="표준 2 2 2 2 2 2 2 2 5" xfId="0"/>
    <cellStyle name="표준 2 2 2 2 2 2 2 2 5 10" xfId="0"/>
    <cellStyle name="표준 2 2 2 2 2 2 2 2 5 10 2" xfId="0"/>
    <cellStyle name="표준 2 2 2 2 2 2 2 2 5 2" xfId="0"/>
    <cellStyle name="표준 2 2 2 2 2 2 2 2 5 2 2" xfId="0"/>
    <cellStyle name="표준 2 2 2 2 2 2 2 2 5 3" xfId="0"/>
    <cellStyle name="표준 2 2 2 2 2 2 2 2 5 3 2" xfId="0"/>
    <cellStyle name="표준 2 2 2 2 2 2 2 2 5 4" xfId="0"/>
    <cellStyle name="표준 2 2 2 2 2 2 2 2 5 4 2" xfId="0"/>
    <cellStyle name="표준 2 2 2 2 2 2 2 2 5 5" xfId="0"/>
    <cellStyle name="표준 2 2 2 2 2 2 2 2 5 5 2" xfId="0"/>
    <cellStyle name="표준 2 2 2 2 2 2 2 2 5 6" xfId="0"/>
    <cellStyle name="표준 2 2 2 2 2 2 2 2 5 6 2" xfId="0"/>
    <cellStyle name="표준 2 2 2 2 2 2 2 2 5 7" xfId="0"/>
    <cellStyle name="표준 2 2 2 2 2 2 2 2 5 7 2" xfId="0"/>
    <cellStyle name="표준 2 2 2 2 2 2 2 2 5 8" xfId="0"/>
    <cellStyle name="표준 2 2 2 2 2 2 2 2 5 8 2" xfId="0"/>
    <cellStyle name="표준 2 2 2 2 2 2 2 2 5 9" xfId="0"/>
    <cellStyle name="표준 2 2 2 2 2 2 2 2 5 9 2" xfId="0"/>
    <cellStyle name="표준 2 2 2 2 2 2 2 2 6" xfId="0"/>
    <cellStyle name="표준 2 2 2 2 2 2 2 2 6 10" xfId="0"/>
    <cellStyle name="표준 2 2 2 2 2 2 2 2 6 10 2" xfId="0"/>
    <cellStyle name="표준 2 2 2 2 2 2 2 2 6 2" xfId="0"/>
    <cellStyle name="표준 2 2 2 2 2 2 2 2 6 2 2" xfId="0"/>
    <cellStyle name="표준 2 2 2 2 2 2 2 2 6 3" xfId="0"/>
    <cellStyle name="표준 2 2 2 2 2 2 2 2 6 3 2" xfId="0"/>
    <cellStyle name="표준 2 2 2 2 2 2 2 2 6 4" xfId="0"/>
    <cellStyle name="표준 2 2 2 2 2 2 2 2 6 4 2" xfId="0"/>
    <cellStyle name="표준 2 2 2 2 2 2 2 2 6 5" xfId="0"/>
    <cellStyle name="표준 2 2 2 2 2 2 2 2 6 5 2" xfId="0"/>
    <cellStyle name="표준 2 2 2 2 2 2 2 2 6 6" xfId="0"/>
    <cellStyle name="표준 2 2 2 2 2 2 2 2 6 6 2" xfId="0"/>
    <cellStyle name="표준 2 2 2 2 2 2 2 2 6 7" xfId="0"/>
    <cellStyle name="표준 2 2 2 2 2 2 2 2 6 7 2" xfId="0"/>
    <cellStyle name="표준 2 2 2 2 2 2 2 2 6 8" xfId="0"/>
    <cellStyle name="표준 2 2 2 2 2 2 2 2 6 8 2" xfId="0"/>
    <cellStyle name="표준 2 2 2 2 2 2 2 2 6 9" xfId="0"/>
    <cellStyle name="표준 2 2 2 2 2 2 2 2 6 9 2" xfId="0"/>
    <cellStyle name="표준 2 2 2 2 2 2 2 2 7" xfId="0"/>
    <cellStyle name="표준 2 2 2 2 2 2 2 2 7 10" xfId="0"/>
    <cellStyle name="표준 2 2 2 2 2 2 2 2 7 10 2" xfId="0"/>
    <cellStyle name="표준 2 2 2 2 2 2 2 2 7 2" xfId="0"/>
    <cellStyle name="표준 2 2 2 2 2 2 2 2 7 2 2" xfId="0"/>
    <cellStyle name="표준 2 2 2 2 2 2 2 2 7 3" xfId="0"/>
    <cellStyle name="표준 2 2 2 2 2 2 2 2 7 3 2" xfId="0"/>
    <cellStyle name="표준 2 2 2 2 2 2 2 2 7 4" xfId="0"/>
    <cellStyle name="표준 2 2 2 2 2 2 2 2 7 4 2" xfId="0"/>
    <cellStyle name="표준 2 2 2 2 2 2 2 2 7 5" xfId="0"/>
    <cellStyle name="표준 2 2 2 2 2 2 2 2 7 5 2" xfId="0"/>
    <cellStyle name="표준 2 2 2 2 2 2 2 2 7 6" xfId="0"/>
    <cellStyle name="표준 2 2 2 2 2 2 2 2 7 6 2" xfId="0"/>
    <cellStyle name="표준 2 2 2 2 2 2 2 2 7 7" xfId="0"/>
    <cellStyle name="표준 2 2 2 2 2 2 2 2 7 7 2" xfId="0"/>
    <cellStyle name="표준 2 2 2 2 2 2 2 2 7 8" xfId="0"/>
    <cellStyle name="표준 2 2 2 2 2 2 2 2 7 8 2" xfId="0"/>
    <cellStyle name="표준 2 2 2 2 2 2 2 2 7 9" xfId="0"/>
    <cellStyle name="표준 2 2 2 2 2 2 2 2 7 9 2" xfId="0"/>
    <cellStyle name="표준 2 2 2 2 2 2 2 2 8" xfId="0"/>
    <cellStyle name="표준 2 2 2 2 2 2 2 2 8 10" xfId="0"/>
    <cellStyle name="표준 2 2 2 2 2 2 2 2 8 10 2" xfId="0"/>
    <cellStyle name="표준 2 2 2 2 2 2 2 2 8 2" xfId="0"/>
    <cellStyle name="표준 2 2 2 2 2 2 2 2 8 2 2" xfId="0"/>
    <cellStyle name="표준 2 2 2 2 2 2 2 2 8 3" xfId="0"/>
    <cellStyle name="표준 2 2 2 2 2 2 2 2 8 3 2" xfId="0"/>
    <cellStyle name="표준 2 2 2 2 2 2 2 2 8 4" xfId="0"/>
    <cellStyle name="표준 2 2 2 2 2 2 2 2 8 4 2" xfId="0"/>
    <cellStyle name="표준 2 2 2 2 2 2 2 2 8 5" xfId="0"/>
    <cellStyle name="표준 2 2 2 2 2 2 2 2 8 5 2" xfId="0"/>
    <cellStyle name="표준 2 2 2 2 2 2 2 2 8 6" xfId="0"/>
    <cellStyle name="표준 2 2 2 2 2 2 2 2 8 6 2" xfId="0"/>
    <cellStyle name="표준 2 2 2 2 2 2 2 2 8 7" xfId="0"/>
    <cellStyle name="표준 2 2 2 2 2 2 2 2 8 7 2" xfId="0"/>
    <cellStyle name="표준 2 2 2 2 2 2 2 2 8 8" xfId="0"/>
    <cellStyle name="표준 2 2 2 2 2 2 2 2 8 8 2" xfId="0"/>
    <cellStyle name="표준 2 2 2 2 2 2 2 2 8 9" xfId="0"/>
    <cellStyle name="표준 2 2 2 2 2 2 2 2 8 9 2" xfId="0"/>
    <cellStyle name="표준 2 2 2 2 2 2 2 2 9" xfId="0"/>
    <cellStyle name="표준 2 2 2 2 2 2 2 2 9 10" xfId="0"/>
    <cellStyle name="표준 2 2 2 2 2 2 2 2 9 10 2" xfId="0"/>
    <cellStyle name="표준 2 2 2 2 2 2 2 2 9 2" xfId="0"/>
    <cellStyle name="표준 2 2 2 2 2 2 2 2 9 2 2" xfId="0"/>
    <cellStyle name="표준 2 2 2 2 2 2 2 2 9 3" xfId="0"/>
    <cellStyle name="표준 2 2 2 2 2 2 2 2 9 3 2" xfId="0"/>
    <cellStyle name="표준 2 2 2 2 2 2 2 2 9 4" xfId="0"/>
    <cellStyle name="표준 2 2 2 2 2 2 2 2 9 4 2" xfId="0"/>
    <cellStyle name="표준 2 2 2 2 2 2 2 2 9 5" xfId="0"/>
    <cellStyle name="표준 2 2 2 2 2 2 2 2 9 5 2" xfId="0"/>
    <cellStyle name="표준 2 2 2 2 2 2 2 2 9 6" xfId="0"/>
    <cellStyle name="표준 2 2 2 2 2 2 2 2 9 6 2" xfId="0"/>
    <cellStyle name="표준 2 2 2 2 2 2 2 2 9 7" xfId="0"/>
    <cellStyle name="표준 2 2 2 2 2 2 2 2 9 7 2" xfId="0"/>
    <cellStyle name="표준 2 2 2 2 2 2 2 2 9 8" xfId="0"/>
    <cellStyle name="표준 2 2 2 2 2 2 2 2 9 8 2" xfId="0"/>
    <cellStyle name="표준 2 2 2 2 2 2 2 2 9 9" xfId="0"/>
    <cellStyle name="표준 2 2 2 2 2 2 2 2 9 9 2" xfId="0"/>
    <cellStyle name="표준 2 2 2 2 2 2 2 20" xfId="0"/>
    <cellStyle name="표준 2 2 2 2 2 2 2 20 2" xfId="0"/>
    <cellStyle name="표준 2 2 2 2 2 2 2 21" xfId="0"/>
    <cellStyle name="표준 2 2 2 2 2 2 2 21 2" xfId="0"/>
    <cellStyle name="표준 2 2 2 2 2 2 2 22" xfId="0"/>
    <cellStyle name="표준 2 2 2 2 2 2 2 22 2" xfId="0"/>
    <cellStyle name="표준 2 2 2 2 2 2 2 23" xfId="0"/>
    <cellStyle name="표준 2 2 2 2 2 2 2 3" xfId="0"/>
    <cellStyle name="표준 2 2 2 2 2 2 2 3 10" xfId="0"/>
    <cellStyle name="표준 2 2 2 2 2 2 2 3 11" xfId="0"/>
    <cellStyle name="표준 2 2 2 2 2 2 2 3 12" xfId="0"/>
    <cellStyle name="표준 2 2 2 2 2 2 2 3 13" xfId="0"/>
    <cellStyle name="표준 2 2 2 2 2 2 2 3 14" xfId="0"/>
    <cellStyle name="표준 2 2 2 2 2 2 2 3 15" xfId="0"/>
    <cellStyle name="표준 2 2 2 2 2 2 2 3 2" xfId="0"/>
    <cellStyle name="표준 2 2 2 2 2 2 2 3 2 10" xfId="0"/>
    <cellStyle name="표준 2 2 2 2 2 2 2 3 2 11" xfId="0"/>
    <cellStyle name="표준 2 2 2 2 2 2 2 3 2 12" xfId="0"/>
    <cellStyle name="표준 2 2 2 2 2 2 2 3 2 13" xfId="0"/>
    <cellStyle name="표준 2 2 2 2 2 2 2 3 2 14" xfId="0"/>
    <cellStyle name="표준 2 2 2 2 2 2 2 3 2 15" xfId="0"/>
    <cellStyle name="표준 2 2 2 2 2 2 2 3 2 2" xfId="0"/>
    <cellStyle name="표준 2 2 2 2 2 2 2 3 2 3" xfId="0"/>
    <cellStyle name="표준 2 2 2 2 2 2 2 3 2 4" xfId="0"/>
    <cellStyle name="표준 2 2 2 2 2 2 2 3 2 5" xfId="0"/>
    <cellStyle name="표준 2 2 2 2 2 2 2 3 2 6" xfId="0"/>
    <cellStyle name="표준 2 2 2 2 2 2 2 3 2 7" xfId="0"/>
    <cellStyle name="표준 2 2 2 2 2 2 2 3 2 8" xfId="0"/>
    <cellStyle name="표준 2 2 2 2 2 2 2 3 2 9" xfId="0"/>
    <cellStyle name="표준 2 2 2 2 2 2 2 3 3" xfId="0"/>
    <cellStyle name="표준 2 2 2 2 2 2 2 3 3 10" xfId="0"/>
    <cellStyle name="표준 2 2 2 2 2 2 2 3 3 2" xfId="0"/>
    <cellStyle name="표준 2 2 2 2 2 2 2 3 3 3" xfId="0"/>
    <cellStyle name="표준 2 2 2 2 2 2 2 3 3 4" xfId="0"/>
    <cellStyle name="표준 2 2 2 2 2 2 2 3 3 5" xfId="0"/>
    <cellStyle name="표준 2 2 2 2 2 2 2 3 3 6" xfId="0"/>
    <cellStyle name="표준 2 2 2 2 2 2 2 3 3 7" xfId="0"/>
    <cellStyle name="표준 2 2 2 2 2 2 2 3 3 8" xfId="0"/>
    <cellStyle name="표준 2 2 2 2 2 2 2 3 3 9" xfId="0"/>
    <cellStyle name="표준 2 2 2 2 2 2 2 3 4" xfId="0"/>
    <cellStyle name="표준 2 2 2 2 2 2 2 3 4 10" xfId="0"/>
    <cellStyle name="표준 2 2 2 2 2 2 2 3 4 2" xfId="0"/>
    <cellStyle name="표준 2 2 2 2 2 2 2 3 4 3" xfId="0"/>
    <cellStyle name="표준 2 2 2 2 2 2 2 3 4 4" xfId="0"/>
    <cellStyle name="표준 2 2 2 2 2 2 2 3 4 5" xfId="0"/>
    <cellStyle name="표준 2 2 2 2 2 2 2 3 4 6" xfId="0"/>
    <cellStyle name="표준 2 2 2 2 2 2 2 3 4 7" xfId="0"/>
    <cellStyle name="표준 2 2 2 2 2 2 2 3 4 8" xfId="0"/>
    <cellStyle name="표준 2 2 2 2 2 2 2 3 4 9" xfId="0"/>
    <cellStyle name="표준 2 2 2 2 2 2 2 3 5" xfId="0"/>
    <cellStyle name="표준 2 2 2 2 2 2 2 3 5 10" xfId="0"/>
    <cellStyle name="표준 2 2 2 2 2 2 2 3 5 2" xfId="0"/>
    <cellStyle name="표준 2 2 2 2 2 2 2 3 5 3" xfId="0"/>
    <cellStyle name="표준 2 2 2 2 2 2 2 3 5 4" xfId="0"/>
    <cellStyle name="표준 2 2 2 2 2 2 2 3 5 5" xfId="0"/>
    <cellStyle name="표준 2 2 2 2 2 2 2 3 5 6" xfId="0"/>
    <cellStyle name="표준 2 2 2 2 2 2 2 3 5 7" xfId="0"/>
    <cellStyle name="표준 2 2 2 2 2 2 2 3 5 8" xfId="0"/>
    <cellStyle name="표준 2 2 2 2 2 2 2 3 5 9" xfId="0"/>
    <cellStyle name="표준 2 2 2 2 2 2 2 3 6" xfId="0"/>
    <cellStyle name="표준 2 2 2 2 2 2 2 3 6 10" xfId="0"/>
    <cellStyle name="표준 2 2 2 2 2 2 2 3 6 2" xfId="0"/>
    <cellStyle name="표준 2 2 2 2 2 2 2 3 6 3" xfId="0"/>
    <cellStyle name="표준 2 2 2 2 2 2 2 3 6 4" xfId="0"/>
    <cellStyle name="표준 2 2 2 2 2 2 2 3 6 5" xfId="0"/>
    <cellStyle name="표준 2 2 2 2 2 2 2 3 6 6" xfId="0"/>
    <cellStyle name="표준 2 2 2 2 2 2 2 3 6 7" xfId="0"/>
    <cellStyle name="표준 2 2 2 2 2 2 2 3 6 8" xfId="0"/>
    <cellStyle name="표준 2 2 2 2 2 2 2 3 6 9" xfId="0"/>
    <cellStyle name="표준 2 2 2 2 2 2 2 3 7" xfId="0"/>
    <cellStyle name="표준 2 2 2 2 2 2 2 3 8" xfId="0"/>
    <cellStyle name="표준 2 2 2 2 2 2 2 3 9" xfId="0"/>
    <cellStyle name="표준 2 2 2 2 2 2 2 4" xfId="0"/>
    <cellStyle name="표준 2 2 2 2 2 2 2 4 10" xfId="0"/>
    <cellStyle name="표준 2 2 2 2 2 2 2 4 2" xfId="0"/>
    <cellStyle name="표준 2 2 2 2 2 2 2 4 3" xfId="0"/>
    <cellStyle name="표준 2 2 2 2 2 2 2 4 4" xfId="0"/>
    <cellStyle name="표준 2 2 2 2 2 2 2 4 5" xfId="0"/>
    <cellStyle name="표준 2 2 2 2 2 2 2 4 6" xfId="0"/>
    <cellStyle name="표준 2 2 2 2 2 2 2 4 7" xfId="0"/>
    <cellStyle name="표준 2 2 2 2 2 2 2 4 8" xfId="0"/>
    <cellStyle name="표준 2 2 2 2 2 2 2 4 9" xfId="0"/>
    <cellStyle name="표준 2 2 2 2 2 2 2 5" xfId="0"/>
    <cellStyle name="표준 2 2 2 2 2 2 2 5 10" xfId="0"/>
    <cellStyle name="표준 2 2 2 2 2 2 2 5 2" xfId="0"/>
    <cellStyle name="표준 2 2 2 2 2 2 2 5 3" xfId="0"/>
    <cellStyle name="표준 2 2 2 2 2 2 2 5 4" xfId="0"/>
    <cellStyle name="표준 2 2 2 2 2 2 2 5 5" xfId="0"/>
    <cellStyle name="표준 2 2 2 2 2 2 2 5 6" xfId="0"/>
    <cellStyle name="표준 2 2 2 2 2 2 2 5 7" xfId="0"/>
    <cellStyle name="표준 2 2 2 2 2 2 2 5 8" xfId="0"/>
    <cellStyle name="표준 2 2 2 2 2 2 2 5 9" xfId="0"/>
    <cellStyle name="표준 2 2 2 2 2 2 2 6" xfId="0"/>
    <cellStyle name="표준 2 2 2 2 2 2 2 6 10" xfId="0"/>
    <cellStyle name="표준 2 2 2 2 2 2 2 6 2" xfId="0"/>
    <cellStyle name="표준 2 2 2 2 2 2 2 6 3" xfId="0"/>
    <cellStyle name="표준 2 2 2 2 2 2 2 6 4" xfId="0"/>
    <cellStyle name="표준 2 2 2 2 2 2 2 6 5" xfId="0"/>
    <cellStyle name="표준 2 2 2 2 2 2 2 6 6" xfId="0"/>
    <cellStyle name="표준 2 2 2 2 2 2 2 6 7" xfId="0"/>
    <cellStyle name="표준 2 2 2 2 2 2 2 6 8" xfId="0"/>
    <cellStyle name="표준 2 2 2 2 2 2 2 6 9" xfId="0"/>
    <cellStyle name="표준 2 2 2 2 2 2 2 7" xfId="0"/>
    <cellStyle name="표준 2 2 2 2 2 2 2 7 10" xfId="0"/>
    <cellStyle name="표준 2 2 2 2 2 2 2 7 2" xfId="0"/>
    <cellStyle name="표준 2 2 2 2 2 2 2 7 3" xfId="0"/>
    <cellStyle name="표준 2 2 2 2 2 2 2 7 4" xfId="0"/>
    <cellStyle name="표준 2 2 2 2 2 2 2 7 5" xfId="0"/>
    <cellStyle name="표준 2 2 2 2 2 2 2 7 6" xfId="0"/>
    <cellStyle name="표준 2 2 2 2 2 2 2 7 7" xfId="0"/>
    <cellStyle name="표준 2 2 2 2 2 2 2 7 8" xfId="0"/>
    <cellStyle name="표준 2 2 2 2 2 2 2 7 9" xfId="0"/>
    <cellStyle name="표준 2 2 2 2 2 2 2 8" xfId="0"/>
    <cellStyle name="표준 2 2 2 2 2 2 2 8 10" xfId="0"/>
    <cellStyle name="표준 2 2 2 2 2 2 2 8 2" xfId="0"/>
    <cellStyle name="표준 2 2 2 2 2 2 2 8 3" xfId="0"/>
    <cellStyle name="표준 2 2 2 2 2 2 2 8 4" xfId="0"/>
    <cellStyle name="표준 2 2 2 2 2 2 2 8 5" xfId="0"/>
    <cellStyle name="표준 2 2 2 2 2 2 2 8 6" xfId="0"/>
    <cellStyle name="표준 2 2 2 2 2 2 2 8 7" xfId="0"/>
    <cellStyle name="표준 2 2 2 2 2 2 2 8 8" xfId="0"/>
    <cellStyle name="표준 2 2 2 2 2 2 2 8 9" xfId="0"/>
    <cellStyle name="표준 2 2 2 2 2 2 2 9" xfId="0"/>
    <cellStyle name="표준 2 2 2 2 2 2 2 9 10" xfId="0"/>
    <cellStyle name="표준 2 2 2 2 2 2 2 9 2" xfId="0"/>
    <cellStyle name="표준 2 2 2 2 2 2 2 9 3" xfId="0"/>
    <cellStyle name="표준 2 2 2 2 2 2 2 9 4" xfId="0"/>
    <cellStyle name="표준 2 2 2 2 2 2 2 9 5" xfId="0"/>
    <cellStyle name="표준 2 2 2 2 2 2 2 9 6" xfId="0"/>
    <cellStyle name="표준 2 2 2 2 2 2 2 9 7" xfId="0"/>
    <cellStyle name="표준 2 2 2 2 2 2 2 9 8" xfId="0"/>
    <cellStyle name="표준 2 2 2 2 2 2 2 9 9" xfId="0"/>
    <cellStyle name="표준 2 2 2 2 2 2 20" xfId="0"/>
    <cellStyle name="표준 2 2 2 2 2 2 20 2" xfId="0"/>
    <cellStyle name="표준 2 2 2 2 2 2 20 3" xfId="0"/>
    <cellStyle name="표준 2 2 2 2 2 2 21" xfId="0"/>
    <cellStyle name="표준 2 2 2 2 2 2 21 2" xfId="0"/>
    <cellStyle name="표준 2 2 2 2 2 2 22" xfId="0"/>
    <cellStyle name="표준 2 2 2 2 2 2 22 2" xfId="0"/>
    <cellStyle name="표준 2 2 2 2 2 2 23" xfId="0"/>
    <cellStyle name="표준 2 2 2 2 2 2 23 2" xfId="0"/>
    <cellStyle name="표준 2 2 2 2 2 2 24" xfId="0"/>
    <cellStyle name="표준 2 2 2 2 2 2 24 2" xfId="0"/>
    <cellStyle name="표준 2 2 2 2 2 2 25" xfId="0"/>
    <cellStyle name="표준 2 2 2 2 2 2 25 2" xfId="0"/>
    <cellStyle name="표준 2 2 2 2 2 2 26" xfId="0"/>
    <cellStyle name="표준 2 2 2 2 2 2 26 2" xfId="0"/>
    <cellStyle name="표준 2 2 2 2 2 2 27" xfId="0"/>
    <cellStyle name="표준 2 2 2 2 2 2 3" xfId="0"/>
    <cellStyle name="표준 2 2 2 2 2 2 3 10" xfId="0"/>
    <cellStyle name="표준 2 2 2 2 2 2 3 10 2" xfId="0"/>
    <cellStyle name="표준 2 2 2 2 2 2 3 2" xfId="0"/>
    <cellStyle name="표준 2 2 2 2 2 2 3 2 2" xfId="0"/>
    <cellStyle name="표준 2 2 2 2 2 2 3 3" xfId="0"/>
    <cellStyle name="표준 2 2 2 2 2 2 3 3 2" xfId="0"/>
    <cellStyle name="표준 2 2 2 2 2 2 3 4" xfId="0"/>
    <cellStyle name="표준 2 2 2 2 2 2 3 4 2" xfId="0"/>
    <cellStyle name="표준 2 2 2 2 2 2 3 5" xfId="0"/>
    <cellStyle name="표준 2 2 2 2 2 2 3 5 2" xfId="0"/>
    <cellStyle name="표준 2 2 2 2 2 2 3 6" xfId="0"/>
    <cellStyle name="표준 2 2 2 2 2 2 3 6 2" xfId="0"/>
    <cellStyle name="표준 2 2 2 2 2 2 3 7" xfId="0"/>
    <cellStyle name="표준 2 2 2 2 2 2 3 7 2" xfId="0"/>
    <cellStyle name="표준 2 2 2 2 2 2 3 8" xfId="0"/>
    <cellStyle name="표준 2 2 2 2 2 2 3 8 2" xfId="0"/>
    <cellStyle name="표준 2 2 2 2 2 2 3 9" xfId="0"/>
    <cellStyle name="표준 2 2 2 2 2 2 3 9 2" xfId="0"/>
    <cellStyle name="표준 2 2 2 2 2 2 4" xfId="0"/>
    <cellStyle name="표준 2 2 2 2 2 2 4 10" xfId="0"/>
    <cellStyle name="표준 2 2 2 2 2 2 4 10 2" xfId="0"/>
    <cellStyle name="표준 2 2 2 2 2 2 4 2" xfId="0"/>
    <cellStyle name="표준 2 2 2 2 2 2 4 2 2" xfId="0"/>
    <cellStyle name="표준 2 2 2 2 2 2 4 3" xfId="0"/>
    <cellStyle name="표준 2 2 2 2 2 2 4 3 2" xfId="0"/>
    <cellStyle name="표준 2 2 2 2 2 2 4 4" xfId="0"/>
    <cellStyle name="표준 2 2 2 2 2 2 4 4 2" xfId="0"/>
    <cellStyle name="표준 2 2 2 2 2 2 4 5" xfId="0"/>
    <cellStyle name="표준 2 2 2 2 2 2 4 5 2" xfId="0"/>
    <cellStyle name="표준 2 2 2 2 2 2 4 6" xfId="0"/>
    <cellStyle name="표준 2 2 2 2 2 2 4 6 2" xfId="0"/>
    <cellStyle name="표준 2 2 2 2 2 2 4 7" xfId="0"/>
    <cellStyle name="표준 2 2 2 2 2 2 4 7 2" xfId="0"/>
    <cellStyle name="표준 2 2 2 2 2 2 4 8" xfId="0"/>
    <cellStyle name="표준 2 2 2 2 2 2 4 8 2" xfId="0"/>
    <cellStyle name="표준 2 2 2 2 2 2 4 9" xfId="0"/>
    <cellStyle name="표준 2 2 2 2 2 2 4 9 2" xfId="0"/>
    <cellStyle name="표준 2 2 2 2 2 2 5" xfId="0"/>
    <cellStyle name="표준 2 2 2 2 2 2 5 10" xfId="0"/>
    <cellStyle name="표준 2 2 2 2 2 2 5 10 2" xfId="0"/>
    <cellStyle name="표준 2 2 2 2 2 2 5 2" xfId="0"/>
    <cellStyle name="표준 2 2 2 2 2 2 5 2 2" xfId="0"/>
    <cellStyle name="표준 2 2 2 2 2 2 5 3" xfId="0"/>
    <cellStyle name="표준 2 2 2 2 2 2 5 3 2" xfId="0"/>
    <cellStyle name="표준 2 2 2 2 2 2 5 4" xfId="0"/>
    <cellStyle name="표준 2 2 2 2 2 2 5 4 2" xfId="0"/>
    <cellStyle name="표준 2 2 2 2 2 2 5 5" xfId="0"/>
    <cellStyle name="표준 2 2 2 2 2 2 5 5 2" xfId="0"/>
    <cellStyle name="표준 2 2 2 2 2 2 5 6" xfId="0"/>
    <cellStyle name="표준 2 2 2 2 2 2 5 6 2" xfId="0"/>
    <cellStyle name="표준 2 2 2 2 2 2 5 7" xfId="0"/>
    <cellStyle name="표준 2 2 2 2 2 2 5 7 2" xfId="0"/>
    <cellStyle name="표준 2 2 2 2 2 2 5 8" xfId="0"/>
    <cellStyle name="표준 2 2 2 2 2 2 5 8 2" xfId="0"/>
    <cellStyle name="표준 2 2 2 2 2 2 5 9" xfId="0"/>
    <cellStyle name="표준 2 2 2 2 2 2 5 9 2" xfId="0"/>
    <cellStyle name="표준 2 2 2 2 2 2 6" xfId="0"/>
    <cellStyle name="표준 2 2 2 2 2 2 6 10" xfId="0"/>
    <cellStyle name="표준 2 2 2 2 2 2 6 10 2" xfId="0"/>
    <cellStyle name="표준 2 2 2 2 2 2 6 11" xfId="0"/>
    <cellStyle name="표준 2 2 2 2 2 2 6 11 2" xfId="0"/>
    <cellStyle name="표준 2 2 2 2 2 2 6 12" xfId="0"/>
    <cellStyle name="표준 2 2 2 2 2 2 6 12 2" xfId="0"/>
    <cellStyle name="표준 2 2 2 2 2 2 6 13" xfId="0"/>
    <cellStyle name="표준 2 2 2 2 2 2 6 13 2" xfId="0"/>
    <cellStyle name="표준 2 2 2 2 2 2 6 14" xfId="0"/>
    <cellStyle name="표준 2 2 2 2 2 2 6 14 2" xfId="0"/>
    <cellStyle name="표준 2 2 2 2 2 2 6 15" xfId="0"/>
    <cellStyle name="표준 2 2 2 2 2 2 6 15 2" xfId="0"/>
    <cellStyle name="표준 2 2 2 2 2 2 6 2" xfId="0"/>
    <cellStyle name="표준 2 2 2 2 2 2 6 2 10" xfId="0"/>
    <cellStyle name="표준 2 2 2 2 2 2 6 2 11" xfId="0"/>
    <cellStyle name="표준 2 2 2 2 2 2 6 2 12" xfId="0"/>
    <cellStyle name="표준 2 2 2 2 2 2 6 2 13" xfId="0"/>
    <cellStyle name="표준 2 2 2 2 2 2 6 2 14" xfId="0"/>
    <cellStyle name="표준 2 2 2 2 2 2 6 2 15" xfId="0"/>
    <cellStyle name="표준 2 2 2 2 2 2 6 2 2" xfId="0"/>
    <cellStyle name="표준 2 2 2 2 2 2 6 2 2 10" xfId="0"/>
    <cellStyle name="표준 2 2 2 2 2 2 6 2 2 2" xfId="0"/>
    <cellStyle name="표준 2 2 2 2 2 2 6 2 2 3" xfId="0"/>
    <cellStyle name="표준 2 2 2 2 2 2 6 2 2 4" xfId="0"/>
    <cellStyle name="표준 2 2 2 2 2 2 6 2 2 5" xfId="0"/>
    <cellStyle name="표준 2 2 2 2 2 2 6 2 2 6" xfId="0"/>
    <cellStyle name="표준 2 2 2 2 2 2 6 2 2 7" xfId="0"/>
    <cellStyle name="표준 2 2 2 2 2 2 6 2 2 8" xfId="0"/>
    <cellStyle name="표준 2 2 2 2 2 2 6 2 2 9" xfId="0"/>
    <cellStyle name="표준 2 2 2 2 2 2 6 2 3" xfId="0"/>
    <cellStyle name="표준 2 2 2 2 2 2 6 2 3 10" xfId="0"/>
    <cellStyle name="표준 2 2 2 2 2 2 6 2 3 2" xfId="0"/>
    <cellStyle name="표준 2 2 2 2 2 2 6 2 3 3" xfId="0"/>
    <cellStyle name="표준 2 2 2 2 2 2 6 2 3 4" xfId="0"/>
    <cellStyle name="표준 2 2 2 2 2 2 6 2 3 5" xfId="0"/>
    <cellStyle name="표준 2 2 2 2 2 2 6 2 3 6" xfId="0"/>
    <cellStyle name="표준 2 2 2 2 2 2 6 2 3 7" xfId="0"/>
    <cellStyle name="표준 2 2 2 2 2 2 6 2 3 8" xfId="0"/>
    <cellStyle name="표준 2 2 2 2 2 2 6 2 3 9" xfId="0"/>
    <cellStyle name="표준 2 2 2 2 2 2 6 2 4" xfId="0"/>
    <cellStyle name="표준 2 2 2 2 2 2 6 2 4 10" xfId="0"/>
    <cellStyle name="표준 2 2 2 2 2 2 6 2 4 2" xfId="0"/>
    <cellStyle name="표준 2 2 2 2 2 2 6 2 4 3" xfId="0"/>
    <cellStyle name="표준 2 2 2 2 2 2 6 2 4 4" xfId="0"/>
    <cellStyle name="표준 2 2 2 2 2 2 6 2 4 5" xfId="0"/>
    <cellStyle name="표준 2 2 2 2 2 2 6 2 4 6" xfId="0"/>
    <cellStyle name="표준 2 2 2 2 2 2 6 2 4 7" xfId="0"/>
    <cellStyle name="표준 2 2 2 2 2 2 6 2 4 8" xfId="0"/>
    <cellStyle name="표준 2 2 2 2 2 2 6 2 4 9" xfId="0"/>
    <cellStyle name="표준 2 2 2 2 2 2 6 2 5" xfId="0"/>
    <cellStyle name="표준 2 2 2 2 2 2 6 2 5 10" xfId="0"/>
    <cellStyle name="표준 2 2 2 2 2 2 6 2 5 2" xfId="0"/>
    <cellStyle name="표준 2 2 2 2 2 2 6 2 5 3" xfId="0"/>
    <cellStyle name="표준 2 2 2 2 2 2 6 2 5 4" xfId="0"/>
    <cellStyle name="표준 2 2 2 2 2 2 6 2 5 5" xfId="0"/>
    <cellStyle name="표준 2 2 2 2 2 2 6 2 5 6" xfId="0"/>
    <cellStyle name="표준 2 2 2 2 2 2 6 2 5 7" xfId="0"/>
    <cellStyle name="표준 2 2 2 2 2 2 6 2 5 8" xfId="0"/>
    <cellStyle name="표준 2 2 2 2 2 2 6 2 5 9" xfId="0"/>
    <cellStyle name="표준 2 2 2 2 2 2 6 2 6" xfId="0"/>
    <cellStyle name="표준 2 2 2 2 2 2 6 2 6 10" xfId="0"/>
    <cellStyle name="표준 2 2 2 2 2 2 6 2 6 2" xfId="0"/>
    <cellStyle name="표준 2 2 2 2 2 2 6 2 6 3" xfId="0"/>
    <cellStyle name="표준 2 2 2 2 2 2 6 2 6 4" xfId="0"/>
    <cellStyle name="표준 2 2 2 2 2 2 6 2 6 5" xfId="0"/>
    <cellStyle name="표준 2 2 2 2 2 2 6 2 6 6" xfId="0"/>
    <cellStyle name="표준 2 2 2 2 2 2 6 2 6 7" xfId="0"/>
    <cellStyle name="표준 2 2 2 2 2 2 6 2 6 8" xfId="0"/>
    <cellStyle name="표준 2 2 2 2 2 2 6 2 6 9" xfId="0"/>
    <cellStyle name="표준 2 2 2 2 2 2 6 2 7" xfId="0"/>
    <cellStyle name="표준 2 2 2 2 2 2 6 2 8" xfId="0"/>
    <cellStyle name="표준 2 2 2 2 2 2 6 2 9" xfId="0"/>
    <cellStyle name="표준 2 2 2 2 2 2 6 3" xfId="0"/>
    <cellStyle name="표준 2 2 2 2 2 2 6 3 10" xfId="0"/>
    <cellStyle name="표준 2 2 2 2 2 2 6 3 2" xfId="0"/>
    <cellStyle name="표준 2 2 2 2 2 2 6 3 3" xfId="0"/>
    <cellStyle name="표준 2 2 2 2 2 2 6 3 4" xfId="0"/>
    <cellStyle name="표준 2 2 2 2 2 2 6 3 5" xfId="0"/>
    <cellStyle name="표준 2 2 2 2 2 2 6 3 6" xfId="0"/>
    <cellStyle name="표준 2 2 2 2 2 2 6 3 7" xfId="0"/>
    <cellStyle name="표준 2 2 2 2 2 2 6 3 8" xfId="0"/>
    <cellStyle name="표준 2 2 2 2 2 2 6 3 9" xfId="0"/>
    <cellStyle name="표준 2 2 2 2 2 2 6 4" xfId="0"/>
    <cellStyle name="표준 2 2 2 2 2 2 6 4 10" xfId="0"/>
    <cellStyle name="표준 2 2 2 2 2 2 6 4 2" xfId="0"/>
    <cellStyle name="표준 2 2 2 2 2 2 6 4 3" xfId="0"/>
    <cellStyle name="표준 2 2 2 2 2 2 6 4 4" xfId="0"/>
    <cellStyle name="표준 2 2 2 2 2 2 6 4 5" xfId="0"/>
    <cellStyle name="표준 2 2 2 2 2 2 6 4 6" xfId="0"/>
    <cellStyle name="표준 2 2 2 2 2 2 6 4 7" xfId="0"/>
    <cellStyle name="표준 2 2 2 2 2 2 6 4 8" xfId="0"/>
    <cellStyle name="표준 2 2 2 2 2 2 6 4 9" xfId="0"/>
    <cellStyle name="표준 2 2 2 2 2 2 6 5" xfId="0"/>
    <cellStyle name="표준 2 2 2 2 2 2 6 5 10" xfId="0"/>
    <cellStyle name="표준 2 2 2 2 2 2 6 5 2" xfId="0"/>
    <cellStyle name="표준 2 2 2 2 2 2 6 5 3" xfId="0"/>
    <cellStyle name="표준 2 2 2 2 2 2 6 5 4" xfId="0"/>
    <cellStyle name="표준 2 2 2 2 2 2 6 5 5" xfId="0"/>
    <cellStyle name="표준 2 2 2 2 2 2 6 5 6" xfId="0"/>
    <cellStyle name="표준 2 2 2 2 2 2 6 5 7" xfId="0"/>
    <cellStyle name="표준 2 2 2 2 2 2 6 5 8" xfId="0"/>
    <cellStyle name="표준 2 2 2 2 2 2 6 5 9" xfId="0"/>
    <cellStyle name="표준 2 2 2 2 2 2 6 6" xfId="0"/>
    <cellStyle name="표준 2 2 2 2 2 2 6 7" xfId="0"/>
    <cellStyle name="표준 2 2 2 2 2 2 6 7 2" xfId="0"/>
    <cellStyle name="표준 2 2 2 2 2 2 6 8" xfId="0"/>
    <cellStyle name="표준 2 2 2 2 2 2 6 8 2" xfId="0"/>
    <cellStyle name="표준 2 2 2 2 2 2 6 9" xfId="0"/>
    <cellStyle name="표준 2 2 2 2 2 2 6 9 2" xfId="0"/>
    <cellStyle name="표준 2 2 2 2 2 2 7" xfId="0"/>
    <cellStyle name="표준 2 2 2 2 2 2 7 10" xfId="0"/>
    <cellStyle name="표준 2 2 2 2 2 2 7 10 2" xfId="0"/>
    <cellStyle name="표준 2 2 2 2 2 2 7 2" xfId="0"/>
    <cellStyle name="표준 2 2 2 2 2 2 7 2 2" xfId="0"/>
    <cellStyle name="표준 2 2 2 2 2 2 7 3" xfId="0"/>
    <cellStyle name="표준 2 2 2 2 2 2 7 3 2" xfId="0"/>
    <cellStyle name="표준 2 2 2 2 2 2 7 4" xfId="0"/>
    <cellStyle name="표준 2 2 2 2 2 2 7 4 2" xfId="0"/>
    <cellStyle name="표준 2 2 2 2 2 2 7 5" xfId="0"/>
    <cellStyle name="표준 2 2 2 2 2 2 7 5 2" xfId="0"/>
    <cellStyle name="표준 2 2 2 2 2 2 7 6" xfId="0"/>
    <cellStyle name="표준 2 2 2 2 2 2 7 6 2" xfId="0"/>
    <cellStyle name="표준 2 2 2 2 2 2 7 7" xfId="0"/>
    <cellStyle name="표준 2 2 2 2 2 2 7 7 2" xfId="0"/>
    <cellStyle name="표준 2 2 2 2 2 2 7 8" xfId="0"/>
    <cellStyle name="표준 2 2 2 2 2 2 7 8 2" xfId="0"/>
    <cellStyle name="표준 2 2 2 2 2 2 7 9" xfId="0"/>
    <cellStyle name="표준 2 2 2 2 2 2 7 9 2" xfId="0"/>
    <cellStyle name="표준 2 2 2 2 2 2 8" xfId="0"/>
    <cellStyle name="표준 2 2 2 2 2 2 8 10" xfId="0"/>
    <cellStyle name="표준 2 2 2 2 2 2 8 10 2" xfId="0"/>
    <cellStyle name="표준 2 2 2 2 2 2 8 2" xfId="0"/>
    <cellStyle name="표준 2 2 2 2 2 2 8 2 2" xfId="0"/>
    <cellStyle name="표준 2 2 2 2 2 2 8 3" xfId="0"/>
    <cellStyle name="표준 2 2 2 2 2 2 8 3 2" xfId="0"/>
    <cellStyle name="표준 2 2 2 2 2 2 8 4" xfId="0"/>
    <cellStyle name="표준 2 2 2 2 2 2 8 4 2" xfId="0"/>
    <cellStyle name="표준 2 2 2 2 2 2 8 5" xfId="0"/>
    <cellStyle name="표준 2 2 2 2 2 2 8 5 2" xfId="0"/>
    <cellStyle name="표준 2 2 2 2 2 2 8 6" xfId="0"/>
    <cellStyle name="표준 2 2 2 2 2 2 8 6 2" xfId="0"/>
    <cellStyle name="표준 2 2 2 2 2 2 8 7" xfId="0"/>
    <cellStyle name="표준 2 2 2 2 2 2 8 7 2" xfId="0"/>
    <cellStyle name="표준 2 2 2 2 2 2 8 8" xfId="0"/>
    <cellStyle name="표준 2 2 2 2 2 2 8 8 2" xfId="0"/>
    <cellStyle name="표준 2 2 2 2 2 2 8 9" xfId="0"/>
    <cellStyle name="표준 2 2 2 2 2 2 8 9 2" xfId="0"/>
    <cellStyle name="표준 2 2 2 2 2 2 9" xfId="0"/>
    <cellStyle name="표준 2 2 2 2 2 2 9 10" xfId="0"/>
    <cellStyle name="표준 2 2 2 2 2 2 9 10 2" xfId="0"/>
    <cellStyle name="표준 2 2 2 2 2 2 9 2" xfId="0"/>
    <cellStyle name="표준 2 2 2 2 2 2 9 2 2" xfId="0"/>
    <cellStyle name="표준 2 2 2 2 2 2 9 3" xfId="0"/>
    <cellStyle name="표준 2 2 2 2 2 2 9 3 2" xfId="0"/>
    <cellStyle name="표준 2 2 2 2 2 2 9 4" xfId="0"/>
    <cellStyle name="표준 2 2 2 2 2 2 9 4 2" xfId="0"/>
    <cellStyle name="표준 2 2 2 2 2 2 9 5" xfId="0"/>
    <cellStyle name="표준 2 2 2 2 2 2 9 5 2" xfId="0"/>
    <cellStyle name="표준 2 2 2 2 2 2 9 6" xfId="0"/>
    <cellStyle name="표준 2 2 2 2 2 2 9 6 2" xfId="0"/>
    <cellStyle name="표준 2 2 2 2 2 2 9 7" xfId="0"/>
    <cellStyle name="표준 2 2 2 2 2 2 9 7 2" xfId="0"/>
    <cellStyle name="표준 2 2 2 2 2 2 9 8" xfId="0"/>
    <cellStyle name="표준 2 2 2 2 2 2 9 8 2" xfId="0"/>
    <cellStyle name="표준 2 2 2 2 2 2 9 9" xfId="0"/>
    <cellStyle name="표준 2 2 2 2 2 2 9 9 2" xfId="0"/>
    <cellStyle name="표준 2 2 2 2 2 20" xfId="0"/>
    <cellStyle name="표준 2 2 2 2 2 20 2" xfId="0"/>
    <cellStyle name="표준 2 2 2 2 2 20 3" xfId="0"/>
    <cellStyle name="표준 2 2 2 2 2 20 4" xfId="0"/>
    <cellStyle name="표준 2 2 2 2 2 20 5" xfId="0"/>
    <cellStyle name="표준 2 2 2 2 2 20 6" xfId="0"/>
    <cellStyle name="표준 2 2 2 2 2 21" xfId="0"/>
    <cellStyle name="표준 2 2 2 2 2 21 2" xfId="0"/>
    <cellStyle name="표준 2 2 2 2 2 21 3" xfId="0"/>
    <cellStyle name="표준 2 2 2 2 2 21 4" xfId="0"/>
    <cellStyle name="표준 2 2 2 2 2 21 5" xfId="0"/>
    <cellStyle name="표준 2 2 2 2 2 21 6" xfId="0"/>
    <cellStyle name="표준 2 2 2 2 2 22" xfId="0"/>
    <cellStyle name="표준 2 2 2 2 2 22 2" xfId="0"/>
    <cellStyle name="표준 2 2 2 2 2 22 3" xfId="0"/>
    <cellStyle name="표준 2 2 2 2 2 23" xfId="0"/>
    <cellStyle name="표준 2 2 2 2 2 23 2" xfId="0"/>
    <cellStyle name="표준 2 2 2 2 2 24" xfId="0"/>
    <cellStyle name="표준 2 2 2 2 2 24 2" xfId="0"/>
    <cellStyle name="표준 2 2 2 2 2 25" xfId="0"/>
    <cellStyle name="표준 2 2 2 2 2 25 2" xfId="0"/>
    <cellStyle name="표준 2 2 2 2 2 26" xfId="0"/>
    <cellStyle name="표준 2 2 2 2 2 26 2" xfId="0"/>
    <cellStyle name="표준 2 2 2 2 2 27" xfId="0"/>
    <cellStyle name="표준 2 2 2 2 2 27 2" xfId="0"/>
    <cellStyle name="표준 2 2 2 2 2 28" xfId="0"/>
    <cellStyle name="표준 2 2 2 2 2 28 2" xfId="0"/>
    <cellStyle name="표준 2 2 2 2 2 29" xfId="0"/>
    <cellStyle name="표준 2 2 2 2 2 29 2" xfId="0"/>
    <cellStyle name="표준 2 2 2 2 2 3" xfId="0"/>
    <cellStyle name="표준 2 2 2 2 2 3 10" xfId="0"/>
    <cellStyle name="표준 2 2 2 2 2 3 10 2" xfId="0"/>
    <cellStyle name="표준 2 2 2 2 2 3 2" xfId="0"/>
    <cellStyle name="표준 2 2 2 2 2 3 2 2" xfId="0"/>
    <cellStyle name="표준 2 2 2 2 2 3 3" xfId="0"/>
    <cellStyle name="표준 2 2 2 2 2 3 3 2" xfId="0"/>
    <cellStyle name="표준 2 2 2 2 2 3 4" xfId="0"/>
    <cellStyle name="표준 2 2 2 2 2 3 4 2" xfId="0"/>
    <cellStyle name="표준 2 2 2 2 2 3 5" xfId="0"/>
    <cellStyle name="표준 2 2 2 2 2 3 5 2" xfId="0"/>
    <cellStyle name="표준 2 2 2 2 2 3 6" xfId="0"/>
    <cellStyle name="표준 2 2 2 2 2 3 6 2" xfId="0"/>
    <cellStyle name="표준 2 2 2 2 2 3 7" xfId="0"/>
    <cellStyle name="표준 2 2 2 2 2 3 7 2" xfId="0"/>
    <cellStyle name="표준 2 2 2 2 2 3 8" xfId="0"/>
    <cellStyle name="표준 2 2 2 2 2 3 8 2" xfId="0"/>
    <cellStyle name="표준 2 2 2 2 2 3 9" xfId="0"/>
    <cellStyle name="표준 2 2 2 2 2 3 9 2" xfId="0"/>
    <cellStyle name="표준 2 2 2 2 2 30" xfId="0"/>
    <cellStyle name="표준 2 2 2 2 2 31" xfId="0"/>
    <cellStyle name="표준 2 2 2 2 2 32" xfId="0"/>
    <cellStyle name="표준 2 2 2 2 2 33" xfId="0"/>
    <cellStyle name="표준 2 2 2 2 2 4" xfId="0"/>
    <cellStyle name="표준 2 2 2 2 2 4 10" xfId="0"/>
    <cellStyle name="표준 2 2 2 2 2 4 10 2" xfId="0"/>
    <cellStyle name="표준 2 2 2 2 2 4 2" xfId="0"/>
    <cellStyle name="표준 2 2 2 2 2 4 2 2" xfId="0"/>
    <cellStyle name="표준 2 2 2 2 2 4 3" xfId="0"/>
    <cellStyle name="표준 2 2 2 2 2 4 3 2" xfId="0"/>
    <cellStyle name="표준 2 2 2 2 2 4 4" xfId="0"/>
    <cellStyle name="표준 2 2 2 2 2 4 4 2" xfId="0"/>
    <cellStyle name="표준 2 2 2 2 2 4 5" xfId="0"/>
    <cellStyle name="표준 2 2 2 2 2 4 5 2" xfId="0"/>
    <cellStyle name="표준 2 2 2 2 2 4 6" xfId="0"/>
    <cellStyle name="표준 2 2 2 2 2 4 6 2" xfId="0"/>
    <cellStyle name="표준 2 2 2 2 2 4 7" xfId="0"/>
    <cellStyle name="표준 2 2 2 2 2 4 7 2" xfId="0"/>
    <cellStyle name="표준 2 2 2 2 2 4 8" xfId="0"/>
    <cellStyle name="표준 2 2 2 2 2 4 8 2" xfId="0"/>
    <cellStyle name="표준 2 2 2 2 2 4 9" xfId="0"/>
    <cellStyle name="표준 2 2 2 2 2 4 9 2" xfId="0"/>
    <cellStyle name="표준 2 2 2 2 2 5" xfId="0"/>
    <cellStyle name="표준 2 2 2 2 2 5 10" xfId="0"/>
    <cellStyle name="표준 2 2 2 2 2 5 2" xfId="0"/>
    <cellStyle name="표준 2 2 2 2 2 5 3" xfId="0"/>
    <cellStyle name="표준 2 2 2 2 2 5 4" xfId="0"/>
    <cellStyle name="표준 2 2 2 2 2 5 5" xfId="0"/>
    <cellStyle name="표준 2 2 2 2 2 5 6" xfId="0"/>
    <cellStyle name="표준 2 2 2 2 2 5 7" xfId="0"/>
    <cellStyle name="표준 2 2 2 2 2 5 8" xfId="0"/>
    <cellStyle name="표준 2 2 2 2 2 5 9" xfId="0"/>
    <cellStyle name="표준 2 2 2 2 2 6" xfId="0"/>
    <cellStyle name="표준 2 2 2 2 2 6 10" xfId="0"/>
    <cellStyle name="표준 2 2 2 2 2 6 11" xfId="0"/>
    <cellStyle name="표준 2 2 2 2 2 6 12" xfId="0"/>
    <cellStyle name="표준 2 2 2 2 2 6 13" xfId="0"/>
    <cellStyle name="표준 2 2 2 2 2 6 2" xfId="0"/>
    <cellStyle name="표준 2 2 2 2 2 6 3" xfId="0"/>
    <cellStyle name="표준 2 2 2 2 2 6 4" xfId="0"/>
    <cellStyle name="표준 2 2 2 2 2 6 5" xfId="0"/>
    <cellStyle name="표준 2 2 2 2 2 6 6" xfId="0"/>
    <cellStyle name="표준 2 2 2 2 2 6 7" xfId="0"/>
    <cellStyle name="표준 2 2 2 2 2 6 8" xfId="0"/>
    <cellStyle name="표준 2 2 2 2 2 6 9" xfId="0"/>
    <cellStyle name="표준 2 2 2 2 2 7" xfId="0"/>
    <cellStyle name="표준 2 2 2 2 2 7 10" xfId="0"/>
    <cellStyle name="표준 2 2 2 2 2 7 2" xfId="0"/>
    <cellStyle name="표준 2 2 2 2 2 7 3" xfId="0"/>
    <cellStyle name="표준 2 2 2 2 2 7 4" xfId="0"/>
    <cellStyle name="표준 2 2 2 2 2 7 5" xfId="0"/>
    <cellStyle name="표준 2 2 2 2 2 7 6" xfId="0"/>
    <cellStyle name="표준 2 2 2 2 2 7 7" xfId="0"/>
    <cellStyle name="표준 2 2 2 2 2 7 8" xfId="0"/>
    <cellStyle name="표준 2 2 2 2 2 7 9" xfId="0"/>
    <cellStyle name="표준 2 2 2 2 2 8" xfId="0"/>
    <cellStyle name="표준 2 2 2 2 2 8 10" xfId="0"/>
    <cellStyle name="표준 2 2 2 2 2 8 11" xfId="0"/>
    <cellStyle name="표준 2 2 2 2 2 8 12" xfId="0"/>
    <cellStyle name="표준 2 2 2 2 2 8 13" xfId="0"/>
    <cellStyle name="표준 2 2 2 2 2 8 14" xfId="0"/>
    <cellStyle name="표준 2 2 2 2 2 8 15" xfId="0"/>
    <cellStyle name="표준 2 2 2 2 2 8 2" xfId="0"/>
    <cellStyle name="표준 2 2 2 2 2 8 2 10" xfId="0"/>
    <cellStyle name="표준 2 2 2 2 2 8 2 11" xfId="0"/>
    <cellStyle name="표준 2 2 2 2 2 8 2 12" xfId="0"/>
    <cellStyle name="표준 2 2 2 2 2 8 2 13" xfId="0"/>
    <cellStyle name="표준 2 2 2 2 2 8 2 14" xfId="0"/>
    <cellStyle name="표준 2 2 2 2 2 8 2 15" xfId="0"/>
    <cellStyle name="표준 2 2 2 2 2 8 2 2" xfId="0"/>
    <cellStyle name="표준 2 2 2 2 2 8 2 3" xfId="0"/>
    <cellStyle name="표준 2 2 2 2 2 8 2 4" xfId="0"/>
    <cellStyle name="표준 2 2 2 2 2 8 2 5" xfId="0"/>
    <cellStyle name="표준 2 2 2 2 2 8 2 6" xfId="0"/>
    <cellStyle name="표준 2 2 2 2 2 8 2 7" xfId="0"/>
    <cellStyle name="표준 2 2 2 2 2 8 2 8" xfId="0"/>
    <cellStyle name="표준 2 2 2 2 2 8 2 9" xfId="0"/>
    <cellStyle name="표준 2 2 2 2 2 8 3" xfId="0"/>
    <cellStyle name="표준 2 2 2 2 2 8 3 10" xfId="0"/>
    <cellStyle name="표준 2 2 2 2 2 8 3 2" xfId="0"/>
    <cellStyle name="표준 2 2 2 2 2 8 3 3" xfId="0"/>
    <cellStyle name="표준 2 2 2 2 2 8 3 4" xfId="0"/>
    <cellStyle name="표준 2 2 2 2 2 8 3 5" xfId="0"/>
    <cellStyle name="표준 2 2 2 2 2 8 3 6" xfId="0"/>
    <cellStyle name="표준 2 2 2 2 2 8 3 7" xfId="0"/>
    <cellStyle name="표준 2 2 2 2 2 8 3 8" xfId="0"/>
    <cellStyle name="표준 2 2 2 2 2 8 3 9" xfId="0"/>
    <cellStyle name="표준 2 2 2 2 2 8 4" xfId="0"/>
    <cellStyle name="표준 2 2 2 2 2 8 4 10" xfId="0"/>
    <cellStyle name="표준 2 2 2 2 2 8 4 2" xfId="0"/>
    <cellStyle name="표준 2 2 2 2 2 8 4 3" xfId="0"/>
    <cellStyle name="표준 2 2 2 2 2 8 4 4" xfId="0"/>
    <cellStyle name="표준 2 2 2 2 2 8 4 5" xfId="0"/>
    <cellStyle name="표준 2 2 2 2 2 8 4 6" xfId="0"/>
    <cellStyle name="표준 2 2 2 2 2 8 4 7" xfId="0"/>
    <cellStyle name="표준 2 2 2 2 2 8 4 8" xfId="0"/>
    <cellStyle name="표준 2 2 2 2 2 8 4 9" xfId="0"/>
    <cellStyle name="표준 2 2 2 2 2 8 5" xfId="0"/>
    <cellStyle name="표준 2 2 2 2 2 8 5 10" xfId="0"/>
    <cellStyle name="표준 2 2 2 2 2 8 5 2" xfId="0"/>
    <cellStyle name="표준 2 2 2 2 2 8 5 3" xfId="0"/>
    <cellStyle name="표준 2 2 2 2 2 8 5 4" xfId="0"/>
    <cellStyle name="표준 2 2 2 2 2 8 5 5" xfId="0"/>
    <cellStyle name="표준 2 2 2 2 2 8 5 6" xfId="0"/>
    <cellStyle name="표준 2 2 2 2 2 8 5 7" xfId="0"/>
    <cellStyle name="표준 2 2 2 2 2 8 5 8" xfId="0"/>
    <cellStyle name="표준 2 2 2 2 2 8 5 9" xfId="0"/>
    <cellStyle name="표준 2 2 2 2 2 8 6" xfId="0"/>
    <cellStyle name="표준 2 2 2 2 2 8 6 10" xfId="0"/>
    <cellStyle name="표준 2 2 2 2 2 8 6 2" xfId="0"/>
    <cellStyle name="표준 2 2 2 2 2 8 6 3" xfId="0"/>
    <cellStyle name="표준 2 2 2 2 2 8 6 4" xfId="0"/>
    <cellStyle name="표준 2 2 2 2 2 8 6 5" xfId="0"/>
    <cellStyle name="표준 2 2 2 2 2 8 6 6" xfId="0"/>
    <cellStyle name="표준 2 2 2 2 2 8 6 7" xfId="0"/>
    <cellStyle name="표준 2 2 2 2 2 8 6 8" xfId="0"/>
    <cellStyle name="표준 2 2 2 2 2 8 6 9" xfId="0"/>
    <cellStyle name="표준 2 2 2 2 2 8 7" xfId="0"/>
    <cellStyle name="표준 2 2 2 2 2 8 8" xfId="0"/>
    <cellStyle name="표준 2 2 2 2 2 8 9" xfId="0"/>
    <cellStyle name="표준 2 2 2 2 2 9" xfId="0"/>
    <cellStyle name="표준 2 2 2 2 2 9 10" xfId="0"/>
    <cellStyle name="표준 2 2 2 2 2 9 2" xfId="0"/>
    <cellStyle name="표준 2 2 2 2 2 9 3" xfId="0"/>
    <cellStyle name="표준 2 2 2 2 2 9 4" xfId="0"/>
    <cellStyle name="표준 2 2 2 2 2 9 5" xfId="0"/>
    <cellStyle name="표준 2 2 2 2 2 9 6" xfId="0"/>
    <cellStyle name="표준 2 2 2 2 2 9 7" xfId="0"/>
    <cellStyle name="표준 2 2 2 2 2 9 8" xfId="0"/>
    <cellStyle name="표준 2 2 2 2 2 9 9" xfId="0"/>
    <cellStyle name="표준 2 2 2 2 20" xfId="0"/>
    <cellStyle name="표준 2 2 2 2 20 2" xfId="0"/>
    <cellStyle name="표준 2 2 2 2 20 3" xfId="0"/>
    <cellStyle name="표준 2 2 2 2 20 4" xfId="0"/>
    <cellStyle name="표준 2 2 2 2 20 5" xfId="0"/>
    <cellStyle name="표준 2 2 2 2 20 6" xfId="0"/>
    <cellStyle name="표준 2 2 2 2 21" xfId="0"/>
    <cellStyle name="표준 2 2 2 2 21 2" xfId="0"/>
    <cellStyle name="표준 2 2 2 2 21 3" xfId="0"/>
    <cellStyle name="표준 2 2 2 2 21 4" xfId="0"/>
    <cellStyle name="표준 2 2 2 2 21 5" xfId="0"/>
    <cellStyle name="표준 2 2 2 2 21 6" xfId="0"/>
    <cellStyle name="표준 2 2 2 2 22" xfId="0"/>
    <cellStyle name="표준 2 2 2 2 22 2" xfId="0"/>
    <cellStyle name="표준 2 2 2 2 22 3" xfId="0"/>
    <cellStyle name="표준 2 2 2 2 22 4" xfId="0"/>
    <cellStyle name="표준 2 2 2 2 22 5" xfId="0"/>
    <cellStyle name="표준 2 2 2 2 22 6" xfId="0"/>
    <cellStyle name="표준 2 2 2 2 23" xfId="0"/>
    <cellStyle name="표준 2 2 2 2 23 2" xfId="0"/>
    <cellStyle name="표준 2 2 2 2 23 2 2" xfId="0"/>
    <cellStyle name="표준 2 2 2 2 23 2 3" xfId="0"/>
    <cellStyle name="표준 2 2 2 2 23 2 4" xfId="0"/>
    <cellStyle name="표준 2 2 2 2 23 2 5" xfId="0"/>
    <cellStyle name="표준 2 2 2 2 23 3" xfId="0"/>
    <cellStyle name="표준 2 2 2 2 23 4" xfId="0"/>
    <cellStyle name="표준 2 2 2 2 23 5" xfId="0"/>
    <cellStyle name="표준 2 2 2 2 23 6" xfId="0"/>
    <cellStyle name="표준 2 2 2 2 24" xfId="0"/>
    <cellStyle name="표준 2 2 2 2 24 2" xfId="0"/>
    <cellStyle name="표준 2 2 2 2 25" xfId="0"/>
    <cellStyle name="표준 2 2 2 2 3" xfId="0"/>
    <cellStyle name="표준 2 2 2 2 3 10" xfId="0"/>
    <cellStyle name="표준 2 2 2 2 3 10 2" xfId="0"/>
    <cellStyle name="표준 2 2 2 2 3 11" xfId="0"/>
    <cellStyle name="표준 2 2 2 2 3 11 2" xfId="0"/>
    <cellStyle name="표준 2 2 2 2 3 12" xfId="0"/>
    <cellStyle name="표준 2 2 2 2 3 12 2" xfId="0"/>
    <cellStyle name="표준 2 2 2 2 3 13" xfId="0"/>
    <cellStyle name="표준 2 2 2 2 3 13 2" xfId="0"/>
    <cellStyle name="표준 2 2 2 2 3 14" xfId="0"/>
    <cellStyle name="표준 2 2 2 2 3 14 2" xfId="0"/>
    <cellStyle name="표준 2 2 2 2 3 2" xfId="0"/>
    <cellStyle name="표준 2 2 2 2 3 3" xfId="0"/>
    <cellStyle name="표준 2 2 2 2 3 4" xfId="0"/>
    <cellStyle name="표준 2 2 2 2 3 5" xfId="0"/>
    <cellStyle name="표준 2 2 2 2 3 6" xfId="0"/>
    <cellStyle name="표준 2 2 2 2 3 6 2" xfId="0"/>
    <cellStyle name="표준 2 2 2 2 3 7" xfId="0"/>
    <cellStyle name="표준 2 2 2 2 3 7 2" xfId="0"/>
    <cellStyle name="표준 2 2 2 2 3 8" xfId="0"/>
    <cellStyle name="표준 2 2 2 2 3 8 2" xfId="0"/>
    <cellStyle name="표준 2 2 2 2 3 9" xfId="0"/>
    <cellStyle name="표준 2 2 2 2 3 9 2" xfId="0"/>
    <cellStyle name="표준 2 2 2 2 4" xfId="0"/>
    <cellStyle name="표준 2 2 2 2 4 10" xfId="0"/>
    <cellStyle name="표준 2 2 2 2 4 2" xfId="0"/>
    <cellStyle name="표준 2 2 2 2 4 3" xfId="0"/>
    <cellStyle name="표준 2 2 2 2 4 4" xfId="0"/>
    <cellStyle name="표준 2 2 2 2 4 5" xfId="0"/>
    <cellStyle name="표준 2 2 2 2 4 6" xfId="0"/>
    <cellStyle name="표준 2 2 2 2 4 7" xfId="0"/>
    <cellStyle name="표준 2 2 2 2 4 8" xfId="0"/>
    <cellStyle name="표준 2 2 2 2 4 9" xfId="0"/>
    <cellStyle name="표준 2 2 2 2 5" xfId="0"/>
    <cellStyle name="표준 2 2 2 2 5 10" xfId="0"/>
    <cellStyle name="표준 2 2 2 2 5 10 2" xfId="0"/>
    <cellStyle name="표준 2 2 2 2 5 2" xfId="0"/>
    <cellStyle name="표준 2 2 2 2 5 2 2" xfId="0"/>
    <cellStyle name="표준 2 2 2 2 5 3" xfId="0"/>
    <cellStyle name="표준 2 2 2 2 5 3 2" xfId="0"/>
    <cellStyle name="표준 2 2 2 2 5 4" xfId="0"/>
    <cellStyle name="표준 2 2 2 2 5 4 2" xfId="0"/>
    <cellStyle name="표준 2 2 2 2 5 5" xfId="0"/>
    <cellStyle name="표준 2 2 2 2 5 5 2" xfId="0"/>
    <cellStyle name="표준 2 2 2 2 5 6" xfId="0"/>
    <cellStyle name="표준 2 2 2 2 5 6 2" xfId="0"/>
    <cellStyle name="표준 2 2 2 2 5 7" xfId="0"/>
    <cellStyle name="표준 2 2 2 2 5 7 2" xfId="0"/>
    <cellStyle name="표준 2 2 2 2 5 8" xfId="0"/>
    <cellStyle name="표준 2 2 2 2 5 8 2" xfId="0"/>
    <cellStyle name="표준 2 2 2 2 5 9" xfId="0"/>
    <cellStyle name="표준 2 2 2 2 5 9 2" xfId="0"/>
    <cellStyle name="표준 2 2 2 2 6" xfId="0"/>
    <cellStyle name="표준 2 2 2 2 6 10" xfId="0"/>
    <cellStyle name="표준 2 2 2 2 6 10 2" xfId="0"/>
    <cellStyle name="표준 2 2 2 2 6 2" xfId="0"/>
    <cellStyle name="표준 2 2 2 2 6 2 2" xfId="0"/>
    <cellStyle name="표준 2 2 2 2 6 3" xfId="0"/>
    <cellStyle name="표준 2 2 2 2 6 3 2" xfId="0"/>
    <cellStyle name="표준 2 2 2 2 6 4" xfId="0"/>
    <cellStyle name="표준 2 2 2 2 6 4 2" xfId="0"/>
    <cellStyle name="표준 2 2 2 2 6 5" xfId="0"/>
    <cellStyle name="표준 2 2 2 2 6 5 2" xfId="0"/>
    <cellStyle name="표준 2 2 2 2 6 6" xfId="0"/>
    <cellStyle name="표준 2 2 2 2 6 6 2" xfId="0"/>
    <cellStyle name="표준 2 2 2 2 6 7" xfId="0"/>
    <cellStyle name="표준 2 2 2 2 6 7 2" xfId="0"/>
    <cellStyle name="표준 2 2 2 2 6 8" xfId="0"/>
    <cellStyle name="표준 2 2 2 2 6 8 2" xfId="0"/>
    <cellStyle name="표준 2 2 2 2 6 9" xfId="0"/>
    <cellStyle name="표준 2 2 2 2 6 9 2" xfId="0"/>
    <cellStyle name="표준 2 2 2 2 7" xfId="0"/>
    <cellStyle name="표준 2 2 2 2 7 10" xfId="0"/>
    <cellStyle name="표준 2 2 2 2 7 10 2" xfId="0"/>
    <cellStyle name="표준 2 2 2 2 7 11" xfId="0"/>
    <cellStyle name="표준 2 2 2 2 7 12" xfId="0"/>
    <cellStyle name="표준 2 2 2 2 7 13" xfId="0"/>
    <cellStyle name="표준 2 2 2 2 7 2" xfId="0"/>
    <cellStyle name="표준 2 2 2 2 7 2 2" xfId="0"/>
    <cellStyle name="표준 2 2 2 2 7 3" xfId="0"/>
    <cellStyle name="표준 2 2 2 2 7 3 2" xfId="0"/>
    <cellStyle name="표준 2 2 2 2 7 4" xfId="0"/>
    <cellStyle name="표준 2 2 2 2 7 4 2" xfId="0"/>
    <cellStyle name="표준 2 2 2 2 7 5" xfId="0"/>
    <cellStyle name="표준 2 2 2 2 7 5 2" xfId="0"/>
    <cellStyle name="표준 2 2 2 2 7 6" xfId="0"/>
    <cellStyle name="표준 2 2 2 2 7 6 2" xfId="0"/>
    <cellStyle name="표준 2 2 2 2 7 7" xfId="0"/>
    <cellStyle name="표준 2 2 2 2 7 7 2" xfId="0"/>
    <cellStyle name="표준 2 2 2 2 7 8" xfId="0"/>
    <cellStyle name="표준 2 2 2 2 7 8 2" xfId="0"/>
    <cellStyle name="표준 2 2 2 2 7 9" xfId="0"/>
    <cellStyle name="표준 2 2 2 2 7 9 2" xfId="0"/>
    <cellStyle name="표준 2 2 2 2 8" xfId="0"/>
    <cellStyle name="표준 2 2 2 2 8 10" xfId="0"/>
    <cellStyle name="표준 2 2 2 2 8 10 2" xfId="0"/>
    <cellStyle name="표준 2 2 2 2 8 11" xfId="0"/>
    <cellStyle name="표준 2 2 2 2 8 11 2" xfId="0"/>
    <cellStyle name="표준 2 2 2 2 8 12" xfId="0"/>
    <cellStyle name="표준 2 2 2 2 8 12 2" xfId="0"/>
    <cellStyle name="표준 2 2 2 2 8 13" xfId="0"/>
    <cellStyle name="표준 2 2 2 2 8 13 2" xfId="0"/>
    <cellStyle name="표준 2 2 2 2 8 14" xfId="0"/>
    <cellStyle name="표준 2 2 2 2 8 14 2" xfId="0"/>
    <cellStyle name="표준 2 2 2 2 8 15" xfId="0"/>
    <cellStyle name="표준 2 2 2 2 8 15 2" xfId="0"/>
    <cellStyle name="표준 2 2 2 2 8 2" xfId="0"/>
    <cellStyle name="표준 2 2 2 2 8 2 2" xfId="0"/>
    <cellStyle name="표준 2 2 2 2 8 2 2 10" xfId="0"/>
    <cellStyle name="표준 2 2 2 2 8 2 2 2" xfId="0"/>
    <cellStyle name="표준 2 2 2 2 8 2 2 3" xfId="0"/>
    <cellStyle name="표준 2 2 2 2 8 2 2 4" xfId="0"/>
    <cellStyle name="표준 2 2 2 2 8 2 2 5" xfId="0"/>
    <cellStyle name="표준 2 2 2 2 8 2 2 6" xfId="0"/>
    <cellStyle name="표준 2 2 2 2 8 2 2 7" xfId="0"/>
    <cellStyle name="표준 2 2 2 2 8 2 2 8" xfId="0"/>
    <cellStyle name="표준 2 2 2 2 8 2 2 9" xfId="0"/>
    <cellStyle name="표준 2 2 2 2 8 2 3" xfId="0"/>
    <cellStyle name="표준 2 2 2 2 8 2 3 10" xfId="0"/>
    <cellStyle name="표준 2 2 2 2 8 2 3 2" xfId="0"/>
    <cellStyle name="표준 2 2 2 2 8 2 3 3" xfId="0"/>
    <cellStyle name="표준 2 2 2 2 8 2 3 4" xfId="0"/>
    <cellStyle name="표준 2 2 2 2 8 2 3 5" xfId="0"/>
    <cellStyle name="표준 2 2 2 2 8 2 3 6" xfId="0"/>
    <cellStyle name="표준 2 2 2 2 8 2 3 7" xfId="0"/>
    <cellStyle name="표준 2 2 2 2 8 2 3 8" xfId="0"/>
    <cellStyle name="표준 2 2 2 2 8 2 3 9" xfId="0"/>
    <cellStyle name="표준 2 2 2 2 8 2 4" xfId="0"/>
    <cellStyle name="표준 2 2 2 2 8 2 4 10" xfId="0"/>
    <cellStyle name="표준 2 2 2 2 8 2 4 2" xfId="0"/>
    <cellStyle name="표준 2 2 2 2 8 2 4 3" xfId="0"/>
    <cellStyle name="표준 2 2 2 2 8 2 4 4" xfId="0"/>
    <cellStyle name="표준 2 2 2 2 8 2 4 5" xfId="0"/>
    <cellStyle name="표준 2 2 2 2 8 2 4 6" xfId="0"/>
    <cellStyle name="표준 2 2 2 2 8 2 4 7" xfId="0"/>
    <cellStyle name="표준 2 2 2 2 8 2 4 8" xfId="0"/>
    <cellStyle name="표준 2 2 2 2 8 2 4 9" xfId="0"/>
    <cellStyle name="표준 2 2 2 2 8 2 5" xfId="0"/>
    <cellStyle name="표준 2 2 2 2 8 2 5 10" xfId="0"/>
    <cellStyle name="표준 2 2 2 2 8 2 5 2" xfId="0"/>
    <cellStyle name="표준 2 2 2 2 8 2 5 3" xfId="0"/>
    <cellStyle name="표준 2 2 2 2 8 2 5 4" xfId="0"/>
    <cellStyle name="표준 2 2 2 2 8 2 5 5" xfId="0"/>
    <cellStyle name="표준 2 2 2 2 8 2 5 6" xfId="0"/>
    <cellStyle name="표준 2 2 2 2 8 2 5 7" xfId="0"/>
    <cellStyle name="표준 2 2 2 2 8 2 5 8" xfId="0"/>
    <cellStyle name="표준 2 2 2 2 8 2 5 9" xfId="0"/>
    <cellStyle name="표준 2 2 2 2 8 2 6" xfId="0"/>
    <cellStyle name="표준 2 2 2 2 8 2 6 10" xfId="0"/>
    <cellStyle name="표준 2 2 2 2 8 2 6 2" xfId="0"/>
    <cellStyle name="표준 2 2 2 2 8 2 6 3" xfId="0"/>
    <cellStyle name="표준 2 2 2 2 8 2 6 4" xfId="0"/>
    <cellStyle name="표준 2 2 2 2 8 2 6 5" xfId="0"/>
    <cellStyle name="표준 2 2 2 2 8 2 6 6" xfId="0"/>
    <cellStyle name="표준 2 2 2 2 8 2 6 7" xfId="0"/>
    <cellStyle name="표준 2 2 2 2 8 2 6 8" xfId="0"/>
    <cellStyle name="표준 2 2 2 2 8 2 6 9" xfId="0"/>
    <cellStyle name="표준 2 2 2 2 8 3" xfId="0"/>
    <cellStyle name="표준 2 2 2 2 8 4" xfId="0"/>
    <cellStyle name="표준 2 2 2 2 8 5" xfId="0"/>
    <cellStyle name="표준 2 2 2 2 8 6" xfId="0"/>
    <cellStyle name="표준 2 2 2 2 8 7" xfId="0"/>
    <cellStyle name="표준 2 2 2 2 8 7 2" xfId="0"/>
    <cellStyle name="표준 2 2 2 2 8 8" xfId="0"/>
    <cellStyle name="표준 2 2 2 2 8 8 2" xfId="0"/>
    <cellStyle name="표준 2 2 2 2 8 9" xfId="0"/>
    <cellStyle name="표준 2 2 2 2 8 9 2" xfId="0"/>
    <cellStyle name="표준 2 2 2 2 9" xfId="0"/>
    <cellStyle name="표준 2 2 2 2 9 10" xfId="0"/>
    <cellStyle name="표준 2 2 2 2 9 10 2" xfId="0"/>
    <cellStyle name="표준 2 2 2 2 9 2" xfId="0"/>
    <cellStyle name="표준 2 2 2 2 9 2 2" xfId="0"/>
    <cellStyle name="표준 2 2 2 2 9 3" xfId="0"/>
    <cellStyle name="표준 2 2 2 2 9 3 2" xfId="0"/>
    <cellStyle name="표준 2 2 2 2 9 4" xfId="0"/>
    <cellStyle name="표준 2 2 2 2 9 4 2" xfId="0"/>
    <cellStyle name="표준 2 2 2 2 9 5" xfId="0"/>
    <cellStyle name="표준 2 2 2 2 9 5 2" xfId="0"/>
    <cellStyle name="표준 2 2 2 2 9 6" xfId="0"/>
    <cellStyle name="표준 2 2 2 2 9 6 2" xfId="0"/>
    <cellStyle name="표준 2 2 2 2 9 7" xfId="0"/>
    <cellStyle name="표준 2 2 2 2 9 7 2" xfId="0"/>
    <cellStyle name="표준 2 2 2 2 9 8" xfId="0"/>
    <cellStyle name="표준 2 2 2 2 9 8 2" xfId="0"/>
    <cellStyle name="표준 2 2 2 2 9 9" xfId="0"/>
    <cellStyle name="표준 2 2 2 2 9 9 2" xfId="0"/>
    <cellStyle name="표준 2 2 2 20" xfId="0"/>
    <cellStyle name="표준 2 2 2 20 10" xfId="0"/>
    <cellStyle name="표준 2 2 2 20 2" xfId="0"/>
    <cellStyle name="표준 2 2 2 20 3" xfId="0"/>
    <cellStyle name="표준 2 2 2 20 4" xfId="0"/>
    <cellStyle name="표준 2 2 2 20 5" xfId="0"/>
    <cellStyle name="표준 2 2 2 20 6" xfId="0"/>
    <cellStyle name="표준 2 2 2 20 7" xfId="0"/>
    <cellStyle name="표준 2 2 2 20 8" xfId="0"/>
    <cellStyle name="표준 2 2 2 20 9" xfId="0"/>
    <cellStyle name="표준 2 2 2 21" xfId="0"/>
    <cellStyle name="표준 2 2 2 21 2" xfId="0"/>
    <cellStyle name="표준 2 2 2 21 3" xfId="0"/>
    <cellStyle name="표준 2 2 2 21 4" xfId="0"/>
    <cellStyle name="표준 2 2 2 21 5" xfId="0"/>
    <cellStyle name="표준 2 2 2 21 6" xfId="0"/>
    <cellStyle name="표준 2 2 2 22" xfId="0"/>
    <cellStyle name="표준 2 2 2 22 2" xfId="0"/>
    <cellStyle name="표준 2 2 2 22 3" xfId="0"/>
    <cellStyle name="표준 2 2 2 22 4" xfId="0"/>
    <cellStyle name="표준 2 2 2 22 5" xfId="0"/>
    <cellStyle name="표준 2 2 2 22 6" xfId="0"/>
    <cellStyle name="표준 2 2 2 23" xfId="0"/>
    <cellStyle name="표준 2 2 2 23 2" xfId="0"/>
    <cellStyle name="표준 2 2 2 23 2 2" xfId="0"/>
    <cellStyle name="표준 2 2 2 23 2 3" xfId="0"/>
    <cellStyle name="표준 2 2 2 23 2 4" xfId="0"/>
    <cellStyle name="표준 2 2 2 23 2 5" xfId="0"/>
    <cellStyle name="표준 2 2 2 23 2 6" xfId="0"/>
    <cellStyle name="표준 2 2 2 23 3" xfId="0"/>
    <cellStyle name="표준 2 2 2 23 3 2" xfId="0"/>
    <cellStyle name="표준 2 2 2 23 4" xfId="0"/>
    <cellStyle name="표준 2 2 2 23 4 2" xfId="0"/>
    <cellStyle name="표준 2 2 2 23 5" xfId="0"/>
    <cellStyle name="표준 2 2 2 23 5 2" xfId="0"/>
    <cellStyle name="표준 2 2 2 23 6" xfId="0"/>
    <cellStyle name="표준 2 2 2 23 7" xfId="0"/>
    <cellStyle name="표준 2 2 2 24" xfId="0"/>
    <cellStyle name="표준 2 2 2 24 2" xfId="0"/>
    <cellStyle name="표준 2 2 2 24 2 2" xfId="0"/>
    <cellStyle name="표준 2 2 2 24 3" xfId="0"/>
    <cellStyle name="표준 2 2 2 24 3 2" xfId="0"/>
    <cellStyle name="표준 2 2 2 24 4" xfId="0"/>
    <cellStyle name="표준 2 2 2 24 4 2" xfId="0"/>
    <cellStyle name="표준 2 2 2 24 5" xfId="0"/>
    <cellStyle name="표준 2 2 2 24 5 2" xfId="0"/>
    <cellStyle name="표준 2 2 2 24 6" xfId="0"/>
    <cellStyle name="표준 2 2 2 25" xfId="0"/>
    <cellStyle name="표준 2 2 2 25 2" xfId="0"/>
    <cellStyle name="표준 2 2 2 25 2 2" xfId="0"/>
    <cellStyle name="표준 2 2 2 25 3" xfId="0"/>
    <cellStyle name="표준 2 2 2 25 4" xfId="0"/>
    <cellStyle name="표준 2 2 2 25 5" xfId="0"/>
    <cellStyle name="표준 2 2 2 25 6" xfId="0"/>
    <cellStyle name="표준 2 2 2 26" xfId="0"/>
    <cellStyle name="표준 2 2 2 26 2" xfId="0"/>
    <cellStyle name="표준 2 2 2 26 3" xfId="0"/>
    <cellStyle name="표준 2 2 2 26 4" xfId="0"/>
    <cellStyle name="표준 2 2 2 26 5" xfId="0"/>
    <cellStyle name="표준 2 2 2 26 6" xfId="0"/>
    <cellStyle name="표준 2 2 2 27" xfId="0"/>
    <cellStyle name="표준 2 2 2 27 2" xfId="0"/>
    <cellStyle name="표준 2 2 2 27 3" xfId="0"/>
    <cellStyle name="표준 2 2 2 27 4" xfId="0"/>
    <cellStyle name="표준 2 2 2 27 5" xfId="0"/>
    <cellStyle name="표준 2 2 2 27 6" xfId="0"/>
    <cellStyle name="표준 2 2 2 28" xfId="0"/>
    <cellStyle name="표준 2 2 2 28 2" xfId="0"/>
    <cellStyle name="표준 2 2 2 28 3" xfId="0"/>
    <cellStyle name="표준 2 2 2 28 4" xfId="0"/>
    <cellStyle name="표준 2 2 2 28 5" xfId="0"/>
    <cellStyle name="표준 2 2 2 28 6" xfId="0"/>
    <cellStyle name="표준 2 2 2 29" xfId="0"/>
    <cellStyle name="표준 2 2 2 29 2" xfId="0"/>
    <cellStyle name="표준 2 2 2 29 2 2" xfId="0"/>
    <cellStyle name="표준 2 2 2 29 2 3" xfId="0"/>
    <cellStyle name="표준 2 2 2 29 2 4" xfId="0"/>
    <cellStyle name="표준 2 2 2 29 2 5" xfId="0"/>
    <cellStyle name="표준 2 2 2 29 3" xfId="0"/>
    <cellStyle name="표준 2 2 2 29 4" xfId="0"/>
    <cellStyle name="표준 2 2 2 29 5" xfId="0"/>
    <cellStyle name="표준 2 2 2 29 6" xfId="0"/>
    <cellStyle name="표준 2 2 2 3" xfId="0"/>
    <cellStyle name="표준 2 2 2 3 10" xfId="0"/>
    <cellStyle name="표준 2 2 2 3 10 2" xfId="0"/>
    <cellStyle name="표준 2 2 2 3 11" xfId="0"/>
    <cellStyle name="표준 2 2 2 3 11 2" xfId="0"/>
    <cellStyle name="표준 2 2 2 3 12" xfId="0"/>
    <cellStyle name="표준 2 2 2 3 12 2" xfId="0"/>
    <cellStyle name="표준 2 2 2 3 13" xfId="0"/>
    <cellStyle name="표준 2 2 2 3 13 2" xfId="0"/>
    <cellStyle name="표준 2 2 2 3 14" xfId="0"/>
    <cellStyle name="표준 2 2 2 3 14 2" xfId="0"/>
    <cellStyle name="표준 2 2 2 3 2" xfId="0"/>
    <cellStyle name="표준 2 2 2 3 2 2" xfId="0"/>
    <cellStyle name="표준 2 2 2 3 2 2 10" xfId="0"/>
    <cellStyle name="표준 2 2 2 3 2 2 2" xfId="0"/>
    <cellStyle name="표준 2 2 2 3 2 2 3" xfId="0"/>
    <cellStyle name="표준 2 2 2 3 2 2 4" xfId="0"/>
    <cellStyle name="표준 2 2 2 3 2 2 5" xfId="0"/>
    <cellStyle name="표준 2 2 2 3 2 2 6" xfId="0"/>
    <cellStyle name="표준 2 2 2 3 2 2 7" xfId="0"/>
    <cellStyle name="표준 2 2 2 3 2 2 8" xfId="0"/>
    <cellStyle name="표준 2 2 2 3 2 2 9" xfId="0"/>
    <cellStyle name="표준 2 2 2 3 3" xfId="0"/>
    <cellStyle name="표준 2 2 2 3 3 10" xfId="0"/>
    <cellStyle name="표준 2 2 2 3 3 2" xfId="0"/>
    <cellStyle name="표준 2 2 2 3 3 3" xfId="0"/>
    <cellStyle name="표준 2 2 2 3 3 4" xfId="0"/>
    <cellStyle name="표준 2 2 2 3 3 5" xfId="0"/>
    <cellStyle name="표준 2 2 2 3 3 6" xfId="0"/>
    <cellStyle name="표준 2 2 2 3 3 7" xfId="0"/>
    <cellStyle name="표준 2 2 2 3 3 8" xfId="0"/>
    <cellStyle name="표준 2 2 2 3 3 9" xfId="0"/>
    <cellStyle name="표준 2 2 2 3 4" xfId="0"/>
    <cellStyle name="표준 2 2 2 3 4 10" xfId="0"/>
    <cellStyle name="표준 2 2 2 3 4 2" xfId="0"/>
    <cellStyle name="표준 2 2 2 3 4 3" xfId="0"/>
    <cellStyle name="표준 2 2 2 3 4 4" xfId="0"/>
    <cellStyle name="표준 2 2 2 3 4 5" xfId="0"/>
    <cellStyle name="표준 2 2 2 3 4 6" xfId="0"/>
    <cellStyle name="표준 2 2 2 3 4 7" xfId="0"/>
    <cellStyle name="표준 2 2 2 3 4 8" xfId="0"/>
    <cellStyle name="표준 2 2 2 3 4 9" xfId="0"/>
    <cellStyle name="표준 2 2 2 3 5" xfId="0"/>
    <cellStyle name="표준 2 2 2 3 5 10" xfId="0"/>
    <cellStyle name="표준 2 2 2 3 5 2" xfId="0"/>
    <cellStyle name="표준 2 2 2 3 5 3" xfId="0"/>
    <cellStyle name="표준 2 2 2 3 5 4" xfId="0"/>
    <cellStyle name="표준 2 2 2 3 5 5" xfId="0"/>
    <cellStyle name="표준 2 2 2 3 5 6" xfId="0"/>
    <cellStyle name="표준 2 2 2 3 5 7" xfId="0"/>
    <cellStyle name="표준 2 2 2 3 5 8" xfId="0"/>
    <cellStyle name="표준 2 2 2 3 5 9" xfId="0"/>
    <cellStyle name="표준 2 2 2 3 6" xfId="0"/>
    <cellStyle name="표준 2 2 2 3 6 2" xfId="0"/>
    <cellStyle name="표준 2 2 2 3 7" xfId="0"/>
    <cellStyle name="표준 2 2 2 3 7 2" xfId="0"/>
    <cellStyle name="표준 2 2 2 3 8" xfId="0"/>
    <cellStyle name="표준 2 2 2 3 8 2" xfId="0"/>
    <cellStyle name="표준 2 2 2 3 9" xfId="0"/>
    <cellStyle name="표준 2 2 2 3 9 2" xfId="0"/>
    <cellStyle name="표준 2 2 2 30" xfId="0"/>
    <cellStyle name="표준 2 2 2 30 2" xfId="0"/>
    <cellStyle name="표준 2 2 2 31" xfId="0"/>
    <cellStyle name="표준 2 2 2 31 2" xfId="0"/>
    <cellStyle name="표준 2 2 2 32" xfId="0"/>
    <cellStyle name="표준 2 2 2 33" xfId="0"/>
    <cellStyle name="표준 2 2 2 34" xfId="0"/>
    <cellStyle name="표준 2 2 2 35" xfId="0"/>
    <cellStyle name="표준 2 2 2 36" xfId="0"/>
    <cellStyle name="표준 2 2 2 4" xfId="0"/>
    <cellStyle name="표준 2 2 2 4 10" xfId="0"/>
    <cellStyle name="표준 2 2 2 4 11" xfId="0"/>
    <cellStyle name="표준 2 2 2 4 12" xfId="0"/>
    <cellStyle name="표준 2 2 2 4 13" xfId="0"/>
    <cellStyle name="표준 2 2 2 4 14" xfId="0"/>
    <cellStyle name="표준 2 2 2 4 15" xfId="0"/>
    <cellStyle name="표준 2 2 2 4 16" xfId="0"/>
    <cellStyle name="표준 2 2 2 4 17" xfId="0"/>
    <cellStyle name="표준 2 2 2 4 2" xfId="0"/>
    <cellStyle name="표준 2 2 2 4 2 10" xfId="0"/>
    <cellStyle name="표준 2 2 2 4 2 10 2" xfId="0"/>
    <cellStyle name="표준 2 2 2 4 2 11" xfId="0"/>
    <cellStyle name="표준 2 2 2 4 2 11 2" xfId="0"/>
    <cellStyle name="표준 2 2 2 4 2 12" xfId="0"/>
    <cellStyle name="표준 2 2 2 4 2 12 2" xfId="0"/>
    <cellStyle name="표준 2 2 2 4 2 13" xfId="0"/>
    <cellStyle name="표준 2 2 2 4 2 13 2" xfId="0"/>
    <cellStyle name="표준 2 2 2 4 2 14" xfId="0"/>
    <cellStyle name="표준 2 2 2 4 2 14 2" xfId="0"/>
    <cellStyle name="표준 2 2 2 4 2 2" xfId="0"/>
    <cellStyle name="표준 2 2 2 4 2 2 2" xfId="0"/>
    <cellStyle name="표준 2 2 2 4 2 2 2 10" xfId="0"/>
    <cellStyle name="표준 2 2 2 4 2 2 2 2" xfId="0"/>
    <cellStyle name="표준 2 2 2 4 2 2 2 3" xfId="0"/>
    <cellStyle name="표준 2 2 2 4 2 2 2 4" xfId="0"/>
    <cellStyle name="표준 2 2 2 4 2 2 2 5" xfId="0"/>
    <cellStyle name="표준 2 2 2 4 2 2 2 6" xfId="0"/>
    <cellStyle name="표준 2 2 2 4 2 2 2 7" xfId="0"/>
    <cellStyle name="표준 2 2 2 4 2 2 2 8" xfId="0"/>
    <cellStyle name="표준 2 2 2 4 2 2 2 9" xfId="0"/>
    <cellStyle name="표준 2 2 2 4 2 3" xfId="0"/>
    <cellStyle name="표준 2 2 2 4 2 3 10" xfId="0"/>
    <cellStyle name="표준 2 2 2 4 2 3 2" xfId="0"/>
    <cellStyle name="표준 2 2 2 4 2 3 3" xfId="0"/>
    <cellStyle name="표준 2 2 2 4 2 3 4" xfId="0"/>
    <cellStyle name="표준 2 2 2 4 2 3 5" xfId="0"/>
    <cellStyle name="표준 2 2 2 4 2 3 6" xfId="0"/>
    <cellStyle name="표준 2 2 2 4 2 3 7" xfId="0"/>
    <cellStyle name="표준 2 2 2 4 2 3 8" xfId="0"/>
    <cellStyle name="표준 2 2 2 4 2 3 9" xfId="0"/>
    <cellStyle name="표준 2 2 2 4 2 4" xfId="0"/>
    <cellStyle name="표준 2 2 2 4 2 4 10" xfId="0"/>
    <cellStyle name="표준 2 2 2 4 2 4 2" xfId="0"/>
    <cellStyle name="표준 2 2 2 4 2 4 3" xfId="0"/>
    <cellStyle name="표준 2 2 2 4 2 4 4" xfId="0"/>
    <cellStyle name="표준 2 2 2 4 2 4 5" xfId="0"/>
    <cellStyle name="표준 2 2 2 4 2 4 6" xfId="0"/>
    <cellStyle name="표준 2 2 2 4 2 4 7" xfId="0"/>
    <cellStyle name="표준 2 2 2 4 2 4 8" xfId="0"/>
    <cellStyle name="표준 2 2 2 4 2 4 9" xfId="0"/>
    <cellStyle name="표준 2 2 2 4 2 5" xfId="0"/>
    <cellStyle name="표준 2 2 2 4 2 5 10" xfId="0"/>
    <cellStyle name="표준 2 2 2 4 2 5 2" xfId="0"/>
    <cellStyle name="표준 2 2 2 4 2 5 3" xfId="0"/>
    <cellStyle name="표준 2 2 2 4 2 5 4" xfId="0"/>
    <cellStyle name="표준 2 2 2 4 2 5 5" xfId="0"/>
    <cellStyle name="표준 2 2 2 4 2 5 6" xfId="0"/>
    <cellStyle name="표준 2 2 2 4 2 5 7" xfId="0"/>
    <cellStyle name="표준 2 2 2 4 2 5 8" xfId="0"/>
    <cellStyle name="표준 2 2 2 4 2 5 9" xfId="0"/>
    <cellStyle name="표준 2 2 2 4 2 6" xfId="0"/>
    <cellStyle name="표준 2 2 2 4 2 6 2" xfId="0"/>
    <cellStyle name="표준 2 2 2 4 2 7" xfId="0"/>
    <cellStyle name="표준 2 2 2 4 2 7 2" xfId="0"/>
    <cellStyle name="표준 2 2 2 4 2 8" xfId="0"/>
    <cellStyle name="표준 2 2 2 4 2 8 2" xfId="0"/>
    <cellStyle name="표준 2 2 2 4 2 9" xfId="0"/>
    <cellStyle name="표준 2 2 2 4 2 9 2" xfId="0"/>
    <cellStyle name="표준 2 2 2 4 3" xfId="0"/>
    <cellStyle name="표준 2 2 2 4 3 10" xfId="0"/>
    <cellStyle name="표준 2 2 2 4 3 10 2" xfId="0"/>
    <cellStyle name="표준 2 2 2 4 3 2" xfId="0"/>
    <cellStyle name="표준 2 2 2 4 3 2 2" xfId="0"/>
    <cellStyle name="표준 2 2 2 4 3 3" xfId="0"/>
    <cellStyle name="표준 2 2 2 4 3 3 2" xfId="0"/>
    <cellStyle name="표준 2 2 2 4 3 4" xfId="0"/>
    <cellStyle name="표준 2 2 2 4 3 4 2" xfId="0"/>
    <cellStyle name="표준 2 2 2 4 3 5" xfId="0"/>
    <cellStyle name="표준 2 2 2 4 3 5 2" xfId="0"/>
    <cellStyle name="표준 2 2 2 4 3 6" xfId="0"/>
    <cellStyle name="표준 2 2 2 4 3 6 2" xfId="0"/>
    <cellStyle name="표준 2 2 2 4 3 7" xfId="0"/>
    <cellStyle name="표준 2 2 2 4 3 7 2" xfId="0"/>
    <cellStyle name="표준 2 2 2 4 3 8" xfId="0"/>
    <cellStyle name="표준 2 2 2 4 3 8 2" xfId="0"/>
    <cellStyle name="표준 2 2 2 4 3 9" xfId="0"/>
    <cellStyle name="표준 2 2 2 4 3 9 2" xfId="0"/>
    <cellStyle name="표준 2 2 2 4 4" xfId="0"/>
    <cellStyle name="표준 2 2 2 4 4 10" xfId="0"/>
    <cellStyle name="표준 2 2 2 4 4 10 2" xfId="0"/>
    <cellStyle name="표준 2 2 2 4 4 2" xfId="0"/>
    <cellStyle name="표준 2 2 2 4 4 2 2" xfId="0"/>
    <cellStyle name="표준 2 2 2 4 4 3" xfId="0"/>
    <cellStyle name="표준 2 2 2 4 4 3 2" xfId="0"/>
    <cellStyle name="표준 2 2 2 4 4 4" xfId="0"/>
    <cellStyle name="표준 2 2 2 4 4 4 2" xfId="0"/>
    <cellStyle name="표준 2 2 2 4 4 5" xfId="0"/>
    <cellStyle name="표준 2 2 2 4 4 5 2" xfId="0"/>
    <cellStyle name="표준 2 2 2 4 4 6" xfId="0"/>
    <cellStyle name="표준 2 2 2 4 4 6 2" xfId="0"/>
    <cellStyle name="표준 2 2 2 4 4 7" xfId="0"/>
    <cellStyle name="표준 2 2 2 4 4 7 2" xfId="0"/>
    <cellStyle name="표준 2 2 2 4 4 8" xfId="0"/>
    <cellStyle name="표준 2 2 2 4 4 8 2" xfId="0"/>
    <cellStyle name="표준 2 2 2 4 4 9" xfId="0"/>
    <cellStyle name="표준 2 2 2 4 4 9 2" xfId="0"/>
    <cellStyle name="표준 2 2 2 4 5" xfId="0"/>
    <cellStyle name="표준 2 2 2 4 5 10" xfId="0"/>
    <cellStyle name="표준 2 2 2 4 5 10 2" xfId="0"/>
    <cellStyle name="표준 2 2 2 4 5 2" xfId="0"/>
    <cellStyle name="표준 2 2 2 4 5 2 2" xfId="0"/>
    <cellStyle name="표준 2 2 2 4 5 3" xfId="0"/>
    <cellStyle name="표준 2 2 2 4 5 3 2" xfId="0"/>
    <cellStyle name="표준 2 2 2 4 5 4" xfId="0"/>
    <cellStyle name="표준 2 2 2 4 5 4 2" xfId="0"/>
    <cellStyle name="표준 2 2 2 4 5 5" xfId="0"/>
    <cellStyle name="표준 2 2 2 4 5 5 2" xfId="0"/>
    <cellStyle name="표준 2 2 2 4 5 6" xfId="0"/>
    <cellStyle name="표준 2 2 2 4 5 6 2" xfId="0"/>
    <cellStyle name="표준 2 2 2 4 5 7" xfId="0"/>
    <cellStyle name="표준 2 2 2 4 5 7 2" xfId="0"/>
    <cellStyle name="표준 2 2 2 4 5 8" xfId="0"/>
    <cellStyle name="표준 2 2 2 4 5 8 2" xfId="0"/>
    <cellStyle name="표준 2 2 2 4 5 9" xfId="0"/>
    <cellStyle name="표준 2 2 2 4 5 9 2" xfId="0"/>
    <cellStyle name="표준 2 2 2 4 6" xfId="0"/>
    <cellStyle name="표준 2 2 2 4 6 2" xfId="0"/>
    <cellStyle name="표준 2 2 2 4 7" xfId="0"/>
    <cellStyle name="표준 2 2 2 4 8" xfId="0"/>
    <cellStyle name="표준 2 2 2 4 9" xfId="0"/>
    <cellStyle name="표준 2 2 2 5" xfId="0"/>
    <cellStyle name="표준 2 2 2 5 10" xfId="0"/>
    <cellStyle name="표준 2 2 2 5 10 2" xfId="0"/>
    <cellStyle name="표준 2 2 2 5 11" xfId="0"/>
    <cellStyle name="표준 2 2 2 5 11 2" xfId="0"/>
    <cellStyle name="표준 2 2 2 5 12" xfId="0"/>
    <cellStyle name="표준 2 2 2 5 12 2" xfId="0"/>
    <cellStyle name="표준 2 2 2 5 13" xfId="0"/>
    <cellStyle name="표준 2 2 2 5 13 2" xfId="0"/>
    <cellStyle name="표준 2 2 2 5 14" xfId="0"/>
    <cellStyle name="표준 2 2 2 5 14 2" xfId="0"/>
    <cellStyle name="표준 2 2 2 5 2" xfId="0"/>
    <cellStyle name="표준 2 2 2 5 2 2" xfId="0"/>
    <cellStyle name="표준 2 2 2 5 2 2 10" xfId="0"/>
    <cellStyle name="표준 2 2 2 5 2 2 2" xfId="0"/>
    <cellStyle name="표준 2 2 2 5 2 2 3" xfId="0"/>
    <cellStyle name="표준 2 2 2 5 2 2 4" xfId="0"/>
    <cellStyle name="표준 2 2 2 5 2 2 5" xfId="0"/>
    <cellStyle name="표준 2 2 2 5 2 2 6" xfId="0"/>
    <cellStyle name="표준 2 2 2 5 2 2 7" xfId="0"/>
    <cellStyle name="표준 2 2 2 5 2 2 8" xfId="0"/>
    <cellStyle name="표준 2 2 2 5 2 2 9" xfId="0"/>
    <cellStyle name="표준 2 2 2 5 3" xfId="0"/>
    <cellStyle name="표준 2 2 2 5 3 10" xfId="0"/>
    <cellStyle name="표준 2 2 2 5 3 2" xfId="0"/>
    <cellStyle name="표준 2 2 2 5 3 3" xfId="0"/>
    <cellStyle name="표준 2 2 2 5 3 4" xfId="0"/>
    <cellStyle name="표준 2 2 2 5 3 5" xfId="0"/>
    <cellStyle name="표준 2 2 2 5 3 6" xfId="0"/>
    <cellStyle name="표준 2 2 2 5 3 7" xfId="0"/>
    <cellStyle name="표준 2 2 2 5 3 8" xfId="0"/>
    <cellStyle name="표준 2 2 2 5 3 9" xfId="0"/>
    <cellStyle name="표준 2 2 2 5 4" xfId="0"/>
    <cellStyle name="표준 2 2 2 5 4 10" xfId="0"/>
    <cellStyle name="표준 2 2 2 5 4 2" xfId="0"/>
    <cellStyle name="표준 2 2 2 5 4 3" xfId="0"/>
    <cellStyle name="표준 2 2 2 5 4 4" xfId="0"/>
    <cellStyle name="표준 2 2 2 5 4 5" xfId="0"/>
    <cellStyle name="표준 2 2 2 5 4 6" xfId="0"/>
    <cellStyle name="표준 2 2 2 5 4 7" xfId="0"/>
    <cellStyle name="표준 2 2 2 5 4 8" xfId="0"/>
    <cellStyle name="표준 2 2 2 5 4 9" xfId="0"/>
    <cellStyle name="표준 2 2 2 5 5" xfId="0"/>
    <cellStyle name="표준 2 2 2 5 5 10" xfId="0"/>
    <cellStyle name="표준 2 2 2 5 5 2" xfId="0"/>
    <cellStyle name="표준 2 2 2 5 5 3" xfId="0"/>
    <cellStyle name="표준 2 2 2 5 5 4" xfId="0"/>
    <cellStyle name="표준 2 2 2 5 5 5" xfId="0"/>
    <cellStyle name="표준 2 2 2 5 5 6" xfId="0"/>
    <cellStyle name="표준 2 2 2 5 5 7" xfId="0"/>
    <cellStyle name="표준 2 2 2 5 5 8" xfId="0"/>
    <cellStyle name="표준 2 2 2 5 5 9" xfId="0"/>
    <cellStyle name="표준 2 2 2 5 6" xfId="0"/>
    <cellStyle name="표준 2 2 2 5 6 2" xfId="0"/>
    <cellStyle name="표준 2 2 2 5 7" xfId="0"/>
    <cellStyle name="표준 2 2 2 5 7 2" xfId="0"/>
    <cellStyle name="표준 2 2 2 5 8" xfId="0"/>
    <cellStyle name="표준 2 2 2 5 8 2" xfId="0"/>
    <cellStyle name="표준 2 2 2 5 9" xfId="0"/>
    <cellStyle name="표준 2 2 2 5 9 2" xfId="0"/>
    <cellStyle name="표준 2 2 2 6" xfId="0"/>
    <cellStyle name="표준 2 2 2 6 10" xfId="0"/>
    <cellStyle name="표준 2 2 2 6 10 2" xfId="0"/>
    <cellStyle name="표준 2 2 2 6 11" xfId="0"/>
    <cellStyle name="표준 2 2 2 6 11 2" xfId="0"/>
    <cellStyle name="표준 2 2 2 6 12" xfId="0"/>
    <cellStyle name="표준 2 2 2 6 12 2" xfId="0"/>
    <cellStyle name="표준 2 2 2 6 13" xfId="0"/>
    <cellStyle name="표준 2 2 2 6 13 2" xfId="0"/>
    <cellStyle name="표준 2 2 2 6 14" xfId="0"/>
    <cellStyle name="표준 2 2 2 6 14 2" xfId="0"/>
    <cellStyle name="표준 2 2 2 6 2" xfId="0"/>
    <cellStyle name="표준 2 2 2 6 2 2" xfId="0"/>
    <cellStyle name="표준 2 2 2 6 2 2 10" xfId="0"/>
    <cellStyle name="표준 2 2 2 6 2 2 2" xfId="0"/>
    <cellStyle name="표준 2 2 2 6 2 2 3" xfId="0"/>
    <cellStyle name="표준 2 2 2 6 2 2 4" xfId="0"/>
    <cellStyle name="표준 2 2 2 6 2 2 5" xfId="0"/>
    <cellStyle name="표준 2 2 2 6 2 2 6" xfId="0"/>
    <cellStyle name="표준 2 2 2 6 2 2 7" xfId="0"/>
    <cellStyle name="표준 2 2 2 6 2 2 8" xfId="0"/>
    <cellStyle name="표준 2 2 2 6 2 2 9" xfId="0"/>
    <cellStyle name="표준 2 2 2 6 3" xfId="0"/>
    <cellStyle name="표준 2 2 2 6 3 10" xfId="0"/>
    <cellStyle name="표준 2 2 2 6 3 2" xfId="0"/>
    <cellStyle name="표준 2 2 2 6 3 3" xfId="0"/>
    <cellStyle name="표준 2 2 2 6 3 4" xfId="0"/>
    <cellStyle name="표준 2 2 2 6 3 5" xfId="0"/>
    <cellStyle name="표준 2 2 2 6 3 6" xfId="0"/>
    <cellStyle name="표준 2 2 2 6 3 7" xfId="0"/>
    <cellStyle name="표준 2 2 2 6 3 8" xfId="0"/>
    <cellStyle name="표준 2 2 2 6 3 9" xfId="0"/>
    <cellStyle name="표준 2 2 2 6 4" xfId="0"/>
    <cellStyle name="표준 2 2 2 6 4 10" xfId="0"/>
    <cellStyle name="표준 2 2 2 6 4 2" xfId="0"/>
    <cellStyle name="표준 2 2 2 6 4 3" xfId="0"/>
    <cellStyle name="표준 2 2 2 6 4 4" xfId="0"/>
    <cellStyle name="표준 2 2 2 6 4 5" xfId="0"/>
    <cellStyle name="표준 2 2 2 6 4 6" xfId="0"/>
    <cellStyle name="표준 2 2 2 6 4 7" xfId="0"/>
    <cellStyle name="표준 2 2 2 6 4 8" xfId="0"/>
    <cellStyle name="표준 2 2 2 6 4 9" xfId="0"/>
    <cellStyle name="표준 2 2 2 6 5" xfId="0"/>
    <cellStyle name="표준 2 2 2 6 5 10" xfId="0"/>
    <cellStyle name="표준 2 2 2 6 5 2" xfId="0"/>
    <cellStyle name="표준 2 2 2 6 5 3" xfId="0"/>
    <cellStyle name="표준 2 2 2 6 5 4" xfId="0"/>
    <cellStyle name="표준 2 2 2 6 5 5" xfId="0"/>
    <cellStyle name="표준 2 2 2 6 5 6" xfId="0"/>
    <cellStyle name="표준 2 2 2 6 5 7" xfId="0"/>
    <cellStyle name="표준 2 2 2 6 5 8" xfId="0"/>
    <cellStyle name="표준 2 2 2 6 5 9" xfId="0"/>
    <cellStyle name="표준 2 2 2 6 6" xfId="0"/>
    <cellStyle name="표준 2 2 2 6 6 2" xfId="0"/>
    <cellStyle name="표준 2 2 2 6 7" xfId="0"/>
    <cellStyle name="표준 2 2 2 6 7 2" xfId="0"/>
    <cellStyle name="표준 2 2 2 6 8" xfId="0"/>
    <cellStyle name="표준 2 2 2 6 8 2" xfId="0"/>
    <cellStyle name="표준 2 2 2 6 9" xfId="0"/>
    <cellStyle name="표준 2 2 2 6 9 2" xfId="0"/>
    <cellStyle name="표준 2 2 2 7" xfId="0"/>
    <cellStyle name="표준 2 2 2 7 10" xfId="0"/>
    <cellStyle name="표준 2 2 2 7 11" xfId="0"/>
    <cellStyle name="표준 2 2 2 7 12" xfId="0"/>
    <cellStyle name="표준 2 2 2 7 13" xfId="0"/>
    <cellStyle name="표준 2 2 2 7 14" xfId="0"/>
    <cellStyle name="표준 2 2 2 7 2" xfId="0"/>
    <cellStyle name="표준 2 2 2 7 2 2" xfId="0"/>
    <cellStyle name="표준 2 2 2 7 3" xfId="0"/>
    <cellStyle name="표준 2 2 2 7 4" xfId="0"/>
    <cellStyle name="표준 2 2 2 7 5" xfId="0"/>
    <cellStyle name="표준 2 2 2 7 6" xfId="0"/>
    <cellStyle name="표준 2 2 2 7 7" xfId="0"/>
    <cellStyle name="표준 2 2 2 7 8" xfId="0"/>
    <cellStyle name="표준 2 2 2 7 9" xfId="0"/>
    <cellStyle name="표준 2 2 2 8" xfId="0"/>
    <cellStyle name="표준 2 2 2 8 10" xfId="0"/>
    <cellStyle name="표준 2 2 2 8 11" xfId="0"/>
    <cellStyle name="표준 2 2 2 8 12" xfId="0"/>
    <cellStyle name="표준 2 2 2 8 13" xfId="0"/>
    <cellStyle name="표준 2 2 2 8 2" xfId="0"/>
    <cellStyle name="표준 2 2 2 8 3" xfId="0"/>
    <cellStyle name="표준 2 2 2 8 4" xfId="0"/>
    <cellStyle name="표준 2 2 2 8 5" xfId="0"/>
    <cellStyle name="표준 2 2 2 8 6" xfId="0"/>
    <cellStyle name="표준 2 2 2 8 7" xfId="0"/>
    <cellStyle name="표준 2 2 2 8 8" xfId="0"/>
    <cellStyle name="표준 2 2 2 8 9" xfId="0"/>
    <cellStyle name="표준 2 2 2 9" xfId="0"/>
    <cellStyle name="표준 2 2 2 9 10" xfId="0"/>
    <cellStyle name="표준 2 2 2 9 2" xfId="0"/>
    <cellStyle name="표준 2 2 2 9 3" xfId="0"/>
    <cellStyle name="표준 2 2 2 9 4" xfId="0"/>
    <cellStyle name="표준 2 2 2 9 5" xfId="0"/>
    <cellStyle name="표준 2 2 2 9 6" xfId="0"/>
    <cellStyle name="표준 2 2 2 9 7" xfId="0"/>
    <cellStyle name="표준 2 2 2 9 8" xfId="0"/>
    <cellStyle name="표준 2 2 2 9 9" xfId="0"/>
    <cellStyle name="표준 2 2 20" xfId="0"/>
    <cellStyle name="표준 2 2 20 2" xfId="0"/>
    <cellStyle name="표준 2 2 20 2 2" xfId="0"/>
    <cellStyle name="표준 2 2 20 2 2 2" xfId="0"/>
    <cellStyle name="표준 2 2 20 2 2 3" xfId="0"/>
    <cellStyle name="표준 2 2 20 2 2 4" xfId="0"/>
    <cellStyle name="표준 2 2 20 2 2 5" xfId="0"/>
    <cellStyle name="표준 2 2 20 2 3" xfId="0"/>
    <cellStyle name="표준 2 2 20 2 4" xfId="0"/>
    <cellStyle name="표준 2 2 20 2 5" xfId="0"/>
    <cellStyle name="표준 2 2 20 3" xfId="0"/>
    <cellStyle name="표준 2 2 20 4" xfId="0"/>
    <cellStyle name="표준 2 2 20 5" xfId="0"/>
    <cellStyle name="표준 2 2 20 6" xfId="0"/>
    <cellStyle name="표준 2 2 20 7" xfId="0"/>
    <cellStyle name="표준 2 2 21" xfId="0"/>
    <cellStyle name="표준 2 2 21 2" xfId="0"/>
    <cellStyle name="표준 2 2 21 2 2" xfId="0"/>
    <cellStyle name="표준 2 2 21 2 3" xfId="0"/>
    <cellStyle name="표준 2 2 21 2 4" xfId="0"/>
    <cellStyle name="표준 2 2 21 2 5" xfId="0"/>
    <cellStyle name="표준 2 2 21 3" xfId="0"/>
    <cellStyle name="표준 2 2 21 4" xfId="0"/>
    <cellStyle name="표준 2 2 21 5" xfId="0"/>
    <cellStyle name="표준 2 2 21 6" xfId="0"/>
    <cellStyle name="표준 2 2 22" xfId="0"/>
    <cellStyle name="표준 2 2 22 2" xfId="0"/>
    <cellStyle name="표준 2 2 22 2 2" xfId="0"/>
    <cellStyle name="표준 2 2 22 2 3" xfId="0"/>
    <cellStyle name="표준 2 2 22 2 4" xfId="0"/>
    <cellStyle name="표준 2 2 22 2 5" xfId="0"/>
    <cellStyle name="표준 2 2 22 3" xfId="0"/>
    <cellStyle name="표준 2 2 22 4" xfId="0"/>
    <cellStyle name="표준 2 2 22 5" xfId="0"/>
    <cellStyle name="표준 2 2 22 6" xfId="0"/>
    <cellStyle name="표준 2 2 23" xfId="0"/>
    <cellStyle name="표준 2 2 23 2" xfId="0"/>
    <cellStyle name="표준 2 2 23 2 2" xfId="0"/>
    <cellStyle name="표준 2 2 23 2 3" xfId="0"/>
    <cellStyle name="표준 2 2 23 2 4" xfId="0"/>
    <cellStyle name="표준 2 2 23 2 5" xfId="0"/>
    <cellStyle name="표준 2 2 23 3" xfId="0"/>
    <cellStyle name="표준 2 2 23 4" xfId="0"/>
    <cellStyle name="표준 2 2 23 5" xfId="0"/>
    <cellStyle name="표준 2 2 23 6" xfId="0"/>
    <cellStyle name="표준 2 2 24" xfId="0"/>
    <cellStyle name="표준 2 2 24 2" xfId="0"/>
    <cellStyle name="표준 2 2 24 2 2" xfId="0"/>
    <cellStyle name="표준 2 2 24 2 3" xfId="0"/>
    <cellStyle name="표준 2 2 24 2 4" xfId="0"/>
    <cellStyle name="표준 2 2 24 2 5" xfId="0"/>
    <cellStyle name="표준 2 2 24 3" xfId="0"/>
    <cellStyle name="표준 2 2 24 4" xfId="0"/>
    <cellStyle name="표준 2 2 24 5" xfId="0"/>
    <cellStyle name="표준 2 2 24 6" xfId="0"/>
    <cellStyle name="표준 2 2 25" xfId="0"/>
    <cellStyle name="표준 2 2 25 2" xfId="0"/>
    <cellStyle name="표준 2 2 25 2 2" xfId="0"/>
    <cellStyle name="표준 2 2 25 2 3" xfId="0"/>
    <cellStyle name="표준 2 2 25 2 4" xfId="0"/>
    <cellStyle name="표준 2 2 25 2 5" xfId="0"/>
    <cellStyle name="표준 2 2 25 3" xfId="0"/>
    <cellStyle name="표준 2 2 25 4" xfId="0"/>
    <cellStyle name="표준 2 2 25 5" xfId="0"/>
    <cellStyle name="표준 2 2 25 6" xfId="0"/>
    <cellStyle name="표준 2 2 26" xfId="0"/>
    <cellStyle name="표준 2 2 26 2" xfId="0"/>
    <cellStyle name="표준 2 2 26 2 2" xfId="0"/>
    <cellStyle name="표준 2 2 26 2 3" xfId="0"/>
    <cellStyle name="표준 2 2 26 2 4" xfId="0"/>
    <cellStyle name="표준 2 2 26 2 5" xfId="0"/>
    <cellStyle name="표준 2 2 26 3" xfId="0"/>
    <cellStyle name="표준 2 2 26 4" xfId="0"/>
    <cellStyle name="표준 2 2 26 5" xfId="0"/>
    <cellStyle name="표준 2 2 26 6" xfId="0"/>
    <cellStyle name="표준 2 2 27" xfId="0"/>
    <cellStyle name="표준 2 2 28" xfId="0"/>
    <cellStyle name="표준 2 2 29" xfId="0"/>
    <cellStyle name="표준 2 2 29 2" xfId="0"/>
    <cellStyle name="표준 2 2 29 2 2" xfId="0"/>
    <cellStyle name="표준 2 2 29 2 2 2" xfId="0"/>
    <cellStyle name="표준 2 2 29 2 2 3" xfId="0"/>
    <cellStyle name="표준 2 2 29 2 2 4" xfId="0"/>
    <cellStyle name="표준 2 2 29 2 2 5" xfId="0"/>
    <cellStyle name="표준 2 2 29 2 3" xfId="0"/>
    <cellStyle name="표준 2 2 29 2 4" xfId="0"/>
    <cellStyle name="표준 2 2 29 2 5" xfId="0"/>
    <cellStyle name="표준 2 2 29 3" xfId="0"/>
    <cellStyle name="표준 2 2 29 4" xfId="0"/>
    <cellStyle name="표준 2 2 29 5" xfId="0"/>
    <cellStyle name="표준 2 2 29 6" xfId="0"/>
    <cellStyle name="표준 2 2 3" xfId="0"/>
    <cellStyle name="표준 2 2 3 10" xfId="0"/>
    <cellStyle name="표준 2 2 3 10 2" xfId="0"/>
    <cellStyle name="표준 2 2 3 10 3" xfId="0"/>
    <cellStyle name="표준 2 2 3 10 4" xfId="0"/>
    <cellStyle name="표준 2 2 3 10 5" xfId="0"/>
    <cellStyle name="표준 2 2 3 10 6" xfId="0"/>
    <cellStyle name="표준 2 2 3 11" xfId="0"/>
    <cellStyle name="표준 2 2 3 11 2" xfId="0"/>
    <cellStyle name="표준 2 2 3 12" xfId="0"/>
    <cellStyle name="표준 2 2 3 12 2" xfId="0"/>
    <cellStyle name="표준 2 2 3 13" xfId="0"/>
    <cellStyle name="표준 2 2 3 13 2" xfId="0"/>
    <cellStyle name="표준 2 2 3 14" xfId="0"/>
    <cellStyle name="표준 2 2 3 14 2" xfId="0"/>
    <cellStyle name="표준 2 2 3 15" xfId="0"/>
    <cellStyle name="표준 2 2 3 15 2" xfId="0"/>
    <cellStyle name="표준 2 2 3 16" xfId="0"/>
    <cellStyle name="표준 2 2 3 16 2" xfId="0"/>
    <cellStyle name="표준 2 2 3 17" xfId="0"/>
    <cellStyle name="표준 2 2 3 17 2" xfId="0"/>
    <cellStyle name="표준 2 2 3 18" xfId="0"/>
    <cellStyle name="표준 2 2 3 18 2" xfId="0"/>
    <cellStyle name="표준 2 2 3 19" xfId="0"/>
    <cellStyle name="표준 2 2 3 19 2" xfId="0"/>
    <cellStyle name="표준 2 2 3 2" xfId="0"/>
    <cellStyle name="표준 2 2 3 2 10" xfId="0"/>
    <cellStyle name="표준 2 2 3 2 11" xfId="0"/>
    <cellStyle name="표준 2 2 3 2 12" xfId="0"/>
    <cellStyle name="표준 2 2 3 2 13" xfId="0"/>
    <cellStyle name="표준 2 2 3 2 14" xfId="0"/>
    <cellStyle name="표준 2 2 3 2 15" xfId="0"/>
    <cellStyle name="표준 2 2 3 2 16" xfId="0"/>
    <cellStyle name="표준 2 2 3 2 2" xfId="0"/>
    <cellStyle name="표준 2 2 3 2 2 10" xfId="0"/>
    <cellStyle name="표준 2 2 3 2 2 11" xfId="0"/>
    <cellStyle name="표준 2 2 3 2 2 12" xfId="0"/>
    <cellStyle name="표준 2 2 3 2 2 13" xfId="0"/>
    <cellStyle name="표준 2 2 3 2 2 14" xfId="0"/>
    <cellStyle name="표준 2 2 3 2 2 15" xfId="0"/>
    <cellStyle name="표준 2 2 3 2 2 16" xfId="0"/>
    <cellStyle name="표준 2 2 3 2 2 2" xfId="0"/>
    <cellStyle name="표준 2 2 3 2 2 2 2" xfId="0"/>
    <cellStyle name="표준 2 2 3 2 2 3" xfId="0"/>
    <cellStyle name="표준 2 2 3 2 2 3 2" xfId="0"/>
    <cellStyle name="표준 2 2 3 2 2 4" xfId="0"/>
    <cellStyle name="표준 2 2 3 2 2 4 2" xfId="0"/>
    <cellStyle name="표준 2 2 3 2 2 5" xfId="0"/>
    <cellStyle name="표준 2 2 3 2 2 5 2" xfId="0"/>
    <cellStyle name="표준 2 2 3 2 2 6" xfId="0"/>
    <cellStyle name="표준 2 2 3 2 2 6 2" xfId="0"/>
    <cellStyle name="표준 2 2 3 2 2 7" xfId="0"/>
    <cellStyle name="표준 2 2 3 2 2 8" xfId="0"/>
    <cellStyle name="표준 2 2 3 2 2 9" xfId="0"/>
    <cellStyle name="표준 2 2 3 2 3" xfId="0"/>
    <cellStyle name="표준 2 2 3 2 4" xfId="0"/>
    <cellStyle name="표준 2 2 3 2 5" xfId="0"/>
    <cellStyle name="표준 2 2 3 2 6" xfId="0"/>
    <cellStyle name="표준 2 2 3 2 7" xfId="0"/>
    <cellStyle name="표준 2 2 3 2 8" xfId="0"/>
    <cellStyle name="표준 2 2 3 2 9" xfId="0"/>
    <cellStyle name="표준 2 2 3 20" xfId="0"/>
    <cellStyle name="표준 2 2 3 21" xfId="0"/>
    <cellStyle name="표준 2 2 3 22" xfId="0"/>
    <cellStyle name="표준 2 2 3 23" xfId="0"/>
    <cellStyle name="표준 2 2 3 24" xfId="0"/>
    <cellStyle name="표준 2 2 3 3" xfId="0"/>
    <cellStyle name="표준 2 2 3 3 10" xfId="0"/>
    <cellStyle name="표준 2 2 3 3 2" xfId="0"/>
    <cellStyle name="표준 2 2 3 3 3" xfId="0"/>
    <cellStyle name="표준 2 2 3 3 4" xfId="0"/>
    <cellStyle name="표준 2 2 3 3 5" xfId="0"/>
    <cellStyle name="표준 2 2 3 3 6" xfId="0"/>
    <cellStyle name="표준 2 2 3 3 7" xfId="0"/>
    <cellStyle name="표준 2 2 3 3 8" xfId="0"/>
    <cellStyle name="표준 2 2 3 3 9" xfId="0"/>
    <cellStyle name="표준 2 2 3 4" xfId="0"/>
    <cellStyle name="표준 2 2 3 4 10" xfId="0"/>
    <cellStyle name="표준 2 2 3 4 2" xfId="0"/>
    <cellStyle name="표준 2 2 3 4 3" xfId="0"/>
    <cellStyle name="표준 2 2 3 4 4" xfId="0"/>
    <cellStyle name="표준 2 2 3 4 5" xfId="0"/>
    <cellStyle name="표준 2 2 3 4 6" xfId="0"/>
    <cellStyle name="표준 2 2 3 4 7" xfId="0"/>
    <cellStyle name="표준 2 2 3 4 8" xfId="0"/>
    <cellStyle name="표준 2 2 3 4 9" xfId="0"/>
    <cellStyle name="표준 2 2 3 5" xfId="0"/>
    <cellStyle name="표준 2 2 3 5 10" xfId="0"/>
    <cellStyle name="표준 2 2 3 5 2" xfId="0"/>
    <cellStyle name="표준 2 2 3 5 3" xfId="0"/>
    <cellStyle name="표준 2 2 3 5 4" xfId="0"/>
    <cellStyle name="표준 2 2 3 5 5" xfId="0"/>
    <cellStyle name="표준 2 2 3 5 6" xfId="0"/>
    <cellStyle name="표준 2 2 3 5 7" xfId="0"/>
    <cellStyle name="표준 2 2 3 5 8" xfId="0"/>
    <cellStyle name="표준 2 2 3 5 9" xfId="0"/>
    <cellStyle name="표준 2 2 3 6" xfId="0"/>
    <cellStyle name="표준 2 2 3 6 2" xfId="0"/>
    <cellStyle name="표준 2 2 3 7" xfId="0"/>
    <cellStyle name="표준 2 2 3 7 2" xfId="0"/>
    <cellStyle name="표준 2 2 3 8" xfId="0"/>
    <cellStyle name="표준 2 2 3 8 2" xfId="0"/>
    <cellStyle name="표준 2 2 3 9" xfId="0"/>
    <cellStyle name="표준 2 2 3 9 2" xfId="0"/>
    <cellStyle name="표준 2 2 30" xfId="0"/>
    <cellStyle name="표준 2 2 30 2" xfId="0"/>
    <cellStyle name="표준 2 2 30 3" xfId="0"/>
    <cellStyle name="표준 2 2 30 4" xfId="0"/>
    <cellStyle name="표준 2 2 30 5" xfId="0"/>
    <cellStyle name="표준 2 2 31" xfId="0"/>
    <cellStyle name="표준 2 2 32" xfId="0"/>
    <cellStyle name="표준 2 2 33" xfId="0"/>
    <cellStyle name="표준 2 2 34" xfId="0"/>
    <cellStyle name="표준 2 2 35" xfId="0"/>
    <cellStyle name="표준 2 2 36" xfId="0"/>
    <cellStyle name="표준 2 2 37" xfId="0"/>
    <cellStyle name="표준 2 2 38" xfId="0"/>
    <cellStyle name="표준 2 2 39" xfId="0"/>
    <cellStyle name="표준 2 2 39 2" xfId="0"/>
    <cellStyle name="표준 2 2 39 3" xfId="0"/>
    <cellStyle name="표준 2 2 39 4" xfId="0"/>
    <cellStyle name="표준 2 2 39 5" xfId="0"/>
    <cellStyle name="표준 2 2 4" xfId="0"/>
    <cellStyle name="표준 2 2 4 10" xfId="0"/>
    <cellStyle name="표준 2 2 4 10 10" xfId="0"/>
    <cellStyle name="표준 2 2 4 10 2" xfId="0"/>
    <cellStyle name="표준 2 2 4 10 3" xfId="0"/>
    <cellStyle name="표준 2 2 4 10 4" xfId="0"/>
    <cellStyle name="표준 2 2 4 10 5" xfId="0"/>
    <cellStyle name="표준 2 2 4 10 6" xfId="0"/>
    <cellStyle name="표준 2 2 4 10 7" xfId="0"/>
    <cellStyle name="표준 2 2 4 10 8" xfId="0"/>
    <cellStyle name="표준 2 2 4 10 9" xfId="0"/>
    <cellStyle name="표준 2 2 4 11" xfId="0"/>
    <cellStyle name="표준 2 2 4 11 2" xfId="0"/>
    <cellStyle name="표준 2 2 4 12" xfId="0"/>
    <cellStyle name="표준 2 2 4 12 2" xfId="0"/>
    <cellStyle name="표준 2 2 4 13" xfId="0"/>
    <cellStyle name="표준 2 2 4 13 2" xfId="0"/>
    <cellStyle name="표준 2 2 4 14" xfId="0"/>
    <cellStyle name="표준 2 2 4 14 2" xfId="0"/>
    <cellStyle name="표준 2 2 4 15" xfId="0"/>
    <cellStyle name="표준 2 2 4 15 2" xfId="0"/>
    <cellStyle name="표준 2 2 4 16" xfId="0"/>
    <cellStyle name="표준 2 2 4 16 2" xfId="0"/>
    <cellStyle name="표준 2 2 4 17" xfId="0"/>
    <cellStyle name="표준 2 2 4 17 2" xfId="0"/>
    <cellStyle name="표준 2 2 4 18" xfId="0"/>
    <cellStyle name="표준 2 2 4 18 2" xfId="0"/>
    <cellStyle name="표준 2 2 4 19" xfId="0"/>
    <cellStyle name="표준 2 2 4 19 2" xfId="0"/>
    <cellStyle name="표준 2 2 4 2" xfId="0"/>
    <cellStyle name="표준 2 2 4 2 10" xfId="0"/>
    <cellStyle name="표준 2 2 4 2 2" xfId="0"/>
    <cellStyle name="표준 2 2 4 2 2 10" xfId="0"/>
    <cellStyle name="표준 2 2 4 2 2 11" xfId="0"/>
    <cellStyle name="표준 2 2 4 2 2 12" xfId="0"/>
    <cellStyle name="표준 2 2 4 2 2 13" xfId="0"/>
    <cellStyle name="표준 2 2 4 2 2 14" xfId="0"/>
    <cellStyle name="표준 2 2 4 2 2 15" xfId="0"/>
    <cellStyle name="표준 2 2 4 2 2 16" xfId="0"/>
    <cellStyle name="표준 2 2 4 2 2 17" xfId="0"/>
    <cellStyle name="표준 2 2 4 2 2 2" xfId="0"/>
    <cellStyle name="표준 2 2 4 2 2 2 2" xfId="0"/>
    <cellStyle name="표준 2 2 4 2 2 2 2 10" xfId="0"/>
    <cellStyle name="표준 2 2 4 2 2 2 2 11" xfId="0"/>
    <cellStyle name="표준 2 2 4 2 2 2 2 2" xfId="0"/>
    <cellStyle name="표준 2 2 4 2 2 2 2 3" xfId="0"/>
    <cellStyle name="표준 2 2 4 2 2 2 2 4" xfId="0"/>
    <cellStyle name="표준 2 2 4 2 2 2 2 5" xfId="0"/>
    <cellStyle name="표준 2 2 4 2 2 2 2 6" xfId="0"/>
    <cellStyle name="표준 2 2 4 2 2 2 2 7" xfId="0"/>
    <cellStyle name="표준 2 2 4 2 2 2 2 8" xfId="0"/>
    <cellStyle name="표준 2 2 4 2 2 2 2 9" xfId="0"/>
    <cellStyle name="표준 2 2 4 2 2 2 3" xfId="0"/>
    <cellStyle name="표준 2 2 4 2 2 2 4" xfId="0"/>
    <cellStyle name="표준 2 2 4 2 2 2 5" xfId="0"/>
    <cellStyle name="표준 2 2 4 2 2 3" xfId="0"/>
    <cellStyle name="표준 2 2 4 2 2 4" xfId="0"/>
    <cellStyle name="표준 2 2 4 2 2 5" xfId="0"/>
    <cellStyle name="표준 2 2 4 2 2 6" xfId="0"/>
    <cellStyle name="표준 2 2 4 2 2 6 2" xfId="0"/>
    <cellStyle name="표준 2 2 4 2 2 6 2 10" xfId="0"/>
    <cellStyle name="표준 2 2 4 2 2 6 2 2" xfId="0"/>
    <cellStyle name="표준 2 2 4 2 2 6 2 3" xfId="0"/>
    <cellStyle name="표준 2 2 4 2 2 6 2 4" xfId="0"/>
    <cellStyle name="표준 2 2 4 2 2 6 2 5" xfId="0"/>
    <cellStyle name="표준 2 2 4 2 2 6 2 6" xfId="0"/>
    <cellStyle name="표준 2 2 4 2 2 6 2 7" xfId="0"/>
    <cellStyle name="표준 2 2 4 2 2 6 2 8" xfId="0"/>
    <cellStyle name="표준 2 2 4 2 2 6 2 9" xfId="0"/>
    <cellStyle name="표준 2 2 4 2 2 7" xfId="0"/>
    <cellStyle name="표준 2 2 4 2 2 7 10" xfId="0"/>
    <cellStyle name="표준 2 2 4 2 2 7 2" xfId="0"/>
    <cellStyle name="표준 2 2 4 2 2 7 3" xfId="0"/>
    <cellStyle name="표준 2 2 4 2 2 7 4" xfId="0"/>
    <cellStyle name="표준 2 2 4 2 2 7 5" xfId="0"/>
    <cellStyle name="표준 2 2 4 2 2 7 6" xfId="0"/>
    <cellStyle name="표준 2 2 4 2 2 7 7" xfId="0"/>
    <cellStyle name="표준 2 2 4 2 2 7 8" xfId="0"/>
    <cellStyle name="표준 2 2 4 2 2 7 9" xfId="0"/>
    <cellStyle name="표준 2 2 4 2 2 8" xfId="0"/>
    <cellStyle name="표준 2 2 4 2 2 8 10" xfId="0"/>
    <cellStyle name="표준 2 2 4 2 2 8 2" xfId="0"/>
    <cellStyle name="표준 2 2 4 2 2 8 3" xfId="0"/>
    <cellStyle name="표준 2 2 4 2 2 8 4" xfId="0"/>
    <cellStyle name="표준 2 2 4 2 2 8 5" xfId="0"/>
    <cellStyle name="표준 2 2 4 2 2 8 6" xfId="0"/>
    <cellStyle name="표준 2 2 4 2 2 8 7" xfId="0"/>
    <cellStyle name="표준 2 2 4 2 2 8 8" xfId="0"/>
    <cellStyle name="표준 2 2 4 2 2 8 9" xfId="0"/>
    <cellStyle name="표준 2 2 4 2 2 9" xfId="0"/>
    <cellStyle name="표준 2 2 4 2 3" xfId="0"/>
    <cellStyle name="표준 2 2 4 2 4" xfId="0"/>
    <cellStyle name="표준 2 2 4 2 5" xfId="0"/>
    <cellStyle name="표준 2 2 4 2 5 10" xfId="0"/>
    <cellStyle name="표준 2 2 4 2 5 2" xfId="0"/>
    <cellStyle name="표준 2 2 4 2 5 3" xfId="0"/>
    <cellStyle name="표준 2 2 4 2 5 4" xfId="0"/>
    <cellStyle name="표준 2 2 4 2 5 5" xfId="0"/>
    <cellStyle name="표준 2 2 4 2 5 6" xfId="0"/>
    <cellStyle name="표준 2 2 4 2 5 7" xfId="0"/>
    <cellStyle name="표준 2 2 4 2 5 8" xfId="0"/>
    <cellStyle name="표준 2 2 4 2 5 9" xfId="0"/>
    <cellStyle name="표준 2 2 4 2 6" xfId="0"/>
    <cellStyle name="표준 2 2 4 2 6 10" xfId="0"/>
    <cellStyle name="표준 2 2 4 2 6 2" xfId="0"/>
    <cellStyle name="표준 2 2 4 2 6 3" xfId="0"/>
    <cellStyle name="표준 2 2 4 2 6 4" xfId="0"/>
    <cellStyle name="표준 2 2 4 2 6 5" xfId="0"/>
    <cellStyle name="표준 2 2 4 2 6 6" xfId="0"/>
    <cellStyle name="표준 2 2 4 2 6 7" xfId="0"/>
    <cellStyle name="표준 2 2 4 2 6 8" xfId="0"/>
    <cellStyle name="표준 2 2 4 2 6 9" xfId="0"/>
    <cellStyle name="표준 2 2 4 2 7" xfId="0"/>
    <cellStyle name="표준 2 2 4 2 7 10" xfId="0"/>
    <cellStyle name="표준 2 2 4 2 7 2" xfId="0"/>
    <cellStyle name="표준 2 2 4 2 7 3" xfId="0"/>
    <cellStyle name="표준 2 2 4 2 7 4" xfId="0"/>
    <cellStyle name="표준 2 2 4 2 7 5" xfId="0"/>
    <cellStyle name="표준 2 2 4 2 7 6" xfId="0"/>
    <cellStyle name="표준 2 2 4 2 7 7" xfId="0"/>
    <cellStyle name="표준 2 2 4 2 7 8" xfId="0"/>
    <cellStyle name="표준 2 2 4 2 7 9" xfId="0"/>
    <cellStyle name="표준 2 2 4 2 8" xfId="0"/>
    <cellStyle name="표준 2 2 4 2 8 10" xfId="0"/>
    <cellStyle name="표준 2 2 4 2 8 11" xfId="0"/>
    <cellStyle name="표준 2 2 4 2 8 2" xfId="0"/>
    <cellStyle name="표준 2 2 4 2 8 3" xfId="0"/>
    <cellStyle name="표준 2 2 4 2 8 4" xfId="0"/>
    <cellStyle name="표준 2 2 4 2 8 5" xfId="0"/>
    <cellStyle name="표준 2 2 4 2 8 6" xfId="0"/>
    <cellStyle name="표준 2 2 4 2 8 7" xfId="0"/>
    <cellStyle name="표준 2 2 4 2 8 8" xfId="0"/>
    <cellStyle name="표준 2 2 4 2 8 9" xfId="0"/>
    <cellStyle name="표준 2 2 4 2 9" xfId="0"/>
    <cellStyle name="표준 2 2 4 20" xfId="0"/>
    <cellStyle name="표준 2 2 4 3" xfId="0"/>
    <cellStyle name="표준 2 2 4 3 2" xfId="0"/>
    <cellStyle name="표준 2 2 4 3 2 10" xfId="0"/>
    <cellStyle name="표준 2 2 4 3 2 2" xfId="0"/>
    <cellStyle name="표준 2 2 4 3 2 3" xfId="0"/>
    <cellStyle name="표준 2 2 4 3 2 4" xfId="0"/>
    <cellStyle name="표준 2 2 4 3 2 5" xfId="0"/>
    <cellStyle name="표준 2 2 4 3 2 6" xfId="0"/>
    <cellStyle name="표준 2 2 4 3 2 7" xfId="0"/>
    <cellStyle name="표준 2 2 4 3 2 8" xfId="0"/>
    <cellStyle name="표준 2 2 4 3 2 9" xfId="0"/>
    <cellStyle name="표준 2 2 4 3 3" xfId="0"/>
    <cellStyle name="표준 2 2 4 3 3 10" xfId="0"/>
    <cellStyle name="표준 2 2 4 3 3 2" xfId="0"/>
    <cellStyle name="표준 2 2 4 3 3 3" xfId="0"/>
    <cellStyle name="표준 2 2 4 3 3 4" xfId="0"/>
    <cellStyle name="표준 2 2 4 3 3 5" xfId="0"/>
    <cellStyle name="표준 2 2 4 3 3 6" xfId="0"/>
    <cellStyle name="표준 2 2 4 3 3 7" xfId="0"/>
    <cellStyle name="표준 2 2 4 3 3 8" xfId="0"/>
    <cellStyle name="표준 2 2 4 3 3 9" xfId="0"/>
    <cellStyle name="표준 2 2 4 3 4" xfId="0"/>
    <cellStyle name="표준 2 2 4 3 4 10" xfId="0"/>
    <cellStyle name="표준 2 2 4 3 4 2" xfId="0"/>
    <cellStyle name="표준 2 2 4 3 4 3" xfId="0"/>
    <cellStyle name="표준 2 2 4 3 4 4" xfId="0"/>
    <cellStyle name="표준 2 2 4 3 4 5" xfId="0"/>
    <cellStyle name="표준 2 2 4 3 4 6" xfId="0"/>
    <cellStyle name="표준 2 2 4 3 4 7" xfId="0"/>
    <cellStyle name="표준 2 2 4 3 4 8" xfId="0"/>
    <cellStyle name="표준 2 2 4 3 4 9" xfId="0"/>
    <cellStyle name="표준 2 2 4 3 5" xfId="0"/>
    <cellStyle name="표준 2 2 4 3 5 10" xfId="0"/>
    <cellStyle name="표준 2 2 4 3 5 2" xfId="0"/>
    <cellStyle name="표준 2 2 4 3 5 3" xfId="0"/>
    <cellStyle name="표준 2 2 4 3 5 4" xfId="0"/>
    <cellStyle name="표준 2 2 4 3 5 5" xfId="0"/>
    <cellStyle name="표준 2 2 4 3 5 6" xfId="0"/>
    <cellStyle name="표준 2 2 4 3 5 7" xfId="0"/>
    <cellStyle name="표준 2 2 4 3 5 8" xfId="0"/>
    <cellStyle name="표준 2 2 4 3 5 9" xfId="0"/>
    <cellStyle name="표준 2 2 4 4" xfId="0"/>
    <cellStyle name="표준 2 2 4 4 10" xfId="0"/>
    <cellStyle name="표준 2 2 4 4 2" xfId="0"/>
    <cellStyle name="표준 2 2 4 4 3" xfId="0"/>
    <cellStyle name="표준 2 2 4 4 4" xfId="0"/>
    <cellStyle name="표준 2 2 4 4 5" xfId="0"/>
    <cellStyle name="표준 2 2 4 4 6" xfId="0"/>
    <cellStyle name="표준 2 2 4 4 7" xfId="0"/>
    <cellStyle name="표준 2 2 4 4 8" xfId="0"/>
    <cellStyle name="표준 2 2 4 4 9" xfId="0"/>
    <cellStyle name="표준 2 2 4 5" xfId="0"/>
    <cellStyle name="표준 2 2 4 6" xfId="0"/>
    <cellStyle name="표준 2 2 4 7" xfId="0"/>
    <cellStyle name="표준 2 2 4 8" xfId="0"/>
    <cellStyle name="표준 2 2 4 8 2" xfId="0"/>
    <cellStyle name="표준 2 2 4 8 2 10" xfId="0"/>
    <cellStyle name="표준 2 2 4 8 2 2" xfId="0"/>
    <cellStyle name="표준 2 2 4 8 2 3" xfId="0"/>
    <cellStyle name="표준 2 2 4 8 2 4" xfId="0"/>
    <cellStyle name="표준 2 2 4 8 2 5" xfId="0"/>
    <cellStyle name="표준 2 2 4 8 2 6" xfId="0"/>
    <cellStyle name="표준 2 2 4 8 2 7" xfId="0"/>
    <cellStyle name="표준 2 2 4 8 2 8" xfId="0"/>
    <cellStyle name="표준 2 2 4 8 2 9" xfId="0"/>
    <cellStyle name="표준 2 2 4 9" xfId="0"/>
    <cellStyle name="표준 2 2 4 9 10" xfId="0"/>
    <cellStyle name="표준 2 2 4 9 2" xfId="0"/>
    <cellStyle name="표준 2 2 4 9 3" xfId="0"/>
    <cellStyle name="표준 2 2 4 9 4" xfId="0"/>
    <cellStyle name="표준 2 2 4 9 5" xfId="0"/>
    <cellStyle name="표준 2 2 4 9 6" xfId="0"/>
    <cellStyle name="표준 2 2 4 9 7" xfId="0"/>
    <cellStyle name="표준 2 2 4 9 8" xfId="0"/>
    <cellStyle name="표준 2 2 4 9 9" xfId="0"/>
    <cellStyle name="표준 2 2 40" xfId="0"/>
    <cellStyle name="표준 2 2 41" xfId="0"/>
    <cellStyle name="표준 2 2 42" xfId="0"/>
    <cellStyle name="표준 2 2 43" xfId="0"/>
    <cellStyle name="표준 2 2 44" xfId="0"/>
    <cellStyle name="표준 2 2 45" xfId="0"/>
    <cellStyle name="표준 2 2 46" xfId="0"/>
    <cellStyle name="표준 2 2 47" xfId="0"/>
    <cellStyle name="표준 2 2 48" xfId="0"/>
    <cellStyle name="표준 2 2 49" xfId="0"/>
    <cellStyle name="표준 2 2 5" xfId="0"/>
    <cellStyle name="표준 2 2 5 10" xfId="0"/>
    <cellStyle name="표준 2 2 5 10 2" xfId="0"/>
    <cellStyle name="표준 2 2 5 11" xfId="0"/>
    <cellStyle name="표준 2 2 5 11 2" xfId="0"/>
    <cellStyle name="표준 2 2 5 12" xfId="0"/>
    <cellStyle name="표준 2 2 5 12 2" xfId="0"/>
    <cellStyle name="표준 2 2 5 13" xfId="0"/>
    <cellStyle name="표준 2 2 5 13 2" xfId="0"/>
    <cellStyle name="표준 2 2 5 14" xfId="0"/>
    <cellStyle name="표준 2 2 5 14 2" xfId="0"/>
    <cellStyle name="표준 2 2 5 15" xfId="0"/>
    <cellStyle name="표준 2 2 5 15 2" xfId="0"/>
    <cellStyle name="표준 2 2 5 16" xfId="0"/>
    <cellStyle name="표준 2 2 5 16 2" xfId="0"/>
    <cellStyle name="표준 2 2 5 17" xfId="0"/>
    <cellStyle name="표준 2 2 5 17 2" xfId="0"/>
    <cellStyle name="표준 2 2 5 18" xfId="0"/>
    <cellStyle name="표준 2 2 5 2" xfId="0"/>
    <cellStyle name="표준 2 2 5 2 2" xfId="0"/>
    <cellStyle name="표준 2 2 5 2 2 10" xfId="0"/>
    <cellStyle name="표준 2 2 5 2 2 11" xfId="0"/>
    <cellStyle name="표준 2 2 5 2 2 2" xfId="0"/>
    <cellStyle name="표준 2 2 5 2 2 3" xfId="0"/>
    <cellStyle name="표준 2 2 5 2 2 4" xfId="0"/>
    <cellStyle name="표준 2 2 5 2 2 5" xfId="0"/>
    <cellStyle name="표준 2 2 5 2 2 6" xfId="0"/>
    <cellStyle name="표준 2 2 5 2 2 7" xfId="0"/>
    <cellStyle name="표준 2 2 5 2 2 8" xfId="0"/>
    <cellStyle name="표준 2 2 5 2 2 9" xfId="0"/>
    <cellStyle name="표준 2 2 5 2 3" xfId="0"/>
    <cellStyle name="표준 2 2 5 2 4" xfId="0"/>
    <cellStyle name="표준 2 2 5 2 5" xfId="0"/>
    <cellStyle name="표준 2 2 5 3" xfId="0"/>
    <cellStyle name="표준 2 2 5 4" xfId="0"/>
    <cellStyle name="표준 2 2 5 5" xfId="0"/>
    <cellStyle name="표준 2 2 5 6" xfId="0"/>
    <cellStyle name="표준 2 2 5 6 2" xfId="0"/>
    <cellStyle name="표준 2 2 5 6 2 10" xfId="0"/>
    <cellStyle name="표준 2 2 5 6 2 2" xfId="0"/>
    <cellStyle name="표준 2 2 5 6 2 3" xfId="0"/>
    <cellStyle name="표준 2 2 5 6 2 4" xfId="0"/>
    <cellStyle name="표준 2 2 5 6 2 5" xfId="0"/>
    <cellStyle name="표준 2 2 5 6 2 6" xfId="0"/>
    <cellStyle name="표준 2 2 5 6 2 7" xfId="0"/>
    <cellStyle name="표준 2 2 5 6 2 8" xfId="0"/>
    <cellStyle name="표준 2 2 5 6 2 9" xfId="0"/>
    <cellStyle name="표준 2 2 5 7" xfId="0"/>
    <cellStyle name="표준 2 2 5 7 10" xfId="0"/>
    <cellStyle name="표준 2 2 5 7 2" xfId="0"/>
    <cellStyle name="표준 2 2 5 7 3" xfId="0"/>
    <cellStyle name="표준 2 2 5 7 4" xfId="0"/>
    <cellStyle name="표준 2 2 5 7 5" xfId="0"/>
    <cellStyle name="표준 2 2 5 7 6" xfId="0"/>
    <cellStyle name="표준 2 2 5 7 7" xfId="0"/>
    <cellStyle name="표준 2 2 5 7 8" xfId="0"/>
    <cellStyle name="표준 2 2 5 7 9" xfId="0"/>
    <cellStyle name="표준 2 2 5 8" xfId="0"/>
    <cellStyle name="표준 2 2 5 8 10" xfId="0"/>
    <cellStyle name="표준 2 2 5 8 2" xfId="0"/>
    <cellStyle name="표준 2 2 5 8 3" xfId="0"/>
    <cellStyle name="표준 2 2 5 8 4" xfId="0"/>
    <cellStyle name="표준 2 2 5 8 5" xfId="0"/>
    <cellStyle name="표준 2 2 5 8 6" xfId="0"/>
    <cellStyle name="표준 2 2 5 8 7" xfId="0"/>
    <cellStyle name="표준 2 2 5 8 8" xfId="0"/>
    <cellStyle name="표준 2 2 5 8 9" xfId="0"/>
    <cellStyle name="표준 2 2 5 9" xfId="0"/>
    <cellStyle name="표준 2 2 5 9 2" xfId="0"/>
    <cellStyle name="표준 2 2 50" xfId="0"/>
    <cellStyle name="표준 2 2 51" xfId="0"/>
    <cellStyle name="표준 2 2 52" xfId="0"/>
    <cellStyle name="표준 2 2 53" xfId="0"/>
    <cellStyle name="표준 2 2 54" xfId="0"/>
    <cellStyle name="표준 2 2 55" xfId="0"/>
    <cellStyle name="표준 2 2 56" xfId="0"/>
    <cellStyle name="표준 2 2 57" xfId="0"/>
    <cellStyle name="표준 2 2 58" xfId="0"/>
    <cellStyle name="표준 2 2 59" xfId="0"/>
    <cellStyle name="표준 2 2 6" xfId="0"/>
    <cellStyle name="표준 2 2 6 10" xfId="0"/>
    <cellStyle name="표준 2 2 6 11" xfId="0"/>
    <cellStyle name="표준 2 2 6 2" xfId="0"/>
    <cellStyle name="표준 2 2 6 3" xfId="0"/>
    <cellStyle name="표준 2 2 6 4" xfId="0"/>
    <cellStyle name="표준 2 2 6 5" xfId="0"/>
    <cellStyle name="표준 2 2 6 6" xfId="0"/>
    <cellStyle name="표준 2 2 6 7" xfId="0"/>
    <cellStyle name="표준 2 2 6 8" xfId="0"/>
    <cellStyle name="표준 2 2 6 9" xfId="0"/>
    <cellStyle name="표준 2 2 60" xfId="0"/>
    <cellStyle name="표준 2 2 61" xfId="0"/>
    <cellStyle name="표준 2 2 7" xfId="0"/>
    <cellStyle name="표준 2 2 7 10" xfId="0"/>
    <cellStyle name="표준 2 2 7 11" xfId="0"/>
    <cellStyle name="표준 2 2 7 2" xfId="0"/>
    <cellStyle name="표준 2 2 7 3" xfId="0"/>
    <cellStyle name="표준 2 2 7 4" xfId="0"/>
    <cellStyle name="표준 2 2 7 5" xfId="0"/>
    <cellStyle name="표준 2 2 7 6" xfId="0"/>
    <cellStyle name="표준 2 2 7 7" xfId="0"/>
    <cellStyle name="표준 2 2 7 8" xfId="0"/>
    <cellStyle name="표준 2 2 7 9" xfId="0"/>
    <cellStyle name="표준 2 2 8" xfId="0"/>
    <cellStyle name="표준 2 2 8 10" xfId="0"/>
    <cellStyle name="표준 2 2 8 10 2" xfId="0"/>
    <cellStyle name="표준 2 2 8 11" xfId="0"/>
    <cellStyle name="표준 2 2 8 2" xfId="0"/>
    <cellStyle name="표준 2 2 8 2 2" xfId="0"/>
    <cellStyle name="표준 2 2 8 3" xfId="0"/>
    <cellStyle name="표준 2 2 8 3 2" xfId="0"/>
    <cellStyle name="표준 2 2 8 4" xfId="0"/>
    <cellStyle name="표준 2 2 8 4 2" xfId="0"/>
    <cellStyle name="표준 2 2 8 5" xfId="0"/>
    <cellStyle name="표준 2 2 8 5 2" xfId="0"/>
    <cellStyle name="표준 2 2 8 6" xfId="0"/>
    <cellStyle name="표준 2 2 8 6 2" xfId="0"/>
    <cellStyle name="표준 2 2 8 7" xfId="0"/>
    <cellStyle name="표준 2 2 8 7 2" xfId="0"/>
    <cellStyle name="표준 2 2 8 8" xfId="0"/>
    <cellStyle name="표준 2 2 8 8 2" xfId="0"/>
    <cellStyle name="표준 2 2 8 9" xfId="0"/>
    <cellStyle name="표준 2 2 8 9 2" xfId="0"/>
    <cellStyle name="표준 2 2 9" xfId="0"/>
    <cellStyle name="표준 2 2 9 10" xfId="0"/>
    <cellStyle name="표준 2 2 9 10 2" xfId="0"/>
    <cellStyle name="표준 2 2 9 2" xfId="0"/>
    <cellStyle name="표준 2 2 9 2 2" xfId="0"/>
    <cellStyle name="표준 2 2 9 3" xfId="0"/>
    <cellStyle name="표준 2 2 9 3 2" xfId="0"/>
    <cellStyle name="표준 2 2 9 4" xfId="0"/>
    <cellStyle name="표준 2 2 9 4 2" xfId="0"/>
    <cellStyle name="표준 2 2 9 5" xfId="0"/>
    <cellStyle name="표준 2 2 9 5 2" xfId="0"/>
    <cellStyle name="표준 2 2 9 6" xfId="0"/>
    <cellStyle name="표준 2 2 9 6 2" xfId="0"/>
    <cellStyle name="표준 2 2 9 7" xfId="0"/>
    <cellStyle name="표준 2 2 9 7 2" xfId="0"/>
    <cellStyle name="표준 2 2 9 8" xfId="0"/>
    <cellStyle name="표준 2 2 9 8 2" xfId="0"/>
    <cellStyle name="표준 2 2 9 9" xfId="0"/>
    <cellStyle name="표준 2 2 9 9 2" xfId="0"/>
    <cellStyle name="표준 2 20" xfId="0"/>
    <cellStyle name="표준 2 20 10" xfId="0"/>
    <cellStyle name="표준 2 20 11" xfId="0"/>
    <cellStyle name="표준 2 20 2" xfId="0"/>
    <cellStyle name="표준 2 20 3" xfId="0"/>
    <cellStyle name="표준 2 20 4" xfId="0"/>
    <cellStyle name="표준 2 20 5" xfId="0"/>
    <cellStyle name="표준 2 20 6" xfId="0"/>
    <cellStyle name="표준 2 20 7" xfId="0"/>
    <cellStyle name="표준 2 20 8" xfId="0"/>
    <cellStyle name="표준 2 20 9" xfId="0"/>
    <cellStyle name="표준 2 21" xfId="0"/>
    <cellStyle name="표준 2 21 10" xfId="0"/>
    <cellStyle name="표준 2 21 11" xfId="0"/>
    <cellStyle name="표준 2 21 12" xfId="0"/>
    <cellStyle name="표준 2 21 13" xfId="0"/>
    <cellStyle name="표준 2 21 14" xfId="0"/>
    <cellStyle name="표준 2 21 15" xfId="0"/>
    <cellStyle name="표준 2 21 2" xfId="0"/>
    <cellStyle name="표준 2 21 2 2" xfId="0"/>
    <cellStyle name="표준 2 21 2 2 2" xfId="0"/>
    <cellStyle name="표준 2 21 2 2 3" xfId="0"/>
    <cellStyle name="표준 2 21 2 2 4" xfId="0"/>
    <cellStyle name="표준 2 21 2 2 5" xfId="0"/>
    <cellStyle name="표준 2 21 2 3" xfId="0"/>
    <cellStyle name="표준 2 21 2 4" xfId="0"/>
    <cellStyle name="표준 2 21 2 5" xfId="0"/>
    <cellStyle name="표준 2 21 2 6" xfId="0"/>
    <cellStyle name="표준 2 21 3" xfId="0"/>
    <cellStyle name="표준 2 21 3 2" xfId="0"/>
    <cellStyle name="표준 2 21 3 3" xfId="0"/>
    <cellStyle name="표준 2 21 3 4" xfId="0"/>
    <cellStyle name="표준 2 21 3 5" xfId="0"/>
    <cellStyle name="표준 2 21 3 6" xfId="0"/>
    <cellStyle name="표준 2 21 4" xfId="0"/>
    <cellStyle name="표준 2 21 4 2" xfId="0"/>
    <cellStyle name="표준 2 21 5" xfId="0"/>
    <cellStyle name="표준 2 21 5 2" xfId="0"/>
    <cellStyle name="표준 2 21 6" xfId="0"/>
    <cellStyle name="표준 2 21 7" xfId="0"/>
    <cellStyle name="표준 2 21 8" xfId="0"/>
    <cellStyle name="표준 2 21 9" xfId="0"/>
    <cellStyle name="표준 2 22" xfId="0"/>
    <cellStyle name="표준 2 22 2" xfId="0"/>
    <cellStyle name="표준 2 22 2 2" xfId="0"/>
    <cellStyle name="표준 2 22 2 3" xfId="0"/>
    <cellStyle name="표준 2 22 2 4" xfId="0"/>
    <cellStyle name="표준 2 22 2 5" xfId="0"/>
    <cellStyle name="표준 2 22 2 6" xfId="0"/>
    <cellStyle name="표준 2 22 3" xfId="0"/>
    <cellStyle name="표준 2 22 3 2" xfId="0"/>
    <cellStyle name="표준 2 22 4" xfId="0"/>
    <cellStyle name="표준 2 22 4 2" xfId="0"/>
    <cellStyle name="표준 2 22 5" xfId="0"/>
    <cellStyle name="표준 2 22 5 2" xfId="0"/>
    <cellStyle name="표준 2 22 6" xfId="0"/>
    <cellStyle name="표준 2 23" xfId="0"/>
    <cellStyle name="표준 2 23 2" xfId="0"/>
    <cellStyle name="표준 2 23 2 2" xfId="0"/>
    <cellStyle name="표준 2 23 2 3" xfId="0"/>
    <cellStyle name="표준 2 23 2 4" xfId="0"/>
    <cellStyle name="표준 2 23 2 5" xfId="0"/>
    <cellStyle name="표준 2 23 2 6" xfId="0"/>
    <cellStyle name="표준 2 23 3" xfId="0"/>
    <cellStyle name="표준 2 23 4" xfId="0"/>
    <cellStyle name="표준 2 23 5" xfId="0"/>
    <cellStyle name="표준 2 23 6" xfId="0"/>
    <cellStyle name="표준 2 24" xfId="0"/>
    <cellStyle name="표준 2 24 2" xfId="0"/>
    <cellStyle name="표준 2 24 2 2" xfId="0"/>
    <cellStyle name="표준 2 24 2 3" xfId="0"/>
    <cellStyle name="표준 2 24 2 4" xfId="0"/>
    <cellStyle name="표준 2 24 2 5" xfId="0"/>
    <cellStyle name="표준 2 24 3" xfId="0"/>
    <cellStyle name="표준 2 24 4" xfId="0"/>
    <cellStyle name="표준 2 24 5" xfId="0"/>
    <cellStyle name="표준 2 24 6" xfId="0"/>
    <cellStyle name="표준 2 25" xfId="0"/>
    <cellStyle name="표준 2 25 2" xfId="0"/>
    <cellStyle name="표준 2 25 2 2" xfId="0"/>
    <cellStyle name="표준 2 25 2 3" xfId="0"/>
    <cellStyle name="표준 2 25 2 4" xfId="0"/>
    <cellStyle name="표준 2 25 2 5" xfId="0"/>
    <cellStyle name="표준 2 25 3" xfId="0"/>
    <cellStyle name="표준 2 25 4" xfId="0"/>
    <cellStyle name="표준 2 25 5" xfId="0"/>
    <cellStyle name="표준 2 25 6" xfId="0"/>
    <cellStyle name="표준 2 26" xfId="0"/>
    <cellStyle name="표준 2 26 2" xfId="0"/>
    <cellStyle name="표준 2 26 2 2" xfId="0"/>
    <cellStyle name="표준 2 26 2 3" xfId="0"/>
    <cellStyle name="표준 2 26 2 4" xfId="0"/>
    <cellStyle name="표준 2 26 2 5" xfId="0"/>
    <cellStyle name="표준 2 26 3" xfId="0"/>
    <cellStyle name="표준 2 26 4" xfId="0"/>
    <cellStyle name="표준 2 26 5" xfId="0"/>
    <cellStyle name="표준 2 26 6" xfId="0"/>
    <cellStyle name="표준 2 27" xfId="0"/>
    <cellStyle name="표준 2 27 2" xfId="0"/>
    <cellStyle name="표준 2 27 2 2" xfId="0"/>
    <cellStyle name="표준 2 27 2 3" xfId="0"/>
    <cellStyle name="표준 2 27 2 4" xfId="0"/>
    <cellStyle name="표준 2 27 2 5" xfId="0"/>
    <cellStyle name="표준 2 27 3" xfId="0"/>
    <cellStyle name="표준 2 27 4" xfId="0"/>
    <cellStyle name="표준 2 27 5" xfId="0"/>
    <cellStyle name="표준 2 27 6" xfId="0"/>
    <cellStyle name="표준 2 28" xfId="0"/>
    <cellStyle name="표준 2 28 2" xfId="0"/>
    <cellStyle name="표준 2 29" xfId="0"/>
    <cellStyle name="표준 2 29 2" xfId="0"/>
    <cellStyle name="표준 2 2_Sheet1" xfId="0"/>
    <cellStyle name="표준 2 3" xfId="0"/>
    <cellStyle name="표준 2 3 10" xfId="0"/>
    <cellStyle name="표준 2 3 10 2" xfId="0"/>
    <cellStyle name="표준 2 3 11" xfId="0"/>
    <cellStyle name="표준 2 3 11 2" xfId="0"/>
    <cellStyle name="표준 2 3 12" xfId="0"/>
    <cellStyle name="표준 2 3 12 2" xfId="0"/>
    <cellStyle name="표준 2 3 13" xfId="0"/>
    <cellStyle name="표준 2 3 13 2" xfId="0"/>
    <cellStyle name="표준 2 3 14" xfId="0"/>
    <cellStyle name="표준 2 3 14 2" xfId="0"/>
    <cellStyle name="표준 2 3 15" xfId="0"/>
    <cellStyle name="표준 2 3 15 2" xfId="0"/>
    <cellStyle name="표준 2 3 16" xfId="0"/>
    <cellStyle name="표준 2 3 16 2" xfId="0"/>
    <cellStyle name="표준 2 3 17" xfId="0"/>
    <cellStyle name="표준 2 3 17 2" xfId="0"/>
    <cellStyle name="표준 2 3 18" xfId="0"/>
    <cellStyle name="표준 2 3 18 2" xfId="0"/>
    <cellStyle name="표준 2 3 19" xfId="0"/>
    <cellStyle name="표준 2 3 2" xfId="0"/>
    <cellStyle name="표준 2 3 2 10" xfId="0"/>
    <cellStyle name="표준 2 3 2 11" xfId="0"/>
    <cellStyle name="표준 2 3 2 12" xfId="0"/>
    <cellStyle name="표준 2 3 2 13" xfId="0"/>
    <cellStyle name="표준 2 3 2 14" xfId="0"/>
    <cellStyle name="표준 2 3 2 15" xfId="0"/>
    <cellStyle name="표준 2 3 2 16" xfId="0"/>
    <cellStyle name="표준 2 3 2 17" xfId="0"/>
    <cellStyle name="표준 2 3 2 18" xfId="0"/>
    <cellStyle name="표준 2 3 2 2" xfId="0"/>
    <cellStyle name="표준 2 3 2 2 10" xfId="0"/>
    <cellStyle name="표준 2 3 2 2 11" xfId="0"/>
    <cellStyle name="표준 2 3 2 2 12" xfId="0"/>
    <cellStyle name="표준 2 3 2 2 13" xfId="0"/>
    <cellStyle name="표준 2 3 2 2 14" xfId="0"/>
    <cellStyle name="표준 2 3 2 2 15" xfId="0"/>
    <cellStyle name="표준 2 3 2 2 16" xfId="0"/>
    <cellStyle name="표준 2 3 2 2 2" xfId="0"/>
    <cellStyle name="표준 2 3 2 2 3" xfId="0"/>
    <cellStyle name="표준 2 3 2 2 4" xfId="0"/>
    <cellStyle name="표준 2 3 2 2 5" xfId="0"/>
    <cellStyle name="표준 2 3 2 2 6" xfId="0"/>
    <cellStyle name="표준 2 3 2 2 7" xfId="0"/>
    <cellStyle name="표준 2 3 2 2 8" xfId="0"/>
    <cellStyle name="표준 2 3 2 2 9" xfId="0"/>
    <cellStyle name="표준 2 3 2 3" xfId="0"/>
    <cellStyle name="표준 2 3 2 4" xfId="0"/>
    <cellStyle name="표준 2 3 2 5" xfId="0"/>
    <cellStyle name="표준 2 3 2 6" xfId="0"/>
    <cellStyle name="표준 2 3 2 7" xfId="0"/>
    <cellStyle name="표준 2 3 2 8" xfId="0"/>
    <cellStyle name="표준 2 3 2 9" xfId="0"/>
    <cellStyle name="표준 2 3 20" xfId="0"/>
    <cellStyle name="표준 2 3 21" xfId="0"/>
    <cellStyle name="표준 2 3 3" xfId="0"/>
    <cellStyle name="표준 2 3 3 2" xfId="0"/>
    <cellStyle name="표준 2 3 3 3" xfId="0"/>
    <cellStyle name="표준 2 3 4" xfId="0"/>
    <cellStyle name="표준 2 3 4 2" xfId="0"/>
    <cellStyle name="표준 2 3 5" xfId="0"/>
    <cellStyle name="표준 2 3 6" xfId="0"/>
    <cellStyle name="표준 2 3 7" xfId="0"/>
    <cellStyle name="표준 2 3 8" xfId="0"/>
    <cellStyle name="표준 2 3 9" xfId="0"/>
    <cellStyle name="표준 2 30" xfId="0"/>
    <cellStyle name="표준 2 30 2" xfId="0"/>
    <cellStyle name="표준 2 31" xfId="0"/>
    <cellStyle name="표준 2 32" xfId="0"/>
    <cellStyle name="표준 2 33" xfId="0"/>
    <cellStyle name="표준 2 34" xfId="0"/>
    <cellStyle name="표준 2 35" xfId="0"/>
    <cellStyle name="표준 2 36" xfId="0"/>
    <cellStyle name="표준 2 37" xfId="0"/>
    <cellStyle name="표준 2 38" xfId="0"/>
    <cellStyle name="표준 2 4" xfId="0"/>
    <cellStyle name="표준 2 4 10" xfId="0"/>
    <cellStyle name="표준 2 4 11" xfId="0"/>
    <cellStyle name="표준 2 4 12" xfId="0"/>
    <cellStyle name="표준 2 4 13" xfId="0"/>
    <cellStyle name="표준 2 4 14" xfId="0"/>
    <cellStyle name="표준 2 4 15" xfId="0"/>
    <cellStyle name="표준 2 4 16" xfId="0"/>
    <cellStyle name="표준 2 4 17" xfId="0"/>
    <cellStyle name="표준 2 4 18" xfId="0"/>
    <cellStyle name="표준 2 4 19" xfId="0"/>
    <cellStyle name="표준 2 4 2" xfId="0"/>
    <cellStyle name="표준 2 4 2 10" xfId="0"/>
    <cellStyle name="표준 2 4 2 10 10" xfId="0"/>
    <cellStyle name="표준 2 4 2 10 2" xfId="0"/>
    <cellStyle name="표준 2 4 2 10 3" xfId="0"/>
    <cellStyle name="표준 2 4 2 10 4" xfId="0"/>
    <cellStyle name="표준 2 4 2 10 5" xfId="0"/>
    <cellStyle name="표준 2 4 2 10 6" xfId="0"/>
    <cellStyle name="표준 2 4 2 10 7" xfId="0"/>
    <cellStyle name="표준 2 4 2 10 8" xfId="0"/>
    <cellStyle name="표준 2 4 2 10 9" xfId="0"/>
    <cellStyle name="표준 2 4 2 11" xfId="0"/>
    <cellStyle name="표준 2 4 2 12" xfId="0"/>
    <cellStyle name="표준 2 4 2 13" xfId="0"/>
    <cellStyle name="표준 2 4 2 14" xfId="0"/>
    <cellStyle name="표준 2 4 2 15" xfId="0"/>
    <cellStyle name="표준 2 4 2 16" xfId="0"/>
    <cellStyle name="표준 2 4 2 17" xfId="0"/>
    <cellStyle name="표준 2 4 2 18" xfId="0"/>
    <cellStyle name="표준 2 4 2 19" xfId="0"/>
    <cellStyle name="표준 2 4 2 2" xfId="0"/>
    <cellStyle name="표준 2 4 2 2 2" xfId="0"/>
    <cellStyle name="표준 2 4 2 2 2 10" xfId="0"/>
    <cellStyle name="표준 2 4 2 2 2 11" xfId="0"/>
    <cellStyle name="표준 2 4 2 2 2 12" xfId="0"/>
    <cellStyle name="표준 2 4 2 2 2 13" xfId="0"/>
    <cellStyle name="표준 2 4 2 2 2 14" xfId="0"/>
    <cellStyle name="표준 2 4 2 2 2 2" xfId="0"/>
    <cellStyle name="표준 2 4 2 2 2 2 2" xfId="0"/>
    <cellStyle name="표준 2 4 2 2 2 2 2 10" xfId="0"/>
    <cellStyle name="표준 2 4 2 2 2 2 2 2" xfId="0"/>
    <cellStyle name="표준 2 4 2 2 2 2 2 3" xfId="0"/>
    <cellStyle name="표준 2 4 2 2 2 2 2 4" xfId="0"/>
    <cellStyle name="표준 2 4 2 2 2 2 2 5" xfId="0"/>
    <cellStyle name="표준 2 4 2 2 2 2 2 6" xfId="0"/>
    <cellStyle name="표준 2 4 2 2 2 2 2 7" xfId="0"/>
    <cellStyle name="표준 2 4 2 2 2 2 2 8" xfId="0"/>
    <cellStyle name="표준 2 4 2 2 2 2 2 9" xfId="0"/>
    <cellStyle name="표준 2 4 2 2 2 3" xfId="0"/>
    <cellStyle name="표준 2 4 2 2 2 3 10" xfId="0"/>
    <cellStyle name="표준 2 4 2 2 2 3 2" xfId="0"/>
    <cellStyle name="표준 2 4 2 2 2 3 3" xfId="0"/>
    <cellStyle name="표준 2 4 2 2 2 3 4" xfId="0"/>
    <cellStyle name="표준 2 4 2 2 2 3 5" xfId="0"/>
    <cellStyle name="표준 2 4 2 2 2 3 6" xfId="0"/>
    <cellStyle name="표준 2 4 2 2 2 3 7" xfId="0"/>
    <cellStyle name="표준 2 4 2 2 2 3 8" xfId="0"/>
    <cellStyle name="표준 2 4 2 2 2 3 9" xfId="0"/>
    <cellStyle name="표준 2 4 2 2 2 4" xfId="0"/>
    <cellStyle name="표준 2 4 2 2 2 4 10" xfId="0"/>
    <cellStyle name="표준 2 4 2 2 2 4 2" xfId="0"/>
    <cellStyle name="표준 2 4 2 2 2 4 3" xfId="0"/>
    <cellStyle name="표준 2 4 2 2 2 4 4" xfId="0"/>
    <cellStyle name="표준 2 4 2 2 2 4 5" xfId="0"/>
    <cellStyle name="표준 2 4 2 2 2 4 6" xfId="0"/>
    <cellStyle name="표준 2 4 2 2 2 4 7" xfId="0"/>
    <cellStyle name="표준 2 4 2 2 2 4 8" xfId="0"/>
    <cellStyle name="표준 2 4 2 2 2 4 9" xfId="0"/>
    <cellStyle name="표준 2 4 2 2 2 5" xfId="0"/>
    <cellStyle name="표준 2 4 2 2 2 5 10" xfId="0"/>
    <cellStyle name="표준 2 4 2 2 2 5 2" xfId="0"/>
    <cellStyle name="표준 2 4 2 2 2 5 3" xfId="0"/>
    <cellStyle name="표준 2 4 2 2 2 5 4" xfId="0"/>
    <cellStyle name="표준 2 4 2 2 2 5 5" xfId="0"/>
    <cellStyle name="표준 2 4 2 2 2 5 6" xfId="0"/>
    <cellStyle name="표준 2 4 2 2 2 5 7" xfId="0"/>
    <cellStyle name="표준 2 4 2 2 2 5 8" xfId="0"/>
    <cellStyle name="표준 2 4 2 2 2 5 9" xfId="0"/>
    <cellStyle name="표준 2 4 2 2 2 6" xfId="0"/>
    <cellStyle name="표준 2 4 2 2 2 7" xfId="0"/>
    <cellStyle name="표준 2 4 2 2 2 8" xfId="0"/>
    <cellStyle name="표준 2 4 2 2 2 9" xfId="0"/>
    <cellStyle name="표준 2 4 2 2 3" xfId="0"/>
    <cellStyle name="표준 2 4 2 2 3 10" xfId="0"/>
    <cellStyle name="표준 2 4 2 2 3 2" xfId="0"/>
    <cellStyle name="표준 2 4 2 2 3 3" xfId="0"/>
    <cellStyle name="표준 2 4 2 2 3 4" xfId="0"/>
    <cellStyle name="표준 2 4 2 2 3 5" xfId="0"/>
    <cellStyle name="표준 2 4 2 2 3 6" xfId="0"/>
    <cellStyle name="표준 2 4 2 2 3 7" xfId="0"/>
    <cellStyle name="표준 2 4 2 2 3 8" xfId="0"/>
    <cellStyle name="표준 2 4 2 2 3 9" xfId="0"/>
    <cellStyle name="표준 2 4 2 2 4" xfId="0"/>
    <cellStyle name="표준 2 4 2 2 4 10" xfId="0"/>
    <cellStyle name="표준 2 4 2 2 4 2" xfId="0"/>
    <cellStyle name="표준 2 4 2 2 4 3" xfId="0"/>
    <cellStyle name="표준 2 4 2 2 4 4" xfId="0"/>
    <cellStyle name="표준 2 4 2 2 4 5" xfId="0"/>
    <cellStyle name="표준 2 4 2 2 4 6" xfId="0"/>
    <cellStyle name="표준 2 4 2 2 4 7" xfId="0"/>
    <cellStyle name="표준 2 4 2 2 4 8" xfId="0"/>
    <cellStyle name="표준 2 4 2 2 4 9" xfId="0"/>
    <cellStyle name="표준 2 4 2 2 5" xfId="0"/>
    <cellStyle name="표준 2 4 2 2 5 10" xfId="0"/>
    <cellStyle name="표준 2 4 2 2 5 2" xfId="0"/>
    <cellStyle name="표준 2 4 2 2 5 3" xfId="0"/>
    <cellStyle name="표준 2 4 2 2 5 4" xfId="0"/>
    <cellStyle name="표준 2 4 2 2 5 5" xfId="0"/>
    <cellStyle name="표준 2 4 2 2 5 6" xfId="0"/>
    <cellStyle name="표준 2 4 2 2 5 7" xfId="0"/>
    <cellStyle name="표준 2 4 2 2 5 8" xfId="0"/>
    <cellStyle name="표준 2 4 2 2 5 9" xfId="0"/>
    <cellStyle name="표준 2 4 2 2 6" xfId="0"/>
    <cellStyle name="표준 2 4 2 2 6 10" xfId="0"/>
    <cellStyle name="표준 2 4 2 2 6 11" xfId="0"/>
    <cellStyle name="표준 2 4 2 2 6 2" xfId="0"/>
    <cellStyle name="표준 2 4 2 2 6 3" xfId="0"/>
    <cellStyle name="표준 2 4 2 2 6 4" xfId="0"/>
    <cellStyle name="표준 2 4 2 2 6 5" xfId="0"/>
    <cellStyle name="표준 2 4 2 2 6 6" xfId="0"/>
    <cellStyle name="표준 2 4 2 2 6 7" xfId="0"/>
    <cellStyle name="표준 2 4 2 2 6 8" xfId="0"/>
    <cellStyle name="표준 2 4 2 2 6 9" xfId="0"/>
    <cellStyle name="표준 2 4 2 2 7" xfId="0"/>
    <cellStyle name="표준 2 4 2 2 8" xfId="0"/>
    <cellStyle name="표준 2 4 2 20" xfId="0"/>
    <cellStyle name="표준 2 4 2 3" xfId="0"/>
    <cellStyle name="표준 2 4 2 3 10" xfId="0"/>
    <cellStyle name="표준 2 4 2 3 2" xfId="0"/>
    <cellStyle name="표준 2 4 2 3 3" xfId="0"/>
    <cellStyle name="표준 2 4 2 3 4" xfId="0"/>
    <cellStyle name="표준 2 4 2 3 5" xfId="0"/>
    <cellStyle name="표준 2 4 2 3 6" xfId="0"/>
    <cellStyle name="표준 2 4 2 3 7" xfId="0"/>
    <cellStyle name="표준 2 4 2 3 8" xfId="0"/>
    <cellStyle name="표준 2 4 2 3 9" xfId="0"/>
    <cellStyle name="표준 2 4 2 4" xfId="0"/>
    <cellStyle name="표준 2 4 2 4 10" xfId="0"/>
    <cellStyle name="표준 2 4 2 4 2" xfId="0"/>
    <cellStyle name="표준 2 4 2 4 3" xfId="0"/>
    <cellStyle name="표준 2 4 2 4 4" xfId="0"/>
    <cellStyle name="표준 2 4 2 4 5" xfId="0"/>
    <cellStyle name="표준 2 4 2 4 6" xfId="0"/>
    <cellStyle name="표준 2 4 2 4 7" xfId="0"/>
    <cellStyle name="표준 2 4 2 4 8" xfId="0"/>
    <cellStyle name="표준 2 4 2 4 9" xfId="0"/>
    <cellStyle name="표준 2 4 2 5" xfId="0"/>
    <cellStyle name="표준 2 4 2 6" xfId="0"/>
    <cellStyle name="표준 2 4 2 7" xfId="0"/>
    <cellStyle name="표준 2 4 2 8" xfId="0"/>
    <cellStyle name="표준 2 4 2 8 2" xfId="0"/>
    <cellStyle name="표준 2 4 2 8 2 10" xfId="0"/>
    <cellStyle name="표준 2 4 2 8 2 2" xfId="0"/>
    <cellStyle name="표준 2 4 2 8 2 3" xfId="0"/>
    <cellStyle name="표준 2 4 2 8 2 4" xfId="0"/>
    <cellStyle name="표준 2 4 2 8 2 5" xfId="0"/>
    <cellStyle name="표준 2 4 2 8 2 6" xfId="0"/>
    <cellStyle name="표준 2 4 2 8 2 7" xfId="0"/>
    <cellStyle name="표준 2 4 2 8 2 8" xfId="0"/>
    <cellStyle name="표준 2 4 2 8 2 9" xfId="0"/>
    <cellStyle name="표준 2 4 2 9" xfId="0"/>
    <cellStyle name="표준 2 4 2 9 10" xfId="0"/>
    <cellStyle name="표준 2 4 2 9 2" xfId="0"/>
    <cellStyle name="표준 2 4 2 9 3" xfId="0"/>
    <cellStyle name="표준 2 4 2 9 4" xfId="0"/>
    <cellStyle name="표준 2 4 2 9 5" xfId="0"/>
    <cellStyle name="표준 2 4 2 9 6" xfId="0"/>
    <cellStyle name="표준 2 4 2 9 7" xfId="0"/>
    <cellStyle name="표준 2 4 2 9 8" xfId="0"/>
    <cellStyle name="표준 2 4 2 9 9" xfId="0"/>
    <cellStyle name="표준 2 4 20" xfId="0"/>
    <cellStyle name="표준 2 4 3" xfId="0"/>
    <cellStyle name="표준 2 4 3 10" xfId="0"/>
    <cellStyle name="표준 2 4 3 11" xfId="0"/>
    <cellStyle name="표준 2 4 3 12" xfId="0"/>
    <cellStyle name="표준 2 4 3 13" xfId="0"/>
    <cellStyle name="표준 2 4 3 14" xfId="0"/>
    <cellStyle name="표준 2 4 3 15" xfId="0"/>
    <cellStyle name="표준 2 4 3 2" xfId="0"/>
    <cellStyle name="표준 2 4 3 3" xfId="0"/>
    <cellStyle name="표준 2 4 3 4" xfId="0"/>
    <cellStyle name="표준 2 4 3 5" xfId="0"/>
    <cellStyle name="표준 2 4 3 6" xfId="0"/>
    <cellStyle name="표준 2 4 3 7" xfId="0"/>
    <cellStyle name="표준 2 4 3 8" xfId="0"/>
    <cellStyle name="표준 2 4 3 9" xfId="0"/>
    <cellStyle name="표준 2 4 4" xfId="0"/>
    <cellStyle name="표준 2 4 5" xfId="0"/>
    <cellStyle name="표준 2 4 5 10" xfId="0"/>
    <cellStyle name="표준 2 4 5 2" xfId="0"/>
    <cellStyle name="표준 2 4 5 3" xfId="0"/>
    <cellStyle name="표준 2 4 5 4" xfId="0"/>
    <cellStyle name="표준 2 4 5 5" xfId="0"/>
    <cellStyle name="표준 2 4 5 6" xfId="0"/>
    <cellStyle name="표준 2 4 5 7" xfId="0"/>
    <cellStyle name="표준 2 4 5 8" xfId="0"/>
    <cellStyle name="표준 2 4 5 9" xfId="0"/>
    <cellStyle name="표준 2 4 6" xfId="0"/>
    <cellStyle name="표준 2 4 6 10" xfId="0"/>
    <cellStyle name="표준 2 4 6 2" xfId="0"/>
    <cellStyle name="표준 2 4 6 3" xfId="0"/>
    <cellStyle name="표준 2 4 6 4" xfId="0"/>
    <cellStyle name="표준 2 4 6 5" xfId="0"/>
    <cellStyle name="표준 2 4 6 6" xfId="0"/>
    <cellStyle name="표준 2 4 6 7" xfId="0"/>
    <cellStyle name="표준 2 4 6 8" xfId="0"/>
    <cellStyle name="표준 2 4 6 9" xfId="0"/>
    <cellStyle name="표준 2 4 7" xfId="0"/>
    <cellStyle name="표준 2 4 7 10" xfId="0"/>
    <cellStyle name="표준 2 4 7 2" xfId="0"/>
    <cellStyle name="표준 2 4 7 3" xfId="0"/>
    <cellStyle name="표준 2 4 7 4" xfId="0"/>
    <cellStyle name="표준 2 4 7 5" xfId="0"/>
    <cellStyle name="표준 2 4 7 6" xfId="0"/>
    <cellStyle name="표준 2 4 7 7" xfId="0"/>
    <cellStyle name="표준 2 4 7 8" xfId="0"/>
    <cellStyle name="표준 2 4 7 9" xfId="0"/>
    <cellStyle name="표준 2 4 8" xfId="0"/>
    <cellStyle name="표준 2 4 8 2" xfId="0"/>
    <cellStyle name="표준 2 4 9" xfId="0"/>
    <cellStyle name="표준 2 5" xfId="0"/>
    <cellStyle name="표준 2 5 10" xfId="0"/>
    <cellStyle name="표준 2 5 10 2" xfId="0"/>
    <cellStyle name="표준 2 5 11" xfId="0"/>
    <cellStyle name="표준 2 5 11 2" xfId="0"/>
    <cellStyle name="표준 2 5 12" xfId="0"/>
    <cellStyle name="표준 2 5 12 2" xfId="0"/>
    <cellStyle name="표준 2 5 13" xfId="0"/>
    <cellStyle name="표준 2 5 13 2" xfId="0"/>
    <cellStyle name="표준 2 5 14" xfId="0"/>
    <cellStyle name="표준 2 5 15" xfId="0"/>
    <cellStyle name="표준 2 5 16" xfId="0"/>
    <cellStyle name="표준 2 5 17" xfId="0"/>
    <cellStyle name="표준 2 5 18" xfId="0"/>
    <cellStyle name="표준 2 5 2" xfId="0"/>
    <cellStyle name="표준 2 5 2 10" xfId="0"/>
    <cellStyle name="표준 2 5 2 11" xfId="0"/>
    <cellStyle name="표준 2 5 2 12" xfId="0"/>
    <cellStyle name="표준 2 5 2 13" xfId="0"/>
    <cellStyle name="표준 2 5 2 14" xfId="0"/>
    <cellStyle name="표준 2 5 2 15" xfId="0"/>
    <cellStyle name="표준 2 5 2 2" xfId="0"/>
    <cellStyle name="표준 2 5 2 2 2" xfId="0"/>
    <cellStyle name="표준 2 5 2 2 2 10" xfId="0"/>
    <cellStyle name="표준 2 5 2 2 2 2" xfId="0"/>
    <cellStyle name="표준 2 5 2 2 2 3" xfId="0"/>
    <cellStyle name="표준 2 5 2 2 2 4" xfId="0"/>
    <cellStyle name="표준 2 5 2 2 2 5" xfId="0"/>
    <cellStyle name="표준 2 5 2 2 2 6" xfId="0"/>
    <cellStyle name="표준 2 5 2 2 2 7" xfId="0"/>
    <cellStyle name="표준 2 5 2 2 2 8" xfId="0"/>
    <cellStyle name="표준 2 5 2 2 2 9" xfId="0"/>
    <cellStyle name="표준 2 5 2 3" xfId="0"/>
    <cellStyle name="표준 2 5 2 3 10" xfId="0"/>
    <cellStyle name="표준 2 5 2 3 2" xfId="0"/>
    <cellStyle name="표준 2 5 2 3 3" xfId="0"/>
    <cellStyle name="표준 2 5 2 3 4" xfId="0"/>
    <cellStyle name="표준 2 5 2 3 5" xfId="0"/>
    <cellStyle name="표준 2 5 2 3 6" xfId="0"/>
    <cellStyle name="표준 2 5 2 3 7" xfId="0"/>
    <cellStyle name="표준 2 5 2 3 8" xfId="0"/>
    <cellStyle name="표준 2 5 2 3 9" xfId="0"/>
    <cellStyle name="표준 2 5 2 4" xfId="0"/>
    <cellStyle name="표준 2 5 2 4 10" xfId="0"/>
    <cellStyle name="표준 2 5 2 4 2" xfId="0"/>
    <cellStyle name="표준 2 5 2 4 3" xfId="0"/>
    <cellStyle name="표준 2 5 2 4 4" xfId="0"/>
    <cellStyle name="표준 2 5 2 4 5" xfId="0"/>
    <cellStyle name="표준 2 5 2 4 6" xfId="0"/>
    <cellStyle name="표준 2 5 2 4 7" xfId="0"/>
    <cellStyle name="표준 2 5 2 4 8" xfId="0"/>
    <cellStyle name="표준 2 5 2 4 9" xfId="0"/>
    <cellStyle name="표준 2 5 2 5" xfId="0"/>
    <cellStyle name="표준 2 5 2 5 10" xfId="0"/>
    <cellStyle name="표준 2 5 2 5 2" xfId="0"/>
    <cellStyle name="표준 2 5 2 5 3" xfId="0"/>
    <cellStyle name="표준 2 5 2 5 4" xfId="0"/>
    <cellStyle name="표준 2 5 2 5 5" xfId="0"/>
    <cellStyle name="표준 2 5 2 5 6" xfId="0"/>
    <cellStyle name="표준 2 5 2 5 7" xfId="0"/>
    <cellStyle name="표준 2 5 2 5 8" xfId="0"/>
    <cellStyle name="표준 2 5 2 5 9" xfId="0"/>
    <cellStyle name="표준 2 5 2 6" xfId="0"/>
    <cellStyle name="표준 2 5 2 7" xfId="0"/>
    <cellStyle name="표준 2 5 2 8" xfId="0"/>
    <cellStyle name="표준 2 5 2 9" xfId="0"/>
    <cellStyle name="표준 2 5 3" xfId="0"/>
    <cellStyle name="표준 2 5 3 10" xfId="0"/>
    <cellStyle name="표준 2 5 3 11" xfId="0"/>
    <cellStyle name="표준 2 5 3 12" xfId="0"/>
    <cellStyle name="표준 2 5 3 2" xfId="0"/>
    <cellStyle name="표준 2 5 3 3" xfId="0"/>
    <cellStyle name="표준 2 5 3 4" xfId="0"/>
    <cellStyle name="표준 2 5 3 5" xfId="0"/>
    <cellStyle name="표준 2 5 3 6" xfId="0"/>
    <cellStyle name="표준 2 5 3 7" xfId="0"/>
    <cellStyle name="표준 2 5 3 8" xfId="0"/>
    <cellStyle name="표준 2 5 3 9" xfId="0"/>
    <cellStyle name="표준 2 5 4" xfId="0"/>
    <cellStyle name="표준 2 5 4 10" xfId="0"/>
    <cellStyle name="표준 2 5 4 11" xfId="0"/>
    <cellStyle name="표준 2 5 4 12" xfId="0"/>
    <cellStyle name="표준 2 5 4 2" xfId="0"/>
    <cellStyle name="표준 2 5 4 3" xfId="0"/>
    <cellStyle name="표준 2 5 4 4" xfId="0"/>
    <cellStyle name="표준 2 5 4 5" xfId="0"/>
    <cellStyle name="표준 2 5 4 6" xfId="0"/>
    <cellStyle name="표준 2 5 4 7" xfId="0"/>
    <cellStyle name="표준 2 5 4 8" xfId="0"/>
    <cellStyle name="표준 2 5 4 9" xfId="0"/>
    <cellStyle name="표준 2 5 5" xfId="0"/>
    <cellStyle name="표준 2 5 5 10" xfId="0"/>
    <cellStyle name="표준 2 5 5 11" xfId="0"/>
    <cellStyle name="표준 2 5 5 2" xfId="0"/>
    <cellStyle name="표준 2 5 5 3" xfId="0"/>
    <cellStyle name="표준 2 5 5 4" xfId="0"/>
    <cellStyle name="표준 2 5 5 5" xfId="0"/>
    <cellStyle name="표준 2 5 5 6" xfId="0"/>
    <cellStyle name="표준 2 5 5 7" xfId="0"/>
    <cellStyle name="표준 2 5 5 8" xfId="0"/>
    <cellStyle name="표준 2 5 5 9" xfId="0"/>
    <cellStyle name="표준 2 5 6" xfId="0"/>
    <cellStyle name="표준 2 5 6 2" xfId="0"/>
    <cellStyle name="표준 2 5 7" xfId="0"/>
    <cellStyle name="표준 2 5 8" xfId="0"/>
    <cellStyle name="표준 2 5 9" xfId="0"/>
    <cellStyle name="표준 2 5 9 2" xfId="0"/>
    <cellStyle name="표준 2 6" xfId="0"/>
    <cellStyle name="표준 2 6 10" xfId="0"/>
    <cellStyle name="표준 2 6 10 2" xfId="0"/>
    <cellStyle name="표준 2 6 11" xfId="0"/>
    <cellStyle name="표준 2 6 11 2" xfId="0"/>
    <cellStyle name="표준 2 6 12" xfId="0"/>
    <cellStyle name="표준 2 6 12 2" xfId="0"/>
    <cellStyle name="표준 2 6 13" xfId="0"/>
    <cellStyle name="표준 2 6 13 2" xfId="0"/>
    <cellStyle name="표준 2 6 14" xfId="0"/>
    <cellStyle name="표준 2 6 14 2" xfId="0"/>
    <cellStyle name="표준 2 6 15" xfId="0"/>
    <cellStyle name="표준 2 6 16" xfId="0"/>
    <cellStyle name="표준 2 6 2" xfId="0"/>
    <cellStyle name="표준 2 6 2 2" xfId="0"/>
    <cellStyle name="표준 2 6 2 2 10" xfId="0"/>
    <cellStyle name="표준 2 6 2 2 2" xfId="0"/>
    <cellStyle name="표준 2 6 2 2 3" xfId="0"/>
    <cellStyle name="표준 2 6 2 2 4" xfId="0"/>
    <cellStyle name="표준 2 6 2 2 5" xfId="0"/>
    <cellStyle name="표준 2 6 2 2 6" xfId="0"/>
    <cellStyle name="표준 2 6 2 2 7" xfId="0"/>
    <cellStyle name="표준 2 6 2 2 8" xfId="0"/>
    <cellStyle name="표준 2 6 2 2 9" xfId="0"/>
    <cellStyle name="표준 2 6 2 3" xfId="0"/>
    <cellStyle name="표준 2 6 3" xfId="0"/>
    <cellStyle name="표준 2 6 3 10" xfId="0"/>
    <cellStyle name="표준 2 6 3 11" xfId="0"/>
    <cellStyle name="표준 2 6 3 2" xfId="0"/>
    <cellStyle name="표준 2 6 3 3" xfId="0"/>
    <cellStyle name="표준 2 6 3 4" xfId="0"/>
    <cellStyle name="표준 2 6 3 5" xfId="0"/>
    <cellStyle name="표준 2 6 3 6" xfId="0"/>
    <cellStyle name="표준 2 6 3 7" xfId="0"/>
    <cellStyle name="표준 2 6 3 8" xfId="0"/>
    <cellStyle name="표준 2 6 3 9" xfId="0"/>
    <cellStyle name="표준 2 6 4" xfId="0"/>
    <cellStyle name="표준 2 6 4 10" xfId="0"/>
    <cellStyle name="표준 2 6 4 2" xfId="0"/>
    <cellStyle name="표준 2 6 4 3" xfId="0"/>
    <cellStyle name="표준 2 6 4 4" xfId="0"/>
    <cellStyle name="표준 2 6 4 5" xfId="0"/>
    <cellStyle name="표준 2 6 4 6" xfId="0"/>
    <cellStyle name="표준 2 6 4 7" xfId="0"/>
    <cellStyle name="표준 2 6 4 8" xfId="0"/>
    <cellStyle name="표준 2 6 4 9" xfId="0"/>
    <cellStyle name="표준 2 6 5" xfId="0"/>
    <cellStyle name="표준 2 6 5 10" xfId="0"/>
    <cellStyle name="표준 2 6 5 2" xfId="0"/>
    <cellStyle name="표준 2 6 5 3" xfId="0"/>
    <cellStyle name="표준 2 6 5 4" xfId="0"/>
    <cellStyle name="표준 2 6 5 5" xfId="0"/>
    <cellStyle name="표준 2 6 5 6" xfId="0"/>
    <cellStyle name="표준 2 6 5 7" xfId="0"/>
    <cellStyle name="표준 2 6 5 8" xfId="0"/>
    <cellStyle name="표준 2 6 5 9" xfId="0"/>
    <cellStyle name="표준 2 6 6" xfId="0"/>
    <cellStyle name="표준 2 6 6 2" xfId="0"/>
    <cellStyle name="표준 2 6 7" xfId="0"/>
    <cellStyle name="표준 2 6 7 2" xfId="0"/>
    <cellStyle name="표준 2 6 8" xfId="0"/>
    <cellStyle name="표준 2 6 8 2" xfId="0"/>
    <cellStyle name="표준 2 6 9" xfId="0"/>
    <cellStyle name="표준 2 6 9 2" xfId="0"/>
    <cellStyle name="표준 2 7" xfId="0"/>
    <cellStyle name="표준 2 7 10" xfId="0"/>
    <cellStyle name="표준 2 7 10 2" xfId="0"/>
    <cellStyle name="표준 2 7 11" xfId="0"/>
    <cellStyle name="표준 2 7 11 2" xfId="0"/>
    <cellStyle name="표준 2 7 12" xfId="0"/>
    <cellStyle name="표준 2 7 12 2" xfId="0"/>
    <cellStyle name="표준 2 7 13" xfId="0"/>
    <cellStyle name="표준 2 7 13 2" xfId="0"/>
    <cellStyle name="표준 2 7 14" xfId="0"/>
    <cellStyle name="표준 2 7 14 2" xfId="0"/>
    <cellStyle name="표준 2 7 15" xfId="0"/>
    <cellStyle name="표준 2 7 16" xfId="0"/>
    <cellStyle name="표준 2 7 2" xfId="0"/>
    <cellStyle name="표준 2 7 2 2" xfId="0"/>
    <cellStyle name="표준 2 7 2 2 10" xfId="0"/>
    <cellStyle name="표준 2 7 2 2 2" xfId="0"/>
    <cellStyle name="표준 2 7 2 2 3" xfId="0"/>
    <cellStyle name="표준 2 7 2 2 4" xfId="0"/>
    <cellStyle name="표준 2 7 2 2 5" xfId="0"/>
    <cellStyle name="표준 2 7 2 2 6" xfId="0"/>
    <cellStyle name="표준 2 7 2 2 7" xfId="0"/>
    <cellStyle name="표준 2 7 2 2 8" xfId="0"/>
    <cellStyle name="표준 2 7 2 2 9" xfId="0"/>
    <cellStyle name="표준 2 7 2 3" xfId="0"/>
    <cellStyle name="표준 2 7 3" xfId="0"/>
    <cellStyle name="표준 2 7 3 10" xfId="0"/>
    <cellStyle name="표준 2 7 3 11" xfId="0"/>
    <cellStyle name="표준 2 7 3 2" xfId="0"/>
    <cellStyle name="표준 2 7 3 3" xfId="0"/>
    <cellStyle name="표준 2 7 3 4" xfId="0"/>
    <cellStyle name="표준 2 7 3 5" xfId="0"/>
    <cellStyle name="표준 2 7 3 6" xfId="0"/>
    <cellStyle name="표준 2 7 3 7" xfId="0"/>
    <cellStyle name="표준 2 7 3 8" xfId="0"/>
    <cellStyle name="표준 2 7 3 9" xfId="0"/>
    <cellStyle name="표준 2 7 4" xfId="0"/>
    <cellStyle name="표준 2 7 4 10" xfId="0"/>
    <cellStyle name="표준 2 7 4 2" xfId="0"/>
    <cellStyle name="표준 2 7 4 3" xfId="0"/>
    <cellStyle name="표준 2 7 4 4" xfId="0"/>
    <cellStyle name="표준 2 7 4 5" xfId="0"/>
    <cellStyle name="표준 2 7 4 6" xfId="0"/>
    <cellStyle name="표준 2 7 4 7" xfId="0"/>
    <cellStyle name="표준 2 7 4 8" xfId="0"/>
    <cellStyle name="표준 2 7 4 9" xfId="0"/>
    <cellStyle name="표준 2 7 5" xfId="0"/>
    <cellStyle name="표준 2 7 5 10" xfId="0"/>
    <cellStyle name="표준 2 7 5 2" xfId="0"/>
    <cellStyle name="표준 2 7 5 3" xfId="0"/>
    <cellStyle name="표준 2 7 5 4" xfId="0"/>
    <cellStyle name="표준 2 7 5 5" xfId="0"/>
    <cellStyle name="표준 2 7 5 6" xfId="0"/>
    <cellStyle name="표준 2 7 5 7" xfId="0"/>
    <cellStyle name="표준 2 7 5 8" xfId="0"/>
    <cellStyle name="표준 2 7 5 9" xfId="0"/>
    <cellStyle name="표준 2 7 6" xfId="0"/>
    <cellStyle name="표준 2 7 6 2" xfId="0"/>
    <cellStyle name="표준 2 7 7" xfId="0"/>
    <cellStyle name="표준 2 7 7 2" xfId="0"/>
    <cellStyle name="표준 2 7 8" xfId="0"/>
    <cellStyle name="표준 2 7 8 2" xfId="0"/>
    <cellStyle name="표준 2 7 9" xfId="0"/>
    <cellStyle name="표준 2 7 9 2" xfId="0"/>
    <cellStyle name="표준 2 8" xfId="0"/>
    <cellStyle name="표준 2 8 10" xfId="0"/>
    <cellStyle name="표준 2 8 11" xfId="0"/>
    <cellStyle name="표준 2 8 2" xfId="0"/>
    <cellStyle name="표준 2 8 2 2" xfId="0"/>
    <cellStyle name="표준 2 8 2 3" xfId="0"/>
    <cellStyle name="표준 2 8 3" xfId="0"/>
    <cellStyle name="표준 2 8 3 2" xfId="0"/>
    <cellStyle name="표준 2 8 4" xfId="0"/>
    <cellStyle name="표준 2 8 5" xfId="0"/>
    <cellStyle name="표준 2 8 6" xfId="0"/>
    <cellStyle name="표준 2 8 7" xfId="0"/>
    <cellStyle name="표준 2 8 8" xfId="0"/>
    <cellStyle name="표준 2 8 9" xfId="0"/>
    <cellStyle name="표준 2 9" xfId="0"/>
    <cellStyle name="표준 2 9 10" xfId="0"/>
    <cellStyle name="표준 2 9 11" xfId="0"/>
    <cellStyle name="표준 2 9 12" xfId="0"/>
    <cellStyle name="표준 2 9 2" xfId="0"/>
    <cellStyle name="표준 2 9 3" xfId="0"/>
    <cellStyle name="표준 2 9 4" xfId="0"/>
    <cellStyle name="표준 2 9 5" xfId="0"/>
    <cellStyle name="표준 2 9 6" xfId="0"/>
    <cellStyle name="표준 2 9 7" xfId="0"/>
    <cellStyle name="표준 2 9 8" xfId="0"/>
    <cellStyle name="표준 2 9 9" xfId="0"/>
    <cellStyle name="표준 20" xfId="0"/>
    <cellStyle name="표준 20 10" xfId="0"/>
    <cellStyle name="표준 20 11" xfId="0"/>
    <cellStyle name="표준 20 12" xfId="0"/>
    <cellStyle name="표준 20 13" xfId="0"/>
    <cellStyle name="표준 20 14" xfId="0"/>
    <cellStyle name="표준 20 15" xfId="0"/>
    <cellStyle name="표준 20 16" xfId="0"/>
    <cellStyle name="표준 20 17" xfId="0"/>
    <cellStyle name="표준 20 18" xfId="0"/>
    <cellStyle name="표준 20 19" xfId="0"/>
    <cellStyle name="표준 20 2" xfId="0"/>
    <cellStyle name="표준 20 20" xfId="0"/>
    <cellStyle name="표준 20 21" xfId="0"/>
    <cellStyle name="표준 20 22" xfId="0"/>
    <cellStyle name="표준 20 3" xfId="0"/>
    <cellStyle name="표준 20 4" xfId="0"/>
    <cellStyle name="표준 20 5" xfId="0"/>
    <cellStyle name="표준 20 6" xfId="0"/>
    <cellStyle name="표준 20 7" xfId="0"/>
    <cellStyle name="표준 20 8" xfId="0"/>
    <cellStyle name="표준 20 9" xfId="0"/>
    <cellStyle name="표준 200" xfId="0"/>
    <cellStyle name="표준 201" xfId="0"/>
    <cellStyle name="표준 201 2" xfId="0"/>
    <cellStyle name="표준 202" xfId="0"/>
    <cellStyle name="표준 202 2" xfId="0"/>
    <cellStyle name="표준 203" xfId="0"/>
    <cellStyle name="표준 204" xfId="0"/>
    <cellStyle name="표준 205" xfId="0"/>
    <cellStyle name="표준 205 2" xfId="0"/>
    <cellStyle name="표준 206" xfId="0"/>
    <cellStyle name="표준 206 2" xfId="0"/>
    <cellStyle name="표준 207" xfId="0"/>
    <cellStyle name="표준 208" xfId="0"/>
    <cellStyle name="표준 209" xfId="0"/>
    <cellStyle name="표준 209 2" xfId="0"/>
    <cellStyle name="표준 21" xfId="0"/>
    <cellStyle name="표준 21 10" xfId="0"/>
    <cellStyle name="표준 21 11" xfId="0"/>
    <cellStyle name="표준 21 12" xfId="0"/>
    <cellStyle name="표준 21 13" xfId="0"/>
    <cellStyle name="표준 21 14" xfId="0"/>
    <cellStyle name="표준 21 15" xfId="0"/>
    <cellStyle name="표준 21 16" xfId="0"/>
    <cellStyle name="표준 21 17" xfId="0"/>
    <cellStyle name="표준 21 18" xfId="0"/>
    <cellStyle name="표준 21 19" xfId="0"/>
    <cellStyle name="표준 21 2" xfId="0"/>
    <cellStyle name="표준 21 2 2" xfId="0"/>
    <cellStyle name="표준 21 20" xfId="0"/>
    <cellStyle name="표준 21 21" xfId="0"/>
    <cellStyle name="표준 21 3" xfId="0"/>
    <cellStyle name="표준 21 3 2" xfId="0"/>
    <cellStyle name="표준 21 4" xfId="0"/>
    <cellStyle name="표준 21 4 2" xfId="0"/>
    <cellStyle name="표준 21 5" xfId="0"/>
    <cellStyle name="표준 21 5 2" xfId="0"/>
    <cellStyle name="표준 21 6" xfId="0"/>
    <cellStyle name="표준 21 6 2" xfId="0"/>
    <cellStyle name="표준 21 7" xfId="0"/>
    <cellStyle name="표준 21 7 10" xfId="0"/>
    <cellStyle name="표준 21 7 2" xfId="0"/>
    <cellStyle name="표준 21 7 2 2" xfId="0"/>
    <cellStyle name="표준 21 7 2 3" xfId="0"/>
    <cellStyle name="표준 21 7 2 4" xfId="0"/>
    <cellStyle name="표준 21 7 2 5" xfId="0"/>
    <cellStyle name="표준 21 7 3" xfId="0"/>
    <cellStyle name="표준 21 7 3 2" xfId="0"/>
    <cellStyle name="표준 21 7 3 3" xfId="0"/>
    <cellStyle name="표준 21 7 3 4" xfId="0"/>
    <cellStyle name="표준 21 7 3 5" xfId="0"/>
    <cellStyle name="표준 21 7 4" xfId="0"/>
    <cellStyle name="표준 21 7 4 2" xfId="0"/>
    <cellStyle name="표준 21 7 4 3" xfId="0"/>
    <cellStyle name="표준 21 7 4 4" xfId="0"/>
    <cellStyle name="표준 21 7 4 5" xfId="0"/>
    <cellStyle name="표준 21 7 5" xfId="0"/>
    <cellStyle name="표준 21 7 5 2" xfId="0"/>
    <cellStyle name="표준 21 7 5 3" xfId="0"/>
    <cellStyle name="표준 21 7 5 4" xfId="0"/>
    <cellStyle name="표준 21 7 5 5" xfId="0"/>
    <cellStyle name="표준 21 7 6" xfId="0"/>
    <cellStyle name="표준 21 7 7" xfId="0"/>
    <cellStyle name="표준 21 7 8" xfId="0"/>
    <cellStyle name="표준 21 7 9" xfId="0"/>
    <cellStyle name="표준 21 8" xfId="0"/>
    <cellStyle name="표준 21 8 2" xfId="0"/>
    <cellStyle name="표준 21 9" xfId="0"/>
    <cellStyle name="표준 210" xfId="0"/>
    <cellStyle name="표준 210 2" xfId="0"/>
    <cellStyle name="표준 210 2 2" xfId="0"/>
    <cellStyle name="표준 210 3" xfId="0"/>
    <cellStyle name="표준 211" xfId="0"/>
    <cellStyle name="표준 212" xfId="0"/>
    <cellStyle name="표준 212 2" xfId="0"/>
    <cellStyle name="표준 213" xfId="0"/>
    <cellStyle name="표준 213 2" xfId="0"/>
    <cellStyle name="표준 214" xfId="0"/>
    <cellStyle name="표준 215" xfId="0"/>
    <cellStyle name="표준 216" xfId="0"/>
    <cellStyle name="표준 216 2" xfId="0"/>
    <cellStyle name="표준 217" xfId="0"/>
    <cellStyle name="표준 217 2" xfId="0"/>
    <cellStyle name="표준 218" xfId="0"/>
    <cellStyle name="표준 218 2" xfId="0"/>
    <cellStyle name="표준 219" xfId="0"/>
    <cellStyle name="표준 219 2" xfId="0"/>
    <cellStyle name="표준 219 2 2" xfId="0"/>
    <cellStyle name="표준 219 3" xfId="0"/>
    <cellStyle name="표준 22" xfId="0"/>
    <cellStyle name="표준 22 2" xfId="0"/>
    <cellStyle name="표준 22 3" xfId="0"/>
    <cellStyle name="표준 220" xfId="0"/>
    <cellStyle name="표준 220 2" xfId="0"/>
    <cellStyle name="표준 220 2 2" xfId="0"/>
    <cellStyle name="표준 221" xfId="0"/>
    <cellStyle name="표준 222" xfId="0"/>
    <cellStyle name="표준 222 2" xfId="0"/>
    <cellStyle name="표준 222 2 2" xfId="0"/>
    <cellStyle name="표준 223" xfId="0"/>
    <cellStyle name="표준 224" xfId="0"/>
    <cellStyle name="표준 224 2" xfId="0"/>
    <cellStyle name="표준 224 2 2" xfId="0"/>
    <cellStyle name="표준 225" xfId="0"/>
    <cellStyle name="표준 225 2" xfId="0"/>
    <cellStyle name="표준 225 2 2" xfId="0"/>
    <cellStyle name="표준 226" xfId="0"/>
    <cellStyle name="표준 226 2" xfId="0"/>
    <cellStyle name="표준 226 2 2" xfId="0"/>
    <cellStyle name="표준 227" xfId="0"/>
    <cellStyle name="표준 227 2" xfId="0"/>
    <cellStyle name="표준 227 2 2" xfId="0"/>
    <cellStyle name="표준 228" xfId="0"/>
    <cellStyle name="표준 228 2" xfId="0"/>
    <cellStyle name="표준 228 2 2" xfId="0"/>
    <cellStyle name="표준 229" xfId="0"/>
    <cellStyle name="표준 229 2" xfId="0"/>
    <cellStyle name="표준 229 2 2" xfId="0"/>
    <cellStyle name="표준 23" xfId="0"/>
    <cellStyle name="표준 23 10" xfId="0"/>
    <cellStyle name="표준 23 11" xfId="0"/>
    <cellStyle name="표준 23 12" xfId="0"/>
    <cellStyle name="표준 23 13" xfId="0"/>
    <cellStyle name="표준 23 14" xfId="0"/>
    <cellStyle name="표준 23 15" xfId="0"/>
    <cellStyle name="표준 23 16" xfId="0"/>
    <cellStyle name="표준 23 2" xfId="0"/>
    <cellStyle name="표준 23 2 10" xfId="0"/>
    <cellStyle name="표준 23 2 2" xfId="0"/>
    <cellStyle name="표준 23 2 3" xfId="0"/>
    <cellStyle name="표준 23 2 4" xfId="0"/>
    <cellStyle name="표준 23 2 5" xfId="0"/>
    <cellStyle name="표준 23 2 6" xfId="0"/>
    <cellStyle name="표준 23 2 7" xfId="0"/>
    <cellStyle name="표준 23 2 8" xfId="0"/>
    <cellStyle name="표준 23 2 9" xfId="0"/>
    <cellStyle name="표준 23 3" xfId="0"/>
    <cellStyle name="표준 23 3 2" xfId="0"/>
    <cellStyle name="표준 23 3 3" xfId="0"/>
    <cellStyle name="표준 23 3 4" xfId="0"/>
    <cellStyle name="표준 23 3 5" xfId="0"/>
    <cellStyle name="표준 23 3 6" xfId="0"/>
    <cellStyle name="표준 23 3 7" xfId="0"/>
    <cellStyle name="표준 23 3 8" xfId="0"/>
    <cellStyle name="표준 23 3 9" xfId="0"/>
    <cellStyle name="표준 23 4" xfId="0"/>
    <cellStyle name="표준 23 4 2" xfId="0"/>
    <cellStyle name="표준 23 4 3" xfId="0"/>
    <cellStyle name="표준 23 4 4" xfId="0"/>
    <cellStyle name="표준 23 4 5" xfId="0"/>
    <cellStyle name="표준 23 5" xfId="0"/>
    <cellStyle name="표준 23 5 2" xfId="0"/>
    <cellStyle name="표준 23 5 3" xfId="0"/>
    <cellStyle name="표준 23 5 4" xfId="0"/>
    <cellStyle name="표준 23 5 5" xfId="0"/>
    <cellStyle name="표준 23 6" xfId="0"/>
    <cellStyle name="표준 23 6 2" xfId="0"/>
    <cellStyle name="표준 23 6 3" xfId="0"/>
    <cellStyle name="표준 23 6 4" xfId="0"/>
    <cellStyle name="표준 23 6 5" xfId="0"/>
    <cellStyle name="표준 23 7" xfId="0"/>
    <cellStyle name="표준 23 7 2" xfId="0"/>
    <cellStyle name="표준 23 7 3" xfId="0"/>
    <cellStyle name="표준 23 7 4" xfId="0"/>
    <cellStyle name="표준 23 7 5" xfId="0"/>
    <cellStyle name="표준 23 8" xfId="0"/>
    <cellStyle name="표준 23 9" xfId="0"/>
    <cellStyle name="표준 230" xfId="0"/>
    <cellStyle name="표준 230 2" xfId="0"/>
    <cellStyle name="표준 230 2 2" xfId="0"/>
    <cellStyle name="표준 231" xfId="0"/>
    <cellStyle name="표준 231 2" xfId="0"/>
    <cellStyle name="표준 231 2 2" xfId="0"/>
    <cellStyle name="표준 232" xfId="0"/>
    <cellStyle name="표준 232 2" xfId="0"/>
    <cellStyle name="표준 232 2 2" xfId="0"/>
    <cellStyle name="표준 233" xfId="0"/>
    <cellStyle name="표준 233 2" xfId="0"/>
    <cellStyle name="표준 233 2 2" xfId="0"/>
    <cellStyle name="표준 234" xfId="0"/>
    <cellStyle name="표준 234 2" xfId="0"/>
    <cellStyle name="표준 234 2 2" xfId="0"/>
    <cellStyle name="표준 235" xfId="0"/>
    <cellStyle name="표준 236" xfId="0"/>
    <cellStyle name="표준 237" xfId="0"/>
    <cellStyle name="표준 238" xfId="0"/>
    <cellStyle name="표준 239" xfId="0"/>
    <cellStyle name="표준 24" xfId="0"/>
    <cellStyle name="표준 24 10" xfId="0"/>
    <cellStyle name="표준 24 11" xfId="0"/>
    <cellStyle name="표준 24 12" xfId="0"/>
    <cellStyle name="표준 24 13" xfId="0"/>
    <cellStyle name="표준 24 14" xfId="0"/>
    <cellStyle name="표준 24 15" xfId="0"/>
    <cellStyle name="표준 24 16" xfId="0"/>
    <cellStyle name="표준 24 17" xfId="0"/>
    <cellStyle name="표준 24 18" xfId="0"/>
    <cellStyle name="표준 24 19" xfId="0"/>
    <cellStyle name="표준 24 2" xfId="0"/>
    <cellStyle name="표준 24 2 2" xfId="0"/>
    <cellStyle name="표준 24 3" xfId="0"/>
    <cellStyle name="표준 24 3 2" xfId="0"/>
    <cellStyle name="표준 24 4" xfId="0"/>
    <cellStyle name="표준 24 4 2" xfId="0"/>
    <cellStyle name="표준 24 5" xfId="0"/>
    <cellStyle name="표준 24 5 2" xfId="0"/>
    <cellStyle name="표준 24 6" xfId="0"/>
    <cellStyle name="표준 24 6 2" xfId="0"/>
    <cellStyle name="표준 24 7" xfId="0"/>
    <cellStyle name="표준 24 7 2" xfId="0"/>
    <cellStyle name="표준 24 8" xfId="0"/>
    <cellStyle name="표준 24 9" xfId="0"/>
    <cellStyle name="표준 240" xfId="0"/>
    <cellStyle name="표준 241" xfId="0"/>
    <cellStyle name="표준 242" xfId="0"/>
    <cellStyle name="표준 243" xfId="0"/>
    <cellStyle name="표준 244" xfId="0"/>
    <cellStyle name="표준 245" xfId="0"/>
    <cellStyle name="표준 246" xfId="0"/>
    <cellStyle name="표준 247" xfId="0"/>
    <cellStyle name="표준 248" xfId="0"/>
    <cellStyle name="표준 249" xfId="0"/>
    <cellStyle name="표준 25" xfId="0"/>
    <cellStyle name="표준 25 10" xfId="0"/>
    <cellStyle name="표준 25 11" xfId="0"/>
    <cellStyle name="표준 25 12" xfId="0"/>
    <cellStyle name="표준 25 2" xfId="0"/>
    <cellStyle name="표준 25 2 2" xfId="0"/>
    <cellStyle name="표준 25 2 3" xfId="0"/>
    <cellStyle name="표준 25 2 4" xfId="0"/>
    <cellStyle name="표준 25 2 5" xfId="0"/>
    <cellStyle name="표준 25 2 6" xfId="0"/>
    <cellStyle name="표준 25 2 7" xfId="0"/>
    <cellStyle name="표준 25 2 8" xfId="0"/>
    <cellStyle name="표준 25 2 9" xfId="0"/>
    <cellStyle name="표준 25 3" xfId="0"/>
    <cellStyle name="표준 25 4" xfId="0"/>
    <cellStyle name="표준 25 5" xfId="0"/>
    <cellStyle name="표준 25 6" xfId="0"/>
    <cellStyle name="표준 25 7" xfId="0"/>
    <cellStyle name="표준 25 8" xfId="0"/>
    <cellStyle name="표준 25 9" xfId="0"/>
    <cellStyle name="표준 250" xfId="0"/>
    <cellStyle name="표준 251" xfId="0"/>
    <cellStyle name="표준 252" xfId="0"/>
    <cellStyle name="표준 253" xfId="0"/>
    <cellStyle name="표준 254" xfId="0"/>
    <cellStyle name="표준 255" xfId="0"/>
    <cellStyle name="표준 256" xfId="0"/>
    <cellStyle name="표준 256 2" xfId="0"/>
    <cellStyle name="표준 256 2 2" xfId="0"/>
    <cellStyle name="표준 256 3" xfId="0"/>
    <cellStyle name="표준 257" xfId="0"/>
    <cellStyle name="표준 257 2" xfId="0"/>
    <cellStyle name="표준 257 2 2" xfId="0"/>
    <cellStyle name="표준 257 3" xfId="0"/>
    <cellStyle name="표준 258" xfId="0"/>
    <cellStyle name="표준 258 2" xfId="0"/>
    <cellStyle name="표준 258 2 2" xfId="0"/>
    <cellStyle name="표준 258 3" xfId="0"/>
    <cellStyle name="표준 259" xfId="0"/>
    <cellStyle name="표준 259 2" xfId="0"/>
    <cellStyle name="표준 259 2 2" xfId="0"/>
    <cellStyle name="표준 259 3" xfId="0"/>
    <cellStyle name="표준 26" xfId="0"/>
    <cellStyle name="표준 26 10" xfId="0"/>
    <cellStyle name="표준 26 11" xfId="0"/>
    <cellStyle name="표준 26 12" xfId="0"/>
    <cellStyle name="표준 26 2" xfId="0"/>
    <cellStyle name="표준 26 2 2" xfId="0"/>
    <cellStyle name="표준 26 2 3" xfId="0"/>
    <cellStyle name="표준 26 2 4" xfId="0"/>
    <cellStyle name="표준 26 2 5" xfId="0"/>
    <cellStyle name="표준 26 2 6" xfId="0"/>
    <cellStyle name="표준 26 2 7" xfId="0"/>
    <cellStyle name="표준 26 2 8" xfId="0"/>
    <cellStyle name="표준 26 2 9" xfId="0"/>
    <cellStyle name="표준 26 3" xfId="0"/>
    <cellStyle name="표준 26 4" xfId="0"/>
    <cellStyle name="표준 26 5" xfId="0"/>
    <cellStyle name="표준 26 6" xfId="0"/>
    <cellStyle name="표준 26 7" xfId="0"/>
    <cellStyle name="표준 26 8" xfId="0"/>
    <cellStyle name="표준 26 9" xfId="0"/>
    <cellStyle name="표준 260" xfId="0"/>
    <cellStyle name="표준 260 2" xfId="0"/>
    <cellStyle name="표준 260 2 2" xfId="0"/>
    <cellStyle name="표준 260 3" xfId="0"/>
    <cellStyle name="표준 261" xfId="0"/>
    <cellStyle name="표준 261 2" xfId="0"/>
    <cellStyle name="표준 261 2 2" xfId="0"/>
    <cellStyle name="표준 261 3" xfId="0"/>
    <cellStyle name="표준 262" xfId="0"/>
    <cellStyle name="표준 262 2" xfId="0"/>
    <cellStyle name="표준 262 2 2" xfId="0"/>
    <cellStyle name="표준 262 3" xfId="0"/>
    <cellStyle name="표준 263" xfId="0"/>
    <cellStyle name="표준 263 2" xfId="0"/>
    <cellStyle name="표준 263 2 2" xfId="0"/>
    <cellStyle name="표준 263 3" xfId="0"/>
    <cellStyle name="표준 264" xfId="0"/>
    <cellStyle name="표준 264 2" xfId="0"/>
    <cellStyle name="표준 264 2 2" xfId="0"/>
    <cellStyle name="표준 264 3" xfId="0"/>
    <cellStyle name="표준 265" xfId="0"/>
    <cellStyle name="표준 265 2" xfId="0"/>
    <cellStyle name="표준 265 2 2" xfId="0"/>
    <cellStyle name="표준 265 3" xfId="0"/>
    <cellStyle name="표준 266" xfId="0"/>
    <cellStyle name="표준 266 2" xfId="0"/>
    <cellStyle name="표준 266 2 2" xfId="0"/>
    <cellStyle name="표준 266 3" xfId="0"/>
    <cellStyle name="표준 267" xfId="0"/>
    <cellStyle name="표준 267 2" xfId="0"/>
    <cellStyle name="표준 267 2 2" xfId="0"/>
    <cellStyle name="표준 267 3" xfId="0"/>
    <cellStyle name="표준 268" xfId="0"/>
    <cellStyle name="표준 268 2" xfId="0"/>
    <cellStyle name="표준 268 2 2" xfId="0"/>
    <cellStyle name="표준 268 3" xfId="0"/>
    <cellStyle name="표준 269" xfId="0"/>
    <cellStyle name="표준 269 2" xfId="0"/>
    <cellStyle name="표준 269 2 2" xfId="0"/>
    <cellStyle name="표준 269 3" xfId="0"/>
    <cellStyle name="표준 27" xfId="0"/>
    <cellStyle name="표준 27 10" xfId="0"/>
    <cellStyle name="표준 27 11" xfId="0"/>
    <cellStyle name="표준 27 12" xfId="0"/>
    <cellStyle name="표준 27 13" xfId="0"/>
    <cellStyle name="표준 27 14" xfId="0"/>
    <cellStyle name="표준 27 15" xfId="0"/>
    <cellStyle name="표준 27 16" xfId="0"/>
    <cellStyle name="표준 27 17" xfId="0"/>
    <cellStyle name="표준 27 2" xfId="0"/>
    <cellStyle name="표준 27 2 2" xfId="0"/>
    <cellStyle name="표준 27 2 3" xfId="0"/>
    <cellStyle name="표준 27 3" xfId="0"/>
    <cellStyle name="표준 27 3 2" xfId="0"/>
    <cellStyle name="표준 27 4" xfId="0"/>
    <cellStyle name="표준 27 4 2" xfId="0"/>
    <cellStyle name="표준 27 5" xfId="0"/>
    <cellStyle name="표준 27 5 2" xfId="0"/>
    <cellStyle name="표준 27 6" xfId="0"/>
    <cellStyle name="표준 27 6 2" xfId="0"/>
    <cellStyle name="표준 27 7" xfId="0"/>
    <cellStyle name="표준 27 7 2" xfId="0"/>
    <cellStyle name="표준 27 8" xfId="0"/>
    <cellStyle name="표준 27 9" xfId="0"/>
    <cellStyle name="표준 270" xfId="0"/>
    <cellStyle name="표준 270 2" xfId="0"/>
    <cellStyle name="표준 270 2 2" xfId="0"/>
    <cellStyle name="표준 270 3" xfId="0"/>
    <cellStyle name="표준 271" xfId="0"/>
    <cellStyle name="표준 271 2" xfId="0"/>
    <cellStyle name="표준 271 2 2" xfId="0"/>
    <cellStyle name="표준 271 3" xfId="0"/>
    <cellStyle name="표준 272" xfId="0"/>
    <cellStyle name="표준 272 2" xfId="0"/>
    <cellStyle name="표준 272 2 2" xfId="0"/>
    <cellStyle name="표준 272 3" xfId="0"/>
    <cellStyle name="표준 273" xfId="0"/>
    <cellStyle name="표준 273 2" xfId="0"/>
    <cellStyle name="표준 273 2 2" xfId="0"/>
    <cellStyle name="표준 273 3" xfId="0"/>
    <cellStyle name="표준 274" xfId="0"/>
    <cellStyle name="표준 274 2" xfId="0"/>
    <cellStyle name="표준 274 2 2" xfId="0"/>
    <cellStyle name="표준 274 3" xfId="0"/>
    <cellStyle name="표준 275" xfId="0"/>
    <cellStyle name="표준 275 2" xfId="0"/>
    <cellStyle name="표준 275 2 2" xfId="0"/>
    <cellStyle name="표준 275 3" xfId="0"/>
    <cellStyle name="표준 276" xfId="0"/>
    <cellStyle name="표준 276 2" xfId="0"/>
    <cellStyle name="표준 276 2 2" xfId="0"/>
    <cellStyle name="표준 276 3" xfId="0"/>
    <cellStyle name="표준 277" xfId="0"/>
    <cellStyle name="표준 277 2" xfId="0"/>
    <cellStyle name="표준 277 2 2" xfId="0"/>
    <cellStyle name="표준 277 3" xfId="0"/>
    <cellStyle name="표준 278" xfId="0"/>
    <cellStyle name="표준 278 2" xfId="0"/>
    <cellStyle name="표준 278 2 2" xfId="0"/>
    <cellStyle name="표준 278 3" xfId="0"/>
    <cellStyle name="표준 279" xfId="0"/>
    <cellStyle name="표준 279 2" xfId="0"/>
    <cellStyle name="표준 279 2 2" xfId="0"/>
    <cellStyle name="표준 279 3" xfId="0"/>
    <cellStyle name="표준 28" xfId="0"/>
    <cellStyle name="표준 28 2" xfId="0"/>
    <cellStyle name="표준 28 3" xfId="0"/>
    <cellStyle name="표준 28 4" xfId="0"/>
    <cellStyle name="표준 28 4 2" xfId="0"/>
    <cellStyle name="표준 28 4 3" xfId="0"/>
    <cellStyle name="표준 28 4 4" xfId="0"/>
    <cellStyle name="표준 28 4 5" xfId="0"/>
    <cellStyle name="표준 28 5" xfId="0"/>
    <cellStyle name="표준 28 5 2" xfId="0"/>
    <cellStyle name="표준 28 5 3" xfId="0"/>
    <cellStyle name="표준 28 5 4" xfId="0"/>
    <cellStyle name="표준 28 5 5" xfId="0"/>
    <cellStyle name="표준 28 6" xfId="0"/>
    <cellStyle name="표준 28 7" xfId="0"/>
    <cellStyle name="표준 28 8" xfId="0"/>
    <cellStyle name="표준 280" xfId="0"/>
    <cellStyle name="표준 280 2" xfId="0"/>
    <cellStyle name="표준 280 2 2" xfId="0"/>
    <cellStyle name="표준 280 3" xfId="0"/>
    <cellStyle name="표준 281" xfId="0"/>
    <cellStyle name="표준 281 2" xfId="0"/>
    <cellStyle name="표준 281 2 2" xfId="0"/>
    <cellStyle name="표준 281 3" xfId="0"/>
    <cellStyle name="표준 282" xfId="0"/>
    <cellStyle name="표준 282 2" xfId="0"/>
    <cellStyle name="표준 282 2 2" xfId="0"/>
    <cellStyle name="표준 282 3" xfId="0"/>
    <cellStyle name="표준 283" xfId="0"/>
    <cellStyle name="표준 283 2" xfId="0"/>
    <cellStyle name="표준 283 2 2" xfId="0"/>
    <cellStyle name="표준 283 3" xfId="0"/>
    <cellStyle name="표준 284" xfId="0"/>
    <cellStyle name="표준 284 2" xfId="0"/>
    <cellStyle name="표준 284 2 2" xfId="0"/>
    <cellStyle name="표준 284 3" xfId="0"/>
    <cellStyle name="표준 285" xfId="0"/>
    <cellStyle name="표준 285 2" xfId="0"/>
    <cellStyle name="표준 285 2 2" xfId="0"/>
    <cellStyle name="표준 285 3" xfId="0"/>
    <cellStyle name="표준 286" xfId="0"/>
    <cellStyle name="표준 286 2" xfId="0"/>
    <cellStyle name="표준 286 2 2" xfId="0"/>
    <cellStyle name="표준 286 3" xfId="0"/>
    <cellStyle name="표준 287" xfId="0"/>
    <cellStyle name="표준 287 2" xfId="0"/>
    <cellStyle name="표준 287 2 2" xfId="0"/>
    <cellStyle name="표준 287 3" xfId="0"/>
    <cellStyle name="표준 288" xfId="0"/>
    <cellStyle name="표준 288 2" xfId="0"/>
    <cellStyle name="표준 288 2 2" xfId="0"/>
    <cellStyle name="표준 288 3" xfId="0"/>
    <cellStyle name="표준 289" xfId="0"/>
    <cellStyle name="표준 289 2" xfId="0"/>
    <cellStyle name="표준 289 2 2" xfId="0"/>
    <cellStyle name="표준 289 3" xfId="0"/>
    <cellStyle name="표준 29" xfId="0"/>
    <cellStyle name="표준 29 2" xfId="0"/>
    <cellStyle name="표준 29 2 2" xfId="0"/>
    <cellStyle name="표준 29 2 3" xfId="0"/>
    <cellStyle name="표준 29 2 4" xfId="0"/>
    <cellStyle name="표준 29 2 5" xfId="0"/>
    <cellStyle name="표준 29 3" xfId="0"/>
    <cellStyle name="표준 29 3 2" xfId="0"/>
    <cellStyle name="표준 29 3 3" xfId="0"/>
    <cellStyle name="표준 29 3 4" xfId="0"/>
    <cellStyle name="표준 29 3 5" xfId="0"/>
    <cellStyle name="표준 29 4" xfId="0"/>
    <cellStyle name="표준 29 4 2" xfId="0"/>
    <cellStyle name="표준 29 4 3" xfId="0"/>
    <cellStyle name="표준 29 4 4" xfId="0"/>
    <cellStyle name="표준 29 4 5" xfId="0"/>
    <cellStyle name="표준 29 5" xfId="0"/>
    <cellStyle name="표준 29 5 2" xfId="0"/>
    <cellStyle name="표준 29 5 3" xfId="0"/>
    <cellStyle name="표준 29 5 4" xfId="0"/>
    <cellStyle name="표준 29 5 5" xfId="0"/>
    <cellStyle name="표준 29 6" xfId="0"/>
    <cellStyle name="표준 29 7" xfId="0"/>
    <cellStyle name="표준 290" xfId="0"/>
    <cellStyle name="표준 290 2" xfId="0"/>
    <cellStyle name="표준 290 2 2" xfId="0"/>
    <cellStyle name="표준 290 3" xfId="0"/>
    <cellStyle name="표준 291" xfId="0"/>
    <cellStyle name="표준 291 2" xfId="0"/>
    <cellStyle name="표준 291 2 2" xfId="0"/>
    <cellStyle name="표준 291 3" xfId="0"/>
    <cellStyle name="표준 292" xfId="0"/>
    <cellStyle name="표준 292 2" xfId="0"/>
    <cellStyle name="표준 292 2 2" xfId="0"/>
    <cellStyle name="표준 292 3" xfId="0"/>
    <cellStyle name="표준 293" xfId="0"/>
    <cellStyle name="표준 293 2" xfId="0"/>
    <cellStyle name="표준 293 2 2" xfId="0"/>
    <cellStyle name="표준 293 3" xfId="0"/>
    <cellStyle name="표준 294" xfId="0"/>
    <cellStyle name="표준 294 2" xfId="0"/>
    <cellStyle name="표준 294 2 2" xfId="0"/>
    <cellStyle name="표준 294 3" xfId="0"/>
    <cellStyle name="표준 295" xfId="0"/>
    <cellStyle name="표준 295 2" xfId="0"/>
    <cellStyle name="표준 295 2 2" xfId="0"/>
    <cellStyle name="표준 295 3" xfId="0"/>
    <cellStyle name="표준 296" xfId="0"/>
    <cellStyle name="표준 296 2" xfId="0"/>
    <cellStyle name="표준 296 2 2" xfId="0"/>
    <cellStyle name="표준 296 3" xfId="0"/>
    <cellStyle name="표준 297" xfId="0"/>
    <cellStyle name="표준 297 2" xfId="0"/>
    <cellStyle name="표준 297 2 2" xfId="0"/>
    <cellStyle name="표준 297 3" xfId="0"/>
    <cellStyle name="표준 298" xfId="0"/>
    <cellStyle name="표준 298 2" xfId="0"/>
    <cellStyle name="표준 298 2 2" xfId="0"/>
    <cellStyle name="표준 298 3" xfId="0"/>
    <cellStyle name="표준 299" xfId="0"/>
    <cellStyle name="표준 299 2" xfId="0"/>
    <cellStyle name="표준 299 2 2" xfId="0"/>
    <cellStyle name="표준 299 3" xfId="0"/>
    <cellStyle name="표준 2_@2009 BSPL(10월)_최종본" xfId="0"/>
    <cellStyle name="표준 3" xfId="0"/>
    <cellStyle name="표준 3 10" xfId="0"/>
    <cellStyle name="표준 3 11" xfId="0"/>
    <cellStyle name="표준 3 12" xfId="0"/>
    <cellStyle name="표준 3 13" xfId="0"/>
    <cellStyle name="표준 3 14" xfId="0"/>
    <cellStyle name="표준 3 15" xfId="0"/>
    <cellStyle name="표준 3 16" xfId="0"/>
    <cellStyle name="표준 3 17" xfId="0"/>
    <cellStyle name="표준 3 18" xfId="0"/>
    <cellStyle name="표준 3 19" xfId="0"/>
    <cellStyle name="표준 3 2" xfId="0"/>
    <cellStyle name="표준 3 2 10" xfId="0"/>
    <cellStyle name="표준 3 2 10 2" xfId="0"/>
    <cellStyle name="표준 3 2 11" xfId="0"/>
    <cellStyle name="표준 3 2 11 2" xfId="0"/>
    <cellStyle name="표준 3 2 12" xfId="0"/>
    <cellStyle name="표준 3 2 12 2" xfId="0"/>
    <cellStyle name="표준 3 2 13" xfId="0"/>
    <cellStyle name="표준 3 2 13 2" xfId="0"/>
    <cellStyle name="표준 3 2 14" xfId="0"/>
    <cellStyle name="표준 3 2 14 2" xfId="0"/>
    <cellStyle name="표준 3 2 15" xfId="0"/>
    <cellStyle name="표준 3 2 15 2" xfId="0"/>
    <cellStyle name="표준 3 2 16" xfId="0"/>
    <cellStyle name="표준 3 2 16 2" xfId="0"/>
    <cellStyle name="표준 3 2 17" xfId="0"/>
    <cellStyle name="표준 3 2 18" xfId="0"/>
    <cellStyle name="표준 3 2 19" xfId="0"/>
    <cellStyle name="표준 3 2 2" xfId="0"/>
    <cellStyle name="표준 3 2 2 10" xfId="0"/>
    <cellStyle name="표준 3 2 2 10 2" xfId="0"/>
    <cellStyle name="표준 3 2 2 11" xfId="0"/>
    <cellStyle name="표준 3 2 2 11 2" xfId="0"/>
    <cellStyle name="표준 3 2 2 12" xfId="0"/>
    <cellStyle name="표준 3 2 2 12 2" xfId="0"/>
    <cellStyle name="표준 3 2 2 13" xfId="0"/>
    <cellStyle name="표준 3 2 2 13 2" xfId="0"/>
    <cellStyle name="표준 3 2 2 14" xfId="0"/>
    <cellStyle name="표준 3 2 2 14 2" xfId="0"/>
    <cellStyle name="표준 3 2 2 15" xfId="0"/>
    <cellStyle name="표준 3 2 2 15 2" xfId="0"/>
    <cellStyle name="표준 3 2 2 16" xfId="0"/>
    <cellStyle name="표준 3 2 2 17" xfId="0"/>
    <cellStyle name="표준 3 2 2 2" xfId="0"/>
    <cellStyle name="표준 3 2 2 2 2" xfId="0"/>
    <cellStyle name="표준 3 2 2 3" xfId="0"/>
    <cellStyle name="표준 3 2 2 3 2" xfId="0"/>
    <cellStyle name="표준 3 2 2 4" xfId="0"/>
    <cellStyle name="표준 3 2 2 4 2" xfId="0"/>
    <cellStyle name="표준 3 2 2 5" xfId="0"/>
    <cellStyle name="표준 3 2 2 5 2" xfId="0"/>
    <cellStyle name="표준 3 2 2 6" xfId="0"/>
    <cellStyle name="표준 3 2 2 6 2" xfId="0"/>
    <cellStyle name="표준 3 2 2 7" xfId="0"/>
    <cellStyle name="표준 3 2 2 7 2" xfId="0"/>
    <cellStyle name="표준 3 2 2 8" xfId="0"/>
    <cellStyle name="표준 3 2 2 8 2" xfId="0"/>
    <cellStyle name="표준 3 2 2 9" xfId="0"/>
    <cellStyle name="표준 3 2 2 9 2" xfId="0"/>
    <cellStyle name="표준 3 2 20" xfId="0"/>
    <cellStyle name="표준 3 2 21" xfId="0"/>
    <cellStyle name="표준 3 2 22" xfId="0"/>
    <cellStyle name="표준 3 2 23" xfId="0"/>
    <cellStyle name="표준 3 2 24" xfId="0"/>
    <cellStyle name="표준 3 2 25" xfId="0"/>
    <cellStyle name="표준 3 2 26" xfId="0"/>
    <cellStyle name="표준 3 2 27" xfId="0"/>
    <cellStyle name="표준 3 2 28" xfId="0"/>
    <cellStyle name="표준 3 2 29" xfId="0"/>
    <cellStyle name="표준 3 2 3" xfId="0"/>
    <cellStyle name="표준 3 2 3 10" xfId="0"/>
    <cellStyle name="표준 3 2 3 2" xfId="0"/>
    <cellStyle name="표준 3 2 3 3" xfId="0"/>
    <cellStyle name="표준 3 2 3 4" xfId="0"/>
    <cellStyle name="표준 3 2 3 5" xfId="0"/>
    <cellStyle name="표준 3 2 3 6" xfId="0"/>
    <cellStyle name="표준 3 2 3 7" xfId="0"/>
    <cellStyle name="표준 3 2 3 8" xfId="0"/>
    <cellStyle name="표준 3 2 3 9" xfId="0"/>
    <cellStyle name="표준 3 2 30" xfId="0"/>
    <cellStyle name="표준 3 2 31" xfId="0"/>
    <cellStyle name="표준 3 2 32" xfId="0"/>
    <cellStyle name="표준 3 2 33" xfId="0"/>
    <cellStyle name="표준 3 2 34" xfId="0"/>
    <cellStyle name="표준 3 2 35" xfId="0"/>
    <cellStyle name="표준 3 2 36" xfId="0"/>
    <cellStyle name="표준 3 2 37" xfId="0"/>
    <cellStyle name="표준 3 2 38" xfId="0"/>
    <cellStyle name="표준 3 2 39" xfId="0"/>
    <cellStyle name="표준 3 2 4" xfId="0"/>
    <cellStyle name="표준 3 2 4 10" xfId="0"/>
    <cellStyle name="표준 3 2 4 2" xfId="0"/>
    <cellStyle name="표준 3 2 4 3" xfId="0"/>
    <cellStyle name="표준 3 2 4 4" xfId="0"/>
    <cellStyle name="표준 3 2 4 5" xfId="0"/>
    <cellStyle name="표준 3 2 4 6" xfId="0"/>
    <cellStyle name="표준 3 2 4 7" xfId="0"/>
    <cellStyle name="표준 3 2 4 8" xfId="0"/>
    <cellStyle name="표준 3 2 4 9" xfId="0"/>
    <cellStyle name="표준 3 2 40" xfId="0"/>
    <cellStyle name="표준 3 2 41" xfId="0"/>
    <cellStyle name="표준 3 2 42" xfId="0"/>
    <cellStyle name="표준 3 2 43" xfId="0"/>
    <cellStyle name="표준 3 2 44" xfId="0"/>
    <cellStyle name="표준 3 2 5" xfId="0"/>
    <cellStyle name="표준 3 2 5 10" xfId="0"/>
    <cellStyle name="표준 3 2 5 2" xfId="0"/>
    <cellStyle name="표준 3 2 5 3" xfId="0"/>
    <cellStyle name="표준 3 2 5 4" xfId="0"/>
    <cellStyle name="표준 3 2 5 5" xfId="0"/>
    <cellStyle name="표준 3 2 5 6" xfId="0"/>
    <cellStyle name="표준 3 2 5 7" xfId="0"/>
    <cellStyle name="표준 3 2 5 8" xfId="0"/>
    <cellStyle name="표준 3 2 5 9" xfId="0"/>
    <cellStyle name="표준 3 2 6" xfId="0"/>
    <cellStyle name="표준 3 2 6 10" xfId="0"/>
    <cellStyle name="표준 3 2 6 2" xfId="0"/>
    <cellStyle name="표준 3 2 6 3" xfId="0"/>
    <cellStyle name="표준 3 2 6 4" xfId="0"/>
    <cellStyle name="표준 3 2 6 5" xfId="0"/>
    <cellStyle name="표준 3 2 6 6" xfId="0"/>
    <cellStyle name="표준 3 2 6 7" xfId="0"/>
    <cellStyle name="표준 3 2 6 8" xfId="0"/>
    <cellStyle name="표준 3 2 6 9" xfId="0"/>
    <cellStyle name="표준 3 2 7" xfId="0"/>
    <cellStyle name="표준 3 2 7 10" xfId="0"/>
    <cellStyle name="표준 3 2 7 11" xfId="0"/>
    <cellStyle name="표준 3 2 7 2" xfId="0"/>
    <cellStyle name="표준 3 2 7 3" xfId="0"/>
    <cellStyle name="표준 3 2 7 4" xfId="0"/>
    <cellStyle name="표준 3 2 7 5" xfId="0"/>
    <cellStyle name="표준 3 2 7 6" xfId="0"/>
    <cellStyle name="표준 3 2 7 7" xfId="0"/>
    <cellStyle name="표준 3 2 7 8" xfId="0"/>
    <cellStyle name="표준 3 2 7 9" xfId="0"/>
    <cellStyle name="표준 3 2 8" xfId="0"/>
    <cellStyle name="표준 3 2 8 2" xfId="0"/>
    <cellStyle name="표준 3 2 9" xfId="0"/>
    <cellStyle name="표준 3 2 9 2" xfId="0"/>
    <cellStyle name="표준 3 20" xfId="0"/>
    <cellStyle name="표준 3 21" xfId="0"/>
    <cellStyle name="표준 3 22" xfId="0"/>
    <cellStyle name="표준 3 23" xfId="0"/>
    <cellStyle name="표준 3 24" xfId="0"/>
    <cellStyle name="표준 3 25" xfId="0"/>
    <cellStyle name="표준 3 26" xfId="0"/>
    <cellStyle name="표준 3 27" xfId="0"/>
    <cellStyle name="표준 3 28" xfId="0"/>
    <cellStyle name="표준 3 29" xfId="0"/>
    <cellStyle name="표준 3 3" xfId="0"/>
    <cellStyle name="표준 3 3 10" xfId="0"/>
    <cellStyle name="표준 3 3 11" xfId="0"/>
    <cellStyle name="표준 3 3 12" xfId="0"/>
    <cellStyle name="표준 3 3 2" xfId="0"/>
    <cellStyle name="표준 3 3 2 10" xfId="0"/>
    <cellStyle name="표준 3 3 2 11" xfId="0"/>
    <cellStyle name="표준 3 3 2 2" xfId="0"/>
    <cellStyle name="표준 3 3 2 3" xfId="0"/>
    <cellStyle name="표준 3 3 2 4" xfId="0"/>
    <cellStyle name="표준 3 3 2 5" xfId="0"/>
    <cellStyle name="표준 3 3 2 6" xfId="0"/>
    <cellStyle name="표준 3 3 2 7" xfId="0"/>
    <cellStyle name="표준 3 3 2 8" xfId="0"/>
    <cellStyle name="표준 3 3 2 9" xfId="0"/>
    <cellStyle name="표준 3 3 3" xfId="0"/>
    <cellStyle name="표준 3 3 4" xfId="0"/>
    <cellStyle name="표준 3 3 5" xfId="0"/>
    <cellStyle name="표준 3 3 6" xfId="0"/>
    <cellStyle name="표준 3 3 7" xfId="0"/>
    <cellStyle name="표준 3 3 8" xfId="0"/>
    <cellStyle name="표준 3 3 9" xfId="0"/>
    <cellStyle name="표준 3 30" xfId="0"/>
    <cellStyle name="표준 3 31" xfId="0"/>
    <cellStyle name="표준 3 32" xfId="0"/>
    <cellStyle name="표준 3 33" xfId="0"/>
    <cellStyle name="표준 3 34" xfId="0"/>
    <cellStyle name="표준 3 35" xfId="0"/>
    <cellStyle name="표준 3 36" xfId="0"/>
    <cellStyle name="표준 3 37" xfId="0"/>
    <cellStyle name="표준 3 38" xfId="0"/>
    <cellStyle name="표준 3 39" xfId="0"/>
    <cellStyle name="표준 3 4" xfId="0"/>
    <cellStyle name="표준 3 4 10" xfId="0"/>
    <cellStyle name="표준 3 4 11" xfId="0"/>
    <cellStyle name="표준 3 4 12" xfId="0"/>
    <cellStyle name="표준 3 4 2" xfId="0"/>
    <cellStyle name="표준 3 4 3" xfId="0"/>
    <cellStyle name="표준 3 4 4" xfId="0"/>
    <cellStyle name="표준 3 4 5" xfId="0"/>
    <cellStyle name="표준 3 4 6" xfId="0"/>
    <cellStyle name="표준 3 4 7" xfId="0"/>
    <cellStyle name="표준 3 4 8" xfId="0"/>
    <cellStyle name="표준 3 4 9" xfId="0"/>
    <cellStyle name="표준 3 40" xfId="0"/>
    <cellStyle name="표준 3 5" xfId="0"/>
    <cellStyle name="표준 3 5 10" xfId="0"/>
    <cellStyle name="표준 3 5 11" xfId="0"/>
    <cellStyle name="표준 3 5 2" xfId="0"/>
    <cellStyle name="표준 3 5 3" xfId="0"/>
    <cellStyle name="표준 3 5 4" xfId="0"/>
    <cellStyle name="표준 3 5 5" xfId="0"/>
    <cellStyle name="표준 3 5 6" xfId="0"/>
    <cellStyle name="표준 3 5 7" xfId="0"/>
    <cellStyle name="표준 3 5 8" xfId="0"/>
    <cellStyle name="표준 3 5 9" xfId="0"/>
    <cellStyle name="표준 3 6" xfId="0"/>
    <cellStyle name="표준 3 6 10" xfId="0"/>
    <cellStyle name="표준 3 6 11" xfId="0"/>
    <cellStyle name="표준 3 6 12" xfId="0"/>
    <cellStyle name="표준 3 6 2" xfId="0"/>
    <cellStyle name="표준 3 6 2 2" xfId="0"/>
    <cellStyle name="표준 3 6 2 3" xfId="0"/>
    <cellStyle name="표준 3 6 2 3 2" xfId="0"/>
    <cellStyle name="표준 3 6 2 3 2 2" xfId="0"/>
    <cellStyle name="표준 3 6 2 3 2 2 2" xfId="0"/>
    <cellStyle name="표준 3 6 2 3 2 2 2 2" xfId="0"/>
    <cellStyle name="표준 3 6 2 3 2 2 2 2 2" xfId="0"/>
    <cellStyle name="표준 3 6 2 3 2 2 2 2 2 2" xfId="0"/>
    <cellStyle name="표준 3 6 2 3 2 2 2 2 2 2 2" xfId="0"/>
    <cellStyle name="표준 3 6 2 3 2 2 2 2 2 2 2 2" xfId="0"/>
    <cellStyle name="표준 3 6 2 3 2 2 2 2 2 2 2 2 2" xfId="0"/>
    <cellStyle name="표준 3 6 2 4" xfId="0"/>
    <cellStyle name="표준 3 6 3" xfId="0"/>
    <cellStyle name="표준 3 6 3 2" xfId="0"/>
    <cellStyle name="표준 3 6 4" xfId="0"/>
    <cellStyle name="표준 3 6 4 2" xfId="0"/>
    <cellStyle name="표준 3 6 5" xfId="0"/>
    <cellStyle name="표준 3 6 6" xfId="0"/>
    <cellStyle name="표준 3 6 7" xfId="0"/>
    <cellStyle name="표준 3 6 8" xfId="0"/>
    <cellStyle name="표준 3 6 9" xfId="0"/>
    <cellStyle name="표준 3 7" xfId="0"/>
    <cellStyle name="표준 3 7 10" xfId="0"/>
    <cellStyle name="표준 3 7 11" xfId="0"/>
    <cellStyle name="표준 3 7 12" xfId="0"/>
    <cellStyle name="표준 3 7 13" xfId="0"/>
    <cellStyle name="표준 3 7 14" xfId="0"/>
    <cellStyle name="표준 3 7 15" xfId="0"/>
    <cellStyle name="표준 3 7 2" xfId="0"/>
    <cellStyle name="표준 3 7 2 2" xfId="0"/>
    <cellStyle name="표준 3 7 3" xfId="0"/>
    <cellStyle name="표준 3 7 3 2" xfId="0"/>
    <cellStyle name="표준 3 7 4" xfId="0"/>
    <cellStyle name="표준 3 7 4 2" xfId="0"/>
    <cellStyle name="표준 3 7 5" xfId="0"/>
    <cellStyle name="표준 3 7 6" xfId="0"/>
    <cellStyle name="표준 3 7 7" xfId="0"/>
    <cellStyle name="표준 3 7 8" xfId="0"/>
    <cellStyle name="표준 3 7 9" xfId="0"/>
    <cellStyle name="표준 3 8" xfId="0"/>
    <cellStyle name="표준 3 8 2" xfId="0"/>
    <cellStyle name="표준 3 8 2 2" xfId="0"/>
    <cellStyle name="표준 3 8 2 3" xfId="0"/>
    <cellStyle name="표준 3 8 2 4" xfId="0"/>
    <cellStyle name="표준 3 8 2 5" xfId="0"/>
    <cellStyle name="표준 3 8 3" xfId="0"/>
    <cellStyle name="표준 3 8 4" xfId="0"/>
    <cellStyle name="표준 3 8 5" xfId="0"/>
    <cellStyle name="표준 3 8 6" xfId="0"/>
    <cellStyle name="표준 3 8 7" xfId="0"/>
    <cellStyle name="표준 3 9" xfId="0"/>
    <cellStyle name="표준 3 9 2" xfId="0"/>
    <cellStyle name="표준 3 9 3" xfId="0"/>
    <cellStyle name="표준 3 9 4" xfId="0"/>
    <cellStyle name="표준 3 9 5" xfId="0"/>
    <cellStyle name="표준 30" xfId="0"/>
    <cellStyle name="표준 30 2" xfId="0"/>
    <cellStyle name="표준 30 2 2" xfId="0"/>
    <cellStyle name="표준 30 3" xfId="0"/>
    <cellStyle name="표준 30 4" xfId="0"/>
    <cellStyle name="표준 30 5" xfId="0"/>
    <cellStyle name="표준 30 6" xfId="0"/>
    <cellStyle name="표준 300" xfId="0"/>
    <cellStyle name="표준 300 2" xfId="0"/>
    <cellStyle name="표준 300 2 2" xfId="0"/>
    <cellStyle name="표준 300 3" xfId="0"/>
    <cellStyle name="표준 301" xfId="0"/>
    <cellStyle name="표준 301 2" xfId="0"/>
    <cellStyle name="표준 301 2 2" xfId="0"/>
    <cellStyle name="표준 301 3" xfId="0"/>
    <cellStyle name="표준 302" xfId="0"/>
    <cellStyle name="표준 302 2" xfId="0"/>
    <cellStyle name="표준 302 2 2" xfId="0"/>
    <cellStyle name="표준 302 3" xfId="0"/>
    <cellStyle name="표준 303" xfId="0"/>
    <cellStyle name="표준 303 2" xfId="0"/>
    <cellStyle name="표준 303 2 2" xfId="0"/>
    <cellStyle name="표준 303 3" xfId="0"/>
    <cellStyle name="표준 304" xfId="0"/>
    <cellStyle name="표준 304 2" xfId="0"/>
    <cellStyle name="표준 304 2 2" xfId="0"/>
    <cellStyle name="표준 304 3" xfId="0"/>
    <cellStyle name="표준 305" xfId="0"/>
    <cellStyle name="표준 305 2" xfId="0"/>
    <cellStyle name="표준 305 2 2" xfId="0"/>
    <cellStyle name="표준 305 3" xfId="0"/>
    <cellStyle name="표준 306" xfId="0"/>
    <cellStyle name="표준 306 2" xfId="0"/>
    <cellStyle name="표준 306 2 2" xfId="0"/>
    <cellStyle name="표준 306 3" xfId="0"/>
    <cellStyle name="표준 307" xfId="0"/>
    <cellStyle name="표준 307 2" xfId="0"/>
    <cellStyle name="표준 307 2 2" xfId="0"/>
    <cellStyle name="표준 307 3" xfId="0"/>
    <cellStyle name="표준 308" xfId="0"/>
    <cellStyle name="표준 308 2" xfId="0"/>
    <cellStyle name="표준 308 2 2" xfId="0"/>
    <cellStyle name="표준 308 3" xfId="0"/>
    <cellStyle name="표준 309" xfId="0"/>
    <cellStyle name="표준 309 2" xfId="0"/>
    <cellStyle name="표준 309 2 2" xfId="0"/>
    <cellStyle name="표준 309 3" xfId="0"/>
    <cellStyle name="표준 31" xfId="0"/>
    <cellStyle name="표준 31 10" xfId="0"/>
    <cellStyle name="표준 31 11" xfId="0"/>
    <cellStyle name="표준 31 12" xfId="0"/>
    <cellStyle name="표준 31 13" xfId="0"/>
    <cellStyle name="표준 31 14" xfId="0"/>
    <cellStyle name="표준 31 15" xfId="0"/>
    <cellStyle name="표준 31 16" xfId="0"/>
    <cellStyle name="표준 31 17" xfId="0"/>
    <cellStyle name="표준 31 18" xfId="0"/>
    <cellStyle name="표준 31 19" xfId="0"/>
    <cellStyle name="표준 31 2" xfId="0"/>
    <cellStyle name="표준 31 2 2" xfId="0"/>
    <cellStyle name="표준 31 2 2 2" xfId="0"/>
    <cellStyle name="표준 31 3" xfId="0"/>
    <cellStyle name="표준 31 3 2" xfId="0"/>
    <cellStyle name="표준 31 4" xfId="0"/>
    <cellStyle name="표준 31 4 2" xfId="0"/>
    <cellStyle name="표준 31 5" xfId="0"/>
    <cellStyle name="표준 31 5 2" xfId="0"/>
    <cellStyle name="표준 31 6" xfId="0"/>
    <cellStyle name="표준 31 7" xfId="0"/>
    <cellStyle name="표준 31 8" xfId="0"/>
    <cellStyle name="표준 31 9" xfId="0"/>
    <cellStyle name="표준 310" xfId="0"/>
    <cellStyle name="표준 310 2" xfId="0"/>
    <cellStyle name="표준 310 2 2" xfId="0"/>
    <cellStyle name="표준 310 3" xfId="0"/>
    <cellStyle name="표준 311" xfId="0"/>
    <cellStyle name="표준 311 2" xfId="0"/>
    <cellStyle name="표준 311 2 2" xfId="0"/>
    <cellStyle name="표준 311 3" xfId="0"/>
    <cellStyle name="표준 312" xfId="0"/>
    <cellStyle name="표준 312 2" xfId="0"/>
    <cellStyle name="표준 312 2 2" xfId="0"/>
    <cellStyle name="표준 312 3" xfId="0"/>
    <cellStyle name="표준 313" xfId="0"/>
    <cellStyle name="표준 313 2" xfId="0"/>
    <cellStyle name="표준 313 2 2" xfId="0"/>
    <cellStyle name="표준 313 3" xfId="0"/>
    <cellStyle name="표준 314" xfId="0"/>
    <cellStyle name="표준 314 2" xfId="0"/>
    <cellStyle name="표준 314 2 2" xfId="0"/>
    <cellStyle name="표준 314 3" xfId="0"/>
    <cellStyle name="표준 315" xfId="0"/>
    <cellStyle name="표준 315 2" xfId="0"/>
    <cellStyle name="표준 315 2 2" xfId="0"/>
    <cellStyle name="표준 315 3" xfId="0"/>
    <cellStyle name="표준 316" xfId="0"/>
    <cellStyle name="표준 316 2" xfId="0"/>
    <cellStyle name="표준 316 2 2" xfId="0"/>
    <cellStyle name="표준 316 3" xfId="0"/>
    <cellStyle name="표준 317" xfId="0"/>
    <cellStyle name="표준 317 2" xfId="0"/>
    <cellStyle name="표준 317 2 2" xfId="0"/>
    <cellStyle name="표준 317 3" xfId="0"/>
    <cellStyle name="표준 318" xfId="0"/>
    <cellStyle name="표준 318 2" xfId="0"/>
    <cellStyle name="표준 318 2 2" xfId="0"/>
    <cellStyle name="표준 318 3" xfId="0"/>
    <cellStyle name="표준 319" xfId="0"/>
    <cellStyle name="표준 319 2" xfId="0"/>
    <cellStyle name="표준 319 2 2" xfId="0"/>
    <cellStyle name="표준 319 3" xfId="0"/>
    <cellStyle name="표준 31_2371.X" xfId="0"/>
    <cellStyle name="표준 32" xfId="0"/>
    <cellStyle name="표준 32 2" xfId="0"/>
    <cellStyle name="표준 32 3" xfId="0"/>
    <cellStyle name="표준 32 4" xfId="0"/>
    <cellStyle name="표준 32 5" xfId="0"/>
    <cellStyle name="표준 32 6" xfId="0"/>
    <cellStyle name="표준 320" xfId="0"/>
    <cellStyle name="표준 320 2" xfId="0"/>
    <cellStyle name="표준 320 2 2" xfId="0"/>
    <cellStyle name="표준 320 3" xfId="0"/>
    <cellStyle name="표준 321" xfId="0"/>
    <cellStyle name="표준 321 2" xfId="0"/>
    <cellStyle name="표준 321 2 2" xfId="0"/>
    <cellStyle name="표준 321 3" xfId="0"/>
    <cellStyle name="표준 322" xfId="0"/>
    <cellStyle name="표준 322 2" xfId="0"/>
    <cellStyle name="표준 322 2 2" xfId="0"/>
    <cellStyle name="표준 322 3" xfId="0"/>
    <cellStyle name="표준 323" xfId="0"/>
    <cellStyle name="표준 323 2" xfId="0"/>
    <cellStyle name="표준 323 2 2" xfId="0"/>
    <cellStyle name="표준 323 3" xfId="0"/>
    <cellStyle name="표준 324" xfId="0"/>
    <cellStyle name="표준 324 2" xfId="0"/>
    <cellStyle name="표준 324 2 2" xfId="0"/>
    <cellStyle name="표준 324 3" xfId="0"/>
    <cellStyle name="표준 325" xfId="0"/>
    <cellStyle name="표준 325 2" xfId="0"/>
    <cellStyle name="표준 325 2 2" xfId="0"/>
    <cellStyle name="표준 325 3" xfId="0"/>
    <cellStyle name="표준 326" xfId="0"/>
    <cellStyle name="표준 326 2" xfId="0"/>
    <cellStyle name="표준 326 2 2" xfId="0"/>
    <cellStyle name="표준 326 3" xfId="0"/>
    <cellStyle name="표준 327" xfId="0"/>
    <cellStyle name="표준 327 2" xfId="0"/>
    <cellStyle name="표준 327 2 2" xfId="0"/>
    <cellStyle name="표준 327 3" xfId="0"/>
    <cellStyle name="표준 328" xfId="0"/>
    <cellStyle name="표준 328 2" xfId="0"/>
    <cellStyle name="표준 328 2 2" xfId="0"/>
    <cellStyle name="표준 328 3" xfId="0"/>
    <cellStyle name="표준 329" xfId="0"/>
    <cellStyle name="표준 329 2" xfId="0"/>
    <cellStyle name="표준 329 2 2" xfId="0"/>
    <cellStyle name="표준 329 3" xfId="0"/>
    <cellStyle name="표준 33" xfId="0"/>
    <cellStyle name="표준 33 19" xfId="0"/>
    <cellStyle name="표준 33 2" xfId="0"/>
    <cellStyle name="표준 33 3" xfId="0"/>
    <cellStyle name="표준 33 4" xfId="0"/>
    <cellStyle name="표준 33 5" xfId="0"/>
    <cellStyle name="표준 33 6" xfId="0"/>
    <cellStyle name="표준 330" xfId="0"/>
    <cellStyle name="표준 330 2" xfId="0"/>
    <cellStyle name="표준 330 2 2" xfId="0"/>
    <cellStyle name="표준 330 3" xfId="0"/>
    <cellStyle name="표준 331" xfId="0"/>
    <cellStyle name="표준 331 2" xfId="0"/>
    <cellStyle name="표준 331 2 2" xfId="0"/>
    <cellStyle name="표준 331 3" xfId="0"/>
    <cellStyle name="표준 332" xfId="0"/>
    <cellStyle name="표준 332 2" xfId="0"/>
    <cellStyle name="표준 332 2 2" xfId="0"/>
    <cellStyle name="표준 332 3" xfId="0"/>
    <cellStyle name="표준 333" xfId="0"/>
    <cellStyle name="표준 333 2" xfId="0"/>
    <cellStyle name="표준 333 2 2" xfId="0"/>
    <cellStyle name="표준 333 3" xfId="0"/>
    <cellStyle name="표준 334" xfId="0"/>
    <cellStyle name="표준 334 2" xfId="0"/>
    <cellStyle name="표준 334 2 2" xfId="0"/>
    <cellStyle name="표준 334 3" xfId="0"/>
    <cellStyle name="표준 335" xfId="0"/>
    <cellStyle name="표준 335 2" xfId="0"/>
    <cellStyle name="표준 335 2 2" xfId="0"/>
    <cellStyle name="표준 335 3" xfId="0"/>
    <cellStyle name="표준 336" xfId="0"/>
    <cellStyle name="표준 336 2" xfId="0"/>
    <cellStyle name="표준 336 2 2" xfId="0"/>
    <cellStyle name="표준 336 3" xfId="0"/>
    <cellStyle name="표준 337" xfId="0"/>
    <cellStyle name="표준 337 2" xfId="0"/>
    <cellStyle name="표준 337 2 2" xfId="0"/>
    <cellStyle name="표준 337 3" xfId="0"/>
    <cellStyle name="표준 338" xfId="0"/>
    <cellStyle name="표준 338 2" xfId="0"/>
    <cellStyle name="표준 338 2 2" xfId="0"/>
    <cellStyle name="표준 338 3" xfId="0"/>
    <cellStyle name="표준 339" xfId="0"/>
    <cellStyle name="표준 339 2" xfId="0"/>
    <cellStyle name="표준 339 2 2" xfId="0"/>
    <cellStyle name="표준 339 3" xfId="0"/>
    <cellStyle name="표준 33_2371.X" xfId="0"/>
    <cellStyle name="표준 34" xfId="0"/>
    <cellStyle name="표준 34 2" xfId="0"/>
    <cellStyle name="표준 34 3" xfId="0"/>
    <cellStyle name="표준 340" xfId="0"/>
    <cellStyle name="표준 340 2" xfId="0"/>
    <cellStyle name="표준 340 2 2" xfId="0"/>
    <cellStyle name="표준 340 3" xfId="0"/>
    <cellStyle name="표준 341" xfId="0"/>
    <cellStyle name="표준 341 2" xfId="0"/>
    <cellStyle name="표준 341 2 2" xfId="0"/>
    <cellStyle name="표준 341 3" xfId="0"/>
    <cellStyle name="표준 342" xfId="0"/>
    <cellStyle name="표준 342 2" xfId="0"/>
    <cellStyle name="표준 342 2 2" xfId="0"/>
    <cellStyle name="표준 342 3" xfId="0"/>
    <cellStyle name="표준 343" xfId="0"/>
    <cellStyle name="표준 343 2" xfId="0"/>
    <cellStyle name="표준 343 2 2" xfId="0"/>
    <cellStyle name="표준 343 3" xfId="0"/>
    <cellStyle name="표준 344" xfId="0"/>
    <cellStyle name="표준 344 2" xfId="0"/>
    <cellStyle name="표준 344 2 2" xfId="0"/>
    <cellStyle name="표준 344 3" xfId="0"/>
    <cellStyle name="표준 345" xfId="0"/>
    <cellStyle name="표준 345 2" xfId="0"/>
    <cellStyle name="표준 345 2 2" xfId="0"/>
    <cellStyle name="표준 345 3" xfId="0"/>
    <cellStyle name="표준 346" xfId="0"/>
    <cellStyle name="표준 346 2" xfId="0"/>
    <cellStyle name="표준 346 2 2" xfId="0"/>
    <cellStyle name="표준 346 3" xfId="0"/>
    <cellStyle name="표준 347" xfId="0"/>
    <cellStyle name="표준 347 2" xfId="0"/>
    <cellStyle name="표준 347 2 2" xfId="0"/>
    <cellStyle name="표준 347 3" xfId="0"/>
    <cellStyle name="표준 348" xfId="0"/>
    <cellStyle name="표준 348 2" xfId="0"/>
    <cellStyle name="표준 348 2 2" xfId="0"/>
    <cellStyle name="표준 348 3" xfId="0"/>
    <cellStyle name="표준 349" xfId="0"/>
    <cellStyle name="표준 349 2" xfId="0"/>
    <cellStyle name="표준 349 2 2" xfId="0"/>
    <cellStyle name="표준 349 3" xfId="0"/>
    <cellStyle name="표준 34_2371.X" xfId="0"/>
    <cellStyle name="표준 35" xfId="0"/>
    <cellStyle name="표준 35 2" xfId="0"/>
    <cellStyle name="표준 35 2 2" xfId="0"/>
    <cellStyle name="표준 35 3" xfId="0"/>
    <cellStyle name="표준 350" xfId="0"/>
    <cellStyle name="표준 350 2" xfId="0"/>
    <cellStyle name="표준 350 2 2" xfId="0"/>
    <cellStyle name="표준 350 3" xfId="0"/>
    <cellStyle name="표준 351" xfId="0"/>
    <cellStyle name="표준 351 2" xfId="0"/>
    <cellStyle name="표준 351 2 2" xfId="0"/>
    <cellStyle name="표준 351 3" xfId="0"/>
    <cellStyle name="표준 352" xfId="0"/>
    <cellStyle name="표준 352 2" xfId="0"/>
    <cellStyle name="표준 352 2 2" xfId="0"/>
    <cellStyle name="표준 352 3" xfId="0"/>
    <cellStyle name="표준 353" xfId="0"/>
    <cellStyle name="표준 353 2" xfId="0"/>
    <cellStyle name="표준 353 2 2" xfId="0"/>
    <cellStyle name="표준 353 3" xfId="0"/>
    <cellStyle name="표준 354" xfId="0"/>
    <cellStyle name="표준 354 2" xfId="0"/>
    <cellStyle name="표준 354 2 2" xfId="0"/>
    <cellStyle name="표준 354 3" xfId="0"/>
    <cellStyle name="표준 355" xfId="0"/>
    <cellStyle name="표준 355 2" xfId="0"/>
    <cellStyle name="표준 355 2 2" xfId="0"/>
    <cellStyle name="표준 355 3" xfId="0"/>
    <cellStyle name="표준 356" xfId="0"/>
    <cellStyle name="표준 356 2" xfId="0"/>
    <cellStyle name="표준 356 2 2" xfId="0"/>
    <cellStyle name="표준 356 3" xfId="0"/>
    <cellStyle name="표준 357" xfId="0"/>
    <cellStyle name="표준 357 2" xfId="0"/>
    <cellStyle name="표준 357 2 2" xfId="0"/>
    <cellStyle name="표준 357 3" xfId="0"/>
    <cellStyle name="표준 358" xfId="0"/>
    <cellStyle name="표준 358 2" xfId="0"/>
    <cellStyle name="표준 358 2 2" xfId="0"/>
    <cellStyle name="표준 358 3" xfId="0"/>
    <cellStyle name="표준 359" xfId="0"/>
    <cellStyle name="표준 359 2" xfId="0"/>
    <cellStyle name="표준 359 2 2" xfId="0"/>
    <cellStyle name="표준 359 3" xfId="0"/>
    <cellStyle name="표준 35_2371.X" xfId="0"/>
    <cellStyle name="표준 36" xfId="0"/>
    <cellStyle name="표준 36 2" xfId="0"/>
    <cellStyle name="표준 36 3" xfId="0"/>
    <cellStyle name="표준 36 4" xfId="0"/>
    <cellStyle name="표준 36 5" xfId="0"/>
    <cellStyle name="표준 360" xfId="0"/>
    <cellStyle name="표준 360 2" xfId="0"/>
    <cellStyle name="표준 360 2 2" xfId="0"/>
    <cellStyle name="표준 360 3" xfId="0"/>
    <cellStyle name="표준 361" xfId="0"/>
    <cellStyle name="표준 361 2" xfId="0"/>
    <cellStyle name="표준 361 2 2" xfId="0"/>
    <cellStyle name="표준 361 3" xfId="0"/>
    <cellStyle name="표준 362" xfId="0"/>
    <cellStyle name="표준 362 2" xfId="0"/>
    <cellStyle name="표준 362 2 2" xfId="0"/>
    <cellStyle name="표준 362 3" xfId="0"/>
    <cellStyle name="표준 363" xfId="0"/>
    <cellStyle name="표준 363 2" xfId="0"/>
    <cellStyle name="표준 363 2 2" xfId="0"/>
    <cellStyle name="표준 363 3" xfId="0"/>
    <cellStyle name="표준 364" xfId="0"/>
    <cellStyle name="표준 364 2" xfId="0"/>
    <cellStyle name="표준 364 2 2" xfId="0"/>
    <cellStyle name="표준 364 3" xfId="0"/>
    <cellStyle name="표준 365" xfId="0"/>
    <cellStyle name="표준 365 2" xfId="0"/>
    <cellStyle name="표준 365 2 2" xfId="0"/>
    <cellStyle name="표준 365 3" xfId="0"/>
    <cellStyle name="표준 366" xfId="0"/>
    <cellStyle name="표준 366 2" xfId="0"/>
    <cellStyle name="표준 366 2 2" xfId="0"/>
    <cellStyle name="표준 366 3" xfId="0"/>
    <cellStyle name="표준 367" xfId="0"/>
    <cellStyle name="표준 367 2" xfId="0"/>
    <cellStyle name="표준 367 2 2" xfId="0"/>
    <cellStyle name="표준 367 3" xfId="0"/>
    <cellStyle name="표준 368" xfId="0"/>
    <cellStyle name="표준 368 2" xfId="0"/>
    <cellStyle name="표준 368 2 2" xfId="0"/>
    <cellStyle name="표준 368 3" xfId="0"/>
    <cellStyle name="표준 369" xfId="0"/>
    <cellStyle name="표준 369 2" xfId="0"/>
    <cellStyle name="표준 369 2 2" xfId="0"/>
    <cellStyle name="표준 369 3" xfId="0"/>
    <cellStyle name="표준 37" xfId="0"/>
    <cellStyle name="표준 37 10" xfId="0"/>
    <cellStyle name="표준 37 11" xfId="0"/>
    <cellStyle name="표준 37 12" xfId="0"/>
    <cellStyle name="표준 37 13" xfId="0"/>
    <cellStyle name="표준 37 14" xfId="0"/>
    <cellStyle name="표준 37 2" xfId="0"/>
    <cellStyle name="표준 37 2 2" xfId="0"/>
    <cellStyle name="표준 37 2 3" xfId="0"/>
    <cellStyle name="표준 37 3" xfId="0"/>
    <cellStyle name="표준 37 4" xfId="0"/>
    <cellStyle name="표준 37 5" xfId="0"/>
    <cellStyle name="표준 37 6" xfId="0"/>
    <cellStyle name="표준 37 7" xfId="0"/>
    <cellStyle name="표준 37 8" xfId="0"/>
    <cellStyle name="표준 37 9" xfId="0"/>
    <cellStyle name="표준 370" xfId="0"/>
    <cellStyle name="표준 370 2" xfId="0"/>
    <cellStyle name="표준 370 2 2" xfId="0"/>
    <cellStyle name="표준 370 3" xfId="0"/>
    <cellStyle name="표준 371" xfId="0"/>
    <cellStyle name="표준 371 2" xfId="0"/>
    <cellStyle name="표준 371 2 2" xfId="0"/>
    <cellStyle name="표준 371 3" xfId="0"/>
    <cellStyle name="표준 372" xfId="0"/>
    <cellStyle name="표준 372 2" xfId="0"/>
    <cellStyle name="표준 372 2 2" xfId="0"/>
    <cellStyle name="표준 372 3" xfId="0"/>
    <cellStyle name="표준 373" xfId="0"/>
    <cellStyle name="표준 373 2" xfId="0"/>
    <cellStyle name="표준 373 2 2" xfId="0"/>
    <cellStyle name="표준 373 3" xfId="0"/>
    <cellStyle name="표준 374" xfId="0"/>
    <cellStyle name="표준 374 2" xfId="0"/>
    <cellStyle name="표준 374 2 2" xfId="0"/>
    <cellStyle name="표준 374 3" xfId="0"/>
    <cellStyle name="표준 375" xfId="0"/>
    <cellStyle name="표준 375 2" xfId="0"/>
    <cellStyle name="표준 375 2 2" xfId="0"/>
    <cellStyle name="표준 375 3" xfId="0"/>
    <cellStyle name="표준 376" xfId="0"/>
    <cellStyle name="표준 376 2" xfId="0"/>
    <cellStyle name="표준 376 2 2" xfId="0"/>
    <cellStyle name="표준 376 3" xfId="0"/>
    <cellStyle name="표준 377" xfId="0"/>
    <cellStyle name="표준 377 2" xfId="0"/>
    <cellStyle name="표준 377 2 2" xfId="0"/>
    <cellStyle name="표준 377 3" xfId="0"/>
    <cellStyle name="표준 378" xfId="0"/>
    <cellStyle name="표준 378 2" xfId="0"/>
    <cellStyle name="표준 378 2 2" xfId="0"/>
    <cellStyle name="표준 378 3" xfId="0"/>
    <cellStyle name="표준 379" xfId="0"/>
    <cellStyle name="표준 379 2" xfId="0"/>
    <cellStyle name="표준 379 2 2" xfId="0"/>
    <cellStyle name="표준 379 3" xfId="0"/>
    <cellStyle name="표준 38" xfId="0"/>
    <cellStyle name="표준 38 2" xfId="0"/>
    <cellStyle name="표준 38 3" xfId="0"/>
    <cellStyle name="표준 380" xfId="0"/>
    <cellStyle name="표준 380 2" xfId="0"/>
    <cellStyle name="표준 380 2 2" xfId="0"/>
    <cellStyle name="표준 380 3" xfId="0"/>
    <cellStyle name="표준 381" xfId="0"/>
    <cellStyle name="표준 381 2" xfId="0"/>
    <cellStyle name="표준 381 2 2" xfId="0"/>
    <cellStyle name="표준 381 3" xfId="0"/>
    <cellStyle name="표준 382" xfId="0"/>
    <cellStyle name="표준 382 2" xfId="0"/>
    <cellStyle name="표준 382 2 2" xfId="0"/>
    <cellStyle name="표준 382 3" xfId="0"/>
    <cellStyle name="표준 383" xfId="0"/>
    <cellStyle name="표준 383 2" xfId="0"/>
    <cellStyle name="표준 383 2 2" xfId="0"/>
    <cellStyle name="표준 383 3" xfId="0"/>
    <cellStyle name="표준 384" xfId="0"/>
    <cellStyle name="표준 384 2" xfId="0"/>
    <cellStyle name="표준 384 2 2" xfId="0"/>
    <cellStyle name="표준 384 3" xfId="0"/>
    <cellStyle name="표준 385" xfId="0"/>
    <cellStyle name="표준 385 2" xfId="0"/>
    <cellStyle name="표준 385 2 2" xfId="0"/>
    <cellStyle name="표준 385 3" xfId="0"/>
    <cellStyle name="표준 386" xfId="0"/>
    <cellStyle name="표준 386 2" xfId="0"/>
    <cellStyle name="표준 386 2 2" xfId="0"/>
    <cellStyle name="표준 386 3" xfId="0"/>
    <cellStyle name="표준 387" xfId="0"/>
    <cellStyle name="표준 387 2" xfId="0"/>
    <cellStyle name="표준 387 2 2" xfId="0"/>
    <cellStyle name="표준 387 3" xfId="0"/>
    <cellStyle name="표준 388" xfId="0"/>
    <cellStyle name="표준 388 2" xfId="0"/>
    <cellStyle name="표준 388 2 2" xfId="0"/>
    <cellStyle name="표준 388 3" xfId="0"/>
    <cellStyle name="표준 389" xfId="0"/>
    <cellStyle name="표준 389 2" xfId="0"/>
    <cellStyle name="표준 389 2 2" xfId="0"/>
    <cellStyle name="표준 389 3" xfId="0"/>
    <cellStyle name="표준 39" xfId="0"/>
    <cellStyle name="표준 39 10" xfId="0"/>
    <cellStyle name="표준 39 11" xfId="0"/>
    <cellStyle name="표준 39 12" xfId="0"/>
    <cellStyle name="표준 39 13" xfId="0"/>
    <cellStyle name="표준 39 14" xfId="0"/>
    <cellStyle name="표준 39 15" xfId="0"/>
    <cellStyle name="표준 39 2" xfId="0"/>
    <cellStyle name="표준 39 3" xfId="0"/>
    <cellStyle name="표준 39 4" xfId="0"/>
    <cellStyle name="표준 39 5" xfId="0"/>
    <cellStyle name="표준 39 6" xfId="0"/>
    <cellStyle name="표준 39 7" xfId="0"/>
    <cellStyle name="표준 39 8" xfId="0"/>
    <cellStyle name="표준 39 9" xfId="0"/>
    <cellStyle name="표준 390" xfId="0"/>
    <cellStyle name="표준 390 2" xfId="0"/>
    <cellStyle name="표준 390 2 2" xfId="0"/>
    <cellStyle name="표준 390 3" xfId="0"/>
    <cellStyle name="표준 391" xfId="0"/>
    <cellStyle name="표준 391 2" xfId="0"/>
    <cellStyle name="표준 391 2 2" xfId="0"/>
    <cellStyle name="표준 391 3" xfId="0"/>
    <cellStyle name="표준 392" xfId="0"/>
    <cellStyle name="표준 392 2" xfId="0"/>
    <cellStyle name="표준 392 2 2" xfId="0"/>
    <cellStyle name="표준 392 3" xfId="0"/>
    <cellStyle name="표준 393" xfId="0"/>
    <cellStyle name="표준 393 2" xfId="0"/>
    <cellStyle name="표준 393 2 2" xfId="0"/>
    <cellStyle name="표준 393 3" xfId="0"/>
    <cellStyle name="표준 394" xfId="0"/>
    <cellStyle name="표준 394 2" xfId="0"/>
    <cellStyle name="표준 394 2 2" xfId="0"/>
    <cellStyle name="표준 394 3" xfId="0"/>
    <cellStyle name="표준 395" xfId="0"/>
    <cellStyle name="표준 395 2" xfId="0"/>
    <cellStyle name="표준 395 2 2" xfId="0"/>
    <cellStyle name="표준 395 3" xfId="0"/>
    <cellStyle name="표준 396" xfId="0"/>
    <cellStyle name="표준 396 2" xfId="0"/>
    <cellStyle name="표준 396 2 2" xfId="0"/>
    <cellStyle name="표준 396 3" xfId="0"/>
    <cellStyle name="표준 397" xfId="0"/>
    <cellStyle name="표준 397 2" xfId="0"/>
    <cellStyle name="표준 397 2 2" xfId="0"/>
    <cellStyle name="표준 397 3" xfId="0"/>
    <cellStyle name="표준 398" xfId="0"/>
    <cellStyle name="표준 398 2" xfId="0"/>
    <cellStyle name="표준 398 2 2" xfId="0"/>
    <cellStyle name="표준 398 3" xfId="0"/>
    <cellStyle name="표준 399" xfId="0"/>
    <cellStyle name="표준 399 2" xfId="0"/>
    <cellStyle name="표준 399 2 2" xfId="0"/>
    <cellStyle name="표준 399 3" xfId="0"/>
    <cellStyle name="표준 3_운용자산별 손익분석" xfId="0"/>
    <cellStyle name="표준 4" xfId="0"/>
    <cellStyle name="표준 4 10" xfId="0"/>
    <cellStyle name="표준 4 10 10" xfId="0"/>
    <cellStyle name="표준 4 10 10 2" xfId="0"/>
    <cellStyle name="표준 4 10 11" xfId="0"/>
    <cellStyle name="표준 4 10 2" xfId="0"/>
    <cellStyle name="표준 4 10 2 2" xfId="0"/>
    <cellStyle name="표준 4 10 3" xfId="0"/>
    <cellStyle name="표준 4 10 3 2" xfId="0"/>
    <cellStyle name="표준 4 10 4" xfId="0"/>
    <cellStyle name="표준 4 10 4 2" xfId="0"/>
    <cellStyle name="표준 4 10 5" xfId="0"/>
    <cellStyle name="표준 4 10 5 2" xfId="0"/>
    <cellStyle name="표준 4 10 6" xfId="0"/>
    <cellStyle name="표준 4 10 6 2" xfId="0"/>
    <cellStyle name="표준 4 10 7" xfId="0"/>
    <cellStyle name="표준 4 10 7 2" xfId="0"/>
    <cellStyle name="표준 4 10 8" xfId="0"/>
    <cellStyle name="표준 4 10 8 2" xfId="0"/>
    <cellStyle name="표준 4 10 9" xfId="0"/>
    <cellStyle name="표준 4 10 9 2" xfId="0"/>
    <cellStyle name="표준 4 11" xfId="0"/>
    <cellStyle name="표준 4 11 10" xfId="0"/>
    <cellStyle name="표준 4 11 10 2" xfId="0"/>
    <cellStyle name="표준 4 11 11" xfId="0"/>
    <cellStyle name="표준 4 11 2" xfId="0"/>
    <cellStyle name="표준 4 11 2 2" xfId="0"/>
    <cellStyle name="표준 4 11 3" xfId="0"/>
    <cellStyle name="표준 4 11 3 2" xfId="0"/>
    <cellStyle name="표준 4 11 4" xfId="0"/>
    <cellStyle name="표준 4 11 4 2" xfId="0"/>
    <cellStyle name="표준 4 11 5" xfId="0"/>
    <cellStyle name="표준 4 11 5 2" xfId="0"/>
    <cellStyle name="표준 4 11 6" xfId="0"/>
    <cellStyle name="표준 4 11 6 2" xfId="0"/>
    <cellStyle name="표준 4 11 7" xfId="0"/>
    <cellStyle name="표준 4 11 7 2" xfId="0"/>
    <cellStyle name="표준 4 11 8" xfId="0"/>
    <cellStyle name="표준 4 11 8 2" xfId="0"/>
    <cellStyle name="표준 4 11 9" xfId="0"/>
    <cellStyle name="표준 4 11 9 2" xfId="0"/>
    <cellStyle name="표준 4 12" xfId="0"/>
    <cellStyle name="표준 4 12 10" xfId="0"/>
    <cellStyle name="표준 4 12 10 2" xfId="0"/>
    <cellStyle name="표준 4 12 11" xfId="0"/>
    <cellStyle name="표준 4 12 2" xfId="0"/>
    <cellStyle name="표준 4 12 2 2" xfId="0"/>
    <cellStyle name="표준 4 12 3" xfId="0"/>
    <cellStyle name="표준 4 12 3 2" xfId="0"/>
    <cellStyle name="표준 4 12 4" xfId="0"/>
    <cellStyle name="표준 4 12 4 2" xfId="0"/>
    <cellStyle name="표준 4 12 5" xfId="0"/>
    <cellStyle name="표준 4 12 5 2" xfId="0"/>
    <cellStyle name="표준 4 12 6" xfId="0"/>
    <cellStyle name="표준 4 12 6 2" xfId="0"/>
    <cellStyle name="표준 4 12 7" xfId="0"/>
    <cellStyle name="표준 4 12 7 2" xfId="0"/>
    <cellStyle name="표준 4 12 8" xfId="0"/>
    <cellStyle name="표준 4 12 8 2" xfId="0"/>
    <cellStyle name="표준 4 12 9" xfId="0"/>
    <cellStyle name="표준 4 12 9 2" xfId="0"/>
    <cellStyle name="표준 4 13" xfId="0"/>
    <cellStyle name="표준 4 13 10" xfId="0"/>
    <cellStyle name="표준 4 13 11" xfId="0"/>
    <cellStyle name="표준 4 13 12" xfId="0"/>
    <cellStyle name="표준 4 13 2" xfId="0"/>
    <cellStyle name="표준 4 13 3" xfId="0"/>
    <cellStyle name="표준 4 13 4" xfId="0"/>
    <cellStyle name="표준 4 13 5" xfId="0"/>
    <cellStyle name="표준 4 13 6" xfId="0"/>
    <cellStyle name="표준 4 13 7" xfId="0"/>
    <cellStyle name="표준 4 13 8" xfId="0"/>
    <cellStyle name="표준 4 13 9" xfId="0"/>
    <cellStyle name="표준 4 14" xfId="0"/>
    <cellStyle name="표준 4 14 10" xfId="0"/>
    <cellStyle name="표준 4 14 10 2" xfId="0"/>
    <cellStyle name="표준 4 14 11" xfId="0"/>
    <cellStyle name="표준 4 14 2" xfId="0"/>
    <cellStyle name="표준 4 14 2 2" xfId="0"/>
    <cellStyle name="표준 4 14 3" xfId="0"/>
    <cellStyle name="표준 4 14 3 2" xfId="0"/>
    <cellStyle name="표준 4 14 4" xfId="0"/>
    <cellStyle name="표준 4 14 4 2" xfId="0"/>
    <cellStyle name="표준 4 14 5" xfId="0"/>
    <cellStyle name="표준 4 14 5 2" xfId="0"/>
    <cellStyle name="표준 4 14 6" xfId="0"/>
    <cellStyle name="표준 4 14 6 2" xfId="0"/>
    <cellStyle name="표준 4 14 7" xfId="0"/>
    <cellStyle name="표준 4 14 7 2" xfId="0"/>
    <cellStyle name="표준 4 14 8" xfId="0"/>
    <cellStyle name="표준 4 14 8 2" xfId="0"/>
    <cellStyle name="표준 4 14 9" xfId="0"/>
    <cellStyle name="표준 4 14 9 2" xfId="0"/>
    <cellStyle name="표준 4 15" xfId="0"/>
    <cellStyle name="표준 4 15 10" xfId="0"/>
    <cellStyle name="표준 4 15 10 2" xfId="0"/>
    <cellStyle name="표준 4 15 2" xfId="0"/>
    <cellStyle name="표준 4 15 2 2" xfId="0"/>
    <cellStyle name="표준 4 15 3" xfId="0"/>
    <cellStyle name="표준 4 15 3 2" xfId="0"/>
    <cellStyle name="표준 4 15 4" xfId="0"/>
    <cellStyle name="표준 4 15 4 2" xfId="0"/>
    <cellStyle name="표준 4 15 5" xfId="0"/>
    <cellStyle name="표준 4 15 5 2" xfId="0"/>
    <cellStyle name="표준 4 15 6" xfId="0"/>
    <cellStyle name="표준 4 15 6 2" xfId="0"/>
    <cellStyle name="표준 4 15 7" xfId="0"/>
    <cellStyle name="표준 4 15 7 2" xfId="0"/>
    <cellStyle name="표준 4 15 8" xfId="0"/>
    <cellStyle name="표준 4 15 8 2" xfId="0"/>
    <cellStyle name="표준 4 15 9" xfId="0"/>
    <cellStyle name="표준 4 15 9 2" xfId="0"/>
    <cellStyle name="표준 4 16" xfId="0"/>
    <cellStyle name="표준 4 16 10" xfId="0"/>
    <cellStyle name="표준 4 16 2" xfId="0"/>
    <cellStyle name="표준 4 16 2 2" xfId="0"/>
    <cellStyle name="표준 4 16 3" xfId="0"/>
    <cellStyle name="표준 4 16 3 2" xfId="0"/>
    <cellStyle name="표준 4 16 4" xfId="0"/>
    <cellStyle name="표준 4 16 4 2" xfId="0"/>
    <cellStyle name="표준 4 16 5" xfId="0"/>
    <cellStyle name="표준 4 16 5 2" xfId="0"/>
    <cellStyle name="표준 4 16 6" xfId="0"/>
    <cellStyle name="표준 4 16 6 2" xfId="0"/>
    <cellStyle name="표준 4 16 7" xfId="0"/>
    <cellStyle name="표준 4 16 7 2" xfId="0"/>
    <cellStyle name="표준 4 16 8" xfId="0"/>
    <cellStyle name="표준 4 16 8 2" xfId="0"/>
    <cellStyle name="표준 4 16 9" xfId="0"/>
    <cellStyle name="표준 4 16 9 2" xfId="0"/>
    <cellStyle name="표준 4 17" xfId="0"/>
    <cellStyle name="표준 4 17 10" xfId="0"/>
    <cellStyle name="표준 4 17 2" xfId="0"/>
    <cellStyle name="표준 4 17 2 2" xfId="0"/>
    <cellStyle name="표준 4 17 3" xfId="0"/>
    <cellStyle name="표준 4 17 3 2" xfId="0"/>
    <cellStyle name="표준 4 17 4" xfId="0"/>
    <cellStyle name="표준 4 17 4 2" xfId="0"/>
    <cellStyle name="표준 4 17 5" xfId="0"/>
    <cellStyle name="표준 4 17 5 2" xfId="0"/>
    <cellStyle name="표준 4 17 6" xfId="0"/>
    <cellStyle name="표준 4 17 6 2" xfId="0"/>
    <cellStyle name="표준 4 17 7" xfId="0"/>
    <cellStyle name="표준 4 17 7 2" xfId="0"/>
    <cellStyle name="표준 4 17 8" xfId="0"/>
    <cellStyle name="표준 4 17 8 2" xfId="0"/>
    <cellStyle name="표준 4 17 9" xfId="0"/>
    <cellStyle name="표준 4 17 9 2" xfId="0"/>
    <cellStyle name="표준 4 18" xfId="0"/>
    <cellStyle name="표준 4 18 10" xfId="0"/>
    <cellStyle name="표준 4 18 2" xfId="0"/>
    <cellStyle name="표준 4 18 2 2" xfId="0"/>
    <cellStyle name="표준 4 18 3" xfId="0"/>
    <cellStyle name="표준 4 18 3 2" xfId="0"/>
    <cellStyle name="표준 4 18 4" xfId="0"/>
    <cellStyle name="표준 4 18 4 2" xfId="0"/>
    <cellStyle name="표준 4 18 5" xfId="0"/>
    <cellStyle name="표준 4 18 5 2" xfId="0"/>
    <cellStyle name="표준 4 18 6" xfId="0"/>
    <cellStyle name="표준 4 18 7" xfId="0"/>
    <cellStyle name="표준 4 18 8" xfId="0"/>
    <cellStyle name="표준 4 18 9" xfId="0"/>
    <cellStyle name="표준 4 19" xfId="0"/>
    <cellStyle name="표준 4 19 10" xfId="0"/>
    <cellStyle name="표준 4 19 2" xfId="0"/>
    <cellStyle name="표준 4 19 2 2" xfId="0"/>
    <cellStyle name="표준 4 19 3" xfId="0"/>
    <cellStyle name="표준 4 19 3 2" xfId="0"/>
    <cellStyle name="표준 4 19 4" xfId="0"/>
    <cellStyle name="표준 4 19 4 2" xfId="0"/>
    <cellStyle name="표준 4 19 5" xfId="0"/>
    <cellStyle name="표준 4 19 5 2" xfId="0"/>
    <cellStyle name="표준 4 19 6" xfId="0"/>
    <cellStyle name="표준 4 19 7" xfId="0"/>
    <cellStyle name="표준 4 19 8" xfId="0"/>
    <cellStyle name="표준 4 19 9" xfId="0"/>
    <cellStyle name="표준 4 2" xfId="0"/>
    <cellStyle name="표준 4 2 10" xfId="0"/>
    <cellStyle name="표준 4 2 10 2" xfId="0"/>
    <cellStyle name="표준 4 2 11" xfId="0"/>
    <cellStyle name="표준 4 2 12" xfId="0"/>
    <cellStyle name="표준 4 2 13" xfId="0"/>
    <cellStyle name="표준 4 2 14" xfId="0"/>
    <cellStyle name="표준 4 2 2" xfId="0"/>
    <cellStyle name="표준 4 2 2 10" xfId="0"/>
    <cellStyle name="표준 4 2 2 11" xfId="0"/>
    <cellStyle name="표준 4 2 2 12" xfId="0"/>
    <cellStyle name="표준 4 2 2 2" xfId="0"/>
    <cellStyle name="표준 4 2 2 2 2" xfId="0"/>
    <cellStyle name="표준 4 2 2 3" xfId="0"/>
    <cellStyle name="표준 4 2 2 4" xfId="0"/>
    <cellStyle name="표준 4 2 2 5" xfId="0"/>
    <cellStyle name="표준 4 2 2 6" xfId="0"/>
    <cellStyle name="표준 4 2 2 7" xfId="0"/>
    <cellStyle name="표준 4 2 2 8" xfId="0"/>
    <cellStyle name="표준 4 2 2 9" xfId="0"/>
    <cellStyle name="표준 4 2 3" xfId="0"/>
    <cellStyle name="표준 4 2 3 2" xfId="0"/>
    <cellStyle name="표준 4 2 4" xfId="0"/>
    <cellStyle name="표준 4 2 4 2" xfId="0"/>
    <cellStyle name="표준 4 2 4 3" xfId="0"/>
    <cellStyle name="표준 4 2 5" xfId="0"/>
    <cellStyle name="표준 4 2 5 2" xfId="0"/>
    <cellStyle name="표준 4 2 5 3" xfId="0"/>
    <cellStyle name="표준 4 2 6" xfId="0"/>
    <cellStyle name="표준 4 2 6 2" xfId="0"/>
    <cellStyle name="표준 4 2 6 3" xfId="0"/>
    <cellStyle name="표준 4 2 7" xfId="0"/>
    <cellStyle name="표준 4 2 7 2" xfId="0"/>
    <cellStyle name="표준 4 2 7 3" xfId="0"/>
    <cellStyle name="표준 4 2 8" xfId="0"/>
    <cellStyle name="표준 4 2 8 2" xfId="0"/>
    <cellStyle name="표준 4 2 9" xfId="0"/>
    <cellStyle name="표준 4 2 9 2" xfId="0"/>
    <cellStyle name="표준 4 20" xfId="0"/>
    <cellStyle name="표준 4 20 2" xfId="0"/>
    <cellStyle name="표준 4 20 2 10" xfId="0"/>
    <cellStyle name="표준 4 20 2 2" xfId="0"/>
    <cellStyle name="표준 4 20 2 3" xfId="0"/>
    <cellStyle name="표준 4 20 2 4" xfId="0"/>
    <cellStyle name="표준 4 20 2 5" xfId="0"/>
    <cellStyle name="표준 4 20 2 6" xfId="0"/>
    <cellStyle name="표준 4 20 2 7" xfId="0"/>
    <cellStyle name="표준 4 20 2 8" xfId="0"/>
    <cellStyle name="표준 4 20 2 9" xfId="0"/>
    <cellStyle name="표준 4 20 3" xfId="0"/>
    <cellStyle name="표준 4 20 3 2" xfId="0"/>
    <cellStyle name="표준 4 20 3 3" xfId="0"/>
    <cellStyle name="표준 4 20 3 4" xfId="0"/>
    <cellStyle name="표준 4 20 3 5" xfId="0"/>
    <cellStyle name="표준 4 20 3 6" xfId="0"/>
    <cellStyle name="표준 4 20 4" xfId="0"/>
    <cellStyle name="표준 4 20 4 2" xfId="0"/>
    <cellStyle name="표준 4 20 4 3" xfId="0"/>
    <cellStyle name="표준 4 20 4 4" xfId="0"/>
    <cellStyle name="표준 4 20 4 5" xfId="0"/>
    <cellStyle name="표준 4 20 4 6" xfId="0"/>
    <cellStyle name="표준 4 20 5" xfId="0"/>
    <cellStyle name="표준 4 20 5 2" xfId="0"/>
    <cellStyle name="표준 4 20 5 3" xfId="0"/>
    <cellStyle name="표준 4 20 5 4" xfId="0"/>
    <cellStyle name="표준 4 20 5 5" xfId="0"/>
    <cellStyle name="표준 4 20 5 6" xfId="0"/>
    <cellStyle name="표준 4 20 6" xfId="0"/>
    <cellStyle name="표준 4 20 7" xfId="0"/>
    <cellStyle name="표준 4 20 8" xfId="0"/>
    <cellStyle name="표준 4 21" xfId="0"/>
    <cellStyle name="표준 4 21 2" xfId="0"/>
    <cellStyle name="표준 4 22" xfId="0"/>
    <cellStyle name="표준 4 22 2" xfId="0"/>
    <cellStyle name="표준 4 23" xfId="0"/>
    <cellStyle name="표준 4 23 2" xfId="0"/>
    <cellStyle name="표준 4 24" xfId="0"/>
    <cellStyle name="표준 4 24 2" xfId="0"/>
    <cellStyle name="표준 4 25" xfId="0"/>
    <cellStyle name="표준 4 25 2" xfId="0"/>
    <cellStyle name="표준 4 26" xfId="0"/>
    <cellStyle name="표준 4 26 2" xfId="0"/>
    <cellStyle name="표준 4 27" xfId="0"/>
    <cellStyle name="표준 4 27 2" xfId="0"/>
    <cellStyle name="표준 4 28" xfId="0"/>
    <cellStyle name="표준 4 28 2" xfId="0"/>
    <cellStyle name="표준 4 29" xfId="0"/>
    <cellStyle name="표준 4 29 2" xfId="0"/>
    <cellStyle name="표준 4 2_2371.X" xfId="0"/>
    <cellStyle name="표준 4 3" xfId="0"/>
    <cellStyle name="표준 4 3 10" xfId="0"/>
    <cellStyle name="표준 4 3 10 2" xfId="0"/>
    <cellStyle name="표준 4 3 2" xfId="0"/>
    <cellStyle name="표준 4 3 2 10" xfId="0"/>
    <cellStyle name="표준 4 3 2 11" xfId="0"/>
    <cellStyle name="표준 4 3 2 2" xfId="0"/>
    <cellStyle name="표준 4 3 2 3" xfId="0"/>
    <cellStyle name="표준 4 3 2 4" xfId="0"/>
    <cellStyle name="표준 4 3 2 5" xfId="0"/>
    <cellStyle name="표준 4 3 2 6" xfId="0"/>
    <cellStyle name="표준 4 3 2 7" xfId="0"/>
    <cellStyle name="표준 4 3 2 8" xfId="0"/>
    <cellStyle name="표준 4 3 2 9" xfId="0"/>
    <cellStyle name="표준 4 3 3" xfId="0"/>
    <cellStyle name="표준 4 3 3 2" xfId="0"/>
    <cellStyle name="표준 4 3 4" xfId="0"/>
    <cellStyle name="표준 4 3 4 2" xfId="0"/>
    <cellStyle name="표준 4 3 5" xfId="0"/>
    <cellStyle name="표준 4 3 5 2" xfId="0"/>
    <cellStyle name="표준 4 3 6" xfId="0"/>
    <cellStyle name="표준 4 3 6 2" xfId="0"/>
    <cellStyle name="표준 4 3 7" xfId="0"/>
    <cellStyle name="표준 4 3 7 2" xfId="0"/>
    <cellStyle name="표준 4 3 8" xfId="0"/>
    <cellStyle name="표준 4 3 8 2" xfId="0"/>
    <cellStyle name="표준 4 3 9" xfId="0"/>
    <cellStyle name="표준 4 3 9 2" xfId="0"/>
    <cellStyle name="표준 4 30" xfId="0"/>
    <cellStyle name="표준 4 31" xfId="0"/>
    <cellStyle name="표준 4 32" xfId="0"/>
    <cellStyle name="표준 4 32 2" xfId="0"/>
    <cellStyle name="표준 4 32 3" xfId="0"/>
    <cellStyle name="표준 4 32 4" xfId="0"/>
    <cellStyle name="표준 4 32 5" xfId="0"/>
    <cellStyle name="표준 4 33" xfId="0"/>
    <cellStyle name="표준 4 33 2" xfId="0"/>
    <cellStyle name="표준 4 33 3" xfId="0"/>
    <cellStyle name="표준 4 33 4" xfId="0"/>
    <cellStyle name="표준 4 33 5" xfId="0"/>
    <cellStyle name="표준 4 34" xfId="0"/>
    <cellStyle name="표준 4 34 2" xfId="0"/>
    <cellStyle name="표준 4 34 3" xfId="0"/>
    <cellStyle name="표준 4 34 4" xfId="0"/>
    <cellStyle name="표준 4 34 5" xfId="0"/>
    <cellStyle name="표준 4 35" xfId="0"/>
    <cellStyle name="표준 4 35 2" xfId="0"/>
    <cellStyle name="표준 4 35 3" xfId="0"/>
    <cellStyle name="표준 4 35 4" xfId="0"/>
    <cellStyle name="표준 4 35 5" xfId="0"/>
    <cellStyle name="표준 4 36" xfId="0"/>
    <cellStyle name="표준 4 36 2" xfId="0"/>
    <cellStyle name="표준 4 36 3" xfId="0"/>
    <cellStyle name="표준 4 36 4" xfId="0"/>
    <cellStyle name="표준 4 36 5" xfId="0"/>
    <cellStyle name="표준 4 37" xfId="0"/>
    <cellStyle name="표준 4 38" xfId="0"/>
    <cellStyle name="표준 4 39" xfId="0"/>
    <cellStyle name="표준 4 4" xfId="0"/>
    <cellStyle name="표준 4 4 10" xfId="0"/>
    <cellStyle name="표준 4 4 10 2" xfId="0"/>
    <cellStyle name="표준 4 4 11" xfId="0"/>
    <cellStyle name="표준 4 4 12" xfId="0"/>
    <cellStyle name="표준 4 4 2" xfId="0"/>
    <cellStyle name="표준 4 4 2 2" xfId="0"/>
    <cellStyle name="표준 4 4 3" xfId="0"/>
    <cellStyle name="표준 4 4 3 2" xfId="0"/>
    <cellStyle name="표준 4 4 4" xfId="0"/>
    <cellStyle name="표준 4 4 4 2" xfId="0"/>
    <cellStyle name="표준 4 4 5" xfId="0"/>
    <cellStyle name="표준 4 4 5 2" xfId="0"/>
    <cellStyle name="표준 4 4 6" xfId="0"/>
    <cellStyle name="표준 4 4 6 2" xfId="0"/>
    <cellStyle name="표준 4 4 7" xfId="0"/>
    <cellStyle name="표준 4 4 7 2" xfId="0"/>
    <cellStyle name="표준 4 4 8" xfId="0"/>
    <cellStyle name="표준 4 4 8 2" xfId="0"/>
    <cellStyle name="표준 4 4 9" xfId="0"/>
    <cellStyle name="표준 4 4 9 2" xfId="0"/>
    <cellStyle name="표준 4 40" xfId="0"/>
    <cellStyle name="표준 4 41" xfId="0"/>
    <cellStyle name="표준 4 5" xfId="0"/>
    <cellStyle name="표준 4 5 10" xfId="0"/>
    <cellStyle name="표준 4 5 10 2" xfId="0"/>
    <cellStyle name="표준 4 5 11" xfId="0"/>
    <cellStyle name="표준 4 5 2" xfId="0"/>
    <cellStyle name="표준 4 5 2 2" xfId="0"/>
    <cellStyle name="표준 4 5 3" xfId="0"/>
    <cellStyle name="표준 4 5 3 2" xfId="0"/>
    <cellStyle name="표준 4 5 4" xfId="0"/>
    <cellStyle name="표준 4 5 4 2" xfId="0"/>
    <cellStyle name="표준 4 5 5" xfId="0"/>
    <cellStyle name="표준 4 5 5 2" xfId="0"/>
    <cellStyle name="표준 4 5 6" xfId="0"/>
    <cellStyle name="표준 4 5 6 2" xfId="0"/>
    <cellStyle name="표준 4 5 7" xfId="0"/>
    <cellStyle name="표준 4 5 7 2" xfId="0"/>
    <cellStyle name="표준 4 5 8" xfId="0"/>
    <cellStyle name="표준 4 5 8 2" xfId="0"/>
    <cellStyle name="표준 4 5 9" xfId="0"/>
    <cellStyle name="표준 4 5 9 2" xfId="0"/>
    <cellStyle name="표준 4 6" xfId="0"/>
    <cellStyle name="표준 4 6 10" xfId="0"/>
    <cellStyle name="표준 4 6 10 2" xfId="0"/>
    <cellStyle name="표준 4 6 11" xfId="0"/>
    <cellStyle name="표준 4 6 2" xfId="0"/>
    <cellStyle name="표준 4 6 2 2" xfId="0"/>
    <cellStyle name="표준 4 6 3" xfId="0"/>
    <cellStyle name="표준 4 6 3 2" xfId="0"/>
    <cellStyle name="표준 4 6 4" xfId="0"/>
    <cellStyle name="표준 4 6 4 2" xfId="0"/>
    <cellStyle name="표준 4 6 5" xfId="0"/>
    <cellStyle name="표준 4 6 5 2" xfId="0"/>
    <cellStyle name="표준 4 6 6" xfId="0"/>
    <cellStyle name="표준 4 6 6 2" xfId="0"/>
    <cellStyle name="표준 4 6 7" xfId="0"/>
    <cellStyle name="표준 4 6 7 2" xfId="0"/>
    <cellStyle name="표준 4 6 8" xfId="0"/>
    <cellStyle name="표준 4 6 8 2" xfId="0"/>
    <cellStyle name="표준 4 6 9" xfId="0"/>
    <cellStyle name="표준 4 6 9 2" xfId="0"/>
    <cellStyle name="표준 4 7" xfId="0"/>
    <cellStyle name="표준 4 7 10" xfId="0"/>
    <cellStyle name="표준 4 7 10 2" xfId="0"/>
    <cellStyle name="표준 4 7 11" xfId="0"/>
    <cellStyle name="표준 4 7 2" xfId="0"/>
    <cellStyle name="표준 4 7 2 2" xfId="0"/>
    <cellStyle name="표준 4 7 3" xfId="0"/>
    <cellStyle name="표준 4 7 3 2" xfId="0"/>
    <cellStyle name="표준 4 7 4" xfId="0"/>
    <cellStyle name="표준 4 7 4 2" xfId="0"/>
    <cellStyle name="표준 4 7 5" xfId="0"/>
    <cellStyle name="표준 4 7 5 2" xfId="0"/>
    <cellStyle name="표준 4 7 6" xfId="0"/>
    <cellStyle name="표준 4 7 6 2" xfId="0"/>
    <cellStyle name="표준 4 7 7" xfId="0"/>
    <cellStyle name="표준 4 7 7 2" xfId="0"/>
    <cellStyle name="표준 4 7 8" xfId="0"/>
    <cellStyle name="표준 4 7 8 2" xfId="0"/>
    <cellStyle name="표준 4 7 9" xfId="0"/>
    <cellStyle name="표준 4 7 9 2" xfId="0"/>
    <cellStyle name="표준 4 8" xfId="0"/>
    <cellStyle name="표준 4 8 10" xfId="0"/>
    <cellStyle name="표준 4 8 10 2" xfId="0"/>
    <cellStyle name="표준 4 8 11" xfId="0"/>
    <cellStyle name="표준 4 8 2" xfId="0"/>
    <cellStyle name="표준 4 8 2 2" xfId="0"/>
    <cellStyle name="표준 4 8 3" xfId="0"/>
    <cellStyle name="표준 4 8 3 2" xfId="0"/>
    <cellStyle name="표준 4 8 4" xfId="0"/>
    <cellStyle name="표준 4 8 4 2" xfId="0"/>
    <cellStyle name="표준 4 8 5" xfId="0"/>
    <cellStyle name="표준 4 8 5 2" xfId="0"/>
    <cellStyle name="표준 4 8 6" xfId="0"/>
    <cellStyle name="표준 4 8 6 2" xfId="0"/>
    <cellStyle name="표준 4 8 7" xfId="0"/>
    <cellStyle name="표준 4 8 7 2" xfId="0"/>
    <cellStyle name="표준 4 8 8" xfId="0"/>
    <cellStyle name="표준 4 8 8 2" xfId="0"/>
    <cellStyle name="표준 4 8 9" xfId="0"/>
    <cellStyle name="표준 4 8 9 2" xfId="0"/>
    <cellStyle name="표준 4 9" xfId="0"/>
    <cellStyle name="표준 4 9 10" xfId="0"/>
    <cellStyle name="표준 4 9 10 2" xfId="0"/>
    <cellStyle name="표준 4 9 11" xfId="0"/>
    <cellStyle name="표준 4 9 2" xfId="0"/>
    <cellStyle name="표준 4 9 2 2" xfId="0"/>
    <cellStyle name="표준 4 9 3" xfId="0"/>
    <cellStyle name="표준 4 9 3 2" xfId="0"/>
    <cellStyle name="표준 4 9 4" xfId="0"/>
    <cellStyle name="표준 4 9 4 2" xfId="0"/>
    <cellStyle name="표준 4 9 5" xfId="0"/>
    <cellStyle name="표준 4 9 5 2" xfId="0"/>
    <cellStyle name="표준 4 9 6" xfId="0"/>
    <cellStyle name="표준 4 9 6 2" xfId="0"/>
    <cellStyle name="표준 4 9 7" xfId="0"/>
    <cellStyle name="표준 4 9 7 2" xfId="0"/>
    <cellStyle name="표준 4 9 8" xfId="0"/>
    <cellStyle name="표준 4 9 8 2" xfId="0"/>
    <cellStyle name="표준 4 9 9" xfId="0"/>
    <cellStyle name="표준 4 9 9 2" xfId="0"/>
    <cellStyle name="표준 40" xfId="0"/>
    <cellStyle name="표준 40 10" xfId="0"/>
    <cellStyle name="표준 40 11" xfId="0"/>
    <cellStyle name="표준 40 12" xfId="0"/>
    <cellStyle name="표준 40 13" xfId="0"/>
    <cellStyle name="표준 40 14" xfId="0"/>
    <cellStyle name="표준 40 15" xfId="0"/>
    <cellStyle name="표준 40 2" xfId="0"/>
    <cellStyle name="표준 40 3" xfId="0"/>
    <cellStyle name="표준 40 4" xfId="0"/>
    <cellStyle name="표준 40 5" xfId="0"/>
    <cellStyle name="표준 40 6" xfId="0"/>
    <cellStyle name="표준 40 7" xfId="0"/>
    <cellStyle name="표준 40 8" xfId="0"/>
    <cellStyle name="표준 40 9" xfId="0"/>
    <cellStyle name="표준 400" xfId="0"/>
    <cellStyle name="표준 400 2" xfId="0"/>
    <cellStyle name="표준 400 2 2" xfId="0"/>
    <cellStyle name="표준 400 3" xfId="0"/>
    <cellStyle name="표준 401" xfId="0"/>
    <cellStyle name="표준 401 2" xfId="0"/>
    <cellStyle name="표준 401 2 2" xfId="0"/>
    <cellStyle name="표준 401 3" xfId="0"/>
    <cellStyle name="표준 402" xfId="0"/>
    <cellStyle name="표준 402 2" xfId="0"/>
    <cellStyle name="표준 402 2 2" xfId="0"/>
    <cellStyle name="표준 402 3" xfId="0"/>
    <cellStyle name="표준 403" xfId="0"/>
    <cellStyle name="표준 403 2" xfId="0"/>
    <cellStyle name="표준 403 2 2" xfId="0"/>
    <cellStyle name="표준 403 3" xfId="0"/>
    <cellStyle name="표준 404" xfId="0"/>
    <cellStyle name="표준 404 2" xfId="0"/>
    <cellStyle name="표준 404 2 2" xfId="0"/>
    <cellStyle name="표준 404 3" xfId="0"/>
    <cellStyle name="표준 405" xfId="0"/>
    <cellStyle name="표준 405 2" xfId="0"/>
    <cellStyle name="표준 405 2 2" xfId="0"/>
    <cellStyle name="표준 405 3" xfId="0"/>
    <cellStyle name="표준 406" xfId="0"/>
    <cellStyle name="표준 406 2" xfId="0"/>
    <cellStyle name="표준 406 2 2" xfId="0"/>
    <cellStyle name="표준 406 3" xfId="0"/>
    <cellStyle name="표준 407" xfId="0"/>
    <cellStyle name="표준 407 2" xfId="0"/>
    <cellStyle name="표준 407 2 2" xfId="0"/>
    <cellStyle name="표준 407 3" xfId="0"/>
    <cellStyle name="표준 408" xfId="0"/>
    <cellStyle name="표준 408 2" xfId="0"/>
    <cellStyle name="표준 408 2 2" xfId="0"/>
    <cellStyle name="표준 408 3" xfId="0"/>
    <cellStyle name="표준 409" xfId="0"/>
    <cellStyle name="표준 409 2" xfId="0"/>
    <cellStyle name="표준 409 2 2" xfId="0"/>
    <cellStyle name="표준 409 3" xfId="0"/>
    <cellStyle name="표준 41" xfId="0"/>
    <cellStyle name="표준 41 2" xfId="0"/>
    <cellStyle name="표준 410" xfId="0"/>
    <cellStyle name="표준 410 2" xfId="0"/>
    <cellStyle name="표준 410 2 2" xfId="0"/>
    <cellStyle name="표준 410 3" xfId="0"/>
    <cellStyle name="표준 411" xfId="0"/>
    <cellStyle name="표준 411 2" xfId="0"/>
    <cellStyle name="표준 411 2 2" xfId="0"/>
    <cellStyle name="표준 411 3" xfId="0"/>
    <cellStyle name="표준 412" xfId="0"/>
    <cellStyle name="표준 412 2" xfId="0"/>
    <cellStyle name="표준 412 2 2" xfId="0"/>
    <cellStyle name="표준 412 3" xfId="0"/>
    <cellStyle name="표준 413" xfId="0"/>
    <cellStyle name="표준 413 2" xfId="0"/>
    <cellStyle name="표준 413 2 2" xfId="0"/>
    <cellStyle name="표준 413 3" xfId="0"/>
    <cellStyle name="표준 414" xfId="0"/>
    <cellStyle name="표준 414 2" xfId="0"/>
    <cellStyle name="표준 414 2 2" xfId="0"/>
    <cellStyle name="표준 414 3" xfId="0"/>
    <cellStyle name="표준 415" xfId="0"/>
    <cellStyle name="표준 415 2" xfId="0"/>
    <cellStyle name="표준 415 2 2" xfId="0"/>
    <cellStyle name="표준 415 3" xfId="0"/>
    <cellStyle name="표준 416" xfId="0"/>
    <cellStyle name="표준 416 2" xfId="0"/>
    <cellStyle name="표준 416 2 2" xfId="0"/>
    <cellStyle name="표준 416 3" xfId="0"/>
    <cellStyle name="표준 417" xfId="0"/>
    <cellStyle name="표준 417 2" xfId="0"/>
    <cellStyle name="표준 417 2 2" xfId="0"/>
    <cellStyle name="표준 417 3" xfId="0"/>
    <cellStyle name="표준 418" xfId="0"/>
    <cellStyle name="표준 418 2" xfId="0"/>
    <cellStyle name="표준 418 2 2" xfId="0"/>
    <cellStyle name="표준 418 3" xfId="0"/>
    <cellStyle name="표준 419" xfId="0"/>
    <cellStyle name="표준 419 2" xfId="0"/>
    <cellStyle name="표준 419 2 2" xfId="0"/>
    <cellStyle name="표준 419 3" xfId="0"/>
    <cellStyle name="표준 42" xfId="0"/>
    <cellStyle name="표준 42 10" xfId="0"/>
    <cellStyle name="표준 42 11" xfId="0"/>
    <cellStyle name="표준 42 12" xfId="0"/>
    <cellStyle name="표준 42 13" xfId="0"/>
    <cellStyle name="표준 42 14" xfId="0"/>
    <cellStyle name="표준 42 15" xfId="0"/>
    <cellStyle name="표준 42 16" xfId="0"/>
    <cellStyle name="표준 42 17" xfId="0"/>
    <cellStyle name="표준 42 2" xfId="0"/>
    <cellStyle name="표준 42 2 2" xfId="0"/>
    <cellStyle name="표준 42 3" xfId="0"/>
    <cellStyle name="표준 42 3 2" xfId="0"/>
    <cellStyle name="표준 42 4" xfId="0"/>
    <cellStyle name="표준 42 4 2" xfId="0"/>
    <cellStyle name="표준 42 5" xfId="0"/>
    <cellStyle name="표준 42 5 2" xfId="0"/>
    <cellStyle name="표준 42 6" xfId="0"/>
    <cellStyle name="표준 42 6 2" xfId="0"/>
    <cellStyle name="표준 42 7" xfId="0"/>
    <cellStyle name="표준 42 8" xfId="0"/>
    <cellStyle name="표준 42 9" xfId="0"/>
    <cellStyle name="표준 420" xfId="0"/>
    <cellStyle name="표준 420 2" xfId="0"/>
    <cellStyle name="표준 420 2 2" xfId="0"/>
    <cellStyle name="표준 420 3" xfId="0"/>
    <cellStyle name="표준 421" xfId="0"/>
    <cellStyle name="표준 421 2" xfId="0"/>
    <cellStyle name="표준 421 2 2" xfId="0"/>
    <cellStyle name="표준 421 3" xfId="0"/>
    <cellStyle name="표준 422" xfId="0"/>
    <cellStyle name="표준 422 2" xfId="0"/>
    <cellStyle name="표준 422 2 2" xfId="0"/>
    <cellStyle name="표준 422 3" xfId="0"/>
    <cellStyle name="표준 423" xfId="0"/>
    <cellStyle name="표준 423 2" xfId="0"/>
    <cellStyle name="표준 423 2 2" xfId="0"/>
    <cellStyle name="표준 423 3" xfId="0"/>
    <cellStyle name="표준 424" xfId="0"/>
    <cellStyle name="표준 424 2" xfId="0"/>
    <cellStyle name="표준 424 2 2" xfId="0"/>
    <cellStyle name="표준 424 3" xfId="0"/>
    <cellStyle name="표준 425" xfId="0"/>
    <cellStyle name="표준 425 2" xfId="0"/>
    <cellStyle name="표준 425 2 2" xfId="0"/>
    <cellStyle name="표준 425 3" xfId="0"/>
    <cellStyle name="표준 426" xfId="0"/>
    <cellStyle name="표준 426 2" xfId="0"/>
    <cellStyle name="표준 426 2 2" xfId="0"/>
    <cellStyle name="표준 426 3" xfId="0"/>
    <cellStyle name="표준 427" xfId="0"/>
    <cellStyle name="표준 427 2" xfId="0"/>
    <cellStyle name="표준 427 2 2" xfId="0"/>
    <cellStyle name="표준 427 3" xfId="0"/>
    <cellStyle name="표준 428" xfId="0"/>
    <cellStyle name="표준 428 2" xfId="0"/>
    <cellStyle name="표준 428 2 2" xfId="0"/>
    <cellStyle name="표준 428 3" xfId="0"/>
    <cellStyle name="표준 429" xfId="0"/>
    <cellStyle name="표준 429 2" xfId="0"/>
    <cellStyle name="표준 429 2 2" xfId="0"/>
    <cellStyle name="표준 429 3" xfId="0"/>
    <cellStyle name="표준 43" xfId="0"/>
    <cellStyle name="표준 43 2" xfId="0"/>
    <cellStyle name="표준 43 3" xfId="0"/>
    <cellStyle name="표준 430" xfId="0"/>
    <cellStyle name="표준 430 2" xfId="0"/>
    <cellStyle name="표준 430 2 2" xfId="0"/>
    <cellStyle name="표준 430 3" xfId="0"/>
    <cellStyle name="표준 431" xfId="0"/>
    <cellStyle name="표준 431 2" xfId="0"/>
    <cellStyle name="표준 431 2 2" xfId="0"/>
    <cellStyle name="표준 431 3" xfId="0"/>
    <cellStyle name="표준 432" xfId="0"/>
    <cellStyle name="표준 432 2" xfId="0"/>
    <cellStyle name="표준 432 2 2" xfId="0"/>
    <cellStyle name="표준 432 3" xfId="0"/>
    <cellStyle name="표준 433" xfId="0"/>
    <cellStyle name="표준 433 2" xfId="0"/>
    <cellStyle name="표준 433 2 2" xfId="0"/>
    <cellStyle name="표준 433 3" xfId="0"/>
    <cellStyle name="표준 434" xfId="0"/>
    <cellStyle name="표준 434 2" xfId="0"/>
    <cellStyle name="표준 434 2 2" xfId="0"/>
    <cellStyle name="표준 434 3" xfId="0"/>
    <cellStyle name="표준 435" xfId="0"/>
    <cellStyle name="표준 435 2" xfId="0"/>
    <cellStyle name="표준 435 2 2" xfId="0"/>
    <cellStyle name="표준 435 3" xfId="0"/>
    <cellStyle name="표준 436" xfId="0"/>
    <cellStyle name="표준 436 2" xfId="0"/>
    <cellStyle name="표준 436 2 2" xfId="0"/>
    <cellStyle name="표준 436 3" xfId="0"/>
    <cellStyle name="표준 437" xfId="0"/>
    <cellStyle name="표준 437 2" xfId="0"/>
    <cellStyle name="표준 437 2 2" xfId="0"/>
    <cellStyle name="표준 437 3" xfId="0"/>
    <cellStyle name="표준 438" xfId="0"/>
    <cellStyle name="표준 438 2" xfId="0"/>
    <cellStyle name="표준 438 2 2" xfId="0"/>
    <cellStyle name="표준 438 3" xfId="0"/>
    <cellStyle name="표준 439" xfId="0"/>
    <cellStyle name="표준 439 2" xfId="0"/>
    <cellStyle name="표준 439 2 2" xfId="0"/>
    <cellStyle name="표준 439 3" xfId="0"/>
    <cellStyle name="표준 44" xfId="0"/>
    <cellStyle name="표준 44 10" xfId="0"/>
    <cellStyle name="표준 44 11" xfId="0"/>
    <cellStyle name="표준 44 12" xfId="0"/>
    <cellStyle name="표준 44 13" xfId="0"/>
    <cellStyle name="표준 44 14" xfId="0"/>
    <cellStyle name="표준 44 15" xfId="0"/>
    <cellStyle name="표준 44 16" xfId="0"/>
    <cellStyle name="표준 44 17" xfId="0"/>
    <cellStyle name="표준 44 2" xfId="0"/>
    <cellStyle name="표준 44 2 2" xfId="0"/>
    <cellStyle name="표준 44 3" xfId="0"/>
    <cellStyle name="표준 44 3 2" xfId="0"/>
    <cellStyle name="표준 44 4" xfId="0"/>
    <cellStyle name="표준 44 4 2" xfId="0"/>
    <cellStyle name="표준 44 5" xfId="0"/>
    <cellStyle name="표준 44 5 2" xfId="0"/>
    <cellStyle name="표준 44 6" xfId="0"/>
    <cellStyle name="표준 44 6 2" xfId="0"/>
    <cellStyle name="표준 44 7" xfId="0"/>
    <cellStyle name="표준 44 8" xfId="0"/>
    <cellStyle name="표준 44 9" xfId="0"/>
    <cellStyle name="표준 440" xfId="0"/>
    <cellStyle name="표준 440 2" xfId="0"/>
    <cellStyle name="표준 440 2 2" xfId="0"/>
    <cellStyle name="표준 440 3" xfId="0"/>
    <cellStyle name="표준 441" xfId="0"/>
    <cellStyle name="표준 441 2" xfId="0"/>
    <cellStyle name="표준 441 2 2" xfId="0"/>
    <cellStyle name="표준 441 3" xfId="0"/>
    <cellStyle name="표준 442" xfId="0"/>
    <cellStyle name="표준 442 2" xfId="0"/>
    <cellStyle name="표준 442 2 2" xfId="0"/>
    <cellStyle name="표준 442 3" xfId="0"/>
    <cellStyle name="표준 443" xfId="0"/>
    <cellStyle name="표준 443 2" xfId="0"/>
    <cellStyle name="표준 443 2 2" xfId="0"/>
    <cellStyle name="표준 443 3" xfId="0"/>
    <cellStyle name="표준 444" xfId="0"/>
    <cellStyle name="표준 444 2" xfId="0"/>
    <cellStyle name="표준 444 2 2" xfId="0"/>
    <cellStyle name="표준 444 3" xfId="0"/>
    <cellStyle name="표준 445" xfId="0"/>
    <cellStyle name="표준 445 2" xfId="0"/>
    <cellStyle name="표준 445 2 2" xfId="0"/>
    <cellStyle name="표준 445 3" xfId="0"/>
    <cellStyle name="표준 446" xfId="0"/>
    <cellStyle name="표준 446 2" xfId="0"/>
    <cellStyle name="표준 446 2 2" xfId="0"/>
    <cellStyle name="표준 446 3" xfId="0"/>
    <cellStyle name="표준 447" xfId="0"/>
    <cellStyle name="표준 447 2" xfId="0"/>
    <cellStyle name="표준 447 2 2" xfId="0"/>
    <cellStyle name="표준 447 3" xfId="0"/>
    <cellStyle name="표준 448" xfId="0"/>
    <cellStyle name="표준 448 2" xfId="0"/>
    <cellStyle name="표준 448 2 2" xfId="0"/>
    <cellStyle name="표준 448 3" xfId="0"/>
    <cellStyle name="표준 449" xfId="0"/>
    <cellStyle name="표준 449 2" xfId="0"/>
    <cellStyle name="표준 449 2 2" xfId="0"/>
    <cellStyle name="표준 449 3" xfId="0"/>
    <cellStyle name="표준 45" xfId="0"/>
    <cellStyle name="표준 450" xfId="0"/>
    <cellStyle name="표준 450 2" xfId="0"/>
    <cellStyle name="표준 450 2 2" xfId="0"/>
    <cellStyle name="표준 450 3" xfId="0"/>
    <cellStyle name="표준 451" xfId="0"/>
    <cellStyle name="표준 451 2" xfId="0"/>
    <cellStyle name="표준 451 2 2" xfId="0"/>
    <cellStyle name="표준 451 3" xfId="0"/>
    <cellStyle name="표준 452" xfId="0"/>
    <cellStyle name="표준 452 2" xfId="0"/>
    <cellStyle name="표준 452 2 2" xfId="0"/>
    <cellStyle name="표준 452 3" xfId="0"/>
    <cellStyle name="표준 453" xfId="0"/>
    <cellStyle name="표준 453 2" xfId="0"/>
    <cellStyle name="표준 453 2 2" xfId="0"/>
    <cellStyle name="표준 453 3" xfId="0"/>
    <cellStyle name="표준 454" xfId="0"/>
    <cellStyle name="표준 454 2" xfId="0"/>
    <cellStyle name="표준 454 2 2" xfId="0"/>
    <cellStyle name="표준 454 3" xfId="0"/>
    <cellStyle name="표준 455" xfId="0"/>
    <cellStyle name="표준 455 2" xfId="0"/>
    <cellStyle name="표준 455 2 2" xfId="0"/>
    <cellStyle name="표준 455 3" xfId="0"/>
    <cellStyle name="표준 456" xfId="0"/>
    <cellStyle name="표준 456 2" xfId="0"/>
    <cellStyle name="표준 456 2 2" xfId="0"/>
    <cellStyle name="표준 456 3" xfId="0"/>
    <cellStyle name="표준 457" xfId="0"/>
    <cellStyle name="표준 457 2" xfId="0"/>
    <cellStyle name="표준 457 2 2" xfId="0"/>
    <cellStyle name="표준 457 3" xfId="0"/>
    <cellStyle name="표준 458" xfId="0"/>
    <cellStyle name="표준 458 2" xfId="0"/>
    <cellStyle name="표준 458 2 2" xfId="0"/>
    <cellStyle name="표준 458 3" xfId="0"/>
    <cellStyle name="표준 459" xfId="0"/>
    <cellStyle name="표준 459 2" xfId="0"/>
    <cellStyle name="표준 459 2 2" xfId="0"/>
    <cellStyle name="표준 459 3" xfId="0"/>
    <cellStyle name="표준 46" xfId="0"/>
    <cellStyle name="표준 460" xfId="0"/>
    <cellStyle name="표준 460 2" xfId="0"/>
    <cellStyle name="표준 460 2 2" xfId="0"/>
    <cellStyle name="표준 460 3" xfId="0"/>
    <cellStyle name="표준 461" xfId="0"/>
    <cellStyle name="표준 461 2" xfId="0"/>
    <cellStyle name="표준 461 2 2" xfId="0"/>
    <cellStyle name="표준 461 3" xfId="0"/>
    <cellStyle name="표준 462" xfId="0"/>
    <cellStyle name="표준 462 2" xfId="0"/>
    <cellStyle name="표준 462 2 2" xfId="0"/>
    <cellStyle name="표준 462 3" xfId="0"/>
    <cellStyle name="표준 463" xfId="0"/>
    <cellStyle name="표준 463 2" xfId="0"/>
    <cellStyle name="표준 463 2 2" xfId="0"/>
    <cellStyle name="표준 463 3" xfId="0"/>
    <cellStyle name="표준 464" xfId="0"/>
    <cellStyle name="표준 464 2" xfId="0"/>
    <cellStyle name="표준 464 2 2" xfId="0"/>
    <cellStyle name="표준 464 3" xfId="0"/>
    <cellStyle name="표준 465" xfId="0"/>
    <cellStyle name="표준 465 2" xfId="0"/>
    <cellStyle name="표준 465 2 2" xfId="0"/>
    <cellStyle name="표준 465 3" xfId="0"/>
    <cellStyle name="표준 466" xfId="0"/>
    <cellStyle name="표준 466 2" xfId="0"/>
    <cellStyle name="표준 466 2 2" xfId="0"/>
    <cellStyle name="표준 466 3" xfId="0"/>
    <cellStyle name="표준 467" xfId="0"/>
    <cellStyle name="표준 467 2" xfId="0"/>
    <cellStyle name="표준 467 2 2" xfId="0"/>
    <cellStyle name="표준 467 3" xfId="0"/>
    <cellStyle name="표준 468" xfId="0"/>
    <cellStyle name="표준 468 2" xfId="0"/>
    <cellStyle name="표준 468 2 2" xfId="0"/>
    <cellStyle name="표준 468 3" xfId="0"/>
    <cellStyle name="표준 469" xfId="0"/>
    <cellStyle name="표준 469 2" xfId="0"/>
    <cellStyle name="표준 469 2 2" xfId="0"/>
    <cellStyle name="표준 469 3" xfId="0"/>
    <cellStyle name="표준 47" xfId="0"/>
    <cellStyle name="표준 470" xfId="0"/>
    <cellStyle name="표준 470 2" xfId="0"/>
    <cellStyle name="표준 470 2 2" xfId="0"/>
    <cellStyle name="표준 470 3" xfId="0"/>
    <cellStyle name="표준 471" xfId="0"/>
    <cellStyle name="표준 471 2" xfId="0"/>
    <cellStyle name="표준 471 2 2" xfId="0"/>
    <cellStyle name="표준 471 3" xfId="0"/>
    <cellStyle name="표준 472" xfId="0"/>
    <cellStyle name="표준 472 2" xfId="0"/>
    <cellStyle name="표준 472 2 2" xfId="0"/>
    <cellStyle name="표준 472 3" xfId="0"/>
    <cellStyle name="표준 473" xfId="0"/>
    <cellStyle name="표준 473 2" xfId="0"/>
    <cellStyle name="표준 473 2 2" xfId="0"/>
    <cellStyle name="표준 473 3" xfId="0"/>
    <cellStyle name="표준 474" xfId="0"/>
    <cellStyle name="표준 474 2" xfId="0"/>
    <cellStyle name="표준 474 2 2" xfId="0"/>
    <cellStyle name="표준 474 3" xfId="0"/>
    <cellStyle name="표준 475" xfId="0"/>
    <cellStyle name="표준 475 2" xfId="0"/>
    <cellStyle name="표준 475 2 2" xfId="0"/>
    <cellStyle name="표준 475 3" xfId="0"/>
    <cellStyle name="표준 476" xfId="0"/>
    <cellStyle name="표준 476 2" xfId="0"/>
    <cellStyle name="표준 476 2 2" xfId="0"/>
    <cellStyle name="표준 476 3" xfId="0"/>
    <cellStyle name="표준 477" xfId="0"/>
    <cellStyle name="표준 477 2" xfId="0"/>
    <cellStyle name="표준 477 2 2" xfId="0"/>
    <cellStyle name="표준 477 3" xfId="0"/>
    <cellStyle name="표준 478" xfId="0"/>
    <cellStyle name="표준 478 2" xfId="0"/>
    <cellStyle name="표준 478 2 2" xfId="0"/>
    <cellStyle name="표준 478 3" xfId="0"/>
    <cellStyle name="표준 479" xfId="0"/>
    <cellStyle name="표준 479 2" xfId="0"/>
    <cellStyle name="표준 479 2 2" xfId="0"/>
    <cellStyle name="표준 479 3" xfId="0"/>
    <cellStyle name="표준 48" xfId="0"/>
    <cellStyle name="표준 48 10" xfId="0"/>
    <cellStyle name="표준 48 11" xfId="0"/>
    <cellStyle name="표준 48 12" xfId="0"/>
    <cellStyle name="표준 48 13" xfId="0"/>
    <cellStyle name="표준 48 14" xfId="0"/>
    <cellStyle name="표준 48 15" xfId="0"/>
    <cellStyle name="표준 48 16" xfId="0"/>
    <cellStyle name="표준 48 17" xfId="0"/>
    <cellStyle name="표준 48 2" xfId="0"/>
    <cellStyle name="표준 48 2 10" xfId="0"/>
    <cellStyle name="표준 48 2 11" xfId="0"/>
    <cellStyle name="표준 48 2 2" xfId="0"/>
    <cellStyle name="표준 48 2 3" xfId="0"/>
    <cellStyle name="표준 48 2 4" xfId="0"/>
    <cellStyle name="표준 48 2 5" xfId="0"/>
    <cellStyle name="표준 48 2 6" xfId="0"/>
    <cellStyle name="표준 48 2 7" xfId="0"/>
    <cellStyle name="표준 48 2 8" xfId="0"/>
    <cellStyle name="표준 48 2 9" xfId="0"/>
    <cellStyle name="표준 48 3" xfId="0"/>
    <cellStyle name="표준 48 3 10" xfId="0"/>
    <cellStyle name="표준 48 3 11" xfId="0"/>
    <cellStyle name="표준 48 3 2" xfId="0"/>
    <cellStyle name="표준 48 3 3" xfId="0"/>
    <cellStyle name="표준 48 3 4" xfId="0"/>
    <cellStyle name="표준 48 3 5" xfId="0"/>
    <cellStyle name="표준 48 3 6" xfId="0"/>
    <cellStyle name="표준 48 3 7" xfId="0"/>
    <cellStyle name="표준 48 3 8" xfId="0"/>
    <cellStyle name="표준 48 3 9" xfId="0"/>
    <cellStyle name="표준 48 4" xfId="0"/>
    <cellStyle name="표준 48 4 10" xfId="0"/>
    <cellStyle name="표준 48 4 11" xfId="0"/>
    <cellStyle name="표준 48 4 2" xfId="0"/>
    <cellStyle name="표준 48 4 3" xfId="0"/>
    <cellStyle name="표준 48 4 4" xfId="0"/>
    <cellStyle name="표준 48 4 5" xfId="0"/>
    <cellStyle name="표준 48 4 6" xfId="0"/>
    <cellStyle name="표준 48 4 7" xfId="0"/>
    <cellStyle name="표준 48 4 8" xfId="0"/>
    <cellStyle name="표준 48 4 9" xfId="0"/>
    <cellStyle name="표준 48 5" xfId="0"/>
    <cellStyle name="표준 48 5 2" xfId="0"/>
    <cellStyle name="표준 48 6" xfId="0"/>
    <cellStyle name="표준 48 6 2" xfId="0"/>
    <cellStyle name="표준 48 7" xfId="0"/>
    <cellStyle name="표준 48 7 2" xfId="0"/>
    <cellStyle name="표준 48 8" xfId="0"/>
    <cellStyle name="표준 48 9" xfId="0"/>
    <cellStyle name="표준 480" xfId="0"/>
    <cellStyle name="표준 480 2" xfId="0"/>
    <cellStyle name="표준 480 2 2" xfId="0"/>
    <cellStyle name="표준 480 3" xfId="0"/>
    <cellStyle name="표준 481" xfId="0"/>
    <cellStyle name="표준 481 2" xfId="0"/>
    <cellStyle name="표준 481 2 2" xfId="0"/>
    <cellStyle name="표준 481 3" xfId="0"/>
    <cellStyle name="표준 482" xfId="0"/>
    <cellStyle name="표준 482 2" xfId="0"/>
    <cellStyle name="표준 482 2 2" xfId="0"/>
    <cellStyle name="표준 482 3" xfId="0"/>
    <cellStyle name="표준 483" xfId="0"/>
    <cellStyle name="표준 483 2" xfId="0"/>
    <cellStyle name="표준 483 2 2" xfId="0"/>
    <cellStyle name="표준 483 3" xfId="0"/>
    <cellStyle name="표준 484" xfId="0"/>
    <cellStyle name="표준 484 2" xfId="0"/>
    <cellStyle name="표준 484 2 2" xfId="0"/>
    <cellStyle name="표준 484 3" xfId="0"/>
    <cellStyle name="표준 485" xfId="0"/>
    <cellStyle name="표준 485 2" xfId="0"/>
    <cellStyle name="표준 485 2 2" xfId="0"/>
    <cellStyle name="표준 485 3" xfId="0"/>
    <cellStyle name="표준 486" xfId="0"/>
    <cellStyle name="표준 486 2" xfId="0"/>
    <cellStyle name="표준 486 2 2" xfId="0"/>
    <cellStyle name="표준 486 3" xfId="0"/>
    <cellStyle name="표준 487" xfId="0"/>
    <cellStyle name="표준 487 2" xfId="0"/>
    <cellStyle name="표준 487 2 2" xfId="0"/>
    <cellStyle name="표준 487 3" xfId="0"/>
    <cellStyle name="표준 488" xfId="0"/>
    <cellStyle name="표준 488 2" xfId="0"/>
    <cellStyle name="표준 488 2 2" xfId="0"/>
    <cellStyle name="표준 488 3" xfId="0"/>
    <cellStyle name="표준 489" xfId="0"/>
    <cellStyle name="표준 489 2" xfId="0"/>
    <cellStyle name="표준 489 2 2" xfId="0"/>
    <cellStyle name="표준 489 3" xfId="0"/>
    <cellStyle name="표준 49" xfId="0"/>
    <cellStyle name="표준 49 10" xfId="0"/>
    <cellStyle name="표준 49 11" xfId="0"/>
    <cellStyle name="표준 49 12" xfId="0"/>
    <cellStyle name="표준 49 13" xfId="0"/>
    <cellStyle name="표준 49 14" xfId="0"/>
    <cellStyle name="표준 49 15" xfId="0"/>
    <cellStyle name="표준 49 16" xfId="0"/>
    <cellStyle name="표준 49 17" xfId="0"/>
    <cellStyle name="표준 49 2" xfId="0"/>
    <cellStyle name="표준 49 2 10" xfId="0"/>
    <cellStyle name="표준 49 2 11" xfId="0"/>
    <cellStyle name="표준 49 2 2" xfId="0"/>
    <cellStyle name="표준 49 2 3" xfId="0"/>
    <cellStyle name="표준 49 2 4" xfId="0"/>
    <cellStyle name="표준 49 2 5" xfId="0"/>
    <cellStyle name="표준 49 2 6" xfId="0"/>
    <cellStyle name="표준 49 2 7" xfId="0"/>
    <cellStyle name="표준 49 2 8" xfId="0"/>
    <cellStyle name="표준 49 2 9" xfId="0"/>
    <cellStyle name="표준 49 3" xfId="0"/>
    <cellStyle name="표준 49 3 10" xfId="0"/>
    <cellStyle name="표준 49 3 11" xfId="0"/>
    <cellStyle name="표준 49 3 2" xfId="0"/>
    <cellStyle name="표준 49 3 3" xfId="0"/>
    <cellStyle name="표준 49 3 4" xfId="0"/>
    <cellStyle name="표준 49 3 5" xfId="0"/>
    <cellStyle name="표준 49 3 6" xfId="0"/>
    <cellStyle name="표준 49 3 7" xfId="0"/>
    <cellStyle name="표준 49 3 8" xfId="0"/>
    <cellStyle name="표준 49 3 9" xfId="0"/>
    <cellStyle name="표준 49 4" xfId="0"/>
    <cellStyle name="표준 49 4 10" xfId="0"/>
    <cellStyle name="표준 49 4 11" xfId="0"/>
    <cellStyle name="표준 49 4 2" xfId="0"/>
    <cellStyle name="표준 49 4 3" xfId="0"/>
    <cellStyle name="표준 49 4 4" xfId="0"/>
    <cellStyle name="표준 49 4 5" xfId="0"/>
    <cellStyle name="표준 49 4 6" xfId="0"/>
    <cellStyle name="표준 49 4 7" xfId="0"/>
    <cellStyle name="표준 49 4 8" xfId="0"/>
    <cellStyle name="표준 49 4 9" xfId="0"/>
    <cellStyle name="표준 49 5" xfId="0"/>
    <cellStyle name="표준 49 5 2" xfId="0"/>
    <cellStyle name="표준 49 6" xfId="0"/>
    <cellStyle name="표준 49 6 2" xfId="0"/>
    <cellStyle name="표준 49 7" xfId="0"/>
    <cellStyle name="표준 49 7 2" xfId="0"/>
    <cellStyle name="표준 49 8" xfId="0"/>
    <cellStyle name="표준 49 9" xfId="0"/>
    <cellStyle name="표준 490" xfId="0"/>
    <cellStyle name="표준 490 2" xfId="0"/>
    <cellStyle name="표준 490 2 2" xfId="0"/>
    <cellStyle name="표준 490 3" xfId="0"/>
    <cellStyle name="표준 491" xfId="0"/>
    <cellStyle name="표준 491 2" xfId="0"/>
    <cellStyle name="표준 491 2 2" xfId="0"/>
    <cellStyle name="표준 491 3" xfId="0"/>
    <cellStyle name="표준 492" xfId="0"/>
    <cellStyle name="표준 492 2" xfId="0"/>
    <cellStyle name="표준 492 2 2" xfId="0"/>
    <cellStyle name="표준 492 3" xfId="0"/>
    <cellStyle name="표준 493" xfId="0"/>
    <cellStyle name="표준 493 2" xfId="0"/>
    <cellStyle name="표준 493 2 2" xfId="0"/>
    <cellStyle name="표준 493 3" xfId="0"/>
    <cellStyle name="표준 494" xfId="0"/>
    <cellStyle name="표준 494 2" xfId="0"/>
    <cellStyle name="표준 494 2 2" xfId="0"/>
    <cellStyle name="표준 494 3" xfId="0"/>
    <cellStyle name="표준 495" xfId="0"/>
    <cellStyle name="표준 495 2" xfId="0"/>
    <cellStyle name="표준 495 2 2" xfId="0"/>
    <cellStyle name="표준 495 3" xfId="0"/>
    <cellStyle name="표준 496" xfId="0"/>
    <cellStyle name="표준 496 2" xfId="0"/>
    <cellStyle name="표준 496 2 2" xfId="0"/>
    <cellStyle name="표준 496 3" xfId="0"/>
    <cellStyle name="표준 497" xfId="0"/>
    <cellStyle name="표준 497 2" xfId="0"/>
    <cellStyle name="표준 497 2 2" xfId="0"/>
    <cellStyle name="표준 497 3" xfId="0"/>
    <cellStyle name="표준 498" xfId="0"/>
    <cellStyle name="표준 498 2" xfId="0"/>
    <cellStyle name="표준 498 2 2" xfId="0"/>
    <cellStyle name="표준 498 3" xfId="0"/>
    <cellStyle name="표준 499" xfId="0"/>
    <cellStyle name="표준 499 2" xfId="0"/>
    <cellStyle name="표준 499 2 2" xfId="0"/>
    <cellStyle name="표준 499 3" xfId="0"/>
    <cellStyle name="표준 4_운용자산별 손익분석" xfId="0"/>
    <cellStyle name="표준 5" xfId="0"/>
    <cellStyle name="표준 5 10" xfId="0"/>
    <cellStyle name="표준 5 10 10" xfId="0"/>
    <cellStyle name="표준 5 10 11" xfId="0"/>
    <cellStyle name="표준 5 10 2" xfId="0"/>
    <cellStyle name="표준 5 10 3" xfId="0"/>
    <cellStyle name="표준 5 10 4" xfId="0"/>
    <cellStyle name="표준 5 10 5" xfId="0"/>
    <cellStyle name="표준 5 10 6" xfId="0"/>
    <cellStyle name="표준 5 10 7" xfId="0"/>
    <cellStyle name="표준 5 10 8" xfId="0"/>
    <cellStyle name="표준 5 10 9" xfId="0"/>
    <cellStyle name="표준 5 11" xfId="0"/>
    <cellStyle name="표준 5 11 10" xfId="0"/>
    <cellStyle name="표준 5 11 11" xfId="0"/>
    <cellStyle name="표준 5 11 2" xfId="0"/>
    <cellStyle name="표준 5 11 3" xfId="0"/>
    <cellStyle name="표준 5 11 4" xfId="0"/>
    <cellStyle name="표준 5 11 5" xfId="0"/>
    <cellStyle name="표준 5 11 6" xfId="0"/>
    <cellStyle name="표준 5 11 7" xfId="0"/>
    <cellStyle name="표준 5 11 8" xfId="0"/>
    <cellStyle name="표준 5 11 9" xfId="0"/>
    <cellStyle name="표준 5 12" xfId="0"/>
    <cellStyle name="표준 5 12 10" xfId="0"/>
    <cellStyle name="표준 5 12 11" xfId="0"/>
    <cellStyle name="표준 5 12 2" xfId="0"/>
    <cellStyle name="표준 5 12 3" xfId="0"/>
    <cellStyle name="표준 5 12 4" xfId="0"/>
    <cellStyle name="표준 5 12 5" xfId="0"/>
    <cellStyle name="표준 5 12 6" xfId="0"/>
    <cellStyle name="표준 5 12 7" xfId="0"/>
    <cellStyle name="표준 5 12 8" xfId="0"/>
    <cellStyle name="표준 5 12 9" xfId="0"/>
    <cellStyle name="표준 5 13" xfId="0"/>
    <cellStyle name="표준 5 13 10" xfId="0"/>
    <cellStyle name="표준 5 13 11" xfId="0"/>
    <cellStyle name="표준 5 13 12" xfId="0"/>
    <cellStyle name="표준 5 13 2" xfId="0"/>
    <cellStyle name="표준 5 13 3" xfId="0"/>
    <cellStyle name="표준 5 13 4" xfId="0"/>
    <cellStyle name="표준 5 13 5" xfId="0"/>
    <cellStyle name="표준 5 13 6" xfId="0"/>
    <cellStyle name="표준 5 13 7" xfId="0"/>
    <cellStyle name="표준 5 13 8" xfId="0"/>
    <cellStyle name="표준 5 13 9" xfId="0"/>
    <cellStyle name="표준 5 14" xfId="0"/>
    <cellStyle name="표준 5 14 2" xfId="0"/>
    <cellStyle name="표준 5 14 3" xfId="0"/>
    <cellStyle name="표준 5 14 4" xfId="0"/>
    <cellStyle name="표준 5 15" xfId="0"/>
    <cellStyle name="표준 5 15 2" xfId="0"/>
    <cellStyle name="표준 5 15 3" xfId="0"/>
    <cellStyle name="표준 5 16" xfId="0"/>
    <cellStyle name="표준 5 16 2" xfId="0"/>
    <cellStyle name="표준 5 17" xfId="0"/>
    <cellStyle name="표준 5 17 2" xfId="0"/>
    <cellStyle name="표준 5 18" xfId="0"/>
    <cellStyle name="표준 5 18 2" xfId="0"/>
    <cellStyle name="표준 5 19" xfId="0"/>
    <cellStyle name="표준 5 19 2" xfId="0"/>
    <cellStyle name="표준 5 2" xfId="0"/>
    <cellStyle name="표준 5 2 10" xfId="0"/>
    <cellStyle name="표준 5 2 10 2" xfId="0"/>
    <cellStyle name="표준 5 2 11" xfId="0"/>
    <cellStyle name="표준 5 2 12" xfId="0"/>
    <cellStyle name="표준 5 2 13" xfId="0"/>
    <cellStyle name="표준 5 2 2" xfId="0"/>
    <cellStyle name="표준 5 2 2 10" xfId="0"/>
    <cellStyle name="표준 5 2 2 11" xfId="0"/>
    <cellStyle name="표준 5 2 2 2" xfId="0"/>
    <cellStyle name="표준 5 2 2 3" xfId="0"/>
    <cellStyle name="표준 5 2 2 4" xfId="0"/>
    <cellStyle name="표준 5 2 2 5" xfId="0"/>
    <cellStyle name="표준 5 2 2 6" xfId="0"/>
    <cellStyle name="표준 5 2 2 7" xfId="0"/>
    <cellStyle name="표준 5 2 2 8" xfId="0"/>
    <cellStyle name="표준 5 2 2 9" xfId="0"/>
    <cellStyle name="표준 5 2 3" xfId="0"/>
    <cellStyle name="표준 5 2 4" xfId="0"/>
    <cellStyle name="표준 5 2 4 2" xfId="0"/>
    <cellStyle name="표준 5 2 5" xfId="0"/>
    <cellStyle name="표준 5 2 5 2" xfId="0"/>
    <cellStyle name="표준 5 2 6" xfId="0"/>
    <cellStyle name="표준 5 2 6 2" xfId="0"/>
    <cellStyle name="표준 5 2 7" xfId="0"/>
    <cellStyle name="표준 5 2 7 2" xfId="0"/>
    <cellStyle name="표준 5 2 8" xfId="0"/>
    <cellStyle name="표준 5 2 8 2" xfId="0"/>
    <cellStyle name="표준 5 2 9" xfId="0"/>
    <cellStyle name="표준 5 2 9 2" xfId="0"/>
    <cellStyle name="표준 5 20" xfId="0"/>
    <cellStyle name="표준 5 20 2" xfId="0"/>
    <cellStyle name="표준 5 21" xfId="0"/>
    <cellStyle name="표준 5 21 2" xfId="0"/>
    <cellStyle name="표준 5 22" xfId="0"/>
    <cellStyle name="표준 5 22 2" xfId="0"/>
    <cellStyle name="표준 5 23" xfId="0"/>
    <cellStyle name="표준 5 24" xfId="0"/>
    <cellStyle name="표준 5 25" xfId="0"/>
    <cellStyle name="표준 5 26" xfId="0"/>
    <cellStyle name="표준 5 3" xfId="0"/>
    <cellStyle name="표준 5 3 10" xfId="0"/>
    <cellStyle name="표준 5 3 10 2" xfId="0"/>
    <cellStyle name="표준 5 3 11" xfId="0"/>
    <cellStyle name="표준 5 3 2" xfId="0"/>
    <cellStyle name="표준 5 3 2 10" xfId="0"/>
    <cellStyle name="표준 5 3 2 11" xfId="0"/>
    <cellStyle name="표준 5 3 2 2" xfId="0"/>
    <cellStyle name="표준 5 3 2 3" xfId="0"/>
    <cellStyle name="표준 5 3 2 4" xfId="0"/>
    <cellStyle name="표준 5 3 2 5" xfId="0"/>
    <cellStyle name="표준 5 3 2 6" xfId="0"/>
    <cellStyle name="표준 5 3 2 7" xfId="0"/>
    <cellStyle name="표준 5 3 2 8" xfId="0"/>
    <cellStyle name="표준 5 3 2 9" xfId="0"/>
    <cellStyle name="표준 5 3 3" xfId="0"/>
    <cellStyle name="표준 5 3 3 2" xfId="0"/>
    <cellStyle name="표준 5 3 4" xfId="0"/>
    <cellStyle name="표준 5 3 4 2" xfId="0"/>
    <cellStyle name="표준 5 3 5" xfId="0"/>
    <cellStyle name="표준 5 3 5 2" xfId="0"/>
    <cellStyle name="표준 5 3 6" xfId="0"/>
    <cellStyle name="표준 5 3 6 2" xfId="0"/>
    <cellStyle name="표준 5 3 7" xfId="0"/>
    <cellStyle name="표준 5 3 7 2" xfId="0"/>
    <cellStyle name="표준 5 3 8" xfId="0"/>
    <cellStyle name="표준 5 3 8 2" xfId="0"/>
    <cellStyle name="표준 5 3 9" xfId="0"/>
    <cellStyle name="표준 5 3 9 2" xfId="0"/>
    <cellStyle name="표준 5 4" xfId="0"/>
    <cellStyle name="표준 5 4 10" xfId="0"/>
    <cellStyle name="표준 5 4 11" xfId="0"/>
    <cellStyle name="표준 5 4 2" xfId="0"/>
    <cellStyle name="표준 5 4 3" xfId="0"/>
    <cellStyle name="표준 5 4 4" xfId="0"/>
    <cellStyle name="표준 5 4 5" xfId="0"/>
    <cellStyle name="표준 5 4 6" xfId="0"/>
    <cellStyle name="표준 5 4 7" xfId="0"/>
    <cellStyle name="표준 5 4 8" xfId="0"/>
    <cellStyle name="표준 5 4 9" xfId="0"/>
    <cellStyle name="표준 5 5" xfId="0"/>
    <cellStyle name="표준 5 5 10" xfId="0"/>
    <cellStyle name="표준 5 5 2" xfId="0"/>
    <cellStyle name="표준 5 5 3" xfId="0"/>
    <cellStyle name="표준 5 5 4" xfId="0"/>
    <cellStyle name="표준 5 5 5" xfId="0"/>
    <cellStyle name="표준 5 5 6" xfId="0"/>
    <cellStyle name="표준 5 5 7" xfId="0"/>
    <cellStyle name="표준 5 5 8" xfId="0"/>
    <cellStyle name="표준 5 5 9" xfId="0"/>
    <cellStyle name="표준 5 6" xfId="0"/>
    <cellStyle name="표준 5 6 10" xfId="0"/>
    <cellStyle name="표준 5 6 11" xfId="0"/>
    <cellStyle name="표준 5 6 2" xfId="0"/>
    <cellStyle name="표준 5 6 3" xfId="0"/>
    <cellStyle name="표준 5 6 4" xfId="0"/>
    <cellStyle name="표준 5 6 5" xfId="0"/>
    <cellStyle name="표준 5 6 6" xfId="0"/>
    <cellStyle name="표준 5 6 7" xfId="0"/>
    <cellStyle name="표준 5 6 8" xfId="0"/>
    <cellStyle name="표준 5 6 9" xfId="0"/>
    <cellStyle name="표준 5 7" xfId="0"/>
    <cellStyle name="표준 5 7 10" xfId="0"/>
    <cellStyle name="표준 5 7 11" xfId="0"/>
    <cellStyle name="표준 5 7 2" xfId="0"/>
    <cellStyle name="표준 5 7 3" xfId="0"/>
    <cellStyle name="표준 5 7 4" xfId="0"/>
    <cellStyle name="표준 5 7 5" xfId="0"/>
    <cellStyle name="표준 5 7 6" xfId="0"/>
    <cellStyle name="표준 5 7 7" xfId="0"/>
    <cellStyle name="표준 5 7 8" xfId="0"/>
    <cellStyle name="표준 5 7 9" xfId="0"/>
    <cellStyle name="표준 5 8" xfId="0"/>
    <cellStyle name="표준 5 8 10" xfId="0"/>
    <cellStyle name="표준 5 8 11" xfId="0"/>
    <cellStyle name="표준 5 8 2" xfId="0"/>
    <cellStyle name="표준 5 8 3" xfId="0"/>
    <cellStyle name="표준 5 8 4" xfId="0"/>
    <cellStyle name="표준 5 8 5" xfId="0"/>
    <cellStyle name="표준 5 8 6" xfId="0"/>
    <cellStyle name="표준 5 8 7" xfId="0"/>
    <cellStyle name="표준 5 8 8" xfId="0"/>
    <cellStyle name="표준 5 8 9" xfId="0"/>
    <cellStyle name="표준 5 9" xfId="0"/>
    <cellStyle name="표준 5 9 10" xfId="0"/>
    <cellStyle name="표준 5 9 11" xfId="0"/>
    <cellStyle name="표준 5 9 2" xfId="0"/>
    <cellStyle name="표준 5 9 3" xfId="0"/>
    <cellStyle name="표준 5 9 4" xfId="0"/>
    <cellStyle name="표준 5 9 5" xfId="0"/>
    <cellStyle name="표준 5 9 6" xfId="0"/>
    <cellStyle name="표준 5 9 7" xfId="0"/>
    <cellStyle name="표준 5 9 8" xfId="0"/>
    <cellStyle name="표준 5 9 9" xfId="0"/>
    <cellStyle name="표준 50" xfId="0"/>
    <cellStyle name="표준 50 10" xfId="0"/>
    <cellStyle name="표준 50 11" xfId="0"/>
    <cellStyle name="표준 50 12" xfId="0"/>
    <cellStyle name="표준 50 13" xfId="0"/>
    <cellStyle name="표준 50 14" xfId="0"/>
    <cellStyle name="표준 50 15" xfId="0"/>
    <cellStyle name="표준 50 16" xfId="0"/>
    <cellStyle name="표준 50 2" xfId="0"/>
    <cellStyle name="표준 50 2 10" xfId="0"/>
    <cellStyle name="표준 50 2 11" xfId="0"/>
    <cellStyle name="표준 50 2 2" xfId="0"/>
    <cellStyle name="표준 50 2 3" xfId="0"/>
    <cellStyle name="표준 50 2 4" xfId="0"/>
    <cellStyle name="표준 50 2 5" xfId="0"/>
    <cellStyle name="표준 50 2 6" xfId="0"/>
    <cellStyle name="표준 50 2 7" xfId="0"/>
    <cellStyle name="표준 50 2 8" xfId="0"/>
    <cellStyle name="표준 50 2 9" xfId="0"/>
    <cellStyle name="표준 50 3" xfId="0"/>
    <cellStyle name="표준 50 3 10" xfId="0"/>
    <cellStyle name="표준 50 3 11" xfId="0"/>
    <cellStyle name="표준 50 3 2" xfId="0"/>
    <cellStyle name="표준 50 3 3" xfId="0"/>
    <cellStyle name="표준 50 3 4" xfId="0"/>
    <cellStyle name="표준 50 3 5" xfId="0"/>
    <cellStyle name="표준 50 3 6" xfId="0"/>
    <cellStyle name="표준 50 3 7" xfId="0"/>
    <cellStyle name="표준 50 3 8" xfId="0"/>
    <cellStyle name="표준 50 3 9" xfId="0"/>
    <cellStyle name="표준 50 4" xfId="0"/>
    <cellStyle name="표준 50 4 10" xfId="0"/>
    <cellStyle name="표준 50 4 11" xfId="0"/>
    <cellStyle name="표준 50 4 2" xfId="0"/>
    <cellStyle name="표준 50 4 3" xfId="0"/>
    <cellStyle name="표준 50 4 4" xfId="0"/>
    <cellStyle name="표준 50 4 5" xfId="0"/>
    <cellStyle name="표준 50 4 6" xfId="0"/>
    <cellStyle name="표준 50 4 7" xfId="0"/>
    <cellStyle name="표준 50 4 8" xfId="0"/>
    <cellStyle name="표준 50 4 9" xfId="0"/>
    <cellStyle name="표준 50 5" xfId="0"/>
    <cellStyle name="표준 50 5 2" xfId="0"/>
    <cellStyle name="표준 50 6" xfId="0"/>
    <cellStyle name="표준 50 6 2" xfId="0"/>
    <cellStyle name="표준 50 7" xfId="0"/>
    <cellStyle name="표준 50 8" xfId="0"/>
    <cellStyle name="표준 50 9" xfId="0"/>
    <cellStyle name="표준 500" xfId="0"/>
    <cellStyle name="표준 500 2" xfId="0"/>
    <cellStyle name="표준 500 2 2" xfId="0"/>
    <cellStyle name="표준 500 3" xfId="0"/>
    <cellStyle name="표준 501" xfId="0"/>
    <cellStyle name="표준 501 2" xfId="0"/>
    <cellStyle name="표준 501 2 2" xfId="0"/>
    <cellStyle name="표준 501 3" xfId="0"/>
    <cellStyle name="표준 502" xfId="0"/>
    <cellStyle name="표준 502 2" xfId="0"/>
    <cellStyle name="표준 502 2 2" xfId="0"/>
    <cellStyle name="표준 502 3" xfId="0"/>
    <cellStyle name="표준 503" xfId="0"/>
    <cellStyle name="표준 503 2" xfId="0"/>
    <cellStyle name="표준 503 2 2" xfId="0"/>
    <cellStyle name="표준 503 3" xfId="0"/>
    <cellStyle name="표준 504" xfId="0"/>
    <cellStyle name="표준 504 2" xfId="0"/>
    <cellStyle name="표준 504 2 2" xfId="0"/>
    <cellStyle name="표준 504 3" xfId="0"/>
    <cellStyle name="표준 505" xfId="0"/>
    <cellStyle name="표준 505 2" xfId="0"/>
    <cellStyle name="표준 505 2 2" xfId="0"/>
    <cellStyle name="표준 505 3" xfId="0"/>
    <cellStyle name="표준 506" xfId="0"/>
    <cellStyle name="표준 506 2" xfId="0"/>
    <cellStyle name="표준 506 2 2" xfId="0"/>
    <cellStyle name="표준 506 3" xfId="0"/>
    <cellStyle name="표준 507" xfId="0"/>
    <cellStyle name="표준 507 2" xfId="0"/>
    <cellStyle name="표준 507 2 2" xfId="0"/>
    <cellStyle name="표준 507 3" xfId="0"/>
    <cellStyle name="표준 508" xfId="0"/>
    <cellStyle name="표준 508 2" xfId="0"/>
    <cellStyle name="표준 508 2 2" xfId="0"/>
    <cellStyle name="표준 508 3" xfId="0"/>
    <cellStyle name="표준 509" xfId="0"/>
    <cellStyle name="표준 509 2" xfId="0"/>
    <cellStyle name="표준 509 2 2" xfId="0"/>
    <cellStyle name="표준 509 3" xfId="0"/>
    <cellStyle name="표준 51" xfId="0"/>
    <cellStyle name="표준 51 10" xfId="0"/>
    <cellStyle name="표준 51 11" xfId="0"/>
    <cellStyle name="표준 51 12" xfId="0"/>
    <cellStyle name="표준 51 13" xfId="0"/>
    <cellStyle name="표준 51 14" xfId="0"/>
    <cellStyle name="표준 51 15" xfId="0"/>
    <cellStyle name="표준 51 16" xfId="0"/>
    <cellStyle name="표준 51 2" xfId="0"/>
    <cellStyle name="표준 51 2 2" xfId="0"/>
    <cellStyle name="표준 51 3" xfId="0"/>
    <cellStyle name="표준 51 3 2" xfId="0"/>
    <cellStyle name="표준 51 4" xfId="0"/>
    <cellStyle name="표준 51 4 2" xfId="0"/>
    <cellStyle name="표준 51 5" xfId="0"/>
    <cellStyle name="표준 51 5 2" xfId="0"/>
    <cellStyle name="표준 51 6" xfId="0"/>
    <cellStyle name="표준 51 6 2" xfId="0"/>
    <cellStyle name="표준 51 7" xfId="0"/>
    <cellStyle name="표준 51 8" xfId="0"/>
    <cellStyle name="표준 51 9" xfId="0"/>
    <cellStyle name="표준 510" xfId="0"/>
    <cellStyle name="표준 510 2" xfId="0"/>
    <cellStyle name="표준 510 2 2" xfId="0"/>
    <cellStyle name="표준 510 3" xfId="0"/>
    <cellStyle name="표준 511" xfId="0"/>
    <cellStyle name="표준 511 2" xfId="0"/>
    <cellStyle name="표준 511 2 2" xfId="0"/>
    <cellStyle name="표준 511 3" xfId="0"/>
    <cellStyle name="표준 512" xfId="0"/>
    <cellStyle name="표준 512 2" xfId="0"/>
    <cellStyle name="표준 512 2 2" xfId="0"/>
    <cellStyle name="표준 512 3" xfId="0"/>
    <cellStyle name="표준 513" xfId="0"/>
    <cellStyle name="표준 513 2" xfId="0"/>
    <cellStyle name="표준 513 2 2" xfId="0"/>
    <cellStyle name="표준 513 3" xfId="0"/>
    <cellStyle name="표준 514" xfId="0"/>
    <cellStyle name="표준 514 2" xfId="0"/>
    <cellStyle name="표준 514 2 2" xfId="0"/>
    <cellStyle name="표준 514 3" xfId="0"/>
    <cellStyle name="표준 515" xfId="0"/>
    <cellStyle name="표준 515 2" xfId="0"/>
    <cellStyle name="표준 515 2 2" xfId="0"/>
    <cellStyle name="표준 515 3" xfId="0"/>
    <cellStyle name="표준 516" xfId="0"/>
    <cellStyle name="표준 516 2" xfId="0"/>
    <cellStyle name="표준 516 2 2" xfId="0"/>
    <cellStyle name="표준 516 3" xfId="0"/>
    <cellStyle name="표준 517" xfId="0"/>
    <cellStyle name="표준 517 2" xfId="0"/>
    <cellStyle name="표준 517 2 2" xfId="0"/>
    <cellStyle name="표준 517 3" xfId="0"/>
    <cellStyle name="표준 518" xfId="0"/>
    <cellStyle name="표준 518 2" xfId="0"/>
    <cellStyle name="표준 518 2 2" xfId="0"/>
    <cellStyle name="표준 518 3" xfId="0"/>
    <cellStyle name="표준 519" xfId="0"/>
    <cellStyle name="표준 519 2" xfId="0"/>
    <cellStyle name="표준 519 2 2" xfId="0"/>
    <cellStyle name="표준 519 3" xfId="0"/>
    <cellStyle name="표준 52" xfId="0"/>
    <cellStyle name="표준 52 10" xfId="0"/>
    <cellStyle name="표준 52 11" xfId="0"/>
    <cellStyle name="표준 52 12" xfId="0"/>
    <cellStyle name="표준 52 13" xfId="0"/>
    <cellStyle name="표준 52 14" xfId="0"/>
    <cellStyle name="표준 52 15" xfId="0"/>
    <cellStyle name="표준 52 16" xfId="0"/>
    <cellStyle name="표준 52 2" xfId="0"/>
    <cellStyle name="표준 52 2 2" xfId="0"/>
    <cellStyle name="표준 52 3" xfId="0"/>
    <cellStyle name="표준 52 3 2" xfId="0"/>
    <cellStyle name="표준 52 4" xfId="0"/>
    <cellStyle name="표준 52 4 2" xfId="0"/>
    <cellStyle name="표준 52 5" xfId="0"/>
    <cellStyle name="표준 52 5 2" xfId="0"/>
    <cellStyle name="표준 52 6" xfId="0"/>
    <cellStyle name="표준 52 6 2" xfId="0"/>
    <cellStyle name="표준 52 7" xfId="0"/>
    <cellStyle name="표준 52 8" xfId="0"/>
    <cellStyle name="표준 52 9" xfId="0"/>
    <cellStyle name="표준 520" xfId="0"/>
    <cellStyle name="표준 520 2" xfId="0"/>
    <cellStyle name="표준 520 2 2" xfId="0"/>
    <cellStyle name="표준 520 3" xfId="0"/>
    <cellStyle name="표준 521" xfId="0"/>
    <cellStyle name="표준 521 2" xfId="0"/>
    <cellStyle name="표준 521 2 2" xfId="0"/>
    <cellStyle name="표준 521 3" xfId="0"/>
    <cellStyle name="표준 522" xfId="0"/>
    <cellStyle name="표준 522 2" xfId="0"/>
    <cellStyle name="표준 522 2 2" xfId="0"/>
    <cellStyle name="표준 522 3" xfId="0"/>
    <cellStyle name="표준 523" xfId="0"/>
    <cellStyle name="표준 523 2" xfId="0"/>
    <cellStyle name="표준 523 2 2" xfId="0"/>
    <cellStyle name="표준 523 3" xfId="0"/>
    <cellStyle name="표준 524" xfId="0"/>
    <cellStyle name="표준 524 2" xfId="0"/>
    <cellStyle name="표준 524 2 2" xfId="0"/>
    <cellStyle name="표준 524 3" xfId="0"/>
    <cellStyle name="표준 525" xfId="0"/>
    <cellStyle name="표준 525 2" xfId="0"/>
    <cellStyle name="표준 525 2 2" xfId="0"/>
    <cellStyle name="표준 525 3" xfId="0"/>
    <cellStyle name="표준 526" xfId="0"/>
    <cellStyle name="표준 526 2" xfId="0"/>
    <cellStyle name="표준 526 2 2" xfId="0"/>
    <cellStyle name="표준 526 3" xfId="0"/>
    <cellStyle name="표준 527" xfId="0"/>
    <cellStyle name="표준 527 2" xfId="0"/>
    <cellStyle name="표준 527 2 2" xfId="0"/>
    <cellStyle name="표준 527 3" xfId="0"/>
    <cellStyle name="표준 528" xfId="0"/>
    <cellStyle name="표준 528 2" xfId="0"/>
    <cellStyle name="표준 528 2 2" xfId="0"/>
    <cellStyle name="표준 528 3" xfId="0"/>
    <cellStyle name="표준 529" xfId="0"/>
    <cellStyle name="표준 529 2" xfId="0"/>
    <cellStyle name="표준 529 2 2" xfId="0"/>
    <cellStyle name="표준 529 3" xfId="0"/>
    <cellStyle name="표준 53" xfId="0"/>
    <cellStyle name="표준 53 2" xfId="0"/>
    <cellStyle name="표준 53 3" xfId="0"/>
    <cellStyle name="표준 530" xfId="0"/>
    <cellStyle name="표준 530 2" xfId="0"/>
    <cellStyle name="표준 530 2 2" xfId="0"/>
    <cellStyle name="표준 530 3" xfId="0"/>
    <cellStyle name="표준 531" xfId="0"/>
    <cellStyle name="표준 531 2" xfId="0"/>
    <cellStyle name="표준 531 2 2" xfId="0"/>
    <cellStyle name="표준 531 3" xfId="0"/>
    <cellStyle name="표준 532" xfId="0"/>
    <cellStyle name="표준 532 2" xfId="0"/>
    <cellStyle name="표준 532 2 2" xfId="0"/>
    <cellStyle name="표준 532 3" xfId="0"/>
    <cellStyle name="표준 533" xfId="0"/>
    <cellStyle name="표준 533 2" xfId="0"/>
    <cellStyle name="표준 533 2 2" xfId="0"/>
    <cellStyle name="표준 533 3" xfId="0"/>
    <cellStyle name="표준 534" xfId="0"/>
    <cellStyle name="표준 534 2" xfId="0"/>
    <cellStyle name="표준 534 2 2" xfId="0"/>
    <cellStyle name="표준 534 3" xfId="0"/>
    <cellStyle name="표준 535" xfId="0"/>
    <cellStyle name="표준 535 2" xfId="0"/>
    <cellStyle name="표준 535 2 2" xfId="0"/>
    <cellStyle name="표준 535 3" xfId="0"/>
    <cellStyle name="표준 536" xfId="0"/>
    <cellStyle name="표준 536 2" xfId="0"/>
    <cellStyle name="표준 536 2 2" xfId="0"/>
    <cellStyle name="표준 536 3" xfId="0"/>
    <cellStyle name="표준 537" xfId="0"/>
    <cellStyle name="표준 537 2" xfId="0"/>
    <cellStyle name="표준 537 2 2" xfId="0"/>
    <cellStyle name="표준 537 3" xfId="0"/>
    <cellStyle name="표준 538" xfId="0"/>
    <cellStyle name="표준 538 2" xfId="0"/>
    <cellStyle name="표준 538 2 2" xfId="0"/>
    <cellStyle name="표준 538 3" xfId="0"/>
    <cellStyle name="표준 539" xfId="0"/>
    <cellStyle name="표준 539 2" xfId="0"/>
    <cellStyle name="표준 539 2 2" xfId="0"/>
    <cellStyle name="표준 539 3" xfId="0"/>
    <cellStyle name="표준 54" xfId="0"/>
    <cellStyle name="표준 54 2" xfId="0"/>
    <cellStyle name="표준 54 3" xfId="0"/>
    <cellStyle name="표준 540" xfId="0"/>
    <cellStyle name="표준 540 2" xfId="0"/>
    <cellStyle name="표준 540 2 2" xfId="0"/>
    <cellStyle name="표준 540 3" xfId="0"/>
    <cellStyle name="표준 541" xfId="0"/>
    <cellStyle name="표준 541 2" xfId="0"/>
    <cellStyle name="표준 541 2 2" xfId="0"/>
    <cellStyle name="표준 541 3" xfId="0"/>
    <cellStyle name="표준 542" xfId="0"/>
    <cellStyle name="표준 542 2" xfId="0"/>
    <cellStyle name="표준 542 2 2" xfId="0"/>
    <cellStyle name="표준 542 3" xfId="0"/>
    <cellStyle name="표준 543" xfId="0"/>
    <cellStyle name="표준 543 2" xfId="0"/>
    <cellStyle name="표준 543 2 2" xfId="0"/>
    <cellStyle name="표준 543 3" xfId="0"/>
    <cellStyle name="표준 544" xfId="0"/>
    <cellStyle name="표준 544 2" xfId="0"/>
    <cellStyle name="표준 544 2 2" xfId="0"/>
    <cellStyle name="표준 544 3" xfId="0"/>
    <cellStyle name="표준 545" xfId="0"/>
    <cellStyle name="표준 545 2" xfId="0"/>
    <cellStyle name="표준 545 2 2" xfId="0"/>
    <cellStyle name="표준 545 3" xfId="0"/>
    <cellStyle name="표준 546" xfId="0"/>
    <cellStyle name="표준 546 2" xfId="0"/>
    <cellStyle name="표준 546 2 2" xfId="0"/>
    <cellStyle name="표준 546 3" xfId="0"/>
    <cellStyle name="표준 547" xfId="0"/>
    <cellStyle name="표준 547 2" xfId="0"/>
    <cellStyle name="표준 547 2 2" xfId="0"/>
    <cellStyle name="표준 547 3" xfId="0"/>
    <cellStyle name="표준 548" xfId="0"/>
    <cellStyle name="표준 548 2" xfId="0"/>
    <cellStyle name="표준 548 2 2" xfId="0"/>
    <cellStyle name="표준 548 3" xfId="0"/>
    <cellStyle name="표준 549" xfId="0"/>
    <cellStyle name="표준 549 2" xfId="0"/>
    <cellStyle name="표준 549 2 2" xfId="0"/>
    <cellStyle name="표준 549 3" xfId="0"/>
    <cellStyle name="표준 55" xfId="0"/>
    <cellStyle name="표준 55 2" xfId="0"/>
    <cellStyle name="표준 55 3" xfId="0"/>
    <cellStyle name="표준 550" xfId="0"/>
    <cellStyle name="표준 550 2" xfId="0"/>
    <cellStyle name="표준 550 2 2" xfId="0"/>
    <cellStyle name="표준 550 3" xfId="0"/>
    <cellStyle name="표준 551" xfId="0"/>
    <cellStyle name="표준 551 2" xfId="0"/>
    <cellStyle name="표준 551 2 2" xfId="0"/>
    <cellStyle name="표준 551 3" xfId="0"/>
    <cellStyle name="표준 552" xfId="0"/>
    <cellStyle name="표준 552 2" xfId="0"/>
    <cellStyle name="표준 552 2 2" xfId="0"/>
    <cellStyle name="표준 552 3" xfId="0"/>
    <cellStyle name="표준 553" xfId="0"/>
    <cellStyle name="표준 553 2" xfId="0"/>
    <cellStyle name="표준 553 2 2" xfId="0"/>
    <cellStyle name="표준 553 3" xfId="0"/>
    <cellStyle name="표준 554" xfId="0"/>
    <cellStyle name="표준 554 2" xfId="0"/>
    <cellStyle name="표준 554 2 2" xfId="0"/>
    <cellStyle name="표준 554 3" xfId="0"/>
    <cellStyle name="표준 555" xfId="0"/>
    <cellStyle name="표준 555 2" xfId="0"/>
    <cellStyle name="표준 555 2 2" xfId="0"/>
    <cellStyle name="표준 555 3" xfId="0"/>
    <cellStyle name="표준 556" xfId="0"/>
    <cellStyle name="표준 556 2" xfId="0"/>
    <cellStyle name="표준 556 2 2" xfId="0"/>
    <cellStyle name="표준 556 3" xfId="0"/>
    <cellStyle name="표준 557" xfId="0"/>
    <cellStyle name="표준 557 2" xfId="0"/>
    <cellStyle name="표준 557 2 2" xfId="0"/>
    <cellStyle name="표준 557 3" xfId="0"/>
    <cellStyle name="표준 558" xfId="0"/>
    <cellStyle name="표준 558 2" xfId="0"/>
    <cellStyle name="표준 558 2 2" xfId="0"/>
    <cellStyle name="표준 558 3" xfId="0"/>
    <cellStyle name="표준 559" xfId="0"/>
    <cellStyle name="표준 559 2" xfId="0"/>
    <cellStyle name="표준 559 2 2" xfId="0"/>
    <cellStyle name="표준 559 3" xfId="0"/>
    <cellStyle name="표준 56" xfId="0"/>
    <cellStyle name="표준 56 2" xfId="0"/>
    <cellStyle name="표준 560" xfId="0"/>
    <cellStyle name="표준 560 2" xfId="0"/>
    <cellStyle name="표준 560 2 2" xfId="0"/>
    <cellStyle name="표준 560 2 2 2" xfId="0"/>
    <cellStyle name="표준 560 2 3" xfId="0"/>
    <cellStyle name="표준 560 3" xfId="0"/>
    <cellStyle name="표준 560 3 2" xfId="0"/>
    <cellStyle name="표준 560 4" xfId="0"/>
    <cellStyle name="표준 561" xfId="0"/>
    <cellStyle name="표준 561 2" xfId="0"/>
    <cellStyle name="표준 561 2 2" xfId="0"/>
    <cellStyle name="표준 561 3" xfId="0"/>
    <cellStyle name="표준 562" xfId="0"/>
    <cellStyle name="표준 562 2" xfId="0"/>
    <cellStyle name="표준 562 2 2" xfId="0"/>
    <cellStyle name="표준 562 3" xfId="0"/>
    <cellStyle name="표준 563" xfId="0"/>
    <cellStyle name="표준 563 2" xfId="0"/>
    <cellStyle name="표준 563 2 2" xfId="0"/>
    <cellStyle name="표준 563 3" xfId="0"/>
    <cellStyle name="표준 564" xfId="0"/>
    <cellStyle name="표준 564 2" xfId="0"/>
    <cellStyle name="표준 564 2 2" xfId="0"/>
    <cellStyle name="표준 564 3" xfId="0"/>
    <cellStyle name="표준 565" xfId="0"/>
    <cellStyle name="표준 565 2" xfId="0"/>
    <cellStyle name="표준 565 2 2" xfId="0"/>
    <cellStyle name="표준 565 3" xfId="0"/>
    <cellStyle name="표준 566" xfId="0"/>
    <cellStyle name="표준 566 2" xfId="0"/>
    <cellStyle name="표준 566 2 2" xfId="0"/>
    <cellStyle name="표준 566 3" xfId="0"/>
    <cellStyle name="표준 567" xfId="0"/>
    <cellStyle name="표준 567 2" xfId="0"/>
    <cellStyle name="표준 567 2 2" xfId="0"/>
    <cellStyle name="표준 567 3" xfId="0"/>
    <cellStyle name="표준 568" xfId="0"/>
    <cellStyle name="표준 568 2" xfId="0"/>
    <cellStyle name="표준 568 2 2" xfId="0"/>
    <cellStyle name="표준 568 3" xfId="0"/>
    <cellStyle name="표준 569" xfId="0"/>
    <cellStyle name="표준 569 2" xfId="0"/>
    <cellStyle name="표준 569 2 2" xfId="0"/>
    <cellStyle name="표준 569 3" xfId="0"/>
    <cellStyle name="표준 57" xfId="0"/>
    <cellStyle name="표준 57 2" xfId="0"/>
    <cellStyle name="표준 570" xfId="0"/>
    <cellStyle name="표준 570 2" xfId="0"/>
    <cellStyle name="표준 570 2 2" xfId="0"/>
    <cellStyle name="표준 570 3" xfId="0"/>
    <cellStyle name="표준 571" xfId="0"/>
    <cellStyle name="표준 571 2" xfId="0"/>
    <cellStyle name="표준 571 2 2" xfId="0"/>
    <cellStyle name="표준 571 3" xfId="0"/>
    <cellStyle name="표준 572" xfId="0"/>
    <cellStyle name="표준 572 2" xfId="0"/>
    <cellStyle name="표준 572 2 2" xfId="0"/>
    <cellStyle name="표준 572 3" xfId="0"/>
    <cellStyle name="표준 573" xfId="0"/>
    <cellStyle name="표준 573 2" xfId="0"/>
    <cellStyle name="표준 573 2 2" xfId="0"/>
    <cellStyle name="표준 573 3" xfId="0"/>
    <cellStyle name="표준 574" xfId="0"/>
    <cellStyle name="표준 574 2" xfId="0"/>
    <cellStyle name="표준 574 2 2" xfId="0"/>
    <cellStyle name="표준 574 3" xfId="0"/>
    <cellStyle name="표준 575" xfId="0"/>
    <cellStyle name="표준 575 2" xfId="0"/>
    <cellStyle name="표준 575 2 2" xfId="0"/>
    <cellStyle name="표준 575 3" xfId="0"/>
    <cellStyle name="표준 576" xfId="0"/>
    <cellStyle name="표준 576 2" xfId="0"/>
    <cellStyle name="표준 576 2 2" xfId="0"/>
    <cellStyle name="표준 576 3" xfId="0"/>
    <cellStyle name="표준 577" xfId="0"/>
    <cellStyle name="표준 577 2" xfId="0"/>
    <cellStyle name="표준 577 2 2" xfId="0"/>
    <cellStyle name="표준 577 3" xfId="0"/>
    <cellStyle name="표준 578" xfId="0"/>
    <cellStyle name="표준 578 2" xfId="0"/>
    <cellStyle name="표준 578 2 2" xfId="0"/>
    <cellStyle name="표준 578 3" xfId="0"/>
    <cellStyle name="표준 579" xfId="0"/>
    <cellStyle name="표준 579 2" xfId="0"/>
    <cellStyle name="표준 579 2 2" xfId="0"/>
    <cellStyle name="표준 579 3" xfId="0"/>
    <cellStyle name="표준 58" xfId="0"/>
    <cellStyle name="표준 58 2" xfId="0"/>
    <cellStyle name="표준 58 3" xfId="0"/>
    <cellStyle name="표준 580" xfId="0"/>
    <cellStyle name="표준 580 2" xfId="0"/>
    <cellStyle name="표준 580 2 2" xfId="0"/>
    <cellStyle name="표준 580 3" xfId="0"/>
    <cellStyle name="표준 581" xfId="0"/>
    <cellStyle name="표준 581 2" xfId="0"/>
    <cellStyle name="표준 581 2 2" xfId="0"/>
    <cellStyle name="표준 581 3" xfId="0"/>
    <cellStyle name="표준 582" xfId="0"/>
    <cellStyle name="표준 582 2" xfId="0"/>
    <cellStyle name="표준 582 2 2" xfId="0"/>
    <cellStyle name="표준 582 3" xfId="0"/>
    <cellStyle name="표준 583" xfId="0"/>
    <cellStyle name="표준 583 2" xfId="0"/>
    <cellStyle name="표준 583 2 2" xfId="0"/>
    <cellStyle name="표준 583 3" xfId="0"/>
    <cellStyle name="표준 584" xfId="0"/>
    <cellStyle name="표준 584 2" xfId="0"/>
    <cellStyle name="표준 584 2 2" xfId="0"/>
    <cellStyle name="표준 584 3" xfId="0"/>
    <cellStyle name="표준 585" xfId="0"/>
    <cellStyle name="표준 585 2" xfId="0"/>
    <cellStyle name="표준 585 2 2" xfId="0"/>
    <cellStyle name="표준 585 3" xfId="0"/>
    <cellStyle name="표준 586" xfId="0"/>
    <cellStyle name="표준 586 2" xfId="0"/>
    <cellStyle name="표준 586 2 2" xfId="0"/>
    <cellStyle name="표준 586 3" xfId="0"/>
    <cellStyle name="표준 587" xfId="0"/>
    <cellStyle name="표준 587 2" xfId="0"/>
    <cellStyle name="표준 587 2 2" xfId="0"/>
    <cellStyle name="표준 587 3" xfId="0"/>
    <cellStyle name="표준 588" xfId="0"/>
    <cellStyle name="표준 588 2" xfId="0"/>
    <cellStyle name="표준 588 2 2" xfId="0"/>
    <cellStyle name="표준 588 3" xfId="0"/>
    <cellStyle name="표준 589" xfId="0"/>
    <cellStyle name="표준 589 2" xfId="0"/>
    <cellStyle name="표준 589 2 2" xfId="0"/>
    <cellStyle name="표준 589 3" xfId="0"/>
    <cellStyle name="표준 59" xfId="0"/>
    <cellStyle name="표준 59 2" xfId="0"/>
    <cellStyle name="표준 590" xfId="0"/>
    <cellStyle name="표준 590 2" xfId="0"/>
    <cellStyle name="표준 590 2 2" xfId="0"/>
    <cellStyle name="표준 590 3" xfId="0"/>
    <cellStyle name="표준 591" xfId="0"/>
    <cellStyle name="표준 591 2" xfId="0"/>
    <cellStyle name="표준 591 2 2" xfId="0"/>
    <cellStyle name="표준 591 3" xfId="0"/>
    <cellStyle name="표준 592" xfId="0"/>
    <cellStyle name="표준 592 2" xfId="0"/>
    <cellStyle name="표준 592 2 2" xfId="0"/>
    <cellStyle name="표준 592 3" xfId="0"/>
    <cellStyle name="표준 593" xfId="0"/>
    <cellStyle name="표준 593 2" xfId="0"/>
    <cellStyle name="표준 593 2 2" xfId="0"/>
    <cellStyle name="표준 593 3" xfId="0"/>
    <cellStyle name="표준 594" xfId="0"/>
    <cellStyle name="표준 594 2" xfId="0"/>
    <cellStyle name="표준 594 2 2" xfId="0"/>
    <cellStyle name="표준 594 3" xfId="0"/>
    <cellStyle name="표준 595" xfId="0"/>
    <cellStyle name="표준 595 2" xfId="0"/>
    <cellStyle name="표준 595 2 2" xfId="0"/>
    <cellStyle name="표준 595 3" xfId="0"/>
    <cellStyle name="표준 596" xfId="0"/>
    <cellStyle name="표준 596 2" xfId="0"/>
    <cellStyle name="표준 596 2 2" xfId="0"/>
    <cellStyle name="표준 596 3" xfId="0"/>
    <cellStyle name="표준 597" xfId="0"/>
    <cellStyle name="표준 597 2" xfId="0"/>
    <cellStyle name="표준 597 2 2" xfId="0"/>
    <cellStyle name="표준 597 3" xfId="0"/>
    <cellStyle name="표준 598" xfId="0"/>
    <cellStyle name="표준 598 2" xfId="0"/>
    <cellStyle name="표준 598 2 2" xfId="0"/>
    <cellStyle name="표준 598 3" xfId="0"/>
    <cellStyle name="표준 599" xfId="0"/>
    <cellStyle name="표준 599 2" xfId="0"/>
    <cellStyle name="표준 599 2 2" xfId="0"/>
    <cellStyle name="표준 599 3" xfId="0"/>
    <cellStyle name="표준 5_@2009 BSPL(10월)_최종본" xfId="0"/>
    <cellStyle name="표준 6" xfId="0"/>
    <cellStyle name="표준 6 10" xfId="0"/>
    <cellStyle name="표준 6 10 2" xfId="0"/>
    <cellStyle name="표준 6 10 3" xfId="0"/>
    <cellStyle name="표준 6 10 4" xfId="0"/>
    <cellStyle name="표준 6 10 5" xfId="0"/>
    <cellStyle name="표준 6 10 6" xfId="0"/>
    <cellStyle name="표준 6 11" xfId="0"/>
    <cellStyle name="표준 6 11 2" xfId="0"/>
    <cellStyle name="표준 6 11 3" xfId="0"/>
    <cellStyle name="표준 6 11 4" xfId="0"/>
    <cellStyle name="표준 6 11 5" xfId="0"/>
    <cellStyle name="표준 6 11 6" xfId="0"/>
    <cellStyle name="표준 6 12" xfId="0"/>
    <cellStyle name="표준 6 12 2" xfId="0"/>
    <cellStyle name="표준 6 12 3" xfId="0"/>
    <cellStyle name="표준 6 12 4" xfId="0"/>
    <cellStyle name="표준 6 12 5" xfId="0"/>
    <cellStyle name="표준 6 12 6" xfId="0"/>
    <cellStyle name="표준 6 13" xfId="0"/>
    <cellStyle name="표준 6 13 2" xfId="0"/>
    <cellStyle name="표준 6 13 3" xfId="0"/>
    <cellStyle name="표준 6 14" xfId="0"/>
    <cellStyle name="표준 6 14 2" xfId="0"/>
    <cellStyle name="표준 6 14 3" xfId="0"/>
    <cellStyle name="표준 6 15" xfId="0"/>
    <cellStyle name="표준 6 15 2" xfId="0"/>
    <cellStyle name="표준 6 16" xfId="0"/>
    <cellStyle name="표준 6 17" xfId="0"/>
    <cellStyle name="표준 6 18" xfId="0"/>
    <cellStyle name="표준 6 19" xfId="0"/>
    <cellStyle name="표준 6 2" xfId="0"/>
    <cellStyle name="표준 6 2 10" xfId="0"/>
    <cellStyle name="표준 6 2 11" xfId="0"/>
    <cellStyle name="표준 6 2 12" xfId="0"/>
    <cellStyle name="표준 6 2 13" xfId="0"/>
    <cellStyle name="표준 6 2 14" xfId="0"/>
    <cellStyle name="표준 6 2 15" xfId="0"/>
    <cellStyle name="표준 6 2 16" xfId="0"/>
    <cellStyle name="표준 6 2 17" xfId="0"/>
    <cellStyle name="표준 6 2 18" xfId="0"/>
    <cellStyle name="표준 6 2 19" xfId="0"/>
    <cellStyle name="표준 6 2 2" xfId="0"/>
    <cellStyle name="표준 6 2 2 10" xfId="0"/>
    <cellStyle name="표준 6 2 2 11" xfId="0"/>
    <cellStyle name="표준 6 2 2 12" xfId="0"/>
    <cellStyle name="표준 6 2 2 13" xfId="0"/>
    <cellStyle name="표준 6 2 2 14" xfId="0"/>
    <cellStyle name="표준 6 2 2 15" xfId="0"/>
    <cellStyle name="표준 6 2 2 16" xfId="0"/>
    <cellStyle name="표준 6 2 2 17" xfId="0"/>
    <cellStyle name="표준 6 2 2 18" xfId="0"/>
    <cellStyle name="표준 6 2 2 19" xfId="0"/>
    <cellStyle name="표준 6 2 2 2" xfId="0"/>
    <cellStyle name="표준 6 2 2 2 10" xfId="0"/>
    <cellStyle name="표준 6 2 2 2 11" xfId="0"/>
    <cellStyle name="표준 6 2 2 2 12" xfId="0"/>
    <cellStyle name="표준 6 2 2 2 13" xfId="0"/>
    <cellStyle name="표준 6 2 2 2 14" xfId="0"/>
    <cellStyle name="표준 6 2 2 2 15" xfId="0"/>
    <cellStyle name="표준 6 2 2 2 16" xfId="0"/>
    <cellStyle name="표준 6 2 2 2 2" xfId="0"/>
    <cellStyle name="표준 6 2 2 2 2 10" xfId="0"/>
    <cellStyle name="표준 6 2 2 2 2 11" xfId="0"/>
    <cellStyle name="표준 6 2 2 2 2 12" xfId="0"/>
    <cellStyle name="표준 6 2 2 2 2 13" xfId="0"/>
    <cellStyle name="표준 6 2 2 2 2 14" xfId="0"/>
    <cellStyle name="표준 6 2 2 2 2 15" xfId="0"/>
    <cellStyle name="표준 6 2 2 2 2 16" xfId="0"/>
    <cellStyle name="표준 6 2 2 2 2 2" xfId="0"/>
    <cellStyle name="표준 6 2 2 2 2 2 2" xfId="0"/>
    <cellStyle name="표준 6 2 2 2 2 3" xfId="0"/>
    <cellStyle name="표준 6 2 2 2 2 3 2" xfId="0"/>
    <cellStyle name="표준 6 2 2 2 2 4" xfId="0"/>
    <cellStyle name="표준 6 2 2 2 2 4 2" xfId="0"/>
    <cellStyle name="표준 6 2 2 2 2 5" xfId="0"/>
    <cellStyle name="표준 6 2 2 2 2 5 2" xfId="0"/>
    <cellStyle name="표준 6 2 2 2 2 6" xfId="0"/>
    <cellStyle name="표준 6 2 2 2 2 6 2" xfId="0"/>
    <cellStyle name="표준 6 2 2 2 2 7" xfId="0"/>
    <cellStyle name="표준 6 2 2 2 2 8" xfId="0"/>
    <cellStyle name="표준 6 2 2 2 2 9" xfId="0"/>
    <cellStyle name="표준 6 2 2 2 3" xfId="0"/>
    <cellStyle name="표준 6 2 2 2 4" xfId="0"/>
    <cellStyle name="표준 6 2 2 2 5" xfId="0"/>
    <cellStyle name="표준 6 2 2 2 6" xfId="0"/>
    <cellStyle name="표준 6 2 2 2 7" xfId="0"/>
    <cellStyle name="표준 6 2 2 2 8" xfId="0"/>
    <cellStyle name="표준 6 2 2 2 9" xfId="0"/>
    <cellStyle name="표준 6 2 2 20" xfId="0"/>
    <cellStyle name="표준 6 2 2 3" xfId="0"/>
    <cellStyle name="표준 6 2 2 3 10" xfId="0"/>
    <cellStyle name="표준 6 2 2 3 2" xfId="0"/>
    <cellStyle name="표준 6 2 2 3 3" xfId="0"/>
    <cellStyle name="표준 6 2 2 3 4" xfId="0"/>
    <cellStyle name="표준 6 2 2 3 5" xfId="0"/>
    <cellStyle name="표준 6 2 2 3 6" xfId="0"/>
    <cellStyle name="표준 6 2 2 3 7" xfId="0"/>
    <cellStyle name="표준 6 2 2 3 8" xfId="0"/>
    <cellStyle name="표준 6 2 2 3 9" xfId="0"/>
    <cellStyle name="표준 6 2 2 4" xfId="0"/>
    <cellStyle name="표준 6 2 2 4 10" xfId="0"/>
    <cellStyle name="표준 6 2 2 4 2" xfId="0"/>
    <cellStyle name="표준 6 2 2 4 3" xfId="0"/>
    <cellStyle name="표준 6 2 2 4 4" xfId="0"/>
    <cellStyle name="표준 6 2 2 4 5" xfId="0"/>
    <cellStyle name="표준 6 2 2 4 6" xfId="0"/>
    <cellStyle name="표준 6 2 2 4 7" xfId="0"/>
    <cellStyle name="표준 6 2 2 4 8" xfId="0"/>
    <cellStyle name="표준 6 2 2 4 9" xfId="0"/>
    <cellStyle name="표준 6 2 2 5" xfId="0"/>
    <cellStyle name="표준 6 2 2 5 10" xfId="0"/>
    <cellStyle name="표준 6 2 2 5 2" xfId="0"/>
    <cellStyle name="표준 6 2 2 5 3" xfId="0"/>
    <cellStyle name="표준 6 2 2 5 4" xfId="0"/>
    <cellStyle name="표준 6 2 2 5 5" xfId="0"/>
    <cellStyle name="표준 6 2 2 5 6" xfId="0"/>
    <cellStyle name="표준 6 2 2 5 7" xfId="0"/>
    <cellStyle name="표준 6 2 2 5 8" xfId="0"/>
    <cellStyle name="표준 6 2 2 5 9" xfId="0"/>
    <cellStyle name="표준 6 2 2 6" xfId="0"/>
    <cellStyle name="표준 6 2 2 6 2" xfId="0"/>
    <cellStyle name="표준 6 2 2 7" xfId="0"/>
    <cellStyle name="표준 6 2 2 7 2" xfId="0"/>
    <cellStyle name="표준 6 2 2 8" xfId="0"/>
    <cellStyle name="표준 6 2 2 8 2" xfId="0"/>
    <cellStyle name="표준 6 2 2 9" xfId="0"/>
    <cellStyle name="표준 6 2 2 9 2" xfId="0"/>
    <cellStyle name="표준 6 2 20" xfId="0"/>
    <cellStyle name="표준 6 2 21" xfId="0"/>
    <cellStyle name="표준 6 2 22" xfId="0"/>
    <cellStyle name="표준 6 2 23" xfId="0"/>
    <cellStyle name="표준 6 2 3" xfId="0"/>
    <cellStyle name="표준 6 2 3 10" xfId="0"/>
    <cellStyle name="표준 6 2 3 11" xfId="0"/>
    <cellStyle name="표준 6 2 3 2" xfId="0"/>
    <cellStyle name="표준 6 2 3 3" xfId="0"/>
    <cellStyle name="표준 6 2 3 4" xfId="0"/>
    <cellStyle name="표준 6 2 3 5" xfId="0"/>
    <cellStyle name="표준 6 2 3 6" xfId="0"/>
    <cellStyle name="표준 6 2 3 7" xfId="0"/>
    <cellStyle name="표준 6 2 3 8" xfId="0"/>
    <cellStyle name="표준 6 2 3 9" xfId="0"/>
    <cellStyle name="표준 6 2 4" xfId="0"/>
    <cellStyle name="표준 6 2 4 10" xfId="0"/>
    <cellStyle name="표준 6 2 4 2" xfId="0"/>
    <cellStyle name="표준 6 2 4 3" xfId="0"/>
    <cellStyle name="표준 6 2 4 4" xfId="0"/>
    <cellStyle name="표준 6 2 4 5" xfId="0"/>
    <cellStyle name="표준 6 2 4 6" xfId="0"/>
    <cellStyle name="표준 6 2 4 7" xfId="0"/>
    <cellStyle name="표준 6 2 4 8" xfId="0"/>
    <cellStyle name="표준 6 2 4 9" xfId="0"/>
    <cellStyle name="표준 6 2 5" xfId="0"/>
    <cellStyle name="표준 6 2 5 10" xfId="0"/>
    <cellStyle name="표준 6 2 5 2" xfId="0"/>
    <cellStyle name="표준 6 2 5 3" xfId="0"/>
    <cellStyle name="표준 6 2 5 4" xfId="0"/>
    <cellStyle name="표준 6 2 5 5" xfId="0"/>
    <cellStyle name="표준 6 2 5 6" xfId="0"/>
    <cellStyle name="표준 6 2 5 7" xfId="0"/>
    <cellStyle name="표준 6 2 5 8" xfId="0"/>
    <cellStyle name="표준 6 2 5 9" xfId="0"/>
    <cellStyle name="표준 6 2 6" xfId="0"/>
    <cellStyle name="표준 6 2 6 10" xfId="0"/>
    <cellStyle name="표준 6 2 6 11" xfId="0"/>
    <cellStyle name="표준 6 2 6 2" xfId="0"/>
    <cellStyle name="표준 6 2 6 3" xfId="0"/>
    <cellStyle name="표준 6 2 6 4" xfId="0"/>
    <cellStyle name="표준 6 2 6 5" xfId="0"/>
    <cellStyle name="표준 6 2 6 6" xfId="0"/>
    <cellStyle name="표준 6 2 6 7" xfId="0"/>
    <cellStyle name="표준 6 2 6 8" xfId="0"/>
    <cellStyle name="표준 6 2 6 9" xfId="0"/>
    <cellStyle name="표준 6 2 7" xfId="0"/>
    <cellStyle name="표준 6 2 8" xfId="0"/>
    <cellStyle name="표준 6 2 9" xfId="0"/>
    <cellStyle name="표준 6 20" xfId="0"/>
    <cellStyle name="표준 6 3" xfId="0"/>
    <cellStyle name="표준 6 3 10" xfId="0"/>
    <cellStyle name="표준 6 3 11" xfId="0"/>
    <cellStyle name="표준 6 3 2" xfId="0"/>
    <cellStyle name="표준 6 3 2 2" xfId="0"/>
    <cellStyle name="표준 6 3 2 3" xfId="0"/>
    <cellStyle name="표준 6 3 2 3 2" xfId="0"/>
    <cellStyle name="표준 6 3 2 3 2 2" xfId="0"/>
    <cellStyle name="표준 6 3 2 3 2 2 2" xfId="0"/>
    <cellStyle name="표준 6 3 2 3 2 2 2 2" xfId="0"/>
    <cellStyle name="표준 6 3 2 3 2 2 2 2 2" xfId="0"/>
    <cellStyle name="표준 6 3 2 3 2 2 2 2 2 2" xfId="0"/>
    <cellStyle name="표준 6 3 2 3 2 2 2 2 2 2 2" xfId="0"/>
    <cellStyle name="표준 6 3 2 3 2 2 2 2 2 2 2 2" xfId="0"/>
    <cellStyle name="표준 6 3 2 3 2 2 2 2 2 2 2 2 2" xfId="0"/>
    <cellStyle name="표준 6 3 2 4" xfId="0"/>
    <cellStyle name="표준 6 3 3" xfId="0"/>
    <cellStyle name="표준 6 3 3 2" xfId="0"/>
    <cellStyle name="표준 6 3 4" xfId="0"/>
    <cellStyle name="표준 6 3 4 2" xfId="0"/>
    <cellStyle name="표준 6 3 5" xfId="0"/>
    <cellStyle name="표준 6 3 6" xfId="0"/>
    <cellStyle name="표준 6 3 7" xfId="0"/>
    <cellStyle name="표준 6 3 8" xfId="0"/>
    <cellStyle name="표준 6 3 9" xfId="0"/>
    <cellStyle name="표준 6 4" xfId="0"/>
    <cellStyle name="표준 6 4 10" xfId="0"/>
    <cellStyle name="표준 6 4 11" xfId="0"/>
    <cellStyle name="표준 6 4 2" xfId="0"/>
    <cellStyle name="표준 6 4 2 2" xfId="0"/>
    <cellStyle name="표준 6 4 3" xfId="0"/>
    <cellStyle name="표준 6 4 3 2" xfId="0"/>
    <cellStyle name="표준 6 4 4" xfId="0"/>
    <cellStyle name="표준 6 4 4 2" xfId="0"/>
    <cellStyle name="표준 6 4 5" xfId="0"/>
    <cellStyle name="표준 6 4 6" xfId="0"/>
    <cellStyle name="표준 6 4 7" xfId="0"/>
    <cellStyle name="표준 6 4 8" xfId="0"/>
    <cellStyle name="표준 6 4 9" xfId="0"/>
    <cellStyle name="표준 6 5" xfId="0"/>
    <cellStyle name="표준 6 5 2" xfId="0"/>
    <cellStyle name="표준 6 6" xfId="0"/>
    <cellStyle name="표준 6 6 2" xfId="0"/>
    <cellStyle name="표준 6 7" xfId="0"/>
    <cellStyle name="표준 6 7 2" xfId="0"/>
    <cellStyle name="표준 6 8" xfId="0"/>
    <cellStyle name="표준 6 8 10" xfId="0"/>
    <cellStyle name="표준 6 8 2" xfId="0"/>
    <cellStyle name="표준 6 8 2 2" xfId="0"/>
    <cellStyle name="표준 6 8 2 3" xfId="0"/>
    <cellStyle name="표준 6 8 2 4" xfId="0"/>
    <cellStyle name="표준 6 8 2 5" xfId="0"/>
    <cellStyle name="표준 6 8 3" xfId="0"/>
    <cellStyle name="표준 6 8 3 2" xfId="0"/>
    <cellStyle name="표준 6 8 3 3" xfId="0"/>
    <cellStyle name="표준 6 8 3 4" xfId="0"/>
    <cellStyle name="표준 6 8 3 5" xfId="0"/>
    <cellStyle name="표준 6 8 4" xfId="0"/>
    <cellStyle name="표준 6 8 4 2" xfId="0"/>
    <cellStyle name="표준 6 8 4 3" xfId="0"/>
    <cellStyle name="표준 6 8 4 4" xfId="0"/>
    <cellStyle name="표준 6 8 4 5" xfId="0"/>
    <cellStyle name="표준 6 8 5" xfId="0"/>
    <cellStyle name="표준 6 8 5 2" xfId="0"/>
    <cellStyle name="표준 6 8 5 3" xfId="0"/>
    <cellStyle name="표준 6 8 5 4" xfId="0"/>
    <cellStyle name="표준 6 8 5 5" xfId="0"/>
    <cellStyle name="표준 6 8 6" xfId="0"/>
    <cellStyle name="표준 6 8 7" xfId="0"/>
    <cellStyle name="표준 6 8 8" xfId="0"/>
    <cellStyle name="표준 6 8 9" xfId="0"/>
    <cellStyle name="표준 6 9" xfId="0"/>
    <cellStyle name="표준 6 9 2" xfId="0"/>
    <cellStyle name="표준 6 9 3" xfId="0"/>
    <cellStyle name="표준 6 9 4" xfId="0"/>
    <cellStyle name="표준 6 9 5" xfId="0"/>
    <cellStyle name="표준 6 9 6" xfId="0"/>
    <cellStyle name="표준 60" xfId="0"/>
    <cellStyle name="표준 600" xfId="0"/>
    <cellStyle name="표준 600 2" xfId="0"/>
    <cellStyle name="표준 600 2 2" xfId="0"/>
    <cellStyle name="표준 600 3" xfId="0"/>
    <cellStyle name="표준 601" xfId="0"/>
    <cellStyle name="표준 601 2" xfId="0"/>
    <cellStyle name="표준 601 2 2" xfId="0"/>
    <cellStyle name="표준 601 3" xfId="0"/>
    <cellStyle name="표준 602" xfId="0"/>
    <cellStyle name="표준 602 2" xfId="0"/>
    <cellStyle name="표준 602 2 2" xfId="0"/>
    <cellStyle name="표준 602 3" xfId="0"/>
    <cellStyle name="표준 603" xfId="0"/>
    <cellStyle name="표준 603 2" xfId="0"/>
    <cellStyle name="표준 603 2 2" xfId="0"/>
    <cellStyle name="표준 603 3" xfId="0"/>
    <cellStyle name="표준 604" xfId="0"/>
    <cellStyle name="표준 604 2" xfId="0"/>
    <cellStyle name="표준 604 2 2" xfId="0"/>
    <cellStyle name="표준 604 3" xfId="0"/>
    <cellStyle name="표준 605" xfId="0"/>
    <cellStyle name="표준 605 2" xfId="0"/>
    <cellStyle name="표준 605 2 2" xfId="0"/>
    <cellStyle name="표준 605 3" xfId="0"/>
    <cellStyle name="표준 606" xfId="0"/>
    <cellStyle name="표준 606 2" xfId="0"/>
    <cellStyle name="표준 606 2 2" xfId="0"/>
    <cellStyle name="표준 606 3" xfId="0"/>
    <cellStyle name="표준 607" xfId="0"/>
    <cellStyle name="표준 607 2" xfId="0"/>
    <cellStyle name="표준 607 2 2" xfId="0"/>
    <cellStyle name="표준 607 3" xfId="0"/>
    <cellStyle name="표준 608" xfId="0"/>
    <cellStyle name="표준 608 2" xfId="0"/>
    <cellStyle name="표준 608 2 2" xfId="0"/>
    <cellStyle name="표준 608 3" xfId="0"/>
    <cellStyle name="표준 609" xfId="0"/>
    <cellStyle name="표준 609 2" xfId="0"/>
    <cellStyle name="표준 609 2 2" xfId="0"/>
    <cellStyle name="표준 609 3" xfId="0"/>
    <cellStyle name="표준 61" xfId="0"/>
    <cellStyle name="표준 61 2" xfId="0"/>
    <cellStyle name="표준 610" xfId="0"/>
    <cellStyle name="표준 610 2" xfId="0"/>
    <cellStyle name="표준 610 2 2" xfId="0"/>
    <cellStyle name="표준 610 3" xfId="0"/>
    <cellStyle name="표준 611" xfId="0"/>
    <cellStyle name="표준 611 2" xfId="0"/>
    <cellStyle name="표준 611 2 2" xfId="0"/>
    <cellStyle name="표준 611 3" xfId="0"/>
    <cellStyle name="표준 612" xfId="0"/>
    <cellStyle name="표준 612 2" xfId="0"/>
    <cellStyle name="표준 612 2 2" xfId="0"/>
    <cellStyle name="표준 612 3" xfId="0"/>
    <cellStyle name="표준 613" xfId="0"/>
    <cellStyle name="표준 613 2" xfId="0"/>
    <cellStyle name="표준 613 2 2" xfId="0"/>
    <cellStyle name="표준 613 3" xfId="0"/>
    <cellStyle name="표준 614" xfId="0"/>
    <cellStyle name="표준 614 2" xfId="0"/>
    <cellStyle name="표준 614 2 2" xfId="0"/>
    <cellStyle name="표준 614 3" xfId="0"/>
    <cellStyle name="표준 615" xfId="0"/>
    <cellStyle name="표준 615 2" xfId="0"/>
    <cellStyle name="표준 615 2 2" xfId="0"/>
    <cellStyle name="표준 615 3" xfId="0"/>
    <cellStyle name="표준 616" xfId="0"/>
    <cellStyle name="표준 616 2" xfId="0"/>
    <cellStyle name="표준 616 2 2" xfId="0"/>
    <cellStyle name="표준 616 3" xfId="0"/>
    <cellStyle name="표준 617" xfId="0"/>
    <cellStyle name="표준 617 2" xfId="0"/>
    <cellStyle name="표준 617 2 2" xfId="0"/>
    <cellStyle name="표준 617 3" xfId="0"/>
    <cellStyle name="표준 618" xfId="0"/>
    <cellStyle name="표준 618 2" xfId="0"/>
    <cellStyle name="표준 618 2 2" xfId="0"/>
    <cellStyle name="표준 618 3" xfId="0"/>
    <cellStyle name="표준 619" xfId="0"/>
    <cellStyle name="표준 619 2" xfId="0"/>
    <cellStyle name="표준 619 2 2" xfId="0"/>
    <cellStyle name="표준 619 3" xfId="0"/>
    <cellStyle name="표준 62" xfId="0"/>
    <cellStyle name="표준 62 10" xfId="0"/>
    <cellStyle name="표준 62 2" xfId="0"/>
    <cellStyle name="표준 62 2 2" xfId="0"/>
    <cellStyle name="표준 62 2 3" xfId="0"/>
    <cellStyle name="표준 62 2 4" xfId="0"/>
    <cellStyle name="표준 62 2 5" xfId="0"/>
    <cellStyle name="표준 62 3" xfId="0"/>
    <cellStyle name="표준 62 3 2" xfId="0"/>
    <cellStyle name="표준 62 3 3" xfId="0"/>
    <cellStyle name="표준 62 3 4" xfId="0"/>
    <cellStyle name="표준 62 3 5" xfId="0"/>
    <cellStyle name="표준 62 4" xfId="0"/>
    <cellStyle name="표준 62 4 2" xfId="0"/>
    <cellStyle name="표준 62 4 3" xfId="0"/>
    <cellStyle name="표준 62 4 4" xfId="0"/>
    <cellStyle name="표준 62 4 5" xfId="0"/>
    <cellStyle name="표준 62 5" xfId="0"/>
    <cellStyle name="표준 62 5 2" xfId="0"/>
    <cellStyle name="표준 62 5 3" xfId="0"/>
    <cellStyle name="표준 62 5 4" xfId="0"/>
    <cellStyle name="표준 62 5 5" xfId="0"/>
    <cellStyle name="표준 62 6" xfId="0"/>
    <cellStyle name="표준 62 7" xfId="0"/>
    <cellStyle name="표준 62 8" xfId="0"/>
    <cellStyle name="표준 62 9" xfId="0"/>
    <cellStyle name="표준 620" xfId="0"/>
    <cellStyle name="표준 620 2" xfId="0"/>
    <cellStyle name="표준 620 2 2" xfId="0"/>
    <cellStyle name="표준 620 3" xfId="0"/>
    <cellStyle name="표준 621" xfId="0"/>
    <cellStyle name="표준 621 2" xfId="0"/>
    <cellStyle name="표준 621 2 2" xfId="0"/>
    <cellStyle name="표준 621 3" xfId="0"/>
    <cellStyle name="표준 622" xfId="0"/>
    <cellStyle name="표준 622 2" xfId="0"/>
    <cellStyle name="표준 622 2 2" xfId="0"/>
    <cellStyle name="표준 622 3" xfId="0"/>
    <cellStyle name="표준 623" xfId="0"/>
    <cellStyle name="표준 623 2" xfId="0"/>
    <cellStyle name="표준 623 2 2" xfId="0"/>
    <cellStyle name="표준 623 3" xfId="0"/>
    <cellStyle name="표준 624" xfId="0"/>
    <cellStyle name="표준 624 2" xfId="0"/>
    <cellStyle name="표준 624 2 2" xfId="0"/>
    <cellStyle name="표준 624 3" xfId="0"/>
    <cellStyle name="표준 625" xfId="0"/>
    <cellStyle name="표준 625 2" xfId="0"/>
    <cellStyle name="표준 625 2 2" xfId="0"/>
    <cellStyle name="표준 625 3" xfId="0"/>
    <cellStyle name="표준 626" xfId="0"/>
    <cellStyle name="표준 626 2" xfId="0"/>
    <cellStyle name="표준 626 2 2" xfId="0"/>
    <cellStyle name="표준 626 3" xfId="0"/>
    <cellStyle name="표준 627" xfId="0"/>
    <cellStyle name="표준 627 2" xfId="0"/>
    <cellStyle name="표준 627 2 2" xfId="0"/>
    <cellStyle name="표준 627 3" xfId="0"/>
    <cellStyle name="표준 628" xfId="0"/>
    <cellStyle name="표준 628 2" xfId="0"/>
    <cellStyle name="표준 628 2 2" xfId="0"/>
    <cellStyle name="표준 628 3" xfId="0"/>
    <cellStyle name="표준 629" xfId="0"/>
    <cellStyle name="표준 629 2" xfId="0"/>
    <cellStyle name="표준 629 2 2" xfId="0"/>
    <cellStyle name="표준 629 3" xfId="0"/>
    <cellStyle name="표준 63" xfId="0"/>
    <cellStyle name="표준 63 10" xfId="0"/>
    <cellStyle name="표준 63 11" xfId="0"/>
    <cellStyle name="표준 63 2" xfId="0"/>
    <cellStyle name="표준 63 3" xfId="0"/>
    <cellStyle name="표준 63 3 2" xfId="0"/>
    <cellStyle name="표준 63 3 3" xfId="0"/>
    <cellStyle name="표준 63 3 4" xfId="0"/>
    <cellStyle name="표준 63 3 5" xfId="0"/>
    <cellStyle name="표준 63 4" xfId="0"/>
    <cellStyle name="표준 63 4 2" xfId="0"/>
    <cellStyle name="표준 63 4 3" xfId="0"/>
    <cellStyle name="표준 63 4 4" xfId="0"/>
    <cellStyle name="표준 63 4 5" xfId="0"/>
    <cellStyle name="표준 63 5" xfId="0"/>
    <cellStyle name="표준 63 5 2" xfId="0"/>
    <cellStyle name="표준 63 5 3" xfId="0"/>
    <cellStyle name="표준 63 5 4" xfId="0"/>
    <cellStyle name="표준 63 5 5" xfId="0"/>
    <cellStyle name="표준 63 6" xfId="0"/>
    <cellStyle name="표준 63 6 2" xfId="0"/>
    <cellStyle name="표준 63 6 3" xfId="0"/>
    <cellStyle name="표준 63 6 4" xfId="0"/>
    <cellStyle name="표준 63 6 5" xfId="0"/>
    <cellStyle name="표준 63 7" xfId="0"/>
    <cellStyle name="표준 63 8" xfId="0"/>
    <cellStyle name="표준 63 9" xfId="0"/>
    <cellStyle name="표준 630" xfId="0"/>
    <cellStyle name="표준 630 2" xfId="0"/>
    <cellStyle name="표준 631" xfId="0"/>
    <cellStyle name="표준 631 2" xfId="0"/>
    <cellStyle name="표준 632" xfId="0"/>
    <cellStyle name="표준 632 2" xfId="0"/>
    <cellStyle name="표준 633" xfId="0"/>
    <cellStyle name="표준 633 2" xfId="0"/>
    <cellStyle name="표준 634" xfId="0"/>
    <cellStyle name="표준 634 2" xfId="0"/>
    <cellStyle name="표준 635" xfId="0"/>
    <cellStyle name="표준 635 2" xfId="0"/>
    <cellStyle name="표준 636" xfId="0"/>
    <cellStyle name="표준 636 2" xfId="0"/>
    <cellStyle name="표준 637" xfId="0"/>
    <cellStyle name="표준 637 2" xfId="0"/>
    <cellStyle name="표준 638" xfId="0"/>
    <cellStyle name="표준 638 2" xfId="0"/>
    <cellStyle name="표준 639" xfId="0"/>
    <cellStyle name="표준 639 2" xfId="0"/>
    <cellStyle name="표준 64" xfId="0"/>
    <cellStyle name="표준 64 10" xfId="0"/>
    <cellStyle name="표준 64 11" xfId="0"/>
    <cellStyle name="표준 64 2" xfId="0"/>
    <cellStyle name="표준 64 3" xfId="0"/>
    <cellStyle name="표준 64 3 2" xfId="0"/>
    <cellStyle name="표준 64 3 3" xfId="0"/>
    <cellStyle name="표준 64 3 4" xfId="0"/>
    <cellStyle name="표준 64 3 5" xfId="0"/>
    <cellStyle name="표준 64 4" xfId="0"/>
    <cellStyle name="표준 64 4 2" xfId="0"/>
    <cellStyle name="표준 64 4 3" xfId="0"/>
    <cellStyle name="표준 64 4 4" xfId="0"/>
    <cellStyle name="표준 64 4 5" xfId="0"/>
    <cellStyle name="표준 64 5" xfId="0"/>
    <cellStyle name="표준 64 5 2" xfId="0"/>
    <cellStyle name="표준 64 5 3" xfId="0"/>
    <cellStyle name="표준 64 5 4" xfId="0"/>
    <cellStyle name="표준 64 5 5" xfId="0"/>
    <cellStyle name="표준 64 6" xfId="0"/>
    <cellStyle name="표준 64 6 2" xfId="0"/>
    <cellStyle name="표준 64 6 3" xfId="0"/>
    <cellStyle name="표준 64 6 4" xfId="0"/>
    <cellStyle name="표준 64 6 5" xfId="0"/>
    <cellStyle name="표준 64 7" xfId="0"/>
    <cellStyle name="표준 64 8" xfId="0"/>
    <cellStyle name="표준 64 9" xfId="0"/>
    <cellStyle name="표준 640" xfId="0"/>
    <cellStyle name="표준 640 2" xfId="0"/>
    <cellStyle name="표준 641" xfId="0"/>
    <cellStyle name="표준 641 2" xfId="0"/>
    <cellStyle name="표준 642" xfId="0"/>
    <cellStyle name="표준 642 2" xfId="0"/>
    <cellStyle name="표준 643" xfId="0"/>
    <cellStyle name="표준 643 2" xfId="0"/>
    <cellStyle name="표준 644" xfId="0"/>
    <cellStyle name="표준 644 2" xfId="0"/>
    <cellStyle name="표준 645" xfId="0"/>
    <cellStyle name="표준 645 2" xfId="0"/>
    <cellStyle name="표준 646" xfId="0"/>
    <cellStyle name="표준 646 2" xfId="0"/>
    <cellStyle name="표준 647" xfId="0"/>
    <cellStyle name="표준 647 2" xfId="0"/>
    <cellStyle name="표준 648" xfId="0"/>
    <cellStyle name="표준 648 2" xfId="0"/>
    <cellStyle name="표준 649" xfId="0"/>
    <cellStyle name="표준 649 2" xfId="0"/>
    <cellStyle name="표준 65" xfId="0"/>
    <cellStyle name="표준 65 10" xfId="0"/>
    <cellStyle name="표준 65 10 2" xfId="0"/>
    <cellStyle name="표준 65 11" xfId="0"/>
    <cellStyle name="표준 65 12" xfId="0"/>
    <cellStyle name="표준 65 13" xfId="0"/>
    <cellStyle name="표준 65 14" xfId="0"/>
    <cellStyle name="표준 65 15" xfId="0"/>
    <cellStyle name="표준 65 16" xfId="0"/>
    <cellStyle name="표준 65 2" xfId="0"/>
    <cellStyle name="표준 65 3" xfId="0"/>
    <cellStyle name="표준 65 3 2" xfId="0"/>
    <cellStyle name="표준 65 3 3" xfId="0"/>
    <cellStyle name="표준 65 3 4" xfId="0"/>
    <cellStyle name="표준 65 3 5" xfId="0"/>
    <cellStyle name="표준 65 3 6" xfId="0"/>
    <cellStyle name="표준 65 4" xfId="0"/>
    <cellStyle name="표준 65 4 2" xfId="0"/>
    <cellStyle name="표준 65 4 3" xfId="0"/>
    <cellStyle name="표준 65 4 4" xfId="0"/>
    <cellStyle name="표준 65 4 5" xfId="0"/>
    <cellStyle name="표준 65 4 6" xfId="0"/>
    <cellStyle name="표준 65 5" xfId="0"/>
    <cellStyle name="표준 65 5 2" xfId="0"/>
    <cellStyle name="표준 65 5 3" xfId="0"/>
    <cellStyle name="표준 65 5 4" xfId="0"/>
    <cellStyle name="표준 65 5 5" xfId="0"/>
    <cellStyle name="표준 65 5 6" xfId="0"/>
    <cellStyle name="표준 65 6" xfId="0"/>
    <cellStyle name="표준 65 6 2" xfId="0"/>
    <cellStyle name="표준 65 6 3" xfId="0"/>
    <cellStyle name="표준 65 6 4" xfId="0"/>
    <cellStyle name="표준 65 6 5" xfId="0"/>
    <cellStyle name="표준 65 6 6" xfId="0"/>
    <cellStyle name="표준 65 7" xfId="0"/>
    <cellStyle name="표준 65 7 2" xfId="0"/>
    <cellStyle name="표준 65 8" xfId="0"/>
    <cellStyle name="표준 65 8 2" xfId="0"/>
    <cellStyle name="표준 65 9" xfId="0"/>
    <cellStyle name="표준 65 9 2" xfId="0"/>
    <cellStyle name="표준 650" xfId="0"/>
    <cellStyle name="표준 650 2" xfId="0"/>
    <cellStyle name="표준 651" xfId="0"/>
    <cellStyle name="표준 651 2" xfId="0"/>
    <cellStyle name="표준 652" xfId="0"/>
    <cellStyle name="표준 652 2" xfId="0"/>
    <cellStyle name="표준 653" xfId="0"/>
    <cellStyle name="표준 653 2" xfId="0"/>
    <cellStyle name="표준 654" xfId="0"/>
    <cellStyle name="표준 654 2" xfId="0"/>
    <cellStyle name="표준 655" xfId="0"/>
    <cellStyle name="표준 655 2" xfId="0"/>
    <cellStyle name="표준 656" xfId="0"/>
    <cellStyle name="표준 656 2" xfId="0"/>
    <cellStyle name="표준 657" xfId="0"/>
    <cellStyle name="표준 657 2" xfId="0"/>
    <cellStyle name="표준 658" xfId="0"/>
    <cellStyle name="표준 658 2" xfId="0"/>
    <cellStyle name="표준 659" xfId="0"/>
    <cellStyle name="표준 659 2" xfId="0"/>
    <cellStyle name="표준 66" xfId="0"/>
    <cellStyle name="표준 66 2" xfId="0"/>
    <cellStyle name="표준 66 2 2" xfId="0"/>
    <cellStyle name="표준 66 2 2 2" xfId="0"/>
    <cellStyle name="표준 66 2 2 3" xfId="0"/>
    <cellStyle name="표준 66 2 2 4" xfId="0"/>
    <cellStyle name="표준 66 2 2 5" xfId="0"/>
    <cellStyle name="표준 66 2 3" xfId="0"/>
    <cellStyle name="표준 66 2 3 2" xfId="0"/>
    <cellStyle name="표준 66 2 3 3" xfId="0"/>
    <cellStyle name="표준 66 2 3 4" xfId="0"/>
    <cellStyle name="표준 66 2 3 5" xfId="0"/>
    <cellStyle name="표준 66 2 4" xfId="0"/>
    <cellStyle name="표준 66 2 4 2" xfId="0"/>
    <cellStyle name="표준 66 2 4 3" xfId="0"/>
    <cellStyle name="표준 66 2 4 4" xfId="0"/>
    <cellStyle name="표준 66 2 4 5" xfId="0"/>
    <cellStyle name="표준 66 2 5" xfId="0"/>
    <cellStyle name="표준 66 2 5 2" xfId="0"/>
    <cellStyle name="표준 66 2 5 3" xfId="0"/>
    <cellStyle name="표준 66 2 5 4" xfId="0"/>
    <cellStyle name="표준 66 2 5 5" xfId="0"/>
    <cellStyle name="표준 66 2 6" xfId="0"/>
    <cellStyle name="표준 66 2 7" xfId="0"/>
    <cellStyle name="표준 66 2 8" xfId="0"/>
    <cellStyle name="표준 66 2 9" xfId="0"/>
    <cellStyle name="표준 66 3" xfId="0"/>
    <cellStyle name="표준 66 4" xfId="0"/>
    <cellStyle name="표준 66 5" xfId="0"/>
    <cellStyle name="표준 66 6" xfId="0"/>
    <cellStyle name="표준 66 7" xfId="0"/>
    <cellStyle name="표준 66 8" xfId="0"/>
    <cellStyle name="표준 660" xfId="0"/>
    <cellStyle name="표준 660 2" xfId="0"/>
    <cellStyle name="표준 661" xfId="0"/>
    <cellStyle name="표준 661 2" xfId="0"/>
    <cellStyle name="표준 662" xfId="0"/>
    <cellStyle name="표준 662 2" xfId="0"/>
    <cellStyle name="표준 663" xfId="0"/>
    <cellStyle name="표준 663 2" xfId="0"/>
    <cellStyle name="표준 664" xfId="0"/>
    <cellStyle name="표준 664 2" xfId="0"/>
    <cellStyle name="표준 665" xfId="0"/>
    <cellStyle name="표준 665 2" xfId="0"/>
    <cellStyle name="표준 666" xfId="0"/>
    <cellStyle name="표준 666 2" xfId="0"/>
    <cellStyle name="표준 667" xfId="0"/>
    <cellStyle name="표준 667 2" xfId="0"/>
    <cellStyle name="표준 668" xfId="0"/>
    <cellStyle name="표준 668 2" xfId="0"/>
    <cellStyle name="표준 669" xfId="0"/>
    <cellStyle name="표준 669 2" xfId="0"/>
    <cellStyle name="표준 67" xfId="0"/>
    <cellStyle name="표준 67 2" xfId="0"/>
    <cellStyle name="표준 670" xfId="0"/>
    <cellStyle name="표준 670 2" xfId="0"/>
    <cellStyle name="표준 671" xfId="0"/>
    <cellStyle name="표준 671 2" xfId="0"/>
    <cellStyle name="표준 672" xfId="0"/>
    <cellStyle name="표준 672 2" xfId="0"/>
    <cellStyle name="표준 673" xfId="0"/>
    <cellStyle name="표준 673 2" xfId="0"/>
    <cellStyle name="표준 674" xfId="0"/>
    <cellStyle name="표준 674 2" xfId="0"/>
    <cellStyle name="표준 675" xfId="0"/>
    <cellStyle name="표준 675 2" xfId="0"/>
    <cellStyle name="표준 676" xfId="0"/>
    <cellStyle name="표준 676 2" xfId="0"/>
    <cellStyle name="표준 677" xfId="0"/>
    <cellStyle name="표준 677 2" xfId="0"/>
    <cellStyle name="표준 678" xfId="0"/>
    <cellStyle name="표준 678 2" xfId="0"/>
    <cellStyle name="표준 679" xfId="0"/>
    <cellStyle name="표준 679 2" xfId="0"/>
    <cellStyle name="표준 68" xfId="0"/>
    <cellStyle name="표준 68 10" xfId="0"/>
    <cellStyle name="표준 68 11" xfId="0"/>
    <cellStyle name="표준 68 2" xfId="0"/>
    <cellStyle name="표준 68 3" xfId="0"/>
    <cellStyle name="표준 68 3 2" xfId="0"/>
    <cellStyle name="표준 68 3 3" xfId="0"/>
    <cellStyle name="표준 68 3 4" xfId="0"/>
    <cellStyle name="표준 68 3 5" xfId="0"/>
    <cellStyle name="표준 68 4" xfId="0"/>
    <cellStyle name="표준 68 4 2" xfId="0"/>
    <cellStyle name="표준 68 4 3" xfId="0"/>
    <cellStyle name="표준 68 4 4" xfId="0"/>
    <cellStyle name="표준 68 4 5" xfId="0"/>
    <cellStyle name="표준 68 5" xfId="0"/>
    <cellStyle name="표준 68 5 2" xfId="0"/>
    <cellStyle name="표준 68 5 3" xfId="0"/>
    <cellStyle name="표준 68 5 4" xfId="0"/>
    <cellStyle name="표준 68 5 5" xfId="0"/>
    <cellStyle name="표준 68 6" xfId="0"/>
    <cellStyle name="표준 68 6 2" xfId="0"/>
    <cellStyle name="표준 68 6 3" xfId="0"/>
    <cellStyle name="표준 68 6 4" xfId="0"/>
    <cellStyle name="표준 68 6 5" xfId="0"/>
    <cellStyle name="표준 68 7" xfId="0"/>
    <cellStyle name="표준 68 8" xfId="0"/>
    <cellStyle name="표준 68 9" xfId="0"/>
    <cellStyle name="표준 680" xfId="0"/>
    <cellStyle name="표준 680 2" xfId="0"/>
    <cellStyle name="표준 681" xfId="0"/>
    <cellStyle name="표준 681 2" xfId="0"/>
    <cellStyle name="표준 682" xfId="0"/>
    <cellStyle name="표준 682 2" xfId="0"/>
    <cellStyle name="표준 683" xfId="0"/>
    <cellStyle name="표준 683 2" xfId="0"/>
    <cellStyle name="표준 684" xfId="0"/>
    <cellStyle name="표준 684 2" xfId="0"/>
    <cellStyle name="표준 685" xfId="0"/>
    <cellStyle name="표준 685 2" xfId="0"/>
    <cellStyle name="표준 686" xfId="0"/>
    <cellStyle name="표준 686 2" xfId="0"/>
    <cellStyle name="표준 687" xfId="0"/>
    <cellStyle name="표준 687 2" xfId="0"/>
    <cellStyle name="표준 688" xfId="0"/>
    <cellStyle name="표준 688 2" xfId="0"/>
    <cellStyle name="표준 689" xfId="0"/>
    <cellStyle name="표준 689 2" xfId="0"/>
    <cellStyle name="표준 69" xfId="0"/>
    <cellStyle name="표준 690" xfId="0"/>
    <cellStyle name="표준 690 2" xfId="0"/>
    <cellStyle name="표준 691" xfId="0"/>
    <cellStyle name="표준 691 2" xfId="0"/>
    <cellStyle name="표준 692" xfId="0"/>
    <cellStyle name="표준 692 2" xfId="0"/>
    <cellStyle name="표준 693" xfId="0"/>
    <cellStyle name="표준 693 2" xfId="0"/>
    <cellStyle name="표준 694" xfId="0"/>
    <cellStyle name="표준 694 2" xfId="0"/>
    <cellStyle name="표준 695" xfId="0"/>
    <cellStyle name="표준 695 2" xfId="0"/>
    <cellStyle name="표준 696" xfId="0"/>
    <cellStyle name="표준 696 2" xfId="0"/>
    <cellStyle name="표준 697" xfId="0"/>
    <cellStyle name="표준 697 2" xfId="0"/>
    <cellStyle name="표준 698" xfId="0"/>
    <cellStyle name="표준 698 2" xfId="0"/>
    <cellStyle name="표준 699" xfId="0"/>
    <cellStyle name="표준 699 2" xfId="0"/>
    <cellStyle name="표준 7" xfId="0"/>
    <cellStyle name="표준 7 10" xfId="0"/>
    <cellStyle name="표준 7 10 10" xfId="0"/>
    <cellStyle name="표준 7 10 10 2" xfId="0"/>
    <cellStyle name="표준 7 10 11" xfId="0"/>
    <cellStyle name="표준 7 10 2" xfId="0"/>
    <cellStyle name="표준 7 10 2 2" xfId="0"/>
    <cellStyle name="표준 7 10 3" xfId="0"/>
    <cellStyle name="표준 7 10 3 2" xfId="0"/>
    <cellStyle name="표준 7 10 4" xfId="0"/>
    <cellStyle name="표준 7 10 4 2" xfId="0"/>
    <cellStyle name="표준 7 10 5" xfId="0"/>
    <cellStyle name="표준 7 10 5 2" xfId="0"/>
    <cellStyle name="표준 7 10 6" xfId="0"/>
    <cellStyle name="표준 7 10 6 2" xfId="0"/>
    <cellStyle name="표준 7 10 7" xfId="0"/>
    <cellStyle name="표준 7 10 7 2" xfId="0"/>
    <cellStyle name="표준 7 10 8" xfId="0"/>
    <cellStyle name="표준 7 10 8 2" xfId="0"/>
    <cellStyle name="표준 7 10 9" xfId="0"/>
    <cellStyle name="표준 7 10 9 2" xfId="0"/>
    <cellStyle name="표준 7 11" xfId="0"/>
    <cellStyle name="표준 7 11 10" xfId="0"/>
    <cellStyle name="표준 7 11 11" xfId="0"/>
    <cellStyle name="표준 7 11 2" xfId="0"/>
    <cellStyle name="표준 7 11 2 2" xfId="0"/>
    <cellStyle name="표준 7 11 3" xfId="0"/>
    <cellStyle name="표준 7 11 3 2" xfId="0"/>
    <cellStyle name="표준 7 11 4" xfId="0"/>
    <cellStyle name="표준 7 11 4 2" xfId="0"/>
    <cellStyle name="표준 7 11 5" xfId="0"/>
    <cellStyle name="표준 7 11 5 2" xfId="0"/>
    <cellStyle name="표준 7 11 6" xfId="0"/>
    <cellStyle name="표준 7 11 6 2" xfId="0"/>
    <cellStyle name="표준 7 11 7" xfId="0"/>
    <cellStyle name="표준 7 11 7 2" xfId="0"/>
    <cellStyle name="표준 7 11 8" xfId="0"/>
    <cellStyle name="표준 7 11 8 2" xfId="0"/>
    <cellStyle name="표준 7 11 9" xfId="0"/>
    <cellStyle name="표준 7 11 9 2" xfId="0"/>
    <cellStyle name="표준 7 12" xfId="0"/>
    <cellStyle name="표준 7 12 10" xfId="0"/>
    <cellStyle name="표준 7 12 2" xfId="0"/>
    <cellStyle name="표준 7 12 3" xfId="0"/>
    <cellStyle name="표준 7 12 4" xfId="0"/>
    <cellStyle name="표준 7 12 5" xfId="0"/>
    <cellStyle name="표준 7 12 6" xfId="0"/>
    <cellStyle name="표준 7 12 7" xfId="0"/>
    <cellStyle name="표준 7 12 8" xfId="0"/>
    <cellStyle name="표준 7 12 9" xfId="0"/>
    <cellStyle name="표준 7 13" xfId="0"/>
    <cellStyle name="표준 7 13 2" xfId="0"/>
    <cellStyle name="표준 7 13 3" xfId="0"/>
    <cellStyle name="표준 7 13 4" xfId="0"/>
    <cellStyle name="표준 7 13 5" xfId="0"/>
    <cellStyle name="표준 7 13 6" xfId="0"/>
    <cellStyle name="표준 7 13 7" xfId="0"/>
    <cellStyle name="표준 7 14" xfId="0"/>
    <cellStyle name="표준 7 14 2" xfId="0"/>
    <cellStyle name="표준 7 14 3" xfId="0"/>
    <cellStyle name="표준 7 14 4" xfId="0"/>
    <cellStyle name="표준 7 14 5" xfId="0"/>
    <cellStyle name="표준 7 14 6" xfId="0"/>
    <cellStyle name="표준 7 15" xfId="0"/>
    <cellStyle name="표준 7 15 2" xfId="0"/>
    <cellStyle name="표준 7 15 3" xfId="0"/>
    <cellStyle name="표준 7 15 4" xfId="0"/>
    <cellStyle name="표준 7 15 5" xfId="0"/>
    <cellStyle name="표준 7 15 6" xfId="0"/>
    <cellStyle name="표준 7 16" xfId="0"/>
    <cellStyle name="표준 7 16 10" xfId="0"/>
    <cellStyle name="표준 7 16 2" xfId="0"/>
    <cellStyle name="표준 7 16 2 2" xfId="0"/>
    <cellStyle name="표준 7 16 2 3" xfId="0"/>
    <cellStyle name="표준 7 16 2 4" xfId="0"/>
    <cellStyle name="표준 7 16 2 5" xfId="0"/>
    <cellStyle name="표준 7 16 3" xfId="0"/>
    <cellStyle name="표준 7 16 3 2" xfId="0"/>
    <cellStyle name="표준 7 16 3 3" xfId="0"/>
    <cellStyle name="표준 7 16 3 4" xfId="0"/>
    <cellStyle name="표준 7 16 3 5" xfId="0"/>
    <cellStyle name="표준 7 16 4" xfId="0"/>
    <cellStyle name="표준 7 16 4 2" xfId="0"/>
    <cellStyle name="표준 7 16 4 3" xfId="0"/>
    <cellStyle name="표준 7 16 4 4" xfId="0"/>
    <cellStyle name="표준 7 16 4 5" xfId="0"/>
    <cellStyle name="표준 7 16 5" xfId="0"/>
    <cellStyle name="표준 7 16 5 2" xfId="0"/>
    <cellStyle name="표준 7 16 5 3" xfId="0"/>
    <cellStyle name="표준 7 16 5 4" xfId="0"/>
    <cellStyle name="표준 7 16 5 5" xfId="0"/>
    <cellStyle name="표준 7 16 6" xfId="0"/>
    <cellStyle name="표준 7 16 7" xfId="0"/>
    <cellStyle name="표준 7 16 8" xfId="0"/>
    <cellStyle name="표준 7 16 9" xfId="0"/>
    <cellStyle name="표준 7 17" xfId="0"/>
    <cellStyle name="표준 7 17 2" xfId="0"/>
    <cellStyle name="표준 7 18" xfId="0"/>
    <cellStyle name="표준 7 18 2" xfId="0"/>
    <cellStyle name="표준 7 19" xfId="0"/>
    <cellStyle name="표준 7 19 2" xfId="0"/>
    <cellStyle name="표준 7 2" xfId="0"/>
    <cellStyle name="표준 7 2 10" xfId="0"/>
    <cellStyle name="표준 7 2 10 2" xfId="0"/>
    <cellStyle name="표준 7 2 11" xfId="0"/>
    <cellStyle name="표준 7 2 12" xfId="0"/>
    <cellStyle name="표준 7 2 2" xfId="0"/>
    <cellStyle name="표준 7 2 2 2" xfId="0"/>
    <cellStyle name="표준 7 2 3" xfId="0"/>
    <cellStyle name="표준 7 2 3 2" xfId="0"/>
    <cellStyle name="표준 7 2 4" xfId="0"/>
    <cellStyle name="표준 7 2 4 2" xfId="0"/>
    <cellStyle name="표준 7 2 5" xfId="0"/>
    <cellStyle name="표준 7 2 5 2" xfId="0"/>
    <cellStyle name="표준 7 2 6" xfId="0"/>
    <cellStyle name="표준 7 2 6 2" xfId="0"/>
    <cellStyle name="표준 7 2 7" xfId="0"/>
    <cellStyle name="표준 7 2 7 2" xfId="0"/>
    <cellStyle name="표준 7 2 8" xfId="0"/>
    <cellStyle name="표준 7 2 8 2" xfId="0"/>
    <cellStyle name="표준 7 2 9" xfId="0"/>
    <cellStyle name="표준 7 2 9 2" xfId="0"/>
    <cellStyle name="표준 7 20" xfId="0"/>
    <cellStyle name="표준 7 20 2" xfId="0"/>
    <cellStyle name="표준 7 21" xfId="0"/>
    <cellStyle name="표준 7 22" xfId="0"/>
    <cellStyle name="표준 7 23" xfId="0"/>
    <cellStyle name="표준 7 24" xfId="0"/>
    <cellStyle name="표준 7 25" xfId="0"/>
    <cellStyle name="표준 7 26" xfId="0"/>
    <cellStyle name="표준 7 27" xfId="0"/>
    <cellStyle name="표준 7 28" xfId="0"/>
    <cellStyle name="표준 7 3" xfId="0"/>
    <cellStyle name="표준 7 3 10" xfId="0"/>
    <cellStyle name="표준 7 3 10 2" xfId="0"/>
    <cellStyle name="표준 7 3 11" xfId="0"/>
    <cellStyle name="표준 7 3 2" xfId="0"/>
    <cellStyle name="표준 7 3 2 2" xfId="0"/>
    <cellStyle name="표준 7 3 3" xfId="0"/>
    <cellStyle name="표준 7 3 3 2" xfId="0"/>
    <cellStyle name="표준 7 3 4" xfId="0"/>
    <cellStyle name="표준 7 3 4 2" xfId="0"/>
    <cellStyle name="표준 7 3 5" xfId="0"/>
    <cellStyle name="표준 7 3 5 2" xfId="0"/>
    <cellStyle name="표준 7 3 6" xfId="0"/>
    <cellStyle name="표준 7 3 6 2" xfId="0"/>
    <cellStyle name="표준 7 3 7" xfId="0"/>
    <cellStyle name="표준 7 3 7 2" xfId="0"/>
    <cellStyle name="표준 7 3 8" xfId="0"/>
    <cellStyle name="표준 7 3 8 2" xfId="0"/>
    <cellStyle name="표준 7 3 9" xfId="0"/>
    <cellStyle name="표준 7 3 9 2" xfId="0"/>
    <cellStyle name="표준 7 4" xfId="0"/>
    <cellStyle name="표준 7 4 10" xfId="0"/>
    <cellStyle name="표준 7 4 10 2" xfId="0"/>
    <cellStyle name="표준 7 4 11" xfId="0"/>
    <cellStyle name="표준 7 4 2" xfId="0"/>
    <cellStyle name="표준 7 4 2 2" xfId="0"/>
    <cellStyle name="표준 7 4 3" xfId="0"/>
    <cellStyle name="표준 7 4 3 2" xfId="0"/>
    <cellStyle name="표준 7 4 4" xfId="0"/>
    <cellStyle name="표준 7 4 4 2" xfId="0"/>
    <cellStyle name="표준 7 4 5" xfId="0"/>
    <cellStyle name="표준 7 4 5 2" xfId="0"/>
    <cellStyle name="표준 7 4 6" xfId="0"/>
    <cellStyle name="표준 7 4 6 2" xfId="0"/>
    <cellStyle name="표준 7 4 7" xfId="0"/>
    <cellStyle name="표준 7 4 7 2" xfId="0"/>
    <cellStyle name="표준 7 4 8" xfId="0"/>
    <cellStyle name="표준 7 4 8 2" xfId="0"/>
    <cellStyle name="표준 7 4 9" xfId="0"/>
    <cellStyle name="표준 7 4 9 2" xfId="0"/>
    <cellStyle name="표준 7 5" xfId="0"/>
    <cellStyle name="표준 7 5 10" xfId="0"/>
    <cellStyle name="표준 7 5 10 2" xfId="0"/>
    <cellStyle name="표준 7 5 11" xfId="0"/>
    <cellStyle name="표준 7 5 2" xfId="0"/>
    <cellStyle name="표준 7 5 2 2" xfId="0"/>
    <cellStyle name="표준 7 5 3" xfId="0"/>
    <cellStyle name="표준 7 5 3 2" xfId="0"/>
    <cellStyle name="표준 7 5 4" xfId="0"/>
    <cellStyle name="표준 7 5 4 2" xfId="0"/>
    <cellStyle name="표준 7 5 5" xfId="0"/>
    <cellStyle name="표준 7 5 5 2" xfId="0"/>
    <cellStyle name="표준 7 5 6" xfId="0"/>
    <cellStyle name="표준 7 5 6 2" xfId="0"/>
    <cellStyle name="표준 7 5 7" xfId="0"/>
    <cellStyle name="표준 7 5 7 2" xfId="0"/>
    <cellStyle name="표준 7 5 8" xfId="0"/>
    <cellStyle name="표준 7 5 8 2" xfId="0"/>
    <cellStyle name="표준 7 5 9" xfId="0"/>
    <cellStyle name="표준 7 5 9 2" xfId="0"/>
    <cellStyle name="표준 7 6" xfId="0"/>
    <cellStyle name="표준 7 6 10" xfId="0"/>
    <cellStyle name="표준 7 6 10 2" xfId="0"/>
    <cellStyle name="표준 7 6 11" xfId="0"/>
    <cellStyle name="표준 7 6 2" xfId="0"/>
    <cellStyle name="표준 7 6 2 2" xfId="0"/>
    <cellStyle name="표준 7 6 3" xfId="0"/>
    <cellStyle name="표준 7 6 3 2" xfId="0"/>
    <cellStyle name="표준 7 6 4" xfId="0"/>
    <cellStyle name="표준 7 6 4 2" xfId="0"/>
    <cellStyle name="표준 7 6 5" xfId="0"/>
    <cellStyle name="표준 7 6 5 2" xfId="0"/>
    <cellStyle name="표준 7 6 6" xfId="0"/>
    <cellStyle name="표준 7 6 6 2" xfId="0"/>
    <cellStyle name="표준 7 6 7" xfId="0"/>
    <cellStyle name="표준 7 6 7 2" xfId="0"/>
    <cellStyle name="표준 7 6 8" xfId="0"/>
    <cellStyle name="표준 7 6 8 2" xfId="0"/>
    <cellStyle name="표준 7 6 9" xfId="0"/>
    <cellStyle name="표준 7 6 9 2" xfId="0"/>
    <cellStyle name="표준 7 7" xfId="0"/>
    <cellStyle name="표준 7 7 10" xfId="0"/>
    <cellStyle name="표준 7 7 10 2" xfId="0"/>
    <cellStyle name="표준 7 7 11" xfId="0"/>
    <cellStyle name="표준 7 7 2" xfId="0"/>
    <cellStyle name="표준 7 7 2 2" xfId="0"/>
    <cellStyle name="표준 7 7 3" xfId="0"/>
    <cellStyle name="표준 7 7 3 2" xfId="0"/>
    <cellStyle name="표준 7 7 4" xfId="0"/>
    <cellStyle name="표준 7 7 4 2" xfId="0"/>
    <cellStyle name="표준 7 7 5" xfId="0"/>
    <cellStyle name="표준 7 7 5 2" xfId="0"/>
    <cellStyle name="표준 7 7 6" xfId="0"/>
    <cellStyle name="표준 7 7 6 2" xfId="0"/>
    <cellStyle name="표준 7 7 7" xfId="0"/>
    <cellStyle name="표준 7 7 7 2" xfId="0"/>
    <cellStyle name="표준 7 7 8" xfId="0"/>
    <cellStyle name="표준 7 7 8 2" xfId="0"/>
    <cellStyle name="표준 7 7 9" xfId="0"/>
    <cellStyle name="표준 7 7 9 2" xfId="0"/>
    <cellStyle name="표준 7 8" xfId="0"/>
    <cellStyle name="표준 7 8 10" xfId="0"/>
    <cellStyle name="표준 7 8 10 2" xfId="0"/>
    <cellStyle name="표준 7 8 11" xfId="0"/>
    <cellStyle name="표준 7 8 2" xfId="0"/>
    <cellStyle name="표준 7 8 2 2" xfId="0"/>
    <cellStyle name="표준 7 8 3" xfId="0"/>
    <cellStyle name="표준 7 8 3 2" xfId="0"/>
    <cellStyle name="표준 7 8 4" xfId="0"/>
    <cellStyle name="표준 7 8 4 2" xfId="0"/>
    <cellStyle name="표준 7 8 5" xfId="0"/>
    <cellStyle name="표준 7 8 5 2" xfId="0"/>
    <cellStyle name="표준 7 8 6" xfId="0"/>
    <cellStyle name="표준 7 8 6 2" xfId="0"/>
    <cellStyle name="표준 7 8 7" xfId="0"/>
    <cellStyle name="표준 7 8 7 2" xfId="0"/>
    <cellStyle name="표준 7 8 8" xfId="0"/>
    <cellStyle name="표준 7 8 8 2" xfId="0"/>
    <cellStyle name="표준 7 8 9" xfId="0"/>
    <cellStyle name="표준 7 8 9 2" xfId="0"/>
    <cellStyle name="표준 7 9" xfId="0"/>
    <cellStyle name="표준 7 9 10" xfId="0"/>
    <cellStyle name="표준 7 9 10 2" xfId="0"/>
    <cellStyle name="표준 7 9 11" xfId="0"/>
    <cellStyle name="표준 7 9 2" xfId="0"/>
    <cellStyle name="표준 7 9 2 2" xfId="0"/>
    <cellStyle name="표준 7 9 3" xfId="0"/>
    <cellStyle name="표준 7 9 3 2" xfId="0"/>
    <cellStyle name="표준 7 9 4" xfId="0"/>
    <cellStyle name="표준 7 9 4 2" xfId="0"/>
    <cellStyle name="표준 7 9 5" xfId="0"/>
    <cellStyle name="표준 7 9 5 2" xfId="0"/>
    <cellStyle name="표준 7 9 6" xfId="0"/>
    <cellStyle name="표준 7 9 6 2" xfId="0"/>
    <cellStyle name="표준 7 9 7" xfId="0"/>
    <cellStyle name="표준 7 9 7 2" xfId="0"/>
    <cellStyle name="표준 7 9 8" xfId="0"/>
    <cellStyle name="표준 7 9 8 2" xfId="0"/>
    <cellStyle name="표준 7 9 9" xfId="0"/>
    <cellStyle name="표준 7 9 9 2" xfId="0"/>
    <cellStyle name="표준 70" xfId="0"/>
    <cellStyle name="표준 70 10" xfId="0"/>
    <cellStyle name="표준 70 11" xfId="0"/>
    <cellStyle name="표준 70 12" xfId="0"/>
    <cellStyle name="표준 70 13" xfId="0"/>
    <cellStyle name="표준 70 14" xfId="0"/>
    <cellStyle name="표준 70 15" xfId="0"/>
    <cellStyle name="표준 70 16" xfId="0"/>
    <cellStyle name="표준 70 17" xfId="0"/>
    <cellStyle name="표준 70 18" xfId="0"/>
    <cellStyle name="표준 70 19" xfId="0"/>
    <cellStyle name="표준 70 2" xfId="0"/>
    <cellStyle name="표준 70 2 2" xfId="0"/>
    <cellStyle name="표준 70 3" xfId="0"/>
    <cellStyle name="표준 70 3 2" xfId="0"/>
    <cellStyle name="표준 70 4" xfId="0"/>
    <cellStyle name="표준 70 4 2" xfId="0"/>
    <cellStyle name="표준 70 5" xfId="0"/>
    <cellStyle name="표준 70 5 2" xfId="0"/>
    <cellStyle name="표준 70 6" xfId="0"/>
    <cellStyle name="표준 70 6 2" xfId="0"/>
    <cellStyle name="표준 70 7" xfId="0"/>
    <cellStyle name="표준 70 7 2" xfId="0"/>
    <cellStyle name="표준 70 8" xfId="0"/>
    <cellStyle name="표준 70 9" xfId="0"/>
    <cellStyle name="표준 700" xfId="0"/>
    <cellStyle name="표준 700 2" xfId="0"/>
    <cellStyle name="표준 701" xfId="0"/>
    <cellStyle name="표준 701 2" xfId="0"/>
    <cellStyle name="표준 702" xfId="0"/>
    <cellStyle name="표준 702 2" xfId="0"/>
    <cellStyle name="표준 703" xfId="0"/>
    <cellStyle name="표준 703 2" xfId="0"/>
    <cellStyle name="표준 704" xfId="0"/>
    <cellStyle name="표준 704 2" xfId="0"/>
    <cellStyle name="표준 705" xfId="0"/>
    <cellStyle name="표준 705 2" xfId="0"/>
    <cellStyle name="표준 706" xfId="0"/>
    <cellStyle name="표준 706 2" xfId="0"/>
    <cellStyle name="표준 707" xfId="0"/>
    <cellStyle name="표준 707 2" xfId="0"/>
    <cellStyle name="표준 708" xfId="0"/>
    <cellStyle name="표준 708 2" xfId="0"/>
    <cellStyle name="표준 709" xfId="0"/>
    <cellStyle name="표준 709 2" xfId="0"/>
    <cellStyle name="표준 71" xfId="0"/>
    <cellStyle name="표준 71 2" xfId="0"/>
    <cellStyle name="표준 710" xfId="0"/>
    <cellStyle name="표준 710 2" xfId="0"/>
    <cellStyle name="표준 711" xfId="0"/>
    <cellStyle name="표준 711 2" xfId="0"/>
    <cellStyle name="표준 712" xfId="0"/>
    <cellStyle name="표준 712 2" xfId="0"/>
    <cellStyle name="표준 713" xfId="0"/>
    <cellStyle name="표준 713 2" xfId="0"/>
    <cellStyle name="표준 714" xfId="0"/>
    <cellStyle name="표준 714 2" xfId="0"/>
    <cellStyle name="표준 715" xfId="0"/>
    <cellStyle name="표준 715 2" xfId="0"/>
    <cellStyle name="표준 716" xfId="0"/>
    <cellStyle name="표준 716 2" xfId="0"/>
    <cellStyle name="표준 717" xfId="0"/>
    <cellStyle name="표준 717 2" xfId="0"/>
    <cellStyle name="표준 718" xfId="0"/>
    <cellStyle name="표준 718 2" xfId="0"/>
    <cellStyle name="표준 719" xfId="0"/>
    <cellStyle name="표준 719 2" xfId="0"/>
    <cellStyle name="표준 72" xfId="0"/>
    <cellStyle name="표준 72 2" xfId="0"/>
    <cellStyle name="표준 720" xfId="0"/>
    <cellStyle name="표준 720 2" xfId="0"/>
    <cellStyle name="표준 721" xfId="0"/>
    <cellStyle name="표준 721 2" xfId="0"/>
    <cellStyle name="표준 722" xfId="0"/>
    <cellStyle name="표준 722 2" xfId="0"/>
    <cellStyle name="표준 723" xfId="0"/>
    <cellStyle name="표준 723 2" xfId="0"/>
    <cellStyle name="표준 724" xfId="0"/>
    <cellStyle name="표준 724 2" xfId="0"/>
    <cellStyle name="표준 725" xfId="0"/>
    <cellStyle name="표준 725 2" xfId="0"/>
    <cellStyle name="표준 726" xfId="0"/>
    <cellStyle name="표준 726 2" xfId="0"/>
    <cellStyle name="표준 727" xfId="0"/>
    <cellStyle name="표준 727 2" xfId="0"/>
    <cellStyle name="표준 728" xfId="0"/>
    <cellStyle name="표준 728 2" xfId="0"/>
    <cellStyle name="표준 729" xfId="0"/>
    <cellStyle name="표준 729 2" xfId="0"/>
    <cellStyle name="표준 73" xfId="0"/>
    <cellStyle name="표준 73 2" xfId="0"/>
    <cellStyle name="표준 730" xfId="0"/>
    <cellStyle name="표준 730 2" xfId="0"/>
    <cellStyle name="표준 731" xfId="0"/>
    <cellStyle name="표준 731 2" xfId="0"/>
    <cellStyle name="표준 732" xfId="0"/>
    <cellStyle name="표준 732 2" xfId="0"/>
    <cellStyle name="표준 733" xfId="0"/>
    <cellStyle name="표준 733 2" xfId="0"/>
    <cellStyle name="표준 734" xfId="0"/>
    <cellStyle name="표준 734 2" xfId="0"/>
    <cellStyle name="표준 735" xfId="0"/>
    <cellStyle name="표준 735 2" xfId="0"/>
    <cellStyle name="표준 736" xfId="0"/>
    <cellStyle name="표준 736 2" xfId="0"/>
    <cellStyle name="표준 737" xfId="0"/>
    <cellStyle name="표준 737 2" xfId="0"/>
    <cellStyle name="표준 738" xfId="0"/>
    <cellStyle name="표준 738 2" xfId="0"/>
    <cellStyle name="표준 739" xfId="0"/>
    <cellStyle name="표준 739 2" xfId="0"/>
    <cellStyle name="표준 74" xfId="0"/>
    <cellStyle name="표준 74 10" xfId="0"/>
    <cellStyle name="표준 74 11" xfId="0"/>
    <cellStyle name="표준 74 12" xfId="0"/>
    <cellStyle name="표준 74 13" xfId="0"/>
    <cellStyle name="표준 74 14" xfId="0"/>
    <cellStyle name="표준 74 15" xfId="0"/>
    <cellStyle name="표준 74 16" xfId="0"/>
    <cellStyle name="표준 74 17" xfId="0"/>
    <cellStyle name="표준 74 18" xfId="0"/>
    <cellStyle name="표준 74 2" xfId="0"/>
    <cellStyle name="표준 74 2 2" xfId="0"/>
    <cellStyle name="표준 74 3" xfId="0"/>
    <cellStyle name="표준 74 3 2" xfId="0"/>
    <cellStyle name="표준 74 4" xfId="0"/>
    <cellStyle name="표준 74 4 2" xfId="0"/>
    <cellStyle name="표준 74 5" xfId="0"/>
    <cellStyle name="표준 74 5 2" xfId="0"/>
    <cellStyle name="표준 74 6" xfId="0"/>
    <cellStyle name="표준 74 6 2" xfId="0"/>
    <cellStyle name="표준 74 7" xfId="0"/>
    <cellStyle name="표준 74 7 2" xfId="0"/>
    <cellStyle name="표준 74 8" xfId="0"/>
    <cellStyle name="표준 74 9" xfId="0"/>
    <cellStyle name="표준 740" xfId="0"/>
    <cellStyle name="표준 740 2" xfId="0"/>
    <cellStyle name="표준 741" xfId="0"/>
    <cellStyle name="표준 741 2" xfId="0"/>
    <cellStyle name="표준 742" xfId="0"/>
    <cellStyle name="표준 742 2" xfId="0"/>
    <cellStyle name="표준 743" xfId="0"/>
    <cellStyle name="표준 743 2" xfId="0"/>
    <cellStyle name="표준 744" xfId="0"/>
    <cellStyle name="표준 744 2" xfId="0"/>
    <cellStyle name="표준 745" xfId="0"/>
    <cellStyle name="표준 745 2" xfId="0"/>
    <cellStyle name="표준 746" xfId="0"/>
    <cellStyle name="표준 746 2" xfId="0"/>
    <cellStyle name="표준 747" xfId="0"/>
    <cellStyle name="표준 748" xfId="0"/>
    <cellStyle name="표준 748 2" xfId="0"/>
    <cellStyle name="표준 749" xfId="0"/>
    <cellStyle name="표준 75" xfId="0"/>
    <cellStyle name="표준 75 10" xfId="0"/>
    <cellStyle name="표준 75 11" xfId="0"/>
    <cellStyle name="표준 75 12" xfId="0"/>
    <cellStyle name="표준 75 13" xfId="0"/>
    <cellStyle name="표준 75 14" xfId="0"/>
    <cellStyle name="표준 75 15" xfId="0"/>
    <cellStyle name="표준 75 16" xfId="0"/>
    <cellStyle name="표준 75 17" xfId="0"/>
    <cellStyle name="표준 75 18" xfId="0"/>
    <cellStyle name="표준 75 2" xfId="0"/>
    <cellStyle name="표준 75 2 2" xfId="0"/>
    <cellStyle name="표준 75 3" xfId="0"/>
    <cellStyle name="표준 75 3 2" xfId="0"/>
    <cellStyle name="표준 75 4" xfId="0"/>
    <cellStyle name="표준 75 4 2" xfId="0"/>
    <cellStyle name="표준 75 5" xfId="0"/>
    <cellStyle name="표준 75 5 2" xfId="0"/>
    <cellStyle name="표준 75 6" xfId="0"/>
    <cellStyle name="표준 75 6 2" xfId="0"/>
    <cellStyle name="표준 75 7" xfId="0"/>
    <cellStyle name="표준 75 7 2" xfId="0"/>
    <cellStyle name="표준 75 8" xfId="0"/>
    <cellStyle name="표준 75 8 2" xfId="0"/>
    <cellStyle name="표준 75 9" xfId="0"/>
    <cellStyle name="표준 750" xfId="0"/>
    <cellStyle name="표준 751" xfId="0"/>
    <cellStyle name="표준 752" xfId="0"/>
    <cellStyle name="표준 753" xfId="0"/>
    <cellStyle name="표준 754" xfId="0"/>
    <cellStyle name="표준 755" xfId="0"/>
    <cellStyle name="표준 756" xfId="0"/>
    <cellStyle name="표준 757" xfId="0"/>
    <cellStyle name="표준 758" xfId="0"/>
    <cellStyle name="표준 759" xfId="0"/>
    <cellStyle name="표준 76" xfId="0"/>
    <cellStyle name="표준 76 10" xfId="0"/>
    <cellStyle name="표준 76 11" xfId="0"/>
    <cellStyle name="표준 76 12" xfId="0"/>
    <cellStyle name="표준 76 13" xfId="0"/>
    <cellStyle name="표준 76 14" xfId="0"/>
    <cellStyle name="표준 76 15" xfId="0"/>
    <cellStyle name="표준 76 16" xfId="0"/>
    <cellStyle name="표준 76 17" xfId="0"/>
    <cellStyle name="표준 76 18" xfId="0"/>
    <cellStyle name="표준 76 2" xfId="0"/>
    <cellStyle name="표준 76 2 2" xfId="0"/>
    <cellStyle name="표준 76 3" xfId="0"/>
    <cellStyle name="표준 76 3 2" xfId="0"/>
    <cellStyle name="표준 76 4" xfId="0"/>
    <cellStyle name="표준 76 4 2" xfId="0"/>
    <cellStyle name="표준 76 5" xfId="0"/>
    <cellStyle name="표준 76 5 2" xfId="0"/>
    <cellStyle name="표준 76 6" xfId="0"/>
    <cellStyle name="표준 76 6 2" xfId="0"/>
    <cellStyle name="표준 76 7" xfId="0"/>
    <cellStyle name="표준 76 7 2" xfId="0"/>
    <cellStyle name="표준 76 8" xfId="0"/>
    <cellStyle name="표준 76 9" xfId="0"/>
    <cellStyle name="표준 760" xfId="0"/>
    <cellStyle name="표준 761" xfId="0"/>
    <cellStyle name="표준 762" xfId="0"/>
    <cellStyle name="표준 763" xfId="0"/>
    <cellStyle name="표준 764" xfId="0"/>
    <cellStyle name="표준 765" xfId="0"/>
    <cellStyle name="표준 766" xfId="0"/>
    <cellStyle name="표준 767" xfId="0"/>
    <cellStyle name="표준 768" xfId="0"/>
    <cellStyle name="표준 769" xfId="0"/>
    <cellStyle name="표준 77" xfId="0"/>
    <cellStyle name="표준 77 2" xfId="0"/>
    <cellStyle name="표준 770" xfId="0"/>
    <cellStyle name="표준 771" xfId="0"/>
    <cellStyle name="표준 772" xfId="0"/>
    <cellStyle name="표준 773" xfId="0"/>
    <cellStyle name="표준 774" xfId="0"/>
    <cellStyle name="표준 775" xfId="0"/>
    <cellStyle name="표준 776" xfId="0"/>
    <cellStyle name="표준 777" xfId="0"/>
    <cellStyle name="표준 778" xfId="0"/>
    <cellStyle name="표준 779" xfId="0"/>
    <cellStyle name="표준 78" xfId="0"/>
    <cellStyle name="표준 78 2" xfId="0"/>
    <cellStyle name="표준 780" xfId="0"/>
    <cellStyle name="표준 781" xfId="0"/>
    <cellStyle name="표준 782" xfId="0"/>
    <cellStyle name="표준 783" xfId="0"/>
    <cellStyle name="표준 784" xfId="0"/>
    <cellStyle name="표준 785" xfId="0"/>
    <cellStyle name="표준 786" xfId="0"/>
    <cellStyle name="표준 787" xfId="0"/>
    <cellStyle name="표준 788" xfId="0"/>
    <cellStyle name="표준 789" xfId="0"/>
    <cellStyle name="표준 79" xfId="0"/>
    <cellStyle name="표준 79 10" xfId="0"/>
    <cellStyle name="표준 79 11" xfId="0"/>
    <cellStyle name="표준 79 12" xfId="0"/>
    <cellStyle name="표준 79 13" xfId="0"/>
    <cellStyle name="표준 79 14" xfId="0"/>
    <cellStyle name="표준 79 15" xfId="0"/>
    <cellStyle name="표준 79 2" xfId="0"/>
    <cellStyle name="표준 79 3" xfId="0"/>
    <cellStyle name="표준 79 4" xfId="0"/>
    <cellStyle name="표준 79 5" xfId="0"/>
    <cellStyle name="표준 79 6" xfId="0"/>
    <cellStyle name="표준 79 7" xfId="0"/>
    <cellStyle name="표준 79 8" xfId="0"/>
    <cellStyle name="표준 79 9" xfId="0"/>
    <cellStyle name="표준 790" xfId="0"/>
    <cellStyle name="표준 791" xfId="0"/>
    <cellStyle name="표준 792" xfId="0"/>
    <cellStyle name="표준 793" xfId="0"/>
    <cellStyle name="표준 794" xfId="0"/>
    <cellStyle name="표준 795" xfId="0"/>
    <cellStyle name="표준 796" xfId="0"/>
    <cellStyle name="표준 797" xfId="0"/>
    <cellStyle name="표준 798" xfId="0"/>
    <cellStyle name="표준 799" xfId="0"/>
    <cellStyle name="표준 8" xfId="0"/>
    <cellStyle name="표준 8 10" xfId="0"/>
    <cellStyle name="표준 8 10 2" xfId="0"/>
    <cellStyle name="표준 8 11" xfId="0"/>
    <cellStyle name="표준 8 11 2" xfId="0"/>
    <cellStyle name="표준 8 12" xfId="0"/>
    <cellStyle name="표준 8 12 2" xfId="0"/>
    <cellStyle name="표준 8 13" xfId="0"/>
    <cellStyle name="표준 8 13 2" xfId="0"/>
    <cellStyle name="표준 8 14" xfId="0"/>
    <cellStyle name="표준 8 14 2" xfId="0"/>
    <cellStyle name="표준 8 15" xfId="0"/>
    <cellStyle name="표준 8 16" xfId="0"/>
    <cellStyle name="표준 8 17" xfId="0"/>
    <cellStyle name="표준 8 18" xfId="0"/>
    <cellStyle name="표준 8 19" xfId="0"/>
    <cellStyle name="표준 8 2" xfId="0"/>
    <cellStyle name="표준 8 2 10" xfId="0"/>
    <cellStyle name="표준 8 2 10 2" xfId="0"/>
    <cellStyle name="표준 8 2 11" xfId="0"/>
    <cellStyle name="표준 8 2 2" xfId="0"/>
    <cellStyle name="표준 8 2 2 10" xfId="0"/>
    <cellStyle name="표준 8 2 2 11" xfId="0"/>
    <cellStyle name="표준 8 2 2 12" xfId="0"/>
    <cellStyle name="표준 8 2 2 2" xfId="0"/>
    <cellStyle name="표준 8 2 2 2 2" xfId="0"/>
    <cellStyle name="표준 8 2 2 3" xfId="0"/>
    <cellStyle name="표준 8 2 2 3 2" xfId="0"/>
    <cellStyle name="표준 8 2 2 3 2 2" xfId="0"/>
    <cellStyle name="표준 8 2 2 3 2 2 2" xfId="0"/>
    <cellStyle name="표준 8 2 2 3 2 2 2 2" xfId="0"/>
    <cellStyle name="표준 8 2 2 3 2 2 2 2 2" xfId="0"/>
    <cellStyle name="표준 8 2 2 3 2 2 2 2 2 2" xfId="0"/>
    <cellStyle name="표준 8 2 2 3 2 2 2 2 2 2 2" xfId="0"/>
    <cellStyle name="표준 8 2 2 3 2 2 2 2 2 2 2 2" xfId="0"/>
    <cellStyle name="표준 8 2 2 3 2 2 2 2 2 2 2 2 2" xfId="0"/>
    <cellStyle name="표준 8 2 2 3 3" xfId="0"/>
    <cellStyle name="표준 8 2 2 4" xfId="0"/>
    <cellStyle name="표준 8 2 2 5" xfId="0"/>
    <cellStyle name="표준 8 2 2 6" xfId="0"/>
    <cellStyle name="표준 8 2 2 7" xfId="0"/>
    <cellStyle name="표준 8 2 2 8" xfId="0"/>
    <cellStyle name="표준 8 2 2 9" xfId="0"/>
    <cellStyle name="표준 8 2 3" xfId="0"/>
    <cellStyle name="표준 8 2 3 2" xfId="0"/>
    <cellStyle name="표준 8 2 3 3" xfId="0"/>
    <cellStyle name="표준 8 2 4" xfId="0"/>
    <cellStyle name="표준 8 2 4 2" xfId="0"/>
    <cellStyle name="표준 8 2 4 3" xfId="0"/>
    <cellStyle name="표준 8 2 5" xfId="0"/>
    <cellStyle name="표준 8 2 5 2" xfId="0"/>
    <cellStyle name="표준 8 2 6" xfId="0"/>
    <cellStyle name="표준 8 2 6 2" xfId="0"/>
    <cellStyle name="표준 8 2 7" xfId="0"/>
    <cellStyle name="표준 8 2 7 2" xfId="0"/>
    <cellStyle name="표준 8 2 8" xfId="0"/>
    <cellStyle name="표준 8 2 8 2" xfId="0"/>
    <cellStyle name="표준 8 2 9" xfId="0"/>
    <cellStyle name="표준 8 2 9 2" xfId="0"/>
    <cellStyle name="표준 8 20" xfId="0"/>
    <cellStyle name="표준 8 21" xfId="0"/>
    <cellStyle name="표준 8 22" xfId="0"/>
    <cellStyle name="표준 8 23" xfId="0"/>
    <cellStyle name="표준 8 24" xfId="0"/>
    <cellStyle name="표준 8 25" xfId="0"/>
    <cellStyle name="표준 8 26" xfId="0"/>
    <cellStyle name="표준 8 27" xfId="0"/>
    <cellStyle name="표준 8 28" xfId="0"/>
    <cellStyle name="표준 8 29" xfId="0"/>
    <cellStyle name="표준 8 3" xfId="0"/>
    <cellStyle name="표준 8 3 10" xfId="0"/>
    <cellStyle name="표준 8 3 11" xfId="0"/>
    <cellStyle name="표준 8 3 12" xfId="0"/>
    <cellStyle name="표준 8 3 2" xfId="0"/>
    <cellStyle name="표준 8 3 2 2" xfId="0"/>
    <cellStyle name="표준 8 3 2 2 2" xfId="0"/>
    <cellStyle name="표준 8 3 2 2 3" xfId="0"/>
    <cellStyle name="표준 8 3 2 2 4" xfId="0"/>
    <cellStyle name="표준 8 3 2 2 5" xfId="0"/>
    <cellStyle name="표준 8 3 2 3" xfId="0"/>
    <cellStyle name="표준 8 3 2 4" xfId="0"/>
    <cellStyle name="표준 8 3 2 5" xfId="0"/>
    <cellStyle name="표준 8 3 3" xfId="0"/>
    <cellStyle name="표준 8 3 3 2" xfId="0"/>
    <cellStyle name="표준 8 3 3 3" xfId="0"/>
    <cellStyle name="표준 8 3 3 4" xfId="0"/>
    <cellStyle name="표준 8 3 3 5" xfId="0"/>
    <cellStyle name="표준 8 3 4" xfId="0"/>
    <cellStyle name="표준 8 3 4 2" xfId="0"/>
    <cellStyle name="표준 8 3 4 3" xfId="0"/>
    <cellStyle name="표준 8 3 4 4" xfId="0"/>
    <cellStyle name="표준 8 3 4 5" xfId="0"/>
    <cellStyle name="표준 8 3 5" xfId="0"/>
    <cellStyle name="표준 8 3 5 2" xfId="0"/>
    <cellStyle name="표준 8 3 5 3" xfId="0"/>
    <cellStyle name="표준 8 3 5 4" xfId="0"/>
    <cellStyle name="표준 8 3 5 5" xfId="0"/>
    <cellStyle name="표준 8 3 6" xfId="0"/>
    <cellStyle name="표준 8 3 6 2" xfId="0"/>
    <cellStyle name="표준 8 3 6 3" xfId="0"/>
    <cellStyle name="표준 8 3 6 4" xfId="0"/>
    <cellStyle name="표준 8 3 6 5" xfId="0"/>
    <cellStyle name="표준 8 3 7" xfId="0"/>
    <cellStyle name="표준 8 3 8" xfId="0"/>
    <cellStyle name="표준 8 3 9" xfId="0"/>
    <cellStyle name="표준 8 30" xfId="0"/>
    <cellStyle name="표준 8 4" xfId="0"/>
    <cellStyle name="표준 8 4 2" xfId="0"/>
    <cellStyle name="표준 8 5" xfId="0"/>
    <cellStyle name="표준 8 5 2" xfId="0"/>
    <cellStyle name="표준 8 6" xfId="0"/>
    <cellStyle name="표준 8 6 2" xfId="0"/>
    <cellStyle name="표준 8 7" xfId="0"/>
    <cellStyle name="표준 8 7 2" xfId="0"/>
    <cellStyle name="표준 8 8" xfId="0"/>
    <cellStyle name="표준 8 8 2" xfId="0"/>
    <cellStyle name="표준 8 9" xfId="0"/>
    <cellStyle name="표준 8 9 2" xfId="0"/>
    <cellStyle name="표준 80" xfId="0"/>
    <cellStyle name="표준 80 10" xfId="0"/>
    <cellStyle name="표준 80 10 2" xfId="0"/>
    <cellStyle name="표준 80 10 3" xfId="0"/>
    <cellStyle name="표준 80 10 4" xfId="0"/>
    <cellStyle name="표준 80 10 5" xfId="0"/>
    <cellStyle name="표준 80 10 6" xfId="0"/>
    <cellStyle name="표준 80 11" xfId="0"/>
    <cellStyle name="표준 80 11 2" xfId="0"/>
    <cellStyle name="표준 80 11 3" xfId="0"/>
    <cellStyle name="표준 80 11 4" xfId="0"/>
    <cellStyle name="표준 80 11 5" xfId="0"/>
    <cellStyle name="표준 80 11 6" xfId="0"/>
    <cellStyle name="표준 80 12" xfId="0"/>
    <cellStyle name="표준 80 12 2" xfId="0"/>
    <cellStyle name="표준 80 12 3" xfId="0"/>
    <cellStyle name="표준 80 12 4" xfId="0"/>
    <cellStyle name="표준 80 12 5" xfId="0"/>
    <cellStyle name="표준 80 12 6" xfId="0"/>
    <cellStyle name="표준 80 13" xfId="0"/>
    <cellStyle name="표준 80 13 2" xfId="0"/>
    <cellStyle name="표준 80 13 3" xfId="0"/>
    <cellStyle name="표준 80 13 4" xfId="0"/>
    <cellStyle name="표준 80 13 5" xfId="0"/>
    <cellStyle name="표준 80 13 6" xfId="0"/>
    <cellStyle name="표준 80 14" xfId="0"/>
    <cellStyle name="표준 80 14 2" xfId="0"/>
    <cellStyle name="표준 80 14 3" xfId="0"/>
    <cellStyle name="표준 80 14 4" xfId="0"/>
    <cellStyle name="표준 80 14 5" xfId="0"/>
    <cellStyle name="표준 80 14 6" xfId="0"/>
    <cellStyle name="표준 80 15" xfId="0"/>
    <cellStyle name="표준 80 15 2" xfId="0"/>
    <cellStyle name="표준 80 15 3" xfId="0"/>
    <cellStyle name="표준 80 15 4" xfId="0"/>
    <cellStyle name="표준 80 15 5" xfId="0"/>
    <cellStyle name="표준 80 15 6" xfId="0"/>
    <cellStyle name="표준 80 16" xfId="0"/>
    <cellStyle name="표준 80 16 2" xfId="0"/>
    <cellStyle name="표준 80 17" xfId="0"/>
    <cellStyle name="표준 80 18" xfId="0"/>
    <cellStyle name="표준 80 19" xfId="0"/>
    <cellStyle name="표준 80 2" xfId="0"/>
    <cellStyle name="표준 80 2 2" xfId="0"/>
    <cellStyle name="표준 80 20" xfId="0"/>
    <cellStyle name="표준 80 3" xfId="0"/>
    <cellStyle name="표준 80 3 2" xfId="0"/>
    <cellStyle name="표준 80 4" xfId="0"/>
    <cellStyle name="표준 80 4 2" xfId="0"/>
    <cellStyle name="표준 80 5" xfId="0"/>
    <cellStyle name="표준 80 5 2" xfId="0"/>
    <cellStyle name="표준 80 6" xfId="0"/>
    <cellStyle name="표준 80 6 2" xfId="0"/>
    <cellStyle name="표준 80 7" xfId="0"/>
    <cellStyle name="표준 80 7 2" xfId="0"/>
    <cellStyle name="표준 80 7 3" xfId="0"/>
    <cellStyle name="표준 80 7 4" xfId="0"/>
    <cellStyle name="표준 80 7 5" xfId="0"/>
    <cellStyle name="표준 80 7 6" xfId="0"/>
    <cellStyle name="표준 80 8" xfId="0"/>
    <cellStyle name="표준 80 8 2" xfId="0"/>
    <cellStyle name="표준 80 8 3" xfId="0"/>
    <cellStyle name="표준 80 8 4" xfId="0"/>
    <cellStyle name="표준 80 8 5" xfId="0"/>
    <cellStyle name="표준 80 8 6" xfId="0"/>
    <cellStyle name="표준 80 9" xfId="0"/>
    <cellStyle name="표준 80 9 2" xfId="0"/>
    <cellStyle name="표준 80 9 3" xfId="0"/>
    <cellStyle name="표준 80 9 4" xfId="0"/>
    <cellStyle name="표준 80 9 5" xfId="0"/>
    <cellStyle name="표준 80 9 6" xfId="0"/>
    <cellStyle name="표준 800" xfId="0"/>
    <cellStyle name="표준 801" xfId="0"/>
    <cellStyle name="표준 802" xfId="0"/>
    <cellStyle name="표준 803" xfId="0"/>
    <cellStyle name="표준 804" xfId="0"/>
    <cellStyle name="표준 805" xfId="0"/>
    <cellStyle name="표준 806" xfId="0"/>
    <cellStyle name="표준 807" xfId="0"/>
    <cellStyle name="표준 808" xfId="0"/>
    <cellStyle name="표준 809" xfId="0"/>
    <cellStyle name="표준 81" xfId="0"/>
    <cellStyle name="표준 81 10" xfId="0"/>
    <cellStyle name="표준 81 11" xfId="0"/>
    <cellStyle name="표준 81 12" xfId="0"/>
    <cellStyle name="표준 81 13" xfId="0"/>
    <cellStyle name="표준 81 14" xfId="0"/>
    <cellStyle name="표준 81 15" xfId="0"/>
    <cellStyle name="표준 81 2" xfId="0"/>
    <cellStyle name="표준 81 3" xfId="0"/>
    <cellStyle name="표준 81 4" xfId="0"/>
    <cellStyle name="표준 81 5" xfId="0"/>
    <cellStyle name="표준 81 6" xfId="0"/>
    <cellStyle name="표준 81 7" xfId="0"/>
    <cellStyle name="표준 81 8" xfId="0"/>
    <cellStyle name="표준 81 9" xfId="0"/>
    <cellStyle name="표준 810" xfId="0"/>
    <cellStyle name="표준 811" xfId="0"/>
    <cellStyle name="표준 812" xfId="0"/>
    <cellStyle name="표준 813" xfId="0"/>
    <cellStyle name="표준 814" xfId="0"/>
    <cellStyle name="표준 815" xfId="0"/>
    <cellStyle name="표준 816" xfId="0"/>
    <cellStyle name="표준 817" xfId="0"/>
    <cellStyle name="표준 818" xfId="0"/>
    <cellStyle name="표준 819" xfId="0"/>
    <cellStyle name="표준 82" xfId="0"/>
    <cellStyle name="표준 82 10" xfId="0"/>
    <cellStyle name="표준 82 11" xfId="0"/>
    <cellStyle name="표준 82 12" xfId="0"/>
    <cellStyle name="표준 82 13" xfId="0"/>
    <cellStyle name="표준 82 14" xfId="0"/>
    <cellStyle name="표준 82 15" xfId="0"/>
    <cellStyle name="표준 82 2" xfId="0"/>
    <cellStyle name="표준 82 3" xfId="0"/>
    <cellStyle name="표준 82 4" xfId="0"/>
    <cellStyle name="표준 82 5" xfId="0"/>
    <cellStyle name="표준 82 6" xfId="0"/>
    <cellStyle name="표준 82 7" xfId="0"/>
    <cellStyle name="표준 82 8" xfId="0"/>
    <cellStyle name="표준 82 9" xfId="0"/>
    <cellStyle name="표준 820" xfId="0"/>
    <cellStyle name="표준 821" xfId="0"/>
    <cellStyle name="표준 822" xfId="0"/>
    <cellStyle name="표준 823" xfId="0"/>
    <cellStyle name="표준 824" xfId="0"/>
    <cellStyle name="표준 825" xfId="0"/>
    <cellStyle name="표준 826" xfId="0"/>
    <cellStyle name="표준 827" xfId="0"/>
    <cellStyle name="표준 828" xfId="0"/>
    <cellStyle name="표준 829" xfId="0"/>
    <cellStyle name="표준 83" xfId="0"/>
    <cellStyle name="표준 830" xfId="0"/>
    <cellStyle name="표준 831" xfId="0"/>
    <cellStyle name="표준 832" xfId="0"/>
    <cellStyle name="표준 833" xfId="0"/>
    <cellStyle name="표준 834" xfId="0"/>
    <cellStyle name="표준 835" xfId="0"/>
    <cellStyle name="표준 836" xfId="0"/>
    <cellStyle name="표준 837" xfId="0"/>
    <cellStyle name="표준 838" xfId="0"/>
    <cellStyle name="표준 839" xfId="0"/>
    <cellStyle name="표준 84" xfId="0"/>
    <cellStyle name="표준 840" xfId="0"/>
    <cellStyle name="표준 841" xfId="0"/>
    <cellStyle name="표준 842" xfId="0"/>
    <cellStyle name="표준 843" xfId="0"/>
    <cellStyle name="표준 844" xfId="0"/>
    <cellStyle name="표준 845" xfId="0"/>
    <cellStyle name="표준 846" xfId="0"/>
    <cellStyle name="표준 847" xfId="0"/>
    <cellStyle name="표준 848" xfId="0"/>
    <cellStyle name="표준 849" xfId="0"/>
    <cellStyle name="표준 85" xfId="0"/>
    <cellStyle name="표준 850" xfId="0"/>
    <cellStyle name="표준 851" xfId="0"/>
    <cellStyle name="표준 852" xfId="0"/>
    <cellStyle name="표준 853" xfId="0"/>
    <cellStyle name="표준 854" xfId="0"/>
    <cellStyle name="표준 855" xfId="0"/>
    <cellStyle name="표준 856" xfId="0"/>
    <cellStyle name="표준 857" xfId="0"/>
    <cellStyle name="표준 858" xfId="0"/>
    <cellStyle name="표준 859" xfId="0"/>
    <cellStyle name="표준 86" xfId="0"/>
    <cellStyle name="표준 86 10" xfId="0"/>
    <cellStyle name="표준 86 11" xfId="0"/>
    <cellStyle name="표준 86 12" xfId="0"/>
    <cellStyle name="표준 86 13" xfId="0"/>
    <cellStyle name="표준 86 14" xfId="0"/>
    <cellStyle name="표준 86 15" xfId="0"/>
    <cellStyle name="표준 86 2" xfId="0"/>
    <cellStyle name="표준 86 3" xfId="0"/>
    <cellStyle name="표준 86 4" xfId="0"/>
    <cellStyle name="표준 86 5" xfId="0"/>
    <cellStyle name="표준 86 6" xfId="0"/>
    <cellStyle name="표준 86 7" xfId="0"/>
    <cellStyle name="표준 86 8" xfId="0"/>
    <cellStyle name="표준 86 9" xfId="0"/>
    <cellStyle name="표준 860" xfId="0"/>
    <cellStyle name="표준 861" xfId="0"/>
    <cellStyle name="표준 862" xfId="0"/>
    <cellStyle name="표준 863" xfId="0"/>
    <cellStyle name="표준 864" xfId="0"/>
    <cellStyle name="표준 865" xfId="0"/>
    <cellStyle name="표준 866" xfId="0"/>
    <cellStyle name="표준 867" xfId="0"/>
    <cellStyle name="표준 868" xfId="0"/>
    <cellStyle name="표준 869" xfId="0"/>
    <cellStyle name="표준 87" xfId="0"/>
    <cellStyle name="표준 87 10" xfId="0"/>
    <cellStyle name="표준 87 11" xfId="0"/>
    <cellStyle name="표준 87 12" xfId="0"/>
    <cellStyle name="표준 87 13" xfId="0"/>
    <cellStyle name="표준 87 14" xfId="0"/>
    <cellStyle name="표준 87 2" xfId="0"/>
    <cellStyle name="표준 87 3" xfId="0"/>
    <cellStyle name="표준 87 4" xfId="0"/>
    <cellStyle name="표준 87 5" xfId="0"/>
    <cellStyle name="표준 87 6" xfId="0"/>
    <cellStyle name="표준 87 7" xfId="0"/>
    <cellStyle name="표준 87 8" xfId="0"/>
    <cellStyle name="표준 87 9" xfId="0"/>
    <cellStyle name="표준 870" xfId="0"/>
    <cellStyle name="표준 870 2" xfId="0"/>
    <cellStyle name="표준 870 2 2" xfId="0"/>
    <cellStyle name="표준 870 2 2 2" xfId="0"/>
    <cellStyle name="표준 871" xfId="0"/>
    <cellStyle name="표준 872" xfId="0"/>
    <cellStyle name="표준 872 2" xfId="0"/>
    <cellStyle name="표준 872 2 2" xfId="0"/>
    <cellStyle name="표준 873" xfId="0"/>
    <cellStyle name="표준 874" xfId="0"/>
    <cellStyle name="표준 875" xfId="0"/>
    <cellStyle name="표준 876" xfId="0"/>
    <cellStyle name="표준 877" xfId="0"/>
    <cellStyle name="표준 877 2" xfId="0"/>
    <cellStyle name="표준 877 2 2" xfId="0"/>
    <cellStyle name="표준 878" xfId="0"/>
    <cellStyle name="표준 879" xfId="0"/>
    <cellStyle name="표준 879 2" xfId="0"/>
    <cellStyle name="표준 879 2 2" xfId="0"/>
    <cellStyle name="표준 88" xfId="0"/>
    <cellStyle name="표준 88 10" xfId="0"/>
    <cellStyle name="표준 88 11" xfId="0"/>
    <cellStyle name="표준 88 12" xfId="0"/>
    <cellStyle name="표준 88 13" xfId="0"/>
    <cellStyle name="표준 88 14" xfId="0"/>
    <cellStyle name="표준 88 15" xfId="0"/>
    <cellStyle name="표준 88 2" xfId="0"/>
    <cellStyle name="표준 88 3" xfId="0"/>
    <cellStyle name="표준 88 4" xfId="0"/>
    <cellStyle name="표준 88 5" xfId="0"/>
    <cellStyle name="표준 88 6" xfId="0"/>
    <cellStyle name="표준 88 7" xfId="0"/>
    <cellStyle name="표준 88 8" xfId="0"/>
    <cellStyle name="표준 88 9" xfId="0"/>
    <cellStyle name="표준 880" xfId="0"/>
    <cellStyle name="표준 881" xfId="0"/>
    <cellStyle name="표준 882" xfId="0"/>
    <cellStyle name="표준 882 2" xfId="0"/>
    <cellStyle name="표준 882 2 2" xfId="0"/>
    <cellStyle name="표준 883" xfId="0"/>
    <cellStyle name="표준 883 2" xfId="0"/>
    <cellStyle name="표준 883 2 2" xfId="0"/>
    <cellStyle name="표준 884" xfId="0"/>
    <cellStyle name="표준 884 2" xfId="0"/>
    <cellStyle name="표준 885" xfId="0"/>
    <cellStyle name="표준 885 2" xfId="0"/>
    <cellStyle name="표준 885 2 2" xfId="0"/>
    <cellStyle name="표준 886" xfId="0"/>
    <cellStyle name="표준 886 2" xfId="0"/>
    <cellStyle name="표준 886 2 2" xfId="0"/>
    <cellStyle name="표준 887" xfId="0"/>
    <cellStyle name="표준 887 2" xfId="0"/>
    <cellStyle name="표준 888" xfId="0"/>
    <cellStyle name="표준 888 2" xfId="0"/>
    <cellStyle name="표준 889" xfId="0"/>
    <cellStyle name="표준 89" xfId="0"/>
    <cellStyle name="표준 89 10" xfId="0"/>
    <cellStyle name="표준 89 11" xfId="0"/>
    <cellStyle name="표준 89 12" xfId="0"/>
    <cellStyle name="표준 89 13" xfId="0"/>
    <cellStyle name="표준 89 14" xfId="0"/>
    <cellStyle name="표준 89 15" xfId="0"/>
    <cellStyle name="표준 89 2" xfId="0"/>
    <cellStyle name="표준 89 3" xfId="0"/>
    <cellStyle name="표준 89 4" xfId="0"/>
    <cellStyle name="표준 89 5" xfId="0"/>
    <cellStyle name="표준 89 6" xfId="0"/>
    <cellStyle name="표준 89 7" xfId="0"/>
    <cellStyle name="표준 89 8" xfId="0"/>
    <cellStyle name="표준 89 9" xfId="0"/>
    <cellStyle name="표준 890" xfId="0"/>
    <cellStyle name="표준 890 2" xfId="0"/>
    <cellStyle name="표준 890 2 2" xfId="0"/>
    <cellStyle name="표준 891" xfId="0"/>
    <cellStyle name="표준 891 2" xfId="0"/>
    <cellStyle name="표준 891 2 2" xfId="0"/>
    <cellStyle name="표준 892" xfId="0"/>
    <cellStyle name="표준 892 2" xfId="0"/>
    <cellStyle name="표준 892 2 2" xfId="0"/>
    <cellStyle name="표준 893" xfId="0"/>
    <cellStyle name="표준 893 2" xfId="0"/>
    <cellStyle name="표준 894" xfId="0"/>
    <cellStyle name="표준 895" xfId="0"/>
    <cellStyle name="표준 895 2" xfId="0"/>
    <cellStyle name="표준 895 2 2" xfId="0"/>
    <cellStyle name="표준 896" xfId="0"/>
    <cellStyle name="표준 897" xfId="0"/>
    <cellStyle name="표준 897 2" xfId="0"/>
    <cellStyle name="표준 897 2 2" xfId="0"/>
    <cellStyle name="표준 898" xfId="0"/>
    <cellStyle name="표준 898 2" xfId="0"/>
    <cellStyle name="표준 898 2 2" xfId="0"/>
    <cellStyle name="표준 899" xfId="0"/>
    <cellStyle name="표준 9" xfId="0"/>
    <cellStyle name="표준 9 10" xfId="0"/>
    <cellStyle name="표준 9 10 2" xfId="0"/>
    <cellStyle name="표준 9 11" xfId="0"/>
    <cellStyle name="표준 9 11 2" xfId="0"/>
    <cellStyle name="표준 9 12" xfId="0"/>
    <cellStyle name="표준 9 12 2" xfId="0"/>
    <cellStyle name="표준 9 13" xfId="0"/>
    <cellStyle name="표준 9 13 2" xfId="0"/>
    <cellStyle name="표준 9 14" xfId="0"/>
    <cellStyle name="표준 9 14 2" xfId="0"/>
    <cellStyle name="표준 9 15" xfId="0"/>
    <cellStyle name="표준 9 16" xfId="0"/>
    <cellStyle name="표준 9 17" xfId="0"/>
    <cellStyle name="표준 9 18" xfId="0"/>
    <cellStyle name="표준 9 19" xfId="0"/>
    <cellStyle name="표준 9 2" xfId="0"/>
    <cellStyle name="표준 9 2 10" xfId="0"/>
    <cellStyle name="표준 9 2 10 2" xfId="0"/>
    <cellStyle name="표준 9 2 11" xfId="0"/>
    <cellStyle name="표준 9 2 11 2" xfId="0"/>
    <cellStyle name="표준 9 2 12" xfId="0"/>
    <cellStyle name="표준 9 2 12 2" xfId="0"/>
    <cellStyle name="표준 9 2 13" xfId="0"/>
    <cellStyle name="표준 9 2 13 2" xfId="0"/>
    <cellStyle name="표준 9 2 14" xfId="0"/>
    <cellStyle name="표준 9 2 14 2" xfId="0"/>
    <cellStyle name="표준 9 2 15" xfId="0"/>
    <cellStyle name="표준 9 2 15 2" xfId="0"/>
    <cellStyle name="표준 9 2 16" xfId="0"/>
    <cellStyle name="표준 9 2 17" xfId="0"/>
    <cellStyle name="표준 9 2 2" xfId="0"/>
    <cellStyle name="표준 9 2 2 10" xfId="0"/>
    <cellStyle name="표준 9 2 2 11" xfId="0"/>
    <cellStyle name="표준 9 2 2 12" xfId="0"/>
    <cellStyle name="표준 9 2 2 13" xfId="0"/>
    <cellStyle name="표준 9 2 2 14" xfId="0"/>
    <cellStyle name="표준 9 2 2 15" xfId="0"/>
    <cellStyle name="표준 9 2 2 16" xfId="0"/>
    <cellStyle name="표준 9 2 2 17" xfId="0"/>
    <cellStyle name="표준 9 2 2 2" xfId="0"/>
    <cellStyle name="표준 9 2 2 2 2" xfId="0"/>
    <cellStyle name="표준 9 2 2 2 3" xfId="0"/>
    <cellStyle name="표준 9 2 2 3" xfId="0"/>
    <cellStyle name="표준 9 2 2 3 2" xfId="0"/>
    <cellStyle name="표준 9 2 2 3 2 2" xfId="0"/>
    <cellStyle name="표준 9 2 2 3 2 2 2" xfId="0"/>
    <cellStyle name="표준 9 2 2 3 2 2 2 2" xfId="0"/>
    <cellStyle name="표준 9 2 2 3 2 2 2 2 2" xfId="0"/>
    <cellStyle name="표준 9 2 2 3 2 2 2 2 2 2" xfId="0"/>
    <cellStyle name="표준 9 2 2 3 2 2 2 2 2 2 2" xfId="0"/>
    <cellStyle name="표준 9 2 2 3 2 2 2 2 2 2 2 2" xfId="0"/>
    <cellStyle name="표준 9 2 2 3 2 2 2 2 2 2 2 2 2" xfId="0"/>
    <cellStyle name="표준 9 2 2 3 2 3" xfId="0"/>
    <cellStyle name="표준 9 2 2 3 3" xfId="0"/>
    <cellStyle name="표준 9 2 2 4" xfId="0"/>
    <cellStyle name="표준 9 2 2 4 2" xfId="0"/>
    <cellStyle name="표준 9 2 2 5" xfId="0"/>
    <cellStyle name="표준 9 2 2 5 2" xfId="0"/>
    <cellStyle name="표준 9 2 2 6" xfId="0"/>
    <cellStyle name="표준 9 2 2 6 2" xfId="0"/>
    <cellStyle name="표준 9 2 2 7" xfId="0"/>
    <cellStyle name="표준 9 2 2 7 2" xfId="0"/>
    <cellStyle name="표준 9 2 2 8" xfId="0"/>
    <cellStyle name="표준 9 2 2 9" xfId="0"/>
    <cellStyle name="표준 9 2 3" xfId="0"/>
    <cellStyle name="표준 9 2 3 2" xfId="0"/>
    <cellStyle name="표준 9 2 4" xfId="0"/>
    <cellStyle name="표준 9 2 4 2" xfId="0"/>
    <cellStyle name="표준 9 2 5" xfId="0"/>
    <cellStyle name="표준 9 2 6" xfId="0"/>
    <cellStyle name="표준 9 2 7" xfId="0"/>
    <cellStyle name="표준 9 2 7 2" xfId="0"/>
    <cellStyle name="표준 9 2 8" xfId="0"/>
    <cellStyle name="표준 9 2 8 2" xfId="0"/>
    <cellStyle name="표준 9 2 9" xfId="0"/>
    <cellStyle name="표준 9 2 9 2" xfId="0"/>
    <cellStyle name="표준 9 20" xfId="0"/>
    <cellStyle name="표준 9 21" xfId="0"/>
    <cellStyle name="표준 9 22" xfId="0"/>
    <cellStyle name="표준 9 23" xfId="0"/>
    <cellStyle name="표준 9 24" xfId="0"/>
    <cellStyle name="표준 9 25" xfId="0"/>
    <cellStyle name="표준 9 26" xfId="0"/>
    <cellStyle name="표준 9 27" xfId="0"/>
    <cellStyle name="표준 9 3" xfId="0"/>
    <cellStyle name="표준 9 3 10" xfId="0"/>
    <cellStyle name="표준 9 3 11" xfId="0"/>
    <cellStyle name="표준 9 3 12" xfId="0"/>
    <cellStyle name="표준 9 3 2" xfId="0"/>
    <cellStyle name="표준 9 3 2 2" xfId="0"/>
    <cellStyle name="표준 9 3 2 2 2" xfId="0"/>
    <cellStyle name="표준 9 3 2 2 3" xfId="0"/>
    <cellStyle name="표준 9 3 2 2 4" xfId="0"/>
    <cellStyle name="표준 9 3 2 2 5" xfId="0"/>
    <cellStyle name="표준 9 3 2 3" xfId="0"/>
    <cellStyle name="표준 9 3 2 4" xfId="0"/>
    <cellStyle name="표준 9 3 2 5" xfId="0"/>
    <cellStyle name="표준 9 3 3" xfId="0"/>
    <cellStyle name="표준 9 3 3 2" xfId="0"/>
    <cellStyle name="표준 9 3 3 3" xfId="0"/>
    <cellStyle name="표준 9 3 3 4" xfId="0"/>
    <cellStyle name="표준 9 3 3 5" xfId="0"/>
    <cellStyle name="표준 9 3 4" xfId="0"/>
    <cellStyle name="표준 9 3 4 2" xfId="0"/>
    <cellStyle name="표준 9 3 4 3" xfId="0"/>
    <cellStyle name="표준 9 3 4 4" xfId="0"/>
    <cellStyle name="표준 9 3 4 5" xfId="0"/>
    <cellStyle name="표준 9 3 5" xfId="0"/>
    <cellStyle name="표준 9 3 5 2" xfId="0"/>
    <cellStyle name="표준 9 3 5 3" xfId="0"/>
    <cellStyle name="표준 9 3 5 4" xfId="0"/>
    <cellStyle name="표준 9 3 5 5" xfId="0"/>
    <cellStyle name="표준 9 3 6" xfId="0"/>
    <cellStyle name="표준 9 3 6 2" xfId="0"/>
    <cellStyle name="표준 9 3 6 3" xfId="0"/>
    <cellStyle name="표준 9 3 6 4" xfId="0"/>
    <cellStyle name="표준 9 3 6 5" xfId="0"/>
    <cellStyle name="표준 9 3 7" xfId="0"/>
    <cellStyle name="표준 9 3 8" xfId="0"/>
    <cellStyle name="표준 9 3 9" xfId="0"/>
    <cellStyle name="표준 9 4" xfId="0"/>
    <cellStyle name="표준 9 4 2" xfId="0"/>
    <cellStyle name="표준 9 5" xfId="0"/>
    <cellStyle name="표준 9 5 2" xfId="0"/>
    <cellStyle name="표준 9 6" xfId="0"/>
    <cellStyle name="표준 9 6 2" xfId="0"/>
    <cellStyle name="표준 9 7" xfId="0"/>
    <cellStyle name="표준 9 7 2" xfId="0"/>
    <cellStyle name="표준 9 8" xfId="0"/>
    <cellStyle name="표준 9 8 2" xfId="0"/>
    <cellStyle name="표준 9 9" xfId="0"/>
    <cellStyle name="표준 9 9 2" xfId="0"/>
    <cellStyle name="표준 90" xfId="0"/>
    <cellStyle name="표준 90 10" xfId="0"/>
    <cellStyle name="표준 90 11" xfId="0"/>
    <cellStyle name="표준 90 12" xfId="0"/>
    <cellStyle name="표준 90 13" xfId="0"/>
    <cellStyle name="표준 90 14" xfId="0"/>
    <cellStyle name="표준 90 2" xfId="0"/>
    <cellStyle name="표준 90 3" xfId="0"/>
    <cellStyle name="표준 90 4" xfId="0"/>
    <cellStyle name="표준 90 5" xfId="0"/>
    <cellStyle name="표준 90 6" xfId="0"/>
    <cellStyle name="표준 90 7" xfId="0"/>
    <cellStyle name="표준 90 8" xfId="0"/>
    <cellStyle name="표준 90 9" xfId="0"/>
    <cellStyle name="표준 900" xfId="0"/>
    <cellStyle name="표준 901" xfId="0"/>
    <cellStyle name="표준 901 2" xfId="0"/>
    <cellStyle name="표준 902" xfId="0"/>
    <cellStyle name="표준 902 2" xfId="0"/>
    <cellStyle name="표준 903" xfId="0"/>
    <cellStyle name="표준 903 2" xfId="0"/>
    <cellStyle name="표준 904" xfId="0"/>
    <cellStyle name="표준 904 2" xfId="0"/>
    <cellStyle name="표준 904 2 2" xfId="0"/>
    <cellStyle name="표준 905" xfId="0"/>
    <cellStyle name="표준 905 2" xfId="0"/>
    <cellStyle name="표준 906" xfId="0"/>
    <cellStyle name="표준 907" xfId="0"/>
    <cellStyle name="표준 908" xfId="0"/>
    <cellStyle name="표준 909" xfId="0"/>
    <cellStyle name="표준 91" xfId="0"/>
    <cellStyle name="표준 91 10" xfId="0"/>
    <cellStyle name="표준 91 11" xfId="0"/>
    <cellStyle name="표준 91 12" xfId="0"/>
    <cellStyle name="표준 91 13" xfId="0"/>
    <cellStyle name="표준 91 14" xfId="0"/>
    <cellStyle name="표준 91 15" xfId="0"/>
    <cellStyle name="표준 91 2" xfId="0"/>
    <cellStyle name="표준 91 3" xfId="0"/>
    <cellStyle name="표준 91 4" xfId="0"/>
    <cellStyle name="표준 91 5" xfId="0"/>
    <cellStyle name="표준 91 6" xfId="0"/>
    <cellStyle name="표준 91 7" xfId="0"/>
    <cellStyle name="표준 91 8" xfId="0"/>
    <cellStyle name="표준 91 9" xfId="0"/>
    <cellStyle name="표준 910" xfId="0"/>
    <cellStyle name="표준 914" xfId="0"/>
    <cellStyle name="표준 915" xfId="0"/>
    <cellStyle name="표준 917" xfId="0"/>
    <cellStyle name="표준 919" xfId="0"/>
    <cellStyle name="표준 92" xfId="0"/>
    <cellStyle name="표준 92 10" xfId="0"/>
    <cellStyle name="표준 92 11" xfId="0"/>
    <cellStyle name="표준 92 12" xfId="0"/>
    <cellStyle name="표준 92 13" xfId="0"/>
    <cellStyle name="표준 92 14" xfId="0"/>
    <cellStyle name="표준 92 2" xfId="0"/>
    <cellStyle name="표준 92 3" xfId="0"/>
    <cellStyle name="표준 92 4" xfId="0"/>
    <cellStyle name="표준 92 5" xfId="0"/>
    <cellStyle name="표준 92 6" xfId="0"/>
    <cellStyle name="표준 92 7" xfId="0"/>
    <cellStyle name="표준 92 8" xfId="0"/>
    <cellStyle name="표준 92 9" xfId="0"/>
    <cellStyle name="표준 93" xfId="0"/>
    <cellStyle name="표준 93 10" xfId="0"/>
    <cellStyle name="표준 93 11" xfId="0"/>
    <cellStyle name="표준 93 12" xfId="0"/>
    <cellStyle name="표준 93 13" xfId="0"/>
    <cellStyle name="표준 93 14" xfId="0"/>
    <cellStyle name="표준 93 2" xfId="0"/>
    <cellStyle name="표준 93 3" xfId="0"/>
    <cellStyle name="표준 93 4" xfId="0"/>
    <cellStyle name="표준 93 5" xfId="0"/>
    <cellStyle name="표준 93 6" xfId="0"/>
    <cellStyle name="표준 93 7" xfId="0"/>
    <cellStyle name="표준 93 8" xfId="0"/>
    <cellStyle name="표준 93 9" xfId="0"/>
    <cellStyle name="표준 94" xfId="0"/>
    <cellStyle name="표준 94 10" xfId="0"/>
    <cellStyle name="표준 94 11" xfId="0"/>
    <cellStyle name="표준 94 12" xfId="0"/>
    <cellStyle name="표준 94 13" xfId="0"/>
    <cellStyle name="표준 94 14" xfId="0"/>
    <cellStyle name="표준 94 2" xfId="0"/>
    <cellStyle name="표준 94 3" xfId="0"/>
    <cellStyle name="표준 94 4" xfId="0"/>
    <cellStyle name="표준 94 5" xfId="0"/>
    <cellStyle name="표준 94 6" xfId="0"/>
    <cellStyle name="표준 94 7" xfId="0"/>
    <cellStyle name="표준 94 8" xfId="0"/>
    <cellStyle name="표준 94 9" xfId="0"/>
    <cellStyle name="표준 95" xfId="0"/>
    <cellStyle name="표준 95 10" xfId="0"/>
    <cellStyle name="표준 95 11" xfId="0"/>
    <cellStyle name="표준 95 12" xfId="0"/>
    <cellStyle name="표준 95 13" xfId="0"/>
    <cellStyle name="표준 95 14" xfId="0"/>
    <cellStyle name="표준 95 2" xfId="0"/>
    <cellStyle name="표준 95 3" xfId="0"/>
    <cellStyle name="표준 95 4" xfId="0"/>
    <cellStyle name="표준 95 5" xfId="0"/>
    <cellStyle name="표준 95 6" xfId="0"/>
    <cellStyle name="표준 95 7" xfId="0"/>
    <cellStyle name="표준 95 8" xfId="0"/>
    <cellStyle name="표준 95 9" xfId="0"/>
    <cellStyle name="표준 96" xfId="0"/>
    <cellStyle name="표준 96 10" xfId="0"/>
    <cellStyle name="표준 96 11" xfId="0"/>
    <cellStyle name="표준 96 12" xfId="0"/>
    <cellStyle name="표준 96 13" xfId="0"/>
    <cellStyle name="표준 96 14" xfId="0"/>
    <cellStyle name="표준 96 2" xfId="0"/>
    <cellStyle name="표준 96 3" xfId="0"/>
    <cellStyle name="표준 96 4" xfId="0"/>
    <cellStyle name="표준 96 5" xfId="0"/>
    <cellStyle name="표준 96 6" xfId="0"/>
    <cellStyle name="표준 96 7" xfId="0"/>
    <cellStyle name="표준 96 8" xfId="0"/>
    <cellStyle name="표준 96 9" xfId="0"/>
    <cellStyle name="표준 97" xfId="0"/>
    <cellStyle name="표준 97 10" xfId="0"/>
    <cellStyle name="표준 97 11" xfId="0"/>
    <cellStyle name="표준 97 12" xfId="0"/>
    <cellStyle name="표준 97 13" xfId="0"/>
    <cellStyle name="표준 97 14" xfId="0"/>
    <cellStyle name="표준 97 15" xfId="0"/>
    <cellStyle name="표준 97 16" xfId="0"/>
    <cellStyle name="표준 97 2" xfId="0"/>
    <cellStyle name="표준 97 2 2" xfId="0"/>
    <cellStyle name="표준 97 3" xfId="0"/>
    <cellStyle name="표준 97 3 2" xfId="0"/>
    <cellStyle name="표준 97 4" xfId="0"/>
    <cellStyle name="표준 97 4 2" xfId="0"/>
    <cellStyle name="표준 97 5" xfId="0"/>
    <cellStyle name="표준 97 5 2" xfId="0"/>
    <cellStyle name="표준 97 6" xfId="0"/>
    <cellStyle name="표준 97 6 2" xfId="0"/>
    <cellStyle name="표준 97 7" xfId="0"/>
    <cellStyle name="표준 97 7 2" xfId="0"/>
    <cellStyle name="표준 97 8" xfId="0"/>
    <cellStyle name="표준 97 9" xfId="0"/>
    <cellStyle name="표준 98" xfId="0"/>
    <cellStyle name="표준 98 10" xfId="0"/>
    <cellStyle name="표준 98 11" xfId="0"/>
    <cellStyle name="표준 98 12" xfId="0"/>
    <cellStyle name="표준 98 13" xfId="0"/>
    <cellStyle name="표준 98 2" xfId="0"/>
    <cellStyle name="표준 98 3" xfId="0"/>
    <cellStyle name="표준 98 4" xfId="0"/>
    <cellStyle name="표준 98 5" xfId="0"/>
    <cellStyle name="표준 98 6" xfId="0"/>
    <cellStyle name="표준 98 7" xfId="0"/>
    <cellStyle name="표준 98 8" xfId="0"/>
    <cellStyle name="표준 98 9" xfId="0"/>
    <cellStyle name="표준 99" xfId="0"/>
    <cellStyle name="표준 99 10" xfId="0"/>
    <cellStyle name="표준 99 11" xfId="0"/>
    <cellStyle name="표준 99 12" xfId="0"/>
    <cellStyle name="표준 99 13" xfId="0"/>
    <cellStyle name="표준 99 14" xfId="0"/>
    <cellStyle name="표준 99 15" xfId="0"/>
    <cellStyle name="표준 99 16" xfId="0"/>
    <cellStyle name="표준 99 2" xfId="0"/>
    <cellStyle name="표준 99 2 2" xfId="0"/>
    <cellStyle name="표준 99 3" xfId="0"/>
    <cellStyle name="표준 99 3 2" xfId="0"/>
    <cellStyle name="표준 99 4" xfId="0"/>
    <cellStyle name="표준 99 4 2" xfId="0"/>
    <cellStyle name="표준 99 5" xfId="0"/>
    <cellStyle name="표준 99 5 2" xfId="0"/>
    <cellStyle name="표준 99 6" xfId="0"/>
    <cellStyle name="표준 99 6 2" xfId="0"/>
    <cellStyle name="표준 99 7" xfId="0"/>
    <cellStyle name="표준 99 7 2" xfId="0"/>
    <cellStyle name="표준 99 8" xfId="0"/>
    <cellStyle name="표준 99 9" xfId="0"/>
    <cellStyle name="표준(12)" xfId="0"/>
    <cellStyle name="표준(8)" xfId="0"/>
    <cellStyle name="표준(9)" xfId="0"/>
    <cellStyle name="표준(중앙)" xfId="0"/>
    <cellStyle name="표준-이효주" xfId="0"/>
    <cellStyle name="표준_동양철관_AJE_200209-2" xfId="0"/>
    <cellStyle name="표준△서식" xfId="0"/>
    <cellStyle name="표준聟Sheet1_1_산출기초표" xfId="0"/>
    <cellStyle name="표준像呼?(2)" xfId="0"/>
    <cellStyle name="표준渦潟뼁ぜ?갑지(토탈)_laroux" xfId="0"/>
    <cellStyle name="표준茱볐뼁?(2)_갑지(토탈)" xfId="0"/>
    <cellStyle name="표즀_OBU시설투자" xfId="0"/>
    <cellStyle name="프로젝트개발UNIT" xfId="0"/>
    <cellStyle name="하이퍼링크 2" xfId="0"/>
    <cellStyle name="하이퍼링크 2 2" xfId="0"/>
    <cellStyle name="하이퍼링크 2 3" xfId="0"/>
    <cellStyle name="하이퍼링크 3" xfId="0"/>
    <cellStyle name="하이퍼링크 4" xfId="0"/>
    <cellStyle name="합계" xfId="0"/>
    <cellStyle name="합산" xfId="0"/>
    <cellStyle name="항목" xfId="0"/>
    <cellStyle name="현금" xfId="0"/>
    <cellStyle name="화폐기호" xfId="0"/>
    <cellStyle name="화폐기호 2" xfId="0"/>
    <cellStyle name="화폐기호0" xfId="0"/>
    <cellStyle name="화폐기호0 2" xfId="0"/>
    <cellStyle name="황대호" xfId="0"/>
    <cellStyle name="회색테두리" xfId="0"/>
    <cellStyle name="회색테두리 2" xfId="0"/>
    <cellStyle name="遽_12錯 " xfId="0"/>
    <cellStyle name=" 坪 l_Sheet1_Q4 (2)" xfId="0"/>
    <cellStyle name="ｼﾐｷﾇ_ECC" xfId="0"/>
    <cellStyle name="ﾇ･ﾁﾘ_ｱｹｿﾜbal" xfId="0"/>
  </cellStyles>
  <dxfs count="4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2DCDB"/>
      <rgbColor rgb="FFB9CDE5"/>
      <rgbColor rgb="FFFDEADA"/>
      <rgbColor rgb="FFF79646"/>
      <rgbColor rgb="FF800074"/>
      <rgbColor rgb="FF4F81BD"/>
      <rgbColor rgb="FFC0C0C0"/>
      <rgbColor rgb="FF808080"/>
      <rgbColor rgb="FF96AFE7"/>
      <rgbColor rgb="FFBE4F36"/>
      <rgbColor rgb="FFFFFFCC"/>
      <rgbColor rgb="FFCCFFFF"/>
      <rgbColor rgb="FFFCD5B5"/>
      <rgbColor rgb="FFFE8282"/>
      <rgbColor rgb="FF0066CC"/>
      <rgbColor rgb="FFCCCDFF"/>
      <rgbColor rgb="FFF2F2F2"/>
      <rgbColor rgb="FFCCC1DA"/>
      <rgbColor rgb="FFFFEB9C"/>
      <rgbColor rgb="FFB2E7EF"/>
      <rgbColor rgb="FFFFC7CE"/>
      <rgbColor rgb="FFE6E0EC"/>
      <rgbColor rgb="FF00B0F0"/>
      <rgbColor rgb="FFEBF1DE"/>
      <rgbColor rgb="FF00CCFF"/>
      <rgbColor rgb="FFDBEEF4"/>
      <rgbColor rgb="FFCCFFCC"/>
      <rgbColor rgb="FFFFFF99"/>
      <rgbColor rgb="FF98CCFE"/>
      <rgbColor rgb="FFFF99CC"/>
      <rgbColor rgb="FFCC99FF"/>
      <rgbColor rgb="FFFFCC99"/>
      <rgbColor rgb="FF3366FF"/>
      <rgbColor rgb="FF34CACC"/>
      <rgbColor rgb="FF9AC42F"/>
      <rgbColor rgb="FFFFCB00"/>
      <rgbColor rgb="FFFF9900"/>
      <rgbColor rgb="FFFF6700"/>
      <rgbColor rgb="FF77659F"/>
      <rgbColor rgb="FF969696"/>
      <rgbColor rgb="FFD5E3B7"/>
      <rgbColor rgb="FF339966"/>
      <rgbColor rgb="FFDCE6F2"/>
      <rgbColor rgb="FFFAC090"/>
      <rgbColor rgb="FFE6B9B8"/>
      <rgbColor rgb="FFAFABB7"/>
      <rgbColor rgb="FF333399"/>
      <rgbColor rgb="FF29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Q129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9" topLeftCell="A97" activePane="bottomLeft" state="frozen"/>
      <selection pane="topLeft" activeCell="A1" activeCellId="0" sqref="A1"/>
      <selection pane="bottomLeft" activeCell="K116" activeCellId="0" sqref="K116"/>
    </sheetView>
  </sheetViews>
  <sheetFormatPr defaultColWidth="16" defaultRowHeight="13.5" zeroHeight="false" outlineLevelRow="0" outlineLevelCol="1"/>
  <cols>
    <col collapsed="false" customWidth="true" hidden="false" outlineLevel="0" max="1" min="1" style="1" width="2.63"/>
    <col collapsed="false" customWidth="true" hidden="true" outlineLevel="1" max="2" min="2" style="1" width="46.25"/>
    <col collapsed="false" customWidth="true" hidden="false" outlineLevel="0" max="3" min="3" style="1" width="6.63"/>
    <col collapsed="false" customWidth="true" hidden="false" outlineLevel="0" max="4" min="4" style="1" width="25.63"/>
    <col collapsed="false" customWidth="true" hidden="false" outlineLevel="0" max="9" min="5" style="1" width="15.63"/>
    <col collapsed="false" customWidth="true" hidden="false" outlineLevel="0" max="10" min="10" style="2" width="15.63"/>
    <col collapsed="false" customWidth="true" hidden="false" outlineLevel="0" max="11" min="11" style="3" width="60.63"/>
    <col collapsed="false" customWidth="true" hidden="false" outlineLevel="0" max="12" min="12" style="4" width="15.63"/>
    <col collapsed="false" customWidth="true" hidden="false" outlineLevel="0" max="14" min="13" style="5" width="15.63"/>
    <col collapsed="false" customWidth="false" hidden="false" outlineLevel="0" max="16384" min="15" style="1" width="16"/>
  </cols>
  <sheetData>
    <row r="2" customFormat="false" ht="13.5" hidden="false" customHeight="false" outlineLevel="0" collapsed="false">
      <c r="C2" s="6" t="s">
        <v>0</v>
      </c>
      <c r="D2" s="7"/>
      <c r="E2" s="7"/>
      <c r="F2" s="7"/>
      <c r="G2" s="7"/>
      <c r="H2" s="7"/>
      <c r="I2" s="7"/>
      <c r="J2" s="7"/>
      <c r="K2" s="8"/>
    </row>
    <row r="3" customFormat="false" ht="14.25" hidden="false" customHeight="true" outlineLevel="0" collapsed="false">
      <c r="C3" s="9"/>
    </row>
    <row r="4" customFormat="false" ht="13.5" hidden="false" customHeight="false" outlineLevel="0" collapsed="false">
      <c r="C4" s="10" t="s">
        <v>1</v>
      </c>
      <c r="D4" s="11"/>
      <c r="E4" s="2"/>
      <c r="F4" s="2"/>
      <c r="G4" s="2"/>
      <c r="H4" s="12" t="s">
        <v>2</v>
      </c>
      <c r="I4" s="13" t="n">
        <f aca="false">'P&amp;L_KO'!J4</f>
        <v>7097620215.52</v>
      </c>
    </row>
    <row r="5" customFormat="false" ht="13.5" hidden="false" customHeight="false" outlineLevel="0" collapsed="false">
      <c r="C5" s="10" t="s">
        <v>3</v>
      </c>
      <c r="D5" s="11"/>
      <c r="E5" s="2"/>
      <c r="F5" s="2"/>
      <c r="G5" s="2"/>
      <c r="H5" s="14" t="s">
        <v>4</v>
      </c>
      <c r="I5" s="15" t="n">
        <f aca="false">I4*70%</f>
        <v>4968334150.864</v>
      </c>
    </row>
    <row r="6" customFormat="false" ht="14.25" hidden="false" customHeight="true" outlineLevel="0" collapsed="false">
      <c r="C6" s="16"/>
      <c r="D6" s="11"/>
      <c r="H6" s="17" t="s">
        <v>5</v>
      </c>
      <c r="I6" s="18" t="n">
        <f aca="false">I4*3%</f>
        <v>212928606.4656</v>
      </c>
    </row>
    <row r="7" customFormat="false" ht="14.25" hidden="false" customHeight="true" outlineLevel="0" collapsed="false">
      <c r="B7" s="19"/>
      <c r="C7" s="20" t="s">
        <v>6</v>
      </c>
      <c r="D7" s="20"/>
    </row>
    <row r="8" customFormat="false" ht="13.5" hidden="false" customHeight="true" outlineLevel="0" collapsed="false">
      <c r="B8" s="19"/>
      <c r="C8" s="21" t="s">
        <v>7</v>
      </c>
      <c r="D8" s="21"/>
      <c r="E8" s="22" t="n">
        <v>2026.09</v>
      </c>
      <c r="F8" s="22"/>
      <c r="G8" s="22" t="n">
        <v>2025.12</v>
      </c>
      <c r="H8" s="22"/>
      <c r="I8" s="22"/>
      <c r="J8" s="23"/>
      <c r="K8" s="24"/>
      <c r="N8" s="25" t="s">
        <v>8</v>
      </c>
    </row>
    <row r="9" customFormat="false" ht="13.5" hidden="false" customHeight="false" outlineLevel="0" collapsed="false">
      <c r="B9" s="19"/>
      <c r="C9" s="21"/>
      <c r="D9" s="21"/>
      <c r="E9" s="26" t="s">
        <v>9</v>
      </c>
      <c r="F9" s="26" t="s">
        <v>10</v>
      </c>
      <c r="G9" s="26" t="s">
        <v>11</v>
      </c>
      <c r="H9" s="27" t="s">
        <v>12</v>
      </c>
      <c r="I9" s="27" t="s">
        <v>13</v>
      </c>
      <c r="J9" s="28" t="s">
        <v>14</v>
      </c>
      <c r="K9" s="29" t="s">
        <v>15</v>
      </c>
      <c r="N9" s="26" t="s">
        <v>16</v>
      </c>
      <c r="O9" s="27" t="s">
        <v>17</v>
      </c>
      <c r="P9" s="26" t="s">
        <v>18</v>
      </c>
      <c r="Q9" s="27" t="s">
        <v>19</v>
      </c>
    </row>
    <row r="10" customFormat="false" ht="13.5" hidden="false" customHeight="false" outlineLevel="0" collapsed="false">
      <c r="B10" s="19"/>
      <c r="C10" s="30" t="s">
        <v>20</v>
      </c>
      <c r="D10" s="31"/>
      <c r="E10" s="32"/>
      <c r="F10" s="32"/>
      <c r="G10" s="32"/>
      <c r="H10" s="32"/>
      <c r="I10" s="32"/>
      <c r="J10" s="33"/>
      <c r="K10" s="34"/>
    </row>
    <row r="11" customFormat="false" ht="13.5" hidden="false" customHeight="false" outlineLevel="0" collapsed="false">
      <c r="B11" s="19" t="s">
        <v>21</v>
      </c>
      <c r="C11" s="35" t="s">
        <v>22</v>
      </c>
      <c r="D11" s="36"/>
      <c r="E11" s="37" t="n">
        <f aca="false">+E12+E27</f>
        <v>465905895178</v>
      </c>
      <c r="F11" s="37" t="n">
        <f aca="false">+F12+F27</f>
        <v>453490085054</v>
      </c>
      <c r="G11" s="37" t="n">
        <f aca="false">+G12+G27</f>
        <v>399003823525</v>
      </c>
      <c r="H11" s="37" t="n">
        <f aca="false">+H12+H27</f>
        <v>54486261529</v>
      </c>
      <c r="I11" s="38" t="n">
        <f aca="false">IFERROR(H11/G11,IF(H11&gt;0,100%,IF(H11=0,0,-100%)))</f>
        <v>0.136555737856447</v>
      </c>
      <c r="J11" s="39"/>
      <c r="K11" s="40"/>
      <c r="L11" s="41" t="n">
        <f aca="false">E11-F11</f>
        <v>12415810124</v>
      </c>
      <c r="M11" s="42"/>
      <c r="N11" s="43" t="n">
        <f aca="false">+N12+N27</f>
        <v>465905895178</v>
      </c>
      <c r="O11" s="43" t="n">
        <f aca="false">E11-N11</f>
        <v>0</v>
      </c>
      <c r="P11" s="43" t="n">
        <f aca="false">+P12+P27</f>
        <v>453490085054</v>
      </c>
      <c r="Q11" s="43" t="n">
        <f aca="false">F11-P11</f>
        <v>0</v>
      </c>
    </row>
    <row r="12" customFormat="false" ht="13.5" hidden="false" customHeight="false" outlineLevel="0" collapsed="false">
      <c r="B12" s="19" t="s">
        <v>23</v>
      </c>
      <c r="C12" s="44" t="s">
        <v>24</v>
      </c>
      <c r="D12" s="36"/>
      <c r="E12" s="37" t="n">
        <f aca="false">SUM(E13:E24)</f>
        <v>270465932072</v>
      </c>
      <c r="F12" s="37" t="n">
        <f aca="false">SUM(F13:F24)</f>
        <v>258050121948</v>
      </c>
      <c r="G12" s="37" t="n">
        <f aca="false">SUM(G13:G24)</f>
        <v>222568030855</v>
      </c>
      <c r="H12" s="37" t="n">
        <f aca="false">SUM(H13:H24)</f>
        <v>35482091093</v>
      </c>
      <c r="I12" s="38" t="n">
        <f aca="false">IFERROR(H12/G12,IF(H12&gt;0,100%,IF(H12=0,0,-100%)))</f>
        <v>0.159421328196573</v>
      </c>
      <c r="J12" s="39"/>
      <c r="K12" s="40"/>
      <c r="L12" s="41" t="n">
        <f aca="false">E12-F12</f>
        <v>12415810124</v>
      </c>
      <c r="M12" s="42"/>
      <c r="N12" s="43" t="n">
        <f aca="false">SUM(N13:N24)</f>
        <v>270465932072</v>
      </c>
      <c r="O12" s="43" t="n">
        <f aca="false">E12-N12</f>
        <v>0</v>
      </c>
      <c r="P12" s="43" t="n">
        <f aca="false">SUM(P13:P24)</f>
        <v>258050121948</v>
      </c>
      <c r="Q12" s="43" t="n">
        <f aca="false">F12-P12</f>
        <v>0</v>
      </c>
    </row>
    <row r="13" customFormat="false" ht="13.5" hidden="false" customHeight="false" outlineLevel="0" collapsed="false">
      <c r="B13" s="19" t="s">
        <v>25</v>
      </c>
      <c r="C13" s="45" t="s">
        <v>26</v>
      </c>
      <c r="D13" s="46" t="s">
        <v>27</v>
      </c>
      <c r="E13" s="43" t="n">
        <f aca="false">SUMIF(FS_map!$H:$H,$D13,FS_map!$M:$M)</f>
        <v>8328079411</v>
      </c>
      <c r="F13" s="43" t="n">
        <f aca="false">SUMIF(FS_map!$H:$H,$D13,FS_map!$P:$P)</f>
        <v>8328079411</v>
      </c>
      <c r="G13" s="43" t="n">
        <f aca="false">SUMIF(WBS_2025YE!$D:$D,$D13,WBS_2025YE!$K:$K)</f>
        <v>11105202344</v>
      </c>
      <c r="H13" s="43" t="n">
        <f aca="false">F13-G13</f>
        <v>-2777122933</v>
      </c>
      <c r="I13" s="47" t="n">
        <f aca="false">IFERROR(H13/G13,IF(H13&gt;0,100%,IF(H13=0,0,-100%)))</f>
        <v>-0.250074050609302</v>
      </c>
      <c r="J13" s="48" t="str">
        <f aca="false">IF(AND(ABS(H13)&gt;$I$5,ABS(I13)&gt;5%),"O","")</f>
        <v/>
      </c>
      <c r="K13" s="49"/>
      <c r="L13" s="41" t="n">
        <f aca="false">E13-F13</f>
        <v>0</v>
      </c>
      <c r="M13" s="42"/>
      <c r="N13" s="43" t="n">
        <f aca="false">SUMIF('BS_DEC 2026'!$D:$D,$D13,'BS_DEC 2026'!$E:$E)</f>
        <v>8328079411</v>
      </c>
      <c r="O13" s="43" t="n">
        <f aca="false">E13-N13</f>
        <v>0</v>
      </c>
      <c r="P13" s="43" t="n">
        <f aca="false">SUMIF('BS_DEC 2026'!$D:$D,$D13,'BS_DEC 2026'!$K:$K)</f>
        <v>8328079411</v>
      </c>
      <c r="Q13" s="43" t="n">
        <f aca="false">F13-P13</f>
        <v>0</v>
      </c>
    </row>
    <row r="14" customFormat="false" ht="13.5" hidden="false" customHeight="false" outlineLevel="0" collapsed="false">
      <c r="B14" s="19" t="s">
        <v>28</v>
      </c>
      <c r="C14" s="45" t="s">
        <v>29</v>
      </c>
      <c r="D14" s="46" t="s">
        <v>30</v>
      </c>
      <c r="E14" s="43" t="n">
        <f aca="false">SUMIF(FS_map!$H:$H,$D14,FS_map!$M:$M)</f>
        <v>227594760909</v>
      </c>
      <c r="F14" s="43" t="n">
        <f aca="false">SUMIF(FS_map!$H:$H,$D14,FS_map!$P:$P)</f>
        <v>215178950785</v>
      </c>
      <c r="G14" s="43" t="n">
        <f aca="false">SUMIF(WBS_2025YE!$D:$D,$D14,WBS_2025YE!$K:$K)</f>
        <v>166754777499</v>
      </c>
      <c r="H14" s="43" t="n">
        <f aca="false">F14-G14</f>
        <v>48424173286</v>
      </c>
      <c r="I14" s="47" t="n">
        <f aca="false">IFERROR(H14/G14,IF(H14&gt;0,100%,IF(H14=0,0,-100%)))</f>
        <v>0.290391519884882</v>
      </c>
      <c r="J14" s="48" t="str">
        <f aca="false">IF(AND(ABS(H14)&gt;$I$5,ABS(I14)&gt;5%),"O","")</f>
        <v>O</v>
      </c>
      <c r="K14" s="49"/>
      <c r="L14" s="41" t="n">
        <f aca="false">E14-F14</f>
        <v>12415810124</v>
      </c>
      <c r="M14" s="42"/>
      <c r="N14" s="43" t="n">
        <f aca="false">SUMIF('BS_DEC 2026'!$D:$D,$D14,'BS_DEC 2026'!$E:$E)</f>
        <v>227594760909</v>
      </c>
      <c r="O14" s="43" t="n">
        <f aca="false">E14-N14</f>
        <v>0</v>
      </c>
      <c r="P14" s="43" t="n">
        <f aca="false">SUMIF('BS_DEC 2026'!$D:$D,$D14,'BS_DEC 2026'!$K:$K)</f>
        <v>215178950785</v>
      </c>
      <c r="Q14" s="43" t="n">
        <f aca="false">F14-P14</f>
        <v>0</v>
      </c>
    </row>
    <row r="15" customFormat="false" ht="13.5" hidden="false" customHeight="false" outlineLevel="0" collapsed="false">
      <c r="B15" s="19" t="s">
        <v>31</v>
      </c>
      <c r="C15" s="45" t="s">
        <v>32</v>
      </c>
      <c r="D15" s="46" t="s">
        <v>33</v>
      </c>
      <c r="E15" s="43" t="n">
        <f aca="false">SUMIF(FS_map!$H:$H,$D15,FS_map!$M:$M)</f>
        <v>-118149382</v>
      </c>
      <c r="F15" s="43" t="n">
        <f aca="false">SUMIF(FS_map!$H:$H,$D15,FS_map!$P:$P)</f>
        <v>-118149382</v>
      </c>
      <c r="G15" s="43" t="n">
        <f aca="false">SUMIF(WBS_2025YE!$D:$D,$D15,WBS_2025YE!$K:$K)</f>
        <v>-122273991</v>
      </c>
      <c r="H15" s="43" t="n">
        <f aca="false">F15-G15</f>
        <v>4124609</v>
      </c>
      <c r="I15" s="47" t="n">
        <f aca="false">IFERROR(H15/G15,IF(H15&gt;0,100%,IF(H15=0,0,-100%)))</f>
        <v>-0.0337325130738556</v>
      </c>
      <c r="J15" s="48" t="str">
        <f aca="false">IF(AND(ABS(H15)&gt;$I$5,ABS(I15)&gt;5%),"O","")</f>
        <v/>
      </c>
      <c r="K15" s="50"/>
      <c r="L15" s="41" t="n">
        <f aca="false">E15-F15</f>
        <v>0</v>
      </c>
      <c r="M15" s="42"/>
      <c r="N15" s="43" t="n">
        <f aca="false">SUMIF('BS_DEC 2026'!$D:$D,$D15,'BS_DEC 2026'!$E:$E)</f>
        <v>-118149382</v>
      </c>
      <c r="O15" s="43" t="n">
        <f aca="false">E15-N15</f>
        <v>0</v>
      </c>
      <c r="P15" s="43" t="n">
        <f aca="false">SUMIF('BS_DEC 2026'!$D:$D,$D15,'BS_DEC 2026'!$K:$K)</f>
        <v>-118149382</v>
      </c>
      <c r="Q15" s="43" t="n">
        <f aca="false">F15-P15</f>
        <v>0</v>
      </c>
    </row>
    <row r="16" customFormat="false" ht="13.5" hidden="false" customHeight="false" outlineLevel="0" collapsed="false">
      <c r="B16" s="19" t="s">
        <v>34</v>
      </c>
      <c r="C16" s="45" t="s">
        <v>35</v>
      </c>
      <c r="D16" s="46" t="s">
        <v>36</v>
      </c>
      <c r="E16" s="43" t="n">
        <f aca="false">SUMIF(FS_map!$H:$H,$D16,FS_map!$M:$M)</f>
        <v>12002662102</v>
      </c>
      <c r="F16" s="43" t="n">
        <f aca="false">SUMIF(FS_map!$H:$H,$D16,FS_map!$P:$P)</f>
        <v>12002662102</v>
      </c>
      <c r="G16" s="43" t="n">
        <f aca="false">SUMIF(WBS_2025YE!$D:$D,$D16,WBS_2025YE!$K:$K)</f>
        <v>19254727447</v>
      </c>
      <c r="H16" s="43" t="n">
        <f aca="false">F16-G16</f>
        <v>-7252065345</v>
      </c>
      <c r="I16" s="47" t="n">
        <f aca="false">IFERROR(H16/G16,IF(H16&gt;0,100%,IF(H16=0,0,-100%)))</f>
        <v>-0.376638171844386</v>
      </c>
      <c r="J16" s="48" t="str">
        <f aca="false">IF(AND(ABS(H16)&gt;$I$5,ABS(I16)&gt;5%),"O","")</f>
        <v>O</v>
      </c>
      <c r="K16" s="50"/>
      <c r="L16" s="41" t="n">
        <f aca="false">E16-F16</f>
        <v>0</v>
      </c>
      <c r="M16" s="51"/>
      <c r="N16" s="43" t="n">
        <f aca="false">SUMIF('BS_DEC 2026'!$D:$D,$D16,'BS_DEC 2026'!$E:$E)</f>
        <v>12002662102</v>
      </c>
      <c r="O16" s="43" t="n">
        <f aca="false">E16-N16</f>
        <v>0</v>
      </c>
      <c r="P16" s="43" t="n">
        <f aca="false">SUMIF('BS_DEC 2026'!$D:$D,$D16,'BS_DEC 2026'!$K:$K)</f>
        <v>12002662102</v>
      </c>
      <c r="Q16" s="43" t="n">
        <f aca="false">F16-P16</f>
        <v>0</v>
      </c>
    </row>
    <row r="17" customFormat="false" ht="13.5" hidden="false" customHeight="false" outlineLevel="0" collapsed="false">
      <c r="B17" s="19" t="s">
        <v>37</v>
      </c>
      <c r="C17" s="45" t="s">
        <v>38</v>
      </c>
      <c r="D17" s="46" t="s">
        <v>39</v>
      </c>
      <c r="E17" s="43" t="n">
        <f aca="false">SUMIF(FS_map!$H:$H,$D17,FS_map!$M:$M)</f>
        <v>0</v>
      </c>
      <c r="F17" s="43" t="n">
        <f aca="false">SUMIF(FS_map!$H:$H,$D17,FS_map!$P:$P)</f>
        <v>0</v>
      </c>
      <c r="G17" s="43" t="n">
        <f aca="false">SUMIF(WBS_2025YE!$D:$D,$D17,WBS_2025YE!$K:$K)</f>
        <v>0</v>
      </c>
      <c r="H17" s="43" t="n">
        <f aca="false">F17-G17</f>
        <v>0</v>
      </c>
      <c r="I17" s="47" t="n">
        <f aca="false">IFERROR(H17/G17,IF(H17&gt;0,100%,IF(H17=0,0,-100%)))</f>
        <v>0</v>
      </c>
      <c r="J17" s="48" t="str">
        <f aca="false">IF(AND(ABS(H17)&gt;$I$5,ABS(I17)&gt;5%),"O","")</f>
        <v/>
      </c>
      <c r="K17" s="50"/>
      <c r="L17" s="41" t="n">
        <f aca="false">E17-F17</f>
        <v>0</v>
      </c>
      <c r="M17" s="42"/>
      <c r="N17" s="43" t="n">
        <f aca="false">SUMIF('BS_DEC 2026'!$D:$D,$D17,'BS_DEC 2026'!$E:$E)</f>
        <v>0</v>
      </c>
      <c r="O17" s="43" t="n">
        <f aca="false">E17-N17</f>
        <v>0</v>
      </c>
      <c r="P17" s="43" t="n">
        <f aca="false">SUMIF('BS_DEC 2026'!$D:$D,$D17,'BS_DEC 2026'!$K:$K)</f>
        <v>0</v>
      </c>
      <c r="Q17" s="43" t="n">
        <f aca="false">F17-P17</f>
        <v>0</v>
      </c>
    </row>
    <row r="18" customFormat="false" ht="13.5" hidden="false" customHeight="false" outlineLevel="0" collapsed="false">
      <c r="B18" s="19" t="s">
        <v>40</v>
      </c>
      <c r="C18" s="45" t="s">
        <v>41</v>
      </c>
      <c r="D18" s="46" t="s">
        <v>42</v>
      </c>
      <c r="E18" s="43" t="n">
        <f aca="false">SUMIF(FS_map!$H:$H,$D18,FS_map!$M:$M)</f>
        <v>981690770</v>
      </c>
      <c r="F18" s="43" t="n">
        <f aca="false">SUMIF(FS_map!$H:$H,$D18,FS_map!$P:$P)</f>
        <v>981690770</v>
      </c>
      <c r="G18" s="43" t="n">
        <f aca="false">SUMIF(WBS_2025YE!$D:$D,$D18,WBS_2025YE!$K:$K)</f>
        <v>979522461</v>
      </c>
      <c r="H18" s="43" t="n">
        <f aca="false">F18-G18</f>
        <v>2168309</v>
      </c>
      <c r="I18" s="47" t="n">
        <f aca="false">IFERROR(H18/G18,IF(H18&gt;0,100%,IF(H18=0,0,-100%)))</f>
        <v>0.00221363887642389</v>
      </c>
      <c r="J18" s="48" t="str">
        <f aca="false">IF(AND(ABS(H18)&gt;$I$5,ABS(I18)&gt;5%),"O","")</f>
        <v/>
      </c>
      <c r="K18" s="49"/>
      <c r="L18" s="41" t="n">
        <f aca="false">E18-F18</f>
        <v>0</v>
      </c>
      <c r="M18" s="51"/>
      <c r="N18" s="43" t="n">
        <f aca="false">SUMIF('BS_DEC 2026'!$D:$D,$D18,'BS_DEC 2026'!$E:$E)</f>
        <v>981690770</v>
      </c>
      <c r="O18" s="43" t="n">
        <f aca="false">E18-N18</f>
        <v>0</v>
      </c>
      <c r="P18" s="43" t="n">
        <f aca="false">SUMIF('BS_DEC 2026'!$D:$D,$D18,'BS_DEC 2026'!$K:$K)</f>
        <v>981690770</v>
      </c>
      <c r="Q18" s="43" t="n">
        <f aca="false">F18-P18</f>
        <v>0</v>
      </c>
    </row>
    <row r="19" customFormat="false" ht="13.5" hidden="false" customHeight="false" outlineLevel="0" collapsed="false">
      <c r="B19" s="19" t="s">
        <v>43</v>
      </c>
      <c r="C19" s="45" t="s">
        <v>44</v>
      </c>
      <c r="D19" s="46" t="s">
        <v>45</v>
      </c>
      <c r="E19" s="43" t="n">
        <f aca="false">SUMIF(FS_map!$H:$H,$D19,FS_map!$M:$M)</f>
        <v>1159433436</v>
      </c>
      <c r="F19" s="43" t="n">
        <f aca="false">SUMIF(FS_map!$H:$H,$D19,FS_map!$P:$P)</f>
        <v>1159433436</v>
      </c>
      <c r="G19" s="43" t="n">
        <f aca="false">SUMIF(WBS_2025YE!$D:$D,$D19,WBS_2025YE!$K:$K)</f>
        <v>93970356</v>
      </c>
      <c r="H19" s="43" t="n">
        <f aca="false">F19-G19</f>
        <v>1065463080</v>
      </c>
      <c r="I19" s="47" t="n">
        <f aca="false">IFERROR(H19/G19,IF(H19&gt;0,100%,IF(H19=0,0,-100%)))</f>
        <v>11.3382892792276</v>
      </c>
      <c r="J19" s="48" t="str">
        <f aca="false">IF(AND(ABS(H19)&gt;$I$5,ABS(I19)&gt;5%),"O","")</f>
        <v/>
      </c>
      <c r="K19" s="49"/>
      <c r="L19" s="41" t="n">
        <f aca="false">E19-F19</f>
        <v>0</v>
      </c>
      <c r="M19" s="42"/>
      <c r="N19" s="43" t="n">
        <f aca="false">SUMIF('BS_DEC 2026'!$D:$D,$D19,'BS_DEC 2026'!$E:$E)</f>
        <v>1159433436</v>
      </c>
      <c r="O19" s="43" t="n">
        <f aca="false">E19-N19</f>
        <v>0</v>
      </c>
      <c r="P19" s="43" t="n">
        <f aca="false">SUMIF('BS_DEC 2026'!$D:$D,$D19,'BS_DEC 2026'!$K:$K)</f>
        <v>1159433436</v>
      </c>
      <c r="Q19" s="43" t="n">
        <f aca="false">F19-P19</f>
        <v>0</v>
      </c>
    </row>
    <row r="20" customFormat="false" ht="13.5" hidden="false" customHeight="false" outlineLevel="0" collapsed="false">
      <c r="B20" s="19" t="s">
        <v>46</v>
      </c>
      <c r="C20" s="45" t="s">
        <v>47</v>
      </c>
      <c r="D20" s="46" t="s">
        <v>48</v>
      </c>
      <c r="E20" s="43" t="n">
        <f aca="false">SUMIF(FS_map!$H:$H,$D20,FS_map!$M:$M)</f>
        <v>0</v>
      </c>
      <c r="F20" s="43" t="n">
        <f aca="false">SUMIF(FS_map!$H:$H,$D20,FS_map!$P:$P)</f>
        <v>0</v>
      </c>
      <c r="G20" s="43" t="n">
        <f aca="false">SUMIF(WBS_2025YE!$D:$D,$D20,WBS_2025YE!$K:$K)</f>
        <v>0</v>
      </c>
      <c r="H20" s="43" t="n">
        <f aca="false">F20-G20</f>
        <v>0</v>
      </c>
      <c r="I20" s="47" t="n">
        <f aca="false">IFERROR(H20/G20,IF(H20&gt;0,100%,IF(H20=0,0,-100%)))</f>
        <v>0</v>
      </c>
      <c r="J20" s="48" t="str">
        <f aca="false">IF(AND(ABS(H20)&gt;$I$5,ABS(I20)&gt;5%),"O","")</f>
        <v/>
      </c>
      <c r="K20" s="50"/>
      <c r="L20" s="41" t="n">
        <f aca="false">E20-F20</f>
        <v>0</v>
      </c>
      <c r="M20" s="42"/>
      <c r="N20" s="43" t="n">
        <f aca="false">SUMIF('BS_DEC 2026'!$D:$D,$D20,'BS_DEC 2026'!$E:$E)</f>
        <v>0</v>
      </c>
      <c r="O20" s="43" t="n">
        <f aca="false">E20-N20</f>
        <v>0</v>
      </c>
      <c r="P20" s="43" t="n">
        <f aca="false">SUMIF('BS_DEC 2026'!$D:$D,$D20,'BS_DEC 2026'!$K:$K)</f>
        <v>0</v>
      </c>
      <c r="Q20" s="43" t="n">
        <f aca="false">F20-P20</f>
        <v>0</v>
      </c>
    </row>
    <row r="21" customFormat="false" ht="13.5" hidden="false" customHeight="false" outlineLevel="0" collapsed="false">
      <c r="B21" s="19" t="s">
        <v>49</v>
      </c>
      <c r="C21" s="45" t="s">
        <v>50</v>
      </c>
      <c r="D21" s="46" t="s">
        <v>51</v>
      </c>
      <c r="E21" s="43" t="n">
        <f aca="false">SUMIF(FS_map!$H:$H,$D21,FS_map!$M:$M)</f>
        <v>0</v>
      </c>
      <c r="F21" s="43" t="n">
        <f aca="false">SUMIF(FS_map!$H:$H,$D21,FS_map!$P:$P)</f>
        <v>0</v>
      </c>
      <c r="G21" s="43" t="n">
        <f aca="false">SUMIF(WBS_2025YE!$D:$D,$D21,WBS_2025YE!$K:$K)</f>
        <v>0</v>
      </c>
      <c r="H21" s="43" t="n">
        <f aca="false">F21-G21</f>
        <v>0</v>
      </c>
      <c r="I21" s="47" t="n">
        <f aca="false">IFERROR(H21/G21,IF(H21&gt;0,100%,IF(H21=0,0,-100%)))</f>
        <v>0</v>
      </c>
      <c r="J21" s="48" t="str">
        <f aca="false">IF(AND(ABS(H21)&gt;$I$5,ABS(I21)&gt;5%),"O","")</f>
        <v/>
      </c>
      <c r="K21" s="50"/>
      <c r="L21" s="41" t="n">
        <f aca="false">E21-F21</f>
        <v>0</v>
      </c>
      <c r="M21" s="42"/>
      <c r="N21" s="43" t="n">
        <f aca="false">SUMIF('BS_DEC 2026'!$D:$D,$D21,'BS_DEC 2026'!$E:$E)</f>
        <v>0</v>
      </c>
      <c r="O21" s="43" t="n">
        <f aca="false">E21-N21</f>
        <v>0</v>
      </c>
      <c r="P21" s="43" t="n">
        <f aca="false">SUMIF('BS_DEC 2026'!$D:$D,$D21,'BS_DEC 2026'!$K:$K)</f>
        <v>0</v>
      </c>
      <c r="Q21" s="43" t="n">
        <f aca="false">F21-P21</f>
        <v>0</v>
      </c>
    </row>
    <row r="22" customFormat="false" ht="13.5" hidden="false" customHeight="false" outlineLevel="0" collapsed="false">
      <c r="B22" s="19" t="s">
        <v>52</v>
      </c>
      <c r="C22" s="45" t="s">
        <v>53</v>
      </c>
      <c r="D22" s="46" t="s">
        <v>54</v>
      </c>
      <c r="E22" s="43" t="n">
        <f aca="false">SUMIF(FS_map!$H:$H,$D22,FS_map!$M:$M)</f>
        <v>1049728634</v>
      </c>
      <c r="F22" s="43" t="n">
        <f aca="false">SUMIF(FS_map!$H:$H,$D22,FS_map!$P:$P)</f>
        <v>1049728634</v>
      </c>
      <c r="G22" s="43" t="n">
        <f aca="false">SUMIF(WBS_2025YE!$D:$D,$D22,WBS_2025YE!$K:$K)</f>
        <v>307501499</v>
      </c>
      <c r="H22" s="43" t="n">
        <f aca="false">F22-G22</f>
        <v>742227135</v>
      </c>
      <c r="I22" s="47" t="n">
        <f aca="false">IFERROR(H22/G22,IF(H22&gt;0,100%,IF(H22=0,0,-100%)))</f>
        <v>2.41373501402021</v>
      </c>
      <c r="J22" s="48" t="str">
        <f aca="false">IF(AND(ABS(H22)&gt;$I$5,ABS(I22)&gt;5%),"O","")</f>
        <v/>
      </c>
      <c r="K22" s="50"/>
      <c r="L22" s="41" t="n">
        <f aca="false">E22-F22</f>
        <v>0</v>
      </c>
      <c r="M22" s="42"/>
      <c r="N22" s="43" t="n">
        <f aca="false">SUMIF('BS_DEC 2026'!$D:$D,$D22,'BS_DEC 2026'!$E:$E)</f>
        <v>1049728634</v>
      </c>
      <c r="O22" s="43" t="n">
        <f aca="false">E22-N22</f>
        <v>0</v>
      </c>
      <c r="P22" s="43" t="n">
        <f aca="false">SUMIF('BS_DEC 2026'!$D:$D,$D22,'BS_DEC 2026'!$K:$K)</f>
        <v>1049728634</v>
      </c>
      <c r="Q22" s="43" t="n">
        <f aca="false">F22-P22</f>
        <v>0</v>
      </c>
    </row>
    <row r="23" customFormat="false" ht="13.5" hidden="false" customHeight="false" outlineLevel="0" collapsed="false">
      <c r="B23" s="19" t="s">
        <v>55</v>
      </c>
      <c r="C23" s="45" t="s">
        <v>56</v>
      </c>
      <c r="D23" s="46" t="s">
        <v>57</v>
      </c>
      <c r="E23" s="43" t="n">
        <f aca="false">SUMIF(FS_map!$H:$H,$D23,FS_map!$M:$M)</f>
        <v>19467726192</v>
      </c>
      <c r="F23" s="43" t="n">
        <f aca="false">SUMIF(FS_map!$H:$H,$D23,FS_map!$P:$P)</f>
        <v>19467726192</v>
      </c>
      <c r="G23" s="43" t="n">
        <f aca="false">SUMIF(WBS_2025YE!$D:$D,$D23,WBS_2025YE!$K:$K)</f>
        <v>24194603240</v>
      </c>
      <c r="H23" s="43" t="n">
        <f aca="false">F23-G23</f>
        <v>-4726877048</v>
      </c>
      <c r="I23" s="47" t="n">
        <f aca="false">IFERROR(H23/G23,IF(H23&gt;0,100%,IF(H23=0,0,-100%)))</f>
        <v>-0.195369066444753</v>
      </c>
      <c r="J23" s="48" t="str">
        <f aca="false">IF(AND(ABS(H23)&gt;$I$5,ABS(I23)&gt;5%),"O","")</f>
        <v/>
      </c>
      <c r="K23" s="52"/>
      <c r="L23" s="41" t="n">
        <f aca="false">E23-F23</f>
        <v>0</v>
      </c>
      <c r="M23" s="51"/>
      <c r="N23" s="43" t="n">
        <f aca="false">SUMIF('BS_DEC 2026'!$D:$D,$D23,'BS_DEC 2026'!$E:$E)</f>
        <v>19467726192</v>
      </c>
      <c r="O23" s="43" t="n">
        <f aca="false">E23-N23</f>
        <v>0</v>
      </c>
      <c r="P23" s="43" t="n">
        <f aca="false">SUMIF('BS_DEC 2026'!$D:$D,$D23,'BS_DEC 2026'!$K:$K)</f>
        <v>19467726192</v>
      </c>
      <c r="Q23" s="43" t="n">
        <f aca="false">F23-P23</f>
        <v>0</v>
      </c>
    </row>
    <row r="24" customFormat="false" ht="13.5" hidden="false" customHeight="false" outlineLevel="0" collapsed="false">
      <c r="B24" s="19" t="s">
        <v>58</v>
      </c>
      <c r="C24" s="45" t="s">
        <v>59</v>
      </c>
      <c r="D24" s="46" t="s">
        <v>60</v>
      </c>
      <c r="E24" s="43" t="n">
        <f aca="false">SUMIF(FS_map!$H:$H,$D24,FS_map!$M:$M)</f>
        <v>0</v>
      </c>
      <c r="F24" s="43" t="n">
        <f aca="false">SUMIF(FS_map!$H:$H,$D24,FS_map!$P:$P)</f>
        <v>0</v>
      </c>
      <c r="G24" s="43" t="n">
        <f aca="false">SUMIF(WBS_2025YE!$D:$D,$D24,WBS_2025YE!$K:$K)</f>
        <v>0</v>
      </c>
      <c r="H24" s="43" t="n">
        <f aca="false">F24-G24</f>
        <v>0</v>
      </c>
      <c r="I24" s="47" t="n">
        <f aca="false">IFERROR(H24/G24,IF(H24&gt;0,100%,IF(H24=0,0,-100%)))</f>
        <v>0</v>
      </c>
      <c r="J24" s="48" t="str">
        <f aca="false">IF(AND(ABS(H24)&gt;$I$5,ABS(I24)&gt;5%),"O","")</f>
        <v/>
      </c>
      <c r="K24" s="50"/>
      <c r="L24" s="41" t="n">
        <f aca="false">E24-F24</f>
        <v>0</v>
      </c>
      <c r="M24" s="42"/>
      <c r="N24" s="43" t="n">
        <f aca="false">SUMIF('BS_DEC 2026'!$D:$D,$D24,'BS_DEC 2026'!$E:$E)</f>
        <v>0</v>
      </c>
      <c r="O24" s="43" t="n">
        <f aca="false">E24-N24</f>
        <v>0</v>
      </c>
      <c r="P24" s="43" t="n">
        <f aca="false">SUMIF('BS_DEC 2026'!$D:$D,$D24,'BS_DEC 2026'!$K:$K)</f>
        <v>0</v>
      </c>
      <c r="Q24" s="43" t="n">
        <f aca="false">F24-P24</f>
        <v>0</v>
      </c>
    </row>
    <row r="25" customFormat="false" ht="13.5" hidden="false" customHeight="false" outlineLevel="0" collapsed="false">
      <c r="B25" s="19"/>
      <c r="C25" s="45" t="s">
        <v>61</v>
      </c>
      <c r="D25" s="46" t="s">
        <v>62</v>
      </c>
      <c r="E25" s="43" t="n">
        <f aca="false">SUMIF(FS_map!$H:$H,$D25,FS_map!$M:$M)</f>
        <v>0</v>
      </c>
      <c r="F25" s="43" t="n">
        <f aca="false">SUMIF(FS_map!$H:$H,$D25,FS_map!$P:$P)</f>
        <v>0</v>
      </c>
      <c r="G25" s="43" t="n">
        <f aca="false">SUMIF(WBS_2025YE!$D:$D,$D25,WBS_2025YE!$K:$K)</f>
        <v>0</v>
      </c>
      <c r="H25" s="43" t="n">
        <f aca="false">F25-G25</f>
        <v>0</v>
      </c>
      <c r="I25" s="47" t="n">
        <f aca="false">IFERROR(H25/G25,IF(H25&gt;0,100%,IF(H25=0,0,-100%)))</f>
        <v>0</v>
      </c>
      <c r="J25" s="48" t="str">
        <f aca="false">IF(AND(ABS(H25)&gt;$I$5,ABS(I25)&gt;5%),"O","")</f>
        <v/>
      </c>
      <c r="K25" s="50"/>
      <c r="L25" s="41" t="n">
        <f aca="false">E25-F25</f>
        <v>0</v>
      </c>
      <c r="M25" s="42"/>
      <c r="N25" s="43" t="n">
        <f aca="false">SUMIF('BS_DEC 2026'!$D:$D,$D25,'BS_DEC 2026'!$E:$E)</f>
        <v>0</v>
      </c>
      <c r="O25" s="43" t="n">
        <f aca="false">E25-N25</f>
        <v>0</v>
      </c>
      <c r="P25" s="43" t="n">
        <f aca="false">SUMIF('BS_DEC 2026'!$D:$D,$D25,'BS_DEC 2026'!$K:$K)</f>
        <v>0</v>
      </c>
      <c r="Q25" s="43" t="n">
        <f aca="false">F25-P25</f>
        <v>0</v>
      </c>
    </row>
    <row r="26" customFormat="false" ht="13.5" hidden="false" customHeight="false" outlineLevel="0" collapsed="false">
      <c r="B26" s="19"/>
      <c r="C26" s="35"/>
      <c r="D26" s="36"/>
      <c r="E26" s="53"/>
      <c r="F26" s="53"/>
      <c r="G26" s="53"/>
      <c r="H26" s="43"/>
      <c r="I26" s="47" t="n">
        <f aca="false">IFERROR(H26/G26,IF(H26&gt;0,100%,IF(H26=0,0,-100%)))</f>
        <v>0</v>
      </c>
      <c r="J26" s="48" t="str">
        <f aca="false">IF(AND(ABS(H26)&gt;$I$5,ABS(I26)&gt;5%),"O","")</f>
        <v/>
      </c>
      <c r="K26" s="50"/>
      <c r="L26" s="41" t="n">
        <f aca="false">E26-F26</f>
        <v>0</v>
      </c>
      <c r="M26" s="42"/>
    </row>
    <row r="27" customFormat="false" ht="13.5" hidden="false" customHeight="false" outlineLevel="0" collapsed="false">
      <c r="B27" s="19" t="s">
        <v>63</v>
      </c>
      <c r="C27" s="44" t="s">
        <v>64</v>
      </c>
      <c r="D27" s="36"/>
      <c r="E27" s="37" t="n">
        <f aca="false">SUM(E28:E37)</f>
        <v>195439963106</v>
      </c>
      <c r="F27" s="37" t="n">
        <f aca="false">SUM(F28:F37)</f>
        <v>195439963106</v>
      </c>
      <c r="G27" s="37" t="n">
        <f aca="false">SUM(G28:G37)</f>
        <v>176435792670</v>
      </c>
      <c r="H27" s="37" t="n">
        <f aca="false">SUM(H28:H37)</f>
        <v>19004170436</v>
      </c>
      <c r="I27" s="38" t="n">
        <f aca="false">IFERROR(H27/G27,IF(H27&gt;0,100%,IF(H27=0,0,-100%)))</f>
        <v>0.107711537145668</v>
      </c>
      <c r="J27" s="39" t="str">
        <f aca="false">IF(AND(ABS(H27)&gt;$I$5,ABS(I27)&gt;5%),"O","")</f>
        <v>O</v>
      </c>
      <c r="K27" s="40"/>
      <c r="L27" s="41" t="n">
        <f aca="false">E27-F27</f>
        <v>0</v>
      </c>
      <c r="M27" s="42"/>
      <c r="N27" s="43" t="n">
        <f aca="false">SUM(N28:N37)</f>
        <v>195439963106</v>
      </c>
      <c r="O27" s="43" t="n">
        <f aca="false">E27-N27</f>
        <v>0</v>
      </c>
      <c r="P27" s="43" t="n">
        <f aca="false">SUM(P28:P37)</f>
        <v>195439963106</v>
      </c>
      <c r="Q27" s="43" t="n">
        <f aca="false">F27-P27</f>
        <v>0</v>
      </c>
    </row>
    <row r="28" customFormat="false" ht="13.5" hidden="false" customHeight="false" outlineLevel="0" collapsed="false">
      <c r="B28" s="19" t="s">
        <v>65</v>
      </c>
      <c r="C28" s="45" t="s">
        <v>26</v>
      </c>
      <c r="D28" s="46" t="s">
        <v>66</v>
      </c>
      <c r="E28" s="43" t="n">
        <f aca="false">SUMIF(FS_map!$H:$H,$D28,FS_map!$M:$M)</f>
        <v>180063595464</v>
      </c>
      <c r="F28" s="43" t="n">
        <f aca="false">SUMIF(FS_map!$H:$H,$D28,FS_map!$P:$P)</f>
        <v>180063595464</v>
      </c>
      <c r="G28" s="43" t="n">
        <f aca="false">SUMIF(WBS_2025YE!$D:$D,$D28,WBS_2025YE!$K:$K)</f>
        <v>160568039290</v>
      </c>
      <c r="H28" s="43" t="n">
        <f aca="false">F28-G28</f>
        <v>19495556174</v>
      </c>
      <c r="I28" s="47" t="n">
        <f aca="false">IFERROR(H28/G28,IF(H28&gt;0,100%,IF(H28=0,0,-100%)))</f>
        <v>0.121416168872744</v>
      </c>
      <c r="J28" s="48" t="str">
        <f aca="false">IF(AND(ABS(H28)&gt;$I$5,ABS(I28)&gt;5%),"O","")</f>
        <v>O</v>
      </c>
      <c r="K28" s="49"/>
      <c r="L28" s="41" t="n">
        <f aca="false">E28-F28</f>
        <v>0</v>
      </c>
      <c r="M28" s="42"/>
      <c r="N28" s="43" t="n">
        <f aca="false">SUMIF('BS_DEC 2026'!$D:$D,$D28,'BS_DEC 2026'!$E:$E)</f>
        <v>180063595464</v>
      </c>
      <c r="O28" s="43" t="n">
        <f aca="false">E28-N28</f>
        <v>0</v>
      </c>
      <c r="P28" s="43" t="n">
        <f aca="false">SUMIF('BS_DEC 2026'!$D:$D,$D28,'BS_DEC 2026'!$K:$K)</f>
        <v>180063595464</v>
      </c>
      <c r="Q28" s="43" t="n">
        <f aca="false">F28-P28</f>
        <v>0</v>
      </c>
    </row>
    <row r="29" customFormat="false" ht="13.5" hidden="false" customHeight="false" outlineLevel="0" collapsed="false">
      <c r="B29" s="19" t="s">
        <v>67</v>
      </c>
      <c r="C29" s="45"/>
      <c r="D29" s="46" t="s">
        <v>68</v>
      </c>
      <c r="E29" s="43" t="n">
        <f aca="false">SUMIF(FS_map!$H:$H,$D29,FS_map!$M:$M)</f>
        <v>-2420155943</v>
      </c>
      <c r="F29" s="43" t="n">
        <f aca="false">SUMIF(FS_map!$H:$H,$D29,FS_map!$P:$P)</f>
        <v>-2420155943</v>
      </c>
      <c r="G29" s="43" t="n">
        <f aca="false">SUMIF(WBS_2025YE!$D:$D,$D29,WBS_2025YE!$K:$K)</f>
        <v>-4823897784</v>
      </c>
      <c r="H29" s="43" t="n">
        <f aca="false">F29-G29</f>
        <v>2403741841</v>
      </c>
      <c r="I29" s="47" t="n">
        <f aca="false">IFERROR(H29/G29,IF(H29&gt;0,100%,IF(H29=0,0,-100%)))</f>
        <v>-0.498298668137782</v>
      </c>
      <c r="J29" s="48" t="str">
        <f aca="false">IF(AND(ABS(H29)&gt;$I$5,ABS(I29)&gt;5%),"O","")</f>
        <v/>
      </c>
      <c r="K29" s="49"/>
      <c r="L29" s="41" t="n">
        <f aca="false">E29-F29</f>
        <v>0</v>
      </c>
      <c r="M29" s="51"/>
      <c r="N29" s="43" t="n">
        <f aca="false">SUMIF('BS_DEC 2026'!$D:$D,$D29,'BS_DEC 2026'!$E:$E)</f>
        <v>-2420155943</v>
      </c>
      <c r="O29" s="43" t="n">
        <f aca="false">E29-N29</f>
        <v>0</v>
      </c>
      <c r="P29" s="43" t="n">
        <f aca="false">SUMIF('BS_DEC 2026'!$D:$D,$D29,'BS_DEC 2026'!$K:$K)</f>
        <v>-2420155943</v>
      </c>
      <c r="Q29" s="43" t="n">
        <f aca="false">F29-P29</f>
        <v>0</v>
      </c>
    </row>
    <row r="30" customFormat="false" ht="13.5" hidden="false" customHeight="false" outlineLevel="0" collapsed="false">
      <c r="B30" s="19" t="s">
        <v>69</v>
      </c>
      <c r="C30" s="45" t="s">
        <v>29</v>
      </c>
      <c r="D30" s="46" t="s">
        <v>70</v>
      </c>
      <c r="E30" s="43" t="n">
        <f aca="false">SUMIF(FS_map!$H:$H,$D30,FS_map!$M:$M)</f>
        <v>0</v>
      </c>
      <c r="F30" s="43" t="n">
        <f aca="false">SUMIF(FS_map!$H:$H,$D30,FS_map!$P:$P)</f>
        <v>0</v>
      </c>
      <c r="G30" s="43" t="n">
        <f aca="false">SUMIF(WBS_2025YE!$D:$D,$D30,WBS_2025YE!$K:$K)</f>
        <v>0</v>
      </c>
      <c r="H30" s="43" t="n">
        <f aca="false">F30-G30</f>
        <v>0</v>
      </c>
      <c r="I30" s="47" t="n">
        <f aca="false">IFERROR(H30/G30,IF(H30&gt;0,100%,IF(H30=0,0,-100%)))</f>
        <v>0</v>
      </c>
      <c r="J30" s="48" t="str">
        <f aca="false">IF(AND(ABS(H30)&gt;$I$5,ABS(I30)&gt;5%),"O","")</f>
        <v/>
      </c>
      <c r="K30" s="50"/>
      <c r="L30" s="41" t="n">
        <f aca="false">E30-F30</f>
        <v>0</v>
      </c>
      <c r="M30" s="42"/>
      <c r="N30" s="43" t="n">
        <f aca="false">SUMIF('BS_DEC 2026'!$D:$D,$D30,'BS_DEC 2026'!$E:$E)</f>
        <v>0</v>
      </c>
      <c r="O30" s="43" t="n">
        <f aca="false">E30-N30</f>
        <v>0</v>
      </c>
      <c r="P30" s="43" t="n">
        <f aca="false">SUMIF('BS_DEC 2026'!$D:$D,$D30,'BS_DEC 2026'!$K:$K)</f>
        <v>0</v>
      </c>
      <c r="Q30" s="43" t="n">
        <f aca="false">F30-P30</f>
        <v>0</v>
      </c>
    </row>
    <row r="31" customFormat="false" ht="13.5" hidden="false" customHeight="false" outlineLevel="0" collapsed="false">
      <c r="B31" s="19" t="s">
        <v>67</v>
      </c>
      <c r="C31" s="35"/>
      <c r="D31" s="46" t="s">
        <v>71</v>
      </c>
      <c r="E31" s="43" t="n">
        <f aca="false">SUMIF(FS_map!$H:$H,$D31,FS_map!$M:$M)</f>
        <v>0</v>
      </c>
      <c r="F31" s="43" t="n">
        <f aca="false">SUMIF(FS_map!$H:$H,$D31,FS_map!$P:$P)</f>
        <v>0</v>
      </c>
      <c r="G31" s="43" t="n">
        <f aca="false">SUMIF(WBS_2025YE!$D:$D,$D31,WBS_2025YE!$K:$K)</f>
        <v>0</v>
      </c>
      <c r="H31" s="43" t="n">
        <f aca="false">F31-G31</f>
        <v>0</v>
      </c>
      <c r="I31" s="47" t="n">
        <f aca="false">IFERROR(H31/G31,IF(H31&gt;0,100%,IF(H31=0,0,-100%)))</f>
        <v>0</v>
      </c>
      <c r="J31" s="48" t="str">
        <f aca="false">IF(AND(ABS(H31)&gt;$I$5,ABS(I31)&gt;5%),"O","")</f>
        <v/>
      </c>
      <c r="K31" s="50"/>
      <c r="L31" s="41" t="n">
        <f aca="false">E31-F31</f>
        <v>0</v>
      </c>
      <c r="M31" s="42"/>
      <c r="N31" s="43" t="n">
        <f aca="false">SUMIF('BS_DEC 2026'!$D:$D,$D31,'BS_DEC 2026'!$E:$E)</f>
        <v>0</v>
      </c>
      <c r="O31" s="43" t="n">
        <f aca="false">E31-N31</f>
        <v>0</v>
      </c>
      <c r="P31" s="43" t="n">
        <f aca="false">SUMIF('BS_DEC 2026'!$D:$D,$D31,'BS_DEC 2026'!$K:$K)</f>
        <v>0</v>
      </c>
      <c r="Q31" s="43" t="n">
        <f aca="false">F31-P31</f>
        <v>0</v>
      </c>
    </row>
    <row r="32" customFormat="false" ht="13.5" hidden="false" customHeight="false" outlineLevel="0" collapsed="false">
      <c r="B32" s="19" t="s">
        <v>72</v>
      </c>
      <c r="C32" s="45" t="s">
        <v>32</v>
      </c>
      <c r="D32" s="46" t="s">
        <v>73</v>
      </c>
      <c r="E32" s="43" t="n">
        <f aca="false">SUMIF(FS_map!$H:$H,$D32,FS_map!$M:$M)</f>
        <v>0</v>
      </c>
      <c r="F32" s="43" t="n">
        <f aca="false">SUMIF(FS_map!$H:$H,$D32,FS_map!$P:$P)</f>
        <v>0</v>
      </c>
      <c r="G32" s="43" t="n">
        <f aca="false">SUMIF(WBS_2025YE!$D:$D,$D32,WBS_2025YE!$K:$K)</f>
        <v>0</v>
      </c>
      <c r="H32" s="43" t="n">
        <f aca="false">F32-G32</f>
        <v>0</v>
      </c>
      <c r="I32" s="47" t="n">
        <f aca="false">IFERROR(H32/G32,IF(H32&gt;0,100%,IF(H32=0,0,-100%)))</f>
        <v>0</v>
      </c>
      <c r="J32" s="48" t="str">
        <f aca="false">IF(AND(ABS(H32)&gt;$I$5,ABS(I32)&gt;5%),"O","")</f>
        <v/>
      </c>
      <c r="K32" s="50"/>
      <c r="L32" s="41" t="n">
        <f aca="false">E32-F32</f>
        <v>0</v>
      </c>
      <c r="M32" s="42"/>
      <c r="N32" s="43" t="n">
        <f aca="false">SUMIF('BS_DEC 2026'!$D:$D,$D32,'BS_DEC 2026'!$E:$E)</f>
        <v>0</v>
      </c>
      <c r="O32" s="43" t="n">
        <f aca="false">E32-N32</f>
        <v>0</v>
      </c>
      <c r="P32" s="43" t="n">
        <f aca="false">SUMIF('BS_DEC 2026'!$D:$D,$D32,'BS_DEC 2026'!$K:$K)</f>
        <v>0</v>
      </c>
      <c r="Q32" s="43" t="n">
        <f aca="false">F32-P32</f>
        <v>0</v>
      </c>
    </row>
    <row r="33" customFormat="false" ht="13.5" hidden="false" customHeight="false" outlineLevel="0" collapsed="false">
      <c r="B33" s="19" t="s">
        <v>74</v>
      </c>
      <c r="C33" s="45" t="s">
        <v>35</v>
      </c>
      <c r="D33" s="46" t="s">
        <v>75</v>
      </c>
      <c r="E33" s="43" t="n">
        <f aca="false">SUMIF(FS_map!$H:$H,$D33,FS_map!$M:$M)</f>
        <v>0</v>
      </c>
      <c r="F33" s="43" t="n">
        <f aca="false">SUMIF(FS_map!$H:$H,$D33,FS_map!$P:$P)</f>
        <v>0</v>
      </c>
      <c r="G33" s="43" t="n">
        <f aca="false">SUMIF(WBS_2025YE!$D:$D,$D33,WBS_2025YE!$K:$K)</f>
        <v>0</v>
      </c>
      <c r="H33" s="43" t="n">
        <f aca="false">F33-G33</f>
        <v>0</v>
      </c>
      <c r="I33" s="47" t="n">
        <f aca="false">IFERROR(H33/G33,IF(H33&gt;0,100%,IF(H33=0,0,-100%)))</f>
        <v>0</v>
      </c>
      <c r="J33" s="48" t="str">
        <f aca="false">IF(AND(ABS(H33)&gt;$I$5,ABS(I33)&gt;5%),"O","")</f>
        <v/>
      </c>
      <c r="K33" s="50"/>
      <c r="L33" s="41" t="n">
        <f aca="false">E33-F33</f>
        <v>0</v>
      </c>
      <c r="M33" s="42"/>
      <c r="N33" s="43" t="n">
        <f aca="false">SUMIF('BS_DEC 2026'!$D:$D,$D33,'BS_DEC 2026'!$E:$E)</f>
        <v>0</v>
      </c>
      <c r="O33" s="43" t="n">
        <f aca="false">E33-N33</f>
        <v>0</v>
      </c>
      <c r="P33" s="43" t="n">
        <f aca="false">SUMIF('BS_DEC 2026'!$D:$D,$D33,'BS_DEC 2026'!$K:$K)</f>
        <v>0</v>
      </c>
      <c r="Q33" s="43" t="n">
        <f aca="false">F33-P33</f>
        <v>0</v>
      </c>
    </row>
    <row r="34" customFormat="false" ht="13.5" hidden="false" customHeight="false" outlineLevel="0" collapsed="false">
      <c r="B34" s="19" t="s">
        <v>76</v>
      </c>
      <c r="C34" s="45"/>
      <c r="D34" s="46" t="s">
        <v>77</v>
      </c>
      <c r="E34" s="43" t="n">
        <f aca="false">SUMIF(FS_map!$H:$H,$D34,FS_map!$M:$M)</f>
        <v>0</v>
      </c>
      <c r="F34" s="43" t="n">
        <f aca="false">SUMIF(FS_map!$H:$H,$D34,FS_map!$P:$P)</f>
        <v>0</v>
      </c>
      <c r="G34" s="43" t="n">
        <f aca="false">SUMIF(WBS_2025YE!$D:$D,$D34,WBS_2025YE!$K:$K)</f>
        <v>0</v>
      </c>
      <c r="H34" s="43" t="n">
        <f aca="false">F34-G34</f>
        <v>0</v>
      </c>
      <c r="I34" s="47" t="n">
        <f aca="false">IFERROR(H34/G34,IF(H34&gt;0,100%,IF(H34=0,0,-100%)))</f>
        <v>0</v>
      </c>
      <c r="J34" s="48" t="str">
        <f aca="false">IF(AND(ABS(H34)&gt;$I$5,ABS(I34)&gt;5%),"O","")</f>
        <v/>
      </c>
      <c r="K34" s="50"/>
      <c r="L34" s="41" t="n">
        <f aca="false">E34-F34</f>
        <v>0</v>
      </c>
      <c r="M34" s="42"/>
      <c r="N34" s="43" t="n">
        <f aca="false">SUMIF('BS_DEC 2026'!$D:$D,$D34,'BS_DEC 2026'!$E:$E)</f>
        <v>0</v>
      </c>
      <c r="O34" s="43" t="n">
        <f aca="false">E34-N34</f>
        <v>0</v>
      </c>
      <c r="P34" s="43" t="n">
        <f aca="false">SUMIF('BS_DEC 2026'!$D:$D,$D34,'BS_DEC 2026'!$K:$K)</f>
        <v>0</v>
      </c>
      <c r="Q34" s="43" t="n">
        <f aca="false">F34-P34</f>
        <v>0</v>
      </c>
    </row>
    <row r="35" customFormat="false" ht="13.5" hidden="false" customHeight="false" outlineLevel="0" collapsed="false">
      <c r="B35" s="19" t="s">
        <v>78</v>
      </c>
      <c r="C35" s="45" t="s">
        <v>38</v>
      </c>
      <c r="D35" s="46" t="s">
        <v>79</v>
      </c>
      <c r="E35" s="43" t="n">
        <f aca="false">SUMIF(FS_map!$H:$H,$D35,FS_map!$M:$M)</f>
        <v>0</v>
      </c>
      <c r="F35" s="43" t="n">
        <f aca="false">SUMIF(FS_map!$H:$H,$D35,FS_map!$P:$P)</f>
        <v>0</v>
      </c>
      <c r="G35" s="43" t="n">
        <f aca="false">SUMIF(WBS_2025YE!$D:$D,$D35,WBS_2025YE!$K:$K)</f>
        <v>0</v>
      </c>
      <c r="H35" s="43" t="n">
        <f aca="false">F35-G35</f>
        <v>0</v>
      </c>
      <c r="I35" s="47" t="n">
        <f aca="false">IFERROR(H35/G35,IF(H35&gt;0,100%,IF(H35=0,0,-100%)))</f>
        <v>0</v>
      </c>
      <c r="J35" s="48" t="str">
        <f aca="false">IF(AND(ABS(H35)&gt;$I$5,ABS(I35)&gt;5%),"O","")</f>
        <v/>
      </c>
      <c r="K35" s="50"/>
      <c r="L35" s="41" t="n">
        <f aca="false">E35-F35</f>
        <v>0</v>
      </c>
      <c r="M35" s="42"/>
      <c r="N35" s="43" t="n">
        <f aca="false">SUMIF('BS_DEC 2026'!$D:$D,$D35,'BS_DEC 2026'!$E:$E)</f>
        <v>0</v>
      </c>
      <c r="O35" s="43" t="n">
        <f aca="false">E35-N35</f>
        <v>0</v>
      </c>
      <c r="P35" s="43" t="n">
        <f aca="false">SUMIF('BS_DEC 2026'!$D:$D,$D35,'BS_DEC 2026'!$K:$K)</f>
        <v>0</v>
      </c>
      <c r="Q35" s="43" t="n">
        <f aca="false">F35-P35</f>
        <v>0</v>
      </c>
    </row>
    <row r="36" customFormat="false" ht="13.5" hidden="false" customHeight="false" outlineLevel="0" collapsed="false">
      <c r="B36" s="19" t="s">
        <v>80</v>
      </c>
      <c r="C36" s="45"/>
      <c r="D36" s="46" t="s">
        <v>81</v>
      </c>
      <c r="E36" s="43" t="n">
        <f aca="false">SUMIF(FS_map!$H:$H,$D36,FS_map!$M:$M)</f>
        <v>0</v>
      </c>
      <c r="F36" s="43" t="n">
        <f aca="false">SUMIF(FS_map!$H:$H,$D36,FS_map!$P:$P)</f>
        <v>0</v>
      </c>
      <c r="G36" s="43" t="n">
        <f aca="false">SUMIF(WBS_2025YE!$D:$D,$D36,WBS_2025YE!$K:$K)</f>
        <v>0</v>
      </c>
      <c r="H36" s="43" t="n">
        <f aca="false">F36-G36</f>
        <v>0</v>
      </c>
      <c r="I36" s="47" t="n">
        <f aca="false">IFERROR(H36/G36,IF(H36&gt;0,100%,IF(H36=0,0,-100%)))</f>
        <v>0</v>
      </c>
      <c r="J36" s="48" t="str">
        <f aca="false">IF(AND(ABS(H36)&gt;$I$5,ABS(I36)&gt;5%),"O","")</f>
        <v/>
      </c>
      <c r="K36" s="50"/>
      <c r="L36" s="41" t="n">
        <f aca="false">E36-F36</f>
        <v>0</v>
      </c>
      <c r="M36" s="42"/>
      <c r="N36" s="43" t="n">
        <f aca="false">SUMIF('BS_DEC 2026'!$D:$D,$D36,'BS_DEC 2026'!$E:$E)</f>
        <v>0</v>
      </c>
      <c r="O36" s="43" t="n">
        <f aca="false">E36-N36</f>
        <v>0</v>
      </c>
      <c r="P36" s="43" t="n">
        <f aca="false">SUMIF('BS_DEC 2026'!$D:$D,$D36,'BS_DEC 2026'!$K:$K)</f>
        <v>0</v>
      </c>
      <c r="Q36" s="43" t="n">
        <f aca="false">F36-P36</f>
        <v>0</v>
      </c>
    </row>
    <row r="37" customFormat="false" ht="13.5" hidden="false" customHeight="false" outlineLevel="0" collapsed="false">
      <c r="B37" s="19" t="s">
        <v>82</v>
      </c>
      <c r="C37" s="45" t="s">
        <v>41</v>
      </c>
      <c r="D37" s="54" t="s">
        <v>83</v>
      </c>
      <c r="E37" s="43" t="n">
        <f aca="false">SUMIF(FS_map!$H:$H,$D37,FS_map!$M:$M)</f>
        <v>17796523585</v>
      </c>
      <c r="F37" s="43" t="n">
        <f aca="false">SUMIF(FS_map!$H:$H,$D37,FS_map!$P:$P)</f>
        <v>17796523585</v>
      </c>
      <c r="G37" s="43" t="n">
        <f aca="false">SUMIF(WBS_2025YE!$D:$D,$D37,WBS_2025YE!$K:$K)</f>
        <v>20691651164</v>
      </c>
      <c r="H37" s="43" t="n">
        <f aca="false">F37-G37</f>
        <v>-2895127579</v>
      </c>
      <c r="I37" s="47" t="n">
        <f aca="false">IFERROR(H37/G37,IF(H37&gt;0,100%,IF(H37=0,0,-100%)))</f>
        <v>-0.139917668051404</v>
      </c>
      <c r="J37" s="48" t="str">
        <f aca="false">IF(AND(ABS(H37)&gt;$I$5,ABS(I37)&gt;5%),"O","")</f>
        <v/>
      </c>
      <c r="K37" s="50"/>
      <c r="L37" s="41" t="n">
        <f aca="false">E37-F37</f>
        <v>0</v>
      </c>
      <c r="M37" s="42"/>
      <c r="N37" s="43" t="n">
        <f aca="false">SUMIF('BS_DEC 2026'!$D:$D,$D37,'BS_DEC 2026'!$E:$E)</f>
        <v>17796523585</v>
      </c>
      <c r="O37" s="43" t="n">
        <f aca="false">E37-N37</f>
        <v>0</v>
      </c>
      <c r="P37" s="43" t="n">
        <f aca="false">SUMIF('BS_DEC 2026'!$D:$D,$D37,'BS_DEC 2026'!$K:$K)</f>
        <v>17796523585</v>
      </c>
      <c r="Q37" s="43" t="n">
        <f aca="false">F37-P37</f>
        <v>0</v>
      </c>
    </row>
    <row r="38" customFormat="false" ht="13.5" hidden="false" customHeight="false" outlineLevel="0" collapsed="false">
      <c r="B38" s="19"/>
      <c r="C38" s="35"/>
      <c r="D38" s="36"/>
      <c r="E38" s="53"/>
      <c r="F38" s="53"/>
      <c r="G38" s="53"/>
      <c r="H38" s="43"/>
      <c r="I38" s="47" t="n">
        <f aca="false">IFERROR(H38/G38,IF(H38&gt;0,100%,IF(H38=0,0,-100%)))</f>
        <v>0</v>
      </c>
      <c r="J38" s="48" t="str">
        <f aca="false">IF(AND(ABS(H38)&gt;$I$5,ABS(I38)&gt;5%),"O","")</f>
        <v/>
      </c>
      <c r="K38" s="50"/>
      <c r="L38" s="41" t="n">
        <f aca="false">E38-F38</f>
        <v>0</v>
      </c>
      <c r="M38" s="42"/>
    </row>
    <row r="39" customFormat="false" ht="13.5" hidden="false" customHeight="false" outlineLevel="0" collapsed="false">
      <c r="B39" s="19" t="s">
        <v>84</v>
      </c>
      <c r="C39" s="35" t="s">
        <v>85</v>
      </c>
      <c r="D39" s="36"/>
      <c r="E39" s="37" t="n">
        <f aca="false">+E44+E40+E58+E66+E73</f>
        <v>3546064105</v>
      </c>
      <c r="F39" s="37" t="n">
        <f aca="false">+F44+F40+F58+F66+F73</f>
        <v>3546064105</v>
      </c>
      <c r="G39" s="37" t="n">
        <f aca="false">+G44+G40+G58+G66+G73</f>
        <v>3167547191</v>
      </c>
      <c r="H39" s="37" t="n">
        <f aca="false">+H44+H40+H58+H66+H73</f>
        <v>378516914</v>
      </c>
      <c r="I39" s="38" t="n">
        <f aca="false">IFERROR(H39/G39,IF(H39&gt;0,100%,IF(H39=0,0,-100%)))</f>
        <v>0.119498429281649</v>
      </c>
      <c r="J39" s="39"/>
      <c r="K39" s="40"/>
      <c r="L39" s="41" t="n">
        <f aca="false">E39-F39</f>
        <v>0</v>
      </c>
      <c r="M39" s="42"/>
      <c r="N39" s="43" t="n">
        <f aca="false">+N44+N40+N58+N66+N73</f>
        <v>3546064105</v>
      </c>
      <c r="O39" s="43" t="n">
        <f aca="false">E39-N39</f>
        <v>0</v>
      </c>
      <c r="P39" s="43" t="n">
        <f aca="false">+P44+P40+P58+P66+P73</f>
        <v>3546064105</v>
      </c>
      <c r="Q39" s="43" t="n">
        <f aca="false">F39-P39</f>
        <v>0</v>
      </c>
    </row>
    <row r="40" customFormat="false" ht="13.5" hidden="false" customHeight="false" outlineLevel="0" collapsed="false">
      <c r="B40" s="19" t="s">
        <v>86</v>
      </c>
      <c r="C40" s="44" t="s">
        <v>87</v>
      </c>
      <c r="D40" s="36"/>
      <c r="E40" s="37" t="n">
        <f aca="false">SUM(E41:E43)</f>
        <v>0</v>
      </c>
      <c r="F40" s="37" t="n">
        <f aca="false">SUM(F41:F43)</f>
        <v>30000000</v>
      </c>
      <c r="G40" s="37" t="n">
        <f aca="false">SUM(G41:G43)</f>
        <v>30000000</v>
      </c>
      <c r="H40" s="37" t="n">
        <f aca="false">SUM(H41:H43)</f>
        <v>0</v>
      </c>
      <c r="I40" s="38" t="n">
        <f aca="false">IFERROR(H40/G40,IF(H40&gt;0,100%,IF(H40=0,0,-100%)))</f>
        <v>0</v>
      </c>
      <c r="J40" s="39" t="str">
        <f aca="false">IF(AND(ABS(H40)&gt;$I$5,ABS(I40)&gt;5%),"O","")</f>
        <v/>
      </c>
      <c r="K40" s="40"/>
      <c r="L40" s="41" t="n">
        <f aca="false">E40-F40</f>
        <v>-30000000</v>
      </c>
      <c r="M40" s="42"/>
      <c r="N40" s="43" t="n">
        <f aca="false">SUM(N41:N43)</f>
        <v>0</v>
      </c>
      <c r="O40" s="43" t="n">
        <f aca="false">E40-N40</f>
        <v>0</v>
      </c>
      <c r="P40" s="43" t="n">
        <f aca="false">SUM(P41:P43)</f>
        <v>30000000</v>
      </c>
      <c r="Q40" s="43" t="n">
        <f aca="false">F40-P40</f>
        <v>0</v>
      </c>
    </row>
    <row r="41" customFormat="false" ht="13.5" hidden="false" customHeight="false" outlineLevel="0" collapsed="false">
      <c r="B41" s="19" t="s">
        <v>88</v>
      </c>
      <c r="C41" s="45" t="s">
        <v>26</v>
      </c>
      <c r="D41" s="54" t="s">
        <v>89</v>
      </c>
      <c r="E41" s="43" t="n">
        <f aca="false">SUMIF(FS_map!$H:$H,$D41,FS_map!$M:$M)</f>
        <v>0</v>
      </c>
      <c r="F41" s="43" t="n">
        <f aca="false">SUMIF(FS_map!$H:$H,$D41,FS_map!$P:$P)</f>
        <v>0</v>
      </c>
      <c r="G41" s="43" t="n">
        <f aca="false">SUMIF(WBS_2025YE!$D:$D,$D41,WBS_2025YE!$K:$K)</f>
        <v>0</v>
      </c>
      <c r="H41" s="43" t="n">
        <f aca="false">F41-G41</f>
        <v>0</v>
      </c>
      <c r="I41" s="47" t="n">
        <f aca="false">IFERROR(H41/G41,IF(H41&gt;0,100%,IF(H41=0,0,-100%)))</f>
        <v>0</v>
      </c>
      <c r="J41" s="48" t="str">
        <f aca="false">IF(AND(ABS(H41)&gt;$I$5,ABS(I41)&gt;5%),"O","")</f>
        <v/>
      </c>
      <c r="K41" s="50"/>
      <c r="L41" s="41" t="n">
        <f aca="false">E41-F41</f>
        <v>0</v>
      </c>
      <c r="M41" s="42"/>
      <c r="N41" s="43" t="n">
        <f aca="false">SUMIF('BS_DEC 2026'!$D:$D,$D41,'BS_DEC 2026'!$E:$E)</f>
        <v>0</v>
      </c>
      <c r="O41" s="43" t="n">
        <f aca="false">E41-N41</f>
        <v>0</v>
      </c>
      <c r="P41" s="43" t="n">
        <f aca="false">SUMIF('BS_DEC 2026'!$D:$D,$D41,'BS_DEC 2026'!$K:$K)</f>
        <v>0</v>
      </c>
      <c r="Q41" s="43" t="n">
        <f aca="false">F41-P41</f>
        <v>0</v>
      </c>
    </row>
    <row r="42" customFormat="false" ht="13.5" hidden="false" customHeight="false" outlineLevel="0" collapsed="false">
      <c r="B42" s="19"/>
      <c r="C42" s="45" t="s">
        <v>29</v>
      </c>
      <c r="D42" s="54" t="s">
        <v>90</v>
      </c>
      <c r="E42" s="43" t="n">
        <f aca="false">SUMIF(FS_map!$H:$H,$D42,FS_map!$M:$M)</f>
        <v>0</v>
      </c>
      <c r="F42" s="43" t="n">
        <f aca="false">SUMIF(FS_map!$H:$H,$D42,FS_map!$P:$P)</f>
        <v>0</v>
      </c>
      <c r="G42" s="43" t="n">
        <f aca="false">SUMIF(WBS_2025YE!$D:$D,$D42,WBS_2025YE!$K:$K)</f>
        <v>0</v>
      </c>
      <c r="H42" s="43" t="n">
        <f aca="false">F42-G42</f>
        <v>0</v>
      </c>
      <c r="I42" s="47" t="n">
        <f aca="false">IFERROR(H42/G42,IF(H42&gt;0,100%,IF(H42=0,0,-100%)))</f>
        <v>0</v>
      </c>
      <c r="J42" s="48" t="str">
        <f aca="false">IF(AND(ABS(H42)&gt;$I$5,ABS(I42)&gt;5%),"O","")</f>
        <v/>
      </c>
      <c r="K42" s="49"/>
      <c r="L42" s="41" t="n">
        <f aca="false">E42-F42</f>
        <v>0</v>
      </c>
      <c r="M42" s="51"/>
      <c r="N42" s="43" t="n">
        <f aca="false">SUMIF('BS_DEC 2026'!$D:$D,$D42,'BS_DEC 2026'!$E:$E)</f>
        <v>0</v>
      </c>
      <c r="O42" s="43" t="n">
        <f aca="false">E42-N42</f>
        <v>0</v>
      </c>
      <c r="P42" s="43" t="n">
        <f aca="false">SUMIF('BS_DEC 2026'!$D:$D,$D42,'BS_DEC 2026'!$K:$K)</f>
        <v>0</v>
      </c>
      <c r="Q42" s="43" t="n">
        <f aca="false">F42-P42</f>
        <v>0</v>
      </c>
    </row>
    <row r="43" customFormat="false" ht="13.5" hidden="false" customHeight="false" outlineLevel="0" collapsed="false">
      <c r="B43" s="19" t="s">
        <v>91</v>
      </c>
      <c r="C43" s="45" t="s">
        <v>32</v>
      </c>
      <c r="D43" s="46" t="s">
        <v>92</v>
      </c>
      <c r="E43" s="43" t="n">
        <f aca="false">SUMIF(FS_map!$H:$H,$D43,FS_map!$M:$M)</f>
        <v>0</v>
      </c>
      <c r="F43" s="43" t="n">
        <f aca="false">SUMIF(FS_map!$H:$H,$D43,FS_map!$P:$P)</f>
        <v>30000000</v>
      </c>
      <c r="G43" s="43" t="n">
        <f aca="false">SUMIF(WBS_2025YE!$D:$D,$D43,WBS_2025YE!$K:$K)</f>
        <v>30000000</v>
      </c>
      <c r="H43" s="43" t="n">
        <f aca="false">F43-G43</f>
        <v>0</v>
      </c>
      <c r="I43" s="47" t="n">
        <f aca="false">IFERROR(H43/G43,IF(H43&gt;0,100%,IF(H43=0,0,-100%)))</f>
        <v>0</v>
      </c>
      <c r="J43" s="48" t="str">
        <f aca="false">IF(AND(ABS(H43)&gt;$I$5,ABS(I43)&gt;5%),"O","")</f>
        <v/>
      </c>
      <c r="K43" s="50"/>
      <c r="L43" s="41" t="n">
        <f aca="false">E43-F43</f>
        <v>-30000000</v>
      </c>
      <c r="M43" s="55" t="s">
        <v>93</v>
      </c>
      <c r="N43" s="43" t="n">
        <f aca="false">SUMIF('BS_DEC 2026'!$D:$D,$D43,'BS_DEC 2026'!$E:$E)</f>
        <v>0</v>
      </c>
      <c r="O43" s="43" t="n">
        <f aca="false">E43-N43</f>
        <v>0</v>
      </c>
      <c r="P43" s="43" t="n">
        <f aca="false">SUMIF('BS_DEC 2026'!$D:$D,$D43,'BS_DEC 2026'!$K:$K)</f>
        <v>30000000</v>
      </c>
      <c r="Q43" s="43" t="n">
        <f aca="false">F43-P43</f>
        <v>0</v>
      </c>
    </row>
    <row r="44" customFormat="false" ht="13.5" hidden="false" customHeight="false" outlineLevel="0" collapsed="false">
      <c r="B44" s="19" t="s">
        <v>94</v>
      </c>
      <c r="C44" s="44" t="s">
        <v>95</v>
      </c>
      <c r="D44" s="36"/>
      <c r="E44" s="37" t="n">
        <f aca="false">SUM(E45:E57)</f>
        <v>1118160218</v>
      </c>
      <c r="F44" s="37" t="n">
        <f aca="false">SUM(F45:F57)</f>
        <v>1118160218</v>
      </c>
      <c r="G44" s="37" t="n">
        <f aca="false">SUM(G45:G57)</f>
        <v>1525937673</v>
      </c>
      <c r="H44" s="37" t="n">
        <f aca="false">SUM(H45:H57)</f>
        <v>-407777455</v>
      </c>
      <c r="I44" s="38" t="n">
        <f aca="false">IFERROR(H44/G44,IF(H44&gt;0,100%,IF(H44=0,0,-100%)))</f>
        <v>-0.267230740950453</v>
      </c>
      <c r="J44" s="39" t="str">
        <f aca="false">IF(AND(ABS(H44)&gt;$I$5,ABS(I44)&gt;5%),"O","")</f>
        <v/>
      </c>
      <c r="K44" s="40"/>
      <c r="L44" s="41" t="n">
        <f aca="false">E44-F44</f>
        <v>0</v>
      </c>
      <c r="M44" s="42"/>
      <c r="N44" s="43" t="n">
        <f aca="false">SUM(N45:N57)</f>
        <v>1118160218</v>
      </c>
      <c r="O44" s="43" t="n">
        <f aca="false">E44-N44</f>
        <v>0</v>
      </c>
      <c r="P44" s="43" t="n">
        <f aca="false">SUM(P45:P57)</f>
        <v>1118160218</v>
      </c>
      <c r="Q44" s="43" t="n">
        <f aca="false">F44-P44</f>
        <v>0</v>
      </c>
    </row>
    <row r="45" customFormat="false" ht="13.5" hidden="false" customHeight="false" outlineLevel="0" collapsed="false">
      <c r="B45" s="19" t="s">
        <v>96</v>
      </c>
      <c r="C45" s="45" t="s">
        <v>26</v>
      </c>
      <c r="D45" s="46" t="s">
        <v>97</v>
      </c>
      <c r="E45" s="43" t="n">
        <f aca="false">SUMIF(FS_map!$H:$H,$D45,FS_map!$M:$M)</f>
        <v>0</v>
      </c>
      <c r="F45" s="43" t="n">
        <f aca="false">SUMIF(FS_map!$H:$H,$D45,FS_map!$P:$P)</f>
        <v>0</v>
      </c>
      <c r="G45" s="43" t="n">
        <f aca="false">SUMIF(WBS_2025YE!$D:$D,$D45,WBS_2025YE!$K:$K)</f>
        <v>0</v>
      </c>
      <c r="H45" s="43" t="n">
        <f aca="false">F45-G45</f>
        <v>0</v>
      </c>
      <c r="I45" s="47" t="n">
        <f aca="false">IFERROR(H45/G45,IF(H45&gt;0,100%,IF(H45=0,0,-100%)))</f>
        <v>0</v>
      </c>
      <c r="J45" s="48" t="str">
        <f aca="false">IF(AND(ABS(H45)&gt;$I$5,ABS(I45)&gt;5%),"O","")</f>
        <v/>
      </c>
      <c r="K45" s="50"/>
      <c r="L45" s="41" t="n">
        <f aca="false">E45-F45</f>
        <v>0</v>
      </c>
      <c r="M45" s="42"/>
      <c r="N45" s="43" t="n">
        <f aca="false">SUMIF('BS_DEC 2026'!$D:$D,$D45,'BS_DEC 2026'!$E:$E)</f>
        <v>0</v>
      </c>
      <c r="O45" s="43" t="n">
        <f aca="false">E45-N45</f>
        <v>0</v>
      </c>
      <c r="P45" s="43" t="n">
        <f aca="false">SUMIF('BS_DEC 2026'!$D:$D,$D45,'BS_DEC 2026'!$K:$K)</f>
        <v>0</v>
      </c>
      <c r="Q45" s="43" t="n">
        <f aca="false">F45-P45</f>
        <v>0</v>
      </c>
    </row>
    <row r="46" customFormat="false" ht="13.5" hidden="false" customHeight="false" outlineLevel="0" collapsed="false">
      <c r="B46" s="19" t="s">
        <v>98</v>
      </c>
      <c r="C46" s="45" t="s">
        <v>29</v>
      </c>
      <c r="D46" s="46" t="s">
        <v>99</v>
      </c>
      <c r="E46" s="43" t="n">
        <f aca="false">SUMIF(FS_map!$H:$H,$D46,FS_map!$M:$M)</f>
        <v>0</v>
      </c>
      <c r="F46" s="43" t="n">
        <f aca="false">SUMIF(FS_map!$H:$H,$D46,FS_map!$P:$P)</f>
        <v>0</v>
      </c>
      <c r="G46" s="43" t="n">
        <f aca="false">SUMIF(WBS_2025YE!$D:$D,$D46,WBS_2025YE!$K:$K)</f>
        <v>0</v>
      </c>
      <c r="H46" s="43" t="n">
        <f aca="false">F46-G46</f>
        <v>0</v>
      </c>
      <c r="I46" s="47" t="n">
        <f aca="false">IFERROR(H46/G46,IF(H46&gt;0,100%,IF(H46=0,0,-100%)))</f>
        <v>0</v>
      </c>
      <c r="J46" s="48" t="str">
        <f aca="false">IF(AND(ABS(H46)&gt;$I$5,ABS(I46)&gt;5%),"O","")</f>
        <v/>
      </c>
      <c r="K46" s="50"/>
      <c r="L46" s="41" t="n">
        <f aca="false">E46-F46</f>
        <v>0</v>
      </c>
      <c r="M46" s="42"/>
      <c r="N46" s="43" t="n">
        <f aca="false">SUMIF('BS_DEC 2026'!$D:$D,$D46,'BS_DEC 2026'!$E:$E)</f>
        <v>0</v>
      </c>
      <c r="O46" s="43" t="n">
        <f aca="false">E46-N46</f>
        <v>0</v>
      </c>
      <c r="P46" s="43" t="n">
        <f aca="false">SUMIF('BS_DEC 2026'!$D:$D,$D46,'BS_DEC 2026'!$K:$K)</f>
        <v>0</v>
      </c>
      <c r="Q46" s="43" t="n">
        <f aca="false">F46-P46</f>
        <v>0</v>
      </c>
    </row>
    <row r="47" customFormat="false" ht="13.5" hidden="false" customHeight="false" outlineLevel="0" collapsed="false">
      <c r="B47" s="19" t="s">
        <v>100</v>
      </c>
      <c r="C47" s="35"/>
      <c r="D47" s="46" t="s">
        <v>101</v>
      </c>
      <c r="E47" s="43" t="n">
        <f aca="false">SUMIF(FS_map!$H:$H,$D47,FS_map!$M:$M)</f>
        <v>0</v>
      </c>
      <c r="F47" s="43" t="n">
        <f aca="false">SUMIF(FS_map!$H:$H,$D47,FS_map!$P:$P)</f>
        <v>0</v>
      </c>
      <c r="G47" s="43" t="n">
        <f aca="false">SUMIF(WBS_2025YE!$D:$D,$D47,WBS_2025YE!$K:$K)</f>
        <v>0</v>
      </c>
      <c r="H47" s="43" t="n">
        <f aca="false">F47-G47</f>
        <v>0</v>
      </c>
      <c r="I47" s="47" t="n">
        <f aca="false">IFERROR(H47/G47,IF(H47&gt;0,100%,IF(H47=0,0,-100%)))</f>
        <v>0</v>
      </c>
      <c r="J47" s="48" t="str">
        <f aca="false">IF(AND(ABS(H47)&gt;$I$5,ABS(I47)&gt;5%),"O","")</f>
        <v/>
      </c>
      <c r="K47" s="50"/>
      <c r="L47" s="41" t="n">
        <f aca="false">E47-F47</f>
        <v>0</v>
      </c>
      <c r="M47" s="42"/>
      <c r="N47" s="43" t="n">
        <f aca="false">SUMIF('BS_DEC 2026'!$D:$D,$D47,'BS_DEC 2026'!$E:$E)</f>
        <v>0</v>
      </c>
      <c r="O47" s="43" t="n">
        <f aca="false">E47-N47</f>
        <v>0</v>
      </c>
      <c r="P47" s="43" t="n">
        <f aca="false">SUMIF('BS_DEC 2026'!$D:$D,$D47,'BS_DEC 2026'!$K:$K)</f>
        <v>0</v>
      </c>
      <c r="Q47" s="43" t="n">
        <f aca="false">F47-P47</f>
        <v>0</v>
      </c>
    </row>
    <row r="48" customFormat="false" ht="13.5" hidden="false" customHeight="false" outlineLevel="0" collapsed="false">
      <c r="B48" s="19" t="s">
        <v>102</v>
      </c>
      <c r="C48" s="45" t="s">
        <v>32</v>
      </c>
      <c r="D48" s="46" t="s">
        <v>103</v>
      </c>
      <c r="E48" s="43" t="n">
        <f aca="false">SUMIF(FS_map!$H:$H,$D48,FS_map!$M:$M)</f>
        <v>2388145890</v>
      </c>
      <c r="F48" s="43" t="n">
        <f aca="false">SUMIF(FS_map!$H:$H,$D48,FS_map!$P:$P)</f>
        <v>2388145890</v>
      </c>
      <c r="G48" s="43" t="n">
        <f aca="false">SUMIF(WBS_2025YE!$D:$D,$D48,WBS_2025YE!$K:$K)</f>
        <v>2388145890</v>
      </c>
      <c r="H48" s="43" t="n">
        <f aca="false">F48-G48</f>
        <v>0</v>
      </c>
      <c r="I48" s="47" t="n">
        <f aca="false">IFERROR(H48/G48,IF(H48&gt;0,100%,IF(H48=0,0,-100%)))</f>
        <v>0</v>
      </c>
      <c r="J48" s="48" t="str">
        <f aca="false">IF(AND(ABS(H48)&gt;$I$5,ABS(I48)&gt;5%),"O","")</f>
        <v/>
      </c>
      <c r="K48" s="50"/>
      <c r="L48" s="41" t="n">
        <f aca="false">E48-F48</f>
        <v>0</v>
      </c>
      <c r="M48" s="42"/>
      <c r="N48" s="43" t="n">
        <f aca="false">SUMIF('BS_DEC 2026'!$D:$D,$D48,'BS_DEC 2026'!$E:$E)</f>
        <v>2388145890</v>
      </c>
      <c r="O48" s="43" t="n">
        <f aca="false">E48-N48</f>
        <v>0</v>
      </c>
      <c r="P48" s="43" t="n">
        <f aca="false">SUMIF('BS_DEC 2026'!$D:$D,$D48,'BS_DEC 2026'!$K:$K)</f>
        <v>2388145890</v>
      </c>
      <c r="Q48" s="43" t="n">
        <f aca="false">F48-P48</f>
        <v>0</v>
      </c>
    </row>
    <row r="49" customFormat="false" ht="13.5" hidden="false" customHeight="false" outlineLevel="0" collapsed="false">
      <c r="B49" s="19" t="s">
        <v>104</v>
      </c>
      <c r="C49" s="35"/>
      <c r="D49" s="46" t="s">
        <v>105</v>
      </c>
      <c r="E49" s="43" t="n">
        <f aca="false">SUMIF(FS_map!$H:$H,$D49,FS_map!$M:$M)</f>
        <v>-1988077100</v>
      </c>
      <c r="F49" s="43" t="n">
        <f aca="false">SUMIF(FS_map!$H:$H,$D49,FS_map!$P:$P)</f>
        <v>-1988077100</v>
      </c>
      <c r="G49" s="43" t="n">
        <f aca="false">SUMIF(WBS_2025YE!$D:$D,$D49,WBS_2025YE!$K:$K)</f>
        <v>-1743247679</v>
      </c>
      <c r="H49" s="43" t="n">
        <f aca="false">F49-G49</f>
        <v>-244829421</v>
      </c>
      <c r="I49" s="47" t="n">
        <f aca="false">IFERROR(H49/G49,IF(H49&gt;0,100%,IF(H49=0,0,-100%)))</f>
        <v>0.140444426772703</v>
      </c>
      <c r="J49" s="48" t="str">
        <f aca="false">IF(AND(ABS(H49)&gt;$I$5,ABS(I49)&gt;5%),"O","")</f>
        <v/>
      </c>
      <c r="K49" s="50"/>
      <c r="L49" s="41" t="n">
        <f aca="false">E49-F49</f>
        <v>0</v>
      </c>
      <c r="M49" s="42"/>
      <c r="N49" s="43" t="n">
        <f aca="false">SUMIF('BS_DEC 2026'!$D:$D,$D49,'BS_DEC 2026'!$E:$E)</f>
        <v>-1988077100</v>
      </c>
      <c r="O49" s="43" t="n">
        <f aca="false">E49-N49</f>
        <v>0</v>
      </c>
      <c r="P49" s="43" t="n">
        <f aca="false">SUMIF('BS_DEC 2026'!$D:$D,$D49,'BS_DEC 2026'!$K:$K)</f>
        <v>-1988077100</v>
      </c>
      <c r="Q49" s="43" t="n">
        <f aca="false">F49-P49</f>
        <v>0</v>
      </c>
    </row>
    <row r="50" customFormat="false" ht="13.5" hidden="false" customHeight="false" outlineLevel="0" collapsed="false">
      <c r="B50" s="19" t="s">
        <v>106</v>
      </c>
      <c r="C50" s="45" t="s">
        <v>35</v>
      </c>
      <c r="D50" s="46" t="s">
        <v>107</v>
      </c>
      <c r="E50" s="43" t="n">
        <f aca="false">SUMIF(FS_map!$H:$H,$D50,FS_map!$M:$M)</f>
        <v>1434004742</v>
      </c>
      <c r="F50" s="43" t="n">
        <f aca="false">SUMIF(FS_map!$H:$H,$D50,FS_map!$P:$P)</f>
        <v>948975000</v>
      </c>
      <c r="G50" s="43" t="n">
        <f aca="false">SUMIF(WBS_2025YE!$D:$D,$D50,WBS_2025YE!$K:$K)</f>
        <v>948975000</v>
      </c>
      <c r="H50" s="43" t="n">
        <f aca="false">F50-G50</f>
        <v>0</v>
      </c>
      <c r="I50" s="47" t="n">
        <f aca="false">IFERROR(H50/G50,IF(H50&gt;0,100%,IF(H50=0,0,-100%)))</f>
        <v>0</v>
      </c>
      <c r="J50" s="48" t="str">
        <f aca="false">IF(AND(ABS(H50)&gt;$I$5,ABS(I50)&gt;5%),"O","")</f>
        <v/>
      </c>
      <c r="K50" s="52"/>
      <c r="L50" s="41" t="n">
        <f aca="false">E50-F50</f>
        <v>485029742</v>
      </c>
      <c r="M50" s="42"/>
      <c r="N50" s="43" t="n">
        <f aca="false">SUMIF('BS_DEC 2026'!$D:$D,$D50,'BS_DEC 2026'!$E:$E)</f>
        <v>1434004742</v>
      </c>
      <c r="O50" s="43" t="n">
        <f aca="false">E50-N50</f>
        <v>0</v>
      </c>
      <c r="P50" s="43" t="n">
        <f aca="false">SUMIF('BS_DEC 2026'!$D:$D,$D50,'BS_DEC 2026'!$K:$K)</f>
        <v>948975000</v>
      </c>
      <c r="Q50" s="43" t="n">
        <f aca="false">F50-P50</f>
        <v>0</v>
      </c>
    </row>
    <row r="51" customFormat="false" ht="13.5" hidden="false" customHeight="false" outlineLevel="0" collapsed="false">
      <c r="B51" s="19" t="s">
        <v>108</v>
      </c>
      <c r="C51" s="35"/>
      <c r="D51" s="46" t="s">
        <v>109</v>
      </c>
      <c r="E51" s="43" t="n">
        <f aca="false">SUMIF(FS_map!$H:$H,$D51,FS_map!$M:$M)</f>
        <v>-1021598692</v>
      </c>
      <c r="F51" s="43" t="n">
        <f aca="false">SUMIF(FS_map!$H:$H,$D51,FS_map!$P:$P)</f>
        <v>-599068950</v>
      </c>
      <c r="G51" s="43" t="n">
        <f aca="false">SUMIF(WBS_2025YE!$D:$D,$D51,WBS_2025YE!$K:$K)</f>
        <v>-494021176</v>
      </c>
      <c r="H51" s="43" t="n">
        <f aca="false">F51-G51</f>
        <v>-105047774</v>
      </c>
      <c r="I51" s="47" t="n">
        <f aca="false">IFERROR(H51/G51,IF(H51&gt;0,100%,IF(H51=0,0,-100%)))</f>
        <v>0.212638200755994</v>
      </c>
      <c r="J51" s="48" t="str">
        <f aca="false">IF(AND(ABS(H51)&gt;$I$5,ABS(I51)&gt;5%),"O","")</f>
        <v/>
      </c>
      <c r="K51" s="50"/>
      <c r="L51" s="41" t="n">
        <f aca="false">E51-F51</f>
        <v>-422529742</v>
      </c>
      <c r="M51" s="42"/>
      <c r="N51" s="43" t="n">
        <f aca="false">SUMIF('BS_DEC 2026'!$D:$D,$D51,'BS_DEC 2026'!$E:$E)</f>
        <v>-1021598692</v>
      </c>
      <c r="O51" s="43" t="n">
        <f aca="false">E51-N51</f>
        <v>0</v>
      </c>
      <c r="P51" s="43" t="n">
        <f aca="false">SUMIF('BS_DEC 2026'!$D:$D,$D51,'BS_DEC 2026'!$K:$K)</f>
        <v>-599068950</v>
      </c>
      <c r="Q51" s="43" t="n">
        <f aca="false">F51-P51</f>
        <v>0</v>
      </c>
    </row>
    <row r="52" customFormat="false" ht="13.5" hidden="false" customHeight="false" outlineLevel="0" collapsed="false">
      <c r="B52" s="19" t="s">
        <v>110</v>
      </c>
      <c r="C52" s="45" t="s">
        <v>38</v>
      </c>
      <c r="D52" s="46" t="s">
        <v>111</v>
      </c>
      <c r="E52" s="43" t="n">
        <f aca="false">SUMIF(FS_map!$H:$H,$D52,FS_map!$M:$M)</f>
        <v>0</v>
      </c>
      <c r="F52" s="43" t="n">
        <f aca="false">SUMIF(FS_map!$H:$H,$D52,FS_map!$P:$P)</f>
        <v>0</v>
      </c>
      <c r="G52" s="43" t="n">
        <f aca="false">SUMIF(WBS_2025YE!$D:$D,$D52,WBS_2025YE!$K:$K)</f>
        <v>0</v>
      </c>
      <c r="H52" s="43" t="n">
        <f aca="false">F52-G52</f>
        <v>0</v>
      </c>
      <c r="I52" s="47" t="n">
        <f aca="false">IFERROR(H52/G52,IF(H52&gt;0,100%,IF(H52=0,0,-100%)))</f>
        <v>0</v>
      </c>
      <c r="J52" s="48" t="str">
        <f aca="false">IF(AND(ABS(H52)&gt;$I$5,ABS(I52)&gt;5%),"O","")</f>
        <v/>
      </c>
      <c r="K52" s="50"/>
      <c r="L52" s="41" t="n">
        <f aca="false">E52-F52</f>
        <v>0</v>
      </c>
      <c r="M52" s="42"/>
      <c r="N52" s="43" t="n">
        <f aca="false">SUMIF('BS_DEC 2026'!$D:$D,$D52,'BS_DEC 2026'!$E:$E)</f>
        <v>0</v>
      </c>
      <c r="O52" s="43" t="n">
        <f aca="false">E52-N52</f>
        <v>0</v>
      </c>
      <c r="P52" s="43" t="n">
        <f aca="false">SUMIF('BS_DEC 2026'!$D:$D,$D52,'BS_DEC 2026'!$K:$K)</f>
        <v>0</v>
      </c>
      <c r="Q52" s="43" t="n">
        <f aca="false">F52-P52</f>
        <v>0</v>
      </c>
    </row>
    <row r="53" customFormat="false" ht="13.5" hidden="false" customHeight="false" outlineLevel="0" collapsed="false">
      <c r="B53" s="19" t="s">
        <v>112</v>
      </c>
      <c r="C53" s="35"/>
      <c r="D53" s="46" t="s">
        <v>113</v>
      </c>
      <c r="E53" s="43" t="n">
        <f aca="false">SUMIF(FS_map!$H:$H,$D53,FS_map!$M:$M)</f>
        <v>0</v>
      </c>
      <c r="F53" s="43" t="n">
        <f aca="false">SUMIF(FS_map!$H:$H,$D53,FS_map!$P:$P)</f>
        <v>0</v>
      </c>
      <c r="G53" s="43" t="n">
        <f aca="false">SUMIF(WBS_2025YE!$D:$D,$D53,WBS_2025YE!$K:$K)</f>
        <v>0</v>
      </c>
      <c r="H53" s="43" t="n">
        <f aca="false">F53-G53</f>
        <v>0</v>
      </c>
      <c r="I53" s="47" t="n">
        <f aca="false">IFERROR(H53/G53,IF(H53&gt;0,100%,IF(H53=0,0,-100%)))</f>
        <v>0</v>
      </c>
      <c r="J53" s="48" t="str">
        <f aca="false">IF(AND(ABS(H53)&gt;$I$5,ABS(I53)&gt;5%),"O","")</f>
        <v/>
      </c>
      <c r="K53" s="50"/>
      <c r="L53" s="41" t="n">
        <f aca="false">E53-F53</f>
        <v>0</v>
      </c>
      <c r="M53" s="42"/>
      <c r="N53" s="43" t="n">
        <f aca="false">SUMIF('BS_DEC 2026'!$D:$D,$D53,'BS_DEC 2026'!$E:$E)</f>
        <v>0</v>
      </c>
      <c r="O53" s="43" t="n">
        <f aca="false">E53-N53</f>
        <v>0</v>
      </c>
      <c r="P53" s="43" t="n">
        <f aca="false">SUMIF('BS_DEC 2026'!$D:$D,$D53,'BS_DEC 2026'!$K:$K)</f>
        <v>0</v>
      </c>
      <c r="Q53" s="43" t="n">
        <f aca="false">F53-P53</f>
        <v>0</v>
      </c>
    </row>
    <row r="54" customFormat="false" ht="13.5" hidden="false" customHeight="false" outlineLevel="0" collapsed="false">
      <c r="B54" s="19" t="s">
        <v>114</v>
      </c>
      <c r="C54" s="45" t="s">
        <v>41</v>
      </c>
      <c r="D54" s="46" t="s">
        <v>115</v>
      </c>
      <c r="E54" s="43" t="n">
        <f aca="false">SUMIF(FS_map!$H:$H,$D54,FS_map!$M:$M)</f>
        <v>76984016</v>
      </c>
      <c r="F54" s="43" t="n">
        <f aca="false">SUMIF(FS_map!$H:$H,$D54,FS_map!$P:$P)</f>
        <v>562013758</v>
      </c>
      <c r="G54" s="43" t="n">
        <f aca="false">SUMIF(WBS_2025YE!$D:$D,$D54,WBS_2025YE!$K:$K)</f>
        <v>562013758</v>
      </c>
      <c r="H54" s="43" t="n">
        <f aca="false">F54-G54</f>
        <v>0</v>
      </c>
      <c r="I54" s="47" t="n">
        <f aca="false">IFERROR(H54/G54,IF(H54&gt;0,100%,IF(H54=0,0,-100%)))</f>
        <v>0</v>
      </c>
      <c r="J54" s="48" t="str">
        <f aca="false">IF(AND(ABS(H54)&gt;$I$5,ABS(I54)&gt;5%),"O","")</f>
        <v/>
      </c>
      <c r="K54" s="52"/>
      <c r="L54" s="41" t="n">
        <f aca="false">E54-F54</f>
        <v>-485029742</v>
      </c>
      <c r="M54" s="42"/>
      <c r="N54" s="43" t="n">
        <f aca="false">SUMIF('BS_DEC 2026'!$D:$D,$D54,'BS_DEC 2026'!$E:$E)</f>
        <v>76984016</v>
      </c>
      <c r="O54" s="43" t="n">
        <f aca="false">E54-N54</f>
        <v>0</v>
      </c>
      <c r="P54" s="43" t="n">
        <f aca="false">SUMIF('BS_DEC 2026'!$D:$D,$D54,'BS_DEC 2026'!$K:$K)</f>
        <v>562013758</v>
      </c>
      <c r="Q54" s="43" t="n">
        <f aca="false">F54-P54</f>
        <v>0</v>
      </c>
    </row>
    <row r="55" customFormat="false" ht="13.5" hidden="false" customHeight="false" outlineLevel="0" collapsed="false">
      <c r="B55" s="19" t="s">
        <v>116</v>
      </c>
      <c r="C55" s="35"/>
      <c r="D55" s="46" t="s">
        <v>117</v>
      </c>
      <c r="E55" s="43" t="n">
        <f aca="false">SUMIF(FS_map!$H:$H,$D55,FS_map!$M:$M)</f>
        <v>-75250683</v>
      </c>
      <c r="F55" s="43" t="n">
        <f aca="false">SUMIF(FS_map!$H:$H,$D55,FS_map!$P:$P)</f>
        <v>-497780425</v>
      </c>
      <c r="G55" s="43" t="n">
        <f aca="false">SUMIF(WBS_2025YE!$D:$D,$D55,WBS_2025YE!$K:$K)</f>
        <v>-479817925</v>
      </c>
      <c r="H55" s="43" t="n">
        <f aca="false">F55-G55</f>
        <v>-17962500</v>
      </c>
      <c r="I55" s="47" t="n">
        <f aca="false">IFERROR(H55/G55,IF(H55&gt;0,100%,IF(H55=0,0,-100%)))</f>
        <v>0.0374360753612946</v>
      </c>
      <c r="J55" s="48" t="str">
        <f aca="false">IF(AND(ABS(H55)&gt;$I$5,ABS(I55)&gt;5%),"O","")</f>
        <v/>
      </c>
      <c r="K55" s="50"/>
      <c r="L55" s="41" t="n">
        <f aca="false">E55-F55</f>
        <v>422529742</v>
      </c>
      <c r="M55" s="42"/>
      <c r="N55" s="43" t="n">
        <f aca="false">SUMIF('BS_DEC 2026'!$D:$D,$D55,'BS_DEC 2026'!$E:$E)</f>
        <v>-75250683</v>
      </c>
      <c r="O55" s="43" t="n">
        <f aca="false">E55-N55</f>
        <v>0</v>
      </c>
      <c r="P55" s="43" t="n">
        <f aca="false">SUMIF('BS_DEC 2026'!$D:$D,$D55,'BS_DEC 2026'!$K:$K)</f>
        <v>-497780425</v>
      </c>
      <c r="Q55" s="43" t="n">
        <f aca="false">F55-P55</f>
        <v>0</v>
      </c>
    </row>
    <row r="56" customFormat="false" ht="13.5" hidden="false" customHeight="false" outlineLevel="0" collapsed="false">
      <c r="B56" s="19" t="s">
        <v>118</v>
      </c>
      <c r="C56" s="45" t="s">
        <v>44</v>
      </c>
      <c r="D56" s="46" t="s">
        <v>119</v>
      </c>
      <c r="E56" s="43" t="n">
        <f aca="false">SUMIF(FS_map!$H:$H,$D56,FS_map!$M:$M)</f>
        <v>1719424779</v>
      </c>
      <c r="F56" s="43" t="n">
        <f aca="false">SUMIF(FS_map!$H:$H,$D56,FS_map!$P:$P)</f>
        <v>1719424779</v>
      </c>
      <c r="G56" s="43" t="n">
        <f aca="false">SUMIF(WBS_2025YE!$D:$D,$D56,WBS_2025YE!$K:$K)</f>
        <v>1632938339</v>
      </c>
      <c r="H56" s="43" t="n">
        <f aca="false">F56-G56</f>
        <v>86486440</v>
      </c>
      <c r="I56" s="47" t="n">
        <f aca="false">IFERROR(H56/G56,IF(H56&gt;0,100%,IF(H56=0,0,-100%)))</f>
        <v>0.052963690014752</v>
      </c>
      <c r="J56" s="48" t="str">
        <f aca="false">IF(AND(ABS(H56)&gt;$I$5,ABS(I56)&gt;5%),"O","")</f>
        <v/>
      </c>
      <c r="K56" s="50"/>
      <c r="L56" s="41" t="n">
        <f aca="false">E56-F56</f>
        <v>0</v>
      </c>
      <c r="M56" s="42"/>
      <c r="N56" s="43" t="n">
        <f aca="false">SUMIF('BS_DEC 2026'!$D:$D,$D56,'BS_DEC 2026'!$E:$E)</f>
        <v>1719424779</v>
      </c>
      <c r="O56" s="43" t="n">
        <f aca="false">E56-N56</f>
        <v>0</v>
      </c>
      <c r="P56" s="43" t="n">
        <f aca="false">SUMIF('BS_DEC 2026'!$D:$D,$D56,'BS_DEC 2026'!$K:$K)</f>
        <v>1719424779</v>
      </c>
      <c r="Q56" s="43" t="n">
        <f aca="false">F56-P56</f>
        <v>0</v>
      </c>
    </row>
    <row r="57" customFormat="false" ht="13.5" hidden="false" customHeight="false" outlineLevel="0" collapsed="false">
      <c r="B57" s="19" t="s">
        <v>120</v>
      </c>
      <c r="C57" s="35"/>
      <c r="D57" s="46" t="s">
        <v>121</v>
      </c>
      <c r="E57" s="43" t="n">
        <f aca="false">SUMIF(FS_map!$H:$H,$D57,FS_map!$M:$M)</f>
        <v>-1415472734</v>
      </c>
      <c r="F57" s="43" t="n">
        <f aca="false">SUMIF(FS_map!$H:$H,$D57,FS_map!$P:$P)</f>
        <v>-1415472734</v>
      </c>
      <c r="G57" s="43" t="n">
        <f aca="false">SUMIF(WBS_2025YE!$D:$D,$D57,WBS_2025YE!$K:$K)</f>
        <v>-1289048534</v>
      </c>
      <c r="H57" s="43" t="n">
        <f aca="false">F57-G57</f>
        <v>-126424200</v>
      </c>
      <c r="I57" s="47" t="n">
        <f aca="false">IFERROR(H57/G57,IF(H57&gt;0,100%,IF(H57=0,0,-100%)))</f>
        <v>0.0980755934826578</v>
      </c>
      <c r="J57" s="48" t="str">
        <f aca="false">IF(AND(ABS(H57)&gt;$I$5,ABS(I57)&gt;5%),"O","")</f>
        <v/>
      </c>
      <c r="K57" s="50"/>
      <c r="L57" s="41" t="n">
        <f aca="false">E57-F57</f>
        <v>0</v>
      </c>
      <c r="M57" s="42"/>
      <c r="N57" s="43" t="n">
        <f aca="false">SUMIF('BS_DEC 2026'!$D:$D,$D57,'BS_DEC 2026'!$E:$E)</f>
        <v>-1415472734</v>
      </c>
      <c r="O57" s="43" t="n">
        <f aca="false">E57-N57</f>
        <v>0</v>
      </c>
      <c r="P57" s="43" t="n">
        <f aca="false">SUMIF('BS_DEC 2026'!$D:$D,$D57,'BS_DEC 2026'!$K:$K)</f>
        <v>-1415472734</v>
      </c>
      <c r="Q57" s="43" t="n">
        <f aca="false">F57-P57</f>
        <v>0</v>
      </c>
    </row>
    <row r="58" customFormat="false" ht="13.5" hidden="false" customHeight="false" outlineLevel="0" collapsed="false">
      <c r="B58" s="19" t="s">
        <v>122</v>
      </c>
      <c r="C58" s="44" t="s">
        <v>123</v>
      </c>
      <c r="D58" s="46"/>
      <c r="E58" s="56" t="n">
        <f aca="false">SUM(E59:E65)</f>
        <v>22468609</v>
      </c>
      <c r="F58" s="56" t="n">
        <f aca="false">SUM(F59:F65)</f>
        <v>22468609</v>
      </c>
      <c r="G58" s="56" t="n">
        <f aca="false">SUM(G59:G65)</f>
        <v>0</v>
      </c>
      <c r="H58" s="56" t="n">
        <f aca="false">SUM(H59:H65)</f>
        <v>22468609</v>
      </c>
      <c r="I58" s="57" t="n">
        <f aca="false">IFERROR(H58/G58,IF(H58&gt;0,100%,IF(H58=0,0,-100%)))</f>
        <v>1</v>
      </c>
      <c r="J58" s="39" t="str">
        <f aca="false">IF(AND(ABS(H58)&gt;$I$5,ABS(I58)&gt;5%),"O","")</f>
        <v/>
      </c>
      <c r="K58" s="40"/>
      <c r="L58" s="41" t="n">
        <f aca="false">E58-F58</f>
        <v>0</v>
      </c>
      <c r="M58" s="42"/>
      <c r="N58" s="43" t="n">
        <f aca="false">SUM(N59:N65)</f>
        <v>22468609</v>
      </c>
      <c r="O58" s="43" t="n">
        <f aca="false">E58-N58</f>
        <v>0</v>
      </c>
      <c r="P58" s="43" t="n">
        <f aca="false">SUM(P59:P65)</f>
        <v>22468609</v>
      </c>
      <c r="Q58" s="43" t="n">
        <f aca="false">F58-P58</f>
        <v>0</v>
      </c>
    </row>
    <row r="59" customFormat="false" ht="13.5" hidden="false" customHeight="false" outlineLevel="0" collapsed="false">
      <c r="B59" s="19" t="s">
        <v>124</v>
      </c>
      <c r="C59" s="45" t="s">
        <v>26</v>
      </c>
      <c r="D59" s="46" t="s">
        <v>125</v>
      </c>
      <c r="E59" s="43" t="n">
        <f aca="false">SUMIF(FS_map!$H:$H,$D59,FS_map!$M:$M)</f>
        <v>378228066</v>
      </c>
      <c r="F59" s="43" t="n">
        <f aca="false">SUMIF(FS_map!$H:$H,$D59,FS_map!$P:$P)</f>
        <v>378228066</v>
      </c>
      <c r="G59" s="43" t="n">
        <f aca="false">SUMIF(WBS_2025YE!$D:$D,$D59,WBS_2025YE!$K:$K)</f>
        <v>355759457</v>
      </c>
      <c r="H59" s="43" t="n">
        <f aca="false">F59-G59</f>
        <v>22468609</v>
      </c>
      <c r="I59" s="47" t="n">
        <f aca="false">IFERROR(H59/G59,IF(H59&gt;0,100%,IF(H59=0,0,-100%)))</f>
        <v>0.0631567441368115</v>
      </c>
      <c r="J59" s="48" t="str">
        <f aca="false">IF(AND(ABS(H59)&gt;$I$5,ABS(I59)&gt;5%),"O","")</f>
        <v/>
      </c>
      <c r="K59" s="50"/>
      <c r="L59" s="41" t="n">
        <f aca="false">E59-F59</f>
        <v>0</v>
      </c>
      <c r="M59" s="42"/>
      <c r="N59" s="43" t="n">
        <f aca="false">SUMIF('BS_DEC 2026'!$D:$D,$D59,'BS_DEC 2026'!$E:$E)</f>
        <v>378228066</v>
      </c>
      <c r="O59" s="43" t="n">
        <f aca="false">E59-N59</f>
        <v>0</v>
      </c>
      <c r="P59" s="43" t="n">
        <f aca="false">SUMIF('BS_DEC 2026'!$D:$D,$D59,'BS_DEC 2026'!$K:$K)</f>
        <v>378228066</v>
      </c>
      <c r="Q59" s="43" t="n">
        <f aca="false">F59-P59</f>
        <v>0</v>
      </c>
    </row>
    <row r="60" customFormat="false" ht="13.5" hidden="false" customHeight="false" outlineLevel="0" collapsed="false">
      <c r="B60" s="19" t="s">
        <v>126</v>
      </c>
      <c r="C60" s="45"/>
      <c r="D60" s="46" t="s">
        <v>127</v>
      </c>
      <c r="E60" s="43" t="n">
        <f aca="false">SUMIF(FS_map!$H:$H,$D60,FS_map!$M:$M)</f>
        <v>-355759457</v>
      </c>
      <c r="F60" s="43" t="n">
        <f aca="false">SUMIF(FS_map!$H:$H,$D60,FS_map!$P:$P)</f>
        <v>-355759457</v>
      </c>
      <c r="G60" s="43" t="n">
        <f aca="false">SUMIF(WBS_2025YE!$D:$D,$D60,WBS_2025YE!$K:$K)</f>
        <v>-355759457</v>
      </c>
      <c r="H60" s="43" t="n">
        <f aca="false">F60-G60</f>
        <v>0</v>
      </c>
      <c r="I60" s="47" t="n">
        <f aca="false">IFERROR(H60/G60,IF(H60&gt;0,100%,IF(H60=0,0,-100%)))</f>
        <v>-0</v>
      </c>
      <c r="J60" s="48" t="str">
        <f aca="false">IF(AND(ABS(H60)&gt;$I$5,ABS(I60)&gt;5%),"O","")</f>
        <v/>
      </c>
      <c r="K60" s="50"/>
      <c r="L60" s="41" t="n">
        <f aca="false">E60-F60</f>
        <v>0</v>
      </c>
      <c r="M60" s="42"/>
      <c r="N60" s="43" t="n">
        <f aca="false">SUMIF('BS_DEC 2026'!$D:$D,$D60,'BS_DEC 2026'!$E:$E)</f>
        <v>-355759457</v>
      </c>
      <c r="O60" s="43" t="n">
        <f aca="false">E60-N60</f>
        <v>0</v>
      </c>
      <c r="P60" s="43" t="n">
        <f aca="false">SUMIF('BS_DEC 2026'!$D:$D,$D60,'BS_DEC 2026'!$K:$K)</f>
        <v>-355759457</v>
      </c>
      <c r="Q60" s="43" t="n">
        <f aca="false">F60-P60</f>
        <v>0</v>
      </c>
    </row>
    <row r="61" customFormat="false" ht="13.5" hidden="false" customHeight="false" outlineLevel="0" collapsed="false">
      <c r="B61" s="19" t="s">
        <v>128</v>
      </c>
      <c r="C61" s="45" t="s">
        <v>29</v>
      </c>
      <c r="D61" s="46" t="s">
        <v>129</v>
      </c>
      <c r="E61" s="43" t="n">
        <f aca="false">SUMIF(FS_map!$H:$H,$D61,FS_map!$M:$M)</f>
        <v>2706860500</v>
      </c>
      <c r="F61" s="43" t="n">
        <f aca="false">SUMIF(FS_map!$H:$H,$D61,FS_map!$P:$P)</f>
        <v>2706860500</v>
      </c>
      <c r="G61" s="43" t="n">
        <f aca="false">SUMIF(WBS_2025YE!$D:$D,$D61,WBS_2025YE!$K:$K)</f>
        <v>3706860500</v>
      </c>
      <c r="H61" s="43" t="n">
        <f aca="false">F61-G61</f>
        <v>-1000000000</v>
      </c>
      <c r="I61" s="47" t="n">
        <f aca="false">IFERROR(H61/G61,IF(H61&gt;0,100%,IF(H61=0,0,-100%)))</f>
        <v>-0.269770065531196</v>
      </c>
      <c r="J61" s="48" t="str">
        <f aca="false">IF(AND(ABS(H61)&gt;$I$5,ABS(I61)&gt;5%),"O","")</f>
        <v/>
      </c>
      <c r="K61" s="50"/>
      <c r="L61" s="41" t="n">
        <f aca="false">E61-F61</f>
        <v>0</v>
      </c>
      <c r="M61" s="42"/>
      <c r="N61" s="43" t="n">
        <f aca="false">SUMIF('BS_DEC 2026'!$D:$D,$D61,'BS_DEC 2026'!$E:$E)</f>
        <v>2706860500</v>
      </c>
      <c r="O61" s="43" t="n">
        <f aca="false">E61-N61</f>
        <v>0</v>
      </c>
      <c r="P61" s="43" t="n">
        <f aca="false">SUMIF('BS_DEC 2026'!$D:$D,$D61,'BS_DEC 2026'!$K:$K)</f>
        <v>2706860500</v>
      </c>
      <c r="Q61" s="43" t="n">
        <f aca="false">F61-P61</f>
        <v>0</v>
      </c>
    </row>
    <row r="62" customFormat="false" ht="13.5" hidden="false" customHeight="false" outlineLevel="0" collapsed="false">
      <c r="B62" s="19" t="s">
        <v>130</v>
      </c>
      <c r="C62" s="45"/>
      <c r="D62" s="46" t="s">
        <v>131</v>
      </c>
      <c r="E62" s="43" t="n">
        <f aca="false">SUMIF(FS_map!$H:$H,$D62,FS_map!$M:$M)</f>
        <v>-2706860500</v>
      </c>
      <c r="F62" s="43" t="n">
        <f aca="false">SUMIF(FS_map!$H:$H,$D62,FS_map!$P:$P)</f>
        <v>-2706860500</v>
      </c>
      <c r="G62" s="43" t="n">
        <f aca="false">SUMIF(WBS_2025YE!$D:$D,$D62,WBS_2025YE!$K:$K)</f>
        <v>-3111195178</v>
      </c>
      <c r="H62" s="43" t="n">
        <f aca="false">F62-G62</f>
        <v>404334678</v>
      </c>
      <c r="I62" s="47" t="n">
        <f aca="false">IFERROR(H62/G62,IF(H62&gt;0,100%,IF(H62=0,0,-100%)))</f>
        <v>-0.129961206181839</v>
      </c>
      <c r="J62" s="48" t="str">
        <f aca="false">IF(AND(ABS(H62)&gt;$I$5,ABS(I62)&gt;5%),"O","")</f>
        <v/>
      </c>
      <c r="K62" s="50"/>
      <c r="L62" s="41" t="n">
        <f aca="false">E62-F62</f>
        <v>0</v>
      </c>
      <c r="M62" s="42"/>
      <c r="N62" s="43" t="n">
        <f aca="false">SUMIF('BS_DEC 2026'!$D:$D,$D62,'BS_DEC 2026'!$E:$E)</f>
        <v>-2706860500</v>
      </c>
      <c r="O62" s="43" t="n">
        <f aca="false">E62-N62</f>
        <v>0</v>
      </c>
      <c r="P62" s="43" t="n">
        <f aca="false">SUMIF('BS_DEC 2026'!$D:$D,$D62,'BS_DEC 2026'!$K:$K)</f>
        <v>-2706860500</v>
      </c>
      <c r="Q62" s="43" t="n">
        <f aca="false">F62-P62</f>
        <v>0</v>
      </c>
    </row>
    <row r="63" customFormat="false" ht="13.5" hidden="false" customHeight="false" outlineLevel="0" collapsed="false">
      <c r="B63" s="19" t="s">
        <v>132</v>
      </c>
      <c r="C63" s="45"/>
      <c r="D63" s="46" t="s">
        <v>133</v>
      </c>
      <c r="E63" s="43" t="n">
        <f aca="false">SUMIF(FS_map!$H:$H,$D63,FS_map!$M:$M)</f>
        <v>0</v>
      </c>
      <c r="F63" s="43" t="n">
        <f aca="false">SUMIF(FS_map!$H:$H,$D63,FS_map!$P:$P)</f>
        <v>0</v>
      </c>
      <c r="G63" s="43" t="n">
        <f aca="false">SUMIF(WBS_2025YE!$D:$D,$D63,WBS_2025YE!$K:$K)</f>
        <v>-595665322</v>
      </c>
      <c r="H63" s="43" t="n">
        <f aca="false">F63-G63</f>
        <v>595665322</v>
      </c>
      <c r="I63" s="47" t="n">
        <f aca="false">IFERROR(H63/G63,IF(H63&gt;0,100%,IF(H63=0,0,-100%)))</f>
        <v>-1</v>
      </c>
      <c r="J63" s="48" t="str">
        <f aca="false">IF(AND(ABS(H63)&gt;$I$5,ABS(I63)&gt;5%),"O","")</f>
        <v/>
      </c>
      <c r="K63" s="50"/>
      <c r="L63" s="41" t="n">
        <f aca="false">E63-F63</f>
        <v>0</v>
      </c>
      <c r="M63" s="42"/>
      <c r="N63" s="43" t="n">
        <f aca="false">SUMIF('BS_DEC 2026'!$D:$D,$D63,'BS_DEC 2026'!$E:$E)</f>
        <v>0</v>
      </c>
      <c r="O63" s="43" t="n">
        <f aca="false">E63-N63</f>
        <v>0</v>
      </c>
      <c r="P63" s="43" t="n">
        <f aca="false">SUMIF('BS_DEC 2026'!$D:$D,$D63,'BS_DEC 2026'!$K:$K)</f>
        <v>0</v>
      </c>
      <c r="Q63" s="43" t="n">
        <f aca="false">F63-P63</f>
        <v>0</v>
      </c>
    </row>
    <row r="64" customFormat="false" ht="13.5" hidden="false" customHeight="false" outlineLevel="0" collapsed="false">
      <c r="B64" s="19" t="s">
        <v>134</v>
      </c>
      <c r="C64" s="45" t="s">
        <v>32</v>
      </c>
      <c r="D64" s="46" t="s">
        <v>135</v>
      </c>
      <c r="E64" s="43" t="n">
        <f aca="false">SUMIF(FS_map!$H:$H,$D64,FS_map!$M:$M)</f>
        <v>0</v>
      </c>
      <c r="F64" s="43" t="n">
        <f aca="false">SUMIF(FS_map!$H:$H,$D64,FS_map!$P:$P)</f>
        <v>0</v>
      </c>
      <c r="G64" s="43" t="n">
        <f aca="false">SUMIF(WBS_2025YE!$D:$D,$D64,WBS_2025YE!$K:$K)</f>
        <v>0</v>
      </c>
      <c r="H64" s="43" t="n">
        <f aca="false">F64-G64</f>
        <v>0</v>
      </c>
      <c r="I64" s="47" t="n">
        <f aca="false">IFERROR(H64/G64,IF(H64&gt;0,100%,IF(H64=0,0,-100%)))</f>
        <v>0</v>
      </c>
      <c r="J64" s="48" t="str">
        <f aca="false">IF(AND(ABS(H64)&gt;$I$5,ABS(I64)&gt;5%),"O","")</f>
        <v/>
      </c>
      <c r="K64" s="50"/>
      <c r="L64" s="41" t="n">
        <f aca="false">E64-F64</f>
        <v>0</v>
      </c>
      <c r="M64" s="42"/>
      <c r="N64" s="43" t="n">
        <f aca="false">SUMIF('BS_DEC 2026'!$D:$D,$D64,'BS_DEC 2026'!$E:$E)</f>
        <v>0</v>
      </c>
      <c r="O64" s="43" t="n">
        <f aca="false">E64-N64</f>
        <v>0</v>
      </c>
      <c r="P64" s="43" t="n">
        <f aca="false">SUMIF('BS_DEC 2026'!$D:$D,$D64,'BS_DEC 2026'!$K:$K)</f>
        <v>0</v>
      </c>
      <c r="Q64" s="43" t="n">
        <f aca="false">F64-P64</f>
        <v>0</v>
      </c>
    </row>
    <row r="65" customFormat="false" ht="13.5" hidden="false" customHeight="false" outlineLevel="0" collapsed="false">
      <c r="B65" s="19" t="s">
        <v>136</v>
      </c>
      <c r="C65" s="45"/>
      <c r="D65" s="46" t="s">
        <v>137</v>
      </c>
      <c r="E65" s="43" t="n">
        <f aca="false">SUMIF(FS_map!$H:$H,$D65,FS_map!$M:$M)</f>
        <v>0</v>
      </c>
      <c r="F65" s="43" t="n">
        <f aca="false">SUMIF(FS_map!$H:$H,$D65,FS_map!$P:$P)</f>
        <v>0</v>
      </c>
      <c r="G65" s="43" t="n">
        <f aca="false">SUMIF(WBS_2025YE!$D:$D,$D65,WBS_2025YE!$K:$K)</f>
        <v>0</v>
      </c>
      <c r="H65" s="43" t="n">
        <f aca="false">F65-G65</f>
        <v>0</v>
      </c>
      <c r="I65" s="47" t="n">
        <f aca="false">IFERROR(H65/G65,IF(H65&gt;0,100%,IF(H65=0,0,-100%)))</f>
        <v>0</v>
      </c>
      <c r="J65" s="48" t="str">
        <f aca="false">IF(AND(ABS(H65)&gt;$I$5,ABS(I65)&gt;5%),"O","")</f>
        <v/>
      </c>
      <c r="K65" s="50"/>
      <c r="L65" s="41" t="n">
        <f aca="false">E65-F65</f>
        <v>0</v>
      </c>
      <c r="M65" s="42"/>
      <c r="N65" s="43" t="n">
        <f aca="false">SUMIF('BS_DEC 2026'!$D:$D,$D65,'BS_DEC 2026'!$E:$E)</f>
        <v>0</v>
      </c>
      <c r="O65" s="43" t="n">
        <f aca="false">E65-N65</f>
        <v>0</v>
      </c>
      <c r="P65" s="43" t="n">
        <f aca="false">SUMIF('BS_DEC 2026'!$D:$D,$D65,'BS_DEC 2026'!$K:$K)</f>
        <v>0</v>
      </c>
      <c r="Q65" s="43" t="n">
        <f aca="false">F65-P65</f>
        <v>0</v>
      </c>
    </row>
    <row r="66" customFormat="false" ht="13.5" hidden="false" customHeight="false" outlineLevel="0" collapsed="false">
      <c r="B66" s="19" t="s">
        <v>138</v>
      </c>
      <c r="C66" s="44" t="s">
        <v>139</v>
      </c>
      <c r="D66" s="46"/>
      <c r="E66" s="56" t="n">
        <f aca="false">SUM(E67:E72)</f>
        <v>2353872442</v>
      </c>
      <c r="F66" s="56" t="n">
        <f aca="false">SUM(F67:F72)</f>
        <v>2323872442</v>
      </c>
      <c r="G66" s="56" t="n">
        <f aca="false">SUM(G67:G72)</f>
        <v>1603371682</v>
      </c>
      <c r="H66" s="56" t="n">
        <f aca="false">SUM(H67:H72)</f>
        <v>720500760</v>
      </c>
      <c r="I66" s="57" t="n">
        <f aca="false">IFERROR(H66/G66,IF(H66&gt;0,100%,IF(H66=0,0,-100%)))</f>
        <v>0.44936602541294</v>
      </c>
      <c r="J66" s="39"/>
      <c r="K66" s="40"/>
      <c r="L66" s="41" t="n">
        <f aca="false">E66-F66</f>
        <v>30000000</v>
      </c>
      <c r="M66" s="42"/>
      <c r="N66" s="43" t="n">
        <f aca="false">SUM(N67:N72)</f>
        <v>2353872442</v>
      </c>
      <c r="O66" s="43" t="n">
        <f aca="false">E66-N66</f>
        <v>0</v>
      </c>
      <c r="P66" s="43" t="n">
        <f aca="false">SUM(P67:P72)</f>
        <v>2323872442</v>
      </c>
      <c r="Q66" s="43" t="n">
        <f aca="false">F66-P66</f>
        <v>0</v>
      </c>
    </row>
    <row r="67" customFormat="false" ht="13.5" hidden="false" customHeight="false" outlineLevel="0" collapsed="false">
      <c r="B67" s="19" t="s">
        <v>140</v>
      </c>
      <c r="C67" s="45" t="s">
        <v>26</v>
      </c>
      <c r="D67" s="46" t="s">
        <v>141</v>
      </c>
      <c r="E67" s="43" t="n">
        <f aca="false">SUMIF(FS_map!$H:$H,$D67,FS_map!$M:$M)</f>
        <v>1931634850</v>
      </c>
      <c r="F67" s="43" t="n">
        <f aca="false">SUMIF(FS_map!$H:$H,$D67,FS_map!$P:$P)</f>
        <v>1901634850</v>
      </c>
      <c r="G67" s="43" t="n">
        <f aca="false">SUMIF(WBS_2025YE!$D:$D,$D67,WBS_2025YE!$K:$K)</f>
        <v>1181134090</v>
      </c>
      <c r="H67" s="43" t="n">
        <f aca="false">F67-G67</f>
        <v>720500760</v>
      </c>
      <c r="I67" s="47" t="n">
        <f aca="false">IFERROR(H67/G67,IF(H67&gt;0,100%,IF(H67=0,0,-100%)))</f>
        <v>0.610007590247438</v>
      </c>
      <c r="J67" s="48" t="str">
        <f aca="false">IF(AND(ABS(H67)&gt;$I$5,ABS(I67)&gt;5%),"O","")</f>
        <v/>
      </c>
      <c r="K67" s="49"/>
      <c r="L67" s="41" t="n">
        <f aca="false">E67-F67</f>
        <v>30000000</v>
      </c>
      <c r="M67" s="58"/>
      <c r="N67" s="43" t="n">
        <f aca="false">SUMIF('BS_DEC 2026'!$D:$D,$D67,'BS_DEC 2026'!$E:$E)</f>
        <v>1931634850</v>
      </c>
      <c r="O67" s="43" t="n">
        <f aca="false">E67-N67</f>
        <v>0</v>
      </c>
      <c r="P67" s="43" t="n">
        <f aca="false">SUMIF('BS_DEC 2026'!$D:$D,$D67,'BS_DEC 2026'!$K:$K)</f>
        <v>1901634850</v>
      </c>
      <c r="Q67" s="43" t="n">
        <f aca="false">F67-P67</f>
        <v>0</v>
      </c>
    </row>
    <row r="68" customFormat="false" ht="13.5" hidden="false" customHeight="false" outlineLevel="0" collapsed="false">
      <c r="B68" s="19" t="s">
        <v>142</v>
      </c>
      <c r="C68" s="45" t="s">
        <v>29</v>
      </c>
      <c r="D68" s="46" t="s">
        <v>143</v>
      </c>
      <c r="E68" s="43" t="n">
        <f aca="false">SUMIF(FS_map!$H:$H,$D68,FS_map!$M:$M)</f>
        <v>0</v>
      </c>
      <c r="F68" s="43" t="n">
        <f aca="false">SUMIF(FS_map!$H:$H,$D68,FS_map!$P:$P)</f>
        <v>0</v>
      </c>
      <c r="G68" s="43" t="n">
        <f aca="false">SUMIF(WBS_2025YE!$D:$D,$D68,WBS_2025YE!$K:$K)</f>
        <v>0</v>
      </c>
      <c r="H68" s="43" t="n">
        <f aca="false">F68-G68</f>
        <v>0</v>
      </c>
      <c r="I68" s="47" t="n">
        <f aca="false">IFERROR(H68/G68,IF(H68&gt;0,100%,IF(H68=0,0,-100%)))</f>
        <v>0</v>
      </c>
      <c r="J68" s="48" t="str">
        <f aca="false">IF(AND(ABS(H68)&gt;$I$5,ABS(I68)&gt;5%),"O","")</f>
        <v/>
      </c>
      <c r="K68" s="50"/>
      <c r="L68" s="41" t="n">
        <f aca="false">E68-F68</f>
        <v>0</v>
      </c>
      <c r="M68" s="42"/>
      <c r="N68" s="43" t="n">
        <f aca="false">SUMIF('BS_DEC 2026'!$D:$D,$D68,'BS_DEC 2026'!$E:$E)</f>
        <v>0</v>
      </c>
      <c r="O68" s="43" t="n">
        <f aca="false">E68-N68</f>
        <v>0</v>
      </c>
      <c r="P68" s="43" t="n">
        <f aca="false">SUMIF('BS_DEC 2026'!$D:$D,$D68,'BS_DEC 2026'!$K:$K)</f>
        <v>0</v>
      </c>
      <c r="Q68" s="43" t="n">
        <f aca="false">F68-P68</f>
        <v>0</v>
      </c>
    </row>
    <row r="69" customFormat="false" ht="13.5" hidden="false" customHeight="false" outlineLevel="0" collapsed="false">
      <c r="B69" s="19" t="s">
        <v>144</v>
      </c>
      <c r="C69" s="45" t="s">
        <v>32</v>
      </c>
      <c r="D69" s="46" t="s">
        <v>145</v>
      </c>
      <c r="E69" s="43" t="n">
        <f aca="false">SUMIF(FS_map!$H:$H,$D69,FS_map!$M:$M)</f>
        <v>422237592</v>
      </c>
      <c r="F69" s="43" t="n">
        <f aca="false">SUMIF(FS_map!$H:$H,$D69,FS_map!$P:$P)</f>
        <v>422237592</v>
      </c>
      <c r="G69" s="43" t="n">
        <f aca="false">SUMIF(WBS_2025YE!$D:$D,$D69,WBS_2025YE!$K:$K)</f>
        <v>422237592</v>
      </c>
      <c r="H69" s="43" t="n">
        <f aca="false">F69-G69</f>
        <v>0</v>
      </c>
      <c r="I69" s="47" t="n">
        <f aca="false">IFERROR(H69/G69,IF(H69&gt;0,100%,IF(H69=0,0,-100%)))</f>
        <v>0</v>
      </c>
      <c r="J69" s="48" t="str">
        <f aca="false">IF(AND(ABS(H69)&gt;$I$5,ABS(I69)&gt;5%),"O","")</f>
        <v/>
      </c>
      <c r="K69" s="52"/>
      <c r="L69" s="41" t="n">
        <f aca="false">E69-F69</f>
        <v>0</v>
      </c>
      <c r="M69" s="42"/>
      <c r="N69" s="43" t="n">
        <f aca="false">SUMIF('BS_DEC 2026'!$D:$D,$D69,'BS_DEC 2026'!$E:$E)</f>
        <v>422237592</v>
      </c>
      <c r="O69" s="43" t="n">
        <f aca="false">E69-N69</f>
        <v>0</v>
      </c>
      <c r="P69" s="43" t="n">
        <f aca="false">SUMIF('BS_DEC 2026'!$D:$D,$D69,'BS_DEC 2026'!$K:$K)</f>
        <v>422237592</v>
      </c>
      <c r="Q69" s="43" t="n">
        <f aca="false">F69-P69</f>
        <v>0</v>
      </c>
    </row>
    <row r="70" customFormat="false" ht="13.5" hidden="false" customHeight="false" outlineLevel="0" collapsed="false">
      <c r="B70" s="19" t="s">
        <v>146</v>
      </c>
      <c r="C70" s="45" t="s">
        <v>35</v>
      </c>
      <c r="D70" s="46" t="s">
        <v>147</v>
      </c>
      <c r="E70" s="43" t="n">
        <f aca="false">SUMIF(FS_map!$H:$H,$D70,FS_map!$M:$M)</f>
        <v>0</v>
      </c>
      <c r="F70" s="43" t="n">
        <f aca="false">SUMIF(FS_map!$H:$H,$D70,FS_map!$P:$P)</f>
        <v>0</v>
      </c>
      <c r="G70" s="43" t="n">
        <f aca="false">SUMIF(WBS_2025YE!$D:$D,$D70,WBS_2025YE!$K:$K)</f>
        <v>0</v>
      </c>
      <c r="H70" s="43" t="n">
        <f aca="false">F70-G70</f>
        <v>0</v>
      </c>
      <c r="I70" s="47" t="n">
        <f aca="false">IFERROR(H70/G70,IF(H70&gt;0,100%,IF(H70=0,0,-100%)))</f>
        <v>0</v>
      </c>
      <c r="J70" s="48" t="str">
        <f aca="false">IF(AND(ABS(H70)&gt;$I$5,ABS(I70)&gt;5%),"O","")</f>
        <v/>
      </c>
      <c r="K70" s="52"/>
      <c r="L70" s="41" t="n">
        <f aca="false">E70-F70</f>
        <v>0</v>
      </c>
      <c r="M70" s="42"/>
      <c r="N70" s="43" t="n">
        <f aca="false">SUMIF('BS_DEC 2026'!$D:$D,$D70,'BS_DEC 2026'!$E:$E)</f>
        <v>0</v>
      </c>
      <c r="O70" s="43" t="n">
        <f aca="false">E70-N70</f>
        <v>0</v>
      </c>
      <c r="P70" s="43" t="n">
        <f aca="false">SUMIF('BS_DEC 2026'!$D:$D,$D70,'BS_DEC 2026'!$K:$K)</f>
        <v>0</v>
      </c>
      <c r="Q70" s="43" t="n">
        <f aca="false">F70-P70</f>
        <v>0</v>
      </c>
    </row>
    <row r="71" customFormat="false" ht="13.5" hidden="false" customHeight="false" outlineLevel="0" collapsed="false">
      <c r="B71" s="19"/>
      <c r="C71" s="45" t="s">
        <v>148</v>
      </c>
      <c r="D71" s="46" t="s">
        <v>149</v>
      </c>
      <c r="E71" s="43" t="n">
        <f aca="false">SUMIF(FS_map!$H:$H,$D71,FS_map!$M:$M)</f>
        <v>0</v>
      </c>
      <c r="F71" s="43" t="n">
        <f aca="false">SUMIF(FS_map!$H:$H,$D71,FS_map!$P:$P)</f>
        <v>0</v>
      </c>
      <c r="G71" s="43" t="n">
        <f aca="false">SUMIF(WBS_2025YE!$D:$D,$D71,WBS_2025YE!$K:$K)</f>
        <v>0</v>
      </c>
      <c r="H71" s="43" t="n">
        <f aca="false">F71-G71</f>
        <v>0</v>
      </c>
      <c r="I71" s="47" t="n">
        <f aca="false">IFERROR(H71/G71,IF(H71&gt;0,100%,IF(H71=0,0,-100%)))</f>
        <v>0</v>
      </c>
      <c r="J71" s="48" t="str">
        <f aca="false">IF(AND(ABS(H71)&gt;$I$5,ABS(I71)&gt;5%),"O","")</f>
        <v/>
      </c>
      <c r="K71" s="49"/>
      <c r="L71" s="41" t="n">
        <f aca="false">E71-F71</f>
        <v>0</v>
      </c>
      <c r="M71" s="58"/>
      <c r="N71" s="43" t="n">
        <f aca="false">SUMIF('BS_DEC 2026'!$D:$D,$D71,'BS_DEC 2026'!$E:$E)</f>
        <v>0</v>
      </c>
      <c r="O71" s="43" t="n">
        <f aca="false">E71-N71</f>
        <v>0</v>
      </c>
      <c r="P71" s="43" t="n">
        <f aca="false">SUMIF('BS_DEC 2026'!$D:$D,$D71,'BS_DEC 2026'!$K:$K)</f>
        <v>0</v>
      </c>
      <c r="Q71" s="43" t="n">
        <f aca="false">F71-P71</f>
        <v>0</v>
      </c>
    </row>
    <row r="72" customFormat="false" ht="13.5" hidden="false" customHeight="false" outlineLevel="0" collapsed="false">
      <c r="B72" s="19"/>
      <c r="C72" s="45" t="s">
        <v>150</v>
      </c>
      <c r="D72" s="46" t="s">
        <v>151</v>
      </c>
      <c r="E72" s="43" t="n">
        <f aca="false">SUMIF(FS_map!$H:$H,$D72,FS_map!$M:$M)</f>
        <v>0</v>
      </c>
      <c r="F72" s="43" t="n">
        <f aca="false">SUMIF(FS_map!$H:$H,$D72,FS_map!$P:$P)</f>
        <v>0</v>
      </c>
      <c r="G72" s="43" t="n">
        <f aca="false">SUMIF(WBS_2025YE!$D:$D,$D72,WBS_2025YE!$K:$K)</f>
        <v>0</v>
      </c>
      <c r="H72" s="43" t="n">
        <f aca="false">F72-G72</f>
        <v>0</v>
      </c>
      <c r="I72" s="47" t="n">
        <f aca="false">IFERROR(H72/G72,IF(H72&gt;0,100%,IF(H72=0,0,-100%)))</f>
        <v>0</v>
      </c>
      <c r="J72" s="48" t="str">
        <f aca="false">IF(AND(ABS(H72)&gt;$I$5,ABS(I72)&gt;5%),"O","")</f>
        <v/>
      </c>
      <c r="K72" s="49"/>
      <c r="L72" s="41" t="n">
        <f aca="false">E72-F72</f>
        <v>0</v>
      </c>
      <c r="M72" s="58"/>
      <c r="N72" s="43" t="n">
        <f aca="false">SUMIF('BS_DEC 2026'!$D:$D,$D72,'BS_DEC 2026'!$E:$E)</f>
        <v>0</v>
      </c>
      <c r="O72" s="43" t="n">
        <f aca="false">E72-N72</f>
        <v>0</v>
      </c>
      <c r="P72" s="43" t="n">
        <f aca="false">SUMIF('BS_DEC 2026'!$D:$D,$D72,'BS_DEC 2026'!$K:$K)</f>
        <v>0</v>
      </c>
      <c r="Q72" s="43" t="n">
        <f aca="false">F72-P72</f>
        <v>0</v>
      </c>
    </row>
    <row r="73" customFormat="false" ht="13.5" hidden="false" customHeight="false" outlineLevel="0" collapsed="false">
      <c r="B73" s="19" t="s">
        <v>152</v>
      </c>
      <c r="C73" s="45" t="s">
        <v>153</v>
      </c>
      <c r="D73" s="59" t="s">
        <v>154</v>
      </c>
      <c r="E73" s="56" t="n">
        <f aca="false">SUMIF(FS_map!$H:$H,$D73,FS_map!$M:$M)</f>
        <v>51562836</v>
      </c>
      <c r="F73" s="56" t="n">
        <f aca="false">SUMIF(FS_map!$H:$H,$D73,FS_map!$P:$P)</f>
        <v>51562836</v>
      </c>
      <c r="G73" s="56" t="n">
        <f aca="false">WBS_2025YE!L69</f>
        <v>8237836</v>
      </c>
      <c r="H73" s="43" t="n">
        <f aca="false">F73-G73</f>
        <v>43325000</v>
      </c>
      <c r="I73" s="47" t="n">
        <f aca="false">IFERROR(H73/G73,IF(H73&gt;0,100%,IF(H73=0,0,-100%)))</f>
        <v>5.25926954603126</v>
      </c>
      <c r="J73" s="48" t="str">
        <f aca="false">IF(AND(ABS(H73)&gt;$I$5,ABS(I73)&gt;5%),"O","")</f>
        <v/>
      </c>
      <c r="K73" s="50"/>
      <c r="L73" s="41" t="n">
        <f aca="false">E73-F73</f>
        <v>0</v>
      </c>
      <c r="M73" s="42"/>
      <c r="N73" s="43" t="n">
        <f aca="false">'BS_DEC 2026'!F71</f>
        <v>51562836</v>
      </c>
      <c r="O73" s="43" t="n">
        <f aca="false">E73-N73</f>
        <v>0</v>
      </c>
      <c r="P73" s="43" t="n">
        <f aca="false">'BS_DEC 2026'!L71</f>
        <v>51562836</v>
      </c>
      <c r="Q73" s="43" t="n">
        <f aca="false">F73-P73</f>
        <v>0</v>
      </c>
    </row>
    <row r="74" customFormat="false" ht="13.5" hidden="false" customHeight="false" outlineLevel="0" collapsed="false">
      <c r="B74" s="19"/>
      <c r="C74" s="35"/>
      <c r="D74" s="46"/>
      <c r="E74" s="60"/>
      <c r="F74" s="60"/>
      <c r="G74" s="60"/>
      <c r="H74" s="60"/>
      <c r="I74" s="61" t="n">
        <f aca="false">IFERROR(H74/G74,IF(H74&gt;0,100%,IF(H74=0,0,-100%)))</f>
        <v>0</v>
      </c>
      <c r="J74" s="62" t="str">
        <f aca="false">IF(AND(ABS(H74)&gt;$I$5,ABS(I74)&gt;5%),"O","")</f>
        <v/>
      </c>
      <c r="K74" s="63"/>
      <c r="L74" s="41" t="n">
        <f aca="false">E74-F74</f>
        <v>0</v>
      </c>
      <c r="M74" s="42"/>
    </row>
    <row r="75" customFormat="false" ht="14.25" hidden="false" customHeight="true" outlineLevel="0" collapsed="false">
      <c r="B75" s="19" t="s">
        <v>155</v>
      </c>
      <c r="C75" s="64" t="s">
        <v>156</v>
      </c>
      <c r="D75" s="64"/>
      <c r="E75" s="65" t="n">
        <f aca="false">+E11+E39</f>
        <v>469451959283</v>
      </c>
      <c r="F75" s="65" t="n">
        <f aca="false">+F11+F39</f>
        <v>457036149159</v>
      </c>
      <c r="G75" s="65" t="n">
        <f aca="false">+G11+G39</f>
        <v>402171370716</v>
      </c>
      <c r="H75" s="65" t="n">
        <f aca="false">+H11+H39</f>
        <v>54864778443</v>
      </c>
      <c r="I75" s="66" t="n">
        <f aca="false">IFERROR(H75/G75,IF(H75&gt;0,100%,IF(H75=0,0,-100%)))</f>
        <v>0.136421392565369</v>
      </c>
      <c r="J75" s="67"/>
      <c r="K75" s="68"/>
      <c r="L75" s="41" t="n">
        <f aca="false">E75-F75</f>
        <v>12415810124</v>
      </c>
      <c r="M75" s="42"/>
      <c r="N75" s="43" t="n">
        <f aca="false">+N11+N39</f>
        <v>469451959283</v>
      </c>
      <c r="O75" s="43" t="n">
        <f aca="false">E75-N75</f>
        <v>0</v>
      </c>
      <c r="P75" s="43" t="n">
        <f aca="false">+P11+P39</f>
        <v>457036149159</v>
      </c>
      <c r="Q75" s="43" t="n">
        <f aca="false">F75-P75</f>
        <v>0</v>
      </c>
    </row>
    <row r="76" customFormat="false" ht="14.25" hidden="false" customHeight="true" outlineLevel="0" collapsed="false">
      <c r="B76" s="19"/>
      <c r="C76" s="35"/>
      <c r="D76" s="36"/>
      <c r="E76" s="53"/>
      <c r="F76" s="53"/>
      <c r="G76" s="53"/>
      <c r="H76" s="53"/>
      <c r="I76" s="69" t="n">
        <f aca="false">IFERROR(H76/G76,IF(H76&gt;0,100%,IF(H76=0,0,-100%)))</f>
        <v>0</v>
      </c>
      <c r="J76" s="62" t="str">
        <f aca="false">IF(AND(ABS(H76)&gt;$I$5,ABS(I76)&gt;5%),"O","")</f>
        <v/>
      </c>
      <c r="K76" s="63"/>
      <c r="L76" s="41" t="n">
        <f aca="false">E76-F76</f>
        <v>0</v>
      </c>
      <c r="M76" s="42"/>
    </row>
    <row r="77" customFormat="false" ht="13.5" hidden="false" customHeight="false" outlineLevel="0" collapsed="false">
      <c r="B77" s="19"/>
      <c r="C77" s="70" t="s">
        <v>157</v>
      </c>
      <c r="D77" s="31"/>
      <c r="E77" s="53"/>
      <c r="F77" s="53"/>
      <c r="G77" s="53"/>
      <c r="H77" s="53"/>
      <c r="I77" s="69" t="n">
        <f aca="false">IFERROR(H77/G77,IF(H77&gt;0,100%,IF(H77=0,0,-100%)))</f>
        <v>0</v>
      </c>
      <c r="J77" s="62" t="str">
        <f aca="false">IF(AND(ABS(H77)&gt;$I$5,ABS(I77)&gt;5%),"O","")</f>
        <v/>
      </c>
      <c r="K77" s="63"/>
      <c r="L77" s="41" t="n">
        <f aca="false">E77-F77</f>
        <v>0</v>
      </c>
      <c r="M77" s="42"/>
    </row>
    <row r="78" customFormat="false" ht="13.5" hidden="false" customHeight="false" outlineLevel="0" collapsed="false">
      <c r="B78" s="19" t="s">
        <v>158</v>
      </c>
      <c r="C78" s="35" t="s">
        <v>159</v>
      </c>
      <c r="D78" s="36"/>
      <c r="E78" s="37" t="n">
        <f aca="false">SUM(E79:E91)</f>
        <v>212685219604</v>
      </c>
      <c r="F78" s="37" t="n">
        <f aca="false">SUM(F79:F91)</f>
        <v>199623152980</v>
      </c>
      <c r="G78" s="37" t="n">
        <f aca="false">SUM(G79:G91)</f>
        <v>140791861473</v>
      </c>
      <c r="H78" s="37" t="n">
        <f aca="false">SUM(H79:H91)</f>
        <v>58831291507</v>
      </c>
      <c r="I78" s="38" t="n">
        <f aca="false">IFERROR(H78/G78,IF(H78&gt;0,100%,IF(H78=0,0,-100%)))</f>
        <v>0.417860030341897</v>
      </c>
      <c r="J78" s="39" t="str">
        <f aca="false">IF(AND(ABS(H78)&gt;$I$5,ABS(I78)&gt;5%),"O","")</f>
        <v>O</v>
      </c>
      <c r="K78" s="40"/>
      <c r="L78" s="41" t="n">
        <f aca="false">E78-F78</f>
        <v>13062066624</v>
      </c>
      <c r="M78" s="42"/>
      <c r="N78" s="43" t="n">
        <f aca="false">SUM(N79:N91)</f>
        <v>212685219604</v>
      </c>
      <c r="O78" s="43" t="n">
        <f aca="false">E78-N78</f>
        <v>0</v>
      </c>
      <c r="P78" s="43" t="n">
        <f aca="false">SUM(P79:P91)</f>
        <v>199623153058</v>
      </c>
      <c r="Q78" s="43" t="n">
        <f aca="false">F78-P78</f>
        <v>-78</v>
      </c>
    </row>
    <row r="79" customFormat="false" ht="13.5" hidden="false" customHeight="false" outlineLevel="0" collapsed="false">
      <c r="B79" s="19" t="s">
        <v>160</v>
      </c>
      <c r="C79" s="45" t="s">
        <v>26</v>
      </c>
      <c r="D79" s="46" t="s">
        <v>161</v>
      </c>
      <c r="E79" s="43" t="n">
        <f aca="false">SUMIF(FS_map!$H:$H,$D79,FS_map!$M:$M)*-1</f>
        <v>90624050033</v>
      </c>
      <c r="F79" s="43" t="n">
        <f aca="false">SUMIF(FS_map!$H:$H,$D79,FS_map!$P:$P)*-1</f>
        <v>90624050033</v>
      </c>
      <c r="G79" s="43" t="n">
        <f aca="false">SUMIF(WBS_2025YE!$D:$D,$D79,WBS_2025YE!$K:$K)</f>
        <v>13684687580</v>
      </c>
      <c r="H79" s="43" t="n">
        <f aca="false">F79-G79</f>
        <v>76939362453</v>
      </c>
      <c r="I79" s="47" t="n">
        <f aca="false">IFERROR(H79/G79,IF(H79&gt;0,100%,IF(H79=0,0,-100%)))</f>
        <v>5.62229586924921</v>
      </c>
      <c r="J79" s="48" t="str">
        <f aca="false">IF(AND(ABS(H79)&gt;$I$5,ABS(I79)&gt;5%),"O","")</f>
        <v>O</v>
      </c>
      <c r="K79" s="49"/>
      <c r="L79" s="41" t="n">
        <f aca="false">E79-F79</f>
        <v>0</v>
      </c>
      <c r="M79" s="42"/>
      <c r="N79" s="43" t="n">
        <f aca="false">SUMIF('BS_DEC 2026'!$D:$D,$D79,'BS_DEC 2026'!$E:$E)</f>
        <v>90624050033</v>
      </c>
      <c r="O79" s="43" t="n">
        <f aca="false">E79-N79</f>
        <v>0</v>
      </c>
      <c r="P79" s="43" t="n">
        <f aca="false">SUMIF('BS_DEC 2026'!$D:$D,$D79,'BS_DEC 2026'!$K:$K)</f>
        <v>90624050033</v>
      </c>
      <c r="Q79" s="43" t="n">
        <f aca="false">F79-P79</f>
        <v>0</v>
      </c>
    </row>
    <row r="80" customFormat="false" ht="13.5" hidden="false" customHeight="false" outlineLevel="0" collapsed="false">
      <c r="B80" s="19" t="s">
        <v>162</v>
      </c>
      <c r="C80" s="45" t="s">
        <v>29</v>
      </c>
      <c r="D80" s="46" t="s">
        <v>163</v>
      </c>
      <c r="E80" s="43" t="n">
        <f aca="false">SUMIF(FS_map!$H:$H,$D80,FS_map!$M:$M)*-1</f>
        <v>-0</v>
      </c>
      <c r="F80" s="43" t="n">
        <f aca="false">SUMIF(FS_map!$H:$H,$D80,FS_map!$P:$P)*-1</f>
        <v>-0</v>
      </c>
      <c r="G80" s="43" t="n">
        <f aca="false">SUMIF(WBS_2025YE!$D:$D,$D80,WBS_2025YE!$K:$K)</f>
        <v>0</v>
      </c>
      <c r="H80" s="43" t="n">
        <f aca="false">F80-G80</f>
        <v>-0</v>
      </c>
      <c r="I80" s="47" t="n">
        <f aca="false">IFERROR(H80/G80,IF(H80&gt;0,100%,IF(H80=0,0,-100%)))</f>
        <v>0</v>
      </c>
      <c r="J80" s="48" t="str">
        <f aca="false">IF(AND(ABS(H80)&gt;$I$5,ABS(I80)&gt;5%),"O","")</f>
        <v/>
      </c>
      <c r="K80" s="50"/>
      <c r="L80" s="41" t="n">
        <f aca="false">E80-F80</f>
        <v>0</v>
      </c>
      <c r="M80" s="51"/>
      <c r="N80" s="43" t="n">
        <f aca="false">SUMIF('BS_DEC 2026'!$D:$D,$D80,'BS_DEC 2026'!$E:$E)</f>
        <v>0</v>
      </c>
      <c r="O80" s="43" t="n">
        <f aca="false">E80-N80</f>
        <v>-0</v>
      </c>
      <c r="P80" s="43" t="n">
        <f aca="false">SUMIF('BS_DEC 2026'!$D:$D,$D80,'BS_DEC 2026'!$K:$K)</f>
        <v>0</v>
      </c>
      <c r="Q80" s="43" t="n">
        <f aca="false">F80-P80</f>
        <v>-0</v>
      </c>
    </row>
    <row r="81" customFormat="false" ht="13.5" hidden="false" customHeight="false" outlineLevel="0" collapsed="false">
      <c r="B81" s="19" t="s">
        <v>164</v>
      </c>
      <c r="C81" s="45" t="s">
        <v>32</v>
      </c>
      <c r="D81" s="46" t="s">
        <v>165</v>
      </c>
      <c r="E81" s="43" t="n">
        <f aca="false">SUMIF(FS_map!$H:$H,$D81,FS_map!$M:$M)*-1</f>
        <v>11973774324</v>
      </c>
      <c r="F81" s="43" t="n">
        <f aca="false">SUMIF(FS_map!$H:$H,$D81,FS_map!$P:$P)*-1</f>
        <v>11361514234</v>
      </c>
      <c r="G81" s="43" t="n">
        <f aca="false">SUMIF(WBS_2025YE!$D:$D,$D81,WBS_2025YE!$K:$K)</f>
        <v>14114112505</v>
      </c>
      <c r="H81" s="43" t="n">
        <f aca="false">F81-G81</f>
        <v>-2752598271</v>
      </c>
      <c r="I81" s="47" t="n">
        <f aca="false">IFERROR(H81/G81,IF(H81&gt;0,100%,IF(H81=0,0,-100%)))</f>
        <v>-0.195024538030633</v>
      </c>
      <c r="J81" s="48" t="str">
        <f aca="false">IF(AND(ABS(H81)&gt;$I$5,ABS(I81)&gt;5%),"O","")</f>
        <v/>
      </c>
      <c r="K81" s="52"/>
      <c r="L81" s="41" t="n">
        <f aca="false">E81-F81</f>
        <v>612260090</v>
      </c>
      <c r="M81" s="42"/>
      <c r="N81" s="43" t="n">
        <f aca="false">SUMIF('BS_DEC 2026'!$D:$D,$D81,'BS_DEC 2026'!$E:$E)</f>
        <v>11973774324</v>
      </c>
      <c r="O81" s="43" t="n">
        <f aca="false">E81-N81</f>
        <v>0</v>
      </c>
      <c r="P81" s="43" t="n">
        <f aca="false">SUMIF('BS_DEC 2026'!$D:$D,$D81,'BS_DEC 2026'!$K:$K)</f>
        <v>11361514312</v>
      </c>
      <c r="Q81" s="43" t="n">
        <f aca="false">F81-P81</f>
        <v>-78</v>
      </c>
    </row>
    <row r="82" customFormat="false" ht="13.5" hidden="false" customHeight="false" outlineLevel="0" collapsed="false">
      <c r="B82" s="19" t="s">
        <v>166</v>
      </c>
      <c r="C82" s="45" t="s">
        <v>35</v>
      </c>
      <c r="D82" s="46" t="s">
        <v>167</v>
      </c>
      <c r="E82" s="43" t="n">
        <f aca="false">SUMIF(FS_map!$H:$H,$D82,FS_map!$M:$M)*-1</f>
        <v>-0</v>
      </c>
      <c r="F82" s="43" t="n">
        <f aca="false">SUMIF(FS_map!$H:$H,$D82,FS_map!$P:$P)*-1</f>
        <v>-0</v>
      </c>
      <c r="G82" s="43" t="n">
        <f aca="false">SUMIF(WBS_2025YE!$D:$D,$D82,WBS_2025YE!$K:$K)</f>
        <v>2737532</v>
      </c>
      <c r="H82" s="43" t="n">
        <f aca="false">F82-G82</f>
        <v>-2737532</v>
      </c>
      <c r="I82" s="47" t="n">
        <f aca="false">IFERROR(H82/G82,IF(H82&gt;0,100%,IF(H82=0,0,-100%)))</f>
        <v>-1</v>
      </c>
      <c r="J82" s="48" t="str">
        <f aca="false">IF(AND(ABS(H82)&gt;$I$5,ABS(I82)&gt;5%),"O","")</f>
        <v/>
      </c>
      <c r="K82" s="50"/>
      <c r="L82" s="41" t="n">
        <f aca="false">E82-F82</f>
        <v>0</v>
      </c>
      <c r="M82" s="42"/>
      <c r="N82" s="43" t="n">
        <f aca="false">SUMIF('BS_DEC 2026'!$D:$D,$D82,'BS_DEC 2026'!$E:$E)</f>
        <v>0</v>
      </c>
      <c r="O82" s="43" t="n">
        <f aca="false">E82-N82</f>
        <v>-0</v>
      </c>
      <c r="P82" s="43" t="n">
        <f aca="false">SUMIF('BS_DEC 2026'!$D:$D,$D82,'BS_DEC 2026'!$K:$K)</f>
        <v>0</v>
      </c>
      <c r="Q82" s="43" t="n">
        <f aca="false">F82-P82</f>
        <v>-0</v>
      </c>
    </row>
    <row r="83" customFormat="false" ht="13.5" hidden="false" customHeight="false" outlineLevel="0" collapsed="false">
      <c r="B83" s="19" t="s">
        <v>168</v>
      </c>
      <c r="C83" s="45" t="s">
        <v>38</v>
      </c>
      <c r="D83" s="46" t="s">
        <v>169</v>
      </c>
      <c r="E83" s="43" t="n">
        <f aca="false">SUMIF(FS_map!$H:$H,$D83,FS_map!$M:$M)*-1</f>
        <v>2221411285</v>
      </c>
      <c r="F83" s="43" t="n">
        <f aca="false">SUMIF(FS_map!$H:$H,$D83,FS_map!$P:$P)*-1</f>
        <v>2221411285</v>
      </c>
      <c r="G83" s="43" t="n">
        <f aca="false">SUMIF(WBS_2025YE!$D:$D,$D83,WBS_2025YE!$K:$K)</f>
        <v>1217627633</v>
      </c>
      <c r="H83" s="43" t="n">
        <f aca="false">F83-G83</f>
        <v>1003783652</v>
      </c>
      <c r="I83" s="47" t="n">
        <f aca="false">IFERROR(H83/G83,IF(H83&gt;0,100%,IF(H83=0,0,-100%)))</f>
        <v>0.824376537453302</v>
      </c>
      <c r="J83" s="48" t="str">
        <f aca="false">IF(AND(ABS(H83)&gt;$I$5,ABS(I83)&gt;5%),"O","")</f>
        <v/>
      </c>
      <c r="K83" s="50"/>
      <c r="L83" s="41" t="n">
        <f aca="false">E83-F83</f>
        <v>0</v>
      </c>
      <c r="M83" s="42"/>
      <c r="N83" s="43" t="n">
        <f aca="false">SUMIF('BS_DEC 2026'!$D:$D,$D83,'BS_DEC 2026'!$E:$E)</f>
        <v>2221411285</v>
      </c>
      <c r="O83" s="43" t="n">
        <f aca="false">E83-N83</f>
        <v>0</v>
      </c>
      <c r="P83" s="43" t="n">
        <f aca="false">SUMIF('BS_DEC 2026'!$D:$D,$D83,'BS_DEC 2026'!$K:$K)</f>
        <v>2221411285</v>
      </c>
      <c r="Q83" s="43" t="n">
        <f aca="false">F83-P83</f>
        <v>0</v>
      </c>
    </row>
    <row r="84" customFormat="false" ht="13.5" hidden="false" customHeight="false" outlineLevel="0" collapsed="false">
      <c r="B84" s="19" t="s">
        <v>170</v>
      </c>
      <c r="C84" s="45" t="s">
        <v>41</v>
      </c>
      <c r="D84" s="46" t="s">
        <v>171</v>
      </c>
      <c r="E84" s="43" t="n">
        <f aca="false">SUMIF(FS_map!$H:$H,$D84,FS_map!$M:$M)*-1</f>
        <v>94434209558</v>
      </c>
      <c r="F84" s="43" t="n">
        <f aca="false">SUMIF(FS_map!$H:$H,$D84,FS_map!$P:$P)*-1</f>
        <v>82630659524</v>
      </c>
      <c r="G84" s="43" t="n">
        <f aca="false">SUMIF(WBS_2025YE!$D:$D,$D84,WBS_2025YE!$K:$K)</f>
        <v>93900348921</v>
      </c>
      <c r="H84" s="43" t="n">
        <f aca="false">F84-G84</f>
        <v>-11269689397</v>
      </c>
      <c r="I84" s="47" t="n">
        <f aca="false">IFERROR(H84/G84,IF(H84&gt;0,100%,IF(H84=0,0,-100%)))</f>
        <v>-0.120017545477721</v>
      </c>
      <c r="J84" s="48" t="str">
        <f aca="false">IF(AND(ABS(H84)&gt;$I$5,ABS(I84)&gt;5%),"O","")</f>
        <v>O</v>
      </c>
      <c r="K84" s="50"/>
      <c r="L84" s="41" t="n">
        <f aca="false">E84-F84</f>
        <v>11803550034</v>
      </c>
      <c r="M84" s="42"/>
      <c r="N84" s="43" t="n">
        <f aca="false">SUMIF('BS_DEC 2026'!$D:$D,$D84,'BS_DEC 2026'!$E:$E)</f>
        <v>94434209558</v>
      </c>
      <c r="O84" s="43" t="n">
        <f aca="false">E84-N84</f>
        <v>0</v>
      </c>
      <c r="P84" s="43" t="n">
        <f aca="false">SUMIF('BS_DEC 2026'!$D:$D,$D84,'BS_DEC 2026'!$K:$K)</f>
        <v>82630659524</v>
      </c>
      <c r="Q84" s="43" t="n">
        <f aca="false">F84-P84</f>
        <v>0</v>
      </c>
    </row>
    <row r="85" customFormat="false" ht="13.5" hidden="false" customHeight="false" outlineLevel="0" collapsed="false">
      <c r="B85" s="19" t="s">
        <v>172</v>
      </c>
      <c r="C85" s="45" t="s">
        <v>44</v>
      </c>
      <c r="D85" s="46" t="s">
        <v>173</v>
      </c>
      <c r="E85" s="43" t="n">
        <f aca="false">SUMIF(FS_map!$H:$H,$D85,FS_map!$M:$M)*-1</f>
        <v>3833429789</v>
      </c>
      <c r="F85" s="43" t="n">
        <f aca="false">SUMIF(FS_map!$H:$H,$D85,FS_map!$P:$P)*-1</f>
        <v>3833429789</v>
      </c>
      <c r="G85" s="43" t="n">
        <f aca="false">SUMIF(WBS_2025YE!$D:$D,$D85,WBS_2025YE!$K:$K)</f>
        <v>4357240088</v>
      </c>
      <c r="H85" s="43" t="n">
        <f aca="false">F85-G85</f>
        <v>-523810299</v>
      </c>
      <c r="I85" s="47" t="n">
        <f aca="false">IFERROR(H85/G85,IF(H85&gt;0,100%,IF(H85=0,0,-100%)))</f>
        <v>-0.120216074492336</v>
      </c>
      <c r="J85" s="48" t="str">
        <f aca="false">IF(AND(ABS(H85)&gt;$I$5,ABS(I85)&gt;5%),"O","")</f>
        <v/>
      </c>
      <c r="K85" s="50"/>
      <c r="L85" s="41" t="n">
        <f aca="false">E85-F85</f>
        <v>0</v>
      </c>
      <c r="M85" s="42"/>
      <c r="N85" s="43" t="n">
        <f aca="false">SUMIF('BS_DEC 2026'!$D:$D,$D85,'BS_DEC 2026'!$E:$E)</f>
        <v>3833429789</v>
      </c>
      <c r="O85" s="43" t="n">
        <f aca="false">E85-N85</f>
        <v>0</v>
      </c>
      <c r="P85" s="43" t="n">
        <f aca="false">SUMIF('BS_DEC 2026'!$D:$D,$D85,'BS_DEC 2026'!$K:$K)</f>
        <v>3833429789</v>
      </c>
      <c r="Q85" s="43" t="n">
        <f aca="false">F85-P85</f>
        <v>0</v>
      </c>
    </row>
    <row r="86" customFormat="false" ht="13.5" hidden="false" customHeight="false" outlineLevel="0" collapsed="false">
      <c r="B86" s="19" t="s">
        <v>174</v>
      </c>
      <c r="C86" s="45" t="s">
        <v>50</v>
      </c>
      <c r="D86" s="46" t="s">
        <v>175</v>
      </c>
      <c r="E86" s="43" t="n">
        <f aca="false">SUMIF(FS_map!$H:$H,$D86,FS_map!$M:$M)*-1</f>
        <v>2668049829</v>
      </c>
      <c r="F86" s="43" t="n">
        <f aca="false">SUMIF(FS_map!$H:$H,$D86,FS_map!$P:$P)*-1</f>
        <v>2668049829</v>
      </c>
      <c r="G86" s="43" t="n">
        <f aca="false">SUMIF(WBS_2025YE!$D:$D,$D86,WBS_2025YE!$K:$K)</f>
        <v>6632631113</v>
      </c>
      <c r="H86" s="43" t="n">
        <f aca="false">F86-G86</f>
        <v>-3964581284</v>
      </c>
      <c r="I86" s="47" t="n">
        <f aca="false">IFERROR(H86/G86,IF(H86&gt;0,100%,IF(H86=0,0,-100%)))</f>
        <v>-0.597738848498508</v>
      </c>
      <c r="J86" s="48" t="str">
        <f aca="false">IF(AND(ABS(H86)&gt;$I$5,ABS(I86)&gt;5%),"O","")</f>
        <v/>
      </c>
      <c r="K86" s="52"/>
      <c r="L86" s="41" t="n">
        <f aca="false">E86-F86</f>
        <v>0</v>
      </c>
      <c r="M86" s="42"/>
      <c r="N86" s="43" t="n">
        <f aca="false">SUMIF('BS_DEC 2026'!$D:$D,$D86,'BS_DEC 2026'!$E:$E)</f>
        <v>2668049829</v>
      </c>
      <c r="O86" s="43" t="n">
        <f aca="false">E86-N86</f>
        <v>0</v>
      </c>
      <c r="P86" s="43" t="n">
        <f aca="false">SUMIF('BS_DEC 2026'!$D:$D,$D86,'BS_DEC 2026'!$K:$K)</f>
        <v>2668049829</v>
      </c>
      <c r="Q86" s="43" t="n">
        <f aca="false">F86-P86</f>
        <v>0</v>
      </c>
    </row>
    <row r="87" customFormat="false" ht="13.5" hidden="false" customHeight="false" outlineLevel="0" collapsed="false">
      <c r="B87" s="19" t="s">
        <v>176</v>
      </c>
      <c r="C87" s="45" t="s">
        <v>53</v>
      </c>
      <c r="D87" s="46" t="s">
        <v>177</v>
      </c>
      <c r="E87" s="43" t="n">
        <f aca="false">SUMIF(FS_map!$H:$H,$D87,FS_map!$M:$M)*-1</f>
        <v>-0</v>
      </c>
      <c r="F87" s="43" t="n">
        <f aca="false">SUMIF(FS_map!$H:$H,$D87,FS_map!$P:$P)*-1</f>
        <v>-0</v>
      </c>
      <c r="G87" s="43" t="n">
        <f aca="false">SUMIF(WBS_2025YE!$D:$D,$D87,WBS_2025YE!$K:$K)</f>
        <v>0</v>
      </c>
      <c r="H87" s="43" t="n">
        <f aca="false">F87-G87</f>
        <v>-0</v>
      </c>
      <c r="I87" s="47" t="n">
        <f aca="false">IFERROR(H87/G87,IF(H87&gt;0,100%,IF(H87=0,0,-100%)))</f>
        <v>0</v>
      </c>
      <c r="J87" s="48" t="str">
        <f aca="false">IF(AND(ABS(H87)&gt;$I$5,ABS(I87)&gt;5%),"O","")</f>
        <v/>
      </c>
      <c r="K87" s="50"/>
      <c r="L87" s="41" t="n">
        <f aca="false">E87-F87</f>
        <v>0</v>
      </c>
      <c r="M87" s="42"/>
      <c r="N87" s="43" t="n">
        <f aca="false">SUMIF('BS_DEC 2026'!$D:$D,$D87,'BS_DEC 2026'!$E:$E)</f>
        <v>0</v>
      </c>
      <c r="O87" s="43" t="n">
        <f aca="false">E87-N87</f>
        <v>-0</v>
      </c>
      <c r="P87" s="43" t="n">
        <f aca="false">SUMIF('BS_DEC 2026'!$D:$D,$D87,'BS_DEC 2026'!$K:$K)</f>
        <v>0</v>
      </c>
      <c r="Q87" s="43" t="n">
        <f aca="false">F87-P87</f>
        <v>-0</v>
      </c>
    </row>
    <row r="88" customFormat="false" ht="13.5" hidden="false" customHeight="false" outlineLevel="0" collapsed="false">
      <c r="B88" s="19" t="s">
        <v>178</v>
      </c>
      <c r="C88" s="45" t="s">
        <v>56</v>
      </c>
      <c r="D88" s="46" t="s">
        <v>179</v>
      </c>
      <c r="E88" s="43" t="n">
        <f aca="false">SUMIF(FS_map!$H:$H,$D88,FS_map!$M:$M)*-1</f>
        <v>-0</v>
      </c>
      <c r="F88" s="43" t="n">
        <f aca="false">SUMIF(FS_map!$H:$H,$D88,FS_map!$P:$P)*-1</f>
        <v>-0</v>
      </c>
      <c r="G88" s="43" t="n">
        <f aca="false">SUMIF(WBS_2025YE!$D:$D,$D88,WBS_2025YE!$K:$K)</f>
        <v>0</v>
      </c>
      <c r="H88" s="43" t="n">
        <f aca="false">F88-G88</f>
        <v>-0</v>
      </c>
      <c r="I88" s="47" t="n">
        <f aca="false">IFERROR(H88/G88,IF(H88&gt;0,100%,IF(H88=0,0,-100%)))</f>
        <v>0</v>
      </c>
      <c r="J88" s="48" t="str">
        <f aca="false">IF(AND(ABS(H88)&gt;$I$5,ABS(I88)&gt;5%),"O","")</f>
        <v/>
      </c>
      <c r="K88" s="50"/>
      <c r="L88" s="41" t="n">
        <f aca="false">E88-F88</f>
        <v>0</v>
      </c>
      <c r="M88" s="42"/>
      <c r="N88" s="43" t="n">
        <f aca="false">SUMIF('BS_DEC 2026'!$D:$D,$D88,'BS_DEC 2026'!$E:$E)</f>
        <v>0</v>
      </c>
      <c r="O88" s="43" t="n">
        <f aca="false">E88-N88</f>
        <v>-0</v>
      </c>
      <c r="P88" s="43" t="n">
        <f aca="false">SUMIF('BS_DEC 2026'!$D:$D,$D88,'BS_DEC 2026'!$K:$K)</f>
        <v>0</v>
      </c>
      <c r="Q88" s="43" t="n">
        <f aca="false">F88-P88</f>
        <v>-0</v>
      </c>
    </row>
    <row r="89" customFormat="false" ht="13.5" hidden="false" customHeight="false" outlineLevel="0" collapsed="false">
      <c r="B89" s="19" t="s">
        <v>180</v>
      </c>
      <c r="C89" s="45" t="s">
        <v>59</v>
      </c>
      <c r="D89" s="46" t="s">
        <v>181</v>
      </c>
      <c r="E89" s="43" t="n">
        <f aca="false">SUMIF(FS_map!$H:$H,$D89,FS_map!$M:$M)*-1</f>
        <v>-0</v>
      </c>
      <c r="F89" s="43" t="n">
        <f aca="false">SUMIF(FS_map!$H:$H,$D89,FS_map!$P:$P)*-1</f>
        <v>-0</v>
      </c>
      <c r="G89" s="43" t="n">
        <f aca="false">SUMIF(WBS_2025YE!$D:$D,$D89,WBS_2025YE!$K:$K)</f>
        <v>0</v>
      </c>
      <c r="H89" s="43" t="n">
        <f aca="false">F89-G89</f>
        <v>-0</v>
      </c>
      <c r="I89" s="47" t="n">
        <f aca="false">IFERROR(H89/G89,IF(H89&gt;0,100%,IF(H89=0,0,-100%)))</f>
        <v>0</v>
      </c>
      <c r="J89" s="48" t="str">
        <f aca="false">IF(AND(ABS(H89)&gt;$I$5,ABS(I89)&gt;5%),"O","")</f>
        <v/>
      </c>
      <c r="K89" s="50"/>
      <c r="L89" s="41" t="n">
        <f aca="false">E89-F89</f>
        <v>0</v>
      </c>
      <c r="M89" s="51"/>
      <c r="N89" s="43" t="n">
        <f aca="false">SUMIF('BS_DEC 2026'!$D:$D,$D89,'BS_DEC 2026'!$E:$E)</f>
        <v>0</v>
      </c>
      <c r="O89" s="43" t="n">
        <f aca="false">E89-N89</f>
        <v>-0</v>
      </c>
      <c r="P89" s="43" t="n">
        <f aca="false">SUMIF('BS_DEC 2026'!$D:$D,$D89,'BS_DEC 2026'!$K:$K)</f>
        <v>0</v>
      </c>
      <c r="Q89" s="43" t="n">
        <f aca="false">F89-P89</f>
        <v>-0</v>
      </c>
    </row>
    <row r="90" customFormat="false" ht="13.5" hidden="false" customHeight="false" outlineLevel="0" collapsed="false">
      <c r="B90" s="19"/>
      <c r="C90" s="45" t="s">
        <v>182</v>
      </c>
      <c r="D90" s="46" t="s">
        <v>183</v>
      </c>
      <c r="E90" s="43" t="n">
        <f aca="false">SUMIF(FS_map!$H:$H,$D90,FS_map!$M:$M)*-1</f>
        <v>6930294786</v>
      </c>
      <c r="F90" s="43" t="n">
        <f aca="false">SUMIF(FS_map!$H:$H,$D90,FS_map!$P:$P)*-1</f>
        <v>6284038286</v>
      </c>
      <c r="G90" s="43" t="n">
        <f aca="false">SUMIF(WBS_2025YE!$D:$D,$D90,WBS_2025YE!$K:$K)</f>
        <v>6882476101</v>
      </c>
      <c r="H90" s="43" t="n">
        <f aca="false">F90-G90</f>
        <v>-598437815</v>
      </c>
      <c r="I90" s="47" t="n">
        <f aca="false">IFERROR(H90/G90,IF(H90&gt;0,100%,IF(H90=0,0,-100%)))</f>
        <v>-0.0869509470455043</v>
      </c>
      <c r="J90" s="48" t="str">
        <f aca="false">IF(AND(ABS(H90)&gt;$I$5,ABS(I90)&gt;5%),"O","")</f>
        <v/>
      </c>
      <c r="K90" s="49"/>
      <c r="L90" s="41" t="n">
        <f aca="false">E90-F90</f>
        <v>646256500</v>
      </c>
      <c r="M90" s="42"/>
      <c r="N90" s="43" t="n">
        <f aca="false">SUMIF('BS_DEC 2026'!$D:$D,$D90,'BS_DEC 2026'!$E:$E)</f>
        <v>6930294786</v>
      </c>
      <c r="O90" s="43" t="n">
        <f aca="false">E90-N90</f>
        <v>0</v>
      </c>
      <c r="P90" s="43" t="n">
        <f aca="false">SUMIF('BS_DEC 2026'!$D:$D,$D90,'BS_DEC 2026'!$K:$K)</f>
        <v>6284038286</v>
      </c>
      <c r="Q90" s="43" t="n">
        <f aca="false">F90-P90</f>
        <v>0</v>
      </c>
    </row>
    <row r="91" customFormat="false" ht="13.5" hidden="false" customHeight="false" outlineLevel="0" collapsed="false">
      <c r="B91" s="19"/>
      <c r="C91" s="35"/>
      <c r="D91" s="36"/>
      <c r="E91" s="71"/>
      <c r="F91" s="71"/>
      <c r="G91" s="71"/>
      <c r="H91" s="71"/>
      <c r="I91" s="72" t="n">
        <f aca="false">IFERROR(H91/G91,IF(H91&gt;0,100%,IF(H91=0,0,-100%)))</f>
        <v>0</v>
      </c>
      <c r="J91" s="48" t="str">
        <f aca="false">IF(AND(ABS(H91)&gt;$I$5,ABS(I91)&gt;5%),"O","")</f>
        <v/>
      </c>
      <c r="K91" s="50"/>
      <c r="L91" s="41" t="n">
        <f aca="false">E91-F91</f>
        <v>0</v>
      </c>
      <c r="M91" s="42"/>
    </row>
    <row r="92" customFormat="false" ht="13.5" hidden="false" customHeight="false" outlineLevel="0" collapsed="false">
      <c r="B92" s="19" t="s">
        <v>184</v>
      </c>
      <c r="C92" s="73" t="s">
        <v>185</v>
      </c>
      <c r="D92" s="36"/>
      <c r="E92" s="37" t="n">
        <f aca="false">SUM(E93:E99)</f>
        <v>912409574</v>
      </c>
      <c r="F92" s="37" t="n">
        <f aca="false">SUM(F93:F99)</f>
        <v>1558666074</v>
      </c>
      <c r="G92" s="37" t="n">
        <f aca="false">SUM(G93:G99)</f>
        <v>1681126243</v>
      </c>
      <c r="H92" s="37" t="n">
        <f aca="false">SUM(H93:H99)</f>
        <v>-122460169</v>
      </c>
      <c r="I92" s="38" t="n">
        <f aca="false">IFERROR(H92/G92,IF(H92&gt;0,100%,IF(H92=0,0,-100%)))</f>
        <v>-0.0728441242945965</v>
      </c>
      <c r="J92" s="39"/>
      <c r="K92" s="40"/>
      <c r="L92" s="41" t="n">
        <f aca="false">E92-F92</f>
        <v>-646256500</v>
      </c>
      <c r="M92" s="42"/>
      <c r="N92" s="43" t="n">
        <f aca="false">SUM(N93:N99)</f>
        <v>912409574</v>
      </c>
      <c r="O92" s="43" t="n">
        <f aca="false">E92-N92</f>
        <v>0</v>
      </c>
      <c r="P92" s="43" t="n">
        <f aca="false">SUM(P93:P99)</f>
        <v>1558666074</v>
      </c>
      <c r="Q92" s="43" t="n">
        <f aca="false">F92-P92</f>
        <v>0</v>
      </c>
    </row>
    <row r="93" customFormat="false" ht="13.5" hidden="false" customHeight="false" outlineLevel="0" collapsed="false">
      <c r="B93" s="19" t="s">
        <v>186</v>
      </c>
      <c r="C93" s="45" t="s">
        <v>26</v>
      </c>
      <c r="D93" s="46" t="s">
        <v>187</v>
      </c>
      <c r="E93" s="43" t="n">
        <f aca="false">SUMIF(FS_map!$H:$H,$D93,FS_map!$M:$M)*-1</f>
        <v>-0</v>
      </c>
      <c r="F93" s="43" t="n">
        <f aca="false">SUMIF(FS_map!$H:$H,$D93,FS_map!$P:$P)*-1</f>
        <v>-0</v>
      </c>
      <c r="G93" s="43" t="n">
        <f aca="false">SUMIF(WBS_2025YE!$D:$D,$D93,WBS_2025YE!$K:$K)</f>
        <v>0</v>
      </c>
      <c r="H93" s="43" t="n">
        <f aca="false">F93-G93</f>
        <v>-0</v>
      </c>
      <c r="I93" s="47" t="n">
        <f aca="false">IFERROR(H93/G93,IF(H93&gt;0,100%,IF(H93=0,0,-100%)))</f>
        <v>0</v>
      </c>
      <c r="J93" s="48" t="str">
        <f aca="false">IF(AND(ABS(H93)&gt;$I$5,ABS(I93)&gt;5%),"O","")</f>
        <v/>
      </c>
      <c r="K93" s="50"/>
      <c r="L93" s="41" t="n">
        <f aca="false">E93-F93</f>
        <v>0</v>
      </c>
      <c r="M93" s="42"/>
      <c r="N93" s="43" t="n">
        <f aca="false">SUMIF('BS_DEC 2026'!$D:$D,$D93,'BS_DEC 2026'!$E:$E)</f>
        <v>0</v>
      </c>
      <c r="O93" s="43" t="n">
        <f aca="false">E93-N93</f>
        <v>-0</v>
      </c>
      <c r="P93" s="43" t="n">
        <f aca="false">SUMIF('BS_DEC 2026'!$D:$D,$D93,'BS_DEC 2026'!$K:$K)</f>
        <v>0</v>
      </c>
      <c r="Q93" s="43" t="n">
        <f aca="false">F93-P93</f>
        <v>-0</v>
      </c>
    </row>
    <row r="94" customFormat="false" ht="13.5" hidden="false" customHeight="false" outlineLevel="0" collapsed="false">
      <c r="B94" s="19" t="s">
        <v>188</v>
      </c>
      <c r="C94" s="45" t="s">
        <v>29</v>
      </c>
      <c r="D94" s="46" t="s">
        <v>189</v>
      </c>
      <c r="E94" s="43" t="n">
        <f aca="false">SUMIF(FS_map!$H:$H,$D94,FS_map!$M:$M)*-1</f>
        <v>-0</v>
      </c>
      <c r="F94" s="43" t="n">
        <f aca="false">SUMIF(FS_map!$H:$H,$D94,FS_map!$P:$P)*-1</f>
        <v>-0</v>
      </c>
      <c r="G94" s="43" t="n">
        <f aca="false">SUMIF(WBS_2025YE!$D:$D,$D94,WBS_2025YE!$K:$K)</f>
        <v>0</v>
      </c>
      <c r="H94" s="43" t="n">
        <f aca="false">F94-G94</f>
        <v>-0</v>
      </c>
      <c r="I94" s="47" t="n">
        <f aca="false">IFERROR(H94/G94,IF(H94&gt;0,100%,IF(H94=0,0,-100%)))</f>
        <v>0</v>
      </c>
      <c r="J94" s="48" t="str">
        <f aca="false">IF(AND(ABS(H94)&gt;$I$5,ABS(I94)&gt;5%),"O","")</f>
        <v/>
      </c>
      <c r="K94" s="50"/>
      <c r="L94" s="41" t="n">
        <f aca="false">E94-F94</f>
        <v>0</v>
      </c>
      <c r="M94" s="42"/>
      <c r="N94" s="43" t="n">
        <f aca="false">SUMIF('BS_DEC 2026'!$D:$D,$D94,'BS_DEC 2026'!$E:$E)</f>
        <v>0</v>
      </c>
      <c r="O94" s="43" t="n">
        <f aca="false">E94-N94</f>
        <v>-0</v>
      </c>
      <c r="P94" s="43" t="n">
        <f aca="false">SUMIF('BS_DEC 2026'!$D:$D,$D94,'BS_DEC 2026'!$K:$K)</f>
        <v>0</v>
      </c>
      <c r="Q94" s="43" t="n">
        <f aca="false">F94-P94</f>
        <v>-0</v>
      </c>
    </row>
    <row r="95" customFormat="false" ht="13.5" hidden="false" customHeight="false" outlineLevel="0" collapsed="false">
      <c r="B95" s="19" t="s">
        <v>190</v>
      </c>
      <c r="C95" s="45" t="s">
        <v>32</v>
      </c>
      <c r="D95" s="46" t="s">
        <v>191</v>
      </c>
      <c r="E95" s="43" t="n">
        <f aca="false">SUMIF(FS_map!$H:$H,$D95,FS_map!$M:$M)*-1</f>
        <v>-0</v>
      </c>
      <c r="F95" s="43" t="n">
        <f aca="false">SUMIF(FS_map!$H:$H,$D95,FS_map!$P:$P)*-1</f>
        <v>-0</v>
      </c>
      <c r="G95" s="43" t="n">
        <f aca="false">SUMIF(WBS_2025YE!$D:$D,$D95,WBS_2025YE!$K:$K)</f>
        <v>0</v>
      </c>
      <c r="H95" s="43" t="n">
        <f aca="false">F95-G95</f>
        <v>-0</v>
      </c>
      <c r="I95" s="47" t="n">
        <f aca="false">IFERROR(H95/G95,IF(H95&gt;0,100%,IF(H95=0,0,-100%)))</f>
        <v>0</v>
      </c>
      <c r="J95" s="48" t="str">
        <f aca="false">IF(AND(ABS(H95)&gt;$I$5,ABS(I95)&gt;5%),"O","")</f>
        <v/>
      </c>
      <c r="K95" s="50"/>
      <c r="L95" s="41" t="n">
        <f aca="false">E95-F95</f>
        <v>0</v>
      </c>
      <c r="M95" s="42"/>
      <c r="N95" s="43" t="n">
        <f aca="false">SUMIF('BS_DEC 2026'!$D:$D,$D95,'BS_DEC 2026'!$E:$E)</f>
        <v>0</v>
      </c>
      <c r="O95" s="43" t="n">
        <f aca="false">E95-N95</f>
        <v>-0</v>
      </c>
      <c r="P95" s="43" t="n">
        <f aca="false">SUMIF('BS_DEC 2026'!$D:$D,$D95,'BS_DEC 2026'!$K:$K)</f>
        <v>0</v>
      </c>
      <c r="Q95" s="43" t="n">
        <f aca="false">F95-P95</f>
        <v>-0</v>
      </c>
    </row>
    <row r="96" customFormat="false" ht="13.5" hidden="false" customHeight="false" outlineLevel="0" collapsed="false">
      <c r="B96" s="19" t="s">
        <v>192</v>
      </c>
      <c r="C96" s="45" t="s">
        <v>35</v>
      </c>
      <c r="D96" s="46" t="s">
        <v>193</v>
      </c>
      <c r="E96" s="43" t="n">
        <f aca="false">SUMIF(FS_map!$H:$H,$D96,FS_map!$M:$M)*-1</f>
        <v>-0</v>
      </c>
      <c r="F96" s="43" t="n">
        <f aca="false">SUMIF(FS_map!$H:$H,$D96,FS_map!$P:$P)*-1</f>
        <v>646256500</v>
      </c>
      <c r="G96" s="43" t="n">
        <f aca="false">SUMIF(WBS_2025YE!$D:$D,$D96,WBS_2025YE!$K:$K)</f>
        <v>779863000</v>
      </c>
      <c r="H96" s="43" t="n">
        <f aca="false">F96-G96</f>
        <v>-133606500</v>
      </c>
      <c r="I96" s="47" t="n">
        <f aca="false">IFERROR(H96/G96,IF(H96&gt;0,100%,IF(H96=0,0,-100%)))</f>
        <v>-0.171320475519418</v>
      </c>
      <c r="J96" s="48" t="str">
        <f aca="false">IF(AND(ABS(H96)&gt;$I$5,ABS(I96)&gt;5%),"O","")</f>
        <v/>
      </c>
      <c r="K96" s="49"/>
      <c r="L96" s="41" t="n">
        <f aca="false">E96-F96</f>
        <v>-646256500</v>
      </c>
      <c r="M96" s="42"/>
      <c r="N96" s="43" t="n">
        <f aca="false">SUMIF('BS_DEC 2026'!$D:$D,$D96,'BS_DEC 2026'!$E:$E)</f>
        <v>0</v>
      </c>
      <c r="O96" s="43" t="n">
        <f aca="false">E96-N96</f>
        <v>-0</v>
      </c>
      <c r="P96" s="43" t="n">
        <f aca="false">SUMIF('BS_DEC 2026'!$D:$D,$D96,'BS_DEC 2026'!$K:$K)</f>
        <v>646256500</v>
      </c>
      <c r="Q96" s="43" t="n">
        <f aca="false">F96-P96</f>
        <v>0</v>
      </c>
    </row>
    <row r="97" customFormat="false" ht="13.5" hidden="false" customHeight="false" outlineLevel="0" collapsed="false">
      <c r="B97" s="19"/>
      <c r="C97" s="45" t="s">
        <v>38</v>
      </c>
      <c r="D97" s="46" t="s">
        <v>194</v>
      </c>
      <c r="E97" s="43" t="n">
        <f aca="false">SUMIF(FS_map!$H:$H,$D97,FS_map!$M:$M)*-1</f>
        <v>912409574</v>
      </c>
      <c r="F97" s="43" t="n">
        <f aca="false">SUMIF(FS_map!$H:$H,$D97,FS_map!$P:$P)*-1</f>
        <v>912409574</v>
      </c>
      <c r="G97" s="43" t="n">
        <f aca="false">SUMIF(WBS_2025YE!$D:$D,$D97,WBS_2025YE!$K:$K)</f>
        <v>901263243</v>
      </c>
      <c r="H97" s="43" t="n">
        <f aca="false">F97-G97</f>
        <v>11146331</v>
      </c>
      <c r="I97" s="47" t="n">
        <f aca="false">IFERROR(H97/G97,IF(H97&gt;0,100%,IF(H97=0,0,-100%)))</f>
        <v>0.0123674532236527</v>
      </c>
      <c r="J97" s="48" t="str">
        <f aca="false">IF(AND(ABS(H97)&gt;$I$5,ABS(I97)&gt;5%),"O","")</f>
        <v/>
      </c>
      <c r="K97" s="49"/>
      <c r="L97" s="41" t="n">
        <f aca="false">E97-F97</f>
        <v>0</v>
      </c>
      <c r="M97" s="42"/>
      <c r="N97" s="43" t="n">
        <f aca="false">SUMIF('BS_DEC 2026'!$D:$D,$D97,'BS_DEC 2026'!$E:$E)</f>
        <v>912409574</v>
      </c>
      <c r="O97" s="43" t="n">
        <f aca="false">E97-N97</f>
        <v>0</v>
      </c>
      <c r="P97" s="43" t="n">
        <f aca="false">SUMIF('BS_DEC 2026'!$D:$D,$D97,'BS_DEC 2026'!$K:$K)</f>
        <v>912409574</v>
      </c>
      <c r="Q97" s="43" t="n">
        <f aca="false">F97-P97</f>
        <v>0</v>
      </c>
    </row>
    <row r="98" customFormat="false" ht="13.5" hidden="false" customHeight="false" outlineLevel="0" collapsed="false">
      <c r="B98" s="19"/>
      <c r="C98" s="45" t="s">
        <v>41</v>
      </c>
      <c r="D98" s="46" t="s">
        <v>195</v>
      </c>
      <c r="E98" s="43" t="n">
        <f aca="false">SUMIF(FS_map!$H:$H,$D98,FS_map!$M:$M)*-1</f>
        <v>-0</v>
      </c>
      <c r="F98" s="43" t="n">
        <f aca="false">SUMIF(FS_map!$H:$H,$D98,FS_map!$P:$P)*-1</f>
        <v>-0</v>
      </c>
      <c r="G98" s="43" t="n">
        <f aca="false">SUMIF(WBS_2025YE!$D:$D,$D98,WBS_2025YE!$K:$K)</f>
        <v>0</v>
      </c>
      <c r="H98" s="43" t="n">
        <f aca="false">F98-G98</f>
        <v>-0</v>
      </c>
      <c r="I98" s="47" t="n">
        <f aca="false">IFERROR(H98/G98,IF(H98&gt;0,100%,IF(H98=0,0,-100%)))</f>
        <v>0</v>
      </c>
      <c r="J98" s="48" t="str">
        <f aca="false">IF(AND(ABS(H98)&gt;$I$5,ABS(I98)&gt;5%),"O","")</f>
        <v/>
      </c>
      <c r="K98" s="50"/>
      <c r="L98" s="41" t="n">
        <f aca="false">E98-F98</f>
        <v>0</v>
      </c>
      <c r="M98" s="42"/>
      <c r="N98" s="43" t="n">
        <f aca="false">SUMIF('BS_DEC 2026'!$D:$D,$D98,'BS_DEC 2026'!$E:$E)</f>
        <v>0</v>
      </c>
      <c r="O98" s="43" t="n">
        <f aca="false">E98-N98</f>
        <v>-0</v>
      </c>
      <c r="P98" s="43" t="n">
        <f aca="false">SUMIF('BS_DEC 2026'!$D:$D,$D98,'BS_DEC 2026'!$K:$K)</f>
        <v>0</v>
      </c>
      <c r="Q98" s="43" t="n">
        <f aca="false">F98-P98</f>
        <v>-0</v>
      </c>
    </row>
    <row r="99" customFormat="false" ht="13.5" hidden="false" customHeight="false" outlineLevel="0" collapsed="false">
      <c r="B99" s="19"/>
      <c r="C99" s="45" t="s">
        <v>44</v>
      </c>
      <c r="D99" s="46" t="s">
        <v>196</v>
      </c>
      <c r="E99" s="43" t="n">
        <f aca="false">SUMIF(FS_map!$H:$H,$D99,FS_map!$M:$M)*-1</f>
        <v>-0</v>
      </c>
      <c r="F99" s="43" t="n">
        <f aca="false">SUMIF(FS_map!$H:$H,$D99,FS_map!$P:$P)*-1</f>
        <v>-0</v>
      </c>
      <c r="G99" s="43" t="n">
        <f aca="false">SUMIF(WBS_2025YE!$D:$D,$D99,WBS_2025YE!$K:$K)</f>
        <v>0</v>
      </c>
      <c r="H99" s="43" t="n">
        <f aca="false">F99-G99</f>
        <v>-0</v>
      </c>
      <c r="I99" s="47" t="n">
        <f aca="false">IFERROR(H99/G99,IF(H99&gt;0,100%,IF(H99=0,0,-100%)))</f>
        <v>0</v>
      </c>
      <c r="J99" s="48" t="str">
        <f aca="false">IF(AND(ABS(H99)&gt;$I$5,ABS(I99)&gt;5%),"O","")</f>
        <v/>
      </c>
      <c r="K99" s="49"/>
      <c r="L99" s="41" t="n">
        <f aca="false">E99-F99</f>
        <v>0</v>
      </c>
      <c r="M99" s="58"/>
      <c r="N99" s="43" t="n">
        <f aca="false">SUMIF('BS_DEC 2026'!$D:$D,$D99,'BS_DEC 2026'!$E:$E)</f>
        <v>0</v>
      </c>
      <c r="O99" s="43" t="n">
        <f aca="false">E99-N99</f>
        <v>-0</v>
      </c>
      <c r="P99" s="43" t="n">
        <f aca="false">SUMIF('BS_DEC 2026'!$D:$D,$D99,'BS_DEC 2026'!$K:$K)</f>
        <v>0</v>
      </c>
      <c r="Q99" s="43" t="n">
        <f aca="false">F99-P99</f>
        <v>-0</v>
      </c>
    </row>
    <row r="100" customFormat="false" ht="14.25" hidden="false" customHeight="true" outlineLevel="0" collapsed="false">
      <c r="B100" s="19" t="s">
        <v>197</v>
      </c>
      <c r="C100" s="64" t="s">
        <v>198</v>
      </c>
      <c r="D100" s="64"/>
      <c r="E100" s="65" t="n">
        <f aca="false">+E78+E92</f>
        <v>213597629178</v>
      </c>
      <c r="F100" s="65" t="n">
        <f aca="false">+F78+F92</f>
        <v>201181819054</v>
      </c>
      <c r="G100" s="65" t="n">
        <f aca="false">+G78+G92</f>
        <v>142472987716</v>
      </c>
      <c r="H100" s="65" t="n">
        <f aca="false">+H78+H92</f>
        <v>58708831338</v>
      </c>
      <c r="I100" s="66" t="n">
        <f aca="false">IFERROR(H100/G100,IF(H100&gt;0,100%,IF(H100=0,0,-100%)))</f>
        <v>0.41206991078918</v>
      </c>
      <c r="J100" s="67" t="str">
        <f aca="false">IF(AND(ABS(H100)&gt;$I$5,ABS(I100)&gt;5%),"O","")</f>
        <v>O</v>
      </c>
      <c r="K100" s="68"/>
      <c r="L100" s="41" t="n">
        <f aca="false">E100-F100</f>
        <v>12415810124</v>
      </c>
      <c r="M100" s="42"/>
      <c r="N100" s="43" t="n">
        <f aca="false">+N78+N92</f>
        <v>213597629178</v>
      </c>
      <c r="O100" s="43" t="n">
        <f aca="false">E100-N100</f>
        <v>0</v>
      </c>
      <c r="P100" s="43" t="n">
        <f aca="false">+P78+P92</f>
        <v>201181819132</v>
      </c>
      <c r="Q100" s="43" t="n">
        <f aca="false">F100-P100</f>
        <v>-78</v>
      </c>
    </row>
    <row r="101" customFormat="false" ht="14.25" hidden="false" customHeight="true" outlineLevel="0" collapsed="false">
      <c r="B101" s="19"/>
      <c r="C101" s="35"/>
      <c r="D101" s="36"/>
      <c r="E101" s="53"/>
      <c r="F101" s="53"/>
      <c r="G101" s="53"/>
      <c r="H101" s="53"/>
      <c r="I101" s="69" t="n">
        <f aca="false">IFERROR(H101/G101,IF(H101&gt;0,100%,IF(H101=0,0,-100%)))</f>
        <v>0</v>
      </c>
      <c r="J101" s="62" t="str">
        <f aca="false">IF(AND(ABS(H101)&gt;$I$5,ABS(I101)&gt;5%),"O","")</f>
        <v/>
      </c>
      <c r="K101" s="63"/>
      <c r="L101" s="41" t="n">
        <f aca="false">E101-F101</f>
        <v>0</v>
      </c>
      <c r="M101" s="42"/>
    </row>
    <row r="102" customFormat="false" ht="13.5" hidden="false" customHeight="false" outlineLevel="0" collapsed="false">
      <c r="B102" s="19" t="s">
        <v>199</v>
      </c>
      <c r="C102" s="70" t="s">
        <v>200</v>
      </c>
      <c r="D102" s="74"/>
      <c r="E102" s="75"/>
      <c r="F102" s="75"/>
      <c r="G102" s="75"/>
      <c r="H102" s="75"/>
      <c r="I102" s="76" t="n">
        <f aca="false">IFERROR(H102/G102,IF(H102&gt;0,100%,IF(H102=0,0,-100%)))</f>
        <v>0</v>
      </c>
      <c r="J102" s="77" t="str">
        <f aca="false">IF(AND(ABS(H102)&gt;$I$5,ABS(I102)&gt;5%),"O","")</f>
        <v/>
      </c>
      <c r="K102" s="78"/>
      <c r="L102" s="41" t="n">
        <f aca="false">E102-F102</f>
        <v>0</v>
      </c>
      <c r="M102" s="42"/>
    </row>
    <row r="103" customFormat="false" ht="13.5" hidden="false" customHeight="false" outlineLevel="0" collapsed="false">
      <c r="B103" s="19" t="s">
        <v>201</v>
      </c>
      <c r="C103" s="45" t="s">
        <v>202</v>
      </c>
      <c r="D103" s="46"/>
      <c r="E103" s="37" t="n">
        <f aca="false">+E104</f>
        <v>4287180000</v>
      </c>
      <c r="F103" s="37" t="n">
        <f aca="false">+F104</f>
        <v>4287180000</v>
      </c>
      <c r="G103" s="37" t="n">
        <f aca="false">+G104</f>
        <v>4287180000</v>
      </c>
      <c r="H103" s="37" t="n">
        <f aca="false">+H104</f>
        <v>0</v>
      </c>
      <c r="I103" s="38" t="n">
        <f aca="false">IFERROR(H103/G103,IF(H103&gt;0,100%,IF(H103=0,0,-100%)))</f>
        <v>0</v>
      </c>
      <c r="J103" s="39" t="str">
        <f aca="false">IF(AND(ABS(H103)&gt;$I$5,ABS(I103)&gt;5%),"O","")</f>
        <v/>
      </c>
      <c r="K103" s="40"/>
      <c r="L103" s="41" t="n">
        <f aca="false">E103-F103</f>
        <v>0</v>
      </c>
      <c r="M103" s="42"/>
      <c r="N103" s="43" t="n">
        <f aca="false">+N104</f>
        <v>4287180000</v>
      </c>
      <c r="O103" s="43" t="n">
        <f aca="false">E103-N103</f>
        <v>0</v>
      </c>
      <c r="P103" s="43" t="n">
        <f aca="false">+P104</f>
        <v>4287180000</v>
      </c>
      <c r="Q103" s="43" t="n">
        <f aca="false">F103-P103</f>
        <v>0</v>
      </c>
    </row>
    <row r="104" customFormat="false" ht="13.5" hidden="false" customHeight="false" outlineLevel="0" collapsed="false">
      <c r="B104" s="19" t="s">
        <v>203</v>
      </c>
      <c r="C104" s="45" t="s">
        <v>26</v>
      </c>
      <c r="D104" s="46" t="s">
        <v>204</v>
      </c>
      <c r="E104" s="43" t="n">
        <f aca="false">SUMIF(FS_map!$H:$H,$D104,FS_map!$M:$M)*-1</f>
        <v>4287180000</v>
      </c>
      <c r="F104" s="43" t="n">
        <f aca="false">SUMIF(FS_map!$H:$H,$D104,FS_map!$P:$P)*-1</f>
        <v>4287180000</v>
      </c>
      <c r="G104" s="43" t="n">
        <f aca="false">SUMIF(WBS_2025YE!$D:$D,$D104,WBS_2025YE!$K:$K)</f>
        <v>4287180000</v>
      </c>
      <c r="H104" s="43" t="n">
        <f aca="false">F104-G104</f>
        <v>0</v>
      </c>
      <c r="I104" s="47" t="n">
        <f aca="false">IFERROR(H104/G104,IF(H104&gt;0,100%,IF(H104=0,0,-100%)))</f>
        <v>0</v>
      </c>
      <c r="J104" s="48" t="str">
        <f aca="false">IF(AND(ABS(H104)&gt;$I$5,ABS(I104)&gt;5%),"O","")</f>
        <v/>
      </c>
      <c r="K104" s="50"/>
      <c r="L104" s="41" t="n">
        <f aca="false">E104-F104</f>
        <v>0</v>
      </c>
      <c r="M104" s="51"/>
      <c r="N104" s="43" t="n">
        <f aca="false">SUMIF('BS_DEC 2026'!$D:$D,$D104,'BS_DEC 2026'!$E:$E)</f>
        <v>4287180000</v>
      </c>
      <c r="O104" s="43" t="n">
        <f aca="false">E104-N104</f>
        <v>0</v>
      </c>
      <c r="P104" s="43" t="n">
        <f aca="false">SUMIF('BS_DEC 2026'!$D:$D,$D104,'BS_DEC 2026'!$K:$K)</f>
        <v>4287180000</v>
      </c>
      <c r="Q104" s="43" t="n">
        <f aca="false">F104-P104</f>
        <v>0</v>
      </c>
    </row>
    <row r="105" customFormat="false" ht="13.5" hidden="false" customHeight="false" outlineLevel="0" collapsed="false">
      <c r="B105" s="19"/>
      <c r="C105" s="45"/>
      <c r="D105" s="46"/>
      <c r="E105" s="79"/>
      <c r="F105" s="79"/>
      <c r="G105" s="79"/>
      <c r="H105" s="79"/>
      <c r="I105" s="80" t="n">
        <f aca="false">IFERROR(H105/G105,IF(H105&gt;0,100%,IF(H105=0,0,-100%)))</f>
        <v>0</v>
      </c>
      <c r="J105" s="62" t="str">
        <f aca="false">IF(AND(ABS(H105)&gt;$I$5,ABS(I105)&gt;5%),"O","")</f>
        <v/>
      </c>
      <c r="K105" s="63"/>
      <c r="L105" s="41" t="n">
        <f aca="false">E105-F105</f>
        <v>0</v>
      </c>
      <c r="M105" s="51"/>
      <c r="N105" s="36"/>
    </row>
    <row r="106" customFormat="false" ht="13.5" hidden="false" customHeight="false" outlineLevel="0" collapsed="false">
      <c r="B106" s="19" t="s">
        <v>205</v>
      </c>
      <c r="C106" s="73" t="s">
        <v>206</v>
      </c>
      <c r="D106" s="46"/>
      <c r="E106" s="56" t="n">
        <f aca="false">+E108+E107</f>
        <v>134580841795</v>
      </c>
      <c r="F106" s="56" t="n">
        <f aca="false">+F108+F107</f>
        <v>134580841795</v>
      </c>
      <c r="G106" s="56" t="n">
        <f aca="false">+G108+G107</f>
        <v>134580841795</v>
      </c>
      <c r="H106" s="56" t="n">
        <f aca="false">+H108+H107</f>
        <v>0</v>
      </c>
      <c r="I106" s="57" t="n">
        <f aca="false">IFERROR(H106/G106,IF(H106&gt;0,100%,IF(H106=0,0,-100%)))</f>
        <v>0</v>
      </c>
      <c r="J106" s="39" t="str">
        <f aca="false">IF(AND(ABS(H106)&gt;$I$5,ABS(I106)&gt;5%),"O","")</f>
        <v/>
      </c>
      <c r="K106" s="40"/>
      <c r="L106" s="41" t="n">
        <f aca="false">E106-F106</f>
        <v>0</v>
      </c>
      <c r="M106" s="51"/>
      <c r="N106" s="43" t="n">
        <f aca="false">+N108+N107</f>
        <v>134580841795</v>
      </c>
      <c r="O106" s="43" t="n">
        <f aca="false">E106-N106</f>
        <v>0</v>
      </c>
      <c r="P106" s="43" t="n">
        <f aca="false">+P108+P107</f>
        <v>134580841795</v>
      </c>
      <c r="Q106" s="43" t="n">
        <f aca="false">F106-P106</f>
        <v>0</v>
      </c>
    </row>
    <row r="107" customFormat="false" ht="13.5" hidden="false" customHeight="false" outlineLevel="0" collapsed="false">
      <c r="B107" s="19" t="s">
        <v>207</v>
      </c>
      <c r="C107" s="45"/>
      <c r="D107" s="46" t="s">
        <v>208</v>
      </c>
      <c r="E107" s="43" t="n">
        <f aca="false">SUMIF(FS_map!$H:$H,$D107,FS_map!$M:$M)*-1</f>
        <v>152461603149</v>
      </c>
      <c r="F107" s="43" t="n">
        <f aca="false">SUMIF(FS_map!$H:$H,$D107,FS_map!$P:$P)*-1</f>
        <v>152461603149</v>
      </c>
      <c r="G107" s="43" t="n">
        <f aca="false">SUMIF(WBS_2025YE!$D:$D,$D107,WBS_2025YE!$K:$K)</f>
        <v>152461603149</v>
      </c>
      <c r="H107" s="43" t="n">
        <f aca="false">F107-G107</f>
        <v>0</v>
      </c>
      <c r="I107" s="47" t="n">
        <f aca="false">IFERROR(H107/G107,IF(H107&gt;0,100%,IF(H107=0,0,-100%)))</f>
        <v>0</v>
      </c>
      <c r="J107" s="48" t="str">
        <f aca="false">IF(AND(ABS(H107)&gt;$I$5,ABS(I107)&gt;5%),"O","")</f>
        <v/>
      </c>
      <c r="K107" s="50"/>
      <c r="L107" s="41" t="n">
        <f aca="false">E107-F107</f>
        <v>0</v>
      </c>
      <c r="M107" s="42"/>
      <c r="N107" s="43" t="n">
        <f aca="false">SUMIF('BS_DEC 2026'!$D:$D,$D107,'BS_DEC 2026'!$E:$E)</f>
        <v>152461603149</v>
      </c>
      <c r="O107" s="43" t="n">
        <f aca="false">E107-N107</f>
        <v>0</v>
      </c>
      <c r="P107" s="43" t="n">
        <f aca="false">SUMIF('BS_DEC 2026'!$D:$D,$D107,'BS_DEC 2026'!$K:$K)</f>
        <v>152461603149</v>
      </c>
      <c r="Q107" s="43" t="n">
        <f aca="false">F107-P107</f>
        <v>0</v>
      </c>
    </row>
    <row r="108" customFormat="false" ht="13.5" hidden="false" customHeight="false" outlineLevel="0" collapsed="false">
      <c r="B108" s="19" t="s">
        <v>209</v>
      </c>
      <c r="C108" s="45"/>
      <c r="D108" s="46" t="s">
        <v>210</v>
      </c>
      <c r="E108" s="43" t="n">
        <f aca="false">SUMIF(FS_map!$H:$H,$D108,FS_map!$M:$M)*-1</f>
        <v>-17880761354</v>
      </c>
      <c r="F108" s="43" t="n">
        <f aca="false">SUMIF(FS_map!$H:$H,$D108,FS_map!$P:$P)*-1</f>
        <v>-17880761354</v>
      </c>
      <c r="G108" s="43" t="n">
        <f aca="false">SUMIF(WBS_2025YE!$D:$D,$D108,WBS_2025YE!$K:$K)</f>
        <v>-17880761354</v>
      </c>
      <c r="H108" s="43" t="n">
        <f aca="false">F108-G108</f>
        <v>0</v>
      </c>
      <c r="I108" s="47" t="n">
        <f aca="false">IFERROR(H108/G108,IF(H108&gt;0,100%,IF(H108=0,0,-100%)))</f>
        <v>-0</v>
      </c>
      <c r="J108" s="48" t="str">
        <f aca="false">IF(AND(ABS(H108)&gt;$I$5,ABS(I108)&gt;5%),"O","")</f>
        <v/>
      </c>
      <c r="K108" s="50"/>
      <c r="L108" s="41" t="n">
        <f aca="false">E108-F108</f>
        <v>0</v>
      </c>
      <c r="M108" s="42"/>
      <c r="N108" s="43" t="n">
        <f aca="false">SUMIF('BS_DEC 2026'!$D:$D,$D108,'BS_DEC 2026'!$E:$E)</f>
        <v>-17880761354</v>
      </c>
      <c r="O108" s="43" t="n">
        <f aca="false">E108-N108</f>
        <v>0</v>
      </c>
      <c r="P108" s="43" t="n">
        <f aca="false">SUMIF('BS_DEC 2026'!$D:$D,$D108,'BS_DEC 2026'!$K:$K)</f>
        <v>-17880761354</v>
      </c>
      <c r="Q108" s="43" t="n">
        <f aca="false">F108-P108</f>
        <v>0</v>
      </c>
    </row>
    <row r="109" customFormat="false" ht="13.5" hidden="false" customHeight="false" outlineLevel="0" collapsed="false">
      <c r="B109" s="19"/>
      <c r="C109" s="45"/>
      <c r="D109" s="46"/>
      <c r="E109" s="79"/>
      <c r="F109" s="79"/>
      <c r="G109" s="79"/>
      <c r="H109" s="79"/>
      <c r="I109" s="80" t="n">
        <f aca="false">IFERROR(H109/G109,IF(H109&gt;0,100%,IF(H109=0,0,-100%)))</f>
        <v>0</v>
      </c>
      <c r="J109" s="62" t="str">
        <f aca="false">IF(AND(ABS(H109)&gt;$I$5,ABS(I109)&gt;5%),"O","")</f>
        <v/>
      </c>
      <c r="K109" s="63"/>
      <c r="L109" s="41" t="n">
        <f aca="false">E109-F109</f>
        <v>0</v>
      </c>
      <c r="M109" s="42"/>
    </row>
    <row r="110" customFormat="false" ht="13.5" hidden="false" customHeight="false" outlineLevel="0" collapsed="false">
      <c r="B110" s="19"/>
      <c r="C110" s="35" t="s">
        <v>211</v>
      </c>
      <c r="D110" s="46"/>
      <c r="E110" s="56" t="n">
        <f aca="false">+E111</f>
        <v>-0</v>
      </c>
      <c r="F110" s="56" t="n">
        <f aca="false">+F111</f>
        <v>-0</v>
      </c>
      <c r="G110" s="56" t="n">
        <f aca="false">+G111</f>
        <v>0</v>
      </c>
      <c r="H110" s="56" t="n">
        <f aca="false">+H111</f>
        <v>-0</v>
      </c>
      <c r="I110" s="57" t="n">
        <f aca="false">IFERROR(H110/G110,IF(H110&gt;0,100%,IF(H110=0,0,-100%)))</f>
        <v>0</v>
      </c>
      <c r="J110" s="39" t="str">
        <f aca="false">IF(AND(ABS(H110)&gt;$I$5,ABS(I110)&gt;5%),"O","")</f>
        <v/>
      </c>
      <c r="K110" s="40"/>
      <c r="L110" s="41" t="n">
        <f aca="false">E110-F110</f>
        <v>0</v>
      </c>
      <c r="M110" s="42"/>
      <c r="N110" s="43" t="n">
        <f aca="false">+N111</f>
        <v>0</v>
      </c>
      <c r="O110" s="43" t="n">
        <f aca="false">E110-N110</f>
        <v>-0</v>
      </c>
      <c r="P110" s="43" t="n">
        <f aca="false">+P111</f>
        <v>0</v>
      </c>
      <c r="Q110" s="43" t="n">
        <f aca="false">F110-P110</f>
        <v>-0</v>
      </c>
    </row>
    <row r="111" customFormat="false" ht="13.5" hidden="false" customHeight="false" outlineLevel="0" collapsed="false">
      <c r="B111" s="19"/>
      <c r="C111" s="45"/>
      <c r="D111" s="46" t="s">
        <v>212</v>
      </c>
      <c r="E111" s="43" t="n">
        <f aca="false">SUMIF(FS_map!$H:$H,$D111,FS_map!$M:$M)*-1</f>
        <v>-0</v>
      </c>
      <c r="F111" s="43" t="n">
        <f aca="false">SUMIF(FS_map!$H:$H,$D111,FS_map!$P:$P)*-1</f>
        <v>-0</v>
      </c>
      <c r="G111" s="43" t="n">
        <f aca="false">SUMIF(WBS_2025YE!$D:$D,$D111,WBS_2025YE!$K:$K)</f>
        <v>0</v>
      </c>
      <c r="H111" s="43" t="n">
        <f aca="false">F111-G111</f>
        <v>-0</v>
      </c>
      <c r="I111" s="47" t="n">
        <f aca="false">IFERROR(H111/G111,IF(H111&gt;0,100%,IF(H111=0,0,-100%)))</f>
        <v>0</v>
      </c>
      <c r="J111" s="48" t="str">
        <f aca="false">IF(AND(ABS(H111)&gt;$I$5,ABS(I111)&gt;5%),"O","")</f>
        <v/>
      </c>
      <c r="K111" s="50"/>
      <c r="L111" s="41" t="n">
        <f aca="false">E111-F111</f>
        <v>0</v>
      </c>
      <c r="M111" s="42"/>
      <c r="N111" s="43" t="n">
        <f aca="false">SUMIF('BS_DEC 2026'!$D:$D,$D111,'BS_DEC 2026'!$E:$E)</f>
        <v>0</v>
      </c>
      <c r="O111" s="43" t="n">
        <f aca="false">E111-N111</f>
        <v>-0</v>
      </c>
      <c r="P111" s="43" t="n">
        <f aca="false">SUMIF('BS_DEC 2026'!$D:$D,$D111,'BS_DEC 2026'!$K:$K)</f>
        <v>0</v>
      </c>
      <c r="Q111" s="43" t="n">
        <f aca="false">F111-P111</f>
        <v>-0</v>
      </c>
    </row>
    <row r="112" customFormat="false" ht="13.5" hidden="false" customHeight="false" outlineLevel="0" collapsed="false">
      <c r="B112" s="19"/>
      <c r="C112" s="45"/>
      <c r="D112" s="46"/>
      <c r="E112" s="79"/>
      <c r="F112" s="79"/>
      <c r="G112" s="79"/>
      <c r="H112" s="79"/>
      <c r="I112" s="80" t="n">
        <f aca="false">IFERROR(H112/G112,IF(H112&gt;0,100%,IF(H112=0,0,-100%)))</f>
        <v>0</v>
      </c>
      <c r="J112" s="62" t="str">
        <f aca="false">IF(AND(ABS(H112)&gt;$I$5,ABS(I112)&gt;5%),"O","")</f>
        <v/>
      </c>
      <c r="K112" s="63"/>
      <c r="L112" s="41" t="n">
        <f aca="false">E112-F112</f>
        <v>0</v>
      </c>
      <c r="M112" s="42"/>
    </row>
    <row r="113" customFormat="false" ht="13.5" hidden="false" customHeight="false" outlineLevel="0" collapsed="false">
      <c r="B113" s="19" t="s">
        <v>213</v>
      </c>
      <c r="C113" s="73" t="s">
        <v>214</v>
      </c>
      <c r="D113" s="36"/>
      <c r="E113" s="37" t="n">
        <f aca="false">+E114+E115</f>
        <v>116986308310</v>
      </c>
      <c r="F113" s="37" t="n">
        <f aca="false">+F114+F115</f>
        <v>116986308310</v>
      </c>
      <c r="G113" s="37" t="n">
        <f aca="false">+G114+G115</f>
        <v>120830361205</v>
      </c>
      <c r="H113" s="37" t="n">
        <f aca="false">+H114+H115</f>
        <v>-3844052895</v>
      </c>
      <c r="I113" s="38" t="n">
        <f aca="false">IFERROR(H113/G113,IF(H113&gt;0,100%,IF(H113=0,0,-100%)))</f>
        <v>-0.0318136340623712</v>
      </c>
      <c r="J113" s="39"/>
      <c r="K113" s="40"/>
      <c r="L113" s="41" t="n">
        <f aca="false">E113-F113</f>
        <v>0</v>
      </c>
      <c r="M113" s="42"/>
      <c r="N113" s="43" t="n">
        <f aca="false">+N114+N115</f>
        <v>116986308310</v>
      </c>
      <c r="O113" s="43" t="n">
        <f aca="false">E113-N113</f>
        <v>0</v>
      </c>
      <c r="P113" s="43" t="n">
        <f aca="false">+P114+P115</f>
        <v>116986308308</v>
      </c>
      <c r="Q113" s="43" t="n">
        <f aca="false">F113-P113</f>
        <v>2</v>
      </c>
    </row>
    <row r="114" customFormat="false" ht="13.5" hidden="false" customHeight="false" outlineLevel="0" collapsed="false">
      <c r="B114" s="19" t="s">
        <v>215</v>
      </c>
      <c r="C114" s="45" t="s">
        <v>26</v>
      </c>
      <c r="D114" s="46" t="s">
        <v>216</v>
      </c>
      <c r="E114" s="43" t="n">
        <f aca="false">SUMIF(FS_map!$H:$H,$D114,FS_map!$M:$M)*-1</f>
        <v>2143590000</v>
      </c>
      <c r="F114" s="43" t="n">
        <f aca="false">SUMIF(FS_map!$H:$H,$D114,FS_map!$P:$P)*-1</f>
        <v>2143590000</v>
      </c>
      <c r="G114" s="43" t="n">
        <f aca="false">SUMIF(WBS_2025YE!$D:$D,$D114,WBS_2025YE!$K:$K)</f>
        <v>1861200000</v>
      </c>
      <c r="H114" s="43" t="n">
        <f aca="false">F114-G114</f>
        <v>282390000</v>
      </c>
      <c r="I114" s="47" t="n">
        <f aca="false">IFERROR(H114/G114,IF(H114&gt;0,100%,IF(H114=0,0,-100%)))</f>
        <v>0.15172469374597</v>
      </c>
      <c r="J114" s="48" t="str">
        <f aca="false">IF(AND(ABS(H114)&gt;$I$5,ABS(I114)&gt;5%),"O","")</f>
        <v/>
      </c>
      <c r="K114" s="50"/>
      <c r="L114" s="41" t="n">
        <f aca="false">E114-F114</f>
        <v>0</v>
      </c>
      <c r="M114" s="51"/>
      <c r="N114" s="43" t="n">
        <f aca="false">SUMIF('BS_DEC 2026'!$D:$D,$D114,'BS_DEC 2026'!$E:$E)</f>
        <v>2143590000</v>
      </c>
      <c r="O114" s="43" t="n">
        <f aca="false">E114-N114</f>
        <v>0</v>
      </c>
      <c r="P114" s="43" t="n">
        <f aca="false">SUMIF('BS_DEC 2026'!$D:$D,$D114,'BS_DEC 2026'!$K:$K)</f>
        <v>2143590000</v>
      </c>
      <c r="Q114" s="43" t="n">
        <f aca="false">F114-P114</f>
        <v>0</v>
      </c>
    </row>
    <row r="115" customFormat="false" ht="13.5" hidden="false" customHeight="false" outlineLevel="0" collapsed="false">
      <c r="B115" s="19" t="s">
        <v>217</v>
      </c>
      <c r="C115" s="45" t="s">
        <v>29</v>
      </c>
      <c r="D115" s="46" t="s">
        <v>218</v>
      </c>
      <c r="E115" s="43" t="n">
        <f aca="false">SUM(E116:E117)</f>
        <v>114842718310</v>
      </c>
      <c r="F115" s="43" t="n">
        <f aca="false">SUM(F116:F117)</f>
        <v>114842718310</v>
      </c>
      <c r="G115" s="43" t="n">
        <f aca="false">SUM(G116:G117)</f>
        <v>118969161205</v>
      </c>
      <c r="H115" s="43" t="n">
        <f aca="false">SUM(H116:H117)</f>
        <v>-4126442895</v>
      </c>
      <c r="I115" s="47" t="n">
        <f aca="false">IFERROR(H115/G115,IF(H115&gt;0,100%,IF(H115=0,0,-100%)))</f>
        <v>-0.0346849793106432</v>
      </c>
      <c r="J115" s="48"/>
      <c r="K115" s="50"/>
      <c r="L115" s="41" t="n">
        <f aca="false">E115-F115</f>
        <v>0</v>
      </c>
      <c r="M115" s="42"/>
      <c r="N115" s="43" t="n">
        <f aca="false">SUM(N116:N117)</f>
        <v>114842718310</v>
      </c>
      <c r="O115" s="43" t="n">
        <f aca="false">E115-N115</f>
        <v>0</v>
      </c>
      <c r="P115" s="43" t="n">
        <f aca="false">SUM(P116:P117)</f>
        <v>114842718308</v>
      </c>
      <c r="Q115" s="43" t="n">
        <f aca="false">F115-P115</f>
        <v>2</v>
      </c>
    </row>
    <row r="116" customFormat="false" ht="13.5" hidden="false" customHeight="false" outlineLevel="0" collapsed="false">
      <c r="B116" s="19" t="s">
        <v>219</v>
      </c>
      <c r="C116" s="45"/>
      <c r="D116" s="46" t="s">
        <v>220</v>
      </c>
      <c r="E116" s="43" t="n">
        <f aca="false">SUMIF(FS_map!$H:$H,$D116,FS_map!$M:$M)*-1</f>
        <v>65553831288</v>
      </c>
      <c r="F116" s="43" t="n">
        <f aca="false">SUMIF(FS_map!$H:$H,$D116,FS_map!$P:$P)*-1</f>
        <v>65553831288</v>
      </c>
      <c r="G116" s="43" t="n">
        <f aca="false">SUMIF(WBS_2025YE!$D:$D,$D116,WBS_2025YE!$K:$K)</f>
        <v>81009322867</v>
      </c>
      <c r="H116" s="43" t="n">
        <f aca="false">F116-G116</f>
        <v>-15455491579</v>
      </c>
      <c r="I116" s="47" t="n">
        <f aca="false">IFERROR(H116/G116,IF(H116&gt;0,100%,IF(H116=0,0,-100%)))</f>
        <v>-0.190786579025906</v>
      </c>
      <c r="J116" s="48" t="str">
        <f aca="false">IF(AND(ABS(H116)&gt;$I$5,ABS(I116)&gt;5%),"O","")</f>
        <v>O</v>
      </c>
      <c r="K116" s="49"/>
      <c r="L116" s="41" t="n">
        <f aca="false">E116-F116</f>
        <v>0</v>
      </c>
      <c r="M116" s="42"/>
      <c r="N116" s="43" t="n">
        <f aca="false">SUMIF('BS_DEC 2026'!$D:$D,$D116,'BS_DEC 2026'!$E:$E)</f>
        <v>65553831288</v>
      </c>
      <c r="O116" s="43" t="n">
        <f aca="false">E116-N116</f>
        <v>0</v>
      </c>
      <c r="P116" s="43" t="n">
        <f aca="false">SUMIF('BS_DEC 2026'!$D:$D,$D116,'BS_DEC 2026'!$K:$K)</f>
        <v>65553831288</v>
      </c>
      <c r="Q116" s="43" t="n">
        <f aca="false">F116-P116</f>
        <v>0</v>
      </c>
    </row>
    <row r="117" customFormat="false" ht="13.5" hidden="false" customHeight="false" outlineLevel="0" collapsed="false">
      <c r="B117" s="19" t="s">
        <v>221</v>
      </c>
      <c r="C117" s="45"/>
      <c r="D117" s="46" t="s">
        <v>222</v>
      </c>
      <c r="E117" s="43" t="n">
        <f aca="false">+'P&amp;L_KO'!E113</f>
        <v>49288887022</v>
      </c>
      <c r="F117" s="43" t="n">
        <f aca="false">+'P&amp;L_KO'!F113</f>
        <v>49288887022</v>
      </c>
      <c r="G117" s="43" t="n">
        <f aca="false">+'P&amp;L_KO'!H113</f>
        <v>37959838338</v>
      </c>
      <c r="H117" s="43" t="n">
        <f aca="false">F117-G117</f>
        <v>11329048684</v>
      </c>
      <c r="I117" s="47" t="n">
        <f aca="false">IFERROR(H117/G117,IF(H117&gt;0,100%,IF(H117=0,0,-100%)))</f>
        <v>0.298448285873203</v>
      </c>
      <c r="J117" s="48"/>
      <c r="K117" s="50"/>
      <c r="L117" s="41" t="n">
        <f aca="false">E117-F117</f>
        <v>0</v>
      </c>
      <c r="M117" s="42" t="n">
        <f aca="false">++G115-F116</f>
        <v>53415329917</v>
      </c>
      <c r="N117" s="43" t="n">
        <f aca="false">SUMIF('BS_DEC 2026'!$D:$D,$D117,'BS_DEC 2026'!$E:$E)</f>
        <v>49288887022</v>
      </c>
      <c r="O117" s="43" t="n">
        <f aca="false">E117-N117</f>
        <v>0</v>
      </c>
      <c r="P117" s="43" t="n">
        <f aca="false">SUMIF('BS_DEC 2026'!$D:$D,$D117,'BS_DEC 2026'!$K:$K)</f>
        <v>49288887020</v>
      </c>
      <c r="Q117" s="43" t="n">
        <f aca="false">F117-P117</f>
        <v>2</v>
      </c>
    </row>
    <row r="118" customFormat="false" ht="13.5" hidden="false" customHeight="false" outlineLevel="0" collapsed="false">
      <c r="B118" s="19"/>
      <c r="C118" s="35"/>
      <c r="D118" s="46"/>
      <c r="E118" s="79"/>
      <c r="F118" s="79"/>
      <c r="G118" s="79"/>
      <c r="H118" s="79"/>
      <c r="I118" s="80" t="n">
        <f aca="false">IFERROR(H118/G118,IF(H118&gt;0,100%,IF(H118=0,0,-100%)))</f>
        <v>0</v>
      </c>
      <c r="J118" s="62" t="str">
        <f aca="false">IF(AND(ABS(H118)&gt;$I$5,ABS(I118)&gt;5%),"O","")</f>
        <v/>
      </c>
      <c r="K118" s="63"/>
      <c r="L118" s="41" t="n">
        <f aca="false">E118-F118</f>
        <v>0</v>
      </c>
      <c r="M118" s="42"/>
    </row>
    <row r="119" customFormat="false" ht="14.25" hidden="false" customHeight="true" outlineLevel="0" collapsed="false">
      <c r="B119" s="19"/>
      <c r="C119" s="64" t="s">
        <v>223</v>
      </c>
      <c r="D119" s="64"/>
      <c r="E119" s="65" t="n">
        <f aca="false">+E103+E106+E110+E113</f>
        <v>255854330105</v>
      </c>
      <c r="F119" s="65" t="n">
        <f aca="false">+F103+F106+F110+F113</f>
        <v>255854330105</v>
      </c>
      <c r="G119" s="65" t="n">
        <f aca="false">+G103+G106+G110+G113</f>
        <v>259698383000</v>
      </c>
      <c r="H119" s="65" t="n">
        <f aca="false">+H103+H106+H110+H113</f>
        <v>-3844052895</v>
      </c>
      <c r="I119" s="66" t="n">
        <f aca="false">IFERROR(H119/G119,IF(H119&gt;0,100%,IF(H119=0,0,-100%)))</f>
        <v>-0.0148019901032653</v>
      </c>
      <c r="J119" s="67"/>
      <c r="K119" s="68"/>
      <c r="L119" s="41"/>
      <c r="M119" s="42"/>
      <c r="N119" s="43" t="n">
        <f aca="false">+N103+N106+N110+N113</f>
        <v>255854330105</v>
      </c>
      <c r="O119" s="43" t="n">
        <f aca="false">E119-N119</f>
        <v>0</v>
      </c>
      <c r="P119" s="43" t="n">
        <f aca="false">+P103+P106+P110+P113</f>
        <v>255854330103</v>
      </c>
      <c r="Q119" s="43" t="n">
        <f aca="false">F119-P119</f>
        <v>2</v>
      </c>
    </row>
    <row r="120" customFormat="false" ht="15" hidden="false" customHeight="true" outlineLevel="0" collapsed="false">
      <c r="B120" s="19"/>
      <c r="C120" s="81" t="s">
        <v>224</v>
      </c>
      <c r="D120" s="81"/>
      <c r="E120" s="82" t="n">
        <f aca="false">+E100+E119</f>
        <v>469451959283</v>
      </c>
      <c r="F120" s="82" t="n">
        <f aca="false">+F100+F119</f>
        <v>457036149159</v>
      </c>
      <c r="G120" s="82" t="n">
        <f aca="false">+G100+G119</f>
        <v>402171370716</v>
      </c>
      <c r="H120" s="82" t="n">
        <f aca="false">+H100+H119</f>
        <v>54864778443</v>
      </c>
      <c r="I120" s="83" t="n">
        <f aca="false">IFERROR(H120/G120,IF(H120&gt;0,100%,IF(H120=0,0,-100%)))</f>
        <v>0.136421392565369</v>
      </c>
      <c r="J120" s="84"/>
      <c r="K120" s="85"/>
      <c r="L120" s="41"/>
      <c r="M120" s="42"/>
      <c r="N120" s="43" t="n">
        <f aca="false">+N100+N119</f>
        <v>469451959283</v>
      </c>
      <c r="O120" s="43" t="n">
        <f aca="false">E120-N120</f>
        <v>0</v>
      </c>
      <c r="P120" s="43" t="n">
        <f aca="false">+P100+P119</f>
        <v>457036149235</v>
      </c>
      <c r="Q120" s="43" t="n">
        <f aca="false">F120-P120</f>
        <v>-76</v>
      </c>
    </row>
    <row r="121" customFormat="false" ht="13.5" hidden="false" customHeight="false" outlineLevel="0" collapsed="false">
      <c r="E121" s="86" t="n">
        <f aca="false">ROUND(+E75,0)=ROUND(E120,0)</f>
        <v>1</v>
      </c>
      <c r="F121" s="86" t="n">
        <f aca="false">ROUND(+F75,0)=ROUND(F120,0)</f>
        <v>1</v>
      </c>
      <c r="G121" s="86" t="n">
        <f aca="false">ROUND(+G75,0)=ROUND(G120,0)</f>
        <v>1</v>
      </c>
      <c r="H121" s="86" t="n">
        <f aca="false">ROUND(+H75,0)=ROUND(H120,0)</f>
        <v>1</v>
      </c>
      <c r="I121" s="51"/>
      <c r="J121" s="87"/>
      <c r="K121" s="88"/>
      <c r="L121" s="41"/>
      <c r="M121" s="42"/>
    </row>
    <row r="123" customFormat="false" ht="13.5" hidden="false" customHeight="false" outlineLevel="0" collapsed="false">
      <c r="E123" s="89" t="n">
        <f aca="false">+E120-E75</f>
        <v>0</v>
      </c>
      <c r="F123" s="90" t="n">
        <f aca="false">+F120-F75</f>
        <v>0</v>
      </c>
      <c r="G123" s="89" t="n">
        <f aca="false">+G120-G75</f>
        <v>0</v>
      </c>
      <c r="H123" s="89" t="n">
        <f aca="false">G117-H116</f>
        <v>53415329917</v>
      </c>
      <c r="I123" s="89"/>
      <c r="J123" s="91"/>
      <c r="K123" s="92"/>
    </row>
    <row r="124" customFormat="false" ht="13.5" hidden="false" customHeight="false" outlineLevel="0" collapsed="false">
      <c r="E124" s="89"/>
      <c r="F124" s="89"/>
    </row>
    <row r="125" customFormat="false" ht="13.5" hidden="false" customHeight="false" outlineLevel="0" collapsed="false">
      <c r="E125" s="89"/>
      <c r="F125" s="89"/>
      <c r="G125" s="93"/>
      <c r="H125" s="93"/>
      <c r="I125" s="93"/>
      <c r="J125" s="94"/>
      <c r="K125" s="95"/>
    </row>
    <row r="126" customFormat="false" ht="13.5" hidden="false" customHeight="false" outlineLevel="0" collapsed="false">
      <c r="E126" s="89"/>
      <c r="F126" s="89"/>
      <c r="G126" s="93"/>
      <c r="H126" s="93"/>
      <c r="I126" s="93"/>
      <c r="J126" s="94"/>
      <c r="K126" s="95"/>
    </row>
    <row r="127" customFormat="false" ht="13.5" hidden="false" customHeight="false" outlineLevel="0" collapsed="false">
      <c r="E127" s="89"/>
      <c r="F127" s="89"/>
      <c r="G127" s="93"/>
      <c r="H127" s="93"/>
      <c r="I127" s="93"/>
      <c r="J127" s="94"/>
      <c r="K127" s="95"/>
    </row>
    <row r="128" customFormat="false" ht="13.5" hidden="false" customHeight="false" outlineLevel="0" collapsed="false">
      <c r="E128" s="89"/>
      <c r="F128" s="89"/>
      <c r="G128" s="93"/>
      <c r="H128" s="93"/>
      <c r="I128" s="93"/>
      <c r="J128" s="94"/>
      <c r="K128" s="95"/>
    </row>
    <row r="129" customFormat="false" ht="13.5" hidden="false" customHeight="false" outlineLevel="0" collapsed="false">
      <c r="F129" s="96"/>
    </row>
  </sheetData>
  <mergeCells count="6">
    <mergeCell ref="C8:D9"/>
    <mergeCell ref="E8:F8"/>
    <mergeCell ref="C75:D75"/>
    <mergeCell ref="C100:D100"/>
    <mergeCell ref="C119:D119"/>
    <mergeCell ref="C120:D120"/>
  </mergeCells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&amp;C&amp;"Calibri,Regular"&amp;1 &amp;K4a569e Internal#_x005F_x000d_</oddHeader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C2:X11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9" topLeftCell="A84" activePane="bottomLeft" state="frozen"/>
      <selection pane="topLeft" activeCell="A1" activeCellId="0" sqref="A1"/>
      <selection pane="bottomLeft" activeCell="J92" activeCellId="0" sqref="J92"/>
    </sheetView>
  </sheetViews>
  <sheetFormatPr defaultColWidth="15.62890625" defaultRowHeight="13.5" zeroHeight="false" outlineLevelRow="0" outlineLevelCol="1"/>
  <cols>
    <col collapsed="false" customWidth="true" hidden="false" outlineLevel="0" max="1" min="1" style="1" width="2.63"/>
    <col collapsed="false" customWidth="true" hidden="true" outlineLevel="1" max="2" min="2" style="1" width="9"/>
    <col collapsed="false" customWidth="true" hidden="false" outlineLevel="0" max="3" min="3" style="1" width="6.63"/>
    <col collapsed="false" customWidth="true" hidden="false" outlineLevel="0" max="4" min="4" style="1" width="20.63"/>
    <col collapsed="false" customWidth="false" hidden="false" outlineLevel="0" max="9" min="5" style="58" width="15.63"/>
    <col collapsed="false" customWidth="false" hidden="false" outlineLevel="0" max="10" min="10" style="97" width="15.63"/>
    <col collapsed="false" customWidth="false" hidden="false" outlineLevel="0" max="11" min="11" style="98" width="15.63"/>
    <col collapsed="false" customWidth="true" hidden="false" outlineLevel="0" max="12" min="12" style="99" width="60.63"/>
    <col collapsed="false" customWidth="false" hidden="false" outlineLevel="0" max="13" min="13" style="100" width="15.63"/>
    <col collapsed="false" customWidth="false" hidden="false" outlineLevel="0" max="16384" min="14" style="1" width="15.63"/>
  </cols>
  <sheetData>
    <row r="2" customFormat="false" ht="13.5" hidden="false" customHeight="false" outlineLevel="0" collapsed="false">
      <c r="C2" s="6" t="s">
        <v>225</v>
      </c>
      <c r="D2" s="2"/>
      <c r="E2" s="98"/>
      <c r="F2" s="98"/>
      <c r="G2" s="98"/>
      <c r="H2" s="98"/>
      <c r="I2" s="98"/>
      <c r="J2" s="101"/>
    </row>
    <row r="3" customFormat="false" ht="14.25" hidden="false" customHeight="true" outlineLevel="0" collapsed="false"/>
    <row r="4" customFormat="false" ht="13.5" hidden="false" customHeight="false" outlineLevel="0" collapsed="false">
      <c r="C4" s="10" t="str">
        <f aca="false">+BS_KO!C4</f>
        <v>제 37(당) 기 2026년 12월 31일 현재</v>
      </c>
      <c r="D4" s="2"/>
      <c r="E4" s="98"/>
      <c r="F4" s="98"/>
      <c r="G4" s="98"/>
      <c r="H4" s="98"/>
      <c r="I4" s="12" t="s">
        <v>226</v>
      </c>
      <c r="J4" s="13" t="n">
        <f aca="false">F10*12/9*1%</f>
        <v>7097620215.52</v>
      </c>
    </row>
    <row r="5" customFormat="false" ht="13.5" hidden="false" customHeight="false" outlineLevel="0" collapsed="false">
      <c r="C5" s="10" t="str">
        <f aca="false">+BS_KO!C5</f>
        <v>제 36(전) 기 2025년 12월 31일 현재</v>
      </c>
      <c r="D5" s="2"/>
      <c r="E5" s="98"/>
      <c r="F5" s="98"/>
      <c r="G5" s="98"/>
      <c r="H5" s="98"/>
      <c r="I5" s="14" t="s">
        <v>227</v>
      </c>
      <c r="J5" s="15" t="n">
        <f aca="false">J4*80%</f>
        <v>5678096172.416</v>
      </c>
    </row>
    <row r="6" customFormat="false" ht="14.25" hidden="false" customHeight="true" outlineLevel="0" collapsed="false">
      <c r="I6" s="17" t="s">
        <v>5</v>
      </c>
      <c r="J6" s="18" t="n">
        <f aca="false">J4*3%</f>
        <v>212928606.4656</v>
      </c>
    </row>
    <row r="7" customFormat="false" ht="14.25" hidden="false" customHeight="true" outlineLevel="0" collapsed="false">
      <c r="C7" s="20" t="str">
        <f aca="false">+BS_KO!C7</f>
        <v>주식회사 사노피-아벤티스코리아</v>
      </c>
    </row>
    <row r="8" customFormat="false" ht="13.5" hidden="false" customHeight="true" outlineLevel="0" collapsed="false">
      <c r="C8" s="21" t="s">
        <v>7</v>
      </c>
      <c r="D8" s="21"/>
      <c r="E8" s="22" t="n">
        <f aca="false">BS_KO!E8</f>
        <v>2026.09</v>
      </c>
      <c r="F8" s="22"/>
      <c r="G8" s="102" t="n">
        <v>2026.09</v>
      </c>
      <c r="H8" s="22" t="n">
        <f aca="false">BS_KO!G8</f>
        <v>2025.12</v>
      </c>
      <c r="I8" s="103"/>
      <c r="J8" s="104"/>
      <c r="K8" s="103"/>
      <c r="L8" s="105"/>
      <c r="U8" s="25" t="s">
        <v>228</v>
      </c>
    </row>
    <row r="9" customFormat="false" ht="13.5" hidden="false" customHeight="false" outlineLevel="0" collapsed="false">
      <c r="C9" s="21"/>
      <c r="D9" s="21"/>
      <c r="E9" s="106" t="s">
        <v>9</v>
      </c>
      <c r="F9" s="106" t="s">
        <v>10</v>
      </c>
      <c r="G9" s="107" t="s">
        <v>229</v>
      </c>
      <c r="H9" s="108" t="s">
        <v>11</v>
      </c>
      <c r="I9" s="109" t="s">
        <v>230</v>
      </c>
      <c r="J9" s="110" t="s">
        <v>13</v>
      </c>
      <c r="K9" s="108" t="s">
        <v>14</v>
      </c>
      <c r="L9" s="111" t="s">
        <v>15</v>
      </c>
      <c r="U9" s="108" t="s">
        <v>16</v>
      </c>
      <c r="V9" s="109" t="s">
        <v>231</v>
      </c>
      <c r="W9" s="108" t="s">
        <v>232</v>
      </c>
      <c r="X9" s="109" t="s">
        <v>233</v>
      </c>
    </row>
    <row r="10" customFormat="false" ht="13.5" hidden="false" customHeight="false" outlineLevel="0" collapsed="false">
      <c r="C10" s="35" t="s">
        <v>234</v>
      </c>
      <c r="D10" s="36"/>
      <c r="E10" s="37" t="n">
        <f aca="false">SUM(E11:E12)</f>
        <v>532321516164</v>
      </c>
      <c r="F10" s="37" t="n">
        <f aca="false">SUM(F11:F12)</f>
        <v>532321516164</v>
      </c>
      <c r="G10" s="37" t="n">
        <f aca="false">F10*12/9</f>
        <v>709762021552</v>
      </c>
      <c r="H10" s="37" t="n">
        <f aca="false">SUM(H11:H12)</f>
        <v>645754460671</v>
      </c>
      <c r="I10" s="37" t="n">
        <f aca="false">G10-H10</f>
        <v>64007560881</v>
      </c>
      <c r="J10" s="38" t="n">
        <f aca="false">IFERROR(I10/H10,IF(I10&gt;0,100%,IF(I10=0,0,-100%)))</f>
        <v>0.0991205865066578</v>
      </c>
      <c r="K10" s="39"/>
      <c r="L10" s="40"/>
      <c r="M10" s="112"/>
      <c r="N10" s="113" t="n">
        <f aca="false">+F10/H10-1</f>
        <v>-0.175659560120007</v>
      </c>
      <c r="O10" s="5"/>
      <c r="U10" s="43" t="n">
        <f aca="false">SUM(U11:U12)</f>
        <v>532321516164</v>
      </c>
      <c r="V10" s="43" t="n">
        <f aca="false">E10-U10</f>
        <v>0</v>
      </c>
      <c r="W10" s="43" t="n">
        <f aca="false">SUM(W11:W12)</f>
        <v>532321516164</v>
      </c>
      <c r="X10" s="43" t="n">
        <f aca="false">F10-W10</f>
        <v>0</v>
      </c>
    </row>
    <row r="11" customFormat="false" ht="13.5" hidden="false" customHeight="false" outlineLevel="0" collapsed="false">
      <c r="C11" s="45" t="s">
        <v>26</v>
      </c>
      <c r="D11" s="54" t="s">
        <v>235</v>
      </c>
      <c r="E11" s="71" t="n">
        <f aca="false">SUMIF(FS_map!$H:$H,$D11,FS_map!$M:$M)*-1</f>
        <v>532321516164</v>
      </c>
      <c r="F11" s="71" t="n">
        <f aca="false">SUMIF(FS_map!$H:$H,$D11,FS_map!$P:$P)*-1</f>
        <v>532321516164</v>
      </c>
      <c r="G11" s="71" t="n">
        <f aca="false">F11*12/9</f>
        <v>709762021552</v>
      </c>
      <c r="H11" s="71" t="n">
        <f aca="false">SUMIF(WPL_2025YE!$D:$D,$D11,WPL_2025YE!$AI:$AI)</f>
        <v>645754460671</v>
      </c>
      <c r="I11" s="43" t="n">
        <f aca="false">G11-H11</f>
        <v>64007560881</v>
      </c>
      <c r="J11" s="47" t="n">
        <f aca="false">IFERROR(I11/H11,IF(I11&gt;0,100%,IF(I11=0,0,-100%)))</f>
        <v>0.0991205865066578</v>
      </c>
      <c r="K11" s="48" t="str">
        <f aca="false">IF(AND(ABS(I11)&gt;$J$5,ABS(J11)&gt;5%),"O","")</f>
        <v>O</v>
      </c>
      <c r="L11" s="49"/>
      <c r="M11" s="100" t="n">
        <f aca="false">E11-F11</f>
        <v>0</v>
      </c>
      <c r="N11" s="113" t="n">
        <f aca="false">+F11/H11-1</f>
        <v>-0.175659560120007</v>
      </c>
      <c r="U11" s="43" t="n">
        <f aca="false">SUMIF('PL_DEC.2026'!$D:$D,$D11,'PL_DEC.2026'!$E:$E)</f>
        <v>532321516164</v>
      </c>
      <c r="V11" s="43" t="n">
        <f aca="false">E11-U11</f>
        <v>0</v>
      </c>
      <c r="W11" s="43" t="n">
        <f aca="false">SUMIF('PL_DEC.2026'!$D:$D,$D11,'PL_DEC.2026'!$L:$L)</f>
        <v>532321516164</v>
      </c>
      <c r="X11" s="43" t="n">
        <f aca="false">F11-W11</f>
        <v>0</v>
      </c>
    </row>
    <row r="12" customFormat="false" ht="13.5" hidden="false" customHeight="false" outlineLevel="0" collapsed="false">
      <c r="C12" s="45" t="s">
        <v>29</v>
      </c>
      <c r="D12" s="54" t="s">
        <v>236</v>
      </c>
      <c r="E12" s="71" t="n">
        <f aca="false">SUMIF(FS_map!$H:$H,$D12,FS_map!$M:$M)*-1</f>
        <v>-0</v>
      </c>
      <c r="F12" s="71" t="n">
        <f aca="false">SUMIF(FS_map!$H:$H,$D12,FS_map!$P:$P)*-1</f>
        <v>-0</v>
      </c>
      <c r="G12" s="71" t="n">
        <f aca="false">F12*12/9</f>
        <v>-0</v>
      </c>
      <c r="H12" s="71" t="n">
        <f aca="false">SUMIF(WPL_2025YE!$D:$D,$D12,WPL_2025YE!$AI:$AI)</f>
        <v>0</v>
      </c>
      <c r="I12" s="71" t="n">
        <f aca="false">G12-H12</f>
        <v>-0</v>
      </c>
      <c r="J12" s="72" t="n">
        <f aca="false">IFERROR(I12/H12,IF(I12&gt;0,100%,IF(I12=0,0,-100%)))</f>
        <v>0</v>
      </c>
      <c r="K12" s="48" t="str">
        <f aca="false">IF(AND(ABS(I12)&gt;$J$5,ABS(J12)&gt;5%),"O","")</f>
        <v/>
      </c>
      <c r="L12" s="49"/>
      <c r="M12" s="100" t="n">
        <f aca="false">E12-F12</f>
        <v>0</v>
      </c>
      <c r="N12" s="113"/>
      <c r="U12" s="43" t="n">
        <f aca="false">SUMIF('PL_DEC.2026'!$D:$D,$D12,'PL_DEC.2026'!$E:$E)</f>
        <v>0</v>
      </c>
      <c r="V12" s="43" t="n">
        <f aca="false">E12-U12</f>
        <v>-0</v>
      </c>
      <c r="W12" s="43" t="n">
        <f aca="false">SUMIF('PL_DEC.2026'!$D:$D,$D12,'PL_DEC.2026'!$L:$L)</f>
        <v>0</v>
      </c>
      <c r="X12" s="43" t="n">
        <f aca="false">F12-W12</f>
        <v>-0</v>
      </c>
    </row>
    <row r="13" customFormat="false" ht="13.5" hidden="false" customHeight="false" outlineLevel="0" collapsed="false">
      <c r="C13" s="35" t="s">
        <v>237</v>
      </c>
      <c r="D13" s="36"/>
      <c r="E13" s="37" t="n">
        <f aca="false">+E14+E23+E31</f>
        <v>401363779478</v>
      </c>
      <c r="F13" s="37" t="n">
        <f aca="false">+F14+F23+F31</f>
        <v>401363779478</v>
      </c>
      <c r="G13" s="37" t="n">
        <f aca="false">G14</f>
        <v>542995529309</v>
      </c>
      <c r="H13" s="37" t="n">
        <f aca="false">+H14+H23+H31</f>
        <v>501702262547</v>
      </c>
      <c r="I13" s="37" t="n">
        <f aca="false">G13-H13</f>
        <v>41293266762</v>
      </c>
      <c r="J13" s="38" t="n">
        <f aca="false">IFERROR(I13/H13,IF(I13&gt;0,100%,IF(I13=0,0,-100%)))</f>
        <v>0.082306319593549</v>
      </c>
      <c r="K13" s="39"/>
      <c r="L13" s="40"/>
      <c r="M13" s="100" t="n">
        <f aca="false">E13-F13</f>
        <v>0</v>
      </c>
      <c r="N13" s="114" t="n">
        <f aca="false">+F13/F10</f>
        <v>0.753987519366672</v>
      </c>
      <c r="O13" s="114" t="n">
        <f aca="false">+H13/H10</f>
        <v>0.776924191937728</v>
      </c>
      <c r="Q13" s="19" t="s">
        <v>238</v>
      </c>
      <c r="R13" s="19"/>
      <c r="U13" s="43" t="n">
        <f aca="false">+U14+U23+U31</f>
        <v>401363779478</v>
      </c>
      <c r="V13" s="43" t="n">
        <f aca="false">E13-U13</f>
        <v>0</v>
      </c>
      <c r="W13" s="43" t="n">
        <f aca="false">+W14+W23+W31</f>
        <v>401771822503</v>
      </c>
      <c r="X13" s="43" t="n">
        <f aca="false">F13-W13</f>
        <v>-408043025</v>
      </c>
    </row>
    <row r="14" customFormat="false" ht="13.5" hidden="false" customHeight="false" outlineLevel="0" collapsed="false">
      <c r="C14" s="45" t="s">
        <v>239</v>
      </c>
      <c r="D14" s="54" t="s">
        <v>240</v>
      </c>
      <c r="E14" s="115" t="n">
        <f aca="false">SUMIF(FS_map!$H:$H,$D14,FS_map!$M:$M)</f>
        <v>401363779478</v>
      </c>
      <c r="F14" s="115" t="n">
        <f aca="false">SUMIF(FS_map!$H:$H,$D14,FS_map!$P:$P)</f>
        <v>401363779478</v>
      </c>
      <c r="G14" s="115" t="n">
        <f aca="false">SUM(G20:G22)</f>
        <v>542995529309</v>
      </c>
      <c r="H14" s="115" t="n">
        <f aca="false">SUMIF(WPL_2025YE!$D:$D,$D14,WPL_2025YE!$AI:$AI)</f>
        <v>501702262547</v>
      </c>
      <c r="I14" s="115" t="n">
        <f aca="false">G14-H14</f>
        <v>41293266762</v>
      </c>
      <c r="J14" s="116" t="n">
        <f aca="false">IFERROR(I14/H14,IF(I14&gt;0,100%,IF(I14=0,0,-100%)))</f>
        <v>0.082306319593549</v>
      </c>
      <c r="K14" s="117" t="str">
        <f aca="false">IF(AND(ABS(I14)&gt;$J$5,ABS(J14)&gt;5%),"O","")</f>
        <v>O</v>
      </c>
      <c r="L14" s="49"/>
      <c r="M14" s="100" t="n">
        <f aca="false">E14-F14</f>
        <v>0</v>
      </c>
      <c r="N14" s="90" t="n">
        <f aca="false">+F14-R20-SUMIF(FS_map!$D:$D,"86000800",FS_map!$P:$P)</f>
        <v>0</v>
      </c>
      <c r="O14" s="1" t="s">
        <v>241</v>
      </c>
      <c r="Q14" s="118" t="s">
        <v>242</v>
      </c>
      <c r="R14" s="119" t="s">
        <v>243</v>
      </c>
      <c r="U14" s="43" t="n">
        <f aca="false">SUMIF('PL_DEC.2026'!$D:$D,$D14,'PL_DEC.2026'!$E:$E)</f>
        <v>401363779478</v>
      </c>
      <c r="V14" s="43" t="n">
        <f aca="false">E14-U14</f>
        <v>0</v>
      </c>
      <c r="W14" s="43" t="n">
        <f aca="false">SUMIF('PL_DEC.2026'!$D:$D,$D14,'PL_DEC.2026'!$L:$L)</f>
        <v>401771822503</v>
      </c>
      <c r="X14" s="43" t="n">
        <f aca="false">F14-W14</f>
        <v>-408043025</v>
      </c>
    </row>
    <row r="15" customFormat="false" ht="13.5" hidden="false" customHeight="false" outlineLevel="0" collapsed="false">
      <c r="C15" s="45" t="s">
        <v>26</v>
      </c>
      <c r="D15" s="54" t="s">
        <v>244</v>
      </c>
      <c r="E15" s="71" t="n">
        <f aca="false">R15</f>
        <v>155744141506</v>
      </c>
      <c r="F15" s="71" t="n">
        <f aca="false">R15</f>
        <v>155744141506</v>
      </c>
      <c r="G15" s="71" t="n">
        <f aca="false">F15</f>
        <v>155744141506</v>
      </c>
      <c r="H15" s="71" t="n">
        <f aca="false">SUMIF(WPL_2025YE!$D:$D,$D15,WPL_2025YE!$AI:$AI)</f>
        <v>160701424589</v>
      </c>
      <c r="I15" s="71" t="n">
        <f aca="false">G15-H15</f>
        <v>-4957283083</v>
      </c>
      <c r="J15" s="72" t="n">
        <f aca="false">IFERROR(I15/H15,IF(I15&gt;0,100%,IF(I15=0,0,-100%)))</f>
        <v>-0.0308477855481272</v>
      </c>
      <c r="K15" s="48"/>
      <c r="L15" s="50"/>
      <c r="M15" s="100" t="n">
        <f aca="false">E15-F15</f>
        <v>0</v>
      </c>
      <c r="Q15" s="120" t="s">
        <v>245</v>
      </c>
      <c r="R15" s="121" t="n">
        <f aca="false">H22*-1</f>
        <v>155744141506</v>
      </c>
      <c r="S15" s="90"/>
      <c r="T15" s="90"/>
      <c r="U15" s="43" t="n">
        <f aca="false">W15</f>
        <v>155744141506</v>
      </c>
      <c r="V15" s="43" t="n">
        <f aca="false">E15-U15</f>
        <v>0</v>
      </c>
      <c r="W15" s="43" t="n">
        <f aca="false">SUMIF('PL_DEC.2026'!$D:$D,$D15,'PL_DEC.2026'!$L:$L)</f>
        <v>155744141506</v>
      </c>
      <c r="X15" s="43" t="n">
        <f aca="false">F15-W15</f>
        <v>0</v>
      </c>
    </row>
    <row r="16" customFormat="false" ht="13.5" hidden="false" customHeight="false" outlineLevel="0" collapsed="false">
      <c r="C16" s="45"/>
      <c r="D16" s="54" t="s">
        <v>246</v>
      </c>
      <c r="E16" s="71" t="n">
        <f aca="false">SUMIF(FS_map!$H:$H,$D16,FS_map!$M:$M)</f>
        <v>0</v>
      </c>
      <c r="F16" s="71" t="n">
        <f aca="false">SUMIF(FS_map!$H:$H,$D16,FS_map!$P:$P)</f>
        <v>0</v>
      </c>
      <c r="G16" s="71" t="n">
        <f aca="false">F16*12/9</f>
        <v>0</v>
      </c>
      <c r="H16" s="71" t="n">
        <f aca="false">SUMIF(WPL_2025YE!$D:$D,$D16,WPL_2025YE!$AI:$AI)</f>
        <v>0</v>
      </c>
      <c r="I16" s="71" t="n">
        <f aca="false">G16-H16</f>
        <v>0</v>
      </c>
      <c r="J16" s="72" t="n">
        <f aca="false">IFERROR(I16/H16,IF(I16&gt;0,100%,IF(I16=0,0,-100%)))</f>
        <v>0</v>
      </c>
      <c r="K16" s="48" t="str">
        <f aca="false">IF(AND(ABS(I16)&gt;$J$5,ABS(J16)&gt;5%),"O","")</f>
        <v/>
      </c>
      <c r="L16" s="50"/>
      <c r="M16" s="100" t="n">
        <f aca="false">E16-F16</f>
        <v>0</v>
      </c>
      <c r="Q16" s="120" t="s">
        <v>247</v>
      </c>
      <c r="R16" s="122" t="n">
        <f aca="false">+R17+R18</f>
        <v>423703487976</v>
      </c>
      <c r="S16" s="90"/>
      <c r="T16" s="90"/>
      <c r="U16" s="43" t="n">
        <f aca="false">SUMIF('PL_DEC.2026'!$D:$D,$D16,'PL_DEC.2026'!$E:$E)</f>
        <v>0</v>
      </c>
      <c r="V16" s="43" t="n">
        <f aca="false">E16-U16</f>
        <v>0</v>
      </c>
      <c r="W16" s="43" t="n">
        <f aca="false">SUMIF('PL_DEC.2026'!$D:$D,$D16,'PL_DEC.2026'!$L:$L)</f>
        <v>0</v>
      </c>
      <c r="X16" s="43" t="n">
        <f aca="false">F16-W16</f>
        <v>0</v>
      </c>
    </row>
    <row r="17" customFormat="false" ht="13.5" hidden="false" customHeight="false" outlineLevel="0" collapsed="false">
      <c r="C17" s="45" t="s">
        <v>29</v>
      </c>
      <c r="D17" s="54" t="s">
        <v>248</v>
      </c>
      <c r="E17" s="71" t="n">
        <f aca="false">$R$16</f>
        <v>423703487976</v>
      </c>
      <c r="F17" s="71" t="n">
        <f aca="false">$R$16</f>
        <v>423703487976</v>
      </c>
      <c r="G17" s="71" t="n">
        <f aca="false">F17*12/9</f>
        <v>564937983968</v>
      </c>
      <c r="H17" s="71" t="n">
        <f aca="false">SUMIF(WPL_2025YE!$D:$D,$D17,WPL_2025YE!$AI:$AI)</f>
        <v>497042768857</v>
      </c>
      <c r="I17" s="71" t="n">
        <f aca="false">G17-H17</f>
        <v>67895215111</v>
      </c>
      <c r="J17" s="72" t="n">
        <f aca="false">IFERROR(I17/H17,IF(I17&gt;0,100%,IF(I17=0,0,-100%)))</f>
        <v>0.136598335928178</v>
      </c>
      <c r="K17" s="48" t="str">
        <f aca="false">IF(AND(ABS(I17)&gt;$J$5,ABS(J17)&gt;5%),"O","")</f>
        <v>O</v>
      </c>
      <c r="L17" s="50"/>
      <c r="M17" s="100" t="n">
        <f aca="false">E17-F17</f>
        <v>0</v>
      </c>
      <c r="N17" s="123"/>
      <c r="Q17" s="124" t="s">
        <v>249</v>
      </c>
      <c r="R17" s="125" t="n">
        <f aca="false">'PL_DEC.2026'!R5</f>
        <v>424753563203</v>
      </c>
      <c r="S17" s="1" t="s">
        <v>250</v>
      </c>
      <c r="T17" s="90"/>
      <c r="U17" s="43" t="n">
        <f aca="false">W17</f>
        <v>423703488001</v>
      </c>
      <c r="V17" s="43" t="n">
        <f aca="false">E17-U17</f>
        <v>-25</v>
      </c>
      <c r="W17" s="43" t="n">
        <f aca="false">SUMIF('PL_DEC.2026'!$D:$D,$D17,'PL_DEC.2026'!$L:$L)</f>
        <v>423703488001</v>
      </c>
      <c r="X17" s="43" t="n">
        <f aca="false">F17-W17</f>
        <v>-25</v>
      </c>
    </row>
    <row r="18" customFormat="false" ht="13.5" hidden="false" customHeight="false" outlineLevel="0" collapsed="false">
      <c r="C18" s="45"/>
      <c r="D18" s="54" t="s">
        <v>251</v>
      </c>
      <c r="E18" s="71" t="n">
        <f aca="false">SUMIF(FS_map!$H:$H,$D18,FS_map!$M:$M)</f>
        <v>0</v>
      </c>
      <c r="F18" s="71" t="n">
        <f aca="false">SUMIF(FS_map!$H:$H,$D18,FS_map!$P:$P)</f>
        <v>0</v>
      </c>
      <c r="G18" s="71" t="n">
        <f aca="false">F18*12/9</f>
        <v>0</v>
      </c>
      <c r="H18" s="71" t="n">
        <f aca="false">SUMIF(WPL_2025YE!$D:$D,$D18,WPL_2025YE!$AI:$AI)</f>
        <v>0</v>
      </c>
      <c r="I18" s="71" t="n">
        <f aca="false">G18-H18</f>
        <v>0</v>
      </c>
      <c r="J18" s="72" t="n">
        <f aca="false">IFERROR(I18/H18,IF(I18&gt;0,100%,IF(I18=0,0,-100%)))</f>
        <v>0</v>
      </c>
      <c r="K18" s="48" t="str">
        <f aca="false">IF(AND(ABS(I18)&gt;$J$5,ABS(J18)&gt;5%),"O","")</f>
        <v/>
      </c>
      <c r="L18" s="50"/>
      <c r="M18" s="100" t="n">
        <f aca="false">E18-F18</f>
        <v>0</v>
      </c>
      <c r="N18" s="123" t="n">
        <f aca="false">(+F15+F17+F21+F22)-F14</f>
        <v>408043000</v>
      </c>
      <c r="Q18" s="124" t="s">
        <v>252</v>
      </c>
      <c r="R18" s="125" t="n">
        <f aca="false">'PL_DEC.2026'!R6</f>
        <v>-1050075227</v>
      </c>
      <c r="S18" s="1" t="s">
        <v>253</v>
      </c>
      <c r="T18" s="90"/>
      <c r="U18" s="43" t="n">
        <f aca="false">SUMIF('PL_DEC.2026'!$D:$D,$D18,'PL_DEC.2026'!$E:$E)</f>
        <v>0</v>
      </c>
      <c r="V18" s="43" t="n">
        <f aca="false">E18-U18</f>
        <v>0</v>
      </c>
      <c r="W18" s="43" t="n">
        <f aca="false">SUMIF('PL_DEC.2026'!$D:$D,$D18,'PL_DEC.2026'!$L:$L)</f>
        <v>0</v>
      </c>
      <c r="X18" s="43" t="n">
        <f aca="false">F18-W18</f>
        <v>0</v>
      </c>
    </row>
    <row r="19" customFormat="false" ht="13.5" hidden="false" customHeight="false" outlineLevel="0" collapsed="false">
      <c r="C19" s="45" t="s">
        <v>32</v>
      </c>
      <c r="D19" s="54" t="s">
        <v>254</v>
      </c>
      <c r="E19" s="71" t="n">
        <f aca="false">SUMIF(FS_map!$H:$H,$D19,FS_map!$M:$M)</f>
        <v>0</v>
      </c>
      <c r="F19" s="71" t="n">
        <f aca="false">SUMIF(FS_map!$H:$H,$D19,FS_map!$P:$P)</f>
        <v>0</v>
      </c>
      <c r="G19" s="71" t="n">
        <f aca="false">F19*12/9</f>
        <v>0</v>
      </c>
      <c r="H19" s="71" t="n">
        <f aca="false">SUMIF(WPL_2025YE!$D:$D,$D19,WPL_2025YE!$AI:$AI)</f>
        <v>0</v>
      </c>
      <c r="I19" s="71" t="n">
        <f aca="false">G19-H19</f>
        <v>0</v>
      </c>
      <c r="J19" s="72" t="n">
        <f aca="false">IFERROR(I19/H19,IF(I19&gt;0,100%,IF(I19=0,0,-100%)))</f>
        <v>0</v>
      </c>
      <c r="K19" s="48" t="str">
        <f aca="false">IF(AND(ABS(I19)&gt;$J$5,ABS(J19)&gt;5%),"O","")</f>
        <v/>
      </c>
      <c r="L19" s="50"/>
      <c r="M19" s="100" t="n">
        <f aca="false">E19-F19</f>
        <v>0</v>
      </c>
      <c r="Q19" s="120" t="s">
        <v>255</v>
      </c>
      <c r="R19" s="122" t="n">
        <f aca="false">+R20+R21</f>
        <v>401804189961</v>
      </c>
      <c r="T19" s="90"/>
      <c r="U19" s="43" t="n">
        <f aca="false">SUMIF('PL_DEC.2026'!$D:$D,$D19,'PL_DEC.2026'!$E:$E)</f>
        <v>0</v>
      </c>
      <c r="V19" s="43" t="n">
        <f aca="false">E19-U19</f>
        <v>0</v>
      </c>
      <c r="W19" s="43" t="n">
        <f aca="false">SUMIF('PL_DEC.2026'!$D:$D,$D19,'PL_DEC.2026'!$L:$L)</f>
        <v>0</v>
      </c>
      <c r="X19" s="43" t="n">
        <f aca="false">F19-W19</f>
        <v>0</v>
      </c>
    </row>
    <row r="20" customFormat="false" ht="13.5" hidden="false" customHeight="false" outlineLevel="0" collapsed="false">
      <c r="C20" s="35"/>
      <c r="D20" s="54" t="s">
        <v>256</v>
      </c>
      <c r="E20" s="126" t="n">
        <f aca="false">SUM(E15:E19)</f>
        <v>579447629482</v>
      </c>
      <c r="F20" s="126" t="n">
        <f aca="false">SUM(F15:F19)</f>
        <v>579447629482</v>
      </c>
      <c r="G20" s="126" t="n">
        <f aca="false">SUM(G15:G19)</f>
        <v>720682125474</v>
      </c>
      <c r="H20" s="126" t="n">
        <f aca="false">SUM(H15:H19)</f>
        <v>657744193446</v>
      </c>
      <c r="I20" s="126" t="n">
        <f aca="false">G20-H20</f>
        <v>62937932028</v>
      </c>
      <c r="J20" s="127" t="n">
        <f aca="false">IFERROR(I20/H20,IF(I20&gt;0,100%,IF(I20=0,0,-100%)))</f>
        <v>0.0956875524788151</v>
      </c>
      <c r="K20" s="128"/>
      <c r="L20" s="129"/>
      <c r="M20" s="100" t="n">
        <f aca="false">E20-F20</f>
        <v>0</v>
      </c>
      <c r="N20" s="123"/>
      <c r="O20" s="123"/>
      <c r="Q20" s="130" t="s">
        <v>257</v>
      </c>
      <c r="R20" s="131" t="n">
        <f aca="false">'PL_DEC.2026'!R8</f>
        <v>401771822478</v>
      </c>
      <c r="S20" s="1" t="s">
        <v>258</v>
      </c>
      <c r="T20" s="90"/>
      <c r="U20" s="43" t="n">
        <f aca="false">SUM(U15:U19)</f>
        <v>579447629507</v>
      </c>
      <c r="V20" s="43" t="n">
        <f aca="false">E20-U20</f>
        <v>-25</v>
      </c>
      <c r="W20" s="43" t="n">
        <f aca="false">SUM(W15:W19)</f>
        <v>579447629507</v>
      </c>
      <c r="X20" s="43" t="n">
        <f aca="false">F20-W20</f>
        <v>-25</v>
      </c>
    </row>
    <row r="21" customFormat="false" ht="13.5" hidden="false" customHeight="false" outlineLevel="0" collapsed="false">
      <c r="C21" s="45" t="s">
        <v>32</v>
      </c>
      <c r="D21" s="54" t="s">
        <v>259</v>
      </c>
      <c r="E21" s="71" t="n">
        <f aca="false">R21*-1</f>
        <v>-32367483</v>
      </c>
      <c r="F21" s="71" t="n">
        <f aca="false">R21*-1</f>
        <v>-32367483</v>
      </c>
      <c r="G21" s="71" t="n">
        <f aca="false">F21*12/9</f>
        <v>-43156644</v>
      </c>
      <c r="H21" s="71" t="n">
        <f aca="false">SUMIF(WPL_2025YE!$D:$D,$D21,WPL_2025YE!$AI:$AI)</f>
        <v>-297789393</v>
      </c>
      <c r="I21" s="71" t="n">
        <f aca="false">G21-H21</f>
        <v>254632749</v>
      </c>
      <c r="J21" s="72" t="n">
        <f aca="false">IFERROR(I21/H21,IF(I21&gt;0,100%,IF(I21=0,0,-100%)))</f>
        <v>-0.855076624572723</v>
      </c>
      <c r="K21" s="48" t="str">
        <f aca="false">IF(AND(ABS(I21)&gt;$J$5,ABS(J21)&gt;5%),"O","")</f>
        <v/>
      </c>
      <c r="L21" s="50"/>
      <c r="M21" s="100" t="n">
        <f aca="false">E21-F21</f>
        <v>0</v>
      </c>
      <c r="Q21" s="124" t="s">
        <v>260</v>
      </c>
      <c r="R21" s="125" t="n">
        <f aca="false">'PL_DEC.2026'!R9</f>
        <v>32367483</v>
      </c>
      <c r="S21" s="1" t="s">
        <v>261</v>
      </c>
      <c r="T21" s="90"/>
      <c r="U21" s="43" t="n">
        <f aca="false">W21</f>
        <v>-32367483</v>
      </c>
      <c r="V21" s="43" t="n">
        <f aca="false">E21-U21</f>
        <v>0</v>
      </c>
      <c r="W21" s="43" t="n">
        <f aca="false">SUMIF('PL_DEC.2026'!$D:$D,$D21,'PL_DEC.2026'!$L:$L)</f>
        <v>-32367483</v>
      </c>
      <c r="X21" s="43" t="n">
        <f aca="false">F21-W21</f>
        <v>0</v>
      </c>
    </row>
    <row r="22" customFormat="false" ht="13.5" hidden="false" customHeight="false" outlineLevel="0" collapsed="false">
      <c r="C22" s="45" t="s">
        <v>35</v>
      </c>
      <c r="D22" s="54" t="s">
        <v>262</v>
      </c>
      <c r="E22" s="71" t="n">
        <f aca="false">SUM(BS_KO!E28:E29)*-1</f>
        <v>-177643439521</v>
      </c>
      <c r="F22" s="71" t="n">
        <f aca="false">SUM(BS_KO!F28:F29)*-1</f>
        <v>-177643439521</v>
      </c>
      <c r="G22" s="71" t="n">
        <f aca="false">F22</f>
        <v>-177643439521</v>
      </c>
      <c r="H22" s="71" t="n">
        <f aca="false">SUMIF(WPL_2025YE!$D:$D,$D22,WPL_2025YE!$AI:$AI)</f>
        <v>-155744141506</v>
      </c>
      <c r="I22" s="71" t="n">
        <f aca="false">G22-H22</f>
        <v>-21899298015</v>
      </c>
      <c r="J22" s="72" t="n">
        <f aca="false">IFERROR(I22/H22,IF(I22&gt;0,100%,IF(I22=0,0,-100%)))</f>
        <v>0.140610733753708</v>
      </c>
      <c r="K22" s="48"/>
      <c r="L22" s="49"/>
      <c r="M22" s="100" t="n">
        <f aca="false">E22-F22</f>
        <v>0</v>
      </c>
      <c r="N22" s="132" t="n">
        <f aca="false">+F22=-(BS_KO!F28+BS_KO!F29)</f>
        <v>1</v>
      </c>
      <c r="O22" s="90"/>
      <c r="Q22" s="120" t="s">
        <v>263</v>
      </c>
      <c r="R22" s="133" t="n">
        <f aca="false">R15+R16-R19</f>
        <v>177643439521</v>
      </c>
      <c r="T22" s="90"/>
      <c r="U22" s="43" t="n">
        <f aca="false">W22</f>
        <v>-177643439521</v>
      </c>
      <c r="V22" s="43" t="n">
        <f aca="false">E22-U22</f>
        <v>0</v>
      </c>
      <c r="W22" s="43" t="n">
        <f aca="false">SUMIF('PL_DEC.2026'!$D:$D,$D22,'PL_DEC.2026'!$L:$L)</f>
        <v>-177643439521</v>
      </c>
      <c r="X22" s="43" t="n">
        <f aca="false">F22-W22</f>
        <v>0</v>
      </c>
    </row>
    <row r="23" customFormat="false" ht="13.5" hidden="false" customHeight="false" outlineLevel="0" collapsed="false">
      <c r="C23" s="45" t="s">
        <v>264</v>
      </c>
      <c r="D23" s="36"/>
      <c r="E23" s="126" t="n">
        <f aca="false">SUMIF(FS_map!$H:$H,"제품매출원가",FS_map!$M:$M)</f>
        <v>0</v>
      </c>
      <c r="F23" s="126"/>
      <c r="G23" s="126" t="n">
        <f aca="false">F23*12/9</f>
        <v>0</v>
      </c>
      <c r="H23" s="126" t="n">
        <f aca="false">SUMIF(WPL_2025YE!$D:$D,"제품매출원가",WPL_2025YE!$AI:$AI)</f>
        <v>0</v>
      </c>
      <c r="I23" s="126" t="n">
        <f aca="false">G23-H23</f>
        <v>0</v>
      </c>
      <c r="J23" s="127" t="n">
        <f aca="false">IFERROR(I23/H23,IF(I23&gt;0,100%,IF(I23=0,0,-100%)))</f>
        <v>0</v>
      </c>
      <c r="K23" s="128" t="str">
        <f aca="false">IF(AND(ABS(I23)&gt;$J$5,ABS(J23)&gt;5%),"O","")</f>
        <v/>
      </c>
      <c r="L23" s="129"/>
      <c r="M23" s="100" t="n">
        <f aca="false">E23-F23</f>
        <v>0</v>
      </c>
      <c r="O23" s="90"/>
      <c r="R23" s="123" t="n">
        <f aca="false">++R22+F22</f>
        <v>0</v>
      </c>
      <c r="T23" s="90"/>
      <c r="U23" s="43" t="n">
        <f aca="false">0</f>
        <v>0</v>
      </c>
      <c r="V23" s="43" t="n">
        <f aca="false">E23-U23</f>
        <v>0</v>
      </c>
      <c r="W23" s="43" t="n">
        <f aca="false">0</f>
        <v>0</v>
      </c>
      <c r="X23" s="43" t="n">
        <f aca="false">F23-W23</f>
        <v>0</v>
      </c>
    </row>
    <row r="24" customFormat="false" ht="13.5" hidden="false" customHeight="false" outlineLevel="0" collapsed="false">
      <c r="C24" s="45" t="s">
        <v>26</v>
      </c>
      <c r="D24" s="54" t="s">
        <v>265</v>
      </c>
      <c r="E24" s="71"/>
      <c r="F24" s="71"/>
      <c r="G24" s="71" t="n">
        <f aca="false">F24*12/9</f>
        <v>0</v>
      </c>
      <c r="H24" s="71"/>
      <c r="I24" s="71" t="n">
        <f aca="false">G24-H24</f>
        <v>0</v>
      </c>
      <c r="J24" s="72" t="n">
        <f aca="false">IFERROR(I24/H24,IF(I24&gt;0,100%,IF(I24=0,0,-100%)))</f>
        <v>0</v>
      </c>
      <c r="K24" s="48" t="str">
        <f aca="false">IF(AND(ABS(I24)&gt;$J$5,ABS(J24)&gt;5%),"O","")</f>
        <v/>
      </c>
      <c r="L24" s="50"/>
      <c r="M24" s="100" t="n">
        <f aca="false">E24-F24</f>
        <v>0</v>
      </c>
      <c r="O24" s="90"/>
      <c r="R24" s="123"/>
      <c r="T24" s="90"/>
      <c r="U24" s="90"/>
    </row>
    <row r="25" customFormat="false" ht="13.5" hidden="false" customHeight="false" outlineLevel="0" collapsed="false">
      <c r="C25" s="45"/>
      <c r="D25" s="54" t="s">
        <v>246</v>
      </c>
      <c r="E25" s="71"/>
      <c r="F25" s="71"/>
      <c r="G25" s="71" t="n">
        <f aca="false">F25*12/9</f>
        <v>0</v>
      </c>
      <c r="H25" s="71"/>
      <c r="I25" s="71" t="n">
        <f aca="false">G25-H25</f>
        <v>0</v>
      </c>
      <c r="J25" s="72" t="n">
        <f aca="false">IFERROR(I25/H25,IF(I25&gt;0,100%,IF(I25=0,0,-100%)))</f>
        <v>0</v>
      </c>
      <c r="K25" s="48" t="str">
        <f aca="false">IF(AND(ABS(I25)&gt;$J$5,ABS(J25)&gt;5%),"O","")</f>
        <v/>
      </c>
      <c r="L25" s="50"/>
      <c r="M25" s="100" t="n">
        <f aca="false">E25-F25</f>
        <v>0</v>
      </c>
      <c r="R25" s="123"/>
    </row>
    <row r="26" customFormat="false" ht="13.5" hidden="false" customHeight="false" outlineLevel="0" collapsed="false">
      <c r="C26" s="45" t="s">
        <v>29</v>
      </c>
      <c r="D26" s="54" t="s">
        <v>266</v>
      </c>
      <c r="E26" s="71"/>
      <c r="F26" s="71"/>
      <c r="G26" s="71" t="n">
        <f aca="false">F26*12/9</f>
        <v>0</v>
      </c>
      <c r="H26" s="71"/>
      <c r="I26" s="71" t="n">
        <f aca="false">G26-H26</f>
        <v>0</v>
      </c>
      <c r="J26" s="72" t="n">
        <f aca="false">IFERROR(I26/H26,IF(I26&gt;0,100%,IF(I26=0,0,-100%)))</f>
        <v>0</v>
      </c>
      <c r="K26" s="48" t="str">
        <f aca="false">IF(AND(ABS(I26)&gt;$J$5,ABS(J26)&gt;5%),"O","")</f>
        <v/>
      </c>
      <c r="L26" s="50"/>
      <c r="M26" s="100" t="n">
        <f aca="false">E26-F26</f>
        <v>0</v>
      </c>
      <c r="R26" s="123"/>
    </row>
    <row r="27" customFormat="false" ht="13.5" hidden="false" customHeight="false" outlineLevel="0" collapsed="false">
      <c r="C27" s="45" t="s">
        <v>32</v>
      </c>
      <c r="D27" s="54" t="s">
        <v>267</v>
      </c>
      <c r="E27" s="71"/>
      <c r="F27" s="71"/>
      <c r="G27" s="71" t="n">
        <f aca="false">F27*12/9</f>
        <v>0</v>
      </c>
      <c r="H27" s="71"/>
      <c r="I27" s="71" t="n">
        <f aca="false">G27-H27</f>
        <v>0</v>
      </c>
      <c r="J27" s="72" t="n">
        <f aca="false">IFERROR(I27/H27,IF(I27&gt;0,100%,IF(I27=0,0,-100%)))</f>
        <v>0</v>
      </c>
      <c r="K27" s="48" t="str">
        <f aca="false">IF(AND(ABS(I27)&gt;$J$5,ABS(J27)&gt;5%),"O","")</f>
        <v/>
      </c>
      <c r="L27" s="50"/>
      <c r="M27" s="100" t="n">
        <f aca="false">E27-F27</f>
        <v>0</v>
      </c>
      <c r="Q27" s="2"/>
      <c r="R27" s="90"/>
    </row>
    <row r="28" customFormat="false" ht="13.5" hidden="false" customHeight="false" outlineLevel="0" collapsed="false">
      <c r="C28" s="35"/>
      <c r="D28" s="54" t="s">
        <v>256</v>
      </c>
      <c r="E28" s="126" t="n">
        <f aca="false">SUM(E24:E27)</f>
        <v>0</v>
      </c>
      <c r="F28" s="126" t="n">
        <f aca="false">SUM(F24:F27)</f>
        <v>0</v>
      </c>
      <c r="G28" s="126" t="n">
        <f aca="false">F28*12/9</f>
        <v>0</v>
      </c>
      <c r="H28" s="126" t="n">
        <f aca="false">SUM(H24:H27)</f>
        <v>0</v>
      </c>
      <c r="I28" s="126" t="n">
        <f aca="false">G28-H28</f>
        <v>0</v>
      </c>
      <c r="J28" s="127" t="n">
        <f aca="false">IFERROR(I28/H28,IF(I28&gt;0,100%,IF(I28=0,0,-100%)))</f>
        <v>0</v>
      </c>
      <c r="K28" s="128" t="str">
        <f aca="false">IF(AND(ABS(I28)&gt;$J$5,ABS(J28)&gt;5%),"O","")</f>
        <v/>
      </c>
      <c r="L28" s="129"/>
      <c r="M28" s="100" t="n">
        <f aca="false">E28-F28</f>
        <v>0</v>
      </c>
      <c r="Q28" s="2"/>
      <c r="R28" s="90"/>
      <c r="U28" s="43" t="n">
        <f aca="false">SUM(U24:U27)</f>
        <v>0</v>
      </c>
      <c r="V28" s="43" t="n">
        <f aca="false">E28-U28</f>
        <v>0</v>
      </c>
      <c r="W28" s="43" t="n">
        <f aca="false">SUM(W24:W27)</f>
        <v>0</v>
      </c>
      <c r="X28" s="43" t="n">
        <f aca="false">F28-W28</f>
        <v>0</v>
      </c>
    </row>
    <row r="29" customFormat="false" ht="13.5" hidden="false" customHeight="false" outlineLevel="0" collapsed="false">
      <c r="C29" s="45" t="s">
        <v>35</v>
      </c>
      <c r="D29" s="54" t="s">
        <v>268</v>
      </c>
      <c r="E29" s="71"/>
      <c r="F29" s="71"/>
      <c r="G29" s="71" t="n">
        <f aca="false">F29*12/9</f>
        <v>0</v>
      </c>
      <c r="H29" s="71"/>
      <c r="I29" s="71" t="n">
        <f aca="false">G29-H29</f>
        <v>0</v>
      </c>
      <c r="J29" s="72" t="n">
        <f aca="false">IFERROR(I29/H29,IF(I29&gt;0,100%,IF(I29=0,0,-100%)))</f>
        <v>0</v>
      </c>
      <c r="K29" s="48" t="str">
        <f aca="false">IF(AND(ABS(I29)&gt;$J$5,ABS(J29)&gt;5%),"O","")</f>
        <v/>
      </c>
      <c r="L29" s="50"/>
      <c r="M29" s="100" t="n">
        <f aca="false">E29-F29</f>
        <v>0</v>
      </c>
      <c r="R29" s="90"/>
    </row>
    <row r="30" customFormat="false" ht="13.5" hidden="false" customHeight="false" outlineLevel="0" collapsed="false">
      <c r="C30" s="45" t="s">
        <v>38</v>
      </c>
      <c r="D30" s="54" t="s">
        <v>269</v>
      </c>
      <c r="E30" s="71"/>
      <c r="F30" s="71"/>
      <c r="G30" s="71" t="n">
        <f aca="false">F30*12/9</f>
        <v>0</v>
      </c>
      <c r="H30" s="71"/>
      <c r="I30" s="71" t="n">
        <f aca="false">G30-H30</f>
        <v>0</v>
      </c>
      <c r="J30" s="72" t="n">
        <f aca="false">IFERROR(I30/H30,IF(I30&gt;0,100%,IF(I30=0,0,-100%)))</f>
        <v>0</v>
      </c>
      <c r="K30" s="48" t="str">
        <f aca="false">IF(AND(ABS(I30)&gt;$J$5,ABS(J30)&gt;5%),"O","")</f>
        <v/>
      </c>
      <c r="L30" s="50"/>
      <c r="M30" s="100" t="n">
        <f aca="false">E30-F30</f>
        <v>0</v>
      </c>
      <c r="Q30" s="2"/>
      <c r="R30" s="90"/>
      <c r="V30" s="90"/>
      <c r="W30" s="90"/>
    </row>
    <row r="31" customFormat="false" ht="13.5" hidden="false" customHeight="false" outlineLevel="0" collapsed="false">
      <c r="C31" s="45" t="s">
        <v>270</v>
      </c>
      <c r="D31" s="54" t="s">
        <v>271</v>
      </c>
      <c r="E31" s="71" t="n">
        <f aca="false">SUMIF(FS_map!$H:$H,$D31,FS_map!$M:$M)</f>
        <v>0</v>
      </c>
      <c r="F31" s="71" t="n">
        <f aca="false">SUMIF(FS_map!$H:$H,$D31,FS_map!$P:$P)</f>
        <v>0</v>
      </c>
      <c r="G31" s="71" t="n">
        <f aca="false">F31*12/9</f>
        <v>0</v>
      </c>
      <c r="H31" s="71" t="n">
        <f aca="false">WPL_2025YE!AI17</f>
        <v>0</v>
      </c>
      <c r="I31" s="71" t="n">
        <f aca="false">G31-H31</f>
        <v>0</v>
      </c>
      <c r="J31" s="72" t="n">
        <f aca="false">IFERROR(I31/H31,IF(I31&gt;0,100%,IF(I31=0,0,-100%)))</f>
        <v>0</v>
      </c>
      <c r="K31" s="48" t="str">
        <f aca="false">IF(AND(ABS(I31)&gt;$J$5,ABS(J31)&gt;5%),"O","")</f>
        <v/>
      </c>
      <c r="L31" s="49"/>
      <c r="M31" s="100" t="n">
        <f aca="false">E31-F31</f>
        <v>0</v>
      </c>
      <c r="N31" s="114" t="n">
        <f aca="false">IFERROR(+F31/F12,0)</f>
        <v>0</v>
      </c>
      <c r="O31" s="114" t="n">
        <f aca="false">IFERROR(+H31/H12,0)</f>
        <v>0</v>
      </c>
      <c r="U31" s="43" t="n">
        <f aca="false">SUMIF('PL_DEC.2026'!$D:$D,$D31,'PL_DEC.2026'!$E:$E)</f>
        <v>0</v>
      </c>
      <c r="V31" s="43" t="n">
        <f aca="false">E31-U31</f>
        <v>0</v>
      </c>
      <c r="W31" s="43" t="n">
        <f aca="false">SUMIF('PL_DEC.2026'!$D:$D,$D31,'PL_DEC.2026'!$L:$L)</f>
        <v>0</v>
      </c>
      <c r="X31" s="43" t="n">
        <f aca="false">F31-W31</f>
        <v>0</v>
      </c>
    </row>
    <row r="32" customFormat="false" ht="14.25" hidden="false" customHeight="true" outlineLevel="0" collapsed="false">
      <c r="C32" s="134" t="s">
        <v>272</v>
      </c>
      <c r="D32" s="135"/>
      <c r="E32" s="65" t="n">
        <f aca="false">+E10-E13</f>
        <v>130957736686</v>
      </c>
      <c r="F32" s="65" t="n">
        <f aca="false">+F10-F13</f>
        <v>130957736686</v>
      </c>
      <c r="G32" s="65" t="n">
        <f aca="false">F32*12/9</f>
        <v>174610315581.333</v>
      </c>
      <c r="H32" s="65" t="n">
        <f aca="false">+H10-H13</f>
        <v>144052198124</v>
      </c>
      <c r="I32" s="65" t="n">
        <f aca="false">G32-H32</f>
        <v>30558117457.3333</v>
      </c>
      <c r="J32" s="66" t="n">
        <f aca="false">IFERROR(I32/H32,IF(I32&gt;0,100%,IF(I32=0,0,-100%)))</f>
        <v>0.212132253830858</v>
      </c>
      <c r="K32" s="67"/>
      <c r="L32" s="68"/>
      <c r="M32" s="100" t="n">
        <f aca="false">E32-F32</f>
        <v>0</v>
      </c>
      <c r="N32" s="90"/>
      <c r="U32" s="43" t="n">
        <f aca="false">+U10-U13</f>
        <v>130957736686</v>
      </c>
      <c r="V32" s="43" t="n">
        <f aca="false">E32-U32</f>
        <v>0</v>
      </c>
      <c r="W32" s="43" t="n">
        <f aca="false">+W10-W13</f>
        <v>130549693661</v>
      </c>
      <c r="X32" s="43" t="n">
        <f aca="false">F32-W32</f>
        <v>408043025</v>
      </c>
    </row>
    <row r="33" customFormat="false" ht="14.25" hidden="false" customHeight="true" outlineLevel="0" collapsed="false">
      <c r="C33" s="35" t="s">
        <v>273</v>
      </c>
      <c r="D33" s="36"/>
      <c r="E33" s="37" t="n">
        <f aca="false">E34+E40+E48+E74</f>
        <v>90107200362</v>
      </c>
      <c r="F33" s="37" t="n">
        <f aca="false">F34+F40+F48+F74</f>
        <v>69362864046</v>
      </c>
      <c r="G33" s="37" t="n">
        <f aca="false">F33*12/9</f>
        <v>92483818728</v>
      </c>
      <c r="H33" s="37" t="n">
        <f aca="false">H34+H40+H48+H74</f>
        <v>114570413852</v>
      </c>
      <c r="I33" s="37" t="n">
        <f aca="false">G33-H33</f>
        <v>-22086595124</v>
      </c>
      <c r="J33" s="38" t="n">
        <f aca="false">IFERROR(I33/H33,IF(I33&gt;0,100%,IF(I33=0,0,-100%)))</f>
        <v>-0.192777475278487</v>
      </c>
      <c r="K33" s="39"/>
      <c r="L33" s="40"/>
      <c r="M33" s="100" t="n">
        <f aca="false">E33-F33</f>
        <v>20744336316</v>
      </c>
      <c r="N33" s="93"/>
      <c r="O33" s="90"/>
      <c r="U33" s="43" t="n">
        <f aca="false">U34+U40+U48+U74</f>
        <v>90107200362</v>
      </c>
      <c r="V33" s="43" t="n">
        <f aca="false">E33-U33</f>
        <v>0</v>
      </c>
      <c r="W33" s="43" t="n">
        <f aca="false">W34+W40+W48+W74</f>
        <v>69362864046</v>
      </c>
      <c r="X33" s="43" t="n">
        <f aca="false">F33-W33</f>
        <v>0</v>
      </c>
    </row>
    <row r="34" customFormat="false" ht="13.5" hidden="false" customHeight="false" outlineLevel="0" collapsed="false">
      <c r="C34" s="45" t="s">
        <v>274</v>
      </c>
      <c r="D34" s="36"/>
      <c r="E34" s="126" t="n">
        <f aca="false">SUM(E35:E39)</f>
        <v>15965818075</v>
      </c>
      <c r="F34" s="126" t="n">
        <f aca="false">SUM(F35:F39)</f>
        <v>15958336946</v>
      </c>
      <c r="G34" s="126" t="n">
        <f aca="false">F34*12/9</f>
        <v>21277782594.6667</v>
      </c>
      <c r="H34" s="126" t="n">
        <f aca="false">SUM(H35:H39)</f>
        <v>24336799235</v>
      </c>
      <c r="I34" s="126" t="n">
        <f aca="false">G34-H34</f>
        <v>-3059016640.33333</v>
      </c>
      <c r="J34" s="127" t="n">
        <f aca="false">IFERROR(I34/H34,IF(I34&gt;0,100%,IF(I34=0,0,-100%)))</f>
        <v>-0.125695109319635</v>
      </c>
      <c r="K34" s="128" t="str">
        <f aca="false">IF(AND(ABS(I34)&gt;$J$5,ABS(J34)&gt;5%),"O","")</f>
        <v/>
      </c>
      <c r="L34" s="49"/>
      <c r="M34" s="100" t="n">
        <f aca="false">E34-F34</f>
        <v>7481129</v>
      </c>
      <c r="O34" s="90"/>
      <c r="R34" s="136"/>
      <c r="U34" s="43" t="n">
        <f aca="false">SUM(U35:U39)</f>
        <v>15965818075</v>
      </c>
      <c r="V34" s="43" t="n">
        <f aca="false">E34-U34</f>
        <v>0</v>
      </c>
      <c r="W34" s="43" t="n">
        <f aca="false">SUM(W35:W39)</f>
        <v>15958336946</v>
      </c>
      <c r="X34" s="43" t="n">
        <f aca="false">F34-W34</f>
        <v>0</v>
      </c>
    </row>
    <row r="35" customFormat="false" ht="13.5" hidden="false" customHeight="false" outlineLevel="0" collapsed="false">
      <c r="C35" s="45" t="s">
        <v>26</v>
      </c>
      <c r="D35" s="54" t="s">
        <v>275</v>
      </c>
      <c r="E35" s="71" t="n">
        <f aca="false">SUMIF(FS_map!$H:$H,$D35,FS_map!$M:$M)</f>
        <v>3354728043</v>
      </c>
      <c r="F35" s="71" t="n">
        <f aca="false">SUMIF(FS_map!$H:$H,$D35,FS_map!$P:$P)</f>
        <v>3354728043</v>
      </c>
      <c r="G35" s="71" t="n">
        <f aca="false">F35*12/9</f>
        <v>4472970724</v>
      </c>
      <c r="H35" s="71" t="n">
        <f aca="false">SUMIF(WPL_2025YE!$D:$D,$D35,WPL_2025YE!$AI:$AI)</f>
        <v>4150097232</v>
      </c>
      <c r="I35" s="71" t="n">
        <f aca="false">G35-H35</f>
        <v>322873492</v>
      </c>
      <c r="J35" s="72" t="n">
        <f aca="false">IFERROR(I35/H35,IF(I35&gt;0,100%,IF(I35=0,0,-100%)))</f>
        <v>0.0777990186616428</v>
      </c>
      <c r="K35" s="48" t="str">
        <f aca="false">IF(AND(ABS(I35)&gt;$J$5,ABS(J35)&gt;5%),"O","")</f>
        <v/>
      </c>
      <c r="L35" s="50"/>
      <c r="M35" s="100" t="n">
        <f aca="false">E35-F35</f>
        <v>0</v>
      </c>
      <c r="R35" s="137"/>
      <c r="U35" s="43" t="n">
        <f aca="false">SUMIF('PL_DEC.2026'!$D:$D,$D35,'PL_DEC.2026'!$E:$E)</f>
        <v>3354728043</v>
      </c>
      <c r="V35" s="43" t="n">
        <f aca="false">E35-U35</f>
        <v>0</v>
      </c>
      <c r="W35" s="43" t="n">
        <f aca="false">SUMIF('PL_DEC.2026'!$D:$D,$D35,'PL_DEC.2026'!$L:$L)</f>
        <v>3354728043</v>
      </c>
      <c r="X35" s="43" t="n">
        <f aca="false">F35-W35</f>
        <v>0</v>
      </c>
    </row>
    <row r="36" customFormat="false" ht="13.5" hidden="false" customHeight="false" outlineLevel="0" collapsed="false">
      <c r="C36" s="45" t="s">
        <v>29</v>
      </c>
      <c r="D36" s="54" t="s">
        <v>276</v>
      </c>
      <c r="E36" s="71" t="n">
        <f aca="false">SUMIF(FS_map!$H:$H,$D36,FS_map!$M:$M)</f>
        <v>0</v>
      </c>
      <c r="F36" s="71" t="n">
        <f aca="false">SUMIF(FS_map!$H:$H,$D36,FS_map!$P:$P)</f>
        <v>0</v>
      </c>
      <c r="G36" s="71" t="n">
        <f aca="false">F36*12/9</f>
        <v>0</v>
      </c>
      <c r="H36" s="71" t="n">
        <f aca="false">SUMIF(WPL_2025YE!$D:$D,$D36,WPL_2025YE!$AI:$AI)</f>
        <v>0</v>
      </c>
      <c r="I36" s="71" t="n">
        <f aca="false">G36-H36</f>
        <v>0</v>
      </c>
      <c r="J36" s="72" t="n">
        <f aca="false">IFERROR(I36/H36,IF(I36&gt;0,100%,IF(I36=0,0,-100%)))</f>
        <v>0</v>
      </c>
      <c r="K36" s="48" t="str">
        <f aca="false">IF(AND(ABS(I36)&gt;$J$5,ABS(J36)&gt;5%),"O","")</f>
        <v/>
      </c>
      <c r="L36" s="50"/>
      <c r="M36" s="100" t="n">
        <f aca="false">E36-F36</f>
        <v>0</v>
      </c>
      <c r="U36" s="43" t="n">
        <f aca="false">SUMIF('PL_DEC.2026'!$D:$D,$D36,'PL_DEC.2026'!$E:$E)</f>
        <v>0</v>
      </c>
      <c r="V36" s="43" t="n">
        <f aca="false">E36-U36</f>
        <v>0</v>
      </c>
      <c r="W36" s="43" t="n">
        <f aca="false">SUMIF('PL_DEC.2026'!$D:$D,$D36,'PL_DEC.2026'!$L:$L)</f>
        <v>0</v>
      </c>
      <c r="X36" s="43" t="n">
        <f aca="false">F36-W36</f>
        <v>0</v>
      </c>
    </row>
    <row r="37" customFormat="false" ht="13.5" hidden="false" customHeight="false" outlineLevel="0" collapsed="false">
      <c r="C37" s="45" t="s">
        <v>32</v>
      </c>
      <c r="D37" s="54" t="s">
        <v>277</v>
      </c>
      <c r="E37" s="71" t="n">
        <f aca="false">SUMIF(FS_map!$H:$H,$D37,FS_map!$M:$M)</f>
        <v>1641883650</v>
      </c>
      <c r="F37" s="71" t="n">
        <f aca="false">SUMIF(FS_map!$H:$H,$D37,FS_map!$P:$P)</f>
        <v>1641883650</v>
      </c>
      <c r="G37" s="71" t="n">
        <f aca="false">F37*12/9</f>
        <v>2189178200</v>
      </c>
      <c r="H37" s="71" t="n">
        <f aca="false">SUMIF(WPL_2025YE!$D:$D,$D37,WPL_2025YE!$AI:$AI)</f>
        <v>2701698214</v>
      </c>
      <c r="I37" s="71" t="n">
        <f aca="false">G37-H37</f>
        <v>-512520014</v>
      </c>
      <c r="J37" s="72" t="n">
        <f aca="false">IFERROR(I37/H37,IF(I37&gt;0,100%,IF(I37=0,0,-100%)))</f>
        <v>-0.189702910319206</v>
      </c>
      <c r="K37" s="48" t="str">
        <f aca="false">IF(AND(ABS(I37)&gt;$J$5,ABS(J37)&gt;5%),"O","")</f>
        <v/>
      </c>
      <c r="L37" s="50"/>
      <c r="M37" s="100" t="n">
        <f aca="false">E37-F37</f>
        <v>0</v>
      </c>
      <c r="U37" s="43" t="n">
        <f aca="false">SUMIF('PL_DEC.2026'!$D:$D,$D37,'PL_DEC.2026'!$E:$E)</f>
        <v>1641883650</v>
      </c>
      <c r="V37" s="43" t="n">
        <f aca="false">E37-U37</f>
        <v>0</v>
      </c>
      <c r="W37" s="43" t="n">
        <f aca="false">SUMIF('PL_DEC.2026'!$D:$D,$D37,'PL_DEC.2026'!$L:$L)</f>
        <v>1641883650</v>
      </c>
      <c r="X37" s="43" t="n">
        <f aca="false">F37-W37</f>
        <v>0</v>
      </c>
    </row>
    <row r="38" customFormat="false" ht="13.5" hidden="false" customHeight="false" outlineLevel="0" collapsed="false">
      <c r="C38" s="45" t="s">
        <v>35</v>
      </c>
      <c r="D38" s="54" t="s">
        <v>278</v>
      </c>
      <c r="E38" s="71" t="n">
        <f aca="false">SUMIF(FS_map!$H:$H,$D38,FS_map!$M:$M)</f>
        <v>0</v>
      </c>
      <c r="F38" s="71" t="n">
        <f aca="false">SUMIF(FS_map!$H:$H,$D38,FS_map!$P:$P)</f>
        <v>0</v>
      </c>
      <c r="G38" s="71" t="n">
        <f aca="false">F38*12/9</f>
        <v>0</v>
      </c>
      <c r="H38" s="71" t="n">
        <f aca="false">SUMIF(WPL_2025YE!$D:$D,$D38,WPL_2025YE!$AI:$AI)</f>
        <v>0</v>
      </c>
      <c r="I38" s="71" t="n">
        <f aca="false">G38-H38</f>
        <v>0</v>
      </c>
      <c r="J38" s="72" t="n">
        <f aca="false">IFERROR(I38/H38,IF(I38&gt;0,100%,IF(I38=0,0,-100%)))</f>
        <v>0</v>
      </c>
      <c r="K38" s="48" t="str">
        <f aca="false">IF(AND(ABS(I38)&gt;$J$5,ABS(J38)&gt;5%),"O","")</f>
        <v/>
      </c>
      <c r="L38" s="50"/>
      <c r="M38" s="100" t="n">
        <f aca="false">E38-F38</f>
        <v>0</v>
      </c>
      <c r="U38" s="43" t="n">
        <f aca="false">SUMIF('PL_DEC.2026'!$D:$D,$D38,'PL_DEC.2026'!$E:$E)</f>
        <v>0</v>
      </c>
      <c r="V38" s="43" t="n">
        <f aca="false">E38-U38</f>
        <v>0</v>
      </c>
      <c r="W38" s="43" t="n">
        <f aca="false">SUMIF('PL_DEC.2026'!$D:$D,$D38,'PL_DEC.2026'!$L:$L)</f>
        <v>0</v>
      </c>
      <c r="X38" s="43" t="n">
        <f aca="false">F38-W38</f>
        <v>0</v>
      </c>
    </row>
    <row r="39" customFormat="false" ht="13.5" hidden="false" customHeight="false" outlineLevel="0" collapsed="false">
      <c r="C39" s="45" t="s">
        <v>38</v>
      </c>
      <c r="D39" s="54" t="s">
        <v>279</v>
      </c>
      <c r="E39" s="71" t="n">
        <f aca="false">SUMIF(FS_map!$H:$H,$D39,FS_map!$M:$M)</f>
        <v>10969206382</v>
      </c>
      <c r="F39" s="71" t="n">
        <f aca="false">SUMIF(FS_map!$H:$H,$D39,FS_map!$P:$P)</f>
        <v>10961725253</v>
      </c>
      <c r="G39" s="71" t="n">
        <f aca="false">F39*12/9</f>
        <v>14615633670.6667</v>
      </c>
      <c r="H39" s="71" t="n">
        <f aca="false">SUMIF(WPL_2025YE!$D:$D,$D39,WPL_2025YE!$AI:$AI)</f>
        <v>17485003789</v>
      </c>
      <c r="I39" s="71" t="n">
        <f aca="false">G39-H39</f>
        <v>-2869370118.33333</v>
      </c>
      <c r="J39" s="72" t="n">
        <f aca="false">IFERROR(I39/H39,IF(I39&gt;0,100%,IF(I39=0,0,-100%)))</f>
        <v>-0.164104632344346</v>
      </c>
      <c r="K39" s="48" t="str">
        <f aca="false">IF(AND(ABS(I39)&gt;$J$5,ABS(J39)&gt;5%),"O","")</f>
        <v/>
      </c>
      <c r="L39" s="50"/>
      <c r="M39" s="100" t="n">
        <f aca="false">E39-F39</f>
        <v>7481129</v>
      </c>
      <c r="U39" s="43" t="n">
        <f aca="false">SUMIF('PL_DEC.2026'!$D:$D,$D39,'PL_DEC.2026'!$E:$E)</f>
        <v>10969206382</v>
      </c>
      <c r="V39" s="43" t="n">
        <f aca="false">E39-U39</f>
        <v>0</v>
      </c>
      <c r="W39" s="43" t="n">
        <f aca="false">SUMIF('PL_DEC.2026'!$D:$D,$D39,'PL_DEC.2026'!$L:$L)</f>
        <v>10961725253</v>
      </c>
      <c r="X39" s="43" t="n">
        <f aca="false">F39-W39</f>
        <v>0</v>
      </c>
    </row>
    <row r="40" customFormat="false" ht="13.5" hidden="false" customHeight="false" outlineLevel="0" collapsed="false">
      <c r="C40" s="45" t="s">
        <v>280</v>
      </c>
      <c r="D40" s="36"/>
      <c r="E40" s="126" t="n">
        <f aca="false">SUM(E41:E47)</f>
        <v>34547108797</v>
      </c>
      <c r="F40" s="126" t="n">
        <f aca="false">SUM(F41:F47)</f>
        <v>31494645340</v>
      </c>
      <c r="G40" s="126" t="n">
        <f aca="false">F40*12/9</f>
        <v>41992860453.3333</v>
      </c>
      <c r="H40" s="126" t="n">
        <f aca="false">SUM(H41:H47)</f>
        <v>59889099005</v>
      </c>
      <c r="I40" s="126" t="n">
        <f aca="false">G40-H40</f>
        <v>-17896238551.6667</v>
      </c>
      <c r="J40" s="127" t="n">
        <f aca="false">IFERROR(I40/H40,IF(I40&gt;0,100%,IF(I40=0,0,-100%)))</f>
        <v>-0.298822971943067</v>
      </c>
      <c r="K40" s="128"/>
      <c r="L40" s="129"/>
      <c r="M40" s="100" t="n">
        <f aca="false">E40-F40</f>
        <v>3052463457</v>
      </c>
      <c r="U40" s="43" t="n">
        <f aca="false">SUM(U41:U47)</f>
        <v>34547108797</v>
      </c>
      <c r="V40" s="43" t="n">
        <f aca="false">E40-U40</f>
        <v>0</v>
      </c>
      <c r="W40" s="43" t="n">
        <f aca="false">SUM(W41:W47)</f>
        <v>31494645340</v>
      </c>
      <c r="X40" s="43" t="n">
        <f aca="false">F40-W40</f>
        <v>0</v>
      </c>
    </row>
    <row r="41" customFormat="false" ht="13.5" hidden="false" customHeight="false" outlineLevel="0" collapsed="false">
      <c r="C41" s="45" t="s">
        <v>26</v>
      </c>
      <c r="D41" s="54" t="s">
        <v>281</v>
      </c>
      <c r="E41" s="71" t="n">
        <f aca="false">SUMIF(FS_map!$H:$H,$D41,FS_map!$M:$M)</f>
        <v>0</v>
      </c>
      <c r="F41" s="71" t="n">
        <f aca="false">SUMIF(FS_map!$H:$H,$D41,FS_map!$P:$P)</f>
        <v>0</v>
      </c>
      <c r="G41" s="71" t="n">
        <f aca="false">F41*12/9</f>
        <v>0</v>
      </c>
      <c r="H41" s="71" t="n">
        <f aca="false">SUMIF(WPL_2025YE!$D:$D,$D41,WPL_2025YE!$AI:$AI)</f>
        <v>0</v>
      </c>
      <c r="I41" s="71" t="n">
        <f aca="false">G41-H41</f>
        <v>0</v>
      </c>
      <c r="J41" s="72" t="n">
        <f aca="false">IFERROR(I41/H41,IF(I41&gt;0,100%,IF(I41=0,0,-100%)))</f>
        <v>0</v>
      </c>
      <c r="K41" s="48" t="str">
        <f aca="false">IF(AND(ABS(I41)&gt;$J$5,ABS(J41)&gt;5%),"O","")</f>
        <v/>
      </c>
      <c r="L41" s="50"/>
      <c r="M41" s="100" t="n">
        <f aca="false">E41-F41</f>
        <v>0</v>
      </c>
      <c r="U41" s="43" t="n">
        <f aca="false">SUMIF('PL_DEC.2026'!$D:$D,$D41,'PL_DEC.2026'!$E:$E)</f>
        <v>0</v>
      </c>
      <c r="V41" s="43" t="n">
        <f aca="false">E41-U41</f>
        <v>0</v>
      </c>
      <c r="W41" s="43" t="n">
        <f aca="false">SUMIF('PL_DEC.2026'!$D:$D,$D41,'PL_DEC.2026'!$L:$L)</f>
        <v>0</v>
      </c>
      <c r="X41" s="43" t="n">
        <f aca="false">F41-W41</f>
        <v>0</v>
      </c>
    </row>
    <row r="42" customFormat="false" ht="13.5" hidden="false" customHeight="false" outlineLevel="0" collapsed="false">
      <c r="C42" s="45" t="s">
        <v>29</v>
      </c>
      <c r="D42" s="54" t="s">
        <v>282</v>
      </c>
      <c r="E42" s="71" t="n">
        <f aca="false">SUMIF(FS_map!$H:$H,$D42,FS_map!$M:$M)</f>
        <v>27029848823</v>
      </c>
      <c r="F42" s="71" t="n">
        <f aca="false">SUMIF(FS_map!$H:$H,$D42,FS_map!$P:$P)</f>
        <v>24660200591</v>
      </c>
      <c r="G42" s="71" t="n">
        <f aca="false">F42*12/9</f>
        <v>32880267454.6667</v>
      </c>
      <c r="H42" s="71" t="n">
        <f aca="false">SUMIF(WPL_2025YE!$D:$D,$D42,WPL_2025YE!$AI:$AI)</f>
        <v>51357142027</v>
      </c>
      <c r="I42" s="71" t="n">
        <f aca="false">G42-H42</f>
        <v>-18476874572.3333</v>
      </c>
      <c r="J42" s="72" t="n">
        <f aca="false">IFERROR(I42/H42,IF(I42&gt;0,100%,IF(I42=0,0,-100%)))</f>
        <v>-0.359772250617441</v>
      </c>
      <c r="K42" s="48" t="str">
        <f aca="false">IF(AND(ABS(I42)&gt;$J$5,ABS(J42)&gt;5%),"O","")</f>
        <v>O</v>
      </c>
      <c r="L42" s="49"/>
      <c r="M42" s="100" t="n">
        <f aca="false">E42-F42</f>
        <v>2369648232</v>
      </c>
      <c r="R42" s="123"/>
      <c r="U42" s="43" t="n">
        <f aca="false">SUMIF('PL_DEC.2026'!$D:$D,$D42,'PL_DEC.2026'!$E:$E)</f>
        <v>27029848823</v>
      </c>
      <c r="V42" s="43" t="n">
        <f aca="false">E42-U42</f>
        <v>0</v>
      </c>
      <c r="W42" s="43" t="n">
        <f aca="false">SUMIF('PL_DEC.2026'!$D:$D,$D42,'PL_DEC.2026'!$L:$L)</f>
        <v>24660200591</v>
      </c>
      <c r="X42" s="43" t="n">
        <f aca="false">F42-W42</f>
        <v>0</v>
      </c>
    </row>
    <row r="43" customFormat="false" ht="13.5" hidden="false" customHeight="false" outlineLevel="0" collapsed="false">
      <c r="C43" s="45" t="s">
        <v>32</v>
      </c>
      <c r="D43" s="54" t="s">
        <v>283</v>
      </c>
      <c r="E43" s="71" t="n">
        <f aca="false">SUMIF(FS_map!$H:$H,$D43,FS_map!$M:$M)</f>
        <v>2514418581</v>
      </c>
      <c r="F43" s="71" t="n">
        <f aca="false">SUMIF(FS_map!$H:$H,$D43,FS_map!$P:$P)</f>
        <v>2514418581</v>
      </c>
      <c r="G43" s="71" t="n">
        <f aca="false">F43*12/9</f>
        <v>3352558108</v>
      </c>
      <c r="H43" s="71" t="n">
        <f aca="false">SUMIF(WPL_2025YE!$D:$D,$D43,WPL_2025YE!$AI:$AI)</f>
        <v>3105838674</v>
      </c>
      <c r="I43" s="71" t="n">
        <f aca="false">G43-H43</f>
        <v>246719434</v>
      </c>
      <c r="J43" s="72" t="n">
        <f aca="false">IFERROR(I43/H43,IF(I43&gt;0,100%,IF(I43=0,0,-100%)))</f>
        <v>0.0794372985517148</v>
      </c>
      <c r="K43" s="48" t="str">
        <f aca="false">IF(AND(ABS(I43)&gt;$J$5,ABS(J43)&gt;5%),"O","")</f>
        <v/>
      </c>
      <c r="L43" s="50"/>
      <c r="M43" s="100" t="n">
        <f aca="false">E43-F43</f>
        <v>0</v>
      </c>
      <c r="R43" s="123"/>
      <c r="U43" s="43" t="n">
        <f aca="false">SUMIF('PL_DEC.2026'!$D:$D,$D43,'PL_DEC.2026'!$E:$E)</f>
        <v>2514418581</v>
      </c>
      <c r="V43" s="43" t="n">
        <f aca="false">E43-U43</f>
        <v>0</v>
      </c>
      <c r="W43" s="43" t="n">
        <f aca="false">SUMIF('PL_DEC.2026'!$D:$D,$D43,'PL_DEC.2026'!$L:$L)</f>
        <v>2514418581</v>
      </c>
      <c r="X43" s="43" t="n">
        <f aca="false">F43-W43</f>
        <v>0</v>
      </c>
    </row>
    <row r="44" customFormat="false" ht="13.5" hidden="false" customHeight="false" outlineLevel="0" collapsed="false">
      <c r="C44" s="45" t="s">
        <v>35</v>
      </c>
      <c r="D44" s="54" t="s">
        <v>284</v>
      </c>
      <c r="E44" s="71" t="n">
        <f aca="false">SUMIF(FS_map!$H:$H,$D44,FS_map!$M:$M)</f>
        <v>342470945</v>
      </c>
      <c r="F44" s="71" t="n">
        <f aca="false">SUMIF(FS_map!$H:$H,$D44,FS_map!$P:$P)</f>
        <v>9060981</v>
      </c>
      <c r="G44" s="71" t="n">
        <f aca="false">F44*12/9</f>
        <v>12081308</v>
      </c>
      <c r="H44" s="71" t="n">
        <f aca="false">SUMIF(WPL_2025YE!$D:$D,$D44,WPL_2025YE!$AI:$AI)</f>
        <v>238756591</v>
      </c>
      <c r="I44" s="71" t="n">
        <f aca="false">G44-H44</f>
        <v>-226675283</v>
      </c>
      <c r="J44" s="72" t="n">
        <f aca="false">IFERROR(I44/H44,IF(I44&gt;0,100%,IF(I44=0,0,-100%)))</f>
        <v>-0.949399059731088</v>
      </c>
      <c r="K44" s="48" t="str">
        <f aca="false">IF(AND(ABS(I44)&gt;$J$5,ABS(J44)&gt;5%),"O","")</f>
        <v/>
      </c>
      <c r="L44" s="49"/>
      <c r="M44" s="100" t="n">
        <f aca="false">E44-F44</f>
        <v>333409964</v>
      </c>
      <c r="R44" s="123"/>
      <c r="U44" s="43" t="n">
        <f aca="false">SUMIF('PL_DEC.2026'!$D:$D,$D44,'PL_DEC.2026'!$E:$E)</f>
        <v>342470945</v>
      </c>
      <c r="V44" s="43" t="n">
        <f aca="false">E44-U44</f>
        <v>0</v>
      </c>
      <c r="W44" s="43" t="n">
        <f aca="false">SUMIF('PL_DEC.2026'!$D:$D,$D44,'PL_DEC.2026'!$L:$L)</f>
        <v>9060981</v>
      </c>
      <c r="X44" s="43" t="n">
        <f aca="false">F44-W44</f>
        <v>0</v>
      </c>
    </row>
    <row r="45" customFormat="false" ht="13.5" hidden="false" customHeight="false" outlineLevel="0" collapsed="false">
      <c r="C45" s="45" t="s">
        <v>38</v>
      </c>
      <c r="D45" s="54" t="s">
        <v>285</v>
      </c>
      <c r="E45" s="71" t="n">
        <f aca="false">SUMIF(FS_map!$H:$H,$D45,FS_map!$M:$M)</f>
        <v>4660370448</v>
      </c>
      <c r="F45" s="71" t="n">
        <f aca="false">SUMIF(FS_map!$H:$H,$D45,FS_map!$P:$P)</f>
        <v>4310965187</v>
      </c>
      <c r="G45" s="71" t="n">
        <f aca="false">F45*12/9</f>
        <v>5747953582.66667</v>
      </c>
      <c r="H45" s="71" t="n">
        <f aca="false">SUMIF(WPL_2025YE!$D:$D,$D45,WPL_2025YE!$AI:$AI)</f>
        <v>5187361713</v>
      </c>
      <c r="I45" s="71" t="n">
        <f aca="false">G45-H45</f>
        <v>560591869.666667</v>
      </c>
      <c r="J45" s="72" t="n">
        <f aca="false">IFERROR(I45/H45,IF(I45&gt;0,100%,IF(I45=0,0,-100%)))</f>
        <v>0.10806878345533</v>
      </c>
      <c r="K45" s="48" t="str">
        <f aca="false">IF(AND(ABS(I45)&gt;$J$5,ABS(J45)&gt;5%),"O","")</f>
        <v/>
      </c>
      <c r="L45" s="50"/>
      <c r="M45" s="100" t="n">
        <f aca="false">E45-F45</f>
        <v>349405261</v>
      </c>
      <c r="R45" s="123"/>
      <c r="U45" s="43" t="n">
        <f aca="false">SUMIF('PL_DEC.2026'!$D:$D,$D45,'PL_DEC.2026'!$E:$E)</f>
        <v>4660370448</v>
      </c>
      <c r="V45" s="43" t="n">
        <f aca="false">E45-U45</f>
        <v>0</v>
      </c>
      <c r="W45" s="43" t="n">
        <f aca="false">SUMIF('PL_DEC.2026'!$D:$D,$D45,'PL_DEC.2026'!$L:$L)</f>
        <v>4310965187</v>
      </c>
      <c r="X45" s="43" t="n">
        <f aca="false">F45-W45</f>
        <v>0</v>
      </c>
    </row>
    <row r="46" customFormat="false" ht="13.5" hidden="false" customHeight="false" outlineLevel="0" collapsed="false">
      <c r="C46" s="45" t="s">
        <v>41</v>
      </c>
      <c r="D46" s="54" t="s">
        <v>286</v>
      </c>
      <c r="E46" s="71" t="n">
        <f aca="false">SUMIF(FS_map!$H:$H,$D46,FS_map!$M:$M)</f>
        <v>0</v>
      </c>
      <c r="F46" s="71" t="n">
        <f aca="false">SUMIF(FS_map!$H:$H,$D46,FS_map!$P:$P)</f>
        <v>0</v>
      </c>
      <c r="G46" s="71" t="n">
        <f aca="false">F46*12/9</f>
        <v>0</v>
      </c>
      <c r="H46" s="71" t="n">
        <f aca="false">SUMIF(WPL_2025YE!$D:$D,$D46,WPL_2025YE!$AI:$AI)</f>
        <v>0</v>
      </c>
      <c r="I46" s="71" t="n">
        <f aca="false">G46-H46</f>
        <v>0</v>
      </c>
      <c r="J46" s="72" t="n">
        <f aca="false">IFERROR(I46/H46,IF(I46&gt;0,100%,IF(I46=0,0,-100%)))</f>
        <v>0</v>
      </c>
      <c r="K46" s="48" t="str">
        <f aca="false">IF(AND(ABS(I46)&gt;$J$5,ABS(J46)&gt;5%),"O","")</f>
        <v/>
      </c>
      <c r="L46" s="50"/>
      <c r="M46" s="100" t="n">
        <f aca="false">E46-F46</f>
        <v>0</v>
      </c>
      <c r="U46" s="43" t="n">
        <f aca="false">SUMIF('PL_DEC.2026'!$D:$D,$D46,'PL_DEC.2026'!$E:$E)</f>
        <v>0</v>
      </c>
      <c r="V46" s="43" t="n">
        <f aca="false">E46-U46</f>
        <v>0</v>
      </c>
      <c r="W46" s="43" t="n">
        <f aca="false">SUMIF('PL_DEC.2026'!$D:$D,$D46,'PL_DEC.2026'!$L:$L)</f>
        <v>0</v>
      </c>
      <c r="X46" s="43" t="n">
        <f aca="false">F46-W46</f>
        <v>0</v>
      </c>
    </row>
    <row r="47" customFormat="false" ht="13.5" hidden="false" customHeight="false" outlineLevel="0" collapsed="false">
      <c r="C47" s="45" t="s">
        <v>44</v>
      </c>
      <c r="D47" s="54" t="s">
        <v>287</v>
      </c>
      <c r="E47" s="71" t="n">
        <f aca="false">SUMIF(FS_map!$H:$H,$D47,FS_map!$M:$M)</f>
        <v>0</v>
      </c>
      <c r="F47" s="71" t="n">
        <f aca="false">SUMIF(FS_map!$H:$H,$D47,FS_map!$P:$P)</f>
        <v>0</v>
      </c>
      <c r="G47" s="71" t="n">
        <f aca="false">F47*12/9</f>
        <v>0</v>
      </c>
      <c r="H47" s="71" t="n">
        <f aca="false">SUMIF(WPL_2025YE!$D:$D,$D47,WPL_2025YE!$AI:$AI)</f>
        <v>0</v>
      </c>
      <c r="I47" s="71" t="n">
        <f aca="false">G47-H47</f>
        <v>0</v>
      </c>
      <c r="J47" s="72" t="n">
        <f aca="false">IFERROR(I47/H47,IF(I47&gt;0,100%,IF(I47=0,0,-100%)))</f>
        <v>0</v>
      </c>
      <c r="K47" s="48" t="str">
        <f aca="false">IF(AND(ABS(I47)&gt;$J$5,ABS(J47)&gt;5%),"O","")</f>
        <v/>
      </c>
      <c r="L47" s="50"/>
      <c r="M47" s="100" t="n">
        <f aca="false">E47-F47</f>
        <v>0</v>
      </c>
      <c r="U47" s="43" t="n">
        <f aca="false">SUMIF('PL_DEC.2026'!$D:$D,$D47,'PL_DEC.2026'!$E:$E)</f>
        <v>0</v>
      </c>
      <c r="V47" s="43" t="n">
        <f aca="false">E47-U47</f>
        <v>0</v>
      </c>
      <c r="W47" s="43" t="n">
        <f aca="false">SUMIF('PL_DEC.2026'!$D:$D,$D47,'PL_DEC.2026'!$L:$L)</f>
        <v>0</v>
      </c>
      <c r="X47" s="43" t="n">
        <f aca="false">F47-W47</f>
        <v>0</v>
      </c>
    </row>
    <row r="48" customFormat="false" ht="13.5" hidden="false" customHeight="false" outlineLevel="0" collapsed="false">
      <c r="C48" s="45" t="s">
        <v>288</v>
      </c>
      <c r="D48" s="36"/>
      <c r="E48" s="126" t="n">
        <f aca="false">SUM(E49:E73)</f>
        <v>39594273490</v>
      </c>
      <c r="F48" s="126" t="n">
        <f aca="false">SUM(F49:F73)</f>
        <v>21909881760</v>
      </c>
      <c r="G48" s="126" t="n">
        <f aca="false">F48*12/9</f>
        <v>29213175680</v>
      </c>
      <c r="H48" s="126" t="n">
        <f aca="false">SUM(H49:H73)</f>
        <v>30344515612</v>
      </c>
      <c r="I48" s="126" t="n">
        <f aca="false">G48-H48</f>
        <v>-1131339932</v>
      </c>
      <c r="J48" s="127" t="n">
        <f aca="false">IFERROR(I48/H48,IF(I48&gt;0,100%,IF(I48=0,0,-100%)))</f>
        <v>-0.0372831765207879</v>
      </c>
      <c r="K48" s="128" t="str">
        <f aca="false">IF(AND(ABS(I48)&gt;$J$5,ABS(J48)&gt;5%),"O","")</f>
        <v/>
      </c>
      <c r="L48" s="129"/>
      <c r="M48" s="100" t="n">
        <f aca="false">E48-F48</f>
        <v>17684391730</v>
      </c>
      <c r="U48" s="43" t="n">
        <f aca="false">SUM(U49:U73)</f>
        <v>39594273490</v>
      </c>
      <c r="V48" s="43" t="n">
        <f aca="false">E48-U48</f>
        <v>0</v>
      </c>
      <c r="W48" s="43" t="n">
        <f aca="false">SUM(W49:W73)</f>
        <v>21909881760</v>
      </c>
      <c r="X48" s="43" t="n">
        <f aca="false">F48-W48</f>
        <v>0</v>
      </c>
    </row>
    <row r="49" customFormat="false" ht="13.5" hidden="false" customHeight="false" outlineLevel="0" collapsed="false">
      <c r="C49" s="45" t="s">
        <v>26</v>
      </c>
      <c r="D49" s="54" t="s">
        <v>289</v>
      </c>
      <c r="E49" s="71" t="n">
        <f aca="false">SUMIF(FS_map!$H:$H,$D49,FS_map!$M:$M)</f>
        <v>2631063371</v>
      </c>
      <c r="F49" s="71" t="n">
        <f aca="false">SUMIF(FS_map!$H:$H,$D49,FS_map!$P:$P)</f>
        <v>2475705734</v>
      </c>
      <c r="G49" s="71" t="n">
        <f aca="false">F49*12/9</f>
        <v>3300940978.66667</v>
      </c>
      <c r="H49" s="71" t="n">
        <f aca="false">SUMIF(WPL_2025YE!$D:$D,$D49,WPL_2025YE!$AI:$AI)</f>
        <v>3449415516</v>
      </c>
      <c r="I49" s="71" t="n">
        <f aca="false">G49-H49</f>
        <v>-148474537.333334</v>
      </c>
      <c r="J49" s="72" t="n">
        <f aca="false">IFERROR(I49/H49,IF(I49&gt;0,100%,IF(I49=0,0,-100%)))</f>
        <v>-0.0430433900017668</v>
      </c>
      <c r="K49" s="48" t="str">
        <f aca="false">IF(AND(ABS(I49)&gt;$J$5,ABS(J49)&gt;5%),"O","")</f>
        <v/>
      </c>
      <c r="L49" s="50"/>
      <c r="M49" s="100" t="n">
        <f aca="false">E49-F49</f>
        <v>155357637</v>
      </c>
      <c r="U49" s="43" t="n">
        <f aca="false">SUMIF('PL_DEC.2026'!$D:$D,$D49,'PL_DEC.2026'!$E:$E)</f>
        <v>2631063371</v>
      </c>
      <c r="V49" s="43" t="n">
        <f aca="false">E49-U49</f>
        <v>0</v>
      </c>
      <c r="W49" s="43" t="n">
        <f aca="false">SUMIF('PL_DEC.2026'!$D:$D,$D49,'PL_DEC.2026'!$L:$L)</f>
        <v>2475705734</v>
      </c>
      <c r="X49" s="43" t="n">
        <f aca="false">F49-W49</f>
        <v>0</v>
      </c>
    </row>
    <row r="50" customFormat="false" ht="13.5" hidden="false" customHeight="false" outlineLevel="0" collapsed="false">
      <c r="C50" s="45" t="s">
        <v>29</v>
      </c>
      <c r="D50" s="54" t="s">
        <v>290</v>
      </c>
      <c r="E50" s="71" t="n">
        <f aca="false">SUMIF(FS_map!$H:$H,$D50,FS_map!$M:$M)</f>
        <v>3180643883</v>
      </c>
      <c r="F50" s="71" t="n">
        <f aca="false">SUMIF(FS_map!$H:$H,$D50,FS_map!$P:$P)</f>
        <v>3052418493</v>
      </c>
      <c r="G50" s="71" t="n">
        <f aca="false">F50*12/9</f>
        <v>4069891324</v>
      </c>
      <c r="H50" s="71" t="n">
        <f aca="false">SUMIF(WPL_2025YE!$D:$D,$D50,WPL_2025YE!$AI:$AI)</f>
        <v>4880498630</v>
      </c>
      <c r="I50" s="71" t="n">
        <f aca="false">G50-H50</f>
        <v>-810607306</v>
      </c>
      <c r="J50" s="72" t="n">
        <f aca="false">IFERROR(I50/H50,IF(I50&gt;0,100%,IF(I50=0,0,-100%)))</f>
        <v>-0.166091083607168</v>
      </c>
      <c r="K50" s="48" t="str">
        <f aca="false">IF(AND(ABS(I50)&gt;$J$5,ABS(J50)&gt;5%),"O","")</f>
        <v/>
      </c>
      <c r="L50" s="50"/>
      <c r="M50" s="100" t="n">
        <f aca="false">E50-F50</f>
        <v>128225390</v>
      </c>
      <c r="U50" s="43" t="n">
        <f aca="false">SUMIF('PL_DEC.2026'!$D:$D,$D50,'PL_DEC.2026'!$E:$E)</f>
        <v>3180643883</v>
      </c>
      <c r="V50" s="43" t="n">
        <f aca="false">E50-U50</f>
        <v>0</v>
      </c>
      <c r="W50" s="43" t="n">
        <f aca="false">SUMIF('PL_DEC.2026'!$D:$D,$D50,'PL_DEC.2026'!$L:$L)</f>
        <v>3052418493</v>
      </c>
      <c r="X50" s="43" t="n">
        <f aca="false">F50-W50</f>
        <v>0</v>
      </c>
    </row>
    <row r="51" customFormat="false" ht="13.5" hidden="false" customHeight="false" outlineLevel="0" collapsed="false">
      <c r="C51" s="45" t="s">
        <v>32</v>
      </c>
      <c r="D51" s="54" t="s">
        <v>291</v>
      </c>
      <c r="E51" s="71" t="n">
        <f aca="false">SUMIF(FS_map!$H:$H,$D51,FS_map!$M:$M)</f>
        <v>286038515</v>
      </c>
      <c r="F51" s="71" t="n">
        <f aca="false">SUMIF(FS_map!$H:$H,$D51,FS_map!$P:$P)</f>
        <v>271017893</v>
      </c>
      <c r="G51" s="71" t="n">
        <f aca="false">F51*12/9</f>
        <v>361357190.666667</v>
      </c>
      <c r="H51" s="71" t="n">
        <f aca="false">SUMIF(WPL_2025YE!$D:$D,$D51,WPL_2025YE!$AI:$AI)</f>
        <v>376080533</v>
      </c>
      <c r="I51" s="71" t="n">
        <f aca="false">G51-H51</f>
        <v>-14723342.3333333</v>
      </c>
      <c r="J51" s="72" t="n">
        <f aca="false">IFERROR(I51/H51,IF(I51&gt;0,100%,IF(I51=0,0,-100%)))</f>
        <v>-0.0391494401900704</v>
      </c>
      <c r="K51" s="48" t="str">
        <f aca="false">IF(AND(ABS(I51)&gt;$J$5,ABS(J51)&gt;5%),"O","")</f>
        <v/>
      </c>
      <c r="L51" s="50"/>
      <c r="M51" s="100" t="n">
        <f aca="false">E51-F51</f>
        <v>15020622</v>
      </c>
      <c r="U51" s="43" t="n">
        <f aca="false">SUMIF('PL_DEC.2026'!$D:$D,$D51,'PL_DEC.2026'!$E:$E)</f>
        <v>286038515</v>
      </c>
      <c r="V51" s="43" t="n">
        <f aca="false">E51-U51</f>
        <v>0</v>
      </c>
      <c r="W51" s="43" t="n">
        <f aca="false">SUMIF('PL_DEC.2026'!$D:$D,$D51,'PL_DEC.2026'!$L:$L)</f>
        <v>271017893</v>
      </c>
      <c r="X51" s="43" t="n">
        <f aca="false">F51-W51</f>
        <v>0</v>
      </c>
    </row>
    <row r="52" customFormat="false" ht="13.5" hidden="false" customHeight="false" outlineLevel="0" collapsed="false">
      <c r="C52" s="45" t="s">
        <v>35</v>
      </c>
      <c r="D52" s="54" t="s">
        <v>292</v>
      </c>
      <c r="E52" s="71" t="n">
        <f aca="false">SUMIF(FS_map!$H:$H,$D52,FS_map!$M:$M)</f>
        <v>52610582</v>
      </c>
      <c r="F52" s="71" t="n">
        <f aca="false">SUMIF(FS_map!$H:$H,$D52,FS_map!$P:$P)</f>
        <v>34644206</v>
      </c>
      <c r="G52" s="71" t="n">
        <f aca="false">F52*12/9</f>
        <v>46192274.6666667</v>
      </c>
      <c r="H52" s="71" t="n">
        <f aca="false">SUMIF(WPL_2025YE!$D:$D,$D52,WPL_2025YE!$AI:$AI)</f>
        <v>88805964</v>
      </c>
      <c r="I52" s="71" t="n">
        <f aca="false">G52-H52</f>
        <v>-42613689.3333333</v>
      </c>
      <c r="J52" s="72" t="n">
        <f aca="false">IFERROR(I52/H52,IF(I52&gt;0,100%,IF(I52=0,0,-100%)))</f>
        <v>-0.479851661013818</v>
      </c>
      <c r="K52" s="48" t="str">
        <f aca="false">IF(AND(ABS(I52)&gt;$J$5,ABS(J52)&gt;5%),"O","")</f>
        <v/>
      </c>
      <c r="L52" s="50"/>
      <c r="M52" s="100" t="n">
        <f aca="false">E52-F52</f>
        <v>17966376</v>
      </c>
      <c r="U52" s="43" t="n">
        <f aca="false">SUMIF('PL_DEC.2026'!$D:$D,$D52,'PL_DEC.2026'!$E:$E)</f>
        <v>52610582</v>
      </c>
      <c r="V52" s="43" t="n">
        <f aca="false">E52-U52</f>
        <v>0</v>
      </c>
      <c r="W52" s="43" t="n">
        <f aca="false">SUMIF('PL_DEC.2026'!$D:$D,$D52,'PL_DEC.2026'!$L:$L)</f>
        <v>34644206</v>
      </c>
      <c r="X52" s="43" t="n">
        <f aca="false">F52-W52</f>
        <v>0</v>
      </c>
    </row>
    <row r="53" customFormat="false" ht="13.5" hidden="false" customHeight="false" outlineLevel="0" collapsed="false">
      <c r="C53" s="45" t="s">
        <v>38</v>
      </c>
      <c r="D53" s="54" t="s">
        <v>293</v>
      </c>
      <c r="E53" s="71" t="n">
        <f aca="false">SUMIF(FS_map!$H:$H,$D53,FS_map!$M:$M)</f>
        <v>473528691</v>
      </c>
      <c r="F53" s="71" t="n">
        <f aca="false">SUMIF(FS_map!$H:$H,$D53,FS_map!$P:$P)</f>
        <v>473055604</v>
      </c>
      <c r="G53" s="71" t="n">
        <f aca="false">F53*12/9</f>
        <v>630740805.333333</v>
      </c>
      <c r="H53" s="71" t="n">
        <f aca="false">SUMIF(WPL_2025YE!$D:$D,$D53,WPL_2025YE!$AI:$AI)</f>
        <v>327254962</v>
      </c>
      <c r="I53" s="71" t="n">
        <f aca="false">G53-H53</f>
        <v>303485843.333333</v>
      </c>
      <c r="J53" s="72" t="n">
        <f aca="false">IFERROR(I53/H53,IF(I53&gt;0,100%,IF(I53=0,0,-100%)))</f>
        <v>0.927368194751264</v>
      </c>
      <c r="K53" s="48" t="str">
        <f aca="false">IF(AND(ABS(I53)&gt;$J$5,ABS(J53)&gt;5%),"O","")</f>
        <v/>
      </c>
      <c r="L53" s="50"/>
      <c r="M53" s="100" t="n">
        <f aca="false">E53-F53</f>
        <v>473087</v>
      </c>
      <c r="U53" s="43" t="n">
        <f aca="false">SUMIF('PL_DEC.2026'!$D:$D,$D53,'PL_DEC.2026'!$E:$E)</f>
        <v>473528691</v>
      </c>
      <c r="V53" s="43" t="n">
        <f aca="false">E53-U53</f>
        <v>0</v>
      </c>
      <c r="W53" s="43" t="n">
        <f aca="false">SUMIF('PL_DEC.2026'!$D:$D,$D53,'PL_DEC.2026'!$L:$L)</f>
        <v>473055604</v>
      </c>
      <c r="X53" s="43" t="n">
        <f aca="false">F53-W53</f>
        <v>0</v>
      </c>
    </row>
    <row r="54" customFormat="false" ht="13.5" hidden="false" customHeight="false" outlineLevel="0" collapsed="false">
      <c r="C54" s="45" t="s">
        <v>41</v>
      </c>
      <c r="D54" s="54" t="s">
        <v>294</v>
      </c>
      <c r="E54" s="71" t="n">
        <f aca="false">SUMIF(FS_map!$H:$H,$D54,FS_map!$M:$M)</f>
        <v>1596899456</v>
      </c>
      <c r="F54" s="71" t="n">
        <f aca="false">SUMIF(FS_map!$H:$H,$D54,FS_map!$P:$P)</f>
        <v>1596899456</v>
      </c>
      <c r="G54" s="71" t="n">
        <f aca="false">F54*12/9</f>
        <v>2129199274.66667</v>
      </c>
      <c r="H54" s="71" t="n">
        <f aca="false">SUMIF(WPL_2025YE!$D:$D,$D54,WPL_2025YE!$AI:$AI)</f>
        <v>1464303590</v>
      </c>
      <c r="I54" s="71" t="n">
        <f aca="false">G54-H54</f>
        <v>664895684.666667</v>
      </c>
      <c r="J54" s="72" t="n">
        <f aca="false">IFERROR(I54/H54,IF(I54&gt;0,100%,IF(I54=0,0,-100%)))</f>
        <v>0.454069558531006</v>
      </c>
      <c r="K54" s="48" t="str">
        <f aca="false">IF(AND(ABS(I54)&gt;$J$5,ABS(J54)&gt;5%),"O","")</f>
        <v/>
      </c>
      <c r="L54" s="49"/>
      <c r="M54" s="100" t="n">
        <f aca="false">E54-F54</f>
        <v>0</v>
      </c>
      <c r="U54" s="43" t="n">
        <f aca="false">SUMIF('PL_DEC.2026'!$D:$D,$D54,'PL_DEC.2026'!$E:$E)</f>
        <v>1596899456</v>
      </c>
      <c r="V54" s="43" t="n">
        <f aca="false">E54-U54</f>
        <v>0</v>
      </c>
      <c r="W54" s="43" t="n">
        <f aca="false">SUMIF('PL_DEC.2026'!$D:$D,$D54,'PL_DEC.2026'!$L:$L)</f>
        <v>1596899456</v>
      </c>
      <c r="X54" s="43" t="n">
        <f aca="false">F54-W54</f>
        <v>0</v>
      </c>
    </row>
    <row r="55" customFormat="false" ht="13.5" hidden="false" customHeight="false" outlineLevel="0" collapsed="false">
      <c r="C55" s="45" t="s">
        <v>44</v>
      </c>
      <c r="D55" s="54" t="s">
        <v>295</v>
      </c>
      <c r="E55" s="71" t="n">
        <f aca="false">SUMIF(FS_map!$H:$H,$D55,FS_map!$M:$M)</f>
        <v>0</v>
      </c>
      <c r="F55" s="71" t="n">
        <f aca="false">SUMIF(FS_map!$H:$H,$D55,FS_map!$P:$P)</f>
        <v>0</v>
      </c>
      <c r="G55" s="71" t="n">
        <f aca="false">F55*12/9</f>
        <v>0</v>
      </c>
      <c r="H55" s="71" t="n">
        <f aca="false">SUMIF(WPL_2025YE!$D:$D,$D55,WPL_2025YE!$AI:$AI)</f>
        <v>0</v>
      </c>
      <c r="I55" s="71" t="n">
        <f aca="false">G55-H55</f>
        <v>0</v>
      </c>
      <c r="J55" s="72" t="n">
        <f aca="false">IFERROR(I55/H55,IF(I55&gt;0,100%,IF(I55=0,0,-100%)))</f>
        <v>0</v>
      </c>
      <c r="K55" s="48" t="str">
        <f aca="false">IF(AND(ABS(I55)&gt;$J$5,ABS(J55)&gt;5%),"O","")</f>
        <v/>
      </c>
      <c r="L55" s="50"/>
      <c r="M55" s="100" t="n">
        <f aca="false">E55-F55</f>
        <v>0</v>
      </c>
      <c r="U55" s="43" t="n">
        <f aca="false">SUMIF('PL_DEC.2026'!$D:$D,$D55,'PL_DEC.2026'!$E:$E)</f>
        <v>0</v>
      </c>
      <c r="V55" s="43" t="n">
        <f aca="false">E55-U55</f>
        <v>0</v>
      </c>
      <c r="W55" s="43" t="n">
        <f aca="false">SUMIF('PL_DEC.2026'!$D:$D,$D55,'PL_DEC.2026'!$L:$L)</f>
        <v>0</v>
      </c>
      <c r="X55" s="43" t="n">
        <f aca="false">F55-W55</f>
        <v>0</v>
      </c>
    </row>
    <row r="56" customFormat="false" ht="13.5" hidden="false" customHeight="false" outlineLevel="0" collapsed="false">
      <c r="C56" s="45" t="s">
        <v>47</v>
      </c>
      <c r="D56" s="54" t="s">
        <v>296</v>
      </c>
      <c r="E56" s="71" t="n">
        <f aca="false">SUMIF(FS_map!$H:$H,$D56,FS_map!$M:$M)</f>
        <v>71728174</v>
      </c>
      <c r="F56" s="71" t="n">
        <f aca="false">SUMIF(FS_map!$H:$H,$D56,FS_map!$P:$P)</f>
        <v>71728174</v>
      </c>
      <c r="G56" s="71" t="n">
        <f aca="false">F56*12/9</f>
        <v>95637565.3333333</v>
      </c>
      <c r="H56" s="71" t="n">
        <f aca="false">SUMIF(WPL_2025YE!$D:$D,$D56,WPL_2025YE!$AI:$AI)</f>
        <v>96139930</v>
      </c>
      <c r="I56" s="71" t="n">
        <f aca="false">G56-H56</f>
        <v>-502364.666666672</v>
      </c>
      <c r="J56" s="72" t="n">
        <f aca="false">IFERROR(I56/H56,IF(I56&gt;0,100%,IF(I56=0,0,-100%)))</f>
        <v>-0.00522534878761272</v>
      </c>
      <c r="K56" s="48" t="str">
        <f aca="false">IF(AND(ABS(I56)&gt;$J$5,ABS(J56)&gt;5%),"O","")</f>
        <v/>
      </c>
      <c r="L56" s="50"/>
      <c r="M56" s="100" t="n">
        <f aca="false">E56-F56</f>
        <v>0</v>
      </c>
      <c r="U56" s="43" t="n">
        <f aca="false">SUMIF('PL_DEC.2026'!$D:$D,$D56,'PL_DEC.2026'!$E:$E)</f>
        <v>71728174</v>
      </c>
      <c r="V56" s="43" t="n">
        <f aca="false">E56-U56</f>
        <v>0</v>
      </c>
      <c r="W56" s="43" t="n">
        <f aca="false">SUMIF('PL_DEC.2026'!$D:$D,$D56,'PL_DEC.2026'!$L:$L)</f>
        <v>71728174</v>
      </c>
      <c r="X56" s="43" t="n">
        <f aca="false">F56-W56</f>
        <v>0</v>
      </c>
    </row>
    <row r="57" customFormat="false" ht="13.5" hidden="false" customHeight="false" outlineLevel="0" collapsed="false">
      <c r="C57" s="45" t="s">
        <v>50</v>
      </c>
      <c r="D57" s="54" t="s">
        <v>297</v>
      </c>
      <c r="E57" s="71" t="n">
        <f aca="false">SUMIF(FS_map!$H:$H,$D57,FS_map!$M:$M)</f>
        <v>16172820</v>
      </c>
      <c r="F57" s="71" t="n">
        <f aca="false">SUMIF(FS_map!$H:$H,$D57,FS_map!$P:$P)</f>
        <v>16172820</v>
      </c>
      <c r="G57" s="71" t="n">
        <f aca="false">F57*12/9</f>
        <v>21563760</v>
      </c>
      <c r="H57" s="71" t="n">
        <f aca="false">SUMIF(WPL_2025YE!$D:$D,$D57,WPL_2025YE!$AI:$AI)</f>
        <v>26593320</v>
      </c>
      <c r="I57" s="71" t="n">
        <f aca="false">G57-H57</f>
        <v>-5029560</v>
      </c>
      <c r="J57" s="72" t="n">
        <f aca="false">IFERROR(I57/H57,IF(I57&gt;0,100%,IF(I57=0,0,-100%)))</f>
        <v>-0.189128698485184</v>
      </c>
      <c r="K57" s="48" t="str">
        <f aca="false">IF(AND(ABS(I57)&gt;$J$5,ABS(J57)&gt;5%),"O","")</f>
        <v/>
      </c>
      <c r="L57" s="50"/>
      <c r="M57" s="100" t="n">
        <f aca="false">E57-F57</f>
        <v>0</v>
      </c>
      <c r="U57" s="43" t="n">
        <f aca="false">SUMIF('PL_DEC.2026'!$D:$D,$D57,'PL_DEC.2026'!$E:$E)</f>
        <v>16172820</v>
      </c>
      <c r="V57" s="43" t="n">
        <f aca="false">E57-U57</f>
        <v>0</v>
      </c>
      <c r="W57" s="43" t="n">
        <f aca="false">SUMIF('PL_DEC.2026'!$D:$D,$D57,'PL_DEC.2026'!$L:$L)</f>
        <v>16172820</v>
      </c>
      <c r="X57" s="43" t="n">
        <f aca="false">F57-W57</f>
        <v>0</v>
      </c>
    </row>
    <row r="58" customFormat="false" ht="13.5" hidden="false" customHeight="false" outlineLevel="0" collapsed="false">
      <c r="C58" s="45" t="s">
        <v>53</v>
      </c>
      <c r="D58" s="54" t="s">
        <v>298</v>
      </c>
      <c r="E58" s="71" t="n">
        <f aca="false">SUMIF(FS_map!$H:$H,$D58,FS_map!$M:$M)</f>
        <v>0</v>
      </c>
      <c r="F58" s="71" t="n">
        <f aca="false">SUMIF(FS_map!$H:$H,$D58,FS_map!$P:$P)</f>
        <v>0</v>
      </c>
      <c r="G58" s="71" t="n">
        <f aca="false">F58*12/9</f>
        <v>0</v>
      </c>
      <c r="H58" s="71" t="n">
        <f aca="false">SUMIF(WPL_2025YE!$D:$D,$D58,WPL_2025YE!$AI:$AI)</f>
        <v>0</v>
      </c>
      <c r="I58" s="71" t="n">
        <f aca="false">G58-H58</f>
        <v>0</v>
      </c>
      <c r="J58" s="72" t="n">
        <f aca="false">IFERROR(I58/H58,IF(I58&gt;0,100%,IF(I58=0,0,-100%)))</f>
        <v>0</v>
      </c>
      <c r="K58" s="48" t="str">
        <f aca="false">IF(AND(ABS(I58)&gt;$J$5,ABS(J58)&gt;5%),"O","")</f>
        <v/>
      </c>
      <c r="L58" s="50"/>
      <c r="M58" s="100" t="n">
        <f aca="false">E58-F58</f>
        <v>0</v>
      </c>
      <c r="U58" s="43" t="n">
        <f aca="false">SUMIF('PL_DEC.2026'!$D:$D,$D58,'PL_DEC.2026'!$E:$E)</f>
        <v>0</v>
      </c>
      <c r="V58" s="43" t="n">
        <f aca="false">E58-U58</f>
        <v>0</v>
      </c>
      <c r="W58" s="43" t="n">
        <f aca="false">SUMIF('PL_DEC.2026'!$D:$D,$D58,'PL_DEC.2026'!$L:$L)</f>
        <v>0</v>
      </c>
      <c r="X58" s="43" t="n">
        <f aca="false">F58-W58</f>
        <v>0</v>
      </c>
    </row>
    <row r="59" customFormat="false" ht="13.5" hidden="false" customHeight="false" outlineLevel="0" collapsed="false">
      <c r="C59" s="45" t="s">
        <v>56</v>
      </c>
      <c r="D59" s="54" t="s">
        <v>299</v>
      </c>
      <c r="E59" s="71" t="n">
        <f aca="false">SUMIF(FS_map!$H:$H,$D59,FS_map!$M:$M)</f>
        <v>14049051551</v>
      </c>
      <c r="F59" s="71" t="n">
        <f aca="false">SUMIF(FS_map!$H:$H,$D59,FS_map!$P:$P)</f>
        <v>13987368867</v>
      </c>
      <c r="G59" s="71" t="n">
        <f aca="false">F59*12/9</f>
        <v>18649825156</v>
      </c>
      <c r="H59" s="71" t="n">
        <f aca="false">SUMIF(WPL_2025YE!$D:$D,$D59,WPL_2025YE!$AI:$AI)</f>
        <v>10883770009</v>
      </c>
      <c r="I59" s="71" t="n">
        <f aca="false">G59-H59</f>
        <v>7766055147</v>
      </c>
      <c r="J59" s="72" t="n">
        <f aca="false">IFERROR(I59/H59,IF(I59&gt;0,100%,IF(I59=0,0,-100%)))</f>
        <v>0.713544584328601</v>
      </c>
      <c r="K59" s="48" t="str">
        <f aca="false">IF(AND(ABS(I59)&gt;$J$5,ABS(J59)&gt;5%),"O","")</f>
        <v>O</v>
      </c>
      <c r="L59" s="52"/>
      <c r="M59" s="100" t="n">
        <f aca="false">E59-F59</f>
        <v>61682684</v>
      </c>
      <c r="U59" s="43" t="n">
        <f aca="false">SUMIF('PL_DEC.2026'!$D:$D,$D59,'PL_DEC.2026'!$E:$E)</f>
        <v>14049051551</v>
      </c>
      <c r="V59" s="43" t="n">
        <f aca="false">E59-U59</f>
        <v>0</v>
      </c>
      <c r="W59" s="43" t="n">
        <f aca="false">SUMIF('PL_DEC.2026'!$D:$D,$D59,'PL_DEC.2026'!$L:$L)</f>
        <v>13987368867</v>
      </c>
      <c r="X59" s="43" t="n">
        <f aca="false">F59-W59</f>
        <v>0</v>
      </c>
    </row>
    <row r="60" customFormat="false" ht="13.5" hidden="false" customHeight="false" outlineLevel="0" collapsed="false">
      <c r="C60" s="45" t="s">
        <v>59</v>
      </c>
      <c r="D60" s="54" t="s">
        <v>300</v>
      </c>
      <c r="E60" s="71" t="n">
        <f aca="false">SUMIF(FS_map!$H:$H,$D60,FS_map!$M:$M)</f>
        <v>1609276386</v>
      </c>
      <c r="F60" s="71" t="n">
        <f aca="false">SUMIF(FS_map!$H:$H,$D60,FS_map!$P:$P)</f>
        <v>1609276386</v>
      </c>
      <c r="G60" s="71" t="n">
        <f aca="false">F60*12/9</f>
        <v>2145701848</v>
      </c>
      <c r="H60" s="71" t="n">
        <f aca="false">SUMIF(WPL_2025YE!$D:$D,$D60,WPL_2025YE!$AI:$AI)</f>
        <v>2776269144</v>
      </c>
      <c r="I60" s="71" t="n">
        <f aca="false">G60-H60</f>
        <v>-630567296</v>
      </c>
      <c r="J60" s="72" t="n">
        <f aca="false">IFERROR(I60/H60,IF(I60&gt;0,100%,IF(I60=0,0,-100%)))</f>
        <v>-0.227127581402821</v>
      </c>
      <c r="K60" s="48" t="str">
        <f aca="false">IF(AND(ABS(I60)&gt;$J$5,ABS(J60)&gt;5%),"O","")</f>
        <v/>
      </c>
      <c r="L60" s="50"/>
      <c r="M60" s="100" t="n">
        <f aca="false">E60-F60</f>
        <v>0</v>
      </c>
      <c r="U60" s="43" t="n">
        <f aca="false">SUMIF('PL_DEC.2026'!$D:$D,$D60,'PL_DEC.2026'!$E:$E)</f>
        <v>1609276386</v>
      </c>
      <c r="V60" s="43" t="n">
        <f aca="false">E60-U60</f>
        <v>0</v>
      </c>
      <c r="W60" s="43" t="n">
        <f aca="false">SUMIF('PL_DEC.2026'!$D:$D,$D60,'PL_DEC.2026'!$L:$L)</f>
        <v>1609276386</v>
      </c>
      <c r="X60" s="43" t="n">
        <f aca="false">F60-W60</f>
        <v>0</v>
      </c>
    </row>
    <row r="61" customFormat="false" ht="13.5" hidden="false" customHeight="false" outlineLevel="0" collapsed="false">
      <c r="C61" s="45" t="s">
        <v>182</v>
      </c>
      <c r="D61" s="54" t="s">
        <v>301</v>
      </c>
      <c r="E61" s="71" t="n">
        <f aca="false">SUMIF(FS_map!$H:$H,$D61,FS_map!$M:$M)</f>
        <v>417021348</v>
      </c>
      <c r="F61" s="71" t="n">
        <f aca="false">SUMIF(FS_map!$H:$H,$D61,FS_map!$P:$P)</f>
        <v>409977159</v>
      </c>
      <c r="G61" s="71" t="n">
        <f aca="false">F61*12/9</f>
        <v>546636212</v>
      </c>
      <c r="H61" s="71" t="n">
        <f aca="false">SUMIF(WPL_2025YE!$D:$D,$D61,WPL_2025YE!$AI:$AI)</f>
        <v>799707733</v>
      </c>
      <c r="I61" s="71" t="n">
        <f aca="false">G61-H61</f>
        <v>-253071521</v>
      </c>
      <c r="J61" s="72" t="n">
        <f aca="false">IFERROR(I61/H61,IF(I61&gt;0,100%,IF(I61=0,0,-100%)))</f>
        <v>-0.316455012946586</v>
      </c>
      <c r="K61" s="48" t="str">
        <f aca="false">IF(AND(ABS(I61)&gt;$J$5,ABS(J61)&gt;5%),"O","")</f>
        <v/>
      </c>
      <c r="L61" s="50"/>
      <c r="M61" s="100" t="n">
        <f aca="false">E61-F61</f>
        <v>7044189</v>
      </c>
      <c r="U61" s="43" t="n">
        <f aca="false">SUMIF('PL_DEC.2026'!$D:$D,$D61,'PL_DEC.2026'!$E:$E)</f>
        <v>417021348</v>
      </c>
      <c r="V61" s="43" t="n">
        <f aca="false">E61-U61</f>
        <v>0</v>
      </c>
      <c r="W61" s="43" t="n">
        <f aca="false">SUMIF('PL_DEC.2026'!$D:$D,$D61,'PL_DEC.2026'!$L:$L)</f>
        <v>409977159</v>
      </c>
      <c r="X61" s="43" t="n">
        <f aca="false">F61-W61</f>
        <v>0</v>
      </c>
    </row>
    <row r="62" customFormat="false" ht="13.5" hidden="false" customHeight="false" outlineLevel="0" collapsed="false">
      <c r="C62" s="45" t="s">
        <v>302</v>
      </c>
      <c r="D62" s="54" t="s">
        <v>303</v>
      </c>
      <c r="E62" s="71" t="n">
        <f aca="false">SUMIF(FS_map!$H:$H,$D62,FS_map!$M:$M)</f>
        <v>0</v>
      </c>
      <c r="F62" s="71" t="n">
        <f aca="false">SUMIF(FS_map!$H:$H,$D62,FS_map!$P:$P)</f>
        <v>0</v>
      </c>
      <c r="G62" s="71" t="n">
        <f aca="false">F62*12/9</f>
        <v>0</v>
      </c>
      <c r="H62" s="71" t="n">
        <f aca="false">SUMIF(WPL_2025YE!$D:$D,$D62,WPL_2025YE!$AI:$AI)</f>
        <v>0</v>
      </c>
      <c r="I62" s="71" t="n">
        <f aca="false">G62-H62</f>
        <v>0</v>
      </c>
      <c r="J62" s="72" t="n">
        <f aca="false">IFERROR(I62/H62,IF(I62&gt;0,100%,IF(I62=0,0,-100%)))</f>
        <v>0</v>
      </c>
      <c r="K62" s="48" t="str">
        <f aca="false">IF(AND(ABS(I62)&gt;$J$5,ABS(J62)&gt;5%),"O","")</f>
        <v/>
      </c>
      <c r="L62" s="50"/>
      <c r="M62" s="100" t="n">
        <f aca="false">E62-F62</f>
        <v>0</v>
      </c>
      <c r="U62" s="43" t="n">
        <f aca="false">SUMIF('PL_DEC.2026'!$D:$D,$D62,'PL_DEC.2026'!$E:$E)</f>
        <v>0</v>
      </c>
      <c r="V62" s="43" t="n">
        <f aca="false">E62-U62</f>
        <v>0</v>
      </c>
      <c r="W62" s="43" t="n">
        <f aca="false">SUMIF('PL_DEC.2026'!$D:$D,$D62,'PL_DEC.2026'!$L:$L)</f>
        <v>0</v>
      </c>
      <c r="X62" s="43" t="n">
        <f aca="false">F62-W62</f>
        <v>0</v>
      </c>
    </row>
    <row r="63" customFormat="false" ht="13.5" hidden="false" customHeight="false" outlineLevel="0" collapsed="false">
      <c r="C63" s="45" t="s">
        <v>304</v>
      </c>
      <c r="D63" s="54" t="s">
        <v>305</v>
      </c>
      <c r="E63" s="71" t="n">
        <f aca="false">SUMIF(FS_map!$H:$H,$D63,FS_map!$M:$M)</f>
        <v>274311</v>
      </c>
      <c r="F63" s="71" t="n">
        <f aca="false">SUMIF(FS_map!$H:$H,$D63,FS_map!$P:$P)</f>
        <v>274311</v>
      </c>
      <c r="G63" s="71" t="n">
        <f aca="false">F63*12/9</f>
        <v>365748</v>
      </c>
      <c r="H63" s="71" t="n">
        <f aca="false">SUMIF(WPL_2025YE!$D:$D,$D63,WPL_2025YE!$AI:$AI)</f>
        <v>1991992</v>
      </c>
      <c r="I63" s="71" t="n">
        <f aca="false">G63-H63</f>
        <v>-1626244</v>
      </c>
      <c r="J63" s="72" t="n">
        <f aca="false">IFERROR(I63/H63,IF(I63&gt;0,100%,IF(I63=0,0,-100%)))</f>
        <v>-0.816390828878831</v>
      </c>
      <c r="K63" s="48" t="str">
        <f aca="false">IF(AND(ABS(I63)&gt;$J$5,ABS(J63)&gt;5%),"O","")</f>
        <v/>
      </c>
      <c r="L63" s="50"/>
      <c r="M63" s="100" t="n">
        <f aca="false">E63-F63</f>
        <v>0</v>
      </c>
      <c r="U63" s="43" t="n">
        <f aca="false">SUMIF('PL_DEC.2026'!$D:$D,$D63,'PL_DEC.2026'!$E:$E)</f>
        <v>274311</v>
      </c>
      <c r="V63" s="43" t="n">
        <f aca="false">E63-U63</f>
        <v>0</v>
      </c>
      <c r="W63" s="43" t="n">
        <f aca="false">SUMIF('PL_DEC.2026'!$D:$D,$D63,'PL_DEC.2026'!$L:$L)</f>
        <v>274311</v>
      </c>
      <c r="X63" s="43" t="n">
        <f aca="false">F63-W63</f>
        <v>0</v>
      </c>
    </row>
    <row r="64" customFormat="false" ht="13.5" hidden="false" customHeight="false" outlineLevel="0" collapsed="false">
      <c r="C64" s="45" t="s">
        <v>306</v>
      </c>
      <c r="D64" s="54" t="s">
        <v>307</v>
      </c>
      <c r="E64" s="71" t="n">
        <f aca="false">SUMIF(FS_map!$H:$H,$D64,FS_map!$M:$M)</f>
        <v>13638965984</v>
      </c>
      <c r="F64" s="71" t="n">
        <f aca="false">SUMIF(FS_map!$H:$H,$D64,FS_map!$P:$P)</f>
        <v>324767226</v>
      </c>
      <c r="G64" s="71" t="n">
        <f aca="false">F64*12/9</f>
        <v>433022968</v>
      </c>
      <c r="H64" s="71" t="n">
        <f aca="false">SUMIF(WPL_2025YE!$D:$D,$D64,WPL_2025YE!$AI:$AI)</f>
        <v>2352493481</v>
      </c>
      <c r="I64" s="71" t="n">
        <f aca="false">G64-H64</f>
        <v>-1919470513</v>
      </c>
      <c r="J64" s="72" t="n">
        <f aca="false">IFERROR(I64/H64,IF(I64&gt;0,100%,IF(I64=0,0,-100%)))</f>
        <v>-0.81593021553627</v>
      </c>
      <c r="K64" s="48" t="str">
        <f aca="false">IF(AND(ABS(I64)&gt;$J$5,ABS(J64)&gt;5%),"O","")</f>
        <v/>
      </c>
      <c r="L64" s="52"/>
      <c r="M64" s="100" t="n">
        <f aca="false">E64-F64</f>
        <v>13314198758</v>
      </c>
      <c r="U64" s="43" t="n">
        <f aca="false">SUMIF('PL_DEC.2026'!$D:$D,$D64,'PL_DEC.2026'!$E:$E)</f>
        <v>13638965984</v>
      </c>
      <c r="V64" s="43" t="n">
        <f aca="false">E64-U64</f>
        <v>0</v>
      </c>
      <c r="W64" s="43" t="n">
        <f aca="false">SUMIF('PL_DEC.2026'!$D:$D,$D64,'PL_DEC.2026'!$L:$L)</f>
        <v>324767226</v>
      </c>
      <c r="X64" s="43" t="n">
        <f aca="false">F64-W64</f>
        <v>0</v>
      </c>
    </row>
    <row r="65" customFormat="false" ht="13.5" hidden="false" customHeight="false" outlineLevel="0" collapsed="false">
      <c r="C65" s="45" t="s">
        <v>308</v>
      </c>
      <c r="D65" s="54" t="s">
        <v>309</v>
      </c>
      <c r="E65" s="71" t="n">
        <f aca="false">SUMIF(FS_map!$H:$H,$D65,FS_map!$M:$M)</f>
        <v>494263895</v>
      </c>
      <c r="F65" s="71" t="n">
        <f aca="false">SUMIF(FS_map!$H:$H,$D65,FS_map!$P:$P)</f>
        <v>494263895</v>
      </c>
      <c r="G65" s="71" t="n">
        <f aca="false">F65*12/9</f>
        <v>659018526.666667</v>
      </c>
      <c r="H65" s="71" t="n">
        <f aca="false">SUMIF(WPL_2025YE!$D:$D,$D65,WPL_2025YE!$AI:$AI)</f>
        <v>1118402963</v>
      </c>
      <c r="I65" s="71" t="n">
        <f aca="false">G65-H65</f>
        <v>-459384436.333333</v>
      </c>
      <c r="J65" s="72" t="n">
        <f aca="false">IFERROR(I65/H65,IF(I65&gt;0,100%,IF(I65=0,0,-100%)))</f>
        <v>-0.410750374892679</v>
      </c>
      <c r="K65" s="48" t="str">
        <f aca="false">IF(AND(ABS(I65)&gt;$J$5,ABS(J65)&gt;5%),"O","")</f>
        <v/>
      </c>
      <c r="L65" s="50"/>
      <c r="M65" s="100" t="n">
        <f aca="false">E65-F65</f>
        <v>0</v>
      </c>
      <c r="U65" s="43" t="n">
        <f aca="false">SUMIF('PL_DEC.2026'!$D:$D,$D65,'PL_DEC.2026'!$E:$E)</f>
        <v>494263895</v>
      </c>
      <c r="V65" s="43" t="n">
        <f aca="false">E65-U65</f>
        <v>0</v>
      </c>
      <c r="W65" s="43" t="n">
        <f aca="false">SUMIF('PL_DEC.2026'!$D:$D,$D65,'PL_DEC.2026'!$L:$L)</f>
        <v>494263895</v>
      </c>
      <c r="X65" s="43" t="n">
        <f aca="false">F65-W65</f>
        <v>0</v>
      </c>
    </row>
    <row r="66" customFormat="false" ht="13.5" hidden="false" customHeight="false" outlineLevel="0" collapsed="false">
      <c r="C66" s="45" t="s">
        <v>310</v>
      </c>
      <c r="D66" s="54" t="s">
        <v>311</v>
      </c>
      <c r="E66" s="71" t="n">
        <f aca="false">SUMIF(FS_map!$H:$H,$D66,FS_map!$M:$M)</f>
        <v>943115504</v>
      </c>
      <c r="F66" s="71" t="n">
        <f aca="false">SUMIF(FS_map!$H:$H,$D66,FS_map!$P:$P)</f>
        <v>-3034833479</v>
      </c>
      <c r="G66" s="71" t="n">
        <f aca="false">F66*12/9</f>
        <v>-4046444638.66667</v>
      </c>
      <c r="H66" s="71" t="n">
        <f aca="false">SUMIF(WPL_2025YE!$D:$D,$D66,WPL_2025YE!$AI:$AI)</f>
        <v>1412322391</v>
      </c>
      <c r="I66" s="71" t="n">
        <f aca="false">G66-H66</f>
        <v>-5458767029.66667</v>
      </c>
      <c r="J66" s="72" t="n">
        <f aca="false">IFERROR(I66/H66,IF(I66&gt;0,100%,IF(I66=0,0,-100%)))</f>
        <v>-3.86509982738542</v>
      </c>
      <c r="K66" s="48" t="str">
        <f aca="false">IF(AND(ABS(I66)&gt;$J$5,ABS(J66)&gt;5%),"O","")</f>
        <v/>
      </c>
      <c r="L66" s="52"/>
      <c r="M66" s="100" t="n">
        <f aca="false">E66-F66</f>
        <v>3977948983</v>
      </c>
      <c r="U66" s="43" t="n">
        <f aca="false">SUMIF('PL_DEC.2026'!$D:$D,$D66,'PL_DEC.2026'!$E:$E)</f>
        <v>943115504</v>
      </c>
      <c r="V66" s="43" t="n">
        <f aca="false">E66-U66</f>
        <v>0</v>
      </c>
      <c r="W66" s="43" t="n">
        <f aca="false">SUMIF('PL_DEC.2026'!$D:$D,$D66,'PL_DEC.2026'!$L:$L)</f>
        <v>-3034833479</v>
      </c>
      <c r="X66" s="43" t="n">
        <f aca="false">F66-W66</f>
        <v>0</v>
      </c>
    </row>
    <row r="67" customFormat="false" ht="13.5" hidden="false" customHeight="false" outlineLevel="0" collapsed="false">
      <c r="C67" s="45" t="s">
        <v>312</v>
      </c>
      <c r="D67" s="54" t="s">
        <v>313</v>
      </c>
      <c r="E67" s="71" t="n">
        <f aca="false">SUMIF(FS_map!$H:$H,$D67,FS_map!$M:$M)</f>
        <v>137743628</v>
      </c>
      <c r="F67" s="71" t="n">
        <f aca="false">SUMIF(FS_map!$H:$H,$D67,FS_map!$P:$P)</f>
        <v>131269624</v>
      </c>
      <c r="G67" s="71" t="n">
        <f aca="false">F67*12/9</f>
        <v>175026165.333333</v>
      </c>
      <c r="H67" s="71" t="n">
        <f aca="false">SUMIF(WPL_2025YE!$D:$D,$D67,WPL_2025YE!$AI:$AI)</f>
        <v>229334737</v>
      </c>
      <c r="I67" s="71" t="n">
        <f aca="false">G67-H67</f>
        <v>-54308571.6666667</v>
      </c>
      <c r="J67" s="72" t="n">
        <f aca="false">IFERROR(I67/H67,IF(I67&gt;0,100%,IF(I67=0,0,-100%)))</f>
        <v>-0.236809182843795</v>
      </c>
      <c r="K67" s="48" t="str">
        <f aca="false">IF(AND(ABS(I67)&gt;$J$5,ABS(J67)&gt;5%),"O","")</f>
        <v/>
      </c>
      <c r="L67" s="50"/>
      <c r="M67" s="100" t="n">
        <f aca="false">E67-F67</f>
        <v>6474004</v>
      </c>
      <c r="U67" s="43" t="n">
        <f aca="false">SUMIF('PL_DEC.2026'!$D:$D,$D67,'PL_DEC.2026'!$E:$E)</f>
        <v>137743628</v>
      </c>
      <c r="V67" s="43" t="n">
        <f aca="false">E67-U67</f>
        <v>0</v>
      </c>
      <c r="W67" s="43" t="n">
        <f aca="false">SUMIF('PL_DEC.2026'!$D:$D,$D67,'PL_DEC.2026'!$L:$L)</f>
        <v>131269624</v>
      </c>
      <c r="X67" s="43" t="n">
        <f aca="false">F67-W67</f>
        <v>0</v>
      </c>
    </row>
    <row r="68" customFormat="false" ht="13.5" hidden="false" customHeight="false" outlineLevel="0" collapsed="false">
      <c r="C68" s="45" t="s">
        <v>314</v>
      </c>
      <c r="D68" s="54" t="s">
        <v>315</v>
      </c>
      <c r="E68" s="71" t="n">
        <f aca="false">SUMIF(FS_map!$H:$H,$D68,FS_map!$M:$M)</f>
        <v>0</v>
      </c>
      <c r="F68" s="71" t="n">
        <f aca="false">SUMIF(FS_map!$H:$H,$D68,FS_map!$P:$P)</f>
        <v>0</v>
      </c>
      <c r="G68" s="71" t="n">
        <f aca="false">F68*12/9</f>
        <v>0</v>
      </c>
      <c r="H68" s="71" t="n">
        <f aca="false">SUMIF(WPL_2025YE!$D:$D,$D68,WPL_2025YE!$AI:$AI)</f>
        <v>0</v>
      </c>
      <c r="I68" s="71" t="n">
        <f aca="false">G68-H68</f>
        <v>0</v>
      </c>
      <c r="J68" s="72" t="n">
        <f aca="false">IFERROR(I68/H68,IF(I68&gt;0,100%,IF(I68=0,0,-100%)))</f>
        <v>0</v>
      </c>
      <c r="K68" s="48" t="str">
        <f aca="false">IF(AND(ABS(I68)&gt;$J$5,ABS(J68)&gt;5%),"O","")</f>
        <v/>
      </c>
      <c r="L68" s="50"/>
      <c r="M68" s="100" t="n">
        <f aca="false">E68-F68</f>
        <v>0</v>
      </c>
      <c r="U68" s="43" t="n">
        <f aca="false">SUMIF('PL_DEC.2026'!$D:$D,$D68,'PL_DEC.2026'!$E:$E)</f>
        <v>0</v>
      </c>
      <c r="V68" s="43" t="n">
        <f aca="false">E68-U68</f>
        <v>0</v>
      </c>
      <c r="W68" s="43" t="n">
        <f aca="false">SUMIF('PL_DEC.2026'!$D:$D,$D68,'PL_DEC.2026'!$L:$L)</f>
        <v>0</v>
      </c>
      <c r="X68" s="43" t="n">
        <f aca="false">F68-W68</f>
        <v>0</v>
      </c>
    </row>
    <row r="69" customFormat="false" ht="13.5" hidden="false" customHeight="false" outlineLevel="0" collapsed="false">
      <c r="C69" s="45" t="s">
        <v>316</v>
      </c>
      <c r="D69" s="54" t="s">
        <v>317</v>
      </c>
      <c r="E69" s="71" t="n">
        <f aca="false">SUMIF(FS_map!$H:$H,$D69,FS_map!$M:$M)</f>
        <v>0</v>
      </c>
      <c r="F69" s="71" t="n">
        <f aca="false">SUMIF(FS_map!$H:$H,$D69,FS_map!$P:$P)</f>
        <v>0</v>
      </c>
      <c r="G69" s="71" t="n">
        <f aca="false">F69*12/9</f>
        <v>0</v>
      </c>
      <c r="H69" s="71" t="n">
        <f aca="false">SUMIF(WPL_2025YE!$D:$D,$D69,WPL_2025YE!$AI:$AI)</f>
        <v>0</v>
      </c>
      <c r="I69" s="71" t="n">
        <f aca="false">G69-H69</f>
        <v>0</v>
      </c>
      <c r="J69" s="72" t="n">
        <f aca="false">IFERROR(I69/H69,IF(I69&gt;0,100%,IF(I69=0,0,-100%)))</f>
        <v>0</v>
      </c>
      <c r="K69" s="48" t="str">
        <f aca="false">IF(AND(ABS(I69)&gt;$J$5,ABS(J69)&gt;5%),"O","")</f>
        <v/>
      </c>
      <c r="L69" s="50"/>
      <c r="M69" s="100" t="n">
        <f aca="false">E69-F69</f>
        <v>0</v>
      </c>
      <c r="U69" s="43" t="n">
        <f aca="false">SUMIF('PL_DEC.2026'!$D:$D,$D69,'PL_DEC.2026'!$E:$E)</f>
        <v>0</v>
      </c>
      <c r="V69" s="43" t="n">
        <f aca="false">E69-U69</f>
        <v>0</v>
      </c>
      <c r="W69" s="43" t="n">
        <f aca="false">SUMIF('PL_DEC.2026'!$D:$D,$D69,'PL_DEC.2026'!$L:$L)</f>
        <v>0</v>
      </c>
      <c r="X69" s="43" t="n">
        <f aca="false">F69-W69</f>
        <v>0</v>
      </c>
    </row>
    <row r="70" customFormat="false" ht="13.5" hidden="false" customHeight="false" outlineLevel="0" collapsed="false">
      <c r="C70" s="45" t="s">
        <v>318</v>
      </c>
      <c r="D70" s="54" t="s">
        <v>319</v>
      </c>
      <c r="E70" s="71" t="n">
        <f aca="false">SUMIF(FS_map!$H:$H,$D70,FS_map!$M:$M)</f>
        <v>0</v>
      </c>
      <c r="F70" s="71" t="n">
        <f aca="false">SUMIF(FS_map!$H:$H,$D70,FS_map!$P:$P)</f>
        <v>0</v>
      </c>
      <c r="G70" s="71" t="n">
        <f aca="false">F70*12/9</f>
        <v>0</v>
      </c>
      <c r="H70" s="71" t="n">
        <f aca="false">SUMIF(WPL_2025YE!$D:$D,$D70,WPL_2025YE!$AI:$AI)</f>
        <v>0</v>
      </c>
      <c r="I70" s="71" t="n">
        <f aca="false">G70-H70</f>
        <v>0</v>
      </c>
      <c r="J70" s="72" t="n">
        <f aca="false">IFERROR(I70/H70,IF(I70&gt;0,100%,IF(I70=0,0,-100%)))</f>
        <v>0</v>
      </c>
      <c r="K70" s="48" t="str">
        <f aca="false">IF(AND(ABS(I70)&gt;$J$5,ABS(J70)&gt;5%),"O","")</f>
        <v/>
      </c>
      <c r="L70" s="50"/>
      <c r="M70" s="100" t="n">
        <f aca="false">E70-F70</f>
        <v>0</v>
      </c>
      <c r="U70" s="43" t="n">
        <f aca="false">SUMIF('PL_DEC.2026'!$D:$D,$D70,'PL_DEC.2026'!$E:$E)</f>
        <v>0</v>
      </c>
      <c r="V70" s="43" t="n">
        <f aca="false">E70-U70</f>
        <v>0</v>
      </c>
      <c r="W70" s="43" t="n">
        <f aca="false">SUMIF('PL_DEC.2026'!$D:$D,$D70,'PL_DEC.2026'!$L:$L)</f>
        <v>0</v>
      </c>
      <c r="X70" s="43" t="n">
        <f aca="false">F70-W70</f>
        <v>0</v>
      </c>
    </row>
    <row r="71" customFormat="false" ht="13.5" hidden="false" customHeight="false" outlineLevel="0" collapsed="false">
      <c r="C71" s="45" t="s">
        <v>320</v>
      </c>
      <c r="D71" s="54" t="s">
        <v>321</v>
      </c>
      <c r="E71" s="71" t="n">
        <f aca="false">SUMIF(FS_map!$H:$H,$D71,FS_map!$M:$M)</f>
        <v>0</v>
      </c>
      <c r="F71" s="71" t="n">
        <f aca="false">SUMIF(FS_map!$H:$H,$D71,FS_map!$P:$P)</f>
        <v>0</v>
      </c>
      <c r="G71" s="71" t="n">
        <f aca="false">F71*12/9</f>
        <v>0</v>
      </c>
      <c r="H71" s="71" t="n">
        <f aca="false">SUMIF(WPL_2025YE!$D:$D,$D71,WPL_2025YE!$AI:$AI)</f>
        <v>0</v>
      </c>
      <c r="I71" s="71" t="n">
        <f aca="false">G71-H71</f>
        <v>0</v>
      </c>
      <c r="J71" s="72" t="n">
        <f aca="false">IFERROR(I71/H71,IF(I71&gt;0,100%,IF(I71=0,0,-100%)))</f>
        <v>0</v>
      </c>
      <c r="K71" s="48" t="str">
        <f aca="false">IF(AND(ABS(I71)&gt;$J$5,ABS(J71)&gt;5%),"O","")</f>
        <v/>
      </c>
      <c r="L71" s="50"/>
      <c r="M71" s="100" t="n">
        <f aca="false">E71-F71</f>
        <v>0</v>
      </c>
      <c r="O71" s="138"/>
      <c r="P71" s="139"/>
      <c r="Q71" s="139"/>
      <c r="T71" s="140"/>
      <c r="U71" s="43" t="n">
        <f aca="false">SUMIF('PL_DEC.2026'!$D:$D,$D71,'PL_DEC.2026'!$E:$E)</f>
        <v>0</v>
      </c>
      <c r="V71" s="43" t="n">
        <f aca="false">E71-U71</f>
        <v>0</v>
      </c>
      <c r="W71" s="43" t="n">
        <f aca="false">SUMIF('PL_DEC.2026'!$D:$D,$D71,'PL_DEC.2026'!$L:$L)</f>
        <v>0</v>
      </c>
      <c r="X71" s="43" t="n">
        <f aca="false">F71-W71</f>
        <v>0</v>
      </c>
    </row>
    <row r="72" customFormat="false" ht="13.5" hidden="false" customHeight="false" outlineLevel="0" collapsed="false">
      <c r="C72" s="45" t="s">
        <v>322</v>
      </c>
      <c r="D72" s="54" t="s">
        <v>323</v>
      </c>
      <c r="E72" s="71" t="n">
        <f aca="false">SUMIF(FS_map!$H:$H,$D72,FS_map!$M:$M)</f>
        <v>-4124609</v>
      </c>
      <c r="F72" s="71" t="n">
        <f aca="false">SUMIF(FS_map!$H:$H,$D72,FS_map!$P:$P)</f>
        <v>-4124609</v>
      </c>
      <c r="G72" s="71" t="n">
        <f aca="false">F72*12/9</f>
        <v>-5499478.66666667</v>
      </c>
      <c r="H72" s="71" t="n">
        <f aca="false">SUMIF(WPL_2025YE!$D:$D,$D72,WPL_2025YE!$AI:$AI)</f>
        <v>61130717</v>
      </c>
      <c r="I72" s="71" t="n">
        <f aca="false">G72-H72</f>
        <v>-66630195.6666667</v>
      </c>
      <c r="J72" s="72" t="n">
        <f aca="false">IFERROR(I72/H72,IF(I72&gt;0,100%,IF(I72=0,0,-100%)))</f>
        <v>-1.08996260696021</v>
      </c>
      <c r="K72" s="48" t="str">
        <f aca="false">IF(AND(ABS(I72)&gt;$J$5,ABS(J72)&gt;5%),"O","")</f>
        <v/>
      </c>
      <c r="L72" s="50"/>
      <c r="M72" s="100" t="n">
        <f aca="false">E72-F72</f>
        <v>0</v>
      </c>
      <c r="O72" s="141"/>
      <c r="P72" s="139"/>
      <c r="Q72" s="142"/>
      <c r="S72" s="143"/>
      <c r="T72" s="144"/>
      <c r="U72" s="43" t="n">
        <f aca="false">SUMIF('PL_DEC.2026'!$D:$D,$D72,'PL_DEC.2026'!$E:$E)</f>
        <v>-4124609</v>
      </c>
      <c r="V72" s="43" t="n">
        <f aca="false">E72-U72</f>
        <v>0</v>
      </c>
      <c r="W72" s="43" t="n">
        <f aca="false">SUMIF('PL_DEC.2026'!$D:$D,$D72,'PL_DEC.2026'!$L:$L)</f>
        <v>-4124609</v>
      </c>
      <c r="X72" s="43" t="n">
        <f aca="false">F72-W72</f>
        <v>0</v>
      </c>
    </row>
    <row r="73" customFormat="false" ht="13.5" hidden="false" customHeight="false" outlineLevel="0" collapsed="false">
      <c r="C73" s="45" t="s">
        <v>324</v>
      </c>
      <c r="D73" s="54" t="s">
        <v>325</v>
      </c>
      <c r="E73" s="71" t="n">
        <f aca="false">SUMIF(FS_map!$H:$H,$D73,FS_map!$M:$M)</f>
        <v>0</v>
      </c>
      <c r="F73" s="71" t="n">
        <f aca="false">SUMIF(FS_map!$H:$H,$D73,FS_map!$P:$P)</f>
        <v>0</v>
      </c>
      <c r="G73" s="71" t="n">
        <f aca="false">F73*12/9</f>
        <v>0</v>
      </c>
      <c r="H73" s="71" t="n">
        <f aca="false">SUMIF(WPL_2025YE!$D:$D,$D73,WPL_2025YE!$AI:$AI)</f>
        <v>0</v>
      </c>
      <c r="I73" s="71" t="n">
        <f aca="false">G73-H73</f>
        <v>0</v>
      </c>
      <c r="J73" s="72" t="n">
        <f aca="false">IFERROR(I73/H73,IF(I73&gt;0,100%,IF(I73=0,0,-100%)))</f>
        <v>0</v>
      </c>
      <c r="K73" s="48" t="str">
        <f aca="false">IF(AND(ABS(I73)&gt;$J$5,ABS(J73)&gt;5%),"O","")</f>
        <v/>
      </c>
      <c r="L73" s="50"/>
      <c r="M73" s="100" t="n">
        <f aca="false">E73-F73</f>
        <v>0</v>
      </c>
      <c r="O73" s="145"/>
      <c r="R73" s="146"/>
      <c r="S73" s="146"/>
      <c r="T73" s="147"/>
      <c r="U73" s="43" t="n">
        <f aca="false">SUMIF('PL_DEC.2026'!$D:$D,$D73,'PL_DEC.2026'!$E:$E)</f>
        <v>0</v>
      </c>
      <c r="V73" s="43" t="n">
        <f aca="false">E73-U73</f>
        <v>0</v>
      </c>
      <c r="W73" s="43" t="n">
        <f aca="false">SUMIF('PL_DEC.2026'!$D:$D,$D73,'PL_DEC.2026'!$L:$L)</f>
        <v>0</v>
      </c>
      <c r="X73" s="43" t="n">
        <f aca="false">F73-W73</f>
        <v>0</v>
      </c>
    </row>
    <row r="74" customFormat="false" ht="13.5" hidden="false" customHeight="false" outlineLevel="0" collapsed="false">
      <c r="C74" s="45" t="s">
        <v>326</v>
      </c>
      <c r="D74" s="36"/>
      <c r="E74" s="126" t="n">
        <f aca="false">SUMIF(FS_map!$H:$H,"판매 및 일반관리비 대체",FS_map!$M:$M)</f>
        <v>0</v>
      </c>
      <c r="F74" s="126" t="n">
        <f aca="false">SUMIF(FS_map!$H:$H,"판매 및 일반관리비 대체",FS_map!$P:$P)</f>
        <v>0</v>
      </c>
      <c r="G74" s="126" t="n">
        <f aca="false">F74*12/9</f>
        <v>0</v>
      </c>
      <c r="H74" s="126" t="n">
        <f aca="false">WPL_2025YE!AI60</f>
        <v>0</v>
      </c>
      <c r="I74" s="126" t="n">
        <f aca="false">G74-H74</f>
        <v>0</v>
      </c>
      <c r="J74" s="127" t="n">
        <f aca="false">IFERROR(I74/H74,IF(I74&gt;0,100%,IF(I74=0,0,-100%)))</f>
        <v>0</v>
      </c>
      <c r="K74" s="128" t="str">
        <f aca="false">IF(AND(ABS(I74)&gt;$J$5,ABS(J74)&gt;5%),"O","")</f>
        <v/>
      </c>
      <c r="L74" s="129"/>
      <c r="M74" s="100" t="n">
        <f aca="false">E74-F74</f>
        <v>0</v>
      </c>
      <c r="O74" s="148"/>
      <c r="P74" s="149"/>
      <c r="Q74" s="149"/>
      <c r="R74" s="149"/>
      <c r="S74" s="149"/>
      <c r="T74" s="149"/>
      <c r="U74" s="43" t="n">
        <f aca="false">0</f>
        <v>0</v>
      </c>
      <c r="V74" s="43" t="n">
        <f aca="false">E74-U74</f>
        <v>0</v>
      </c>
      <c r="W74" s="43" t="n">
        <f aca="false">0</f>
        <v>0</v>
      </c>
      <c r="X74" s="43" t="n">
        <f aca="false">F74-W74</f>
        <v>0</v>
      </c>
    </row>
    <row r="75" customFormat="false" ht="14.25" hidden="false" customHeight="true" outlineLevel="0" collapsed="false">
      <c r="C75" s="134" t="s">
        <v>327</v>
      </c>
      <c r="D75" s="135"/>
      <c r="E75" s="65" t="n">
        <f aca="false">+E32-E33</f>
        <v>40850536324</v>
      </c>
      <c r="F75" s="65" t="n">
        <f aca="false">+F32-F33</f>
        <v>61594872640</v>
      </c>
      <c r="G75" s="65" t="n">
        <f aca="false">F75*12/9</f>
        <v>82126496853.3333</v>
      </c>
      <c r="H75" s="65" t="n">
        <f aca="false">+H32-H33</f>
        <v>29481784272</v>
      </c>
      <c r="I75" s="65" t="n">
        <f aca="false">G75-H75</f>
        <v>52644712581.3333</v>
      </c>
      <c r="J75" s="66" t="n">
        <f aca="false">IFERROR(I75/H75,IF(I75&gt;0,100%,IF(I75=0,0,-100%)))</f>
        <v>1.78566914728197</v>
      </c>
      <c r="K75" s="67"/>
      <c r="L75" s="68"/>
      <c r="M75" s="100" t="n">
        <f aca="false">E75-F75</f>
        <v>-20744336316</v>
      </c>
      <c r="N75" s="150"/>
      <c r="O75" s="148"/>
      <c r="P75" s="149"/>
      <c r="Q75" s="149"/>
      <c r="R75" s="149"/>
      <c r="S75" s="149"/>
      <c r="T75" s="149"/>
      <c r="U75" s="43" t="n">
        <f aca="false">+U32-U33</f>
        <v>40850536324</v>
      </c>
      <c r="V75" s="43" t="n">
        <f aca="false">E75-U75</f>
        <v>0</v>
      </c>
      <c r="W75" s="43" t="n">
        <f aca="false">+W32-W33</f>
        <v>61186829615</v>
      </c>
      <c r="X75" s="43" t="n">
        <f aca="false">F75-W75</f>
        <v>408043025</v>
      </c>
    </row>
    <row r="76" customFormat="false" ht="14.25" hidden="false" customHeight="true" outlineLevel="0" collapsed="false">
      <c r="C76" s="35" t="s">
        <v>328</v>
      </c>
      <c r="D76" s="36"/>
      <c r="E76" s="37" t="n">
        <f aca="false">SUM(E77:E90)</f>
        <v>21799718927</v>
      </c>
      <c r="F76" s="37" t="n">
        <f aca="false">SUM(F77:F90)</f>
        <v>1055382611</v>
      </c>
      <c r="G76" s="37" t="n">
        <f aca="false">F76*12/9</f>
        <v>1407176814.66667</v>
      </c>
      <c r="H76" s="37" t="n">
        <f aca="false">SUM(H77:H90)</f>
        <v>19209610002</v>
      </c>
      <c r="I76" s="37" t="n">
        <f aca="false">G76-H76</f>
        <v>-17802433187.3333</v>
      </c>
      <c r="J76" s="38" t="n">
        <f aca="false">IFERROR(I76/H76,IF(I76&gt;0,100%,IF(I76=0,0,-100%)))</f>
        <v>-0.926746205960446</v>
      </c>
      <c r="K76" s="39" t="str">
        <f aca="false">IF(AND(ABS(I76)&gt;$J$5,ABS(J76)&gt;5%),"O","")</f>
        <v>O</v>
      </c>
      <c r="L76" s="40"/>
      <c r="M76" s="100" t="n">
        <f aca="false">E76-F76</f>
        <v>20744336316</v>
      </c>
      <c r="N76" s="93"/>
      <c r="O76" s="148"/>
      <c r="P76" s="151"/>
      <c r="Q76" s="152"/>
      <c r="R76" s="151"/>
      <c r="S76" s="152"/>
      <c r="T76" s="152"/>
      <c r="U76" s="43" t="n">
        <f aca="false">SUM(U77:U90)</f>
        <v>21799718927</v>
      </c>
      <c r="V76" s="43" t="n">
        <f aca="false">E76-U76</f>
        <v>0</v>
      </c>
      <c r="W76" s="43" t="n">
        <f aca="false">SUM(W77:W90)</f>
        <v>954170351</v>
      </c>
      <c r="X76" s="43" t="n">
        <f aca="false">F76-W76</f>
        <v>101212260</v>
      </c>
    </row>
    <row r="77" customFormat="false" ht="13.5" hidden="false" customHeight="false" outlineLevel="0" collapsed="false">
      <c r="C77" s="45" t="s">
        <v>26</v>
      </c>
      <c r="D77" s="54" t="s">
        <v>329</v>
      </c>
      <c r="E77" s="71" t="n">
        <f aca="false">-SUMIF(FS_map!$H:$H,$D77,FS_map!$M:$M)</f>
        <v>201226458</v>
      </c>
      <c r="F77" s="71" t="n">
        <f aca="false">-SUMIF(FS_map!$H:$H,$D77,FS_map!$P:$P)</f>
        <v>201226458</v>
      </c>
      <c r="G77" s="71" t="n">
        <f aca="false">F77*12/9</f>
        <v>268301944</v>
      </c>
      <c r="H77" s="71" t="n">
        <f aca="false">SUMIF(WPL_2025YE!$D:$D,$D77,WPL_2025YE!$AI:$AI)</f>
        <v>238441022</v>
      </c>
      <c r="I77" s="71" t="n">
        <f aca="false">G77-H77</f>
        <v>29860922</v>
      </c>
      <c r="J77" s="72" t="n">
        <f aca="false">IFERROR(I77/H77,IF(I77&gt;0,100%,IF(I77=0,0,-100%)))</f>
        <v>0.125233996019359</v>
      </c>
      <c r="K77" s="48" t="str">
        <f aca="false">IF(AND(ABS(I77)&gt;$J$5,ABS(J77)&gt;5%),"O","")</f>
        <v/>
      </c>
      <c r="L77" s="50"/>
      <c r="M77" s="100" t="n">
        <f aca="false">E77-F77</f>
        <v>0</v>
      </c>
      <c r="U77" s="43" t="n">
        <f aca="false">SUMIF('PL_DEC.2026'!$D:$D,$D77,'PL_DEC.2026'!$E:$E)</f>
        <v>201226458</v>
      </c>
      <c r="V77" s="43" t="n">
        <f aca="false">E77-U77</f>
        <v>0</v>
      </c>
      <c r="W77" s="43" t="n">
        <f aca="false">SUMIF('PL_DEC.2026'!$D:$D,$D77,'PL_DEC.2026'!$L:$L)</f>
        <v>201226458</v>
      </c>
      <c r="X77" s="43" t="n">
        <f aca="false">F77-W77</f>
        <v>0</v>
      </c>
    </row>
    <row r="78" customFormat="false" ht="13.5" hidden="false" customHeight="false" outlineLevel="0" collapsed="false">
      <c r="C78" s="45" t="s">
        <v>29</v>
      </c>
      <c r="D78" s="54" t="s">
        <v>330</v>
      </c>
      <c r="E78" s="71" t="n">
        <f aca="false">-SUMIF(FS_map!$H:$H,$D78,FS_map!$M:$M)</f>
        <v>-0</v>
      </c>
      <c r="F78" s="71" t="n">
        <f aca="false">-SUMIF(FS_map!$H:$H,$D78,FS_map!$P:$P)</f>
        <v>-0</v>
      </c>
      <c r="G78" s="71" t="n">
        <f aca="false">F78*12/9</f>
        <v>-0</v>
      </c>
      <c r="H78" s="71" t="n">
        <f aca="false">SUMIF(WPL_2025YE!$D:$D,$D78,WPL_2025YE!$AI:$AI)</f>
        <v>0</v>
      </c>
      <c r="I78" s="71" t="n">
        <f aca="false">G78-H78</f>
        <v>-0</v>
      </c>
      <c r="J78" s="72" t="n">
        <f aca="false">IFERROR(I78/H78,IF(I78&gt;0,100%,IF(I78=0,0,-100%)))</f>
        <v>0</v>
      </c>
      <c r="K78" s="48" t="str">
        <f aca="false">IF(AND(ABS(I78)&gt;$J$5,ABS(J78)&gt;5%),"O","")</f>
        <v/>
      </c>
      <c r="L78" s="49"/>
      <c r="M78" s="100" t="n">
        <f aca="false">E78-F78</f>
        <v>0</v>
      </c>
      <c r="P78" s="90"/>
      <c r="U78" s="43" t="n">
        <f aca="false">SUMIF('PL_DEC.2026'!$D:$D,$D78,'PL_DEC.2026'!$E:$E)</f>
        <v>0</v>
      </c>
      <c r="V78" s="43" t="n">
        <f aca="false">E78-U78</f>
        <v>-0</v>
      </c>
      <c r="W78" s="43" t="n">
        <f aca="false">SUMIF('PL_DEC.2026'!$D:$D,$D78,'PL_DEC.2026'!$L:$L)</f>
        <v>0</v>
      </c>
      <c r="X78" s="43" t="n">
        <f aca="false">F78-W78</f>
        <v>-0</v>
      </c>
    </row>
    <row r="79" customFormat="false" ht="13.5" hidden="false" customHeight="false" outlineLevel="0" collapsed="false">
      <c r="C79" s="45" t="s">
        <v>32</v>
      </c>
      <c r="D79" s="54" t="s">
        <v>331</v>
      </c>
      <c r="E79" s="71" t="n">
        <f aca="false">-SUMIF(FS_map!$H:$H,$D79,FS_map!$M:$M)</f>
        <v>123781136</v>
      </c>
      <c r="F79" s="71" t="n">
        <f aca="false">-SUMIF(FS_map!$H:$H,$D79,FS_map!$P:$P)</f>
        <v>123781136</v>
      </c>
      <c r="G79" s="71" t="n">
        <f aca="false">F79*12/9</f>
        <v>165041514.666667</v>
      </c>
      <c r="H79" s="71" t="n">
        <f aca="false">SUMIF(WPL_2025YE!$D:$D,$D79,WPL_2025YE!$AI:$AI)</f>
        <v>24481540</v>
      </c>
      <c r="I79" s="71" t="n">
        <f aca="false">G79-H79</f>
        <v>140559974.666667</v>
      </c>
      <c r="J79" s="72" t="n">
        <f aca="false">IFERROR(I79/H79,IF(I79&gt;0,100%,IF(I79=0,0,-100%)))</f>
        <v>5.74146784339003</v>
      </c>
      <c r="K79" s="48" t="str">
        <f aca="false">IF(AND(ABS(I79)&gt;$J$5,ABS(J79)&gt;5%),"O","")</f>
        <v/>
      </c>
      <c r="L79" s="50"/>
      <c r="M79" s="100" t="n">
        <f aca="false">E79-F79</f>
        <v>0</v>
      </c>
      <c r="P79" s="153"/>
      <c r="U79" s="43" t="n">
        <f aca="false">SUMIF('PL_DEC.2026'!$D:$D,$D79,'PL_DEC.2026'!$E:$E)</f>
        <v>123781136</v>
      </c>
      <c r="V79" s="43" t="n">
        <f aca="false">E79-U79</f>
        <v>0</v>
      </c>
      <c r="W79" s="43" t="n">
        <f aca="false">SUMIF('PL_DEC.2026'!$D:$D,$D79,'PL_DEC.2026'!$L:$L)</f>
        <v>123781136</v>
      </c>
      <c r="X79" s="43" t="n">
        <f aca="false">F79-W79</f>
        <v>0</v>
      </c>
    </row>
    <row r="80" customFormat="false" ht="13.5" hidden="false" customHeight="false" outlineLevel="0" collapsed="false">
      <c r="C80" s="45" t="s">
        <v>35</v>
      </c>
      <c r="D80" s="54" t="s">
        <v>332</v>
      </c>
      <c r="E80" s="71" t="n">
        <f aca="false">-SUMIF(FS_map!$H:$H,$D80,FS_map!$M:$M)</f>
        <v>-0</v>
      </c>
      <c r="F80" s="71" t="n">
        <f aca="false">-SUMIF(FS_map!$H:$H,$D80,FS_map!$P:$P)</f>
        <v>-0</v>
      </c>
      <c r="G80" s="71" t="n">
        <f aca="false">F80*12/9</f>
        <v>-0</v>
      </c>
      <c r="H80" s="71" t="n">
        <f aca="false">SUMIF(WPL_2025YE!$D:$D,$D80,WPL_2025YE!$AI:$AI)</f>
        <v>0</v>
      </c>
      <c r="I80" s="71" t="n">
        <f aca="false">G80-H80</f>
        <v>-0</v>
      </c>
      <c r="J80" s="72" t="n">
        <f aca="false">IFERROR(I80/H80,IF(I80&gt;0,100%,IF(I80=0,0,-100%)))</f>
        <v>0</v>
      </c>
      <c r="K80" s="48" t="str">
        <f aca="false">IF(AND(ABS(I80)&gt;$J$5,ABS(J80)&gt;5%),"O","")</f>
        <v/>
      </c>
      <c r="L80" s="50"/>
      <c r="M80" s="100" t="n">
        <f aca="false">E80-F80</f>
        <v>0</v>
      </c>
      <c r="U80" s="43" t="n">
        <f aca="false">SUMIF('PL_DEC.2026'!$D:$D,$D80,'PL_DEC.2026'!$E:$E)</f>
        <v>0</v>
      </c>
      <c r="V80" s="43" t="n">
        <f aca="false">E80-U80</f>
        <v>-0</v>
      </c>
      <c r="W80" s="43" t="n">
        <f aca="false">SUMIF('PL_DEC.2026'!$D:$D,$D80,'PL_DEC.2026'!$L:$L)</f>
        <v>0</v>
      </c>
      <c r="X80" s="43" t="n">
        <f aca="false">F80-W80</f>
        <v>-0</v>
      </c>
    </row>
    <row r="81" customFormat="false" ht="13.5" hidden="false" customHeight="false" outlineLevel="0" collapsed="false">
      <c r="C81" s="45" t="s">
        <v>38</v>
      </c>
      <c r="D81" s="54" t="s">
        <v>333</v>
      </c>
      <c r="E81" s="71" t="n">
        <f aca="false">-SUMIF(FS_map!$H:$H,$D81,FS_map!$M:$M)</f>
        <v>-0</v>
      </c>
      <c r="F81" s="71" t="n">
        <f aca="false">-SUMIF(FS_map!$H:$H,$D81,FS_map!$P:$P)</f>
        <v>-0</v>
      </c>
      <c r="G81" s="71" t="n">
        <f aca="false">F81*12/9</f>
        <v>-0</v>
      </c>
      <c r="H81" s="71" t="n">
        <f aca="false">SUMIF(WPL_2025YE!$D:$D,$D81,WPL_2025YE!$AI:$AI)</f>
        <v>0</v>
      </c>
      <c r="I81" s="71" t="n">
        <f aca="false">G81-H81</f>
        <v>-0</v>
      </c>
      <c r="J81" s="72" t="n">
        <f aca="false">IFERROR(I81/H81,IF(I81&gt;0,100%,IF(I81=0,0,-100%)))</f>
        <v>0</v>
      </c>
      <c r="K81" s="48" t="str">
        <f aca="false">IF(AND(ABS(I81)&gt;$J$5,ABS(J81)&gt;5%),"O","")</f>
        <v/>
      </c>
      <c r="L81" s="50"/>
      <c r="M81" s="100" t="n">
        <f aca="false">E81-F81</f>
        <v>0</v>
      </c>
      <c r="U81" s="43" t="n">
        <f aca="false">SUMIF('PL_DEC.2026'!$D:$D,$D81,'PL_DEC.2026'!$E:$E)</f>
        <v>0</v>
      </c>
      <c r="V81" s="43" t="n">
        <f aca="false">E81-U81</f>
        <v>-0</v>
      </c>
      <c r="W81" s="43" t="n">
        <f aca="false">SUMIF('PL_DEC.2026'!$D:$D,$D81,'PL_DEC.2026'!$L:$L)</f>
        <v>0</v>
      </c>
      <c r="X81" s="43" t="n">
        <f aca="false">F81-W81</f>
        <v>-0</v>
      </c>
    </row>
    <row r="82" customFormat="false" ht="13.5" hidden="false" customHeight="false" outlineLevel="0" collapsed="false">
      <c r="C82" s="45" t="s">
        <v>41</v>
      </c>
      <c r="D82" s="54" t="s">
        <v>334</v>
      </c>
      <c r="E82" s="71" t="n">
        <f aca="false">-SUMIF(FS_map!$H:$H,$D82,FS_map!$M:$M)</f>
        <v>-0</v>
      </c>
      <c r="F82" s="71" t="n">
        <f aca="false">-SUMIF(FS_map!$H:$H,$D82,FS_map!$P:$P)</f>
        <v>-0</v>
      </c>
      <c r="G82" s="71" t="n">
        <f aca="false">F82*12/9</f>
        <v>-0</v>
      </c>
      <c r="H82" s="71" t="n">
        <f aca="false">SUMIF(WPL_2025YE!$D:$D,$D82,WPL_2025YE!$AI:$AI)</f>
        <v>0</v>
      </c>
      <c r="I82" s="71" t="n">
        <f aca="false">G82-H82</f>
        <v>-0</v>
      </c>
      <c r="J82" s="72" t="n">
        <f aca="false">IFERROR(I82/H82,IF(I82&gt;0,100%,IF(I82=0,0,-100%)))</f>
        <v>0</v>
      </c>
      <c r="K82" s="48" t="str">
        <f aca="false">IF(AND(ABS(I82)&gt;$J$5,ABS(J82)&gt;5%),"O","")</f>
        <v/>
      </c>
      <c r="L82" s="50"/>
      <c r="M82" s="100" t="n">
        <f aca="false">E82-F82</f>
        <v>0</v>
      </c>
      <c r="U82" s="43" t="n">
        <f aca="false">SUMIF('PL_DEC.2026'!$D:$D,$D82,'PL_DEC.2026'!$E:$E)</f>
        <v>0</v>
      </c>
      <c r="V82" s="43" t="n">
        <f aca="false">E82-U82</f>
        <v>-0</v>
      </c>
      <c r="W82" s="43" t="n">
        <f aca="false">SUMIF('PL_DEC.2026'!$D:$D,$D82,'PL_DEC.2026'!$L:$L)</f>
        <v>0</v>
      </c>
      <c r="X82" s="43" t="n">
        <f aca="false">F82-W82</f>
        <v>-0</v>
      </c>
    </row>
    <row r="83" customFormat="false" ht="13.5" hidden="false" customHeight="false" outlineLevel="0" collapsed="false">
      <c r="C83" s="45" t="s">
        <v>44</v>
      </c>
      <c r="D83" s="54" t="s">
        <v>335</v>
      </c>
      <c r="E83" s="71" t="n">
        <f aca="false">-SUMIF(FS_map!$H:$H,$D83,FS_map!$M:$M)</f>
        <v>-0</v>
      </c>
      <c r="F83" s="71" t="n">
        <f aca="false">-SUMIF(FS_map!$H:$H,$D83,FS_map!$P:$P)</f>
        <v>-0</v>
      </c>
      <c r="G83" s="71" t="n">
        <f aca="false">F83*12/9</f>
        <v>-0</v>
      </c>
      <c r="H83" s="71" t="n">
        <f aca="false">SUMIF(WPL_2025YE!$D:$D,$D83,WPL_2025YE!$AI:$AI)</f>
        <v>0</v>
      </c>
      <c r="I83" s="71" t="n">
        <f aca="false">G83-H83</f>
        <v>-0</v>
      </c>
      <c r="J83" s="72" t="n">
        <f aca="false">IFERROR(I83/H83,IF(I83&gt;0,100%,IF(I83=0,0,-100%)))</f>
        <v>0</v>
      </c>
      <c r="K83" s="48" t="str">
        <f aca="false">IF(AND(ABS(I83)&gt;$J$5,ABS(J83)&gt;5%),"O","")</f>
        <v/>
      </c>
      <c r="L83" s="50"/>
      <c r="M83" s="100" t="n">
        <f aca="false">E83-F83</f>
        <v>0</v>
      </c>
      <c r="U83" s="43" t="n">
        <f aca="false">SUMIF('PL_DEC.2026'!$D:$D,$D83,'PL_DEC.2026'!$E:$E)</f>
        <v>0</v>
      </c>
      <c r="V83" s="43" t="n">
        <f aca="false">E83-U83</f>
        <v>-0</v>
      </c>
      <c r="W83" s="43" t="n">
        <f aca="false">SUMIF('PL_DEC.2026'!$D:$D,$D83,'PL_DEC.2026'!$L:$L)</f>
        <v>0</v>
      </c>
      <c r="X83" s="43" t="n">
        <f aca="false">F83-W83</f>
        <v>-0</v>
      </c>
    </row>
    <row r="84" customFormat="false" ht="13.5" hidden="false" customHeight="false" outlineLevel="0" collapsed="false">
      <c r="C84" s="45" t="s">
        <v>47</v>
      </c>
      <c r="D84" s="54" t="s">
        <v>336</v>
      </c>
      <c r="E84" s="71" t="n">
        <f aca="false">-SUMIF(FS_map!$H:$H,$D84,FS_map!$M:$M)</f>
        <v>-0</v>
      </c>
      <c r="F84" s="71" t="n">
        <f aca="false">-SUMIF(FS_map!$H:$H,$D84,FS_map!$P:$P)</f>
        <v>-0</v>
      </c>
      <c r="G84" s="71" t="n">
        <f aca="false">F84*12/9</f>
        <v>-0</v>
      </c>
      <c r="H84" s="71" t="n">
        <f aca="false">SUMIF(WPL_2025YE!$D:$D,$D84,WPL_2025YE!$AI:$AI)</f>
        <v>0</v>
      </c>
      <c r="I84" s="71" t="n">
        <f aca="false">G84-H84</f>
        <v>-0</v>
      </c>
      <c r="J84" s="72" t="n">
        <f aca="false">IFERROR(I84/H84,IF(I84&gt;0,100%,IF(I84=0,0,-100%)))</f>
        <v>0</v>
      </c>
      <c r="K84" s="48" t="str">
        <f aca="false">IF(AND(ABS(I84)&gt;$J$5,ABS(J84)&gt;5%),"O","")</f>
        <v/>
      </c>
      <c r="L84" s="50"/>
      <c r="M84" s="100" t="n">
        <f aca="false">E84-F84</f>
        <v>0</v>
      </c>
      <c r="U84" s="43" t="n">
        <f aca="false">SUMIF('PL_DEC.2026'!$D:$D,$D84,'PL_DEC.2026'!$E:$E)</f>
        <v>0</v>
      </c>
      <c r="V84" s="43" t="n">
        <f aca="false">E84-U84</f>
        <v>-0</v>
      </c>
      <c r="W84" s="43" t="n">
        <f aca="false">SUMIF('PL_DEC.2026'!$D:$D,$D84,'PL_DEC.2026'!$L:$L)</f>
        <v>0</v>
      </c>
      <c r="X84" s="43" t="n">
        <f aca="false">F84-W84</f>
        <v>-0</v>
      </c>
    </row>
    <row r="85" customFormat="false" ht="13.5" hidden="false" customHeight="false" outlineLevel="0" collapsed="false">
      <c r="C85" s="45" t="s">
        <v>50</v>
      </c>
      <c r="D85" s="54" t="s">
        <v>337</v>
      </c>
      <c r="E85" s="71" t="n">
        <f aca="false">-SUMIF(FS_map!$H:$H,$D85,FS_map!$M:$M)</f>
        <v>-0</v>
      </c>
      <c r="F85" s="71" t="n">
        <f aca="false">-SUMIF(FS_map!$H:$H,$D85,FS_map!$P:$P)</f>
        <v>-0</v>
      </c>
      <c r="G85" s="71" t="n">
        <f aca="false">F85*12/9</f>
        <v>-0</v>
      </c>
      <c r="H85" s="71" t="n">
        <f aca="false">SUMIF(WPL_2025YE!$D:$D,$D85,WPL_2025YE!$AI:$AI)</f>
        <v>0</v>
      </c>
      <c r="I85" s="71" t="n">
        <f aca="false">G85-H85</f>
        <v>-0</v>
      </c>
      <c r="J85" s="72" t="n">
        <f aca="false">IFERROR(I85/H85,IF(I85&gt;0,100%,IF(I85=0,0,-100%)))</f>
        <v>0</v>
      </c>
      <c r="K85" s="48" t="str">
        <f aca="false">IF(AND(ABS(I85)&gt;$J$5,ABS(J85)&gt;5%),"O","")</f>
        <v/>
      </c>
      <c r="L85" s="50"/>
      <c r="M85" s="100" t="n">
        <f aca="false">E85-F85</f>
        <v>0</v>
      </c>
      <c r="U85" s="43" t="n">
        <f aca="false">SUMIF('PL_DEC.2026'!$D:$D,$D85,'PL_DEC.2026'!$E:$E)</f>
        <v>0</v>
      </c>
      <c r="V85" s="43" t="n">
        <f aca="false">E85-U85</f>
        <v>-0</v>
      </c>
      <c r="W85" s="43" t="n">
        <f aca="false">SUMIF('PL_DEC.2026'!$D:$D,$D85,'PL_DEC.2026'!$L:$L)</f>
        <v>0</v>
      </c>
      <c r="X85" s="43" t="n">
        <f aca="false">F85-W85</f>
        <v>-0</v>
      </c>
    </row>
    <row r="86" customFormat="false" ht="13.5" hidden="false" customHeight="false" outlineLevel="0" collapsed="false">
      <c r="C86" s="45" t="s">
        <v>53</v>
      </c>
      <c r="D86" s="54" t="s">
        <v>338</v>
      </c>
      <c r="E86" s="71" t="n">
        <f aca="false">-SUMIF(FS_map!$H:$H,$D86,FS_map!$M:$M)</f>
        <v>-0</v>
      </c>
      <c r="F86" s="71" t="n">
        <f aca="false">-SUMIF(FS_map!$H:$H,$D86,FS_map!$P:$P)</f>
        <v>-0</v>
      </c>
      <c r="G86" s="71" t="n">
        <f aca="false">F86*12/9</f>
        <v>-0</v>
      </c>
      <c r="H86" s="71" t="n">
        <f aca="false">SUMIF(WPL_2025YE!$D:$D,$D86,WPL_2025YE!$AI:$AI)</f>
        <v>0</v>
      </c>
      <c r="I86" s="71" t="n">
        <f aca="false">G86-H86</f>
        <v>-0</v>
      </c>
      <c r="J86" s="72" t="n">
        <f aca="false">IFERROR(I86/H86,IF(I86&gt;0,100%,IF(I86=0,0,-100%)))</f>
        <v>0</v>
      </c>
      <c r="K86" s="48" t="str">
        <f aca="false">IF(AND(ABS(I86)&gt;$J$5,ABS(J86)&gt;5%),"O","")</f>
        <v/>
      </c>
      <c r="L86" s="50"/>
      <c r="M86" s="100" t="n">
        <f aca="false">E86-F86</f>
        <v>0</v>
      </c>
      <c r="U86" s="43" t="n">
        <f aca="false">SUMIF('PL_DEC.2026'!$D:$D,$D86,'PL_DEC.2026'!$E:$E)</f>
        <v>0</v>
      </c>
      <c r="V86" s="43" t="n">
        <f aca="false">E86-U86</f>
        <v>-0</v>
      </c>
      <c r="W86" s="43" t="n">
        <f aca="false">SUMIF('PL_DEC.2026'!$D:$D,$D86,'PL_DEC.2026'!$L:$L)</f>
        <v>0</v>
      </c>
      <c r="X86" s="43" t="n">
        <f aca="false">F86-W86</f>
        <v>-0</v>
      </c>
    </row>
    <row r="87" customFormat="false" ht="13.5" hidden="false" customHeight="false" outlineLevel="0" collapsed="false">
      <c r="C87" s="45" t="s">
        <v>56</v>
      </c>
      <c r="D87" s="54" t="s">
        <v>339</v>
      </c>
      <c r="E87" s="71" t="n">
        <f aca="false">-SUMIF(FS_map!$H:$H,$D87,FS_map!$M:$M)</f>
        <v>21474711333</v>
      </c>
      <c r="F87" s="71" t="n">
        <f aca="false">-SUMIF(FS_map!$H:$H,$D87,FS_map!$P:$P)</f>
        <v>730375017</v>
      </c>
      <c r="G87" s="71" t="n">
        <f aca="false">F87*12/9</f>
        <v>973833356</v>
      </c>
      <c r="H87" s="71" t="n">
        <f aca="false">SUMIF(WPL_2025YE!$D:$D,$D87,WPL_2025YE!$AI:$AI)</f>
        <v>18946687440</v>
      </c>
      <c r="I87" s="71" t="n">
        <f aca="false">G87-H87</f>
        <v>-17972854084</v>
      </c>
      <c r="J87" s="72" t="n">
        <f aca="false">IFERROR(I87/H87,IF(I87&gt;0,100%,IF(I87=0,0,-100%)))</f>
        <v>-0.948601392244216</v>
      </c>
      <c r="K87" s="48" t="str">
        <f aca="false">IF(AND(ABS(I87)&gt;$J$5,ABS(J87)&gt;5%),"O","")</f>
        <v>O</v>
      </c>
      <c r="L87" s="49"/>
      <c r="M87" s="100" t="n">
        <f aca="false">E87-F87</f>
        <v>20744336316</v>
      </c>
      <c r="N87" s="93"/>
      <c r="U87" s="43" t="n">
        <f aca="false">SUMIF('PL_DEC.2026'!$D:$D,$D87,'PL_DEC.2026'!$E:$E)</f>
        <v>21474711333</v>
      </c>
      <c r="V87" s="43" t="n">
        <f aca="false">E87-U87</f>
        <v>0</v>
      </c>
      <c r="W87" s="43" t="n">
        <f aca="false">SUMIF('PL_DEC.2026'!$D:$D,$D87,'PL_DEC.2026'!$L:$L)</f>
        <v>629162757</v>
      </c>
      <c r="X87" s="43" t="n">
        <f aca="false">F87-W87</f>
        <v>101212260</v>
      </c>
    </row>
    <row r="88" customFormat="false" ht="13.5" hidden="false" customHeight="false" outlineLevel="0" collapsed="false">
      <c r="C88" s="45" t="s">
        <v>59</v>
      </c>
      <c r="D88" s="54" t="s">
        <v>340</v>
      </c>
      <c r="E88" s="71" t="n">
        <f aca="false">-SUMIF(FS_map!$H:$H,$D88,FS_map!$M:$M)</f>
        <v>-0</v>
      </c>
      <c r="F88" s="71" t="n">
        <f aca="false">-SUMIF(FS_map!$H:$H,$D88,FS_map!$P:$P)</f>
        <v>-0</v>
      </c>
      <c r="G88" s="71" t="n">
        <f aca="false">F88*12/9</f>
        <v>-0</v>
      </c>
      <c r="H88" s="71" t="n">
        <f aca="false">SUMIF(WPL_2025YE!$D:$D,$D88,WPL_2025YE!$AI:$AI)</f>
        <v>0</v>
      </c>
      <c r="I88" s="71" t="n">
        <f aca="false">G88-H88</f>
        <v>-0</v>
      </c>
      <c r="J88" s="72" t="n">
        <f aca="false">IFERROR(I88/H88,IF(I88&gt;0,100%,IF(I88=0,0,-100%)))</f>
        <v>0</v>
      </c>
      <c r="K88" s="48" t="str">
        <f aca="false">IF(AND(ABS(I88)&gt;$J$5,ABS(J88)&gt;5%),"O","")</f>
        <v/>
      </c>
      <c r="L88" s="50"/>
      <c r="M88" s="100" t="n">
        <f aca="false">E88-F88</f>
        <v>0</v>
      </c>
      <c r="N88" s="93"/>
      <c r="U88" s="43" t="n">
        <f aca="false">SUMIF('PL_DEC.2026'!$D:$D,$D88,'PL_DEC.2026'!$E:$E)</f>
        <v>0</v>
      </c>
      <c r="V88" s="43" t="n">
        <f aca="false">E88-U88</f>
        <v>-0</v>
      </c>
      <c r="W88" s="43" t="n">
        <f aca="false">SUMIF('PL_DEC.2026'!$D:$D,$D88,'PL_DEC.2026'!$L:$L)</f>
        <v>0</v>
      </c>
      <c r="X88" s="43" t="n">
        <f aca="false">F88-W88</f>
        <v>-0</v>
      </c>
    </row>
    <row r="89" customFormat="false" ht="13.5" hidden="false" customHeight="false" outlineLevel="0" collapsed="false">
      <c r="C89" s="45" t="s">
        <v>182</v>
      </c>
      <c r="D89" s="54" t="s">
        <v>341</v>
      </c>
      <c r="E89" s="71" t="n">
        <f aca="false">-SUMIF(FS_map!$H:$H,$D89,FS_map!$M:$M)</f>
        <v>-0</v>
      </c>
      <c r="F89" s="71" t="n">
        <f aca="false">-SUMIF(FS_map!$H:$H,$D89,FS_map!$P:$P)</f>
        <v>-0</v>
      </c>
      <c r="G89" s="71" t="n">
        <f aca="false">F89*12/9</f>
        <v>-0</v>
      </c>
      <c r="H89" s="71" t="n">
        <f aca="false">SUMIF(WPL_2025YE!$D:$D,$D89,WPL_2025YE!$AI:$AI)</f>
        <v>0</v>
      </c>
      <c r="I89" s="71" t="n">
        <f aca="false">G89-H89</f>
        <v>-0</v>
      </c>
      <c r="J89" s="72" t="n">
        <f aca="false">IFERROR(I89/H89,IF(I89&gt;0,100%,IF(I89=0,0,-100%)))</f>
        <v>0</v>
      </c>
      <c r="K89" s="48" t="str">
        <f aca="false">IF(AND(ABS(I89)&gt;$J$5,ABS(J89)&gt;5%),"O","")</f>
        <v/>
      </c>
      <c r="L89" s="50"/>
      <c r="M89" s="100" t="n">
        <f aca="false">E89-F89</f>
        <v>0</v>
      </c>
      <c r="U89" s="43" t="n">
        <f aca="false">SUMIF('PL_DEC.2026'!$D:$D,$D89,'PL_DEC.2026'!$E:$E)</f>
        <v>0</v>
      </c>
      <c r="V89" s="43" t="n">
        <f aca="false">E89-U89</f>
        <v>-0</v>
      </c>
      <c r="W89" s="43" t="n">
        <f aca="false">SUMIF('PL_DEC.2026'!$D:$D,$D89,'PL_DEC.2026'!$L:$L)</f>
        <v>0</v>
      </c>
      <c r="X89" s="43" t="n">
        <f aca="false">F89-W89</f>
        <v>-0</v>
      </c>
    </row>
    <row r="90" customFormat="false" ht="13.5" hidden="false" customHeight="false" outlineLevel="0" collapsed="false">
      <c r="C90" s="45" t="s">
        <v>342</v>
      </c>
      <c r="D90" s="54" t="s">
        <v>343</v>
      </c>
      <c r="E90" s="71" t="n">
        <f aca="false">-SUMIF(FS_map!$H:$H,$D90,FS_map!$M:$M)</f>
        <v>-0</v>
      </c>
      <c r="F90" s="71" t="n">
        <f aca="false">-SUMIF(FS_map!$H:$H,$D90,FS_map!$P:$P)</f>
        <v>-0</v>
      </c>
      <c r="G90" s="71" t="n">
        <f aca="false">F90*12/9</f>
        <v>-0</v>
      </c>
      <c r="H90" s="71" t="n">
        <f aca="false">SUMIF(WPL_2025YE!$D:$D,$D90,WPL_2025YE!$AI:$AI)</f>
        <v>0</v>
      </c>
      <c r="I90" s="71" t="n">
        <f aca="false">G90-H90</f>
        <v>-0</v>
      </c>
      <c r="J90" s="72" t="n">
        <f aca="false">IFERROR(I90/H90,IF(I90&gt;0,100%,IF(I90=0,0,-100%)))</f>
        <v>0</v>
      </c>
      <c r="K90" s="48" t="str">
        <f aca="false">IF(AND(ABS(I90)&gt;$J$5,ABS(J90)&gt;5%),"O","")</f>
        <v/>
      </c>
      <c r="L90" s="50"/>
      <c r="M90" s="100" t="n">
        <f aca="false">E90-F90</f>
        <v>0</v>
      </c>
      <c r="U90" s="43" t="n">
        <f aca="false">SUMIF('PL_DEC.2026'!$D:$D,$D90,'PL_DEC.2026'!$E:$E)</f>
        <v>0</v>
      </c>
      <c r="V90" s="43" t="n">
        <f aca="false">E90-U90</f>
        <v>-0</v>
      </c>
      <c r="W90" s="43" t="n">
        <f aca="false">SUMIF('PL_DEC.2026'!$D:$D,$D90,'PL_DEC.2026'!$L:$L)</f>
        <v>0</v>
      </c>
      <c r="X90" s="43" t="n">
        <f aca="false">F90-W90</f>
        <v>-0</v>
      </c>
    </row>
    <row r="91" customFormat="false" ht="13.5" hidden="false" customHeight="false" outlineLevel="0" collapsed="false">
      <c r="C91" s="35" t="s">
        <v>344</v>
      </c>
      <c r="D91" s="36"/>
      <c r="E91" s="37" t="n">
        <f aca="false">SUM(E92:E107)</f>
        <v>2174644784</v>
      </c>
      <c r="F91" s="37" t="n">
        <f aca="false">SUM(F92:F107)</f>
        <v>2174644784</v>
      </c>
      <c r="G91" s="37" t="n">
        <f aca="false">F91*12/9</f>
        <v>2899526378.66667</v>
      </c>
      <c r="H91" s="37" t="n">
        <f aca="false">SUM(H92:H107)</f>
        <v>483100924</v>
      </c>
      <c r="I91" s="37" t="n">
        <f aca="false">G91-H91</f>
        <v>2416425454.66667</v>
      </c>
      <c r="J91" s="38" t="n">
        <f aca="false">IFERROR(I91/H91,IF(I91&gt;0,100%,IF(I91=0,0,-100%)))</f>
        <v>5.0019060917107</v>
      </c>
      <c r="K91" s="39"/>
      <c r="L91" s="40"/>
      <c r="M91" s="100" t="n">
        <f aca="false">E91-F91</f>
        <v>0</v>
      </c>
      <c r="N91" s="154"/>
      <c r="U91" s="43" t="n">
        <f aca="false">SUM(U92:U107)</f>
        <v>2174644784</v>
      </c>
      <c r="V91" s="43" t="n">
        <f aca="false">E91-U91</f>
        <v>0</v>
      </c>
      <c r="W91" s="43" t="n">
        <f aca="false">SUM(W92:W107)</f>
        <v>2174644784</v>
      </c>
      <c r="X91" s="43" t="n">
        <f aca="false">F91-W91</f>
        <v>0</v>
      </c>
    </row>
    <row r="92" customFormat="false" ht="13.5" hidden="false" customHeight="false" outlineLevel="0" collapsed="false">
      <c r="C92" s="45" t="s">
        <v>26</v>
      </c>
      <c r="D92" s="54" t="s">
        <v>345</v>
      </c>
      <c r="E92" s="71" t="n">
        <f aca="false">SUMIF(FS_map!$H:$H,$D92,FS_map!$M:$M)</f>
        <v>149258988</v>
      </c>
      <c r="F92" s="71" t="n">
        <f aca="false">SUMIF(FS_map!$H:$H,$D92,FS_map!$P:$P)</f>
        <v>149258988</v>
      </c>
      <c r="G92" s="71" t="n">
        <f aca="false">F92*12/9</f>
        <v>199011984</v>
      </c>
      <c r="H92" s="71" t="n">
        <f aca="false">SUMIF(WPL_2025YE!$D:$D,$D92,WPL_2025YE!$AI:$AI)</f>
        <v>92801999</v>
      </c>
      <c r="I92" s="71" t="n">
        <f aca="false">G92-H92</f>
        <v>106209985</v>
      </c>
      <c r="J92" s="72" t="n">
        <f aca="false">IFERROR(I92/H92,IF(I92&gt;0,100%,IF(I92=0,0,-100%)))</f>
        <v>1.14447949553328</v>
      </c>
      <c r="K92" s="48" t="str">
        <f aca="false">IF(AND(ABS(I92)&gt;$J$5,ABS(J92)&gt;5%),"O","")</f>
        <v/>
      </c>
      <c r="L92" s="50"/>
      <c r="M92" s="100" t="n">
        <f aca="false">E92-F92</f>
        <v>0</v>
      </c>
      <c r="U92" s="43" t="n">
        <f aca="false">SUMIF('PL_DEC.2026'!$D:$D,$D92,'PL_DEC.2026'!$E:$E)</f>
        <v>149258988</v>
      </c>
      <c r="V92" s="43" t="n">
        <f aca="false">E92-U92</f>
        <v>0</v>
      </c>
      <c r="W92" s="43" t="n">
        <f aca="false">SUMIF('PL_DEC.2026'!$D:$D,$D92,'PL_DEC.2026'!$L:$L)</f>
        <v>149258988</v>
      </c>
      <c r="X92" s="43" t="n">
        <f aca="false">F92-W92</f>
        <v>0</v>
      </c>
    </row>
    <row r="93" customFormat="false" ht="13.5" hidden="false" customHeight="false" outlineLevel="0" collapsed="false">
      <c r="C93" s="45" t="s">
        <v>29</v>
      </c>
      <c r="D93" s="54" t="s">
        <v>346</v>
      </c>
      <c r="E93" s="71" t="n">
        <f aca="false">SUMIF(FS_map!$H:$H,$D93,FS_map!$M:$M)</f>
        <v>0</v>
      </c>
      <c r="F93" s="71" t="n">
        <f aca="false">SUMIF(FS_map!$H:$H,$D93,FS_map!$P:$P)</f>
        <v>0</v>
      </c>
      <c r="G93" s="71" t="n">
        <f aca="false">F93*12/9</f>
        <v>0</v>
      </c>
      <c r="H93" s="71" t="n">
        <f aca="false">SUMIF(WPL_2025YE!$D:$D,$D93,WPL_2025YE!$AI:$AI)</f>
        <v>0</v>
      </c>
      <c r="I93" s="71" t="n">
        <f aca="false">G93-H93</f>
        <v>0</v>
      </c>
      <c r="J93" s="72" t="n">
        <f aca="false">IFERROR(I93/H93,IF(I93&gt;0,100%,IF(I93=0,0,-100%)))</f>
        <v>0</v>
      </c>
      <c r="K93" s="48" t="str">
        <f aca="false">IF(AND(ABS(I93)&gt;$J$5,ABS(J93)&gt;5%),"O","")</f>
        <v/>
      </c>
      <c r="L93" s="50"/>
      <c r="M93" s="100" t="n">
        <f aca="false">E93-F93</f>
        <v>0</v>
      </c>
      <c r="U93" s="43" t="n">
        <f aca="false">SUMIF('PL_DEC.2026'!$D:$D,$D93,'PL_DEC.2026'!$E:$E)</f>
        <v>0</v>
      </c>
      <c r="V93" s="43" t="n">
        <f aca="false">E93-U93</f>
        <v>0</v>
      </c>
      <c r="W93" s="43" t="n">
        <f aca="false">SUMIF('PL_DEC.2026'!$D:$D,$D93,'PL_DEC.2026'!$L:$L)</f>
        <v>0</v>
      </c>
      <c r="X93" s="43" t="n">
        <f aca="false">F93-W93</f>
        <v>0</v>
      </c>
    </row>
    <row r="94" customFormat="false" ht="13.5" hidden="false" customHeight="false" outlineLevel="0" collapsed="false">
      <c r="C94" s="45" t="s">
        <v>32</v>
      </c>
      <c r="D94" s="54" t="s">
        <v>347</v>
      </c>
      <c r="E94" s="71" t="n">
        <f aca="false">SUMIF(FS_map!$H:$H,$D94,FS_map!$M:$M)</f>
        <v>-37435248</v>
      </c>
      <c r="F94" s="71" t="n">
        <f aca="false">SUMIF(FS_map!$H:$H,$D94,FS_map!$P:$P)</f>
        <v>-37435248</v>
      </c>
      <c r="G94" s="71" t="n">
        <f aca="false">F94*12/9</f>
        <v>-49913664</v>
      </c>
      <c r="H94" s="71" t="n">
        <f aca="false">SUMIF(WPL_2025YE!$D:$D,$D94,WPL_2025YE!$AI:$AI)</f>
        <v>33586551</v>
      </c>
      <c r="I94" s="71" t="n">
        <f aca="false">G94-H94</f>
        <v>-83500215</v>
      </c>
      <c r="J94" s="72" t="n">
        <f aca="false">IFERROR(I94/H94,IF(I94&gt;0,100%,IF(I94=0,0,-100%)))</f>
        <v>-2.48612056057795</v>
      </c>
      <c r="K94" s="48" t="str">
        <f aca="false">IF(AND(ABS(I94)&gt;$J$5,ABS(J94)&gt;5%),"O","")</f>
        <v/>
      </c>
      <c r="L94" s="50"/>
      <c r="M94" s="100" t="n">
        <f aca="false">E94-F94</f>
        <v>0</v>
      </c>
      <c r="U94" s="43" t="n">
        <f aca="false">SUMIF('PL_DEC.2026'!$D:$D,$D94,'PL_DEC.2026'!$E:$E)</f>
        <v>-37435248</v>
      </c>
      <c r="V94" s="43" t="n">
        <f aca="false">E94-U94</f>
        <v>0</v>
      </c>
      <c r="W94" s="43" t="n">
        <f aca="false">SUMIF('PL_DEC.2026'!$D:$D,$D94,'PL_DEC.2026'!$L:$L)</f>
        <v>-37435248</v>
      </c>
      <c r="X94" s="43" t="n">
        <f aca="false">F94-W94</f>
        <v>0</v>
      </c>
    </row>
    <row r="95" customFormat="false" ht="13.5" hidden="false" customHeight="false" outlineLevel="0" collapsed="false">
      <c r="C95" s="45" t="s">
        <v>35</v>
      </c>
      <c r="D95" s="54" t="s">
        <v>348</v>
      </c>
      <c r="E95" s="71" t="n">
        <f aca="false">SUMIF(FS_map!$H:$H,$D95,FS_map!$M:$M)</f>
        <v>0</v>
      </c>
      <c r="F95" s="71" t="n">
        <f aca="false">SUMIF(FS_map!$H:$H,$D95,FS_map!$P:$P)</f>
        <v>0</v>
      </c>
      <c r="G95" s="71" t="n">
        <f aca="false">F95*12/9</f>
        <v>0</v>
      </c>
      <c r="H95" s="71" t="n">
        <f aca="false">SUMIF(WPL_2025YE!$D:$D,$D95,WPL_2025YE!$AI:$AI)</f>
        <v>0</v>
      </c>
      <c r="I95" s="71" t="n">
        <f aca="false">G95-H95</f>
        <v>0</v>
      </c>
      <c r="J95" s="72" t="n">
        <f aca="false">IFERROR(I95/H95,IF(I95&gt;0,100%,IF(I95=0,0,-100%)))</f>
        <v>0</v>
      </c>
      <c r="K95" s="48" t="str">
        <f aca="false">IF(AND(ABS(I95)&gt;$J$5,ABS(J95)&gt;5%),"O","")</f>
        <v/>
      </c>
      <c r="L95" s="50"/>
      <c r="M95" s="100" t="n">
        <f aca="false">E95-F95</f>
        <v>0</v>
      </c>
      <c r="U95" s="43" t="n">
        <f aca="false">SUMIF('PL_DEC.2026'!$D:$D,$D95,'PL_DEC.2026'!$E:$E)</f>
        <v>0</v>
      </c>
      <c r="V95" s="43" t="n">
        <f aca="false">E95-U95</f>
        <v>0</v>
      </c>
      <c r="W95" s="43" t="n">
        <f aca="false">SUMIF('PL_DEC.2026'!$D:$D,$D95,'PL_DEC.2026'!$L:$L)</f>
        <v>0</v>
      </c>
      <c r="X95" s="43" t="n">
        <f aca="false">F95-W95</f>
        <v>0</v>
      </c>
    </row>
    <row r="96" customFormat="false" ht="13.5" hidden="false" customHeight="false" outlineLevel="0" collapsed="false">
      <c r="C96" s="45" t="s">
        <v>38</v>
      </c>
      <c r="D96" s="54" t="s">
        <v>349</v>
      </c>
      <c r="E96" s="71" t="n">
        <f aca="false">SUMIF(FS_map!$H:$H,$D96,FS_map!$M:$M)</f>
        <v>290797619</v>
      </c>
      <c r="F96" s="71" t="n">
        <f aca="false">SUMIF(FS_map!$H:$H,$D96,FS_map!$P:$P)</f>
        <v>290797619</v>
      </c>
      <c r="G96" s="71" t="n">
        <f aca="false">F96*12/9</f>
        <v>387730158.666667</v>
      </c>
      <c r="H96" s="71" t="n">
        <f aca="false">SUMIF(WPL_2025YE!$D:$D,$D96,WPL_2025YE!$AI:$AI)</f>
        <v>259053818</v>
      </c>
      <c r="I96" s="71" t="n">
        <f aca="false">G96-H96</f>
        <v>128676340.666667</v>
      </c>
      <c r="J96" s="72" t="n">
        <f aca="false">IFERROR(I96/H96,IF(I96&gt;0,100%,IF(I96=0,0,-100%)))</f>
        <v>0.496716634636385</v>
      </c>
      <c r="K96" s="48" t="str">
        <f aca="false">IF(AND(ABS(I96)&gt;$J$5,ABS(J96)&gt;5%),"O","")</f>
        <v/>
      </c>
      <c r="L96" s="50"/>
      <c r="M96" s="100" t="n">
        <f aca="false">E96-F96</f>
        <v>0</v>
      </c>
      <c r="U96" s="43" t="n">
        <f aca="false">SUMIF('PL_DEC.2026'!$D:$D,$D96,'PL_DEC.2026'!$E:$E)</f>
        <v>290797619</v>
      </c>
      <c r="V96" s="43" t="n">
        <f aca="false">E96-U96</f>
        <v>0</v>
      </c>
      <c r="W96" s="43" t="n">
        <f aca="false">SUMIF('PL_DEC.2026'!$D:$D,$D96,'PL_DEC.2026'!$L:$L)</f>
        <v>290797619</v>
      </c>
      <c r="X96" s="43" t="n">
        <f aca="false">F96-W96</f>
        <v>0</v>
      </c>
    </row>
    <row r="97" customFormat="false" ht="13.5" hidden="false" customHeight="false" outlineLevel="0" collapsed="false">
      <c r="C97" s="45" t="s">
        <v>41</v>
      </c>
      <c r="D97" s="54" t="s">
        <v>350</v>
      </c>
      <c r="E97" s="71" t="n">
        <f aca="false">SUMIF(FS_map!$H:$H,$D97,FS_map!$M:$M)</f>
        <v>0</v>
      </c>
      <c r="F97" s="71" t="n">
        <f aca="false">SUMIF(FS_map!$H:$H,$D97,FS_map!$P:$P)</f>
        <v>0</v>
      </c>
      <c r="G97" s="71" t="n">
        <f aca="false">F97*12/9</f>
        <v>0</v>
      </c>
      <c r="H97" s="71" t="n">
        <f aca="false">SUMIF(WPL_2025YE!$D:$D,$D97,WPL_2025YE!$AI:$AI)</f>
        <v>0</v>
      </c>
      <c r="I97" s="71" t="n">
        <f aca="false">G97-H97</f>
        <v>0</v>
      </c>
      <c r="J97" s="72" t="n">
        <f aca="false">IFERROR(I97/H97,IF(I97&gt;0,100%,IF(I97=0,0,-100%)))</f>
        <v>0</v>
      </c>
      <c r="K97" s="48" t="str">
        <f aca="false">IF(AND(ABS(I97)&gt;$J$5,ABS(J97)&gt;5%),"O","")</f>
        <v/>
      </c>
      <c r="L97" s="50"/>
      <c r="M97" s="100" t="n">
        <f aca="false">E97-F97</f>
        <v>0</v>
      </c>
      <c r="U97" s="43" t="n">
        <f aca="false">SUMIF('PL_DEC.2026'!$D:$D,$D97,'PL_DEC.2026'!$E:$E)</f>
        <v>0</v>
      </c>
      <c r="V97" s="43" t="n">
        <f aca="false">E97-U97</f>
        <v>0</v>
      </c>
      <c r="W97" s="43" t="n">
        <f aca="false">SUMIF('PL_DEC.2026'!$D:$D,$D97,'PL_DEC.2026'!$L:$L)</f>
        <v>0</v>
      </c>
      <c r="X97" s="43" t="n">
        <f aca="false">F97-W97</f>
        <v>0</v>
      </c>
    </row>
    <row r="98" customFormat="false" ht="13.5" hidden="false" customHeight="false" outlineLevel="0" collapsed="false">
      <c r="C98" s="45" t="s">
        <v>44</v>
      </c>
      <c r="D98" s="54" t="s">
        <v>351</v>
      </c>
      <c r="E98" s="71" t="n">
        <f aca="false">SUMIF(FS_map!$H:$H,$D98,FS_map!$M:$M)</f>
        <v>1372357643</v>
      </c>
      <c r="F98" s="71" t="n">
        <f aca="false">SUMIF(FS_map!$H:$H,$D98,FS_map!$P:$P)</f>
        <v>1372357643</v>
      </c>
      <c r="G98" s="71" t="n">
        <f aca="false">F98*12/9</f>
        <v>1829810190.66667</v>
      </c>
      <c r="H98" s="71" t="n">
        <f aca="false">SUMIF(WPL_2025YE!$D:$D,$D98,WPL_2025YE!$AI:$AI)</f>
        <v>0</v>
      </c>
      <c r="I98" s="71" t="n">
        <f aca="false">G98-H98</f>
        <v>1829810190.66667</v>
      </c>
      <c r="J98" s="72" t="n">
        <f aca="false">IFERROR(I98/H98,IF(I98&gt;0,100%,IF(I98=0,0,-100%)))</f>
        <v>1</v>
      </c>
      <c r="K98" s="48" t="str">
        <f aca="false">IF(AND(ABS(I98)&gt;$J$5,ABS(J98)&gt;5%),"O","")</f>
        <v/>
      </c>
      <c r="L98" s="49"/>
      <c r="M98" s="100" t="n">
        <f aca="false">E98-F98</f>
        <v>0</v>
      </c>
      <c r="U98" s="43" t="n">
        <f aca="false">SUMIF('PL_DEC.2026'!$D:$D,$D98,'PL_DEC.2026'!$E:$E)</f>
        <v>1372357643</v>
      </c>
      <c r="V98" s="43" t="n">
        <f aca="false">E98-U98</f>
        <v>0</v>
      </c>
      <c r="W98" s="43" t="n">
        <f aca="false">SUMIF('PL_DEC.2026'!$D:$D,$D98,'PL_DEC.2026'!$L:$L)</f>
        <v>1372357643</v>
      </c>
      <c r="X98" s="43" t="n">
        <f aca="false">F98-W98</f>
        <v>0</v>
      </c>
    </row>
    <row r="99" customFormat="false" ht="13.5" hidden="false" customHeight="false" outlineLevel="0" collapsed="false">
      <c r="C99" s="45" t="s">
        <v>47</v>
      </c>
      <c r="D99" s="54" t="s">
        <v>352</v>
      </c>
      <c r="E99" s="71" t="n">
        <f aca="false">SUMIF(FS_map!$H:$H,$D99,FS_map!$M:$M)</f>
        <v>0</v>
      </c>
      <c r="F99" s="71" t="n">
        <f aca="false">SUMIF(FS_map!$H:$H,$D99,FS_map!$P:$P)</f>
        <v>0</v>
      </c>
      <c r="G99" s="71" t="n">
        <f aca="false">F99*12/9</f>
        <v>0</v>
      </c>
      <c r="H99" s="71" t="n">
        <f aca="false">SUMIF(WPL_2025YE!$D:$D,$D99,WPL_2025YE!$AI:$AI)</f>
        <v>0</v>
      </c>
      <c r="I99" s="71" t="n">
        <f aca="false">G99-H99</f>
        <v>0</v>
      </c>
      <c r="J99" s="72" t="n">
        <f aca="false">IFERROR(I99/H99,IF(I99&gt;0,100%,IF(I99=0,0,-100%)))</f>
        <v>0</v>
      </c>
      <c r="K99" s="48" t="str">
        <f aca="false">IF(AND(ABS(I99)&gt;$J$5,ABS(J99)&gt;5%),"O","")</f>
        <v/>
      </c>
      <c r="L99" s="50"/>
      <c r="M99" s="100" t="n">
        <f aca="false">E99-F99</f>
        <v>0</v>
      </c>
      <c r="U99" s="43" t="n">
        <f aca="false">SUMIF('PL_DEC.2026'!$D:$D,$D99,'PL_DEC.2026'!$E:$E)</f>
        <v>0</v>
      </c>
      <c r="V99" s="43" t="n">
        <f aca="false">E99-U99</f>
        <v>0</v>
      </c>
      <c r="W99" s="43" t="n">
        <f aca="false">SUMIF('PL_DEC.2026'!$D:$D,$D99,'PL_DEC.2026'!$L:$L)</f>
        <v>0</v>
      </c>
      <c r="X99" s="43" t="n">
        <f aca="false">F99-W99</f>
        <v>0</v>
      </c>
    </row>
    <row r="100" customFormat="false" ht="13.5" hidden="false" customHeight="false" outlineLevel="0" collapsed="false">
      <c r="C100" s="45" t="s">
        <v>50</v>
      </c>
      <c r="D100" s="54" t="s">
        <v>353</v>
      </c>
      <c r="E100" s="71" t="n">
        <f aca="false">SUMIF(FS_map!$H:$H,$D100,FS_map!$M:$M)</f>
        <v>0</v>
      </c>
      <c r="F100" s="71" t="n">
        <f aca="false">SUMIF(FS_map!$H:$H,$D100,FS_map!$P:$P)</f>
        <v>0</v>
      </c>
      <c r="G100" s="71" t="n">
        <f aca="false">F100*12/9</f>
        <v>0</v>
      </c>
      <c r="H100" s="71" t="n">
        <f aca="false">SUMIF(WPL_2025YE!$D:$D,$D100,WPL_2025YE!$AI:$AI)</f>
        <v>0</v>
      </c>
      <c r="I100" s="71" t="n">
        <f aca="false">G100-H100</f>
        <v>0</v>
      </c>
      <c r="J100" s="72" t="n">
        <f aca="false">IFERROR(I100/H100,IF(I100&gt;0,100%,IF(I100=0,0,-100%)))</f>
        <v>0</v>
      </c>
      <c r="K100" s="48" t="str">
        <f aca="false">IF(AND(ABS(I100)&gt;$J$5,ABS(J100)&gt;5%),"O","")</f>
        <v/>
      </c>
      <c r="L100" s="50"/>
      <c r="M100" s="100" t="n">
        <f aca="false">E100-F100</f>
        <v>0</v>
      </c>
      <c r="U100" s="43" t="n">
        <f aca="false">SUMIF('PL_DEC.2026'!$D:$D,$D100,'PL_DEC.2026'!$E:$E)</f>
        <v>0</v>
      </c>
      <c r="V100" s="43" t="n">
        <f aca="false">E100-U100</f>
        <v>0</v>
      </c>
      <c r="W100" s="43" t="n">
        <f aca="false">SUMIF('PL_DEC.2026'!$D:$D,$D100,'PL_DEC.2026'!$L:$L)</f>
        <v>0</v>
      </c>
      <c r="X100" s="43" t="n">
        <f aca="false">F100-W100</f>
        <v>0</v>
      </c>
    </row>
    <row r="101" customFormat="false" ht="13.5" hidden="false" customHeight="false" outlineLevel="0" collapsed="false">
      <c r="C101" s="45" t="s">
        <v>53</v>
      </c>
      <c r="D101" s="54" t="s">
        <v>354</v>
      </c>
      <c r="E101" s="71" t="n">
        <f aca="false">SUMIF(FS_map!$H:$H,$D101,FS_map!$M:$M)</f>
        <v>0</v>
      </c>
      <c r="F101" s="71" t="n">
        <f aca="false">SUMIF(FS_map!$H:$H,$D101,FS_map!$P:$P)</f>
        <v>0</v>
      </c>
      <c r="G101" s="71" t="n">
        <f aca="false">F101*12/9</f>
        <v>0</v>
      </c>
      <c r="H101" s="71" t="n">
        <f aca="false">SUMIF(WPL_2025YE!$D:$D,$D101,WPL_2025YE!$AI:$AI)</f>
        <v>0</v>
      </c>
      <c r="I101" s="71" t="n">
        <f aca="false">G101-H101</f>
        <v>0</v>
      </c>
      <c r="J101" s="72" t="n">
        <f aca="false">IFERROR(I101/H101,IF(I101&gt;0,100%,IF(I101=0,0,-100%)))</f>
        <v>0</v>
      </c>
      <c r="K101" s="48" t="str">
        <f aca="false">IF(AND(ABS(I101)&gt;$J$5,ABS(J101)&gt;5%),"O","")</f>
        <v/>
      </c>
      <c r="L101" s="50"/>
      <c r="M101" s="100" t="n">
        <f aca="false">E101-F101</f>
        <v>0</v>
      </c>
      <c r="U101" s="43" t="n">
        <f aca="false">SUMIF('PL_DEC.2026'!$D:$D,$D101,'PL_DEC.2026'!$E:$E)</f>
        <v>0</v>
      </c>
      <c r="V101" s="43" t="n">
        <f aca="false">E101-U101</f>
        <v>0</v>
      </c>
      <c r="W101" s="43" t="n">
        <f aca="false">SUMIF('PL_DEC.2026'!$D:$D,$D101,'PL_DEC.2026'!$L:$L)</f>
        <v>0</v>
      </c>
      <c r="X101" s="43" t="n">
        <f aca="false">F101-W101</f>
        <v>0</v>
      </c>
    </row>
    <row r="102" customFormat="false" ht="13.5" hidden="false" customHeight="false" outlineLevel="0" collapsed="false">
      <c r="C102" s="45" t="s">
        <v>56</v>
      </c>
      <c r="D102" s="54" t="s">
        <v>355</v>
      </c>
      <c r="E102" s="71" t="n">
        <f aca="false">SUMIF(FS_map!$H:$H,$D102,FS_map!$M:$M)</f>
        <v>0</v>
      </c>
      <c r="F102" s="71" t="n">
        <f aca="false">SUMIF(FS_map!$H:$H,$D102,FS_map!$P:$P)</f>
        <v>0</v>
      </c>
      <c r="G102" s="71" t="n">
        <f aca="false">F102*12/9</f>
        <v>0</v>
      </c>
      <c r="H102" s="71" t="n">
        <f aca="false">SUMIF(WPL_2025YE!$D:$D,$D102,WPL_2025YE!$AI:$AI)</f>
        <v>0</v>
      </c>
      <c r="I102" s="71" t="n">
        <f aca="false">G102-H102</f>
        <v>0</v>
      </c>
      <c r="J102" s="72" t="n">
        <f aca="false">IFERROR(I102/H102,IF(I102&gt;0,100%,IF(I102=0,0,-100%)))</f>
        <v>0</v>
      </c>
      <c r="K102" s="48" t="str">
        <f aca="false">IF(AND(ABS(I102)&gt;$J$5,ABS(J102)&gt;5%),"O","")</f>
        <v/>
      </c>
      <c r="L102" s="52"/>
      <c r="M102" s="100" t="n">
        <f aca="false">E102-F102</f>
        <v>0</v>
      </c>
      <c r="U102" s="43" t="n">
        <f aca="false">SUMIF('PL_DEC.2026'!$D:$D,$D102,'PL_DEC.2026'!$E:$E)</f>
        <v>0</v>
      </c>
      <c r="V102" s="43" t="n">
        <f aca="false">E102-U102</f>
        <v>0</v>
      </c>
      <c r="W102" s="43" t="n">
        <f aca="false">SUMIF('PL_DEC.2026'!$D:$D,$D102,'PL_DEC.2026'!$L:$L)</f>
        <v>0</v>
      </c>
      <c r="X102" s="43" t="n">
        <f aca="false">F102-W102</f>
        <v>0</v>
      </c>
    </row>
    <row r="103" customFormat="false" ht="13.5" hidden="false" customHeight="false" outlineLevel="0" collapsed="false">
      <c r="C103" s="45" t="s">
        <v>59</v>
      </c>
      <c r="D103" s="54" t="s">
        <v>356</v>
      </c>
      <c r="E103" s="71" t="n">
        <f aca="false">SUMIF(FS_map!$H:$H,$D103,FS_map!$M:$M)</f>
        <v>0</v>
      </c>
      <c r="F103" s="71" t="n">
        <f aca="false">SUMIF(FS_map!$H:$H,$D103,FS_map!$P:$P)</f>
        <v>0</v>
      </c>
      <c r="G103" s="71" t="n">
        <f aca="false">F103*12/9</f>
        <v>0</v>
      </c>
      <c r="H103" s="71" t="n">
        <f aca="false">SUMIF(WPL_2025YE!$D:$D,$D103,WPL_2025YE!$AI:$AI)</f>
        <v>0</v>
      </c>
      <c r="I103" s="71" t="n">
        <f aca="false">G103-H103</f>
        <v>0</v>
      </c>
      <c r="J103" s="72" t="n">
        <f aca="false">IFERROR(I103/H103,IF(I103&gt;0,100%,IF(I103=0,0,-100%)))</f>
        <v>0</v>
      </c>
      <c r="K103" s="48" t="str">
        <f aca="false">IF(AND(ABS(I103)&gt;$J$5,ABS(J103)&gt;5%),"O","")</f>
        <v/>
      </c>
      <c r="L103" s="50"/>
      <c r="M103" s="100" t="n">
        <f aca="false">E103-F103</f>
        <v>0</v>
      </c>
      <c r="U103" s="43" t="n">
        <f aca="false">SUMIF('PL_DEC.2026'!$D:$D,$D103,'PL_DEC.2026'!$E:$E)</f>
        <v>0</v>
      </c>
      <c r="V103" s="43" t="n">
        <f aca="false">E103-U103</f>
        <v>0</v>
      </c>
      <c r="W103" s="43" t="n">
        <f aca="false">SUMIF('PL_DEC.2026'!$D:$D,$D103,'PL_DEC.2026'!$L:$L)</f>
        <v>0</v>
      </c>
      <c r="X103" s="43" t="n">
        <f aca="false">F103-W103</f>
        <v>0</v>
      </c>
    </row>
    <row r="104" customFormat="false" ht="13.5" hidden="false" customHeight="false" outlineLevel="0" collapsed="false">
      <c r="C104" s="45" t="s">
        <v>182</v>
      </c>
      <c r="D104" s="54" t="s">
        <v>357</v>
      </c>
      <c r="E104" s="71" t="n">
        <f aca="false">SUMIF(FS_map!$H:$H,$D104,FS_map!$M:$M)</f>
        <v>0</v>
      </c>
      <c r="F104" s="71" t="n">
        <f aca="false">SUMIF(FS_map!$H:$H,$D104,FS_map!$P:$P)</f>
        <v>0</v>
      </c>
      <c r="G104" s="71" t="n">
        <f aca="false">F104*12/9</f>
        <v>0</v>
      </c>
      <c r="H104" s="71" t="n">
        <f aca="false">SUMIF(WPL_2025YE!$D:$D,$D104,WPL_2025YE!$AI:$AI)</f>
        <v>0</v>
      </c>
      <c r="I104" s="71" t="n">
        <f aca="false">G104-H104</f>
        <v>0</v>
      </c>
      <c r="J104" s="72" t="n">
        <f aca="false">IFERROR(I104/H104,IF(I104&gt;0,100%,IF(I104=0,0,-100%)))</f>
        <v>0</v>
      </c>
      <c r="K104" s="48" t="str">
        <f aca="false">IF(AND(ABS(I104)&gt;$J$5,ABS(J104)&gt;5%),"O","")</f>
        <v/>
      </c>
      <c r="L104" s="50"/>
      <c r="M104" s="100" t="n">
        <f aca="false">E104-F104</f>
        <v>0</v>
      </c>
      <c r="U104" s="43" t="n">
        <f aca="false">SUMIF('PL_DEC.2026'!$D:$D,$D104,'PL_DEC.2026'!$E:$E)</f>
        <v>0</v>
      </c>
      <c r="V104" s="43" t="n">
        <f aca="false">E104-U104</f>
        <v>0</v>
      </c>
      <c r="W104" s="43" t="n">
        <f aca="false">SUMIF('PL_DEC.2026'!$D:$D,$D104,'PL_DEC.2026'!$L:$L)</f>
        <v>0</v>
      </c>
      <c r="X104" s="43" t="n">
        <f aca="false">F104-W104</f>
        <v>0</v>
      </c>
    </row>
    <row r="105" customFormat="false" ht="13.5" hidden="false" customHeight="false" outlineLevel="0" collapsed="false">
      <c r="C105" s="45" t="s">
        <v>302</v>
      </c>
      <c r="D105" s="54" t="s">
        <v>358</v>
      </c>
      <c r="E105" s="71" t="n">
        <f aca="false">SUMIF(FS_map!$H:$H,$D105,FS_map!$M:$M)</f>
        <v>0</v>
      </c>
      <c r="F105" s="71" t="n">
        <f aca="false">SUMIF(FS_map!$H:$H,$D105,FS_map!$P:$P)</f>
        <v>0</v>
      </c>
      <c r="G105" s="71" t="n">
        <f aca="false">F105*12/9</f>
        <v>0</v>
      </c>
      <c r="H105" s="71" t="n">
        <f aca="false">SUMIF(WPL_2025YE!$D:$D,$D105,WPL_2025YE!$AI:$AI)</f>
        <v>0</v>
      </c>
      <c r="I105" s="71" t="n">
        <f aca="false">G105-H105</f>
        <v>0</v>
      </c>
      <c r="J105" s="72" t="n">
        <f aca="false">IFERROR(I105/H105,IF(I105&gt;0,100%,IF(I105=0,0,-100%)))</f>
        <v>0</v>
      </c>
      <c r="K105" s="48" t="str">
        <f aca="false">IF(AND(ABS(I105)&gt;$J$5,ABS(J105)&gt;5%),"O","")</f>
        <v/>
      </c>
      <c r="L105" s="50"/>
      <c r="M105" s="100" t="n">
        <f aca="false">E105-F105</f>
        <v>0</v>
      </c>
      <c r="U105" s="43" t="n">
        <f aca="false">SUMIF('PL_DEC.2026'!$D:$D,$D105,'PL_DEC.2026'!$E:$E)</f>
        <v>0</v>
      </c>
      <c r="V105" s="43" t="n">
        <f aca="false">E105-U105</f>
        <v>0</v>
      </c>
      <c r="W105" s="43" t="n">
        <f aca="false">SUMIF('PL_DEC.2026'!$D:$D,$D105,'PL_DEC.2026'!$L:$L)</f>
        <v>0</v>
      </c>
      <c r="X105" s="43" t="n">
        <f aca="false">F105-W105</f>
        <v>0</v>
      </c>
    </row>
    <row r="106" customFormat="false" ht="13.5" hidden="false" customHeight="false" outlineLevel="0" collapsed="false">
      <c r="C106" s="45" t="s">
        <v>304</v>
      </c>
      <c r="D106" s="54" t="s">
        <v>359</v>
      </c>
      <c r="E106" s="71" t="n">
        <f aca="false">SUMIF(FS_map!$H:$H,$D106,FS_map!$M:$M)</f>
        <v>0</v>
      </c>
      <c r="F106" s="71" t="n">
        <f aca="false">SUMIF(FS_map!$H:$H,$D106,FS_map!$P:$P)</f>
        <v>0</v>
      </c>
      <c r="G106" s="71" t="n">
        <f aca="false">F106*12/9</f>
        <v>0</v>
      </c>
      <c r="H106" s="71" t="n">
        <f aca="false">SUMIF(WPL_2025YE!$D:$D,$D106,WPL_2025YE!$AI:$AI)</f>
        <v>0</v>
      </c>
      <c r="I106" s="71" t="n">
        <f aca="false">G106-H106</f>
        <v>0</v>
      </c>
      <c r="J106" s="72" t="n">
        <f aca="false">IFERROR(I106/H106,IF(I106&gt;0,100%,IF(I106=0,0,-100%)))</f>
        <v>0</v>
      </c>
      <c r="K106" s="48" t="str">
        <f aca="false">IF(AND(ABS(I106)&gt;$J$5,ABS(J106)&gt;5%),"O","")</f>
        <v/>
      </c>
      <c r="L106" s="49"/>
      <c r="M106" s="100" t="n">
        <f aca="false">E106-F106</f>
        <v>0</v>
      </c>
      <c r="U106" s="43" t="n">
        <f aca="false">SUMIF('PL_DEC.2026'!$D:$D,$D106,'PL_DEC.2026'!$E:$E)</f>
        <v>0</v>
      </c>
      <c r="V106" s="43" t="n">
        <f aca="false">E106-U106</f>
        <v>0</v>
      </c>
      <c r="W106" s="43" t="n">
        <f aca="false">SUMIF('PL_DEC.2026'!$D:$D,$D106,'PL_DEC.2026'!$L:$L)</f>
        <v>0</v>
      </c>
      <c r="X106" s="43" t="n">
        <f aca="false">F106-W106</f>
        <v>0</v>
      </c>
    </row>
    <row r="107" customFormat="false" ht="13.5" hidden="false" customHeight="false" outlineLevel="0" collapsed="false">
      <c r="C107" s="45" t="s">
        <v>306</v>
      </c>
      <c r="D107" s="54" t="s">
        <v>360</v>
      </c>
      <c r="E107" s="71" t="n">
        <f aca="false">SUMIF(FS_map!$H:$H,$D107,FS_map!$M:$M)</f>
        <v>399665782</v>
      </c>
      <c r="F107" s="71" t="n">
        <f aca="false">SUMIF(FS_map!$H:$H,$D107,FS_map!$P:$P)</f>
        <v>399665782</v>
      </c>
      <c r="G107" s="71" t="n">
        <f aca="false">F107*12/9</f>
        <v>532887709.333333</v>
      </c>
      <c r="H107" s="71" t="n">
        <f aca="false">SUMIF(WPL_2025YE!$D:$D,$D107,WPL_2025YE!$AI:$AI)</f>
        <v>97658556</v>
      </c>
      <c r="I107" s="71" t="n">
        <f aca="false">G107-H107</f>
        <v>435229153.333333</v>
      </c>
      <c r="J107" s="72" t="n">
        <f aca="false">IFERROR(I107/H107,IF(I107&gt;0,100%,IF(I107=0,0,-100%)))</f>
        <v>4.45664129350155</v>
      </c>
      <c r="K107" s="48" t="str">
        <f aca="false">IF(AND(ABS(I107)&gt;$J$5,ABS(J107)&gt;5%),"O","")</f>
        <v/>
      </c>
      <c r="L107" s="50"/>
      <c r="M107" s="100" t="n">
        <f aca="false">E107-F107</f>
        <v>0</v>
      </c>
      <c r="U107" s="43" t="n">
        <f aca="false">SUMIF('PL_DEC.2026'!$D:$D,$D107,'PL_DEC.2026'!$E:$E)</f>
        <v>399665782</v>
      </c>
      <c r="V107" s="43" t="n">
        <f aca="false">E107-U107</f>
        <v>0</v>
      </c>
      <c r="W107" s="43" t="n">
        <f aca="false">SUMIF('PL_DEC.2026'!$D:$D,$D107,'PL_DEC.2026'!$L:$L)</f>
        <v>399665782</v>
      </c>
      <c r="X107" s="43" t="n">
        <f aca="false">F107-W107</f>
        <v>0</v>
      </c>
    </row>
    <row r="108" customFormat="false" ht="14.25" hidden="false" customHeight="true" outlineLevel="0" collapsed="false">
      <c r="C108" s="134" t="s">
        <v>361</v>
      </c>
      <c r="D108" s="135"/>
      <c r="E108" s="65" t="n">
        <f aca="false">+E75+E76-E91</f>
        <v>60475610467</v>
      </c>
      <c r="F108" s="65" t="n">
        <f aca="false">+F75+F76-F91</f>
        <v>60475610467</v>
      </c>
      <c r="G108" s="65" t="n">
        <f aca="false">F108*12/9</f>
        <v>80634147289.3333</v>
      </c>
      <c r="H108" s="65" t="n">
        <f aca="false">+H75+H76-H91</f>
        <v>48208293350</v>
      </c>
      <c r="I108" s="65" t="n">
        <f aca="false">G108-H108</f>
        <v>32425853939.3333</v>
      </c>
      <c r="J108" s="66" t="n">
        <f aca="false">IFERROR(I108/H108,IF(I108&gt;0,100%,IF(I108=0,0,-100%)))</f>
        <v>0.672619827130498</v>
      </c>
      <c r="K108" s="67"/>
      <c r="L108" s="68"/>
      <c r="M108" s="100" t="n">
        <f aca="false">E108-F108</f>
        <v>0</v>
      </c>
      <c r="N108" s="93"/>
      <c r="U108" s="43" t="n">
        <f aca="false">+U75+U76-U91</f>
        <v>60475610467</v>
      </c>
      <c r="V108" s="43" t="n">
        <f aca="false">E108-U108</f>
        <v>0</v>
      </c>
      <c r="W108" s="43" t="n">
        <f aca="false">+W75+W76-W91</f>
        <v>59966355182</v>
      </c>
      <c r="X108" s="43" t="n">
        <f aca="false">F108-W108</f>
        <v>509255285</v>
      </c>
    </row>
    <row r="109" customFormat="false" ht="14.25" hidden="false" customHeight="true" outlineLevel="0" collapsed="false">
      <c r="C109" s="35" t="s">
        <v>362</v>
      </c>
      <c r="D109" s="54" t="s">
        <v>363</v>
      </c>
      <c r="E109" s="71" t="n">
        <f aca="false">SUMIF(FS_map!$H:$H,$D109,FS_map!$M:$M)</f>
        <v>0</v>
      </c>
      <c r="F109" s="71" t="n">
        <f aca="false">SUMIF(FS_map!$H:$H,$D109,FS_map!$P:$P)</f>
        <v>0</v>
      </c>
      <c r="G109" s="71" t="n">
        <f aca="false">F109*12/9</f>
        <v>0</v>
      </c>
      <c r="H109" s="71" t="n">
        <f aca="false">SUMIF(WPL_2025YE!$D:$D,$D109,WPL_2025YE!$AI:$AI)</f>
        <v>0</v>
      </c>
      <c r="I109" s="71" t="n">
        <f aca="false">G109-H109</f>
        <v>0</v>
      </c>
      <c r="J109" s="72" t="n">
        <f aca="false">IFERROR(I109/H109,IF(I109&gt;0,100%,IF(I109=0,0,-100%)))</f>
        <v>0</v>
      </c>
      <c r="K109" s="48" t="str">
        <f aca="false">IF(AND(ABS(I109)&gt;$J$5,ABS(J109)&gt;5%),"O","")</f>
        <v/>
      </c>
      <c r="L109" s="50"/>
      <c r="M109" s="100" t="n">
        <f aca="false">E109-F109</f>
        <v>0</v>
      </c>
      <c r="O109" s="150"/>
      <c r="U109" s="43" t="n">
        <f aca="false">SUMIF('PL_DEC.2026'!$D:$D,$D109,'PL_DEC.2026'!$E:$E)</f>
        <v>0</v>
      </c>
      <c r="V109" s="43" t="n">
        <f aca="false">E109-U109</f>
        <v>0</v>
      </c>
      <c r="W109" s="43" t="n">
        <f aca="false">SUMIF('PL_DEC.2026'!$D:$D,$D109,'PL_DEC.2026'!$L:$L)</f>
        <v>0</v>
      </c>
      <c r="X109" s="43" t="n">
        <f aca="false">F109-W109</f>
        <v>0</v>
      </c>
    </row>
    <row r="110" customFormat="false" ht="13.5" hidden="false" customHeight="false" outlineLevel="0" collapsed="false">
      <c r="C110" s="35" t="s">
        <v>364</v>
      </c>
      <c r="D110" s="54" t="s">
        <v>365</v>
      </c>
      <c r="E110" s="71" t="n">
        <f aca="false">SUMIF(FS_map!$H:$H,$D110,FS_map!$M:$M)</f>
        <v>0</v>
      </c>
      <c r="F110" s="71" t="n">
        <f aca="false">SUMIF(FS_map!$H:$H,$D110,FS_map!$P:$P)</f>
        <v>0</v>
      </c>
      <c r="G110" s="71" t="n">
        <f aca="false">F110*12/9</f>
        <v>0</v>
      </c>
      <c r="H110" s="71" t="n">
        <f aca="false">SUMIF(WPL_2025YE!$D:$D,$D110,WPL_2025YE!$AI:$AI)</f>
        <v>0</v>
      </c>
      <c r="I110" s="71" t="n">
        <f aca="false">G110-H110</f>
        <v>0</v>
      </c>
      <c r="J110" s="72" t="n">
        <f aca="false">IFERROR(I110/H110,IF(I110&gt;0,100%,IF(I110=0,0,-100%)))</f>
        <v>0</v>
      </c>
      <c r="K110" s="48" t="str">
        <f aca="false">IF(AND(ABS(I110)&gt;$J$5,ABS(J110)&gt;5%),"O","")</f>
        <v/>
      </c>
      <c r="L110" s="50"/>
      <c r="M110" s="100" t="n">
        <f aca="false">E110-F110</f>
        <v>0</v>
      </c>
      <c r="U110" s="43" t="n">
        <f aca="false">SUMIF('PL_DEC.2026'!$D:$D,$D110,'PL_DEC.2026'!$E:$E)</f>
        <v>0</v>
      </c>
      <c r="V110" s="43" t="n">
        <f aca="false">E110-U110</f>
        <v>0</v>
      </c>
      <c r="W110" s="43" t="n">
        <f aca="false">SUMIF('PL_DEC.2026'!$D:$D,$D110,'PL_DEC.2026'!$L:$L)</f>
        <v>0</v>
      </c>
      <c r="X110" s="43" t="n">
        <f aca="false">F110-W110</f>
        <v>0</v>
      </c>
    </row>
    <row r="111" customFormat="false" ht="14.25" hidden="false" customHeight="true" outlineLevel="0" collapsed="false">
      <c r="C111" s="134" t="s">
        <v>366</v>
      </c>
      <c r="D111" s="135"/>
      <c r="E111" s="65" t="n">
        <f aca="false">+E108+E109-E110</f>
        <v>60475610467</v>
      </c>
      <c r="F111" s="65" t="n">
        <f aca="false">+F108+F109-F110</f>
        <v>60475610467</v>
      </c>
      <c r="G111" s="65" t="n">
        <f aca="false">F111*12/9</f>
        <v>80634147289.3333</v>
      </c>
      <c r="H111" s="65" t="n">
        <f aca="false">+H108+H109-H110</f>
        <v>48208293350</v>
      </c>
      <c r="I111" s="65" t="n">
        <f aca="false">G111-H111</f>
        <v>32425853939.3333</v>
      </c>
      <c r="J111" s="66" t="n">
        <f aca="false">IFERROR(I111/H111,IF(I111&gt;0,100%,IF(I111=0,0,-100%)))</f>
        <v>0.672619827130498</v>
      </c>
      <c r="K111" s="67"/>
      <c r="L111" s="68"/>
      <c r="M111" s="100" t="n">
        <f aca="false">E111-F111</f>
        <v>0</v>
      </c>
      <c r="P111" s="90"/>
      <c r="U111" s="43" t="n">
        <f aca="false">+U108+U109-U110</f>
        <v>60475610467</v>
      </c>
      <c r="V111" s="43" t="n">
        <f aca="false">E111-U111</f>
        <v>0</v>
      </c>
      <c r="W111" s="43" t="n">
        <f aca="false">+W108+W109-W110</f>
        <v>59966355182</v>
      </c>
      <c r="X111" s="43" t="n">
        <f aca="false">F111-W111</f>
        <v>509255285</v>
      </c>
    </row>
    <row r="112" customFormat="false" ht="13.5" hidden="false" customHeight="false" outlineLevel="0" collapsed="false">
      <c r="C112" s="35" t="s">
        <v>367</v>
      </c>
      <c r="D112" s="54" t="s">
        <v>368</v>
      </c>
      <c r="E112" s="71" t="n">
        <f aca="false">SUMIF(FS_map!$H:$H,$D112,FS_map!$M:$M)</f>
        <v>11186723445</v>
      </c>
      <c r="F112" s="71" t="n">
        <f aca="false">SUMIF(FS_map!$H:$H,$D112,FS_map!$P:$P)</f>
        <v>11186723445</v>
      </c>
      <c r="G112" s="71" t="n">
        <f aca="false">F112*12/9</f>
        <v>14915631260</v>
      </c>
      <c r="H112" s="71" t="n">
        <f aca="false">WPL_2025YE!AJ95</f>
        <v>10248455012</v>
      </c>
      <c r="I112" s="71" t="n">
        <f aca="false">G112-H112</f>
        <v>4667176248</v>
      </c>
      <c r="J112" s="72" t="n">
        <f aca="false">IFERROR(I112/H112,IF(I112&gt;0,100%,IF(I112=0,0,-100%)))</f>
        <v>0.455402911222732</v>
      </c>
      <c r="K112" s="48" t="str">
        <f aca="false">IF(AND(ABS(I112)&gt;$J$5,ABS(J112)&gt;5%),"O","")</f>
        <v/>
      </c>
      <c r="L112" s="49"/>
      <c r="M112" s="100" t="n">
        <f aca="false">E112-F112</f>
        <v>0</v>
      </c>
      <c r="P112" s="150"/>
      <c r="U112" s="43" t="n">
        <f aca="false">'PL_DEC.2026'!F98</f>
        <v>11186723445</v>
      </c>
      <c r="V112" s="43" t="n">
        <f aca="false">E112-U112</f>
        <v>0</v>
      </c>
      <c r="W112" s="43" t="n">
        <f aca="false">'PL_DEC.2026'!M98</f>
        <v>11186723445</v>
      </c>
      <c r="X112" s="43" t="n">
        <f aca="false">F112-W112</f>
        <v>0</v>
      </c>
    </row>
    <row r="113" customFormat="false" ht="14.25" hidden="false" customHeight="true" outlineLevel="0" collapsed="false">
      <c r="C113" s="155" t="s">
        <v>369</v>
      </c>
      <c r="D113" s="156"/>
      <c r="E113" s="157" t="n">
        <f aca="false">+E111-E112</f>
        <v>49288887022</v>
      </c>
      <c r="F113" s="157" t="n">
        <f aca="false">+F111-F112</f>
        <v>49288887022</v>
      </c>
      <c r="G113" s="157" t="n">
        <f aca="false">F113*12/9</f>
        <v>65718516029.3333</v>
      </c>
      <c r="H113" s="157" t="n">
        <f aca="false">+H111-H112</f>
        <v>37959838338</v>
      </c>
      <c r="I113" s="157" t="n">
        <f aca="false">G113-H113</f>
        <v>27758677691.3333</v>
      </c>
      <c r="J113" s="158" t="n">
        <f aca="false">IFERROR(I113/H113,IF(I113&gt;0,100%,IF(I113=0,0,-100%)))</f>
        <v>0.731264381164271</v>
      </c>
      <c r="K113" s="159"/>
      <c r="L113" s="160"/>
      <c r="M113" s="100" t="n">
        <f aca="false">E113-F113</f>
        <v>0</v>
      </c>
      <c r="N113" s="150"/>
      <c r="U113" s="43" t="n">
        <f aca="false">+U111-U112</f>
        <v>49288887022</v>
      </c>
      <c r="V113" s="43" t="n">
        <f aca="false">E113-U113</f>
        <v>0</v>
      </c>
      <c r="W113" s="43" t="n">
        <f aca="false">+W111-W112</f>
        <v>48779631737</v>
      </c>
      <c r="X113" s="43" t="n">
        <f aca="false">F113-W113</f>
        <v>509255285</v>
      </c>
    </row>
    <row r="114" customFormat="false" ht="13.5" hidden="false" customHeight="false" outlineLevel="0" collapsed="false">
      <c r="E114" s="58" t="n">
        <f aca="false">E113=BS_KO!E117</f>
        <v>1</v>
      </c>
      <c r="F114" s="58" t="n">
        <f aca="false">F113=BS_KO!F117</f>
        <v>1</v>
      </c>
      <c r="H114" s="58" t="n">
        <f aca="false">H113=BS_KO!G117</f>
        <v>1</v>
      </c>
      <c r="M114" s="100" t="n">
        <f aca="false">E114-F114</f>
        <v>0</v>
      </c>
    </row>
    <row r="115" customFormat="false" ht="13.5" hidden="false" customHeight="false" outlineLevel="0" collapsed="false">
      <c r="G115" s="97" t="n">
        <f aca="false">G112/G111</f>
        <v>0.184979090886636</v>
      </c>
      <c r="H115" s="97" t="n">
        <f aca="false">H112/H111</f>
        <v>0.212586969996937</v>
      </c>
    </row>
    <row r="116" customFormat="false" ht="13.5" hidden="false" customHeight="false" outlineLevel="0" collapsed="false">
      <c r="E116" s="58" t="n">
        <f aca="false">+E113/E10</f>
        <v>0.0925923253622814</v>
      </c>
      <c r="F116" s="58" t="n">
        <f aca="false">+F113/F10</f>
        <v>0.0925923253622814</v>
      </c>
      <c r="H116" s="58" t="n">
        <f aca="false">+H113/H10</f>
        <v>0.0587837028621624</v>
      </c>
    </row>
    <row r="117" customFormat="false" ht="13.5" hidden="false" customHeight="false" outlineLevel="0" collapsed="false">
      <c r="E117" s="58" t="n">
        <f aca="false">E111/E10</f>
        <v>0.113607300532952</v>
      </c>
      <c r="F117" s="58" t="n">
        <f aca="false">F111/F10</f>
        <v>0.113607300532952</v>
      </c>
      <c r="H117" s="58" t="n">
        <f aca="false">H111/H10</f>
        <v>0.074654216557648</v>
      </c>
      <c r="M117" s="161"/>
      <c r="P117" s="90"/>
    </row>
    <row r="118" customFormat="false" ht="13.5" hidden="false" customHeight="false" outlineLevel="0" collapsed="false">
      <c r="P118" s="150"/>
    </row>
  </sheetData>
  <mergeCells count="2">
    <mergeCell ref="C8:D9"/>
    <mergeCell ref="E8:F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F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2"/>
    <col collapsed="false" customWidth="true" hidden="false" outlineLevel="0" max="2" min="2" style="162" width="5"/>
    <col collapsed="false" customWidth="true" hidden="false" outlineLevel="0" max="3" min="3" style="162" width="30"/>
    <col collapsed="false" customWidth="true" hidden="false" outlineLevel="0" max="4" min="4" style="162" width="100"/>
    <col collapsed="false" customWidth="true" hidden="false" outlineLevel="0" max="5" min="5" style="162" width="18"/>
    <col collapsed="false" customWidth="true" hidden="false" outlineLevel="0" max="6" min="6" style="162" width="26"/>
  </cols>
  <sheetData>
    <row r="2" customFormat="false" ht="17.15" hidden="false" customHeight="false" outlineLevel="0" collapsed="false">
      <c r="B2" s="163" t="s">
        <v>370</v>
      </c>
    </row>
    <row r="4" customFormat="false" ht="15" hidden="false" customHeight="false" outlineLevel="0" collapsed="false">
      <c r="B4" s="164" t="s">
        <v>371</v>
      </c>
      <c r="C4" s="165" t="s">
        <v>372</v>
      </c>
      <c r="D4" s="165" t="s">
        <v>373</v>
      </c>
      <c r="E4" s="165" t="s">
        <v>374</v>
      </c>
      <c r="F4" s="165" t="s">
        <v>375</v>
      </c>
    </row>
    <row r="5" customFormat="false" ht="15" hidden="false" customHeight="false" outlineLevel="0" collapsed="false">
      <c r="B5" s="166" t="n">
        <v>1</v>
      </c>
      <c r="C5" s="167" t="s">
        <v>376</v>
      </c>
      <c r="D5" s="168" t="s">
        <v>377</v>
      </c>
      <c r="E5" s="169"/>
      <c r="F5" s="168"/>
    </row>
    <row r="6" customFormat="false" ht="26.85" hidden="false" customHeight="false" outlineLevel="0" collapsed="false">
      <c r="B6" s="168" t="n">
        <v>2</v>
      </c>
      <c r="C6" s="170" t="s">
        <v>378</v>
      </c>
      <c r="D6" s="166" t="s">
        <v>379</v>
      </c>
      <c r="E6" s="171" t="n">
        <f aca="false">SUMPRODUCT(ABS(BS_KO!O11:O120))+SUMPRODUCT(ABS('P&amp;L_KO'!V10:V113))-ABS('P&amp;L_KO'!V17)-ABS('P&amp;L_KO'!V20)</f>
        <v>0</v>
      </c>
      <c r="F6" s="166" t="s">
        <v>380</v>
      </c>
    </row>
    <row r="7" customFormat="false" ht="15" hidden="false" customHeight="false" outlineLevel="0" collapsed="false">
      <c r="B7" s="168" t="n">
        <v>3</v>
      </c>
      <c r="C7" s="170" t="s">
        <v>381</v>
      </c>
      <c r="D7" s="166" t="s">
        <v>382</v>
      </c>
      <c r="E7" s="171" t="n">
        <f aca="false">FS_map!N446+FS_map!O446</f>
        <v>0</v>
      </c>
      <c r="F7" s="168" t="s">
        <v>383</v>
      </c>
    </row>
    <row r="8" customFormat="false" ht="15" hidden="false" customHeight="false" outlineLevel="0" collapsed="false">
      <c r="B8" s="168" t="n">
        <v>4</v>
      </c>
      <c r="C8" s="167" t="s">
        <v>384</v>
      </c>
      <c r="D8" s="166" t="s">
        <v>385</v>
      </c>
      <c r="E8" s="171" t="n">
        <f aca="false">BS_KO!G75-WBS_2025YE!L70</f>
        <v>0</v>
      </c>
      <c r="F8" s="168" t="s">
        <v>386</v>
      </c>
    </row>
    <row r="9" customFormat="false" ht="15" hidden="false" customHeight="false" outlineLevel="0" collapsed="false">
      <c r="B9" s="168" t="n">
        <v>5</v>
      </c>
      <c r="C9" s="167" t="s">
        <v>387</v>
      </c>
      <c r="D9" s="166" t="s">
        <v>388</v>
      </c>
      <c r="E9" s="171" t="n">
        <f aca="false">'P&amp;L_KO'!R23</f>
        <v>0</v>
      </c>
      <c r="F9" s="168" t="s">
        <v>389</v>
      </c>
    </row>
    <row r="10" customFormat="false" ht="26.85" hidden="false" customHeight="false" outlineLevel="0" collapsed="false">
      <c r="B10" s="168" t="n">
        <v>6</v>
      </c>
      <c r="C10" s="167" t="s">
        <v>390</v>
      </c>
      <c r="D10" s="166" t="s">
        <v>391</v>
      </c>
      <c r="E10" s="169"/>
      <c r="F10" s="168"/>
    </row>
    <row r="11" customFormat="false" ht="26.85" hidden="false" customHeight="false" outlineLevel="0" collapsed="false">
      <c r="B11" s="168" t="n">
        <v>7</v>
      </c>
      <c r="C11" s="167" t="s">
        <v>392</v>
      </c>
      <c r="D11" s="166" t="s">
        <v>393</v>
      </c>
      <c r="E11" s="171" t="n">
        <f aca="false">FS_map!J452</f>
        <v>1</v>
      </c>
      <c r="F11" s="168" t="s">
        <v>394</v>
      </c>
    </row>
    <row r="12" customFormat="false" ht="15" hidden="false" customHeight="false" outlineLevel="0" collapsed="false">
      <c r="B12" s="168" t="n">
        <v>8</v>
      </c>
      <c r="C12" s="167" t="s">
        <v>395</v>
      </c>
      <c r="D12" s="168" t="s">
        <v>396</v>
      </c>
      <c r="E12" s="169"/>
      <c r="F12" s="168"/>
    </row>
    <row r="14" customFormat="false" ht="15" hidden="false" customHeight="false" outlineLevel="0" collapsed="false">
      <c r="B14" s="164" t="s">
        <v>397</v>
      </c>
      <c r="C14" s="165" t="s">
        <v>372</v>
      </c>
      <c r="D14" s="165" t="s">
        <v>373</v>
      </c>
      <c r="E14" s="165" t="s">
        <v>374</v>
      </c>
      <c r="F14" s="165" t="s">
        <v>375</v>
      </c>
    </row>
    <row r="15" customFormat="false" ht="26.85" hidden="false" customHeight="false" outlineLevel="0" collapsed="false">
      <c r="B15" s="168" t="n">
        <v>1</v>
      </c>
      <c r="C15" s="167" t="s">
        <v>398</v>
      </c>
      <c r="D15" s="168" t="s">
        <v>399</v>
      </c>
      <c r="E15" s="171" t="n">
        <f aca="false">'P&amp;L_KO'!X87</f>
        <v>101212260</v>
      </c>
      <c r="F15" s="168" t="s">
        <v>400</v>
      </c>
    </row>
    <row r="16" customFormat="false" ht="26.85" hidden="false" customHeight="false" outlineLevel="0" collapsed="false">
      <c r="B16" s="168" t="n">
        <v>2</v>
      </c>
      <c r="C16" s="167" t="s">
        <v>401</v>
      </c>
      <c r="D16" s="168" t="s">
        <v>402</v>
      </c>
      <c r="E16" s="171" t="n">
        <f aca="false">'P&amp;L_KO'!X14</f>
        <v>-408043025</v>
      </c>
      <c r="F16" s="168" t="s">
        <v>403</v>
      </c>
    </row>
    <row r="17" customFormat="false" ht="15" hidden="false" customHeight="false" outlineLevel="0" collapsed="false">
      <c r="B17" s="168" t="n">
        <v>3</v>
      </c>
      <c r="C17" s="167" t="s">
        <v>404</v>
      </c>
      <c r="D17" s="166" t="s">
        <v>405</v>
      </c>
      <c r="E17" s="171" t="n">
        <f aca="false">'PL_DEC.2026'!R13</f>
        <v>517516755.181335</v>
      </c>
      <c r="F17" s="168" t="s">
        <v>406</v>
      </c>
    </row>
    <row r="18" customFormat="false" ht="26.85" hidden="false" customHeight="false" outlineLevel="0" collapsed="false">
      <c r="B18" s="168" t="n">
        <v>4</v>
      </c>
      <c r="C18" s="167" t="s">
        <v>407</v>
      </c>
      <c r="D18" s="168" t="s">
        <v>408</v>
      </c>
      <c r="E18" s="171" t="n">
        <f aca="false">BS_KO!Q120</f>
        <v>-76</v>
      </c>
      <c r="F18" s="168" t="s">
        <v>409</v>
      </c>
    </row>
    <row r="19" customFormat="false" ht="26.85" hidden="false" customHeight="false" outlineLevel="0" collapsed="false">
      <c r="B19" s="168" t="n">
        <v>5</v>
      </c>
      <c r="C19" s="167" t="s">
        <v>410</v>
      </c>
      <c r="D19" s="166" t="s">
        <v>411</v>
      </c>
      <c r="E19" s="171" t="n">
        <f aca="false">'P&amp;L_KO'!F66</f>
        <v>-3034833479</v>
      </c>
      <c r="F19" s="168" t="s">
        <v>412</v>
      </c>
    </row>
    <row r="20" customFormat="false" ht="26.85" hidden="false" customHeight="false" outlineLevel="0" collapsed="false">
      <c r="B20" s="168" t="n">
        <v>6</v>
      </c>
      <c r="C20" s="167" t="s">
        <v>413</v>
      </c>
      <c r="D20" s="166" t="s">
        <v>414</v>
      </c>
      <c r="E20" s="171" t="n">
        <f aca="false">'P&amp;L_KO'!F94</f>
        <v>-37435248</v>
      </c>
      <c r="F20" s="168" t="s">
        <v>415</v>
      </c>
    </row>
    <row r="21" customFormat="false" ht="26.85" hidden="false" customHeight="false" outlineLevel="0" collapsed="false">
      <c r="B21" s="168" t="n">
        <v>7</v>
      </c>
      <c r="C21" s="167" t="s">
        <v>416</v>
      </c>
      <c r="D21" s="166" t="s">
        <v>417</v>
      </c>
      <c r="E21" s="171" t="n">
        <f aca="false">'P&amp;L_KO'!F98</f>
        <v>1372357643</v>
      </c>
      <c r="F21" s="168" t="s">
        <v>418</v>
      </c>
    </row>
    <row r="22" customFormat="false" ht="15" hidden="false" customHeight="false" outlineLevel="0" collapsed="false">
      <c r="B22" s="168" t="n">
        <v>8</v>
      </c>
      <c r="C22" s="167" t="s">
        <v>419</v>
      </c>
      <c r="D22" s="168" t="s">
        <v>420</v>
      </c>
      <c r="E22" s="171" t="n">
        <f aca="false">'P&amp;L_KO'!F72</f>
        <v>-4124609</v>
      </c>
      <c r="F22" s="168" t="s">
        <v>421</v>
      </c>
    </row>
    <row r="23" customFormat="false" ht="15" hidden="false" customHeight="false" outlineLevel="0" collapsed="false">
      <c r="B23" s="168" t="n">
        <v>9</v>
      </c>
      <c r="C23" s="167" t="s">
        <v>422</v>
      </c>
      <c r="D23" s="168" t="s">
        <v>423</v>
      </c>
      <c r="E23" s="171" t="n">
        <f aca="false">FS_map!N447</f>
        <v>-9</v>
      </c>
      <c r="F23" s="166" t="s">
        <v>424</v>
      </c>
    </row>
    <row r="24" customFormat="false" ht="26.85" hidden="false" customHeight="false" outlineLevel="0" collapsed="false">
      <c r="B24" s="168" t="n">
        <v>10</v>
      </c>
      <c r="C24" s="170" t="s">
        <v>425</v>
      </c>
      <c r="D24" s="166" t="s">
        <v>426</v>
      </c>
      <c r="E24" s="171" t="n">
        <f aca="false">SUMIF(FS_map!$D:$D,"86290000",FS_map!$P:$P)</f>
        <v>-61682684</v>
      </c>
      <c r="F24" s="166" t="s">
        <v>427</v>
      </c>
    </row>
    <row r="26" customFormat="false" ht="15" hidden="false" customHeight="false" outlineLevel="0" collapsed="false">
      <c r="B26" s="164" t="s">
        <v>428</v>
      </c>
    </row>
    <row r="27" customFormat="false" ht="15" hidden="false" customHeight="false" outlineLevel="0" collapsed="false">
      <c r="B27" s="164" t="s">
        <v>429</v>
      </c>
      <c r="C27" s="164" t="s">
        <v>430</v>
      </c>
      <c r="D27" s="165" t="s">
        <v>431</v>
      </c>
      <c r="E27" s="164" t="s">
        <v>432</v>
      </c>
      <c r="F27" s="165" t="s">
        <v>433</v>
      </c>
    </row>
    <row r="28" customFormat="false" ht="15" hidden="false" customHeight="false" outlineLevel="0" collapsed="false">
      <c r="B28" s="172" t="s">
        <v>434</v>
      </c>
      <c r="C28" s="172" t="s">
        <v>435</v>
      </c>
      <c r="D28" s="173" t="s">
        <v>436</v>
      </c>
      <c r="E28" s="174" t="n">
        <f aca="false">SUMIF(FS_map!$D:$D,"40000850",FS_map!$J:$J)</f>
        <v>-13141943761</v>
      </c>
      <c r="F28" s="173" t="s">
        <v>437</v>
      </c>
    </row>
    <row r="29" customFormat="false" ht="15" hidden="false" customHeight="false" outlineLevel="0" collapsed="false">
      <c r="B29" s="172" t="s">
        <v>438</v>
      </c>
      <c r="C29" s="172" t="s">
        <v>439</v>
      </c>
      <c r="D29" s="173" t="s">
        <v>440</v>
      </c>
      <c r="E29" s="174" t="n">
        <f aca="false">SUMIF(FS_map!$D:$D,"42980000",FS_map!$J:$J)</f>
        <v>-912409574</v>
      </c>
      <c r="F29" s="173" t="s">
        <v>441</v>
      </c>
    </row>
    <row r="30" customFormat="false" ht="15" hidden="false" customHeight="false" outlineLevel="0" collapsed="false">
      <c r="B30" s="172" t="s">
        <v>442</v>
      </c>
      <c r="C30" s="172" t="s">
        <v>443</v>
      </c>
      <c r="D30" s="173" t="s">
        <v>444</v>
      </c>
      <c r="E30" s="174" t="n">
        <f aca="false">SUMIF(FS_map!$D:$D,"74100000",FS_map!$J:$J)</f>
        <v>-790809571</v>
      </c>
      <c r="F30" s="172" t="s">
        <v>445</v>
      </c>
    </row>
    <row r="31" customFormat="false" ht="15" hidden="false" customHeight="false" outlineLevel="0" collapsed="false">
      <c r="B31" s="172" t="s">
        <v>446</v>
      </c>
      <c r="C31" s="172" t="s">
        <v>447</v>
      </c>
      <c r="D31" s="173" t="s">
        <v>448</v>
      </c>
      <c r="E31" s="174" t="n">
        <f aca="false">SUMIF(FS_map!$D:$D,"74120000",FS_map!$J:$J)</f>
        <v>-679352</v>
      </c>
      <c r="F31" s="173"/>
    </row>
    <row r="32" customFormat="false" ht="15" hidden="false" customHeight="false" outlineLevel="0" collapsed="false">
      <c r="B32" s="172" t="s">
        <v>449</v>
      </c>
      <c r="C32" s="172" t="s">
        <v>450</v>
      </c>
      <c r="D32" s="173" t="s">
        <v>451</v>
      </c>
      <c r="E32" s="174" t="n">
        <f aca="false">SUMIF(FS_map!$D:$D,"78250000",FS_map!$J:$J)</f>
        <v>-39664165</v>
      </c>
      <c r="F32" s="173"/>
    </row>
    <row r="33" customFormat="false" ht="15" hidden="false" customHeight="false" outlineLevel="0" collapsed="false">
      <c r="B33" s="172" t="s">
        <v>452</v>
      </c>
      <c r="C33" s="172" t="s">
        <v>453</v>
      </c>
      <c r="D33" s="173" t="s">
        <v>454</v>
      </c>
      <c r="E33" s="174" t="n">
        <f aca="false">SUMIF(FS_map!$D:$D,"77030700",FS_map!$J:$J)</f>
        <v>-1874497219</v>
      </c>
      <c r="F33" s="172" t="s">
        <v>455</v>
      </c>
    </row>
    <row r="34" customFormat="false" ht="15" hidden="false" customHeight="false" outlineLevel="0" collapsed="false">
      <c r="B34" s="172" t="s">
        <v>456</v>
      </c>
      <c r="C34" s="172" t="s">
        <v>457</v>
      </c>
      <c r="D34" s="173" t="s">
        <v>458</v>
      </c>
      <c r="E34" s="174" t="n">
        <f aca="false">SUMIF(FS_map!$D:$D,"86322007",FS_map!$J:$J)</f>
        <v>25000000</v>
      </c>
      <c r="F34" s="173"/>
    </row>
    <row r="35" customFormat="false" ht="15" hidden="false" customHeight="false" outlineLevel="0" collapsed="false">
      <c r="B35" s="172" t="s">
        <v>459</v>
      </c>
      <c r="C35" s="172" t="s">
        <v>460</v>
      </c>
      <c r="D35" s="173" t="s">
        <v>461</v>
      </c>
      <c r="E35" s="174" t="n">
        <f aca="false">SUMIF(FS_map!$D:$D,"68225200",FS_map!$J:$J)</f>
        <v>60000000</v>
      </c>
      <c r="F35" s="173"/>
    </row>
    <row r="37" customFormat="false" ht="15" hidden="false" customHeight="false" outlineLevel="0" collapsed="false">
      <c r="B37" s="164" t="s">
        <v>462</v>
      </c>
    </row>
    <row r="38" customFormat="false" ht="26.85" hidden="false" customHeight="false" outlineLevel="0" collapsed="false">
      <c r="C38" s="173" t="s">
        <v>463</v>
      </c>
      <c r="E38" s="174" t="n">
        <f aca="false">WBS_2025YE!L101</f>
        <v>120830361205</v>
      </c>
      <c r="F38" s="168" t="s">
        <v>464</v>
      </c>
    </row>
    <row r="39" customFormat="false" ht="15" hidden="false" customHeight="false" outlineLevel="0" collapsed="false">
      <c r="C39" s="172" t="s">
        <v>465</v>
      </c>
      <c r="E39" s="174" t="n">
        <f aca="false">BS_KO!F117</f>
        <v>49288887022</v>
      </c>
      <c r="F39" s="168"/>
    </row>
    <row r="40" customFormat="false" ht="15" hidden="false" customHeight="false" outlineLevel="0" collapsed="false">
      <c r="C40" s="172" t="s">
        <v>466</v>
      </c>
      <c r="E40" s="174" t="n">
        <f aca="false">-(SUMIF(FS_map!$D:$D,"32200001",FS_map!$J:$J)-SUMIF(FS_map!$D:$D,"32200001",FS_map!$Q:$Q))</f>
        <v>-52000000000</v>
      </c>
      <c r="F40" s="166" t="s">
        <v>467</v>
      </c>
    </row>
    <row r="41" customFormat="false" ht="39.55" hidden="false" customHeight="false" outlineLevel="0" collapsed="false">
      <c r="C41" s="172" t="s">
        <v>468</v>
      </c>
      <c r="E41" s="174" t="n">
        <f aca="false">-(SUMIF(FS_map!$D:$D,"32100000",FS_map!$J:$J)-SUMIF(FS_map!$D:$D,"32100000",FS_map!$Q:$Q))+(SUMIF(FS_map!$D:$D,"32100000",FS_map!$J:$J)-SUMIF(FS_map!$D:$D,"32100000",FS_map!$Q:$Q))</f>
        <v>0</v>
      </c>
      <c r="F41" s="166" t="s">
        <v>469</v>
      </c>
    </row>
    <row r="42" customFormat="false" ht="15" hidden="false" customHeight="false" outlineLevel="0" collapsed="false">
      <c r="C42" s="25" t="s">
        <v>470</v>
      </c>
      <c r="E42" s="175" t="n">
        <f aca="false">SUM(E38:E41)</f>
        <v>118119248227</v>
      </c>
      <c r="F42" s="168"/>
    </row>
    <row r="43" customFormat="false" ht="15" hidden="false" customHeight="false" outlineLevel="0" collapsed="false">
      <c r="C43" s="172" t="s">
        <v>471</v>
      </c>
      <c r="E43" s="174" t="n">
        <f aca="false">BS_KO!F113</f>
        <v>116986308310</v>
      </c>
      <c r="F43" s="168"/>
    </row>
    <row r="44" customFormat="false" ht="15" hidden="false" customHeight="false" outlineLevel="0" collapsed="false">
      <c r="C44" s="25" t="s">
        <v>472</v>
      </c>
      <c r="E44" s="175" t="n">
        <f aca="false">E43-E42</f>
        <v>-1132939917</v>
      </c>
      <c r="F44" s="168"/>
    </row>
    <row r="45" customFormat="false" ht="39.55" hidden="false" customHeight="false" outlineLevel="0" collapsed="false">
      <c r="C45" s="172" t="s">
        <v>473</v>
      </c>
      <c r="E45" s="174" t="n">
        <f aca="false">-(SUMIF(FS_map!$D:$D,"86322000",FS_map!$J:$J)-SUMIF(FS_map!$D:$D,"86322000",FS_map!$Q:$Q))</f>
        <v>-1132939909</v>
      </c>
      <c r="F45" s="168" t="s">
        <v>474</v>
      </c>
    </row>
    <row r="46" customFormat="false" ht="26.85" hidden="false" customHeight="false" outlineLevel="0" collapsed="false">
      <c r="C46" s="173" t="s">
        <v>475</v>
      </c>
      <c r="E46" s="174" t="n">
        <f aca="false">E44-E45</f>
        <v>-8</v>
      </c>
      <c r="F46" s="168" t="s">
        <v>476</v>
      </c>
    </row>
    <row r="48" customFormat="false" ht="42" hidden="false" customHeight="true" outlineLevel="0" collapsed="false">
      <c r="C48" s="176" t="s">
        <v>477</v>
      </c>
      <c r="D48" s="176"/>
      <c r="E48" s="176"/>
      <c r="F48" s="176"/>
    </row>
    <row r="49" customFormat="false" ht="42" hidden="false" customHeight="true" outlineLevel="0" collapsed="false">
      <c r="C49" s="176" t="s">
        <v>478</v>
      </c>
      <c r="D49" s="176"/>
      <c r="E49" s="176"/>
      <c r="F49" s="176"/>
    </row>
    <row r="50" customFormat="false" ht="42" hidden="false" customHeight="true" outlineLevel="0" collapsed="false">
      <c r="C50" s="176" t="s">
        <v>479</v>
      </c>
      <c r="D50" s="176"/>
      <c r="E50" s="176"/>
      <c r="F50" s="176"/>
    </row>
  </sheetData>
  <mergeCells count="3">
    <mergeCell ref="C48:F48"/>
    <mergeCell ref="C49:F49"/>
    <mergeCell ref="C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FFC000"/>
    <pageSetUpPr fitToPage="false"/>
  </sheetPr>
  <dimension ref="D1:T8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P207" activeCellId="0" sqref="P207"/>
    </sheetView>
  </sheetViews>
  <sheetFormatPr defaultColWidth="8.53125" defaultRowHeight="16.5" zeroHeight="false" outlineLevelRow="0" outlineLevelCol="0"/>
  <cols>
    <col collapsed="false" customWidth="true" hidden="false" outlineLevel="0" max="1" min="1" style="162" width="1.75"/>
    <col collapsed="false" customWidth="true" hidden="false" outlineLevel="0" max="3" min="2" style="162" width="2.75"/>
    <col collapsed="false" customWidth="true" hidden="false" outlineLevel="0" max="4" min="4" style="162" width="11.37"/>
    <col collapsed="false" customWidth="true" hidden="false" outlineLevel="0" max="5" min="5" style="162" width="44.13"/>
    <col collapsed="false" customWidth="true" hidden="false" outlineLevel="0" max="6" min="6" style="162" width="6.88"/>
    <col collapsed="false" customWidth="true" hidden="false" outlineLevel="0" max="7" min="7" style="177" width="12.87"/>
    <col collapsed="false" customWidth="true" hidden="false" outlineLevel="0" max="8" min="8" style="162" width="15.63"/>
    <col collapsed="false" customWidth="true" hidden="false" outlineLevel="0" max="9" min="9" style="162" width="34.63"/>
    <col collapsed="false" customWidth="true" hidden="false" outlineLevel="0" max="10" min="10" style="162" width="17.63"/>
    <col collapsed="false" customWidth="true" hidden="false" outlineLevel="0" max="12" min="11" style="162" width="13.63"/>
    <col collapsed="false" customWidth="true" hidden="false" outlineLevel="0" max="13" min="13" style="162" width="17.5"/>
    <col collapsed="false" customWidth="true" hidden="false" outlineLevel="0" max="14" min="14" style="162" width="18.5"/>
    <col collapsed="false" customWidth="true" hidden="false" outlineLevel="0" max="15" min="15" style="162" width="15.13"/>
    <col collapsed="false" customWidth="true" hidden="false" outlineLevel="0" max="17" min="16" style="162" width="16.5"/>
    <col collapsed="false" customWidth="true" hidden="false" outlineLevel="0" max="18" min="18" style="162" width="22"/>
    <col collapsed="false" customWidth="true" hidden="false" outlineLevel="0" max="19" min="19" style="162" width="18"/>
    <col collapsed="false" customWidth="true" hidden="false" outlineLevel="0" max="20" min="20" style="162" width="10"/>
  </cols>
  <sheetData>
    <row r="1" customFormat="false" ht="17.25" hidden="false" customHeight="true" outlineLevel="0" collapsed="false">
      <c r="K1" s="178"/>
      <c r="L1" s="178"/>
    </row>
    <row r="2" customFormat="false" ht="27.75" hidden="false" customHeight="true" outlineLevel="0" collapsed="false">
      <c r="D2" s="179" t="s">
        <v>480</v>
      </c>
      <c r="E2" s="180" t="s">
        <v>430</v>
      </c>
      <c r="F2" s="180" t="s">
        <v>481</v>
      </c>
      <c r="G2" s="181" t="s">
        <v>481</v>
      </c>
      <c r="H2" s="182" t="s">
        <v>482</v>
      </c>
      <c r="I2" s="183" t="s">
        <v>483</v>
      </c>
      <c r="J2" s="184" t="s">
        <v>484</v>
      </c>
      <c r="K2" s="185" t="s">
        <v>485</v>
      </c>
      <c r="L2" s="186" t="s">
        <v>486</v>
      </c>
      <c r="M2" s="187" t="s">
        <v>9</v>
      </c>
      <c r="N2" s="185" t="s">
        <v>485</v>
      </c>
      <c r="O2" s="186" t="s">
        <v>486</v>
      </c>
      <c r="P2" s="187" t="s">
        <v>10</v>
      </c>
      <c r="Q2" s="188" t="s">
        <v>487</v>
      </c>
      <c r="R2" s="188" t="s">
        <v>488</v>
      </c>
      <c r="S2" s="189" t="s">
        <v>489</v>
      </c>
      <c r="T2" s="189" t="s">
        <v>490</v>
      </c>
    </row>
    <row r="3" customFormat="false" ht="17.25" hidden="true" customHeight="true" outlineLevel="0" collapsed="false">
      <c r="D3" s="190" t="s">
        <v>491</v>
      </c>
      <c r="E3" s="191" t="s">
        <v>492</v>
      </c>
      <c r="F3" s="192" t="s">
        <v>493</v>
      </c>
      <c r="G3" s="193" t="s">
        <v>494</v>
      </c>
      <c r="H3" s="194" t="s">
        <v>103</v>
      </c>
      <c r="I3" s="195" t="s">
        <v>495</v>
      </c>
      <c r="J3" s="196" t="n">
        <f aca="false">IFERROR(VLOOKUP(VALUE($D3),BSPL2026!$B:$Z,25,FALSE()),0)</f>
        <v>12060074810</v>
      </c>
      <c r="K3" s="197"/>
      <c r="L3" s="198"/>
      <c r="M3" s="196" t="n">
        <f aca="false">J3+K3-L3</f>
        <v>12060074810</v>
      </c>
      <c r="N3" s="197" t="n">
        <f aca="false">SUMIF('statutory adj_2026 조정분개'!$S:$S,$D3,'statutory adj_2026 조정분개'!$K:$K)</f>
        <v>0</v>
      </c>
      <c r="O3" s="198" t="n">
        <f aca="false">SUMIF('statutory adj_2026 조정분개'!$S:$S,$D3,'statutory adj_2026 조정분개'!$L:$L)</f>
        <v>0</v>
      </c>
      <c r="P3" s="196" t="n">
        <f aca="false">M3+N3-O3</f>
        <v>12060074810</v>
      </c>
      <c r="Q3" s="199" t="n">
        <f aca="false">IFERROR(VLOOKUP(VALUE($D3),BSPL2026!$B:$Q,16,FALSE()),0)</f>
        <v>12060074810</v>
      </c>
      <c r="R3" s="200" t="s">
        <v>496</v>
      </c>
      <c r="S3" s="162" t="str">
        <f aca="false">IFERROR(VLOOKUP(VALUE($D3),BSPL2026!$B:$M,12,FALSE()),"")</f>
        <v>구축물</v>
      </c>
      <c r="T3" s="162" t="str">
        <f aca="false">IF(OR(S3="",S3=0,LEFT(S3,5)="(원본오류"),"",IF(S3=H3,"","매핑차이"))</f>
        <v/>
      </c>
    </row>
    <row r="4" customFormat="false" ht="17.25" hidden="true" customHeight="true" outlineLevel="0" collapsed="false">
      <c r="D4" s="190" t="s">
        <v>497</v>
      </c>
      <c r="E4" s="191" t="s">
        <v>498</v>
      </c>
      <c r="F4" s="192" t="s">
        <v>493</v>
      </c>
      <c r="G4" s="193" t="s">
        <v>494</v>
      </c>
      <c r="H4" s="194" t="s">
        <v>499</v>
      </c>
      <c r="I4" s="195" t="s">
        <v>500</v>
      </c>
      <c r="J4" s="196" t="n">
        <f aca="false">IFERROR(VLOOKUP(VALUE($D4),BSPL2026!$B:$Z,25,FALSE()),0)</f>
        <v>-11842919020</v>
      </c>
      <c r="K4" s="197"/>
      <c r="L4" s="198"/>
      <c r="M4" s="196" t="n">
        <f aca="false">J4+K4-L4</f>
        <v>-11842919020</v>
      </c>
      <c r="N4" s="197" t="n">
        <f aca="false">SUMIF('statutory adj_2026 조정분개'!$S:$S,$D4,'statutory adj_2026 조정분개'!$K:$K)</f>
        <v>0</v>
      </c>
      <c r="O4" s="198" t="n">
        <f aca="false">SUMIF('statutory adj_2026 조정분개'!$S:$S,$D4,'statutory adj_2026 조정분개'!$L:$L)</f>
        <v>0</v>
      </c>
      <c r="P4" s="196" t="n">
        <f aca="false">M4+N4-O4</f>
        <v>-11842919020</v>
      </c>
      <c r="Q4" s="199" t="n">
        <f aca="false">IFERROR(VLOOKUP(VALUE($D4),BSPL2026!$B:$Q,16,FALSE()),0)</f>
        <v>-10865717938</v>
      </c>
      <c r="R4" s="200" t="s">
        <v>496</v>
      </c>
      <c r="S4" s="162" t="str">
        <f aca="false">IFERROR(VLOOKUP(VALUE($D4),BSPL2026!$B:$M,12,FALSE()),"")</f>
        <v>감가상각누계액-구축물</v>
      </c>
      <c r="T4" s="162" t="str">
        <f aca="false">IF(OR(S4="",S4=0,LEFT(S4,5)="(원본오류"),"",IF(S4=H4,"","매핑차이"))</f>
        <v/>
      </c>
    </row>
    <row r="5" customFormat="false" ht="17.25" hidden="true" customHeight="true" outlineLevel="0" collapsed="false">
      <c r="D5" s="190" t="s">
        <v>501</v>
      </c>
      <c r="E5" s="191" t="s">
        <v>502</v>
      </c>
      <c r="F5" s="192" t="s">
        <v>493</v>
      </c>
      <c r="G5" s="193" t="s">
        <v>494</v>
      </c>
      <c r="H5" s="194" t="s">
        <v>103</v>
      </c>
      <c r="I5" s="195" t="s">
        <v>503</v>
      </c>
      <c r="J5" s="196" t="n">
        <f aca="false">IFERROR(VLOOKUP(VALUE($D5),BSPL2026!$B:$Z,25,FALSE()),0)</f>
        <v>239169200</v>
      </c>
      <c r="K5" s="197"/>
      <c r="L5" s="198"/>
      <c r="M5" s="196" t="n">
        <f aca="false">J5+K5-L5</f>
        <v>239169200</v>
      </c>
      <c r="N5" s="197" t="n">
        <f aca="false">SUMIF('statutory adj_2026 조정분개'!$S:$S,$D5,'statutory adj_2026 조정분개'!$K:$K)</f>
        <v>0</v>
      </c>
      <c r="O5" s="198" t="n">
        <f aca="false">SUMIF('statutory adj_2026 조정분개'!$S:$S,$D5,'statutory adj_2026 조정분개'!$L:$L)</f>
        <v>0</v>
      </c>
      <c r="P5" s="196" t="n">
        <f aca="false">M5+N5-O5</f>
        <v>239169200</v>
      </c>
      <c r="Q5" s="199" t="n">
        <f aca="false">IFERROR(VLOOKUP(VALUE($D5),BSPL2026!$B:$Q,16,FALSE()),0)</f>
        <v>239169200</v>
      </c>
      <c r="R5" s="200" t="s">
        <v>496</v>
      </c>
      <c r="S5" s="162" t="str">
        <f aca="false">IFERROR(VLOOKUP(VALUE($D5),BSPL2026!$B:$M,12,FALSE()),"")</f>
        <v>구축물</v>
      </c>
      <c r="T5" s="162" t="str">
        <f aca="false">IF(OR(S5="",S5=0,LEFT(S5,5)="(원본오류"),"",IF(S5=H5,"","매핑차이"))</f>
        <v/>
      </c>
    </row>
    <row r="6" customFormat="false" ht="17.25" hidden="true" customHeight="true" outlineLevel="0" collapsed="false">
      <c r="D6" s="190" t="s">
        <v>504</v>
      </c>
      <c r="E6" s="191" t="s">
        <v>505</v>
      </c>
      <c r="F6" s="192" t="s">
        <v>493</v>
      </c>
      <c r="G6" s="193" t="s">
        <v>494</v>
      </c>
      <c r="H6" s="194" t="s">
        <v>103</v>
      </c>
      <c r="I6" s="195" t="s">
        <v>506</v>
      </c>
      <c r="J6" s="196" t="n">
        <f aca="false">IFERROR(VLOOKUP(VALUE($D6),BSPL2026!$B:$Z,25,FALSE()),0)</f>
        <v>1304901001</v>
      </c>
      <c r="K6" s="197"/>
      <c r="L6" s="198"/>
      <c r="M6" s="196" t="n">
        <f aca="false">J6+K6-L6</f>
        <v>1304901001</v>
      </c>
      <c r="N6" s="197" t="n">
        <f aca="false">SUMIF('statutory adj_2026 조정분개'!$S:$S,$D6,'statutory adj_2026 조정분개'!$K:$K)</f>
        <v>0</v>
      </c>
      <c r="O6" s="198" t="n">
        <f aca="false">SUMIF('statutory adj_2026 조정분개'!$S:$S,$D6,'statutory adj_2026 조정분개'!$L:$L)</f>
        <v>0</v>
      </c>
      <c r="P6" s="196" t="n">
        <f aca="false">M6+N6-O6</f>
        <v>1304901001</v>
      </c>
      <c r="Q6" s="199" t="n">
        <f aca="false">IFERROR(VLOOKUP(VALUE($D6),BSPL2026!$B:$Q,16,FALSE()),0)</f>
        <v>1304901001</v>
      </c>
      <c r="R6" s="200" t="s">
        <v>496</v>
      </c>
      <c r="S6" s="162" t="str">
        <f aca="false">IFERROR(VLOOKUP(VALUE($D6),BSPL2026!$B:$M,12,FALSE()),"")</f>
        <v>구축물</v>
      </c>
      <c r="T6" s="162" t="str">
        <f aca="false">IF(OR(S6="",S6=0,LEFT(S6,5)="(원본오류"),"",IF(S6=H6,"","매핑차이"))</f>
        <v/>
      </c>
    </row>
    <row r="7" customFormat="false" ht="17.25" hidden="true" customHeight="true" outlineLevel="0" collapsed="false">
      <c r="D7" s="190" t="s">
        <v>507</v>
      </c>
      <c r="E7" s="191" t="s">
        <v>508</v>
      </c>
      <c r="F7" s="192" t="s">
        <v>493</v>
      </c>
      <c r="G7" s="193" t="s">
        <v>494</v>
      </c>
      <c r="H7" s="194" t="s">
        <v>107</v>
      </c>
      <c r="I7" s="195" t="s">
        <v>509</v>
      </c>
      <c r="J7" s="196" t="n">
        <f aca="false">IFERROR(VLOOKUP(VALUE($D7),BSPL2026!$B:$Z,25,FALSE()),0)</f>
        <v>1434004742</v>
      </c>
      <c r="K7" s="197"/>
      <c r="L7" s="198"/>
      <c r="M7" s="196" t="n">
        <f aca="false">J7+K7-L7</f>
        <v>1434004742</v>
      </c>
      <c r="N7" s="197" t="n">
        <f aca="false">SUMIF('statutory adj_2026 조정분개'!$S:$S,$D7,'statutory adj_2026 조정분개'!$K:$K)</f>
        <v>0</v>
      </c>
      <c r="O7" s="198" t="n">
        <f aca="false">SUMIF('statutory adj_2026 조정분개'!$S:$S,$D7,'statutory adj_2026 조정분개'!$L:$L)</f>
        <v>485029742</v>
      </c>
      <c r="P7" s="196" t="n">
        <f aca="false">M7+N7-O7</f>
        <v>948975000</v>
      </c>
      <c r="Q7" s="199" t="n">
        <f aca="false">IFERROR(VLOOKUP(VALUE($D7),BSPL2026!$B:$Q,16,FALSE()),0)</f>
        <v>1434004742</v>
      </c>
      <c r="R7" s="200" t="s">
        <v>496</v>
      </c>
      <c r="S7" s="162" t="str">
        <f aca="false">IFERROR(VLOOKUP(VALUE($D7),BSPL2026!$B:$M,12,FALSE()),"")</f>
        <v>기계장치</v>
      </c>
      <c r="T7" s="162" t="str">
        <f aca="false">IF(OR(S7="",S7=0,LEFT(S7,5)="(원본오류"),"",IF(S7=H7,"","매핑차이"))</f>
        <v/>
      </c>
    </row>
    <row r="8" customFormat="false" ht="17.25" hidden="true" customHeight="true" outlineLevel="0" collapsed="false">
      <c r="D8" s="190" t="s">
        <v>510</v>
      </c>
      <c r="E8" s="191" t="s">
        <v>511</v>
      </c>
      <c r="F8" s="192" t="s">
        <v>493</v>
      </c>
      <c r="G8" s="193" t="s">
        <v>494</v>
      </c>
      <c r="H8" s="194" t="s">
        <v>66</v>
      </c>
      <c r="I8" s="195" t="s">
        <v>511</v>
      </c>
      <c r="J8" s="196" t="n">
        <f aca="false">IFERROR(VLOOKUP(VALUE($D8),BSPL2026!$B:$Z,25,FALSE()),0)</f>
        <v>0</v>
      </c>
      <c r="K8" s="197"/>
      <c r="L8" s="198"/>
      <c r="M8" s="196" t="n">
        <f aca="false">J8+K8-L8</f>
        <v>0</v>
      </c>
      <c r="N8" s="197" t="n">
        <f aca="false">SUMIF('statutory adj_2026 조정분개'!$S:$S,$D8,'statutory adj_2026 조정분개'!$K:$K)</f>
        <v>0</v>
      </c>
      <c r="O8" s="198" t="n">
        <f aca="false">SUMIF('statutory adj_2026 조정분개'!$S:$S,$D8,'statutory adj_2026 조정분개'!$L:$L)</f>
        <v>0</v>
      </c>
      <c r="P8" s="196" t="n">
        <f aca="false">M8+N8-O8</f>
        <v>0</v>
      </c>
      <c r="Q8" s="199" t="n">
        <f aca="false">IFERROR(VLOOKUP(VALUE($D8),BSPL2026!$B:$Q,16,FALSE()),0)</f>
        <v>0</v>
      </c>
      <c r="R8" s="200" t="s">
        <v>496</v>
      </c>
      <c r="S8" s="162" t="str">
        <f aca="false">IFERROR(VLOOKUP(VALUE($D8),BSPL2026!$B:$M,12,FALSE()),"")</f>
        <v>상품</v>
      </c>
      <c r="T8" s="162" t="str">
        <f aca="false">IF(OR(S8="",S8=0,LEFT(S8,5)="(원본오류"),"",IF(S8=H8,"","매핑차이"))</f>
        <v/>
      </c>
    </row>
    <row r="9" customFormat="false" ht="17.25" hidden="true" customHeight="true" outlineLevel="0" collapsed="false">
      <c r="D9" s="190" t="s">
        <v>512</v>
      </c>
      <c r="E9" s="191" t="s">
        <v>513</v>
      </c>
      <c r="F9" s="192" t="s">
        <v>493</v>
      </c>
      <c r="G9" s="193" t="s">
        <v>494</v>
      </c>
      <c r="H9" s="194" t="s">
        <v>119</v>
      </c>
      <c r="I9" s="195" t="s">
        <v>514</v>
      </c>
      <c r="J9" s="196" t="n">
        <f aca="false">IFERROR(VLOOKUP(VALUE($D9),BSPL2026!$B:$Z,25,FALSE()),0)</f>
        <v>350199634</v>
      </c>
      <c r="K9" s="197"/>
      <c r="L9" s="198"/>
      <c r="M9" s="196" t="n">
        <f aca="false">J9+K9-L9</f>
        <v>350199634</v>
      </c>
      <c r="N9" s="197" t="n">
        <f aca="false">SUMIF('statutory adj_2026 조정분개'!$S:$S,$D9,'statutory adj_2026 조정분개'!$K:$K)</f>
        <v>0</v>
      </c>
      <c r="O9" s="198" t="n">
        <f aca="false">SUMIF('statutory adj_2026 조정분개'!$S:$S,$D9,'statutory adj_2026 조정분개'!$L:$L)</f>
        <v>0</v>
      </c>
      <c r="P9" s="196" t="n">
        <f aca="false">M9+N9-O9</f>
        <v>350199634</v>
      </c>
      <c r="Q9" s="199" t="n">
        <f aca="false">IFERROR(VLOOKUP(VALUE($D9),BSPL2026!$B:$Q,16,FALSE()),0)</f>
        <v>350199634</v>
      </c>
      <c r="R9" s="200" t="s">
        <v>496</v>
      </c>
      <c r="S9" s="162" t="str">
        <f aca="false">IFERROR(VLOOKUP(VALUE($D9),BSPL2026!$B:$M,12,FALSE()),"")</f>
        <v>집기비품</v>
      </c>
      <c r="T9" s="162" t="str">
        <f aca="false">IF(OR(S9="",S9=0,LEFT(S9,5)="(원본오류"),"",IF(S9=H9,"","매핑차이"))</f>
        <v/>
      </c>
    </row>
    <row r="10" customFormat="false" ht="17.25" hidden="true" customHeight="true" outlineLevel="0" collapsed="false">
      <c r="D10" s="190" t="s">
        <v>515</v>
      </c>
      <c r="E10" s="191" t="s">
        <v>516</v>
      </c>
      <c r="F10" s="192" t="s">
        <v>493</v>
      </c>
      <c r="G10" s="193" t="s">
        <v>494</v>
      </c>
      <c r="H10" s="194" t="s">
        <v>115</v>
      </c>
      <c r="I10" s="195" t="s">
        <v>517</v>
      </c>
      <c r="J10" s="196" t="n">
        <f aca="false">IFERROR(VLOOKUP(VALUE($D10),BSPL2026!$B:$Z,25,FALSE()),0)</f>
        <v>42938000</v>
      </c>
      <c r="K10" s="197"/>
      <c r="L10" s="198"/>
      <c r="M10" s="196" t="n">
        <f aca="false">J10+K10-L10</f>
        <v>42938000</v>
      </c>
      <c r="N10" s="197" t="n">
        <f aca="false">SUMIF('statutory adj_2026 조정분개'!$S:$S,$D10,'statutory adj_2026 조정분개'!$K:$K)</f>
        <v>485029742</v>
      </c>
      <c r="O10" s="198" t="n">
        <f aca="false">SUMIF('statutory adj_2026 조정분개'!$S:$S,$D10,'statutory adj_2026 조정분개'!$L:$L)</f>
        <v>0</v>
      </c>
      <c r="P10" s="196" t="n">
        <f aca="false">M10+N10-O10</f>
        <v>527967742</v>
      </c>
      <c r="Q10" s="199" t="n">
        <f aca="false">IFERROR(VLOOKUP(VALUE($D10),BSPL2026!$B:$Q,16,FALSE()),0)</f>
        <v>42938000</v>
      </c>
      <c r="R10" s="200" t="s">
        <v>496</v>
      </c>
      <c r="S10" s="162" t="str">
        <f aca="false">IFERROR(VLOOKUP(VALUE($D10),BSPL2026!$B:$M,12,FALSE()),"")</f>
        <v>공구와기구</v>
      </c>
      <c r="T10" s="162" t="str">
        <f aca="false">IF(OR(S10="",S10=0,LEFT(S10,5)="(원본오류"),"",IF(S10=H10,"","매핑차이"))</f>
        <v/>
      </c>
    </row>
    <row r="11" customFormat="false" ht="17.25" hidden="true" customHeight="true" outlineLevel="0" collapsed="false">
      <c r="D11" s="190" t="s">
        <v>518</v>
      </c>
      <c r="E11" s="191" t="s">
        <v>519</v>
      </c>
      <c r="F11" s="192" t="s">
        <v>493</v>
      </c>
      <c r="G11" s="193" t="s">
        <v>494</v>
      </c>
      <c r="H11" s="194" t="s">
        <v>119</v>
      </c>
      <c r="I11" s="195" t="s">
        <v>520</v>
      </c>
      <c r="J11" s="196" t="n">
        <f aca="false">IFERROR(VLOOKUP(VALUE($D11),BSPL2026!$B:$Z,25,FALSE()),0)</f>
        <v>1369225145</v>
      </c>
      <c r="K11" s="197"/>
      <c r="L11" s="198"/>
      <c r="M11" s="196" t="n">
        <f aca="false">J11+K11-L11</f>
        <v>1369225145</v>
      </c>
      <c r="N11" s="197" t="n">
        <f aca="false">SUMIF('statutory adj_2026 조정분개'!$S:$S,$D11,'statutory adj_2026 조정분개'!$K:$K)</f>
        <v>0</v>
      </c>
      <c r="O11" s="198" t="n">
        <f aca="false">SUMIF('statutory adj_2026 조정분개'!$S:$S,$D11,'statutory adj_2026 조정분개'!$L:$L)</f>
        <v>0</v>
      </c>
      <c r="P11" s="196" t="n">
        <f aca="false">M11+N11-O11</f>
        <v>1369225145</v>
      </c>
      <c r="Q11" s="199" t="n">
        <f aca="false">IFERROR(VLOOKUP(VALUE($D11),BSPL2026!$B:$Q,16,FALSE()),0)</f>
        <v>1282738705</v>
      </c>
      <c r="R11" s="200" t="s">
        <v>496</v>
      </c>
      <c r="S11" s="162" t="str">
        <f aca="false">IFERROR(VLOOKUP(VALUE($D11),BSPL2026!$B:$M,12,FALSE()),"")</f>
        <v>집기비품</v>
      </c>
      <c r="T11" s="162" t="str">
        <f aca="false">IF(OR(S11="",S11=0,LEFT(S11,5)="(원본오류"),"",IF(S11=H11,"","매핑차이"))</f>
        <v/>
      </c>
    </row>
    <row r="12" customFormat="false" ht="17.25" hidden="true" customHeight="true" outlineLevel="0" collapsed="false">
      <c r="D12" s="190" t="s">
        <v>521</v>
      </c>
      <c r="E12" s="191" t="s">
        <v>516</v>
      </c>
      <c r="F12" s="192" t="s">
        <v>493</v>
      </c>
      <c r="G12" s="193" t="s">
        <v>494</v>
      </c>
      <c r="H12" s="194" t="s">
        <v>115</v>
      </c>
      <c r="I12" s="195" t="s">
        <v>522</v>
      </c>
      <c r="J12" s="196" t="n">
        <f aca="false">IFERROR(VLOOKUP(VALUE($D12),BSPL2026!$B:$Z,25,FALSE()),0)</f>
        <v>34046016</v>
      </c>
      <c r="K12" s="197"/>
      <c r="L12" s="198"/>
      <c r="M12" s="196" t="n">
        <f aca="false">J12+K12-L12</f>
        <v>34046016</v>
      </c>
      <c r="N12" s="197" t="n">
        <f aca="false">SUMIF('statutory adj_2026 조정분개'!$S:$S,$D12,'statutory adj_2026 조정분개'!$K:$K)</f>
        <v>0</v>
      </c>
      <c r="O12" s="198" t="n">
        <f aca="false">SUMIF('statutory adj_2026 조정분개'!$S:$S,$D12,'statutory adj_2026 조정분개'!$L:$L)</f>
        <v>0</v>
      </c>
      <c r="P12" s="196" t="n">
        <f aca="false">M12+N12-O12</f>
        <v>34046016</v>
      </c>
      <c r="Q12" s="199" t="n">
        <f aca="false">IFERROR(VLOOKUP(VALUE($D12),BSPL2026!$B:$Q,16,FALSE()),0)</f>
        <v>34046016</v>
      </c>
      <c r="R12" s="200" t="s">
        <v>496</v>
      </c>
      <c r="S12" s="162" t="str">
        <f aca="false">IFERROR(VLOOKUP(VALUE($D12),BSPL2026!$B:$M,12,FALSE()),"")</f>
        <v>공구와기구</v>
      </c>
      <c r="T12" s="162" t="str">
        <f aca="false">IF(OR(S12="",S12=0,LEFT(S12,5)="(원본오류"),"",IF(S12=H12,"","매핑차이"))</f>
        <v/>
      </c>
    </row>
    <row r="13" customFormat="false" ht="17.25" hidden="true" customHeight="true" outlineLevel="0" collapsed="false">
      <c r="D13" s="190" t="s">
        <v>523</v>
      </c>
      <c r="E13" s="191" t="s">
        <v>524</v>
      </c>
      <c r="F13" s="192" t="s">
        <v>493</v>
      </c>
      <c r="G13" s="193" t="s">
        <v>494</v>
      </c>
      <c r="H13" s="194" t="s">
        <v>125</v>
      </c>
      <c r="I13" s="195" t="s">
        <v>524</v>
      </c>
      <c r="J13" s="196" t="n">
        <f aca="false">IFERROR(VLOOKUP(VALUE($D13),BSPL2026!$B:$Z,25,FALSE()),0)</f>
        <v>22468609</v>
      </c>
      <c r="K13" s="197"/>
      <c r="L13" s="198"/>
      <c r="M13" s="196" t="n">
        <f aca="false">J13+K13-L13</f>
        <v>22468609</v>
      </c>
      <c r="N13" s="197" t="n">
        <f aca="false">SUMIF('statutory adj_2026 조정분개'!$S:$S,$D13,'statutory adj_2026 조정분개'!$K:$K)</f>
        <v>0</v>
      </c>
      <c r="O13" s="198" t="n">
        <f aca="false">SUMIF('statutory adj_2026 조정분개'!$S:$S,$D13,'statutory adj_2026 조정분개'!$L:$L)</f>
        <v>0</v>
      </c>
      <c r="P13" s="196" t="n">
        <f aca="false">M13+N13-O13</f>
        <v>22468609</v>
      </c>
      <c r="Q13" s="199" t="n">
        <f aca="false">IFERROR(VLOOKUP(VALUE($D13),BSPL2026!$B:$Q,16,FALSE()),0)</f>
        <v>0</v>
      </c>
      <c r="R13" s="200" t="s">
        <v>496</v>
      </c>
      <c r="S13" s="162" t="str">
        <f aca="false">IFERROR(VLOOKUP(VALUE($D13),BSPL2026!$B:$M,12,FALSE()),"")</f>
        <v>소프트웨어</v>
      </c>
      <c r="T13" s="162" t="str">
        <f aca="false">IF(OR(S13="",S13=0,LEFT(S13,5)="(원본오류"),"",IF(S13=H13,"","매핑차이"))</f>
        <v/>
      </c>
    </row>
    <row r="14" customFormat="false" ht="17.25" hidden="true" customHeight="true" outlineLevel="0" collapsed="false">
      <c r="D14" s="190" t="s">
        <v>525</v>
      </c>
      <c r="E14" s="191" t="s">
        <v>526</v>
      </c>
      <c r="F14" s="192" t="s">
        <v>493</v>
      </c>
      <c r="G14" s="193" t="s">
        <v>494</v>
      </c>
      <c r="H14" s="194" t="s">
        <v>154</v>
      </c>
      <c r="I14" s="195" t="s">
        <v>527</v>
      </c>
      <c r="J14" s="196" t="n">
        <f aca="false">IFERROR(VLOOKUP(VALUE($D14),BSPL2026!$B:$Z,25,FALSE()),0)</f>
        <v>51562836</v>
      </c>
      <c r="K14" s="197"/>
      <c r="L14" s="198"/>
      <c r="M14" s="196" t="n">
        <f aca="false">J14+K14-L14</f>
        <v>51562836</v>
      </c>
      <c r="N14" s="197" t="n">
        <f aca="false">SUMIF('statutory adj_2026 조정분개'!$S:$S,$D14,'statutory adj_2026 조정분개'!$K:$K)</f>
        <v>0</v>
      </c>
      <c r="O14" s="198" t="n">
        <f aca="false">SUMIF('statutory adj_2026 조정분개'!$S:$S,$D14,'statutory adj_2026 조정분개'!$L:$L)</f>
        <v>0</v>
      </c>
      <c r="P14" s="196" t="n">
        <f aca="false">M14+N14-O14</f>
        <v>51562836</v>
      </c>
      <c r="Q14" s="199" t="n">
        <f aca="false">IFERROR(VLOOKUP(VALUE($D14),BSPL2026!$B:$Q,16,FALSE()),0)</f>
        <v>8237836</v>
      </c>
      <c r="R14" s="200" t="s">
        <v>496</v>
      </c>
      <c r="S14" s="162" t="str">
        <f aca="false">IFERROR(VLOOKUP(VALUE($D14),BSPL2026!$B:$M,12,FALSE()),"")</f>
        <v>건설중인자산</v>
      </c>
      <c r="T14" s="162" t="str">
        <f aca="false">IF(OR(S14="",S14=0,LEFT(S14,5)="(원본오류"),"",IF(S14=H14,"","매핑차이"))</f>
        <v/>
      </c>
    </row>
    <row r="15" customFormat="false" ht="17.25" hidden="true" customHeight="true" outlineLevel="0" collapsed="false">
      <c r="D15" s="190" t="s">
        <v>528</v>
      </c>
      <c r="E15" s="191" t="s">
        <v>529</v>
      </c>
      <c r="F15" s="192" t="s">
        <v>493</v>
      </c>
      <c r="G15" s="193" t="s">
        <v>494</v>
      </c>
      <c r="H15" s="194" t="s">
        <v>499</v>
      </c>
      <c r="I15" s="195" t="s">
        <v>530</v>
      </c>
      <c r="J15" s="196" t="n">
        <f aca="false">IFERROR(VLOOKUP(VALUE($D15),BSPL2026!$B:$Z,25,FALSE()),0)</f>
        <v>-226248021</v>
      </c>
      <c r="K15" s="197"/>
      <c r="L15" s="198"/>
      <c r="M15" s="196" t="n">
        <f aca="false">J15+K15-L15</f>
        <v>-226248021</v>
      </c>
      <c r="N15" s="197" t="n">
        <f aca="false">SUMIF('statutory adj_2026 조정분개'!$S:$S,$D15,'statutory adj_2026 조정분개'!$K:$K)</f>
        <v>0</v>
      </c>
      <c r="O15" s="198" t="n">
        <f aca="false">SUMIF('statutory adj_2026 조정분개'!$S:$S,$D15,'statutory adj_2026 조정분개'!$L:$L)</f>
        <v>0</v>
      </c>
      <c r="P15" s="196" t="n">
        <f aca="false">M15+N15-O15</f>
        <v>-226248021</v>
      </c>
      <c r="Q15" s="199" t="n">
        <f aca="false">IFERROR(VLOOKUP(VALUE($D15),BSPL2026!$B:$Q,16,FALSE()),0)</f>
        <v>-168102710</v>
      </c>
      <c r="R15" s="200" t="s">
        <v>496</v>
      </c>
      <c r="S15" s="162" t="str">
        <f aca="false">IFERROR(VLOOKUP(VALUE($D15),BSPL2026!$B:$M,12,FALSE()),"")</f>
        <v>감가상각누계액-구축물</v>
      </c>
      <c r="T15" s="162" t="str">
        <f aca="false">IF(OR(S15="",S15=0,LEFT(S15,5)="(원본오류"),"",IF(S15=H15,"","매핑차이"))</f>
        <v/>
      </c>
    </row>
    <row r="16" customFormat="false" ht="17.25" hidden="true" customHeight="true" outlineLevel="0" collapsed="false">
      <c r="D16" s="190" t="s">
        <v>531</v>
      </c>
      <c r="E16" s="191" t="s">
        <v>506</v>
      </c>
      <c r="F16" s="192" t="s">
        <v>493</v>
      </c>
      <c r="G16" s="193" t="s">
        <v>494</v>
      </c>
      <c r="H16" s="194" t="s">
        <v>499</v>
      </c>
      <c r="I16" s="195" t="s">
        <v>516</v>
      </c>
      <c r="J16" s="196" t="n">
        <f aca="false">IFERROR(VLOOKUP(VALUE($D16),BSPL2026!$B:$Z,25,FALSE()),0)</f>
        <v>-1229180693</v>
      </c>
      <c r="K16" s="197"/>
      <c r="L16" s="198"/>
      <c r="M16" s="196" t="n">
        <f aca="false">J16+K16-L16</f>
        <v>-1229180693</v>
      </c>
      <c r="N16" s="197" t="n">
        <f aca="false">SUMIF('statutory adj_2026 조정분개'!$S:$S,$D16,'statutory adj_2026 조정분개'!$K:$K)</f>
        <v>0</v>
      </c>
      <c r="O16" s="198" t="n">
        <f aca="false">SUMIF('statutory adj_2026 조정분개'!$S:$S,$D16,'statutory adj_2026 조정분개'!$L:$L)</f>
        <v>0</v>
      </c>
      <c r="P16" s="196" t="n">
        <f aca="false">M16+N16-O16</f>
        <v>-1229180693</v>
      </c>
      <c r="Q16" s="199" t="n">
        <f aca="false">IFERROR(VLOOKUP(VALUE($D16),BSPL2026!$B:$Q,16,FALSE()),0)</f>
        <v>-888439305</v>
      </c>
      <c r="R16" s="200" t="s">
        <v>496</v>
      </c>
      <c r="S16" s="162" t="str">
        <f aca="false">IFERROR(VLOOKUP(VALUE($D16),BSPL2026!$B:$M,12,FALSE()),"")</f>
        <v>감가상각누계액-구축물</v>
      </c>
      <c r="T16" s="162" t="str">
        <f aca="false">IF(OR(S16="",S16=0,LEFT(S16,5)="(원본오류"),"",IF(S16=H16,"","매핑차이"))</f>
        <v/>
      </c>
    </row>
    <row r="17" customFormat="false" ht="17.25" hidden="true" customHeight="true" outlineLevel="0" collapsed="false">
      <c r="D17" s="190" t="s">
        <v>532</v>
      </c>
      <c r="E17" s="191" t="s">
        <v>533</v>
      </c>
      <c r="F17" s="192" t="s">
        <v>493</v>
      </c>
      <c r="G17" s="193" t="s">
        <v>494</v>
      </c>
      <c r="H17" s="194" t="s">
        <v>534</v>
      </c>
      <c r="I17" s="195" t="s">
        <v>535</v>
      </c>
      <c r="J17" s="196" t="n">
        <f aca="false">IFERROR(VLOOKUP(VALUE($D17),BSPL2026!$B:$Z,25,FALSE()),0)</f>
        <v>-1021598692</v>
      </c>
      <c r="K17" s="197"/>
      <c r="L17" s="198"/>
      <c r="M17" s="196" t="n">
        <f aca="false">J17+K17-L17</f>
        <v>-1021598692</v>
      </c>
      <c r="N17" s="197" t="n">
        <f aca="false">SUMIF('statutory adj_2026 조정분개'!$S:$S,$D17,'statutory adj_2026 조정분개'!$K:$K)</f>
        <v>422529742</v>
      </c>
      <c r="O17" s="198" t="n">
        <f aca="false">SUMIF('statutory adj_2026 조정분개'!$S:$S,$D17,'statutory adj_2026 조정분개'!$L:$L)</f>
        <v>0</v>
      </c>
      <c r="P17" s="196" t="n">
        <f aca="false">M17+N17-O17</f>
        <v>-599068950</v>
      </c>
      <c r="Q17" s="199" t="n">
        <f aca="false">IFERROR(VLOOKUP(VALUE($D17),BSPL2026!$B:$Q,16,FALSE()),0)</f>
        <v>-902488418</v>
      </c>
      <c r="R17" s="200" t="s">
        <v>496</v>
      </c>
      <c r="S17" s="162" t="str">
        <f aca="false">IFERROR(VLOOKUP(VALUE($D17),BSPL2026!$B:$M,12,FALSE()),"")</f>
        <v>감가상각누계액-기계장치</v>
      </c>
      <c r="T17" s="162" t="str">
        <f aca="false">IF(OR(S17="",S17=0,LEFT(S17,5)="(원본오류"),"",IF(S17=H17,"","매핑차이"))</f>
        <v/>
      </c>
    </row>
    <row r="18" customFormat="false" ht="17.25" hidden="true" customHeight="true" outlineLevel="0" collapsed="false">
      <c r="D18" s="190" t="s">
        <v>536</v>
      </c>
      <c r="E18" s="191" t="s">
        <v>537</v>
      </c>
      <c r="F18" s="192" t="s">
        <v>493</v>
      </c>
      <c r="G18" s="193" t="s">
        <v>494</v>
      </c>
      <c r="H18" s="194" t="s">
        <v>538</v>
      </c>
      <c r="I18" s="195" t="s">
        <v>539</v>
      </c>
      <c r="J18" s="196" t="n">
        <f aca="false">IFERROR(VLOOKUP(VALUE($D18),BSPL2026!$B:$Z,25,FALSE()),0)</f>
        <v>-248164738</v>
      </c>
      <c r="K18" s="197"/>
      <c r="L18" s="198"/>
      <c r="M18" s="196" t="n">
        <f aca="false">J18+K18-L18</f>
        <v>-248164738</v>
      </c>
      <c r="N18" s="197" t="n">
        <f aca="false">SUMIF('statutory adj_2026 조정분개'!$S:$S,$D18,'statutory adj_2026 조정분개'!$K:$K)</f>
        <v>0</v>
      </c>
      <c r="O18" s="198" t="n">
        <f aca="false">SUMIF('statutory adj_2026 조정분개'!$S:$S,$D18,'statutory adj_2026 조정분개'!$L:$L)</f>
        <v>0</v>
      </c>
      <c r="P18" s="196" t="n">
        <f aca="false">M18+N18-O18</f>
        <v>-248164738</v>
      </c>
      <c r="Q18" s="199" t="n">
        <f aca="false">IFERROR(VLOOKUP(VALUE($D18),BSPL2026!$B:$Q,16,FALSE()),0)</f>
        <v>-212428145</v>
      </c>
      <c r="R18" s="200" t="s">
        <v>496</v>
      </c>
      <c r="S18" s="162" t="str">
        <f aca="false">IFERROR(VLOOKUP(VALUE($D18),BSPL2026!$B:$M,12,FALSE()),"")</f>
        <v>감가상각누계액-집기비품</v>
      </c>
      <c r="T18" s="162" t="str">
        <f aca="false">IF(OR(S18="",S18=0,LEFT(S18,5)="(원본오류"),"",IF(S18=H18,"","매핑차이"))</f>
        <v/>
      </c>
    </row>
    <row r="19" customFormat="false" ht="17.25" hidden="true" customHeight="true" outlineLevel="0" collapsed="false">
      <c r="D19" s="190" t="s">
        <v>540</v>
      </c>
      <c r="E19" s="191" t="s">
        <v>541</v>
      </c>
      <c r="F19" s="192" t="s">
        <v>493</v>
      </c>
      <c r="G19" s="193" t="s">
        <v>494</v>
      </c>
      <c r="H19" s="194" t="s">
        <v>542</v>
      </c>
      <c r="I19" s="195" t="s">
        <v>543</v>
      </c>
      <c r="J19" s="196" t="n">
        <f aca="false">IFERROR(VLOOKUP(VALUE($D19),BSPL2026!$B:$Z,25,FALSE()),0)</f>
        <v>-41204667</v>
      </c>
      <c r="K19" s="197"/>
      <c r="L19" s="198"/>
      <c r="M19" s="196" t="n">
        <f aca="false">J19+K19-L19</f>
        <v>-41204667</v>
      </c>
      <c r="N19" s="197" t="n">
        <f aca="false">SUMIF('statutory adj_2026 조정분개'!$S:$S,$D19,'statutory adj_2026 조정분개'!$K:$K)</f>
        <v>0</v>
      </c>
      <c r="O19" s="198" t="n">
        <f aca="false">SUMIF('statutory adj_2026 조정분개'!$S:$S,$D19,'statutory adj_2026 조정분개'!$L:$L)</f>
        <v>422529742</v>
      </c>
      <c r="P19" s="196" t="n">
        <f aca="false">M19+N19-O19</f>
        <v>-463734409</v>
      </c>
      <c r="Q19" s="199" t="n">
        <f aca="false">IFERROR(VLOOKUP(VALUE($D19),BSPL2026!$B:$Q,16,FALSE()),0)</f>
        <v>-37304667</v>
      </c>
      <c r="R19" s="200" t="s">
        <v>496</v>
      </c>
      <c r="S19" s="162" t="str">
        <f aca="false">IFERROR(VLOOKUP(VALUE($D19),BSPL2026!$B:$M,12,FALSE()),"")</f>
        <v>감가상각누계액-공구와기구</v>
      </c>
      <c r="T19" s="162" t="str">
        <f aca="false">IF(OR(S19="",S19=0,LEFT(S19,5)="(원본오류"),"",IF(S19=H19,"","매핑차이"))</f>
        <v/>
      </c>
    </row>
    <row r="20" customFormat="false" ht="17.25" hidden="true" customHeight="true" outlineLevel="0" collapsed="false">
      <c r="D20" s="190" t="s">
        <v>544</v>
      </c>
      <c r="E20" s="191" t="s">
        <v>541</v>
      </c>
      <c r="F20" s="192" t="s">
        <v>493</v>
      </c>
      <c r="G20" s="193" t="s">
        <v>494</v>
      </c>
      <c r="H20" s="194" t="s">
        <v>538</v>
      </c>
      <c r="I20" s="195" t="s">
        <v>545</v>
      </c>
      <c r="J20" s="196" t="n">
        <f aca="false">IFERROR(VLOOKUP(VALUE($D20),BSPL2026!$B:$Z,25,FALSE()),0)</f>
        <v>-1167307996</v>
      </c>
      <c r="K20" s="197"/>
      <c r="L20" s="198"/>
      <c r="M20" s="196" t="n">
        <f aca="false">J20+K20-L20</f>
        <v>-1167307996</v>
      </c>
      <c r="N20" s="197" t="n">
        <f aca="false">SUMIF('statutory adj_2026 조정분개'!$S:$S,$D20,'statutory adj_2026 조정분개'!$K:$K)</f>
        <v>0</v>
      </c>
      <c r="O20" s="198" t="n">
        <f aca="false">SUMIF('statutory adj_2026 조정분개'!$S:$S,$D20,'statutory adj_2026 조정분개'!$L:$L)</f>
        <v>0</v>
      </c>
      <c r="P20" s="196" t="n">
        <f aca="false">M20+N20-O20</f>
        <v>-1167307996</v>
      </c>
      <c r="Q20" s="199" t="n">
        <f aca="false">IFERROR(VLOOKUP(VALUE($D20),BSPL2026!$B:$Q,16,FALSE()),0)</f>
        <v>-1076620389</v>
      </c>
      <c r="R20" s="200" t="s">
        <v>496</v>
      </c>
      <c r="S20" s="162" t="str">
        <f aca="false">IFERROR(VLOOKUP(VALUE($D20),BSPL2026!$B:$M,12,FALSE()),"")</f>
        <v>감가상각누계액-집기비품</v>
      </c>
      <c r="T20" s="162" t="str">
        <f aca="false">IF(OR(S20="",S20=0,LEFT(S20,5)="(원본오류"),"",IF(S20=H20,"","매핑차이"))</f>
        <v/>
      </c>
    </row>
    <row r="21" customFormat="false" ht="17.25" hidden="true" customHeight="true" outlineLevel="0" collapsed="false">
      <c r="D21" s="190" t="s">
        <v>546</v>
      </c>
      <c r="E21" s="191" t="s">
        <v>522</v>
      </c>
      <c r="F21" s="192" t="s">
        <v>493</v>
      </c>
      <c r="G21" s="193" t="s">
        <v>494</v>
      </c>
      <c r="H21" s="194" t="s">
        <v>542</v>
      </c>
      <c r="I21" s="195" t="s">
        <v>547</v>
      </c>
      <c r="J21" s="196" t="n">
        <f aca="false">IFERROR(VLOOKUP(VALUE($D21),BSPL2026!$B:$Z,25,FALSE()),0)</f>
        <v>-34046016</v>
      </c>
      <c r="K21" s="197"/>
      <c r="L21" s="198"/>
      <c r="M21" s="196" t="n">
        <f aca="false">J21+K21-L21</f>
        <v>-34046016</v>
      </c>
      <c r="N21" s="197" t="n">
        <f aca="false">SUMIF('statutory adj_2026 조정분개'!$S:$S,$D21,'statutory adj_2026 조정분개'!$K:$K)</f>
        <v>0</v>
      </c>
      <c r="O21" s="198" t="n">
        <f aca="false">SUMIF('statutory adj_2026 조정분개'!$S:$S,$D21,'statutory adj_2026 조정분개'!$L:$L)</f>
        <v>0</v>
      </c>
      <c r="P21" s="196" t="n">
        <f aca="false">M21+N21-O21</f>
        <v>-34046016</v>
      </c>
      <c r="Q21" s="199" t="n">
        <f aca="false">IFERROR(VLOOKUP(VALUE($D21),BSPL2026!$B:$Q,16,FALSE()),0)</f>
        <v>-34046016</v>
      </c>
      <c r="R21" s="200" t="s">
        <v>496</v>
      </c>
      <c r="S21" s="162" t="str">
        <f aca="false">IFERROR(VLOOKUP(VALUE($D21),BSPL2026!$B:$M,12,FALSE()),"")</f>
        <v>감가상각누계액-공구와기구</v>
      </c>
      <c r="T21" s="162" t="str">
        <f aca="false">IF(OR(S21="",S21=0,LEFT(S21,5)="(원본오류"),"",IF(S21=H21,"","매핑차이"))</f>
        <v/>
      </c>
    </row>
    <row r="22" customFormat="false" ht="17.25" hidden="true" customHeight="true" outlineLevel="0" collapsed="false">
      <c r="D22" s="190" t="s">
        <v>548</v>
      </c>
      <c r="E22" s="191" t="s">
        <v>549</v>
      </c>
      <c r="F22" s="192" t="s">
        <v>493</v>
      </c>
      <c r="G22" s="193" t="s">
        <v>494</v>
      </c>
      <c r="H22" s="194" t="s">
        <v>125</v>
      </c>
      <c r="I22" s="195" t="s">
        <v>550</v>
      </c>
      <c r="J22" s="196" t="n">
        <f aca="false">IFERROR(VLOOKUP(VALUE($D22),BSPL2026!$B:$Z,25,FALSE()),0)</f>
        <v>355759457</v>
      </c>
      <c r="K22" s="197"/>
      <c r="L22" s="198"/>
      <c r="M22" s="196" t="n">
        <f aca="false">J22+K22-L22</f>
        <v>355759457</v>
      </c>
      <c r="N22" s="197" t="n">
        <f aca="false">SUMIF('statutory adj_2026 조정분개'!$S:$S,$D22,'statutory adj_2026 조정분개'!$K:$K)</f>
        <v>0</v>
      </c>
      <c r="O22" s="198" t="n">
        <f aca="false">SUMIF('statutory adj_2026 조정분개'!$S:$S,$D22,'statutory adj_2026 조정분개'!$L:$L)</f>
        <v>0</v>
      </c>
      <c r="P22" s="196" t="n">
        <f aca="false">M22+N22-O22</f>
        <v>355759457</v>
      </c>
      <c r="Q22" s="199" t="n">
        <f aca="false">IFERROR(VLOOKUP(VALUE($D22),BSPL2026!$B:$Q,16,FALSE()),0)</f>
        <v>355759457</v>
      </c>
      <c r="R22" s="200" t="s">
        <v>496</v>
      </c>
      <c r="S22" s="162" t="str">
        <f aca="false">IFERROR(VLOOKUP(VALUE($D22),BSPL2026!$B:$M,12,FALSE()),"")</f>
        <v>소프트웨어</v>
      </c>
      <c r="T22" s="162" t="str">
        <f aca="false">IF(OR(S22="",S22=0,LEFT(S22,5)="(원본오류"),"",IF(S22=H22,"","매핑차이"))</f>
        <v/>
      </c>
    </row>
    <row r="23" customFormat="false" ht="17.25" hidden="true" customHeight="true" outlineLevel="0" collapsed="false">
      <c r="D23" s="190" t="s">
        <v>551</v>
      </c>
      <c r="E23" s="191" t="s">
        <v>552</v>
      </c>
      <c r="F23" s="192" t="s">
        <v>493</v>
      </c>
      <c r="G23" s="193" t="s">
        <v>494</v>
      </c>
      <c r="H23" s="194" t="s">
        <v>129</v>
      </c>
      <c r="I23" s="195" t="s">
        <v>553</v>
      </c>
      <c r="J23" s="196" t="n">
        <f aca="false">IFERROR(VLOOKUP(VALUE($D23),BSPL2026!$B:$Z,25,FALSE()),0)</f>
        <v>2706860500</v>
      </c>
      <c r="K23" s="197"/>
      <c r="L23" s="198"/>
      <c r="M23" s="196" t="n">
        <f aca="false">J23+K23-L23</f>
        <v>2706860500</v>
      </c>
      <c r="N23" s="197" t="n">
        <f aca="false">SUMIF('statutory adj_2026 조정분개'!$S:$S,$D23,'statutory adj_2026 조정분개'!$K:$K)</f>
        <v>0</v>
      </c>
      <c r="O23" s="198" t="n">
        <f aca="false">SUMIF('statutory adj_2026 조정분개'!$S:$S,$D23,'statutory adj_2026 조정분개'!$L:$L)</f>
        <v>0</v>
      </c>
      <c r="P23" s="196" t="n">
        <f aca="false">M23+N23-O23</f>
        <v>2706860500</v>
      </c>
      <c r="Q23" s="199" t="n">
        <f aca="false">IFERROR(VLOOKUP(VALUE($D23),BSPL2026!$B:$Q,16,FALSE()),0)</f>
        <v>3706860500</v>
      </c>
      <c r="R23" s="200" t="s">
        <v>496</v>
      </c>
      <c r="S23" s="162" t="str">
        <f aca="false">IFERROR(VLOOKUP(VALUE($D23),BSPL2026!$B:$M,12,FALSE()),"")</f>
        <v>상표권</v>
      </c>
      <c r="T23" s="162" t="str">
        <f aca="false">IF(OR(S23="",S23=0,LEFT(S23,5)="(원본오류"),"",IF(S23=H23,"","매핑차이"))</f>
        <v/>
      </c>
    </row>
    <row r="24" customFormat="false" ht="17.25" hidden="true" customHeight="true" outlineLevel="0" collapsed="false">
      <c r="D24" s="190" t="s">
        <v>554</v>
      </c>
      <c r="E24" s="191" t="s">
        <v>555</v>
      </c>
      <c r="F24" s="192" t="s">
        <v>493</v>
      </c>
      <c r="G24" s="193" t="s">
        <v>494</v>
      </c>
      <c r="H24" s="194" t="s">
        <v>556</v>
      </c>
      <c r="I24" s="195" t="s">
        <v>557</v>
      </c>
      <c r="J24" s="196" t="n">
        <f aca="false">IFERROR(VLOOKUP(VALUE($D24),BSPL2026!$B:$Z,25,FALSE()),0)</f>
        <v>-355759457</v>
      </c>
      <c r="K24" s="197"/>
      <c r="L24" s="198"/>
      <c r="M24" s="196" t="n">
        <f aca="false">J24+K24-L24</f>
        <v>-355759457</v>
      </c>
      <c r="N24" s="197" t="n">
        <f aca="false">SUMIF('statutory adj_2026 조정분개'!$S:$S,$D24,'statutory adj_2026 조정분개'!$K:$K)</f>
        <v>0</v>
      </c>
      <c r="O24" s="198" t="n">
        <f aca="false">SUMIF('statutory adj_2026 조정분개'!$S:$S,$D24,'statutory adj_2026 조정분개'!$L:$L)</f>
        <v>0</v>
      </c>
      <c r="P24" s="196" t="n">
        <f aca="false">M24+N24-O24</f>
        <v>-355759457</v>
      </c>
      <c r="Q24" s="199" t="n">
        <f aca="false">IFERROR(VLOOKUP(VALUE($D24),BSPL2026!$B:$Q,16,FALSE()),0)</f>
        <v>-355759457</v>
      </c>
      <c r="R24" s="200" t="s">
        <v>496</v>
      </c>
      <c r="S24" s="162" t="str">
        <f aca="false">IFERROR(VLOOKUP(VALUE($D24),BSPL2026!$B:$M,12,FALSE()),"")</f>
        <v>감가상각누계액-소프트웨어</v>
      </c>
      <c r="T24" s="162" t="str">
        <f aca="false">IF(OR(S24="",S24=0,LEFT(S24,5)="(원본오류"),"",IF(S24=H24,"","매핑차이"))</f>
        <v/>
      </c>
    </row>
    <row r="25" customFormat="false" ht="17.25" hidden="true" customHeight="true" outlineLevel="0" collapsed="false">
      <c r="D25" s="190" t="s">
        <v>558</v>
      </c>
      <c r="E25" s="191" t="s">
        <v>559</v>
      </c>
      <c r="F25" s="192" t="s">
        <v>493</v>
      </c>
      <c r="G25" s="193" t="s">
        <v>494</v>
      </c>
      <c r="H25" s="194" t="s">
        <v>131</v>
      </c>
      <c r="I25" s="195" t="s">
        <v>560</v>
      </c>
      <c r="J25" s="196" t="n">
        <f aca="false">IFERROR(VLOOKUP(VALUE($D25),BSPL2026!$B:$Z,25,FALSE()),0)</f>
        <v>-2706860500</v>
      </c>
      <c r="K25" s="197"/>
      <c r="L25" s="198"/>
      <c r="M25" s="196" t="n">
        <f aca="false">J25+K25-L25</f>
        <v>-2706860500</v>
      </c>
      <c r="N25" s="197" t="n">
        <f aca="false">SUMIF('statutory adj_2026 조정분개'!$S:$S,$D25,'statutory adj_2026 조정분개'!$K:$K)</f>
        <v>0</v>
      </c>
      <c r="O25" s="198" t="n">
        <f aca="false">SUMIF('statutory adj_2026 조정분개'!$S:$S,$D25,'statutory adj_2026 조정분개'!$L:$L)</f>
        <v>0</v>
      </c>
      <c r="P25" s="196" t="n">
        <f aca="false">M25+N25-O25</f>
        <v>-2706860500</v>
      </c>
      <c r="Q25" s="199" t="n">
        <f aca="false">IFERROR(VLOOKUP(VALUE($D25),BSPL2026!$B:$Q,16,FALSE()),0)</f>
        <v>-3236598404</v>
      </c>
      <c r="R25" s="200" t="s">
        <v>496</v>
      </c>
      <c r="S25" s="162" t="str">
        <f aca="false">IFERROR(VLOOKUP(VALUE($D25),BSPL2026!$B:$M,12,FALSE()),"")</f>
        <v>상표권상각누계액</v>
      </c>
      <c r="T25" s="162" t="str">
        <f aca="false">IF(OR(S25="",S25=0,LEFT(S25,5)="(원본오류"),"",IF(S25=H25,"","매핑차이"))</f>
        <v/>
      </c>
    </row>
    <row r="26" customFormat="false" ht="17.25" hidden="true" customHeight="true" outlineLevel="0" collapsed="false">
      <c r="D26" s="190" t="s">
        <v>561</v>
      </c>
      <c r="E26" s="191" t="s">
        <v>562</v>
      </c>
      <c r="F26" s="192" t="s">
        <v>493</v>
      </c>
      <c r="G26" s="193" t="s">
        <v>494</v>
      </c>
      <c r="H26" s="194" t="s">
        <v>133</v>
      </c>
      <c r="I26" s="195" t="s">
        <v>563</v>
      </c>
      <c r="J26" s="196" t="n">
        <f aca="false">IFERROR(VLOOKUP(VALUE($D26),BSPL2026!$B:$Z,25,FALSE()),0)</f>
        <v>0</v>
      </c>
      <c r="K26" s="197"/>
      <c r="L26" s="198"/>
      <c r="M26" s="196" t="n">
        <f aca="false">J26+K26-L26</f>
        <v>0</v>
      </c>
      <c r="N26" s="197" t="n">
        <f aca="false">SUMIF('statutory adj_2026 조정분개'!$S:$S,$D26,'statutory adj_2026 조정분개'!$K:$K)</f>
        <v>0</v>
      </c>
      <c r="O26" s="198" t="n">
        <f aca="false">SUMIF('statutory adj_2026 조정분개'!$S:$S,$D26,'statutory adj_2026 조정분개'!$L:$L)</f>
        <v>0</v>
      </c>
      <c r="P26" s="196" t="n">
        <f aca="false">M26+N26-O26</f>
        <v>0</v>
      </c>
      <c r="Q26" s="199" t="n">
        <f aca="false">IFERROR(VLOOKUP(VALUE($D26),BSPL2026!$B:$Q,16,FALSE()),0)</f>
        <v>-595665322</v>
      </c>
      <c r="R26" s="200" t="s">
        <v>496</v>
      </c>
      <c r="S26" s="162" t="str">
        <f aca="false">IFERROR(VLOOKUP(VALUE($D26),BSPL2026!$B:$M,12,FALSE()),"")</f>
        <v>무형자산감액손실충당금</v>
      </c>
      <c r="T26" s="162" t="str">
        <f aca="false">IF(OR(S26="",S26=0,LEFT(S26,5)="(원본오류"),"",IF(S26=H26,"","매핑차이"))</f>
        <v/>
      </c>
    </row>
    <row r="27" customFormat="false" ht="17.25" hidden="true" customHeight="true" outlineLevel="0" collapsed="false">
      <c r="D27" s="190" t="s">
        <v>564</v>
      </c>
      <c r="E27" s="191" t="s">
        <v>565</v>
      </c>
      <c r="F27" s="192" t="s">
        <v>493</v>
      </c>
      <c r="G27" s="193" t="s">
        <v>494</v>
      </c>
      <c r="H27" s="194" t="s">
        <v>131</v>
      </c>
      <c r="I27" s="195" t="s">
        <v>566</v>
      </c>
      <c r="J27" s="196" t="n">
        <f aca="false">IFERROR(VLOOKUP(VALUE($D27),BSPL2026!$B:$Z,25,FALSE()),0)</f>
        <v>0</v>
      </c>
      <c r="K27" s="197"/>
      <c r="L27" s="198"/>
      <c r="M27" s="196" t="n">
        <f aca="false">J27+K27-L27</f>
        <v>0</v>
      </c>
      <c r="N27" s="197" t="n">
        <f aca="false">SUMIF('statutory adj_2026 조정분개'!$S:$S,$D27,'statutory adj_2026 조정분개'!$K:$K)</f>
        <v>0</v>
      </c>
      <c r="O27" s="198" t="n">
        <f aca="false">SUMIF('statutory adj_2026 조정분개'!$S:$S,$D27,'statutory adj_2026 조정분개'!$L:$L)</f>
        <v>0</v>
      </c>
      <c r="P27" s="196" t="n">
        <f aca="false">M27+N27-O27</f>
        <v>0</v>
      </c>
      <c r="Q27" s="199" t="n">
        <f aca="false">IFERROR(VLOOKUP(VALUE($D27),BSPL2026!$B:$Q,16,FALSE()),0)</f>
        <v>125403226</v>
      </c>
      <c r="R27" s="200" t="s">
        <v>496</v>
      </c>
      <c r="S27" s="162" t="str">
        <f aca="false">IFERROR(VLOOKUP(VALUE($D27),BSPL2026!$B:$M,12,FALSE()),"")</f>
        <v>상표권상각누계액</v>
      </c>
      <c r="T27" s="162" t="str">
        <f aca="false">IF(OR(S27="",S27=0,LEFT(S27,5)="(원본오류"),"",IF(S27=H27,"","매핑차이"))</f>
        <v/>
      </c>
    </row>
    <row r="28" customFormat="false" ht="17.25" hidden="true" customHeight="true" outlineLevel="0" collapsed="false">
      <c r="D28" s="190" t="s">
        <v>567</v>
      </c>
      <c r="E28" s="191" t="s">
        <v>568</v>
      </c>
      <c r="F28" s="192" t="s">
        <v>493</v>
      </c>
      <c r="G28" s="193" t="s">
        <v>494</v>
      </c>
      <c r="H28" s="194" t="s">
        <v>141</v>
      </c>
      <c r="I28" s="195" t="s">
        <v>568</v>
      </c>
      <c r="J28" s="196" t="n">
        <f aca="false">IFERROR(VLOOKUP(VALUE($D28),BSPL2026!$B:$Z,25,FALSE()),0)</f>
        <v>1931634850</v>
      </c>
      <c r="K28" s="197"/>
      <c r="L28" s="198"/>
      <c r="M28" s="196" t="n">
        <f aca="false">J28+K28-L28</f>
        <v>1931634850</v>
      </c>
      <c r="N28" s="197" t="n">
        <f aca="false">SUMIF('statutory adj_2026 조정분개'!$S:$S,$D28,'statutory adj_2026 조정분개'!$K:$K)</f>
        <v>0</v>
      </c>
      <c r="O28" s="198" t="n">
        <f aca="false">SUMIF('statutory adj_2026 조정분개'!$S:$S,$D28,'statutory adj_2026 조정분개'!$L:$L)</f>
        <v>30000000</v>
      </c>
      <c r="P28" s="196" t="n">
        <f aca="false">M28+N28-O28</f>
        <v>1901634850</v>
      </c>
      <c r="Q28" s="199" t="n">
        <f aca="false">IFERROR(VLOOKUP(VALUE($D28),BSPL2026!$B:$Q,16,FALSE()),0)</f>
        <v>1211134090</v>
      </c>
      <c r="R28" s="200" t="s">
        <v>496</v>
      </c>
      <c r="S28" s="162" t="str">
        <f aca="false">IFERROR(VLOOKUP(VALUE($D28),BSPL2026!$B:$M,12,FALSE()),"")</f>
        <v>보증금</v>
      </c>
      <c r="T28" s="162" t="str">
        <f aca="false">IF(OR(S28="",S28=0,LEFT(S28,5)="(원본오류"),"",IF(S28=H28,"","매핑차이"))</f>
        <v/>
      </c>
    </row>
    <row r="29" customFormat="false" ht="17.25" hidden="true" customHeight="true" outlineLevel="0" collapsed="false">
      <c r="D29" s="190" t="s">
        <v>569</v>
      </c>
      <c r="E29" s="191" t="s">
        <v>570</v>
      </c>
      <c r="F29" s="192" t="s">
        <v>493</v>
      </c>
      <c r="G29" s="193" t="s">
        <v>157</v>
      </c>
      <c r="H29" s="194" t="s">
        <v>191</v>
      </c>
      <c r="I29" s="195" t="s">
        <v>570</v>
      </c>
      <c r="J29" s="196" t="n">
        <f aca="false">IFERROR(VLOOKUP(VALUE($D29),BSPL2026!$B:$Z,25,FALSE()),0)</f>
        <v>0</v>
      </c>
      <c r="K29" s="197"/>
      <c r="L29" s="198"/>
      <c r="M29" s="196" t="n">
        <f aca="false">J29+K29-L29</f>
        <v>0</v>
      </c>
      <c r="N29" s="197" t="n">
        <f aca="false">SUMIF('statutory adj_2026 조정분개'!$S:$S,$D29,'statutory adj_2026 조정분개'!$K:$K)</f>
        <v>0</v>
      </c>
      <c r="O29" s="198" t="n">
        <f aca="false">SUMIF('statutory adj_2026 조정분개'!$S:$S,$D29,'statutory adj_2026 조정분개'!$L:$L)</f>
        <v>0</v>
      </c>
      <c r="P29" s="196" t="n">
        <f aca="false">M29+N29-O29</f>
        <v>0</v>
      </c>
      <c r="Q29" s="199" t="n">
        <f aca="false">IFERROR(VLOOKUP(VALUE($D29),BSPL2026!$B:$Q,16,FALSE()),0)</f>
        <v>26463700</v>
      </c>
      <c r="R29" s="200" t="s">
        <v>496</v>
      </c>
      <c r="S29" s="162" t="str">
        <f aca="false">IFERROR(VLOOKUP(VALUE($D29),BSPL2026!$B:$M,12,FALSE()),"")</f>
        <v>국민연금전환금</v>
      </c>
      <c r="T29" s="162" t="str">
        <f aca="false">IF(OR(S29="",S29=0,LEFT(S29,5)="(원본오류"),"",IF(S29=H29,"","매핑차이"))</f>
        <v/>
      </c>
    </row>
    <row r="30" customFormat="false" ht="17.25" hidden="true" customHeight="true" outlineLevel="0" collapsed="false">
      <c r="D30" s="190" t="s">
        <v>571</v>
      </c>
      <c r="E30" s="191" t="s">
        <v>572</v>
      </c>
      <c r="F30" s="192" t="s">
        <v>493</v>
      </c>
      <c r="G30" s="193" t="s">
        <v>494</v>
      </c>
      <c r="H30" s="194" t="s">
        <v>141</v>
      </c>
      <c r="I30" s="195" t="s">
        <v>572</v>
      </c>
      <c r="J30" s="196" t="n">
        <f aca="false">IFERROR(VLOOKUP(VALUE($D30),BSPL2026!$B:$Z,25,FALSE()),0)</f>
        <v>0</v>
      </c>
      <c r="K30" s="197"/>
      <c r="L30" s="198"/>
      <c r="M30" s="196" t="n">
        <f aca="false">J30+K30-L30</f>
        <v>0</v>
      </c>
      <c r="N30" s="197" t="n">
        <f aca="false">SUMIF('statutory adj_2026 조정분개'!$S:$S,$D30,'statutory adj_2026 조정분개'!$K:$K)</f>
        <v>0</v>
      </c>
      <c r="O30" s="198" t="n">
        <f aca="false">SUMIF('statutory adj_2026 조정분개'!$S:$S,$D30,'statutory adj_2026 조정분개'!$L:$L)</f>
        <v>0</v>
      </c>
      <c r="P30" s="196" t="n">
        <f aca="false">M30+N30-O30</f>
        <v>0</v>
      </c>
      <c r="Q30" s="199" t="n">
        <f aca="false">IFERROR(VLOOKUP(VALUE($D30),BSPL2026!$B:$Q,16,FALSE()),0)</f>
        <v>0</v>
      </c>
      <c r="R30" s="200" t="s">
        <v>496</v>
      </c>
      <c r="S30" s="162" t="str">
        <f aca="false">IFERROR(VLOOKUP(VALUE($D30),BSPL2026!$B:$M,12,FALSE()),"")</f>
        <v>보증금</v>
      </c>
      <c r="T30" s="162" t="str">
        <f aca="false">IF(OR(S30="",S30=0,LEFT(S30,5)="(원본오류"),"",IF(S30=H30,"","매핑차이"))</f>
        <v/>
      </c>
    </row>
    <row r="31" customFormat="false" ht="17.25" hidden="true" customHeight="true" outlineLevel="0" collapsed="false">
      <c r="D31" s="190" t="s">
        <v>573</v>
      </c>
      <c r="E31" s="191" t="s">
        <v>574</v>
      </c>
      <c r="F31" s="192" t="s">
        <v>493</v>
      </c>
      <c r="G31" s="193" t="s">
        <v>494</v>
      </c>
      <c r="H31" s="194" t="s">
        <v>66</v>
      </c>
      <c r="I31" s="195" t="s">
        <v>575</v>
      </c>
      <c r="J31" s="196" t="n">
        <f aca="false">IFERROR(VLOOKUP(VALUE($D31),BSPL2026!$B:$Z,25,FALSE()),0)</f>
        <v>180937469538</v>
      </c>
      <c r="K31" s="197"/>
      <c r="L31" s="198"/>
      <c r="M31" s="196" t="n">
        <f aca="false">J31+K31-L31</f>
        <v>180937469538</v>
      </c>
      <c r="N31" s="197" t="n">
        <f aca="false">SUMIF('statutory adj_2026 조정분개'!$S:$S,$D31,'statutory adj_2026 조정분개'!$K:$K)</f>
        <v>0</v>
      </c>
      <c r="O31" s="198" t="n">
        <f aca="false">SUMIF('statutory adj_2026 조정분개'!$S:$S,$D31,'statutory adj_2026 조정분개'!$L:$L)</f>
        <v>0</v>
      </c>
      <c r="P31" s="196" t="n">
        <f aca="false">M31+N31-O31</f>
        <v>180937469538</v>
      </c>
      <c r="Q31" s="199" t="n">
        <f aca="false">IFERROR(VLOOKUP(VALUE($D31),BSPL2026!$B:$Q,16,FALSE()),0)</f>
        <v>162184914584</v>
      </c>
      <c r="R31" s="200" t="s">
        <v>496</v>
      </c>
      <c r="S31" s="162" t="str">
        <f aca="false">IFERROR(VLOOKUP(VALUE($D31),BSPL2026!$B:$M,12,FALSE()),"")</f>
        <v>상품</v>
      </c>
      <c r="T31" s="162" t="str">
        <f aca="false">IF(OR(S31="",S31=0,LEFT(S31,5)="(원본오류"),"",IF(S31=H31,"","매핑차이"))</f>
        <v/>
      </c>
    </row>
    <row r="32" customFormat="false" ht="17.25" hidden="true" customHeight="true" outlineLevel="0" collapsed="false">
      <c r="D32" s="190" t="s">
        <v>576</v>
      </c>
      <c r="E32" s="191" t="s">
        <v>577</v>
      </c>
      <c r="F32" s="192" t="s">
        <v>493</v>
      </c>
      <c r="G32" s="193" t="s">
        <v>494</v>
      </c>
      <c r="H32" s="194" t="s">
        <v>66</v>
      </c>
      <c r="I32" s="195" t="s">
        <v>578</v>
      </c>
      <c r="J32" s="196" t="n">
        <f aca="false">IFERROR(VLOOKUP(VALUE($D32),BSPL2026!$B:$Z,25,FALSE()),0)</f>
        <v>52625609</v>
      </c>
      <c r="K32" s="197"/>
      <c r="L32" s="198"/>
      <c r="M32" s="196" t="n">
        <f aca="false">J32+K32-L32</f>
        <v>52625609</v>
      </c>
      <c r="N32" s="197" t="n">
        <f aca="false">SUMIF('statutory adj_2026 조정분개'!$S:$S,$D32,'statutory adj_2026 조정분개'!$K:$K)</f>
        <v>0</v>
      </c>
      <c r="O32" s="198" t="n">
        <f aca="false">SUMIF('statutory adj_2026 조정분개'!$S:$S,$D32,'statutory adj_2026 조정분개'!$L:$L)</f>
        <v>0</v>
      </c>
      <c r="P32" s="196" t="n">
        <f aca="false">M32+N32-O32</f>
        <v>52625609</v>
      </c>
      <c r="Q32" s="199" t="n">
        <f aca="false">IFERROR(VLOOKUP(VALUE($D32),BSPL2026!$B:$Q,16,FALSE()),0)</f>
        <v>55265092</v>
      </c>
      <c r="R32" s="200" t="s">
        <v>496</v>
      </c>
      <c r="S32" s="162" t="str">
        <f aca="false">IFERROR(VLOOKUP(VALUE($D32),BSPL2026!$B:$M,12,FALSE()),"")</f>
        <v>상품</v>
      </c>
      <c r="T32" s="162" t="str">
        <f aca="false">IF(OR(S32="",S32=0,LEFT(S32,5)="(원본오류"),"",IF(S32=H32,"","매핑차이"))</f>
        <v/>
      </c>
    </row>
    <row r="33" customFormat="false" ht="17.25" hidden="true" customHeight="true" outlineLevel="0" collapsed="false">
      <c r="D33" s="190" t="s">
        <v>579</v>
      </c>
      <c r="E33" s="191" t="s">
        <v>580</v>
      </c>
      <c r="F33" s="192" t="s">
        <v>493</v>
      </c>
      <c r="G33" s="193" t="s">
        <v>494</v>
      </c>
      <c r="H33" s="194" t="s">
        <v>66</v>
      </c>
      <c r="I33" s="195" t="s">
        <v>580</v>
      </c>
      <c r="J33" s="196" t="n">
        <f aca="false">IFERROR(VLOOKUP(VALUE($D33),BSPL2026!$B:$Z,25,FALSE()),0)</f>
        <v>-926499683</v>
      </c>
      <c r="K33" s="197"/>
      <c r="L33" s="198"/>
      <c r="M33" s="196" t="n">
        <f aca="false">J33+K33-L33</f>
        <v>-926499683</v>
      </c>
      <c r="N33" s="197" t="n">
        <f aca="false">SUMIF('statutory adj_2026 조정분개'!$S:$S,$D33,'statutory adj_2026 조정분개'!$K:$K)</f>
        <v>0</v>
      </c>
      <c r="O33" s="198" t="n">
        <f aca="false">SUMIF('statutory adj_2026 조정분개'!$S:$S,$D33,'statutory adj_2026 조정분개'!$L:$L)</f>
        <v>0</v>
      </c>
      <c r="P33" s="196" t="n">
        <f aca="false">M33+N33-O33</f>
        <v>-926499683</v>
      </c>
      <c r="Q33" s="199" t="n">
        <f aca="false">IFERROR(VLOOKUP(VALUE($D33),BSPL2026!$B:$Q,16,FALSE()),0)</f>
        <v>-1672140386</v>
      </c>
      <c r="R33" s="200" t="s">
        <v>496</v>
      </c>
      <c r="S33" s="162" t="str">
        <f aca="false">IFERROR(VLOOKUP(VALUE($D33),BSPL2026!$B:$M,12,FALSE()),"")</f>
        <v>상품</v>
      </c>
      <c r="T33" s="162" t="str">
        <f aca="false">IF(OR(S33="",S33=0,LEFT(S33,5)="(원본오류"),"",IF(S33=H33,"","매핑차이"))</f>
        <v/>
      </c>
    </row>
    <row r="34" customFormat="false" ht="17.25" hidden="true" customHeight="true" outlineLevel="0" collapsed="false">
      <c r="D34" s="190" t="s">
        <v>581</v>
      </c>
      <c r="E34" s="191" t="s">
        <v>582</v>
      </c>
      <c r="F34" s="192" t="s">
        <v>493</v>
      </c>
      <c r="G34" s="193" t="s">
        <v>494</v>
      </c>
      <c r="H34" s="194" t="s">
        <v>66</v>
      </c>
      <c r="I34" s="195" t="s">
        <v>583</v>
      </c>
      <c r="J34" s="196" t="n">
        <f aca="false">IFERROR(VLOOKUP(VALUE($D34),BSPL2026!$B:$Z,25,FALSE()),0)</f>
        <v>0</v>
      </c>
      <c r="K34" s="197"/>
      <c r="L34" s="198"/>
      <c r="M34" s="196" t="n">
        <f aca="false">J34+K34-L34</f>
        <v>0</v>
      </c>
      <c r="N34" s="197" t="n">
        <f aca="false">SUMIF('statutory adj_2026 조정분개'!$S:$S,$D34,'statutory adj_2026 조정분개'!$K:$K)</f>
        <v>0</v>
      </c>
      <c r="O34" s="198" t="n">
        <f aca="false">SUMIF('statutory adj_2026 조정분개'!$S:$S,$D34,'statutory adj_2026 조정분개'!$L:$L)</f>
        <v>0</v>
      </c>
      <c r="P34" s="196" t="n">
        <f aca="false">M34+N34-O34</f>
        <v>0</v>
      </c>
      <c r="Q34" s="199" t="n">
        <f aca="false">IFERROR(VLOOKUP(VALUE($D34),BSPL2026!$B:$Q,16,FALSE()),0)</f>
        <v>0</v>
      </c>
      <c r="R34" s="200" t="s">
        <v>496</v>
      </c>
      <c r="S34" s="162" t="str">
        <f aca="false">IFERROR(VLOOKUP(VALUE($D34),BSPL2026!$B:$M,12,FALSE()),"")</f>
        <v>상품</v>
      </c>
      <c r="T34" s="162" t="str">
        <f aca="false">IF(OR(S34="",S34=0,LEFT(S34,5)="(원본오류"),"",IF(S34=H34,"","매핑차이"))</f>
        <v/>
      </c>
    </row>
    <row r="35" customFormat="false" ht="17.25" hidden="true" customHeight="true" outlineLevel="0" collapsed="false">
      <c r="D35" s="190" t="s">
        <v>584</v>
      </c>
      <c r="E35" s="191" t="s">
        <v>585</v>
      </c>
      <c r="F35" s="192" t="s">
        <v>493</v>
      </c>
      <c r="G35" s="193" t="s">
        <v>494</v>
      </c>
      <c r="H35" s="194" t="s">
        <v>586</v>
      </c>
      <c r="I35" s="195" t="s">
        <v>587</v>
      </c>
      <c r="J35" s="196" t="n">
        <f aca="false">IFERROR(VLOOKUP(VALUE($D35),BSPL2026!$B:$Z,25,FALSE()),0)</f>
        <v>-2370515021</v>
      </c>
      <c r="K35" s="197"/>
      <c r="L35" s="198"/>
      <c r="M35" s="196" t="n">
        <f aca="false">J35+K35-L35</f>
        <v>-2370515021</v>
      </c>
      <c r="N35" s="197" t="n">
        <f aca="false">SUMIF('statutory adj_2026 조정분개'!$S:$S,$D35,'statutory adj_2026 조정분개'!$K:$K)</f>
        <v>0</v>
      </c>
      <c r="O35" s="198" t="n">
        <f aca="false">SUMIF('statutory adj_2026 조정분개'!$S:$S,$D35,'statutory adj_2026 조정분개'!$L:$L)</f>
        <v>0</v>
      </c>
      <c r="P35" s="196" t="n">
        <f aca="false">M35+N35-O35</f>
        <v>-2370515021</v>
      </c>
      <c r="Q35" s="199" t="n">
        <f aca="false">IFERROR(VLOOKUP(VALUE($D35),BSPL2026!$B:$Q,16,FALSE()),0)</f>
        <v>-4770617217</v>
      </c>
      <c r="R35" s="200" t="s">
        <v>496</v>
      </c>
      <c r="S35" s="162" t="str">
        <f aca="false">IFERROR(VLOOKUP(VALUE($D35),BSPL2026!$B:$M,12,FALSE()),"")</f>
        <v>평가충당금-상품</v>
      </c>
      <c r="T35" s="162" t="str">
        <f aca="false">IF(OR(S35="",S35=0,LEFT(S35,5)="(원본오류"),"",IF(S35=H35,"","매핑차이"))</f>
        <v/>
      </c>
    </row>
    <row r="36" customFormat="false" ht="17.25" hidden="true" customHeight="true" outlineLevel="0" collapsed="false">
      <c r="D36" s="190" t="s">
        <v>588</v>
      </c>
      <c r="E36" s="191" t="s">
        <v>589</v>
      </c>
      <c r="F36" s="192" t="s">
        <v>493</v>
      </c>
      <c r="G36" s="193" t="s">
        <v>494</v>
      </c>
      <c r="H36" s="194" t="s">
        <v>83</v>
      </c>
      <c r="I36" s="195" t="s">
        <v>589</v>
      </c>
      <c r="J36" s="196" t="n">
        <f aca="false">IFERROR(VLOOKUP(VALUE($D36),BSPL2026!$B:$Z,25,FALSE()),0)</f>
        <v>18060397713</v>
      </c>
      <c r="K36" s="197"/>
      <c r="L36" s="198"/>
      <c r="M36" s="196" t="n">
        <f aca="false">J36+K36-L36</f>
        <v>18060397713</v>
      </c>
      <c r="N36" s="197" t="n">
        <f aca="false">SUMIF('statutory adj_2026 조정분개'!$S:$S,$D36,'statutory adj_2026 조정분개'!$K:$K)</f>
        <v>0</v>
      </c>
      <c r="O36" s="198" t="n">
        <f aca="false">SUMIF('statutory adj_2026 조정분개'!$S:$S,$D36,'statutory adj_2026 조정분개'!$L:$L)</f>
        <v>0</v>
      </c>
      <c r="P36" s="196" t="n">
        <f aca="false">M36+N36-O36</f>
        <v>18060397713</v>
      </c>
      <c r="Q36" s="199" t="n">
        <f aca="false">IFERROR(VLOOKUP(VALUE($D36),BSPL2026!$B:$Q,16,FALSE()),0)</f>
        <v>20959209037</v>
      </c>
      <c r="R36" s="200" t="s">
        <v>496</v>
      </c>
      <c r="S36" s="162" t="str">
        <f aca="false">IFERROR(VLOOKUP(VALUE($D36),BSPL2026!$B:$M,12,FALSE()),"")</f>
        <v>미착품</v>
      </c>
      <c r="T36" s="162" t="str">
        <f aca="false">IF(OR(S36="",S36=0,LEFT(S36,5)="(원본오류"),"",IF(S36=H36,"","매핑차이"))</f>
        <v/>
      </c>
    </row>
    <row r="37" customFormat="false" ht="17.25" hidden="true" customHeight="true" outlineLevel="0" collapsed="false">
      <c r="D37" s="190" t="s">
        <v>590</v>
      </c>
      <c r="E37" s="191" t="s">
        <v>591</v>
      </c>
      <c r="F37" s="192" t="s">
        <v>493</v>
      </c>
      <c r="G37" s="193" t="s">
        <v>494</v>
      </c>
      <c r="H37" s="194" t="s">
        <v>83</v>
      </c>
      <c r="I37" s="195" t="s">
        <v>591</v>
      </c>
      <c r="J37" s="196" t="n">
        <f aca="false">IFERROR(VLOOKUP(VALUE($D37),BSPL2026!$B:$Z,25,FALSE()),0)</f>
        <v>-208060150</v>
      </c>
      <c r="K37" s="197"/>
      <c r="L37" s="198"/>
      <c r="M37" s="196" t="n">
        <f aca="false">J37+K37-L37</f>
        <v>-208060150</v>
      </c>
      <c r="N37" s="197" t="n">
        <f aca="false">SUMIF('statutory adj_2026 조정분개'!$S:$S,$D37,'statutory adj_2026 조정분개'!$K:$K)</f>
        <v>0</v>
      </c>
      <c r="O37" s="198" t="n">
        <f aca="false">SUMIF('statutory adj_2026 조정분개'!$S:$S,$D37,'statutory adj_2026 조정분개'!$L:$L)</f>
        <v>0</v>
      </c>
      <c r="P37" s="196" t="n">
        <f aca="false">M37+N37-O37</f>
        <v>-208060150</v>
      </c>
      <c r="Q37" s="199" t="n">
        <f aca="false">IFERROR(VLOOKUP(VALUE($D37),BSPL2026!$B:$Q,16,FALSE()),0)</f>
        <v>-267557873</v>
      </c>
      <c r="R37" s="200" t="s">
        <v>496</v>
      </c>
      <c r="S37" s="162" t="str">
        <f aca="false">IFERROR(VLOOKUP(VALUE($D37),BSPL2026!$B:$M,12,FALSE()),"")</f>
        <v>미착품</v>
      </c>
      <c r="T37" s="162" t="str">
        <f aca="false">IF(OR(S37="",S37=0,LEFT(S37,5)="(원본오류"),"",IF(S37=H37,"","매핑차이"))</f>
        <v/>
      </c>
    </row>
    <row r="38" customFormat="false" ht="17.25" hidden="true" customHeight="true" outlineLevel="0" collapsed="false">
      <c r="D38" s="190" t="s">
        <v>592</v>
      </c>
      <c r="E38" s="191" t="s">
        <v>593</v>
      </c>
      <c r="F38" s="192" t="s">
        <v>493</v>
      </c>
      <c r="G38" s="193" t="s">
        <v>494</v>
      </c>
      <c r="H38" s="194" t="s">
        <v>30</v>
      </c>
      <c r="I38" s="195" t="s">
        <v>593</v>
      </c>
      <c r="J38" s="196" t="n">
        <f aca="false">IFERROR(VLOOKUP(VALUE($D38),BSPL2026!$B:$Z,25,FALSE()),0)</f>
        <v>227483307980</v>
      </c>
      <c r="K38" s="197"/>
      <c r="L38" s="198"/>
      <c r="M38" s="196" t="n">
        <f aca="false">J38+K38-L38</f>
        <v>227483307980</v>
      </c>
      <c r="N38" s="197" t="n">
        <f aca="false">SUMIF('statutory adj_2026 조정분개'!$S:$S,$D38,'statutory adj_2026 조정분개'!$K:$K)</f>
        <v>0</v>
      </c>
      <c r="O38" s="198" t="n">
        <f aca="false">SUMIF('statutory adj_2026 조정분개'!$S:$S,$D38,'statutory adj_2026 조정분개'!$L:$L)</f>
        <v>12415810124</v>
      </c>
      <c r="P38" s="196" t="n">
        <f aca="false">M38+N38-O38</f>
        <v>215067497856</v>
      </c>
      <c r="Q38" s="199" t="n">
        <f aca="false">IFERROR(VLOOKUP(VALUE($D38),BSPL2026!$B:$Q,16,FALSE()),0)</f>
        <v>173829604574</v>
      </c>
      <c r="R38" s="200" t="s">
        <v>496</v>
      </c>
      <c r="S38" s="162" t="str">
        <f aca="false">IFERROR(VLOOKUP(VALUE($D38),BSPL2026!$B:$M,12,FALSE()),"")</f>
        <v>매출채권</v>
      </c>
      <c r="T38" s="162" t="str">
        <f aca="false">IF(OR(S38="",S38=0,LEFT(S38,5)="(원본오류"),"",IF(S38=H38,"","매핑차이"))</f>
        <v/>
      </c>
    </row>
    <row r="39" customFormat="false" ht="17.25" hidden="true" customHeight="true" outlineLevel="0" collapsed="false">
      <c r="D39" s="190" t="s">
        <v>594</v>
      </c>
      <c r="E39" s="191" t="s">
        <v>595</v>
      </c>
      <c r="F39" s="192" t="s">
        <v>493</v>
      </c>
      <c r="G39" s="193" t="s">
        <v>494</v>
      </c>
      <c r="H39" s="194" t="s">
        <v>30</v>
      </c>
      <c r="I39" s="195" t="s">
        <v>595</v>
      </c>
      <c r="J39" s="196" t="n">
        <f aca="false">IFERROR(VLOOKUP(VALUE($D39),BSPL2026!$B:$Z,25,FALSE()),0)</f>
        <v>-2244</v>
      </c>
      <c r="K39" s="197"/>
      <c r="L39" s="198"/>
      <c r="M39" s="196" t="n">
        <f aca="false">J39+K39-L39</f>
        <v>-2244</v>
      </c>
      <c r="N39" s="197" t="n">
        <f aca="false">SUMIF('statutory adj_2026 조정분개'!$S:$S,$D39,'statutory adj_2026 조정분개'!$K:$K)</f>
        <v>0</v>
      </c>
      <c r="O39" s="198" t="n">
        <f aca="false">SUMIF('statutory adj_2026 조정분개'!$S:$S,$D39,'statutory adj_2026 조정분개'!$L:$L)</f>
        <v>0</v>
      </c>
      <c r="P39" s="196" t="n">
        <f aca="false">M39+N39-O39</f>
        <v>-2244</v>
      </c>
      <c r="Q39" s="199" t="n">
        <f aca="false">IFERROR(VLOOKUP(VALUE($D39),BSPL2026!$B:$Q,16,FALSE()),0)</f>
        <v>0</v>
      </c>
      <c r="R39" s="200" t="s">
        <v>496</v>
      </c>
      <c r="S39" s="162" t="str">
        <f aca="false">IFERROR(VLOOKUP(VALUE($D39),BSPL2026!$B:$M,12,FALSE()),"")</f>
        <v>매출채권</v>
      </c>
      <c r="T39" s="162" t="str">
        <f aca="false">IF(OR(S39="",S39=0,LEFT(S39,5)="(원본오류"),"",IF(S39=H39,"","매핑차이"))</f>
        <v/>
      </c>
    </row>
    <row r="40" customFormat="false" ht="17.25" hidden="true" customHeight="true" outlineLevel="0" collapsed="false">
      <c r="D40" s="190" t="s">
        <v>596</v>
      </c>
      <c r="E40" s="191" t="s">
        <v>597</v>
      </c>
      <c r="F40" s="192" t="s">
        <v>493</v>
      </c>
      <c r="G40" s="193" t="s">
        <v>494</v>
      </c>
      <c r="H40" s="194" t="s">
        <v>30</v>
      </c>
      <c r="I40" s="195" t="s">
        <v>597</v>
      </c>
      <c r="J40" s="196" t="n">
        <f aca="false">IFERROR(VLOOKUP(VALUE($D40),BSPL2026!$B:$Z,25,FALSE()),0)</f>
        <v>0</v>
      </c>
      <c r="K40" s="197"/>
      <c r="L40" s="198"/>
      <c r="M40" s="196" t="n">
        <f aca="false">J40+K40-L40</f>
        <v>0</v>
      </c>
      <c r="N40" s="197" t="n">
        <f aca="false">SUMIF('statutory adj_2026 조정분개'!$S:$S,$D40,'statutory adj_2026 조정분개'!$K:$K)</f>
        <v>0</v>
      </c>
      <c r="O40" s="198" t="n">
        <f aca="false">SUMIF('statutory adj_2026 조정분개'!$S:$S,$D40,'statutory adj_2026 조정분개'!$L:$L)</f>
        <v>0</v>
      </c>
      <c r="P40" s="196" t="n">
        <f aca="false">M40+N40-O40</f>
        <v>0</v>
      </c>
      <c r="Q40" s="199" t="n">
        <f aca="false">IFERROR(VLOOKUP(VALUE($D40),BSPL2026!$B:$Q,16,FALSE()),0)</f>
        <v>0</v>
      </c>
      <c r="R40" s="200" t="s">
        <v>496</v>
      </c>
      <c r="S40" s="162" t="str">
        <f aca="false">IFERROR(VLOOKUP(VALUE($D40),BSPL2026!$B:$M,12,FALSE()),"")</f>
        <v>매출채권</v>
      </c>
      <c r="T40" s="162" t="str">
        <f aca="false">IF(OR(S40="",S40=0,LEFT(S40,5)="(원본오류"),"",IF(S40=H40,"","매핑차이"))</f>
        <v/>
      </c>
    </row>
    <row r="41" customFormat="false" ht="17.25" hidden="true" customHeight="true" outlineLevel="0" collapsed="false">
      <c r="D41" s="190" t="s">
        <v>598</v>
      </c>
      <c r="E41" s="191" t="s">
        <v>599</v>
      </c>
      <c r="F41" s="192" t="s">
        <v>493</v>
      </c>
      <c r="G41" s="193" t="s">
        <v>494</v>
      </c>
      <c r="H41" s="194" t="s">
        <v>33</v>
      </c>
      <c r="I41" s="195" t="s">
        <v>599</v>
      </c>
      <c r="J41" s="196" t="n">
        <f aca="false">IFERROR(VLOOKUP(VALUE($D41),BSPL2026!$B:$Z,25,FALSE()),0)</f>
        <v>-118149382</v>
      </c>
      <c r="K41" s="197"/>
      <c r="L41" s="198"/>
      <c r="M41" s="196" t="n">
        <f aca="false">J41+K41-L41</f>
        <v>-118149382</v>
      </c>
      <c r="N41" s="197" t="n">
        <f aca="false">SUMIF('statutory adj_2026 조정분개'!$S:$S,$D41,'statutory adj_2026 조정분개'!$K:$K)</f>
        <v>0</v>
      </c>
      <c r="O41" s="198" t="n">
        <f aca="false">SUMIF('statutory adj_2026 조정분개'!$S:$S,$D41,'statutory adj_2026 조정분개'!$L:$L)</f>
        <v>0</v>
      </c>
      <c r="P41" s="196" t="n">
        <f aca="false">M41+N41-O41</f>
        <v>-118149382</v>
      </c>
      <c r="Q41" s="199" t="n">
        <f aca="false">IFERROR(VLOOKUP(VALUE($D41),BSPL2026!$B:$Q,16,FALSE()),0)</f>
        <v>-122273991</v>
      </c>
      <c r="R41" s="200" t="s">
        <v>496</v>
      </c>
      <c r="S41" s="162" t="str">
        <f aca="false">IFERROR(VLOOKUP(VALUE($D41),BSPL2026!$B:$M,12,FALSE()),"")</f>
        <v>대손충당금</v>
      </c>
      <c r="T41" s="162" t="str">
        <f aca="false">IF(OR(S41="",S41=0,LEFT(S41,5)="(원본오류"),"",IF(S41=H41,"","매핑차이"))</f>
        <v/>
      </c>
    </row>
    <row r="42" customFormat="false" ht="17.25" hidden="true" customHeight="true" outlineLevel="0" collapsed="false">
      <c r="D42" s="190" t="s">
        <v>600</v>
      </c>
      <c r="E42" s="191" t="s">
        <v>601</v>
      </c>
      <c r="F42" s="192" t="s">
        <v>493</v>
      </c>
      <c r="G42" s="193" t="s">
        <v>494</v>
      </c>
      <c r="H42" s="194" t="s">
        <v>30</v>
      </c>
      <c r="I42" s="195" t="s">
        <v>601</v>
      </c>
      <c r="J42" s="196" t="n">
        <f aca="false">IFERROR(VLOOKUP(VALUE($D42),BSPL2026!$B:$Z,25,FALSE()),0)</f>
        <v>111427453</v>
      </c>
      <c r="K42" s="197"/>
      <c r="L42" s="198"/>
      <c r="M42" s="196" t="n">
        <f aca="false">J42+K42-L42</f>
        <v>111427453</v>
      </c>
      <c r="N42" s="197" t="n">
        <f aca="false">SUMIF('statutory adj_2026 조정분개'!$S:$S,$D42,'statutory adj_2026 조정분개'!$K:$K)</f>
        <v>0</v>
      </c>
      <c r="O42" s="198" t="n">
        <f aca="false">SUMIF('statutory adj_2026 조정분개'!$S:$S,$D42,'statutory adj_2026 조정분개'!$L:$L)</f>
        <v>0</v>
      </c>
      <c r="P42" s="196" t="n">
        <f aca="false">M42+N42-O42</f>
        <v>111427453</v>
      </c>
      <c r="Q42" s="199" t="n">
        <f aca="false">IFERROR(VLOOKUP(VALUE($D42),BSPL2026!$B:$Q,16,FALSE()),0)</f>
        <v>109350608</v>
      </c>
      <c r="R42" s="200" t="s">
        <v>496</v>
      </c>
      <c r="S42" s="162" t="str">
        <f aca="false">IFERROR(VLOOKUP(VALUE($D42),BSPL2026!$B:$M,12,FALSE()),"")</f>
        <v>매출채권</v>
      </c>
      <c r="T42" s="162" t="str">
        <f aca="false">IF(OR(S42="",S42=0,LEFT(S42,5)="(원본오류"),"",IF(S42=H42,"","매핑차이"))</f>
        <v/>
      </c>
    </row>
    <row r="43" customFormat="false" ht="17.25" hidden="true" customHeight="true" outlineLevel="0" collapsed="false">
      <c r="D43" s="190" t="s">
        <v>602</v>
      </c>
      <c r="E43" s="191" t="s">
        <v>603</v>
      </c>
      <c r="F43" s="192" t="s">
        <v>493</v>
      </c>
      <c r="G43" s="193" t="s">
        <v>494</v>
      </c>
      <c r="H43" s="194" t="s">
        <v>30</v>
      </c>
      <c r="I43" s="195" t="s">
        <v>603</v>
      </c>
      <c r="J43" s="196" t="n">
        <f aca="false">IFERROR(VLOOKUP(VALUE($D43),BSPL2026!$B:$Z,25,FALSE()),0)</f>
        <v>17617</v>
      </c>
      <c r="K43" s="197"/>
      <c r="L43" s="198"/>
      <c r="M43" s="196" t="n">
        <f aca="false">J43+K43-L43</f>
        <v>17617</v>
      </c>
      <c r="N43" s="197" t="n">
        <f aca="false">SUMIF('statutory adj_2026 조정분개'!$S:$S,$D43,'statutory adj_2026 조정분개'!$K:$K)</f>
        <v>0</v>
      </c>
      <c r="O43" s="198" t="n">
        <f aca="false">SUMIF('statutory adj_2026 조정분개'!$S:$S,$D43,'statutory adj_2026 조정분개'!$L:$L)</f>
        <v>0</v>
      </c>
      <c r="P43" s="196" t="n">
        <f aca="false">M43+N43-O43</f>
        <v>17617</v>
      </c>
      <c r="Q43" s="199" t="n">
        <f aca="false">IFERROR(VLOOKUP(VALUE($D43),BSPL2026!$B:$Q,16,FALSE()),0)</f>
        <v>0</v>
      </c>
      <c r="R43" s="200" t="s">
        <v>496</v>
      </c>
      <c r="S43" s="162" t="str">
        <f aca="false">IFERROR(VLOOKUP(VALUE($D43),BSPL2026!$B:$M,12,FALSE()),"")</f>
        <v>매출채권</v>
      </c>
      <c r="T43" s="162" t="str">
        <f aca="false">IF(OR(S43="",S43=0,LEFT(S43,5)="(원본오류"),"",IF(S43=H43,"","매핑차이"))</f>
        <v/>
      </c>
    </row>
    <row r="44" customFormat="false" ht="17.25" hidden="true" customHeight="true" outlineLevel="0" collapsed="false">
      <c r="D44" s="190" t="s">
        <v>604</v>
      </c>
      <c r="E44" s="191" t="s">
        <v>605</v>
      </c>
      <c r="F44" s="192" t="s">
        <v>493</v>
      </c>
      <c r="G44" s="193" t="s">
        <v>494</v>
      </c>
      <c r="H44" s="194" t="s">
        <v>30</v>
      </c>
      <c r="I44" s="195" t="s">
        <v>606</v>
      </c>
      <c r="J44" s="196" t="n">
        <f aca="false">IFERROR(VLOOKUP(VALUE($D44),BSPL2026!$B:$Z,25,FALSE()),0)</f>
        <v>10103</v>
      </c>
      <c r="K44" s="197"/>
      <c r="L44" s="198"/>
      <c r="M44" s="196" t="n">
        <f aca="false">J44+K44-L44</f>
        <v>10103</v>
      </c>
      <c r="N44" s="197" t="n">
        <f aca="false">SUMIF('statutory adj_2026 조정분개'!$S:$S,$D44,'statutory adj_2026 조정분개'!$K:$K)</f>
        <v>0</v>
      </c>
      <c r="O44" s="198" t="n">
        <f aca="false">SUMIF('statutory adj_2026 조정분개'!$S:$S,$D44,'statutory adj_2026 조정분개'!$L:$L)</f>
        <v>0</v>
      </c>
      <c r="P44" s="196" t="n">
        <f aca="false">M44+N44-O44</f>
        <v>10103</v>
      </c>
      <c r="Q44" s="199" t="n">
        <f aca="false">IFERROR(VLOOKUP(VALUE($D44),BSPL2026!$B:$Q,16,FALSE()),0)</f>
        <v>8262841</v>
      </c>
      <c r="R44" s="200" t="s">
        <v>496</v>
      </c>
      <c r="S44" s="162" t="str">
        <f aca="false">IFERROR(VLOOKUP(VALUE($D44),BSPL2026!$B:$M,12,FALSE()),"")</f>
        <v>매출채권</v>
      </c>
      <c r="T44" s="162" t="str">
        <f aca="false">IF(OR(S44="",S44=0,LEFT(S44,5)="(원본오류"),"",IF(S44=H44,"","매핑차이"))</f>
        <v/>
      </c>
    </row>
    <row r="45" customFormat="false" ht="17.25" hidden="true" customHeight="true" outlineLevel="0" collapsed="false">
      <c r="D45" s="190" t="s">
        <v>607</v>
      </c>
      <c r="E45" s="191" t="s">
        <v>608</v>
      </c>
      <c r="F45" s="192" t="s">
        <v>493</v>
      </c>
      <c r="G45" s="193" t="s">
        <v>494</v>
      </c>
      <c r="H45" s="194" t="s">
        <v>30</v>
      </c>
      <c r="I45" s="195" t="s">
        <v>608</v>
      </c>
      <c r="J45" s="196" t="n">
        <f aca="false">IFERROR(VLOOKUP(VALUE($D45),BSPL2026!$B:$Z,25,FALSE()),0)</f>
        <v>0</v>
      </c>
      <c r="K45" s="197"/>
      <c r="L45" s="198"/>
      <c r="M45" s="196" t="n">
        <f aca="false">J45+K45-L45</f>
        <v>0</v>
      </c>
      <c r="N45" s="197" t="n">
        <f aca="false">SUMIF('statutory adj_2026 조정분개'!$S:$S,$D45,'statutory adj_2026 조정분개'!$K:$K)</f>
        <v>0</v>
      </c>
      <c r="O45" s="198" t="n">
        <f aca="false">SUMIF('statutory adj_2026 조정분개'!$S:$S,$D45,'statutory adj_2026 조정분개'!$L:$L)</f>
        <v>0</v>
      </c>
      <c r="P45" s="196" t="n">
        <f aca="false">M45+N45-O45</f>
        <v>0</v>
      </c>
      <c r="Q45" s="199" t="n">
        <f aca="false">IFERROR(VLOOKUP(VALUE($D45),BSPL2026!$B:$Q,16,FALSE()),0)</f>
        <v>0</v>
      </c>
      <c r="R45" s="200" t="s">
        <v>496</v>
      </c>
      <c r="S45" s="162" t="str">
        <f aca="false">IFERROR(VLOOKUP(VALUE($D45),BSPL2026!$B:$M,12,FALSE()),"")</f>
        <v>매출채권</v>
      </c>
      <c r="T45" s="162" t="str">
        <f aca="false">IF(OR(S45="",S45=0,LEFT(S45,5)="(원본오류"),"",IF(S45=H45,"","매핑차이"))</f>
        <v/>
      </c>
    </row>
    <row r="46" customFormat="false" ht="17.25" hidden="true" customHeight="true" outlineLevel="0" collapsed="false">
      <c r="D46" s="190" t="s">
        <v>609</v>
      </c>
      <c r="E46" s="191" t="s">
        <v>610</v>
      </c>
      <c r="F46" s="192" t="s">
        <v>493</v>
      </c>
      <c r="G46" s="193" t="s">
        <v>494</v>
      </c>
      <c r="H46" s="194" t="s">
        <v>33</v>
      </c>
      <c r="I46" s="195" t="s">
        <v>610</v>
      </c>
      <c r="J46" s="196" t="n">
        <f aca="false">IFERROR(VLOOKUP(VALUE($D46),BSPL2026!$B:$Z,25,FALSE()),0)</f>
        <v>0</v>
      </c>
      <c r="K46" s="197"/>
      <c r="L46" s="198"/>
      <c r="M46" s="196" t="n">
        <f aca="false">J46+K46-L46</f>
        <v>0</v>
      </c>
      <c r="N46" s="197" t="n">
        <f aca="false">SUMIF('statutory adj_2026 조정분개'!$S:$S,$D46,'statutory adj_2026 조정분개'!$K:$K)</f>
        <v>0</v>
      </c>
      <c r="O46" s="198" t="n">
        <f aca="false">SUMIF('statutory adj_2026 조정분개'!$S:$S,$D46,'statutory adj_2026 조정분개'!$L:$L)</f>
        <v>0</v>
      </c>
      <c r="P46" s="196" t="n">
        <f aca="false">M46+N46-O46</f>
        <v>0</v>
      </c>
      <c r="Q46" s="199" t="n">
        <f aca="false">IFERROR(VLOOKUP(VALUE($D46),BSPL2026!$B:$Q,16,FALSE()),0)</f>
        <v>0</v>
      </c>
      <c r="R46" s="200" t="s">
        <v>496</v>
      </c>
      <c r="S46" s="162" t="str">
        <f aca="false">IFERROR(VLOOKUP(VALUE($D46),BSPL2026!$B:$M,12,FALSE()),"")</f>
        <v>대손충당금</v>
      </c>
      <c r="T46" s="162" t="str">
        <f aca="false">IF(OR(S46="",S46=0,LEFT(S46,5)="(원본오류"),"",IF(S46=H46,"","매핑차이"))</f>
        <v/>
      </c>
    </row>
    <row r="47" customFormat="false" ht="17.25" hidden="false" customHeight="true" outlineLevel="0" collapsed="false">
      <c r="D47" s="190" t="s">
        <v>611</v>
      </c>
      <c r="E47" s="191" t="s">
        <v>612</v>
      </c>
      <c r="F47" s="192" t="s">
        <v>493</v>
      </c>
      <c r="G47" s="193" t="s">
        <v>494</v>
      </c>
      <c r="H47" s="194" t="s">
        <v>36</v>
      </c>
      <c r="I47" s="195" t="s">
        <v>612</v>
      </c>
      <c r="J47" s="196" t="n">
        <f aca="false">IFERROR(VLOOKUP(VALUE($D47),BSPL2026!$B:$Z,25,FALSE()),0)</f>
        <v>1002240</v>
      </c>
      <c r="K47" s="197"/>
      <c r="L47" s="198"/>
      <c r="M47" s="196" t="n">
        <f aca="false">J47+K47-L47</f>
        <v>1002240</v>
      </c>
      <c r="N47" s="197" t="n">
        <f aca="false">SUMIF('statutory adj_2026 조정분개'!$S:$S,$D47,'statutory adj_2026 조정분개'!$K:$K)</f>
        <v>0</v>
      </c>
      <c r="O47" s="198" t="n">
        <f aca="false">SUMIF('statutory adj_2026 조정분개'!$S:$S,$D47,'statutory adj_2026 조정분개'!$L:$L)</f>
        <v>0</v>
      </c>
      <c r="P47" s="196" t="n">
        <f aca="false">M47+N47-O47</f>
        <v>1002240</v>
      </c>
      <c r="Q47" s="199" t="n">
        <f aca="false">IFERROR(VLOOKUP(VALUE($D47),BSPL2026!$B:$Q,16,FALSE()),0)</f>
        <v>-8851971</v>
      </c>
      <c r="R47" s="200" t="s">
        <v>496</v>
      </c>
      <c r="S47" s="162" t="str">
        <f aca="false">IFERROR(VLOOKUP(VALUE($D47),BSPL2026!$B:$M,12,FALSE()),"")</f>
        <v>미수금</v>
      </c>
      <c r="T47" s="162" t="str">
        <f aca="false">IF(OR(S47="",S47=0,LEFT(S47,5)="(원본오류"),"",IF(S47=H47,"","매핑차이"))</f>
        <v/>
      </c>
    </row>
    <row r="48" customFormat="false" ht="16.5" hidden="false" customHeight="false" outlineLevel="0" collapsed="false">
      <c r="D48" s="190" t="s">
        <v>613</v>
      </c>
      <c r="E48" s="191" t="s">
        <v>614</v>
      </c>
      <c r="F48" s="192" t="s">
        <v>493</v>
      </c>
      <c r="G48" s="193" t="s">
        <v>494</v>
      </c>
      <c r="H48" s="194" t="s">
        <v>42</v>
      </c>
      <c r="I48" s="195" t="s">
        <v>614</v>
      </c>
      <c r="J48" s="196" t="n">
        <f aca="false">IFERROR(VLOOKUP(VALUE($D48),BSPL2026!$B:$Z,25,FALSE()),0)</f>
        <v>981690770</v>
      </c>
      <c r="K48" s="197"/>
      <c r="L48" s="198"/>
      <c r="M48" s="196" t="n">
        <f aca="false">J48+K48-L48</f>
        <v>981690770</v>
      </c>
      <c r="N48" s="197" t="n">
        <f aca="false">SUMIF('statutory adj_2026 조정분개'!$S:$S,$D48,'statutory adj_2026 조정분개'!$K:$K)</f>
        <v>0</v>
      </c>
      <c r="O48" s="198" t="n">
        <f aca="false">SUMIF('statutory adj_2026 조정분개'!$S:$S,$D48,'statutory adj_2026 조정분개'!$L:$L)</f>
        <v>0</v>
      </c>
      <c r="P48" s="196" t="n">
        <f aca="false">M48+N48-O48</f>
        <v>981690770</v>
      </c>
      <c r="Q48" s="199" t="n">
        <f aca="false">IFERROR(VLOOKUP(VALUE($D48),BSPL2026!$B:$Q,16,FALSE()),0)</f>
        <v>979522379</v>
      </c>
      <c r="R48" s="200" t="s">
        <v>496</v>
      </c>
      <c r="S48" s="162" t="str">
        <f aca="false">IFERROR(VLOOKUP(VALUE($D48),BSPL2026!$B:$M,12,FALSE()),"")</f>
        <v>미수수익</v>
      </c>
      <c r="T48" s="162" t="str">
        <f aca="false">IF(OR(S48="",S48=0,LEFT(S48,5)="(원본오류"),"",IF(S48=H48,"","매핑차이"))</f>
        <v/>
      </c>
    </row>
    <row r="49" customFormat="false" ht="16.5" hidden="false" customHeight="false" outlineLevel="0" collapsed="false">
      <c r="D49" s="190" t="s">
        <v>615</v>
      </c>
      <c r="E49" s="191" t="s">
        <v>616</v>
      </c>
      <c r="F49" s="192" t="s">
        <v>493</v>
      </c>
      <c r="G49" s="193" t="s">
        <v>494</v>
      </c>
      <c r="H49" s="194" t="s">
        <v>36</v>
      </c>
      <c r="I49" s="195" t="s">
        <v>616</v>
      </c>
      <c r="J49" s="196" t="n">
        <f aca="false">IFERROR(VLOOKUP(VALUE($D49),BSPL2026!$B:$Z,25,FALSE()),0)</f>
        <v>0</v>
      </c>
      <c r="K49" s="197"/>
      <c r="L49" s="198"/>
      <c r="M49" s="196" t="n">
        <f aca="false">J49+K49-L49</f>
        <v>0</v>
      </c>
      <c r="N49" s="197" t="n">
        <f aca="false">SUMIF('statutory adj_2026 조정분개'!$S:$S,$D49,'statutory adj_2026 조정분개'!$K:$K)</f>
        <v>0</v>
      </c>
      <c r="O49" s="198" t="n">
        <f aca="false">SUMIF('statutory adj_2026 조정분개'!$S:$S,$D49,'statutory adj_2026 조정분개'!$L:$L)</f>
        <v>0</v>
      </c>
      <c r="P49" s="196" t="n">
        <f aca="false">M49+N49-O49</f>
        <v>0</v>
      </c>
      <c r="Q49" s="199" t="n">
        <f aca="false">IFERROR(VLOOKUP(VALUE($D49),BSPL2026!$B:$Q,16,FALSE()),0)</f>
        <v>0</v>
      </c>
      <c r="R49" s="200" t="s">
        <v>496</v>
      </c>
      <c r="S49" s="162" t="str">
        <f aca="false">IFERROR(VLOOKUP(VALUE($D49),BSPL2026!$B:$M,12,FALSE()),"")</f>
        <v>미수금</v>
      </c>
      <c r="T49" s="162" t="str">
        <f aca="false">IF(OR(S49="",S49=0,LEFT(S49,5)="(원본오류"),"",IF(S49=H49,"","매핑차이"))</f>
        <v/>
      </c>
    </row>
    <row r="50" customFormat="false" ht="16.5" hidden="false" customHeight="false" outlineLevel="0" collapsed="false">
      <c r="D50" s="190" t="s">
        <v>617</v>
      </c>
      <c r="E50" s="191" t="s">
        <v>618</v>
      </c>
      <c r="F50" s="192" t="s">
        <v>493</v>
      </c>
      <c r="G50" s="193" t="s">
        <v>494</v>
      </c>
      <c r="H50" s="194" t="s">
        <v>54</v>
      </c>
      <c r="I50" s="195" t="s">
        <v>618</v>
      </c>
      <c r="J50" s="196" t="n">
        <f aca="false">IFERROR(VLOOKUP(VALUE($D50),BSPL2026!$B:$Z,25,FALSE()),0)</f>
        <v>656604886</v>
      </c>
      <c r="K50" s="197"/>
      <c r="L50" s="198"/>
      <c r="M50" s="196" t="n">
        <f aca="false">J50+K50-L50</f>
        <v>656604886</v>
      </c>
      <c r="N50" s="197" t="n">
        <f aca="false">SUMIF('statutory adj_2026 조정분개'!$S:$S,$D50,'statutory adj_2026 조정분개'!$K:$K)</f>
        <v>0</v>
      </c>
      <c r="O50" s="198" t="n">
        <f aca="false">SUMIF('statutory adj_2026 조정분개'!$S:$S,$D50,'statutory adj_2026 조정분개'!$L:$L)</f>
        <v>0</v>
      </c>
      <c r="P50" s="196" t="n">
        <f aca="false">M50+N50-O50</f>
        <v>656604886</v>
      </c>
      <c r="Q50" s="199" t="n">
        <f aca="false">IFERROR(VLOOKUP(VALUE($D50),BSPL2026!$B:$Q,16,FALSE()),0)</f>
        <v>0</v>
      </c>
      <c r="R50" s="200" t="s">
        <v>496</v>
      </c>
      <c r="S50" s="162" t="str">
        <f aca="false">IFERROR(VLOOKUP(VALUE($D50),BSPL2026!$B:$M,12,FALSE()),"")</f>
        <v>선급비용</v>
      </c>
      <c r="T50" s="162" t="str">
        <f aca="false">IF(OR(S50="",S50=0,LEFT(S50,5)="(원본오류"),"",IF(S50=H50,"","매핑차이"))</f>
        <v/>
      </c>
    </row>
    <row r="51" customFormat="false" ht="16.5" hidden="false" customHeight="false" outlineLevel="0" collapsed="false">
      <c r="D51" s="190" t="s">
        <v>619</v>
      </c>
      <c r="E51" s="191" t="s">
        <v>620</v>
      </c>
      <c r="F51" s="192" t="s">
        <v>493</v>
      </c>
      <c r="G51" s="193" t="s">
        <v>494</v>
      </c>
      <c r="H51" s="194" t="s">
        <v>45</v>
      </c>
      <c r="I51" s="195" t="s">
        <v>620</v>
      </c>
      <c r="J51" s="196" t="n">
        <f aca="false">IFERROR(VLOOKUP(VALUE($D51),BSPL2026!$B:$Z,25,FALSE()),0)</f>
        <v>809597490</v>
      </c>
      <c r="K51" s="197"/>
      <c r="L51" s="198"/>
      <c r="M51" s="196" t="n">
        <f aca="false">J51+K51-L51</f>
        <v>809597490</v>
      </c>
      <c r="N51" s="197" t="n">
        <f aca="false">SUMIF('statutory adj_2026 조정분개'!$S:$S,$D51,'statutory adj_2026 조정분개'!$K:$K)</f>
        <v>0</v>
      </c>
      <c r="O51" s="198" t="n">
        <f aca="false">SUMIF('statutory adj_2026 조정분개'!$S:$S,$D51,'statutory adj_2026 조정분개'!$L:$L)</f>
        <v>0</v>
      </c>
      <c r="P51" s="196" t="n">
        <f aca="false">M51+N51-O51</f>
        <v>809597490</v>
      </c>
      <c r="Q51" s="199" t="n">
        <f aca="false">IFERROR(VLOOKUP(VALUE($D51),BSPL2026!$B:$Q,16,FALSE()),0)</f>
        <v>6858752</v>
      </c>
      <c r="R51" s="200" t="s">
        <v>496</v>
      </c>
      <c r="S51" s="162" t="str">
        <f aca="false">IFERROR(VLOOKUP(VALUE($D51),BSPL2026!$B:$M,12,FALSE()),"")</f>
        <v>선급금</v>
      </c>
      <c r="T51" s="162" t="str">
        <f aca="false">IF(OR(S51="",S51=0,LEFT(S51,5)="(원본오류"),"",IF(S51=H51,"","매핑차이"))</f>
        <v/>
      </c>
    </row>
    <row r="52" customFormat="false" ht="16.5" hidden="true" customHeight="false" outlineLevel="0" collapsed="false">
      <c r="D52" s="190" t="s">
        <v>621</v>
      </c>
      <c r="E52" s="191" t="s">
        <v>622</v>
      </c>
      <c r="F52" s="192" t="s">
        <v>493</v>
      </c>
      <c r="G52" s="193" t="s">
        <v>494</v>
      </c>
      <c r="H52" s="194" t="s">
        <v>33</v>
      </c>
      <c r="I52" s="195" t="s">
        <v>622</v>
      </c>
      <c r="J52" s="196" t="n">
        <f aca="false">IFERROR(VLOOKUP(VALUE($D52),BSPL2026!$B:$Z,25,FALSE()),0)</f>
        <v>0</v>
      </c>
      <c r="K52" s="197"/>
      <c r="L52" s="198"/>
      <c r="M52" s="196" t="n">
        <f aca="false">J52+K52-L52</f>
        <v>0</v>
      </c>
      <c r="N52" s="197" t="n">
        <f aca="false">SUMIF('statutory adj_2026 조정분개'!$S:$S,$D52,'statutory adj_2026 조정분개'!$K:$K)</f>
        <v>0</v>
      </c>
      <c r="O52" s="198" t="n">
        <f aca="false">SUMIF('statutory adj_2026 조정분개'!$S:$S,$D52,'statutory adj_2026 조정분개'!$L:$L)</f>
        <v>0</v>
      </c>
      <c r="P52" s="196" t="n">
        <f aca="false">M52+N52-O52</f>
        <v>0</v>
      </c>
      <c r="Q52" s="199" t="n">
        <f aca="false">IFERROR(VLOOKUP(VALUE($D52),BSPL2026!$B:$Q,16,FALSE()),0)</f>
        <v>0</v>
      </c>
      <c r="R52" s="200" t="s">
        <v>496</v>
      </c>
      <c r="S52" s="162" t="str">
        <f aca="false">IFERROR(VLOOKUP(VALUE($D52),BSPL2026!$B:$M,12,FALSE()),"")</f>
        <v>대손충당금</v>
      </c>
      <c r="T52" s="162" t="str">
        <f aca="false">IF(OR(S52="",S52=0,LEFT(S52,5)="(원본오류"),"",IF(S52=H52,"","매핑차이"))</f>
        <v/>
      </c>
    </row>
    <row r="53" customFormat="false" ht="16.5" hidden="true" customHeight="false" outlineLevel="0" collapsed="false">
      <c r="D53" s="190" t="s">
        <v>623</v>
      </c>
      <c r="E53" s="191" t="s">
        <v>624</v>
      </c>
      <c r="F53" s="192" t="s">
        <v>493</v>
      </c>
      <c r="G53" s="193" t="s">
        <v>494</v>
      </c>
      <c r="H53" s="194" t="s">
        <v>36</v>
      </c>
      <c r="I53" s="195" t="s">
        <v>624</v>
      </c>
      <c r="J53" s="196" t="n">
        <f aca="false">IFERROR(VLOOKUP(VALUE($D53),BSPL2026!$B:$Z,25,FALSE()),0)</f>
        <v>11576676956</v>
      </c>
      <c r="K53" s="197"/>
      <c r="L53" s="198"/>
      <c r="M53" s="196" t="n">
        <f aca="false">J53+K53-L53</f>
        <v>11576676956</v>
      </c>
      <c r="N53" s="197" t="n">
        <f aca="false">SUMIF('statutory adj_2026 조정분개'!$S:$S,$D53,'statutory adj_2026 조정분개'!$K:$K)</f>
        <v>0</v>
      </c>
      <c r="O53" s="198" t="n">
        <f aca="false">SUMIF('statutory adj_2026 조정분개'!$S:$S,$D53,'statutory adj_2026 조정분개'!$L:$L)</f>
        <v>0</v>
      </c>
      <c r="P53" s="196" t="n">
        <f aca="false">M53+N53-O53</f>
        <v>11576676956</v>
      </c>
      <c r="Q53" s="199" t="n">
        <f aca="false">IFERROR(VLOOKUP(VALUE($D53),BSPL2026!$B:$Q,16,FALSE()),0)</f>
        <v>16694851073</v>
      </c>
      <c r="R53" s="200" t="s">
        <v>496</v>
      </c>
      <c r="S53" s="162" t="str">
        <f aca="false">IFERROR(VLOOKUP(VALUE($D53),BSPL2026!$B:$M,12,FALSE()),"")</f>
        <v>미수금</v>
      </c>
      <c r="T53" s="162" t="str">
        <f aca="false">IF(OR(S53="",S53=0,LEFT(S53,5)="(원본오류"),"",IF(S53=H53,"","매핑차이"))</f>
        <v/>
      </c>
    </row>
    <row r="54" customFormat="false" ht="16.5" hidden="true" customHeight="false" outlineLevel="0" collapsed="false">
      <c r="D54" s="190" t="s">
        <v>625</v>
      </c>
      <c r="E54" s="191" t="s">
        <v>626</v>
      </c>
      <c r="F54" s="192" t="s">
        <v>493</v>
      </c>
      <c r="G54" s="193" t="s">
        <v>494</v>
      </c>
      <c r="H54" s="194" t="s">
        <v>54</v>
      </c>
      <c r="I54" s="195" t="s">
        <v>626</v>
      </c>
      <c r="J54" s="196" t="n">
        <f aca="false">IFERROR(VLOOKUP(VALUE($D54),BSPL2026!$B:$Z,25,FALSE()),0)</f>
        <v>0</v>
      </c>
      <c r="K54" s="197"/>
      <c r="L54" s="198"/>
      <c r="M54" s="196" t="n">
        <f aca="false">J54+K54-L54</f>
        <v>0</v>
      </c>
      <c r="N54" s="197" t="n">
        <f aca="false">SUMIF('statutory adj_2026 조정분개'!$S:$S,$D54,'statutory adj_2026 조정분개'!$K:$K)</f>
        <v>0</v>
      </c>
      <c r="O54" s="198" t="n">
        <f aca="false">SUMIF('statutory adj_2026 조정분개'!$S:$S,$D54,'statutory adj_2026 조정분개'!$L:$L)</f>
        <v>0</v>
      </c>
      <c r="P54" s="196" t="n">
        <f aca="false">M54+N54-O54</f>
        <v>0</v>
      </c>
      <c r="Q54" s="199" t="n">
        <f aca="false">IFERROR(VLOOKUP(VALUE($D54),BSPL2026!$B:$Q,16,FALSE()),0)</f>
        <v>0</v>
      </c>
      <c r="R54" s="200" t="s">
        <v>496</v>
      </c>
      <c r="S54" s="162" t="str">
        <f aca="false">IFERROR(VLOOKUP(VALUE($D54),BSPL2026!$B:$M,12,FALSE()),"")</f>
        <v>(원본오류 N/A)</v>
      </c>
      <c r="T54" s="162" t="str">
        <f aca="false">IF(OR(S54="",S54=0,LEFT(S54,5)="(원본오류"),"",IF(S54=H54,"","매핑차이"))</f>
        <v/>
      </c>
    </row>
    <row r="55" customFormat="false" ht="16.5" hidden="true" customHeight="false" outlineLevel="0" collapsed="false">
      <c r="D55" s="190" t="s">
        <v>627</v>
      </c>
      <c r="E55" s="191" t="s">
        <v>628</v>
      </c>
      <c r="F55" s="192" t="s">
        <v>493</v>
      </c>
      <c r="G55" s="193" t="s">
        <v>157</v>
      </c>
      <c r="H55" s="194" t="s">
        <v>171</v>
      </c>
      <c r="I55" s="195" t="s">
        <v>628</v>
      </c>
      <c r="J55" s="196" t="n">
        <f aca="false">IFERROR(VLOOKUP(VALUE($D55),BSPL2026!$B:$Z,25,FALSE()),0)</f>
        <v>0</v>
      </c>
      <c r="K55" s="197"/>
      <c r="L55" s="198"/>
      <c r="M55" s="196" t="n">
        <f aca="false">J55+K55-L55</f>
        <v>0</v>
      </c>
      <c r="N55" s="197" t="n">
        <f aca="false">SUMIF('statutory adj_2026 조정분개'!$S:$S,$D55,'statutory adj_2026 조정분개'!$K:$K)</f>
        <v>0</v>
      </c>
      <c r="O55" s="198" t="n">
        <f aca="false">SUMIF('statutory adj_2026 조정분개'!$S:$S,$D55,'statutory adj_2026 조정분개'!$L:$L)</f>
        <v>0</v>
      </c>
      <c r="P55" s="196" t="n">
        <f aca="false">M55+N55-O55</f>
        <v>0</v>
      </c>
      <c r="Q55" s="199" t="n">
        <f aca="false">IFERROR(VLOOKUP(VALUE($D55),BSPL2026!$B:$Q,16,FALSE()),0)</f>
        <v>0</v>
      </c>
      <c r="R55" s="200" t="s">
        <v>496</v>
      </c>
      <c r="S55" s="162" t="str">
        <f aca="false">IFERROR(VLOOKUP(VALUE($D55),BSPL2026!$B:$M,12,FALSE()),"")</f>
        <v>미지급비용</v>
      </c>
      <c r="T55" s="162" t="str">
        <f aca="false">IF(OR(S55="",S55=0,LEFT(S55,5)="(원본오류"),"",IF(S55=H55,"","매핑차이"))</f>
        <v/>
      </c>
    </row>
    <row r="56" customFormat="false" ht="16.5" hidden="true" customHeight="false" outlineLevel="0" collapsed="false">
      <c r="D56" s="190" t="s">
        <v>629</v>
      </c>
      <c r="E56" s="191" t="s">
        <v>630</v>
      </c>
      <c r="F56" s="192" t="s">
        <v>493</v>
      </c>
      <c r="G56" s="193" t="s">
        <v>157</v>
      </c>
      <c r="H56" s="194" t="s">
        <v>173</v>
      </c>
      <c r="I56" s="195" t="s">
        <v>630</v>
      </c>
      <c r="J56" s="196" t="n">
        <f aca="false">IFERROR(VLOOKUP(VALUE($D56),BSPL2026!$B:$Z,25,FALSE()),0)</f>
        <v>18421587033</v>
      </c>
      <c r="K56" s="197"/>
      <c r="L56" s="198"/>
      <c r="M56" s="196" t="n">
        <f aca="false">J56+K56-L56</f>
        <v>18421587033</v>
      </c>
      <c r="N56" s="197" t="n">
        <f aca="false">SUMIF('statutory adj_2026 조정분개'!$S:$S,$D56,'statutory adj_2026 조정분개'!$K:$K)</f>
        <v>0</v>
      </c>
      <c r="O56" s="198" t="n">
        <f aca="false">SUMIF('statutory adj_2026 조정분개'!$S:$S,$D56,'statutory adj_2026 조정분개'!$L:$L)</f>
        <v>0</v>
      </c>
      <c r="P56" s="196" t="n">
        <f aca="false">M56+N56-O56</f>
        <v>18421587033</v>
      </c>
      <c r="Q56" s="199" t="n">
        <f aca="false">IFERROR(VLOOKUP(VALUE($D56),BSPL2026!$B:$Q,16,FALSE()),0)</f>
        <v>13474110429</v>
      </c>
      <c r="R56" s="200" t="s">
        <v>496</v>
      </c>
      <c r="S56" s="162" t="str">
        <f aca="false">IFERROR(VLOOKUP(VALUE($D56),BSPL2026!$B:$M,12,FALSE()),"")</f>
        <v>부가가치세예수금</v>
      </c>
      <c r="T56" s="162" t="str">
        <f aca="false">IF(OR(S56="",S56=0,LEFT(S56,5)="(원본오류"),"",IF(S56=H56,"","매핑차이"))</f>
        <v/>
      </c>
    </row>
    <row r="57" customFormat="false" ht="16.5" hidden="true" customHeight="false" outlineLevel="0" collapsed="false">
      <c r="D57" s="190" t="s">
        <v>631</v>
      </c>
      <c r="E57" s="191" t="s">
        <v>632</v>
      </c>
      <c r="F57" s="192" t="s">
        <v>493</v>
      </c>
      <c r="G57" s="193" t="s">
        <v>494</v>
      </c>
      <c r="H57" s="194" t="s">
        <v>54</v>
      </c>
      <c r="I57" s="195" t="s">
        <v>632</v>
      </c>
      <c r="J57" s="196" t="n">
        <f aca="false">IFERROR(VLOOKUP(VALUE($D57),BSPL2026!$B:$Z,25,FALSE()),0)</f>
        <v>96387997</v>
      </c>
      <c r="K57" s="197"/>
      <c r="L57" s="198"/>
      <c r="M57" s="196" t="n">
        <f aca="false">J57+K57-L57</f>
        <v>96387997</v>
      </c>
      <c r="N57" s="197" t="n">
        <f aca="false">SUMIF('statutory adj_2026 조정분개'!$S:$S,$D57,'statutory adj_2026 조정분개'!$K:$K)</f>
        <v>0</v>
      </c>
      <c r="O57" s="198" t="n">
        <f aca="false">SUMIF('statutory adj_2026 조정분개'!$S:$S,$D57,'statutory adj_2026 조정분개'!$L:$L)</f>
        <v>0</v>
      </c>
      <c r="P57" s="196" t="n">
        <f aca="false">M57+N57-O57</f>
        <v>96387997</v>
      </c>
      <c r="Q57" s="199" t="n">
        <f aca="false">IFERROR(VLOOKUP(VALUE($D57),BSPL2026!$B:$Q,16,FALSE()),0)</f>
        <v>0</v>
      </c>
      <c r="R57" s="200" t="s">
        <v>496</v>
      </c>
      <c r="S57" s="162" t="str">
        <f aca="false">IFERROR(VLOOKUP(VALUE($D57),BSPL2026!$B:$M,12,FALSE()),"")</f>
        <v>선급비용</v>
      </c>
      <c r="T57" s="162" t="str">
        <f aca="false">IF(OR(S57="",S57=0,LEFT(S57,5)="(원본오류"),"",IF(S57=H57,"","매핑차이"))</f>
        <v/>
      </c>
    </row>
    <row r="58" customFormat="false" ht="16.5" hidden="true" customHeight="false" outlineLevel="0" collapsed="false">
      <c r="D58" s="190" t="s">
        <v>633</v>
      </c>
      <c r="E58" s="191" t="s">
        <v>634</v>
      </c>
      <c r="F58" s="192" t="s">
        <v>493</v>
      </c>
      <c r="G58" s="193" t="s">
        <v>494</v>
      </c>
      <c r="H58" s="194" t="s">
        <v>54</v>
      </c>
      <c r="I58" s="195" t="s">
        <v>634</v>
      </c>
      <c r="J58" s="196" t="n">
        <f aca="false">IFERROR(VLOOKUP(VALUE($D58),BSPL2026!$B:$Z,25,FALSE()),0)</f>
        <v>296735751</v>
      </c>
      <c r="K58" s="197"/>
      <c r="L58" s="198"/>
      <c r="M58" s="196" t="n">
        <f aca="false">J58+K58-L58</f>
        <v>296735751</v>
      </c>
      <c r="N58" s="197" t="n">
        <f aca="false">SUMIF('statutory adj_2026 조정분개'!$S:$S,$D58,'statutory adj_2026 조정분개'!$K:$K)</f>
        <v>0</v>
      </c>
      <c r="O58" s="198" t="n">
        <f aca="false">SUMIF('statutory adj_2026 조정분개'!$S:$S,$D58,'statutory adj_2026 조정분개'!$L:$L)</f>
        <v>0</v>
      </c>
      <c r="P58" s="196" t="n">
        <f aca="false">M58+N58-O58</f>
        <v>296735751</v>
      </c>
      <c r="Q58" s="199" t="n">
        <f aca="false">IFERROR(VLOOKUP(VALUE($D58),BSPL2026!$B:$Q,16,FALSE()),0)</f>
        <v>307501499</v>
      </c>
      <c r="R58" s="200" t="s">
        <v>496</v>
      </c>
      <c r="S58" s="162" t="str">
        <f aca="false">IFERROR(VLOOKUP(VALUE($D58),BSPL2026!$B:$M,12,FALSE()),"")</f>
        <v>선급비용</v>
      </c>
      <c r="T58" s="162" t="str">
        <f aca="false">IF(OR(S58="",S58=0,LEFT(S58,5)="(원본오류"),"",IF(S58=H58,"","매핑차이"))</f>
        <v/>
      </c>
    </row>
    <row r="59" customFormat="false" ht="16.5" hidden="true" customHeight="false" outlineLevel="0" collapsed="false">
      <c r="D59" s="190" t="s">
        <v>635</v>
      </c>
      <c r="E59" s="191" t="s">
        <v>636</v>
      </c>
      <c r="F59" s="192" t="s">
        <v>493</v>
      </c>
      <c r="G59" s="193" t="s">
        <v>494</v>
      </c>
      <c r="H59" s="194" t="s">
        <v>54</v>
      </c>
      <c r="I59" s="195" t="s">
        <v>636</v>
      </c>
      <c r="J59" s="196" t="n">
        <f aca="false">IFERROR(VLOOKUP(VALUE($D59),BSPL2026!$B:$Z,25,FALSE()),0)</f>
        <v>0</v>
      </c>
      <c r="K59" s="197"/>
      <c r="L59" s="198"/>
      <c r="M59" s="196" t="n">
        <f aca="false">J59+K59-L59</f>
        <v>0</v>
      </c>
      <c r="N59" s="197" t="n">
        <f aca="false">SUMIF('statutory adj_2026 조정분개'!$S:$S,$D59,'statutory adj_2026 조정분개'!$K:$K)</f>
        <v>0</v>
      </c>
      <c r="O59" s="198" t="n">
        <f aca="false">SUMIF('statutory adj_2026 조정분개'!$S:$S,$D59,'statutory adj_2026 조정분개'!$L:$L)</f>
        <v>0</v>
      </c>
      <c r="P59" s="196" t="n">
        <f aca="false">M59+N59-O59</f>
        <v>0</v>
      </c>
      <c r="Q59" s="199" t="n">
        <f aca="false">IFERROR(VLOOKUP(VALUE($D59),BSPL2026!$B:$Q,16,FALSE()),0)</f>
        <v>0</v>
      </c>
      <c r="R59" s="200" t="s">
        <v>496</v>
      </c>
      <c r="S59" s="162" t="str">
        <f aca="false">IFERROR(VLOOKUP(VALUE($D59),BSPL2026!$B:$M,12,FALSE()),"")</f>
        <v>(원본오류 N/A)</v>
      </c>
      <c r="T59" s="162" t="str">
        <f aca="false">IF(OR(S59="",S59=0,LEFT(S59,5)="(원본오류"),"",IF(S59=H59,"","매핑차이"))</f>
        <v/>
      </c>
    </row>
    <row r="60" customFormat="false" ht="16.5" hidden="true" customHeight="false" outlineLevel="0" collapsed="false">
      <c r="D60" s="190" t="s">
        <v>637</v>
      </c>
      <c r="E60" s="191" t="s">
        <v>638</v>
      </c>
      <c r="F60" s="192" t="s">
        <v>493</v>
      </c>
      <c r="G60" s="193" t="s">
        <v>494</v>
      </c>
      <c r="H60" s="194" t="s">
        <v>54</v>
      </c>
      <c r="I60" s="195" t="s">
        <v>638</v>
      </c>
      <c r="J60" s="196" t="n">
        <f aca="false">IFERROR(VLOOKUP(VALUE($D60),BSPL2026!$B:$Z,25,FALSE()),0)</f>
        <v>0</v>
      </c>
      <c r="K60" s="197"/>
      <c r="L60" s="198"/>
      <c r="M60" s="196" t="n">
        <f aca="false">J60+K60-L60</f>
        <v>0</v>
      </c>
      <c r="N60" s="197" t="n">
        <f aca="false">SUMIF('statutory adj_2026 조정분개'!$S:$S,$D60,'statutory adj_2026 조정분개'!$K:$K)</f>
        <v>0</v>
      </c>
      <c r="O60" s="198" t="n">
        <f aca="false">SUMIF('statutory adj_2026 조정분개'!$S:$S,$D60,'statutory adj_2026 조정분개'!$L:$L)</f>
        <v>0</v>
      </c>
      <c r="P60" s="196" t="n">
        <f aca="false">M60+N60-O60</f>
        <v>0</v>
      </c>
      <c r="Q60" s="199" t="n">
        <f aca="false">IFERROR(VLOOKUP(VALUE($D60),BSPL2026!$B:$Q,16,FALSE()),0)</f>
        <v>0</v>
      </c>
      <c r="R60" s="200" t="s">
        <v>496</v>
      </c>
      <c r="S60" s="162" t="str">
        <f aca="false">IFERROR(VLOOKUP(VALUE($D60),BSPL2026!$B:$M,12,FALSE()),"")</f>
        <v>선급비용</v>
      </c>
      <c r="T60" s="162" t="str">
        <f aca="false">IF(OR(S60="",S60=0,LEFT(S60,5)="(원본오류"),"",IF(S60=H60,"","매핑차이"))</f>
        <v/>
      </c>
    </row>
    <row r="61" customFormat="false" ht="16.5" hidden="true" customHeight="false" outlineLevel="0" collapsed="false">
      <c r="D61" s="190" t="s">
        <v>639</v>
      </c>
      <c r="E61" s="191" t="s">
        <v>640</v>
      </c>
      <c r="F61" s="192" t="s">
        <v>493</v>
      </c>
      <c r="G61" s="193" t="s">
        <v>494</v>
      </c>
      <c r="H61" s="194" t="s">
        <v>36</v>
      </c>
      <c r="I61" s="195" t="s">
        <v>640</v>
      </c>
      <c r="J61" s="196" t="n">
        <f aca="false">IFERROR(VLOOKUP(VALUE($D61),BSPL2026!$B:$Z,25,FALSE()),0)</f>
        <v>424982906</v>
      </c>
      <c r="K61" s="197"/>
      <c r="L61" s="198"/>
      <c r="M61" s="196" t="n">
        <f aca="false">J61+K61-L61</f>
        <v>424982906</v>
      </c>
      <c r="N61" s="197" t="n">
        <f aca="false">SUMIF('statutory adj_2026 조정분개'!$S:$S,$D61,'statutory adj_2026 조정분개'!$K:$K)</f>
        <v>0</v>
      </c>
      <c r="O61" s="198" t="n">
        <f aca="false">SUMIF('statutory adj_2026 조정분개'!$S:$S,$D61,'statutory adj_2026 조정분개'!$L:$L)</f>
        <v>0</v>
      </c>
      <c r="P61" s="196" t="n">
        <f aca="false">M61+N61-O61</f>
        <v>424982906</v>
      </c>
      <c r="Q61" s="199" t="n">
        <f aca="false">IFERROR(VLOOKUP(VALUE($D61),BSPL2026!$B:$Q,16,FALSE()),0)</f>
        <v>311870229</v>
      </c>
      <c r="R61" s="200" t="s">
        <v>496</v>
      </c>
      <c r="S61" s="162" t="str">
        <f aca="false">IFERROR(VLOOKUP(VALUE($D61),BSPL2026!$B:$M,12,FALSE()),"")</f>
        <v>미수금</v>
      </c>
      <c r="T61" s="162" t="str">
        <f aca="false">IF(OR(S61="",S61=0,LEFT(S61,5)="(원본오류"),"",IF(S61=H61,"","매핑차이"))</f>
        <v/>
      </c>
    </row>
    <row r="62" customFormat="false" ht="16.5" hidden="true" customHeight="false" outlineLevel="0" collapsed="false">
      <c r="D62" s="190" t="s">
        <v>641</v>
      </c>
      <c r="E62" s="191" t="s">
        <v>642</v>
      </c>
      <c r="F62" s="192" t="s">
        <v>493</v>
      </c>
      <c r="G62" s="193" t="s">
        <v>494</v>
      </c>
      <c r="H62" s="194" t="s">
        <v>45</v>
      </c>
      <c r="I62" s="195" t="s">
        <v>642</v>
      </c>
      <c r="J62" s="196" t="n">
        <f aca="false">IFERROR(VLOOKUP(VALUE($D62),BSPL2026!$B:$Z,25,FALSE()),0)</f>
        <v>415218875</v>
      </c>
      <c r="K62" s="197"/>
      <c r="L62" s="198"/>
      <c r="M62" s="196" t="n">
        <f aca="false">J62+K62-L62</f>
        <v>415218875</v>
      </c>
      <c r="N62" s="197" t="n">
        <f aca="false">SUMIF('statutory adj_2026 조정분개'!$S:$S,$D62,'statutory adj_2026 조정분개'!$K:$K)</f>
        <v>0</v>
      </c>
      <c r="O62" s="198" t="n">
        <f aca="false">SUMIF('statutory adj_2026 조정분개'!$S:$S,$D62,'statutory adj_2026 조정분개'!$L:$L)</f>
        <v>0</v>
      </c>
      <c r="P62" s="196" t="n">
        <f aca="false">M62+N62-O62</f>
        <v>415218875</v>
      </c>
      <c r="Q62" s="199" t="n">
        <f aca="false">IFERROR(VLOOKUP(VALUE($D62),BSPL2026!$B:$Q,16,FALSE()),0)</f>
        <v>14382500</v>
      </c>
      <c r="R62" s="200" t="s">
        <v>496</v>
      </c>
      <c r="S62" s="162" t="str">
        <f aca="false">IFERROR(VLOOKUP(VALUE($D62),BSPL2026!$B:$M,12,FALSE()),"")</f>
        <v>선급금</v>
      </c>
      <c r="T62" s="162" t="str">
        <f aca="false">IF(OR(S62="",S62=0,LEFT(S62,5)="(원본오류"),"",IF(S62=H62,"","매핑차이"))</f>
        <v/>
      </c>
    </row>
    <row r="63" customFormat="false" ht="16.5" hidden="true" customHeight="false" outlineLevel="0" collapsed="false">
      <c r="D63" s="190" t="s">
        <v>643</v>
      </c>
      <c r="E63" s="191" t="s">
        <v>644</v>
      </c>
      <c r="F63" s="192" t="s">
        <v>493</v>
      </c>
      <c r="G63" s="193" t="s">
        <v>494</v>
      </c>
      <c r="H63" s="194" t="s">
        <v>45</v>
      </c>
      <c r="I63" s="195" t="s">
        <v>644</v>
      </c>
      <c r="J63" s="196" t="n">
        <f aca="false">IFERROR(VLOOKUP(VALUE($D63),BSPL2026!$B:$Z,25,FALSE()),0)</f>
        <v>0</v>
      </c>
      <c r="K63" s="197"/>
      <c r="L63" s="198"/>
      <c r="M63" s="196" t="n">
        <f aca="false">J63+K63-L63</f>
        <v>0</v>
      </c>
      <c r="N63" s="197" t="n">
        <f aca="false">SUMIF('statutory adj_2026 조정분개'!$S:$S,$D63,'statutory adj_2026 조정분개'!$K:$K)</f>
        <v>0</v>
      </c>
      <c r="O63" s="198" t="n">
        <f aca="false">SUMIF('statutory adj_2026 조정분개'!$S:$S,$D63,'statutory adj_2026 조정분개'!$L:$L)</f>
        <v>0</v>
      </c>
      <c r="P63" s="196" t="n">
        <f aca="false">M63+N63-O63</f>
        <v>0</v>
      </c>
      <c r="Q63" s="199" t="n">
        <f aca="false">IFERROR(VLOOKUP(VALUE($D63),BSPL2026!$B:$Q,16,FALSE()),0)</f>
        <v>0</v>
      </c>
      <c r="R63" s="200" t="s">
        <v>496</v>
      </c>
      <c r="S63" s="162" t="str">
        <f aca="false">IFERROR(VLOOKUP(VALUE($D63),BSPL2026!$B:$M,12,FALSE()),"")</f>
        <v>(원본오류 N/A)</v>
      </c>
      <c r="T63" s="162" t="str">
        <f aca="false">IF(OR(S63="",S63=0,LEFT(S63,5)="(원본오류"),"",IF(S63=H63,"","매핑차이"))</f>
        <v/>
      </c>
    </row>
    <row r="64" customFormat="false" ht="16.5" hidden="true" customHeight="false" outlineLevel="0" collapsed="false">
      <c r="D64" s="190" t="s">
        <v>645</v>
      </c>
      <c r="E64" s="191" t="s">
        <v>646</v>
      </c>
      <c r="F64" s="192" t="s">
        <v>493</v>
      </c>
      <c r="G64" s="193" t="s">
        <v>494</v>
      </c>
      <c r="H64" s="194" t="s">
        <v>45</v>
      </c>
      <c r="I64" s="195" t="s">
        <v>646</v>
      </c>
      <c r="J64" s="196" t="n">
        <f aca="false">IFERROR(VLOOKUP(VALUE($D64),BSPL2026!$B:$Z,25,FALSE()),0)</f>
        <v>0</v>
      </c>
      <c r="K64" s="197"/>
      <c r="L64" s="198"/>
      <c r="M64" s="196" t="n">
        <f aca="false">J64+K64-L64</f>
        <v>0</v>
      </c>
      <c r="N64" s="197" t="n">
        <f aca="false">SUMIF('statutory adj_2026 조정분개'!$S:$S,$D64,'statutory adj_2026 조정분개'!$K:$K)</f>
        <v>0</v>
      </c>
      <c r="O64" s="198" t="n">
        <f aca="false">SUMIF('statutory adj_2026 조정분개'!$S:$S,$D64,'statutory adj_2026 조정분개'!$L:$L)</f>
        <v>0</v>
      </c>
      <c r="P64" s="196" t="n">
        <f aca="false">M64+N64-O64</f>
        <v>0</v>
      </c>
      <c r="Q64" s="199" t="n">
        <f aca="false">IFERROR(VLOOKUP(VALUE($D64),BSPL2026!$B:$Q,16,FALSE()),0)</f>
        <v>0</v>
      </c>
      <c r="R64" s="200" t="s">
        <v>496</v>
      </c>
      <c r="S64" s="162" t="str">
        <f aca="false">IFERROR(VLOOKUP(VALUE($D64),BSPL2026!$B:$M,12,FALSE()),"")</f>
        <v>선급금</v>
      </c>
      <c r="T64" s="162" t="str">
        <f aca="false">IF(OR(S64="",S64=0,LEFT(S64,5)="(원본오류"),"",IF(S64=H64,"","매핑차이"))</f>
        <v/>
      </c>
    </row>
    <row r="65" customFormat="false" ht="16.5" hidden="true" customHeight="false" outlineLevel="0" collapsed="false">
      <c r="D65" s="190" t="s">
        <v>647</v>
      </c>
      <c r="E65" s="191" t="s">
        <v>648</v>
      </c>
      <c r="F65" s="192" t="s">
        <v>493</v>
      </c>
      <c r="G65" s="193" t="s">
        <v>494</v>
      </c>
      <c r="H65" s="194" t="s">
        <v>39</v>
      </c>
      <c r="I65" s="195" t="s">
        <v>648</v>
      </c>
      <c r="J65" s="196" t="n">
        <f aca="false">IFERROR(VLOOKUP(VALUE($D65),BSPL2026!$B:$Z,25,FALSE()),0)</f>
        <v>0</v>
      </c>
      <c r="K65" s="197"/>
      <c r="L65" s="198"/>
      <c r="M65" s="196" t="n">
        <f aca="false">J65+K65-L65</f>
        <v>0</v>
      </c>
      <c r="N65" s="197" t="n">
        <f aca="false">SUMIF('statutory adj_2026 조정분개'!$S:$S,$D65,'statutory adj_2026 조정분개'!$K:$K)</f>
        <v>0</v>
      </c>
      <c r="O65" s="198" t="n">
        <f aca="false">SUMIF('statutory adj_2026 조정분개'!$S:$S,$D65,'statutory adj_2026 조정분개'!$L:$L)</f>
        <v>0</v>
      </c>
      <c r="P65" s="196" t="n">
        <f aca="false">M65+N65-O65</f>
        <v>0</v>
      </c>
      <c r="Q65" s="199" t="n">
        <f aca="false">IFERROR(VLOOKUP(VALUE($D65),BSPL2026!$B:$Q,16,FALSE()),0)</f>
        <v>9</v>
      </c>
      <c r="R65" s="200" t="s">
        <v>496</v>
      </c>
      <c r="S65" s="162" t="str">
        <f aca="false">IFERROR(VLOOKUP(VALUE($D65),BSPL2026!$B:$M,12,FALSE()),"")</f>
        <v>부가가치세미수금</v>
      </c>
      <c r="T65" s="162" t="str">
        <f aca="false">IF(OR(S65="",S65=0,LEFT(S65,5)="(원본오류"),"",IF(S65=H65,"","매핑차이"))</f>
        <v/>
      </c>
    </row>
    <row r="66" customFormat="false" ht="16.5" hidden="true" customHeight="false" outlineLevel="0" collapsed="false">
      <c r="D66" s="190" t="s">
        <v>649</v>
      </c>
      <c r="E66" s="191" t="s">
        <v>650</v>
      </c>
      <c r="F66" s="192" t="s">
        <v>493</v>
      </c>
      <c r="G66" s="193" t="s">
        <v>494</v>
      </c>
      <c r="H66" s="194" t="s">
        <v>27</v>
      </c>
      <c r="I66" s="195" t="s">
        <v>650</v>
      </c>
      <c r="J66" s="196" t="n">
        <f aca="false">IFERROR(VLOOKUP(VALUE($D66),BSPL2026!$B:$Z,25,FALSE()),0)</f>
        <v>0</v>
      </c>
      <c r="K66" s="197"/>
      <c r="L66" s="198"/>
      <c r="M66" s="196" t="n">
        <f aca="false">J66+K66-L66</f>
        <v>0</v>
      </c>
      <c r="N66" s="197" t="n">
        <f aca="false">SUMIF('statutory adj_2026 조정분개'!$S:$S,$D66,'statutory adj_2026 조정분개'!$K:$K)</f>
        <v>0</v>
      </c>
      <c r="O66" s="198" t="n">
        <f aca="false">SUMIF('statutory adj_2026 조정분개'!$S:$S,$D66,'statutory adj_2026 조정분개'!$L:$L)</f>
        <v>0</v>
      </c>
      <c r="P66" s="196" t="n">
        <f aca="false">M66+N66-O66</f>
        <v>0</v>
      </c>
      <c r="Q66" s="199" t="n">
        <f aca="false">IFERROR(VLOOKUP(VALUE($D66),BSPL2026!$B:$Q,16,FALSE()),0)</f>
        <v>0</v>
      </c>
      <c r="R66" s="200" t="s">
        <v>496</v>
      </c>
      <c r="S66" s="162" t="str">
        <f aca="false">IFERROR(VLOOKUP(VALUE($D66),BSPL2026!$B:$M,12,FALSE()),"")</f>
        <v>현금및현금등가물</v>
      </c>
      <c r="T66" s="162" t="str">
        <f aca="false">IF(OR(S66="",S66=0,LEFT(S66,5)="(원본오류"),"",IF(S66=H66,"","매핑차이"))</f>
        <v/>
      </c>
    </row>
    <row r="67" customFormat="false" ht="16.5" hidden="true" customHeight="false" outlineLevel="0" collapsed="false">
      <c r="D67" s="190" t="s">
        <v>651</v>
      </c>
      <c r="E67" s="191" t="s">
        <v>652</v>
      </c>
      <c r="F67" s="192" t="s">
        <v>493</v>
      </c>
      <c r="G67" s="193" t="s">
        <v>494</v>
      </c>
      <c r="H67" s="194" t="s">
        <v>27</v>
      </c>
      <c r="I67" s="195" t="s">
        <v>652</v>
      </c>
      <c r="J67" s="196" t="n">
        <f aca="false">IFERROR(VLOOKUP(VALUE($D67),BSPL2026!$B:$Z,25,FALSE()),0)</f>
        <v>0</v>
      </c>
      <c r="K67" s="197"/>
      <c r="L67" s="198"/>
      <c r="M67" s="196" t="n">
        <f aca="false">J67+K67-L67</f>
        <v>0</v>
      </c>
      <c r="N67" s="197" t="n">
        <f aca="false">SUMIF('statutory adj_2026 조정분개'!$S:$S,$D67,'statutory adj_2026 조정분개'!$K:$K)</f>
        <v>0</v>
      </c>
      <c r="O67" s="198" t="n">
        <f aca="false">SUMIF('statutory adj_2026 조정분개'!$S:$S,$D67,'statutory adj_2026 조정분개'!$L:$L)</f>
        <v>0</v>
      </c>
      <c r="P67" s="196" t="n">
        <f aca="false">M67+N67-O67</f>
        <v>0</v>
      </c>
      <c r="Q67" s="199" t="n">
        <f aca="false">IFERROR(VLOOKUP(VALUE($D67),BSPL2026!$B:$Q,16,FALSE()),0)</f>
        <v>0</v>
      </c>
      <c r="R67" s="200" t="s">
        <v>496</v>
      </c>
      <c r="S67" s="162" t="str">
        <f aca="false">IFERROR(VLOOKUP(VALUE($D67),BSPL2026!$B:$M,12,FALSE()),"")</f>
        <v>현금및현금등가물</v>
      </c>
      <c r="T67" s="162" t="str">
        <f aca="false">IF(OR(S67="",S67=0,LEFT(S67,5)="(원본오류"),"",IF(S67=H67,"","매핑차이"))</f>
        <v/>
      </c>
    </row>
    <row r="68" customFormat="false" ht="16.5" hidden="true" customHeight="false" outlineLevel="0" collapsed="false">
      <c r="D68" s="190" t="s">
        <v>653</v>
      </c>
      <c r="E68" s="191" t="s">
        <v>654</v>
      </c>
      <c r="F68" s="192" t="s">
        <v>493</v>
      </c>
      <c r="G68" s="193" t="s">
        <v>494</v>
      </c>
      <c r="H68" s="194" t="s">
        <v>27</v>
      </c>
      <c r="I68" s="195" t="s">
        <v>654</v>
      </c>
      <c r="J68" s="196" t="n">
        <f aca="false">IFERROR(VLOOKUP(VALUE($D68),BSPL2026!$B:$Z,25,FALSE()),0)</f>
        <v>0</v>
      </c>
      <c r="K68" s="197"/>
      <c r="L68" s="198"/>
      <c r="M68" s="196" t="n">
        <f aca="false">J68+K68-L68</f>
        <v>0</v>
      </c>
      <c r="N68" s="197" t="n">
        <f aca="false">SUMIF('statutory adj_2026 조정분개'!$S:$S,$D68,'statutory adj_2026 조정분개'!$K:$K)</f>
        <v>0</v>
      </c>
      <c r="O68" s="198" t="n">
        <f aca="false">SUMIF('statutory adj_2026 조정분개'!$S:$S,$D68,'statutory adj_2026 조정분개'!$L:$L)</f>
        <v>0</v>
      </c>
      <c r="P68" s="196" t="n">
        <f aca="false">M68+N68-O68</f>
        <v>0</v>
      </c>
      <c r="Q68" s="199" t="n">
        <f aca="false">IFERROR(VLOOKUP(VALUE($D68),BSPL2026!$B:$Q,16,FALSE()),0)</f>
        <v>0</v>
      </c>
      <c r="R68" s="200" t="s">
        <v>496</v>
      </c>
      <c r="S68" s="162" t="str">
        <f aca="false">IFERROR(VLOOKUP(VALUE($D68),BSPL2026!$B:$M,12,FALSE()),"")</f>
        <v>현금및현금등가물</v>
      </c>
      <c r="T68" s="162" t="str">
        <f aca="false">IF(OR(S68="",S68=0,LEFT(S68,5)="(원본오류"),"",IF(S68=H68,"","매핑차이"))</f>
        <v/>
      </c>
    </row>
    <row r="69" customFormat="false" ht="16.5" hidden="true" customHeight="false" outlineLevel="0" collapsed="false">
      <c r="D69" s="190" t="s">
        <v>655</v>
      </c>
      <c r="E69" s="191" t="s">
        <v>656</v>
      </c>
      <c r="F69" s="192" t="s">
        <v>493</v>
      </c>
      <c r="G69" s="193" t="s">
        <v>494</v>
      </c>
      <c r="H69" s="194" t="s">
        <v>27</v>
      </c>
      <c r="I69" s="195" t="s">
        <v>656</v>
      </c>
      <c r="J69" s="196" t="n">
        <f aca="false">IFERROR(VLOOKUP(VALUE($D69),BSPL2026!$B:$Z,25,FALSE()),0)</f>
        <v>0</v>
      </c>
      <c r="K69" s="197"/>
      <c r="L69" s="198"/>
      <c r="M69" s="196" t="n">
        <f aca="false">J69+K69-L69</f>
        <v>0</v>
      </c>
      <c r="N69" s="197" t="n">
        <f aca="false">SUMIF('statutory adj_2026 조정분개'!$S:$S,$D69,'statutory adj_2026 조정분개'!$K:$K)</f>
        <v>0</v>
      </c>
      <c r="O69" s="198" t="n">
        <f aca="false">SUMIF('statutory adj_2026 조정분개'!$S:$S,$D69,'statutory adj_2026 조정분개'!$L:$L)</f>
        <v>0</v>
      </c>
      <c r="P69" s="196" t="n">
        <f aca="false">M69+N69-O69</f>
        <v>0</v>
      </c>
      <c r="Q69" s="199" t="n">
        <f aca="false">IFERROR(VLOOKUP(VALUE($D69),BSPL2026!$B:$Q,16,FALSE()),0)</f>
        <v>135</v>
      </c>
      <c r="R69" s="200" t="s">
        <v>496</v>
      </c>
      <c r="S69" s="162" t="str">
        <f aca="false">IFERROR(VLOOKUP(VALUE($D69),BSPL2026!$B:$M,12,FALSE()),"")</f>
        <v>현금및현금등가물</v>
      </c>
      <c r="T69" s="162" t="str">
        <f aca="false">IF(OR(S69="",S69=0,LEFT(S69,5)="(원본오류"),"",IF(S69=H69,"","매핑차이"))</f>
        <v/>
      </c>
    </row>
    <row r="70" customFormat="false" ht="16.5" hidden="true" customHeight="false" outlineLevel="0" collapsed="false">
      <c r="D70" s="190" t="s">
        <v>657</v>
      </c>
      <c r="E70" s="191" t="s">
        <v>658</v>
      </c>
      <c r="F70" s="192" t="s">
        <v>493</v>
      </c>
      <c r="G70" s="193" t="s">
        <v>494</v>
      </c>
      <c r="H70" s="194" t="s">
        <v>27</v>
      </c>
      <c r="I70" s="195" t="s">
        <v>658</v>
      </c>
      <c r="J70" s="196" t="n">
        <f aca="false">IFERROR(VLOOKUP(VALUE($D70),BSPL2026!$B:$Z,25,FALSE()),0)</f>
        <v>0</v>
      </c>
      <c r="K70" s="197"/>
      <c r="L70" s="198"/>
      <c r="M70" s="196" t="n">
        <f aca="false">J70+K70-L70</f>
        <v>0</v>
      </c>
      <c r="N70" s="197" t="n">
        <f aca="false">SUMIF('statutory adj_2026 조정분개'!$S:$S,$D70,'statutory adj_2026 조정분개'!$K:$K)</f>
        <v>0</v>
      </c>
      <c r="O70" s="198" t="n">
        <f aca="false">SUMIF('statutory adj_2026 조정분개'!$S:$S,$D70,'statutory adj_2026 조정분개'!$L:$L)</f>
        <v>0</v>
      </c>
      <c r="P70" s="196" t="n">
        <f aca="false">M70+N70-O70</f>
        <v>0</v>
      </c>
      <c r="Q70" s="199" t="n">
        <f aca="false">IFERROR(VLOOKUP(VALUE($D70),BSPL2026!$B:$Q,16,FALSE()),0)</f>
        <v>0</v>
      </c>
      <c r="R70" s="200" t="s">
        <v>496</v>
      </c>
      <c r="S70" s="162" t="str">
        <f aca="false">IFERROR(VLOOKUP(VALUE($D70),BSPL2026!$B:$M,12,FALSE()),"")</f>
        <v>현금및현금등가물</v>
      </c>
      <c r="T70" s="162" t="str">
        <f aca="false">IF(OR(S70="",S70=0,LEFT(S70,5)="(원본오류"),"",IF(S70=H70,"","매핑차이"))</f>
        <v/>
      </c>
    </row>
    <row r="71" customFormat="false" ht="16.5" hidden="true" customHeight="false" outlineLevel="0" collapsed="false">
      <c r="D71" s="190" t="s">
        <v>659</v>
      </c>
      <c r="E71" s="191" t="s">
        <v>660</v>
      </c>
      <c r="F71" s="192" t="s">
        <v>493</v>
      </c>
      <c r="G71" s="193" t="s">
        <v>494</v>
      </c>
      <c r="H71" s="194" t="s">
        <v>27</v>
      </c>
      <c r="I71" s="195" t="s">
        <v>660</v>
      </c>
      <c r="J71" s="196" t="n">
        <f aca="false">IFERROR(VLOOKUP(VALUE($D71),BSPL2026!$B:$Z,25,FALSE()),0)</f>
        <v>0</v>
      </c>
      <c r="K71" s="197"/>
      <c r="L71" s="198"/>
      <c r="M71" s="196" t="n">
        <f aca="false">J71+K71-L71</f>
        <v>0</v>
      </c>
      <c r="N71" s="197" t="n">
        <f aca="false">SUMIF('statutory adj_2026 조정분개'!$S:$S,$D71,'statutory adj_2026 조정분개'!$K:$K)</f>
        <v>0</v>
      </c>
      <c r="O71" s="198" t="n">
        <f aca="false">SUMIF('statutory adj_2026 조정분개'!$S:$S,$D71,'statutory adj_2026 조정분개'!$L:$L)</f>
        <v>0</v>
      </c>
      <c r="P71" s="196" t="n">
        <f aca="false">M71+N71-O71</f>
        <v>0</v>
      </c>
      <c r="Q71" s="199" t="n">
        <f aca="false">IFERROR(VLOOKUP(VALUE($D71),BSPL2026!$B:$Q,16,FALSE()),0)</f>
        <v>0</v>
      </c>
      <c r="R71" s="200" t="s">
        <v>496</v>
      </c>
      <c r="S71" s="162" t="str">
        <f aca="false">IFERROR(VLOOKUP(VALUE($D71),BSPL2026!$B:$M,12,FALSE()),"")</f>
        <v>현금및현금등가물</v>
      </c>
      <c r="T71" s="162" t="str">
        <f aca="false">IF(OR(S71="",S71=0,LEFT(S71,5)="(원본오류"),"",IF(S71=H71,"","매핑차이"))</f>
        <v/>
      </c>
    </row>
    <row r="72" customFormat="false" ht="16.5" hidden="true" customHeight="false" outlineLevel="0" collapsed="false">
      <c r="D72" s="190" t="s">
        <v>661</v>
      </c>
      <c r="E72" s="191" t="s">
        <v>662</v>
      </c>
      <c r="F72" s="192" t="s">
        <v>493</v>
      </c>
      <c r="G72" s="193" t="s">
        <v>494</v>
      </c>
      <c r="H72" s="194" t="s">
        <v>27</v>
      </c>
      <c r="I72" s="195" t="s">
        <v>662</v>
      </c>
      <c r="J72" s="196" t="n">
        <f aca="false">IFERROR(VLOOKUP(VALUE($D72),BSPL2026!$B:$Z,25,FALSE()),0)</f>
        <v>0</v>
      </c>
      <c r="K72" s="197"/>
      <c r="L72" s="198"/>
      <c r="M72" s="196" t="n">
        <f aca="false">J72+K72-L72</f>
        <v>0</v>
      </c>
      <c r="N72" s="197" t="n">
        <f aca="false">SUMIF('statutory adj_2026 조정분개'!$S:$S,$D72,'statutory adj_2026 조정분개'!$K:$K)</f>
        <v>0</v>
      </c>
      <c r="O72" s="198" t="n">
        <f aca="false">SUMIF('statutory adj_2026 조정분개'!$S:$S,$D72,'statutory adj_2026 조정분개'!$L:$L)</f>
        <v>0</v>
      </c>
      <c r="P72" s="196" t="n">
        <f aca="false">M72+N72-O72</f>
        <v>0</v>
      </c>
      <c r="Q72" s="199" t="n">
        <f aca="false">IFERROR(VLOOKUP(VALUE($D72),BSPL2026!$B:$Q,16,FALSE()),0)</f>
        <v>14</v>
      </c>
      <c r="R72" s="200" t="s">
        <v>496</v>
      </c>
      <c r="S72" s="162" t="str">
        <f aca="false">IFERROR(VLOOKUP(VALUE($D72),BSPL2026!$B:$M,12,FALSE()),"")</f>
        <v>현금및현금등가물</v>
      </c>
      <c r="T72" s="162" t="str">
        <f aca="false">IF(OR(S72="",S72=0,LEFT(S72,5)="(원본오류"),"",IF(S72=H72,"","매핑차이"))</f>
        <v/>
      </c>
    </row>
    <row r="73" customFormat="false" ht="16.5" hidden="true" customHeight="false" outlineLevel="0" collapsed="false">
      <c r="D73" s="190" t="s">
        <v>663</v>
      </c>
      <c r="E73" s="191" t="s">
        <v>664</v>
      </c>
      <c r="F73" s="192" t="s">
        <v>493</v>
      </c>
      <c r="G73" s="193" t="s">
        <v>494</v>
      </c>
      <c r="H73" s="194" t="s">
        <v>27</v>
      </c>
      <c r="I73" s="195" t="s">
        <v>664</v>
      </c>
      <c r="J73" s="196" t="n">
        <f aca="false">IFERROR(VLOOKUP(VALUE($D73),BSPL2026!$B:$Z,25,FALSE()),0)</f>
        <v>0</v>
      </c>
      <c r="K73" s="197"/>
      <c r="L73" s="198"/>
      <c r="M73" s="196" t="n">
        <f aca="false">J73+K73-L73</f>
        <v>0</v>
      </c>
      <c r="N73" s="197" t="n">
        <f aca="false">SUMIF('statutory adj_2026 조정분개'!$S:$S,$D73,'statutory adj_2026 조정분개'!$K:$K)</f>
        <v>0</v>
      </c>
      <c r="O73" s="198" t="n">
        <f aca="false">SUMIF('statutory adj_2026 조정분개'!$S:$S,$D73,'statutory adj_2026 조정분개'!$L:$L)</f>
        <v>0</v>
      </c>
      <c r="P73" s="196" t="n">
        <f aca="false">M73+N73-O73</f>
        <v>0</v>
      </c>
      <c r="Q73" s="199" t="n">
        <f aca="false">IFERROR(VLOOKUP(VALUE($D73),BSPL2026!$B:$Q,16,FALSE()),0)</f>
        <v>0</v>
      </c>
      <c r="R73" s="200" t="s">
        <v>496</v>
      </c>
      <c r="S73" s="162" t="str">
        <f aca="false">IFERROR(VLOOKUP(VALUE($D73),BSPL2026!$B:$M,12,FALSE()),"")</f>
        <v>현금및현금등가물</v>
      </c>
      <c r="T73" s="162" t="str">
        <f aca="false">IF(OR(S73="",S73=0,LEFT(S73,5)="(원본오류"),"",IF(S73=H73,"","매핑차이"))</f>
        <v/>
      </c>
    </row>
    <row r="74" customFormat="false" ht="16.5" hidden="true" customHeight="false" outlineLevel="0" collapsed="false">
      <c r="D74" s="190" t="s">
        <v>665</v>
      </c>
      <c r="E74" s="191" t="s">
        <v>666</v>
      </c>
      <c r="F74" s="192" t="s">
        <v>493</v>
      </c>
      <c r="G74" s="193" t="s">
        <v>494</v>
      </c>
      <c r="H74" s="194" t="s">
        <v>27</v>
      </c>
      <c r="I74" s="195" t="s">
        <v>666</v>
      </c>
      <c r="J74" s="196" t="n">
        <f aca="false">IFERROR(VLOOKUP(VALUE($D74),BSPL2026!$B:$Z,25,FALSE()),0)</f>
        <v>8328079411</v>
      </c>
      <c r="K74" s="197"/>
      <c r="L74" s="198"/>
      <c r="M74" s="196" t="n">
        <f aca="false">J74+K74-L74</f>
        <v>8328079411</v>
      </c>
      <c r="N74" s="197" t="n">
        <f aca="false">SUMIF('statutory adj_2026 조정분개'!$S:$S,$D74,'statutory adj_2026 조정분개'!$K:$K)</f>
        <v>0</v>
      </c>
      <c r="O74" s="198" t="n">
        <f aca="false">SUMIF('statutory adj_2026 조정분개'!$S:$S,$D74,'statutory adj_2026 조정분개'!$L:$L)</f>
        <v>0</v>
      </c>
      <c r="P74" s="196" t="n">
        <f aca="false">M74+N74-O74</f>
        <v>8328079411</v>
      </c>
      <c r="Q74" s="199" t="n">
        <f aca="false">IFERROR(VLOOKUP(VALUE($D74),BSPL2026!$B:$Q,16,FALSE()),0)</f>
        <v>11105202195</v>
      </c>
      <c r="R74" s="200" t="s">
        <v>496</v>
      </c>
      <c r="S74" s="162" t="str">
        <f aca="false">IFERROR(VLOOKUP(VALUE($D74),BSPL2026!$B:$M,12,FALSE()),"")</f>
        <v>현금및현금등가물</v>
      </c>
      <c r="T74" s="162" t="str">
        <f aca="false">IF(OR(S74="",S74=0,LEFT(S74,5)="(원본오류"),"",IF(S74=H74,"","매핑차이"))</f>
        <v/>
      </c>
    </row>
    <row r="75" customFormat="false" ht="16.5" hidden="true" customHeight="false" outlineLevel="0" collapsed="false">
      <c r="D75" s="190" t="s">
        <v>667</v>
      </c>
      <c r="E75" s="191" t="s">
        <v>668</v>
      </c>
      <c r="F75" s="192" t="s">
        <v>493</v>
      </c>
      <c r="G75" s="193" t="s">
        <v>494</v>
      </c>
      <c r="H75" s="194" t="s">
        <v>57</v>
      </c>
      <c r="I75" s="195" t="s">
        <v>668</v>
      </c>
      <c r="J75" s="196" t="n">
        <f aca="false">IFERROR(VLOOKUP(VALUE($D75),BSPL2026!$B:$Z,25,FALSE()),0)</f>
        <v>19784758242</v>
      </c>
      <c r="K75" s="197"/>
      <c r="L75" s="198"/>
      <c r="M75" s="196" t="n">
        <f aca="false">J75+K75-L75</f>
        <v>19784758242</v>
      </c>
      <c r="N75" s="197" t="n">
        <f aca="false">SUMIF('statutory adj_2026 조정분개'!$S:$S,$D75,'statutory adj_2026 조정분개'!$K:$K)</f>
        <v>0</v>
      </c>
      <c r="O75" s="198" t="n">
        <f aca="false">SUMIF('statutory adj_2026 조정분개'!$S:$S,$D75,'statutory adj_2026 조정분개'!$L:$L)</f>
        <v>0</v>
      </c>
      <c r="P75" s="196" t="n">
        <f aca="false">M75+N75-O75</f>
        <v>19784758242</v>
      </c>
      <c r="Q75" s="199" t="n">
        <f aca="false">IFERROR(VLOOKUP(VALUE($D75),BSPL2026!$B:$Q,16,FALSE()),0)</f>
        <v>24413452320</v>
      </c>
      <c r="R75" s="200" t="s">
        <v>496</v>
      </c>
      <c r="S75" s="162" t="str">
        <f aca="false">IFERROR(VLOOKUP(VALUE($D75),BSPL2026!$B:$M,12,FALSE()),"")</f>
        <v>유동성이연법인세자산</v>
      </c>
      <c r="T75" s="162" t="str">
        <f aca="false">IF(OR(S75="",S75=0,LEFT(S75,5)="(원본오류"),"",IF(S75=H75,"","매핑차이"))</f>
        <v/>
      </c>
    </row>
    <row r="76" customFormat="false" ht="16.5" hidden="true" customHeight="false" outlineLevel="0" collapsed="false">
      <c r="D76" s="190" t="s">
        <v>669</v>
      </c>
      <c r="E76" s="191" t="s">
        <v>670</v>
      </c>
      <c r="F76" s="192" t="s">
        <v>493</v>
      </c>
      <c r="G76" s="193" t="s">
        <v>494</v>
      </c>
      <c r="H76" s="194" t="s">
        <v>57</v>
      </c>
      <c r="I76" s="195" t="s">
        <v>670</v>
      </c>
      <c r="J76" s="196" t="n">
        <f aca="false">IFERROR(VLOOKUP(VALUE($D76),BSPL2026!$B:$Z,25,FALSE()),0)</f>
        <v>0</v>
      </c>
      <c r="K76" s="197"/>
      <c r="L76" s="198"/>
      <c r="M76" s="196" t="n">
        <f aca="false">J76+K76-L76</f>
        <v>0</v>
      </c>
      <c r="N76" s="197" t="n">
        <f aca="false">SUMIF('statutory adj_2026 조정분개'!$S:$S,$D76,'statutory adj_2026 조정분개'!$K:$K)</f>
        <v>0</v>
      </c>
      <c r="O76" s="198" t="n">
        <f aca="false">SUMIF('statutory adj_2026 조정분개'!$S:$S,$D76,'statutory adj_2026 조정분개'!$L:$L)</f>
        <v>0</v>
      </c>
      <c r="P76" s="196" t="n">
        <f aca="false">M76+N76-O76</f>
        <v>0</v>
      </c>
      <c r="Q76" s="199" t="n">
        <f aca="false">IFERROR(VLOOKUP(VALUE($D76),BSPL2026!$B:$Q,16,FALSE()),0)</f>
        <v>0</v>
      </c>
      <c r="R76" s="200" t="s">
        <v>496</v>
      </c>
      <c r="S76" s="162" t="str">
        <f aca="false">IFERROR(VLOOKUP(VALUE($D76),BSPL2026!$B:$M,12,FALSE()),"")</f>
        <v>유동성이연법인세자산</v>
      </c>
      <c r="T76" s="162" t="str">
        <f aca="false">IF(OR(S76="",S76=0,LEFT(S76,5)="(원본오류"),"",IF(S76=H76,"","매핑차이"))</f>
        <v/>
      </c>
    </row>
    <row r="77" customFormat="false" ht="16.5" hidden="true" customHeight="false" outlineLevel="0" collapsed="false">
      <c r="D77" s="190" t="s">
        <v>671</v>
      </c>
      <c r="E77" s="191" t="s">
        <v>672</v>
      </c>
      <c r="F77" s="192" t="s">
        <v>493</v>
      </c>
      <c r="G77" s="193" t="s">
        <v>200</v>
      </c>
      <c r="H77" s="194" t="s">
        <v>204</v>
      </c>
      <c r="I77" s="195" t="s">
        <v>672</v>
      </c>
      <c r="J77" s="196" t="n">
        <f aca="false">IFERROR(VLOOKUP(VALUE($D77),BSPL2026!$B:$Z,25,FALSE()),0)</f>
        <v>-4287180000</v>
      </c>
      <c r="K77" s="197"/>
      <c r="L77" s="198"/>
      <c r="M77" s="196" t="n">
        <f aca="false">J77+K77-L77</f>
        <v>-4287180000</v>
      </c>
      <c r="N77" s="197" t="n">
        <f aca="false">SUMIF('statutory adj_2026 조정분개'!$S:$S,$D77,'statutory adj_2026 조정분개'!$K:$K)</f>
        <v>0</v>
      </c>
      <c r="O77" s="198" t="n">
        <f aca="false">SUMIF('statutory adj_2026 조정분개'!$S:$S,$D77,'statutory adj_2026 조정분개'!$L:$L)</f>
        <v>0</v>
      </c>
      <c r="P77" s="196" t="n">
        <f aca="false">M77+N77-O77</f>
        <v>-4287180000</v>
      </c>
      <c r="Q77" s="199" t="n">
        <f aca="false">IFERROR(VLOOKUP(VALUE($D77),BSPL2026!$B:$Q,16,FALSE()),0)</f>
        <v>-4287180000</v>
      </c>
      <c r="R77" s="200" t="s">
        <v>496</v>
      </c>
      <c r="S77" s="162" t="str">
        <f aca="false">IFERROR(VLOOKUP(VALUE($D77),BSPL2026!$B:$M,12,FALSE()),"")</f>
        <v>보통주자본금</v>
      </c>
      <c r="T77" s="162" t="str">
        <f aca="false">IF(OR(S77="",S77=0,LEFT(S77,5)="(원본오류"),"",IF(S77=H77,"","매핑차이"))</f>
        <v/>
      </c>
    </row>
    <row r="78" customFormat="false" ht="16.5" hidden="true" customHeight="false" outlineLevel="0" collapsed="false">
      <c r="D78" s="190" t="s">
        <v>673</v>
      </c>
      <c r="E78" s="191" t="s">
        <v>674</v>
      </c>
      <c r="F78" s="192" t="s">
        <v>493</v>
      </c>
      <c r="G78" s="193" t="s">
        <v>200</v>
      </c>
      <c r="H78" s="194" t="s">
        <v>208</v>
      </c>
      <c r="I78" s="195" t="s">
        <v>674</v>
      </c>
      <c r="J78" s="196" t="n">
        <f aca="false">IFERROR(VLOOKUP(VALUE($D78),BSPL2026!$B:$Z,25,FALSE()),0)</f>
        <v>-122441812567</v>
      </c>
      <c r="K78" s="197"/>
      <c r="L78" s="198"/>
      <c r="M78" s="196" t="n">
        <f aca="false">J78+K78-L78</f>
        <v>-122441812567</v>
      </c>
      <c r="N78" s="197" t="n">
        <f aca="false">SUMIF('statutory adj_2026 조정분개'!$S:$S,$D78,'statutory adj_2026 조정분개'!$K:$K)</f>
        <v>0</v>
      </c>
      <c r="O78" s="198" t="n">
        <f aca="false">SUMIF('statutory adj_2026 조정분개'!$S:$S,$D78,'statutory adj_2026 조정분개'!$L:$L)</f>
        <v>0</v>
      </c>
      <c r="P78" s="196" t="n">
        <f aca="false">M78+N78-O78</f>
        <v>-122441812567</v>
      </c>
      <c r="Q78" s="199" t="n">
        <f aca="false">IFERROR(VLOOKUP(VALUE($D78),BSPL2026!$B:$Q,16,FALSE()),0)</f>
        <v>-122441812567</v>
      </c>
      <c r="R78" s="200" t="s">
        <v>496</v>
      </c>
      <c r="S78" s="162" t="str">
        <f aca="false">IFERROR(VLOOKUP(VALUE($D78),BSPL2026!$B:$M,12,FALSE()),"")</f>
        <v>주식발행초과금</v>
      </c>
      <c r="T78" s="162" t="str">
        <f aca="false">IF(OR(S78="",S78=0,LEFT(S78,5)="(원본오류"),"",IF(S78=H78,"","매핑차이"))</f>
        <v/>
      </c>
    </row>
    <row r="79" customFormat="false" ht="16.5" hidden="true" customHeight="false" outlineLevel="0" collapsed="false">
      <c r="D79" s="190" t="s">
        <v>675</v>
      </c>
      <c r="E79" s="191" t="s">
        <v>676</v>
      </c>
      <c r="F79" s="192" t="s">
        <v>493</v>
      </c>
      <c r="G79" s="193" t="s">
        <v>200</v>
      </c>
      <c r="H79" s="194" t="s">
        <v>210</v>
      </c>
      <c r="I79" s="195" t="s">
        <v>677</v>
      </c>
      <c r="J79" s="196" t="n">
        <f aca="false">IFERROR(VLOOKUP(VALUE($D79),BSPL2026!$B:$Z,25,FALSE()),0)</f>
        <v>21035577720</v>
      </c>
      <c r="K79" s="197"/>
      <c r="L79" s="198"/>
      <c r="M79" s="196" t="n">
        <f aca="false">J79+K79-L79</f>
        <v>21035577720</v>
      </c>
      <c r="N79" s="197" t="n">
        <f aca="false">SUMIF('statutory adj_2026 조정분개'!$S:$S,$D79,'statutory adj_2026 조정분개'!$K:$K)</f>
        <v>0</v>
      </c>
      <c r="O79" s="198" t="n">
        <f aca="false">SUMIF('statutory adj_2026 조정분개'!$S:$S,$D79,'statutory adj_2026 조정분개'!$L:$L)</f>
        <v>0</v>
      </c>
      <c r="P79" s="196" t="n">
        <f aca="false">M79+N79-O79</f>
        <v>21035577720</v>
      </c>
      <c r="Q79" s="199" t="n">
        <f aca="false">IFERROR(VLOOKUP(VALUE($D79),BSPL2026!$B:$Q,16,FALSE()),0)</f>
        <v>21035577720</v>
      </c>
      <c r="R79" s="200" t="s">
        <v>496</v>
      </c>
      <c r="S79" s="162" t="str">
        <f aca="false">IFERROR(VLOOKUP(VALUE($D79),BSPL2026!$B:$M,12,FALSE()),"")</f>
        <v>기타자본잉여금</v>
      </c>
      <c r="T79" s="162" t="str">
        <f aca="false">IF(OR(S79="",S79=0,LEFT(S79,5)="(원본오류"),"",IF(S79=H79,"","매핑차이"))</f>
        <v/>
      </c>
    </row>
    <row r="80" customFormat="false" ht="16.5" hidden="true" customHeight="false" outlineLevel="0" collapsed="false">
      <c r="D80" s="190" t="s">
        <v>678</v>
      </c>
      <c r="E80" s="191" t="s">
        <v>679</v>
      </c>
      <c r="F80" s="192" t="s">
        <v>493</v>
      </c>
      <c r="G80" s="193" t="s">
        <v>200</v>
      </c>
      <c r="H80" s="194" t="s">
        <v>216</v>
      </c>
      <c r="I80" s="195" t="s">
        <v>679</v>
      </c>
      <c r="J80" s="196" t="n">
        <f aca="false">IFERROR(VLOOKUP(VALUE($D80),BSPL2026!$B:$Z,25,FALSE()),0)</f>
        <v>-2168590000</v>
      </c>
      <c r="K80" s="197"/>
      <c r="L80" s="198"/>
      <c r="M80" s="196" t="n">
        <f aca="false">J80+K80-L80</f>
        <v>-2168590000</v>
      </c>
      <c r="N80" s="197" t="n">
        <f aca="false">SUMIF('statutory adj_2026 조정분개'!$S:$S,$D80,'statutory adj_2026 조정분개'!$K:$K)</f>
        <v>0</v>
      </c>
      <c r="O80" s="198" t="n">
        <f aca="false">SUMIF('statutory adj_2026 조정분개'!$S:$S,$D80,'statutory adj_2026 조정분개'!$L:$L)</f>
        <v>0</v>
      </c>
      <c r="P80" s="196" t="n">
        <f aca="false">M80+N80-O80</f>
        <v>-2168590000</v>
      </c>
      <c r="Q80" s="199" t="n">
        <f aca="false">IFERROR(VLOOKUP(VALUE($D80),BSPL2026!$B:$Q,16,FALSE()),0)</f>
        <v>-1886200000</v>
      </c>
      <c r="R80" s="200" t="s">
        <v>496</v>
      </c>
      <c r="S80" s="162" t="str">
        <f aca="false">IFERROR(VLOOKUP(VALUE($D80),BSPL2026!$B:$M,12,FALSE()),"")</f>
        <v>이익준비금</v>
      </c>
      <c r="T80" s="162" t="str">
        <f aca="false">IF(OR(S80="",S80=0,LEFT(S80,5)="(원본오류"),"",IF(S80=H80,"","매핑차이"))</f>
        <v/>
      </c>
    </row>
    <row r="81" customFormat="false" ht="16.5" hidden="true" customHeight="false" outlineLevel="0" collapsed="false">
      <c r="D81" s="190" t="s">
        <v>680</v>
      </c>
      <c r="E81" s="191" t="s">
        <v>681</v>
      </c>
      <c r="F81" s="192" t="s">
        <v>493</v>
      </c>
      <c r="G81" s="193" t="s">
        <v>200</v>
      </c>
      <c r="H81" s="194" t="s">
        <v>220</v>
      </c>
      <c r="I81" s="195" t="s">
        <v>681</v>
      </c>
      <c r="J81" s="196" t="n">
        <f aca="false">IFERROR(VLOOKUP(VALUE($D81),BSPL2026!$B:$Z,25,FALSE()),0)</f>
        <v>-153164298682</v>
      </c>
      <c r="K81" s="197"/>
      <c r="L81" s="198"/>
      <c r="M81" s="196" t="n">
        <f aca="false">J81+K81-L81</f>
        <v>-153164298682</v>
      </c>
      <c r="N81" s="197" t="n">
        <f aca="false">SUMIF('statutory adj_2026 조정분개'!$S:$S,$D81,'statutory adj_2026 조정분개'!$K:$K)</f>
        <v>0</v>
      </c>
      <c r="O81" s="198" t="n">
        <f aca="false">SUMIF('statutory adj_2026 조정분개'!$S:$S,$D81,'statutory adj_2026 조정분개'!$L:$L)</f>
        <v>0</v>
      </c>
      <c r="P81" s="196" t="n">
        <f aca="false">M81+N81-O81</f>
        <v>-153164298682</v>
      </c>
      <c r="Q81" s="199" t="n">
        <f aca="false">IFERROR(VLOOKUP(VALUE($D81),BSPL2026!$B:$Q,16,FALSE()),0)</f>
        <v>-113587447204</v>
      </c>
      <c r="R81" s="200" t="s">
        <v>496</v>
      </c>
      <c r="S81" s="162" t="str">
        <f aca="false">IFERROR(VLOOKUP(VALUE($D81),BSPL2026!$B:$M,12,FALSE()),"")</f>
        <v>이익잉여금</v>
      </c>
      <c r="T81" s="162" t="str">
        <f aca="false">IF(OR(S81="",S81=0,LEFT(S81,5)="(원본오류"),"",IF(S81=H81,"","매핑차이"))</f>
        <v/>
      </c>
    </row>
    <row r="82" customFormat="false" ht="16.5" hidden="true" customHeight="false" outlineLevel="0" collapsed="false">
      <c r="D82" s="190" t="s">
        <v>682</v>
      </c>
      <c r="E82" s="191" t="s">
        <v>683</v>
      </c>
      <c r="F82" s="192" t="s">
        <v>493</v>
      </c>
      <c r="G82" s="193" t="s">
        <v>200</v>
      </c>
      <c r="H82" s="194" t="s">
        <v>220</v>
      </c>
      <c r="I82" s="195" t="s">
        <v>683</v>
      </c>
      <c r="J82" s="196" t="n">
        <f aca="false">IFERROR(VLOOKUP(VALUE($D82),BSPL2026!$B:$Z,25,FALSE()),0)</f>
        <v>58453000000</v>
      </c>
      <c r="K82" s="197"/>
      <c r="L82" s="198"/>
      <c r="M82" s="196" t="n">
        <f aca="false">J82+K82-L82</f>
        <v>58453000000</v>
      </c>
      <c r="N82" s="197" t="n">
        <f aca="false">SUMIF('statutory adj_2026 조정분개'!$S:$S,$D82,'statutory adj_2026 조정분개'!$K:$K)</f>
        <v>0</v>
      </c>
      <c r="O82" s="198" t="n">
        <f aca="false">SUMIF('statutory adj_2026 조정분개'!$S:$S,$D82,'statutory adj_2026 조정분개'!$L:$L)</f>
        <v>0</v>
      </c>
      <c r="P82" s="196" t="n">
        <f aca="false">M82+N82-O82</f>
        <v>58453000000</v>
      </c>
      <c r="Q82" s="199" t="n">
        <f aca="false">IFERROR(VLOOKUP(VALUE($D82),BSPL2026!$B:$Q,16,FALSE()),0)</f>
        <v>6453000000</v>
      </c>
      <c r="R82" s="200" t="s">
        <v>496</v>
      </c>
      <c r="S82" s="162" t="str">
        <f aca="false">IFERROR(VLOOKUP(VALUE($D82),BSPL2026!$B:$M,12,FALSE()),"")</f>
        <v>이익잉여금</v>
      </c>
      <c r="T82" s="162" t="str">
        <f aca="false">IF(OR(S82="",S82=0,LEFT(S82,5)="(원본오류"),"",IF(S82=H82,"","매핑차이"))</f>
        <v/>
      </c>
    </row>
    <row r="83" customFormat="false" ht="16.5" hidden="true" customHeight="false" outlineLevel="0" collapsed="false">
      <c r="D83" s="190" t="s">
        <v>684</v>
      </c>
      <c r="E83" s="191" t="s">
        <v>685</v>
      </c>
      <c r="F83" s="192" t="s">
        <v>493</v>
      </c>
      <c r="G83" s="193" t="s">
        <v>200</v>
      </c>
      <c r="H83" s="194" t="s">
        <v>220</v>
      </c>
      <c r="I83" s="195" t="s">
        <v>685</v>
      </c>
      <c r="J83" s="196" t="n">
        <f aca="false">IFERROR(VLOOKUP(VALUE($D83),BSPL2026!$B:$Z,25,FALSE()),0)</f>
        <v>-2041430576</v>
      </c>
      <c r="K83" s="197"/>
      <c r="L83" s="198"/>
      <c r="M83" s="196" t="n">
        <f aca="false">J83+K83-L83</f>
        <v>-2041430576</v>
      </c>
      <c r="N83" s="197" t="n">
        <f aca="false">SUMIF('statutory adj_2026 조정분개'!$S:$S,$D83,'statutory adj_2026 조정분개'!$K:$K)</f>
        <v>0</v>
      </c>
      <c r="O83" s="198" t="n">
        <f aca="false">SUMIF('statutory adj_2026 조정분개'!$S:$S,$D83,'statutory adj_2026 조정분개'!$L:$L)</f>
        <v>0</v>
      </c>
      <c r="P83" s="196" t="n">
        <f aca="false">M83+N83-O83</f>
        <v>-2041430576</v>
      </c>
      <c r="Q83" s="199" t="n">
        <f aca="false">IFERROR(VLOOKUP(VALUE($D83),BSPL2026!$B:$Q,16,FALSE()),0)</f>
        <v>-2041430576</v>
      </c>
      <c r="R83" s="200" t="s">
        <v>496</v>
      </c>
      <c r="S83" s="162" t="str">
        <f aca="false">IFERROR(VLOOKUP(VALUE($D83),BSPL2026!$B:$M,12,FALSE()),"")</f>
        <v>이익잉여금</v>
      </c>
      <c r="T83" s="162" t="str">
        <f aca="false">IF(OR(S83="",S83=0,LEFT(S83,5)="(원본오류"),"",IF(S83=H83,"","매핑차이"))</f>
        <v/>
      </c>
    </row>
    <row r="84" customFormat="false" ht="16.5" hidden="true" customHeight="false" outlineLevel="0" collapsed="false">
      <c r="D84" s="190" t="s">
        <v>686</v>
      </c>
      <c r="E84" s="191" t="s">
        <v>687</v>
      </c>
      <c r="F84" s="192" t="s">
        <v>493</v>
      </c>
      <c r="G84" s="193" t="s">
        <v>200</v>
      </c>
      <c r="H84" s="194" t="s">
        <v>220</v>
      </c>
      <c r="I84" s="195" t="s">
        <v>687</v>
      </c>
      <c r="J84" s="196" t="n">
        <f aca="false">IFERROR(VLOOKUP(VALUE($D84),BSPL2026!$B:$Z,25,FALSE()),0)</f>
        <v>-2187462000</v>
      </c>
      <c r="K84" s="197"/>
      <c r="L84" s="198"/>
      <c r="M84" s="196" t="n">
        <f aca="false">J84+K84-L84</f>
        <v>-2187462000</v>
      </c>
      <c r="N84" s="197" t="n">
        <f aca="false">SUMIF('statutory adj_2026 조정분개'!$S:$S,$D84,'statutory adj_2026 조정분개'!$K:$K)</f>
        <v>0</v>
      </c>
      <c r="O84" s="198" t="n">
        <f aca="false">SUMIF('statutory adj_2026 조정분개'!$S:$S,$D84,'statutory adj_2026 조정분개'!$L:$L)</f>
        <v>0</v>
      </c>
      <c r="P84" s="196" t="n">
        <f aca="false">M84+N84-O84</f>
        <v>-2187462000</v>
      </c>
      <c r="Q84" s="199" t="n">
        <f aca="false">IFERROR(VLOOKUP(VALUE($D84),BSPL2026!$B:$Q,16,FALSE()),0)</f>
        <v>-2187462000</v>
      </c>
      <c r="R84" s="200" t="s">
        <v>496</v>
      </c>
      <c r="S84" s="162" t="str">
        <f aca="false">IFERROR(VLOOKUP(VALUE($D84),BSPL2026!$B:$M,12,FALSE()),"")</f>
        <v>이익잉여금</v>
      </c>
      <c r="T84" s="162" t="str">
        <f aca="false">IF(OR(S84="",S84=0,LEFT(S84,5)="(원본오류"),"",IF(S84=H84,"","매핑차이"))</f>
        <v/>
      </c>
    </row>
    <row r="85" customFormat="false" ht="16.5" hidden="true" customHeight="false" outlineLevel="0" collapsed="false">
      <c r="D85" s="190" t="s">
        <v>688</v>
      </c>
      <c r="E85" s="191" t="s">
        <v>689</v>
      </c>
      <c r="F85" s="192" t="s">
        <v>493</v>
      </c>
      <c r="G85" s="193" t="s">
        <v>200</v>
      </c>
      <c r="H85" s="194" t="s">
        <v>220</v>
      </c>
      <c r="I85" s="195" t="s">
        <v>689</v>
      </c>
      <c r="J85" s="196" t="n">
        <f aca="false">IFERROR(VLOOKUP(VALUE($D85),BSPL2026!$B:$Z,25,FALSE()),0)</f>
        <v>1258532858</v>
      </c>
      <c r="K85" s="197"/>
      <c r="L85" s="198"/>
      <c r="M85" s="196" t="n">
        <f aca="false">J85+K85-L85</f>
        <v>1258532858</v>
      </c>
      <c r="N85" s="197" t="n">
        <f aca="false">SUMIF('statutory adj_2026 조정분개'!$S:$S,$D85,'statutory adj_2026 조정분개'!$K:$K)</f>
        <v>0</v>
      </c>
      <c r="O85" s="198" t="n">
        <f aca="false">SUMIF('statutory adj_2026 조정분개'!$S:$S,$D85,'statutory adj_2026 조정분개'!$L:$L)</f>
        <v>0</v>
      </c>
      <c r="P85" s="196" t="n">
        <f aca="false">M85+N85-O85</f>
        <v>1258532858</v>
      </c>
      <c r="Q85" s="199" t="n">
        <f aca="false">IFERROR(VLOOKUP(VALUE($D85),BSPL2026!$B:$Q,16,FALSE()),0)</f>
        <v>1258532858</v>
      </c>
      <c r="R85" s="200" t="s">
        <v>496</v>
      </c>
      <c r="S85" s="162" t="str">
        <f aca="false">IFERROR(VLOOKUP(VALUE($D85),BSPL2026!$B:$M,12,FALSE()),"")</f>
        <v>이익잉여금</v>
      </c>
      <c r="T85" s="162" t="str">
        <f aca="false">IF(OR(S85="",S85=0,LEFT(S85,5)="(원본오류"),"",IF(S85=H85,"","매핑차이"))</f>
        <v/>
      </c>
    </row>
    <row r="86" customFormat="false" ht="16.5" hidden="true" customHeight="false" outlineLevel="0" collapsed="false">
      <c r="D86" s="190" t="s">
        <v>690</v>
      </c>
      <c r="E86" s="191" t="s">
        <v>691</v>
      </c>
      <c r="F86" s="192" t="s">
        <v>493</v>
      </c>
      <c r="G86" s="193" t="s">
        <v>157</v>
      </c>
      <c r="H86" s="194" t="s">
        <v>183</v>
      </c>
      <c r="I86" s="195" t="s">
        <v>692</v>
      </c>
      <c r="J86" s="196" t="n">
        <f aca="false">IFERROR(VLOOKUP(VALUE($D86),BSPL2026!$B:$Z,25,FALSE()),0)</f>
        <v>-6930294786</v>
      </c>
      <c r="K86" s="197"/>
      <c r="L86" s="198"/>
      <c r="M86" s="196" t="n">
        <f aca="false">J86+K86-L86</f>
        <v>-6930294786</v>
      </c>
      <c r="N86" s="197" t="n">
        <f aca="false">SUMIF('statutory adj_2026 조정분개'!$S:$S,$D86,'statutory adj_2026 조정분개'!$K:$K)</f>
        <v>646256500</v>
      </c>
      <c r="O86" s="198" t="n">
        <f aca="false">SUMIF('statutory adj_2026 조정분개'!$S:$S,$D86,'statutory adj_2026 조정분개'!$L:$L)</f>
        <v>0</v>
      </c>
      <c r="P86" s="196" t="n">
        <f aca="false">M86+N86-O86</f>
        <v>-6284038286</v>
      </c>
      <c r="Q86" s="199" t="n">
        <f aca="false">IFERROR(VLOOKUP(VALUE($D86),BSPL2026!$B:$Q,16,FALSE()),0)</f>
        <v>-7662339101</v>
      </c>
      <c r="R86" s="200" t="s">
        <v>496</v>
      </c>
      <c r="S86" s="162" t="str">
        <f aca="false">IFERROR(VLOOKUP(VALUE($D86),BSPL2026!$B:$M,12,FALSE()),"")</f>
        <v>반품충당금유동</v>
      </c>
      <c r="T86" s="162" t="str">
        <f aca="false">IF(OR(S86="",S86=0,LEFT(S86,5)="(원본오류"),"",IF(S86=H86,"","매핑차이"))</f>
        <v/>
      </c>
    </row>
    <row r="87" customFormat="false" ht="16.5" hidden="true" customHeight="false" outlineLevel="0" collapsed="false">
      <c r="D87" s="190" t="s">
        <v>693</v>
      </c>
      <c r="E87" s="191" t="s">
        <v>694</v>
      </c>
      <c r="F87" s="192" t="s">
        <v>493</v>
      </c>
      <c r="G87" s="193" t="s">
        <v>157</v>
      </c>
      <c r="H87" s="194" t="s">
        <v>171</v>
      </c>
      <c r="I87" s="195" t="s">
        <v>694</v>
      </c>
      <c r="J87" s="196" t="n">
        <f aca="false">IFERROR(VLOOKUP(VALUE($D87),BSPL2026!$B:$Z,25,FALSE()),0)</f>
        <v>0</v>
      </c>
      <c r="K87" s="197"/>
      <c r="L87" s="198"/>
      <c r="M87" s="196" t="n">
        <f aca="false">J87+K87-L87</f>
        <v>0</v>
      </c>
      <c r="N87" s="197" t="n">
        <f aca="false">SUMIF('statutory adj_2026 조정분개'!$S:$S,$D87,'statutory adj_2026 조정분개'!$K:$K)</f>
        <v>0</v>
      </c>
      <c r="O87" s="198" t="n">
        <f aca="false">SUMIF('statutory adj_2026 조정분개'!$S:$S,$D87,'statutory adj_2026 조정분개'!$L:$L)</f>
        <v>0</v>
      </c>
      <c r="P87" s="196" t="n">
        <f aca="false">M87+N87-O87</f>
        <v>0</v>
      </c>
      <c r="Q87" s="199" t="n">
        <f aca="false">IFERROR(VLOOKUP(VALUE($D87),BSPL2026!$B:$Q,16,FALSE()),0)</f>
        <v>0</v>
      </c>
      <c r="R87" s="200" t="s">
        <v>496</v>
      </c>
      <c r="S87" s="162" t="str">
        <f aca="false">IFERROR(VLOOKUP(VALUE($D87),BSPL2026!$B:$M,12,FALSE()),"")</f>
        <v>미지급비용</v>
      </c>
      <c r="T87" s="162" t="str">
        <f aca="false">IF(OR(S87="",S87=0,LEFT(S87,5)="(원본오류"),"",IF(S87=H87,"","매핑차이"))</f>
        <v/>
      </c>
    </row>
    <row r="88" customFormat="false" ht="16.5" hidden="true" customHeight="false" outlineLevel="0" collapsed="false">
      <c r="D88" s="190" t="s">
        <v>695</v>
      </c>
      <c r="E88" s="191" t="s">
        <v>696</v>
      </c>
      <c r="F88" s="192" t="s">
        <v>493</v>
      </c>
      <c r="G88" s="193" t="s">
        <v>157</v>
      </c>
      <c r="H88" s="194" t="s">
        <v>171</v>
      </c>
      <c r="I88" s="195" t="s">
        <v>696</v>
      </c>
      <c r="J88" s="196" t="n">
        <f aca="false">IFERROR(VLOOKUP(VALUE($D88),BSPL2026!$B:$Z,25,FALSE()),0)</f>
        <v>-4473184387</v>
      </c>
      <c r="K88" s="197"/>
      <c r="L88" s="198"/>
      <c r="M88" s="196" t="n">
        <f aca="false">J88+K88-L88</f>
        <v>-4473184387</v>
      </c>
      <c r="N88" s="197" t="n">
        <f aca="false">SUMIF('statutory adj_2026 조정분개'!$S:$S,$D88,'statutory adj_2026 조정분개'!$K:$K)</f>
        <v>0</v>
      </c>
      <c r="O88" s="198" t="n">
        <f aca="false">SUMIF('statutory adj_2026 조정분개'!$S:$S,$D88,'statutory adj_2026 조정분개'!$L:$L)</f>
        <v>0</v>
      </c>
      <c r="P88" s="196" t="n">
        <f aca="false">M88+N88-O88</f>
        <v>-4473184387</v>
      </c>
      <c r="Q88" s="199" t="n">
        <f aca="false">IFERROR(VLOOKUP(VALUE($D88),BSPL2026!$B:$Q,16,FALSE()),0)</f>
        <v>-16873571611</v>
      </c>
      <c r="R88" s="200" t="s">
        <v>496</v>
      </c>
      <c r="S88" s="162" t="str">
        <f aca="false">IFERROR(VLOOKUP(VALUE($D88),BSPL2026!$B:$M,12,FALSE()),"")</f>
        <v>미지급비용</v>
      </c>
      <c r="T88" s="162" t="str">
        <f aca="false">IF(OR(S88="",S88=0,LEFT(S88,5)="(원본오류"),"",IF(S88=H88,"","매핑차이"))</f>
        <v/>
      </c>
    </row>
    <row r="89" customFormat="false" ht="16.5" hidden="true" customHeight="false" outlineLevel="0" collapsed="false">
      <c r="D89" s="190" t="s">
        <v>697</v>
      </c>
      <c r="E89" s="191" t="s">
        <v>698</v>
      </c>
      <c r="F89" s="192" t="s">
        <v>493</v>
      </c>
      <c r="G89" s="193" t="s">
        <v>157</v>
      </c>
      <c r="H89" s="194" t="s">
        <v>171</v>
      </c>
      <c r="I89" s="195" t="s">
        <v>698</v>
      </c>
      <c r="J89" s="196" t="n">
        <f aca="false">IFERROR(VLOOKUP(VALUE($D89),BSPL2026!$B:$Z,25,FALSE()),0)</f>
        <v>-1127914767</v>
      </c>
      <c r="K89" s="197"/>
      <c r="L89" s="198"/>
      <c r="M89" s="196" t="n">
        <f aca="false">J89+K89-L89</f>
        <v>-1127914767</v>
      </c>
      <c r="N89" s="197" t="n">
        <f aca="false">SUMIF('statutory adj_2026 조정분개'!$S:$S,$D89,'statutory adj_2026 조정분개'!$K:$K)</f>
        <v>0</v>
      </c>
      <c r="O89" s="198" t="n">
        <f aca="false">SUMIF('statutory adj_2026 조정분개'!$S:$S,$D89,'statutory adj_2026 조정분개'!$L:$L)</f>
        <v>0</v>
      </c>
      <c r="P89" s="196" t="n">
        <f aca="false">M89+N89-O89</f>
        <v>-1127914767</v>
      </c>
      <c r="Q89" s="199" t="n">
        <f aca="false">IFERROR(VLOOKUP(VALUE($D89),BSPL2026!$B:$Q,16,FALSE()),0)</f>
        <v>-1200612826</v>
      </c>
      <c r="R89" s="200" t="s">
        <v>496</v>
      </c>
      <c r="S89" s="162" t="str">
        <f aca="false">IFERROR(VLOOKUP(VALUE($D89),BSPL2026!$B:$M,12,FALSE()),"")</f>
        <v>미지급비용</v>
      </c>
      <c r="T89" s="162" t="str">
        <f aca="false">IF(OR(S89="",S89=0,LEFT(S89,5)="(원본오류"),"",IF(S89=H89,"","매핑차이"))</f>
        <v/>
      </c>
    </row>
    <row r="90" customFormat="false" ht="16.5" hidden="true" customHeight="false" outlineLevel="0" collapsed="false">
      <c r="D90" s="190" t="s">
        <v>699</v>
      </c>
      <c r="E90" s="191" t="s">
        <v>700</v>
      </c>
      <c r="F90" s="192" t="s">
        <v>493</v>
      </c>
      <c r="G90" s="193" t="s">
        <v>157</v>
      </c>
      <c r="H90" s="194" t="s">
        <v>181</v>
      </c>
      <c r="I90" s="195" t="s">
        <v>700</v>
      </c>
      <c r="J90" s="196" t="n">
        <f aca="false">IFERROR(VLOOKUP(VALUE($D90),BSPL2026!$B:$Z,25,FALSE()),0)</f>
        <v>0</v>
      </c>
      <c r="K90" s="197"/>
      <c r="L90" s="198"/>
      <c r="M90" s="196" t="n">
        <f aca="false">J90+K90-L90</f>
        <v>0</v>
      </c>
      <c r="N90" s="197" t="n">
        <f aca="false">SUMIF('statutory adj_2026 조정분개'!$S:$S,$D90,'statutory adj_2026 조정분개'!$K:$K)</f>
        <v>0</v>
      </c>
      <c r="O90" s="198" t="n">
        <f aca="false">SUMIF('statutory adj_2026 조정분개'!$S:$S,$D90,'statutory adj_2026 조정분개'!$L:$L)</f>
        <v>0</v>
      </c>
      <c r="P90" s="196" t="n">
        <f aca="false">M90+N90-O90</f>
        <v>0</v>
      </c>
      <c r="Q90" s="199" t="n">
        <f aca="false">IFERROR(VLOOKUP(VALUE($D90),BSPL2026!$B:$Q,16,FALSE()),0)</f>
        <v>0</v>
      </c>
      <c r="R90" s="200" t="s">
        <v>496</v>
      </c>
      <c r="S90" s="162" t="str">
        <f aca="false">IFERROR(VLOOKUP(VALUE($D90),BSPL2026!$B:$M,12,FALSE()),"")</f>
        <v>임대보증금</v>
      </c>
      <c r="T90" s="162" t="str">
        <f aca="false">IF(OR(S90="",S90=0,LEFT(S90,5)="(원본오류"),"",IF(S90=H90,"","매핑차이"))</f>
        <v/>
      </c>
    </row>
    <row r="91" customFormat="false" ht="16.5" hidden="true" customHeight="false" outlineLevel="0" collapsed="false">
      <c r="D91" s="190" t="s">
        <v>701</v>
      </c>
      <c r="E91" s="191" t="s">
        <v>702</v>
      </c>
      <c r="F91" s="192" t="s">
        <v>493</v>
      </c>
      <c r="G91" s="193" t="s">
        <v>157</v>
      </c>
      <c r="H91" s="194" t="s">
        <v>171</v>
      </c>
      <c r="I91" s="195" t="s">
        <v>702</v>
      </c>
      <c r="J91" s="196" t="n">
        <f aca="false">IFERROR(VLOOKUP(VALUE($D91),BSPL2026!$B:$Z,25,FALSE()),0)</f>
        <v>0</v>
      </c>
      <c r="K91" s="197"/>
      <c r="L91" s="198"/>
      <c r="M91" s="196" t="n">
        <f aca="false">J91+K91-L91</f>
        <v>0</v>
      </c>
      <c r="N91" s="197" t="n">
        <f aca="false">SUMIF('statutory adj_2026 조정분개'!$S:$S,$D91,'statutory adj_2026 조정분개'!$K:$K)</f>
        <v>0</v>
      </c>
      <c r="O91" s="198" t="n">
        <f aca="false">SUMIF('statutory adj_2026 조정분개'!$S:$S,$D91,'statutory adj_2026 조정분개'!$L:$L)</f>
        <v>0</v>
      </c>
      <c r="P91" s="196" t="n">
        <f aca="false">M91+N91-O91</f>
        <v>0</v>
      </c>
      <c r="Q91" s="199" t="n">
        <f aca="false">IFERROR(VLOOKUP(VALUE($D91),BSPL2026!$B:$Q,16,FALSE()),0)</f>
        <v>4</v>
      </c>
      <c r="R91" s="200" t="s">
        <v>496</v>
      </c>
      <c r="S91" s="162" t="str">
        <f aca="false">IFERROR(VLOOKUP(VALUE($D91),BSPL2026!$B:$M,12,FALSE()),"")</f>
        <v>미지급비용</v>
      </c>
      <c r="T91" s="162" t="str">
        <f aca="false">IF(OR(S91="",S91=0,LEFT(S91,5)="(원본오류"),"",IF(S91=H91,"","매핑차이"))</f>
        <v/>
      </c>
    </row>
    <row r="92" customFormat="false" ht="16.5" hidden="true" customHeight="false" outlineLevel="0" collapsed="false">
      <c r="D92" s="190" t="s">
        <v>703</v>
      </c>
      <c r="E92" s="191" t="s">
        <v>704</v>
      </c>
      <c r="F92" s="192" t="s">
        <v>493</v>
      </c>
      <c r="G92" s="193" t="s">
        <v>157</v>
      </c>
      <c r="H92" s="194" t="s">
        <v>161</v>
      </c>
      <c r="I92" s="195" t="s">
        <v>704</v>
      </c>
      <c r="J92" s="196" t="n">
        <f aca="false">IFERROR(VLOOKUP(VALUE($D92),BSPL2026!$B:$Z,25,FALSE()),0)</f>
        <v>-2711048610</v>
      </c>
      <c r="K92" s="197"/>
      <c r="L92" s="198"/>
      <c r="M92" s="196" t="n">
        <f aca="false">J92+K92-L92</f>
        <v>-2711048610</v>
      </c>
      <c r="N92" s="197" t="n">
        <f aca="false">SUMIF('statutory adj_2026 조정분개'!$S:$S,$D92,'statutory adj_2026 조정분개'!$K:$K)</f>
        <v>0</v>
      </c>
      <c r="O92" s="198" t="n">
        <f aca="false">SUMIF('statutory adj_2026 조정분개'!$S:$S,$D92,'statutory adj_2026 조정분개'!$L:$L)</f>
        <v>0</v>
      </c>
      <c r="P92" s="196" t="n">
        <f aca="false">M92+N92-O92</f>
        <v>-2711048610</v>
      </c>
      <c r="Q92" s="199" t="n">
        <f aca="false">IFERROR(VLOOKUP(VALUE($D92),BSPL2026!$B:$Q,16,FALSE()),0)</f>
        <v>-13530627993</v>
      </c>
      <c r="R92" s="200" t="s">
        <v>496</v>
      </c>
      <c r="S92" s="162" t="str">
        <f aca="false">IFERROR(VLOOKUP(VALUE($D92),BSPL2026!$B:$M,12,FALSE()),"")</f>
        <v>매입채무</v>
      </c>
      <c r="T92" s="162" t="str">
        <f aca="false">IF(OR(S92="",S92=0,LEFT(S92,5)="(원본오류"),"",IF(S92=H92,"","매핑차이"))</f>
        <v/>
      </c>
    </row>
    <row r="93" customFormat="false" ht="16.5" hidden="true" customHeight="false" outlineLevel="0" collapsed="false">
      <c r="D93" s="190" t="s">
        <v>705</v>
      </c>
      <c r="E93" s="191" t="s">
        <v>706</v>
      </c>
      <c r="F93" s="192" t="s">
        <v>493</v>
      </c>
      <c r="G93" s="193" t="s">
        <v>157</v>
      </c>
      <c r="H93" s="194" t="s">
        <v>161</v>
      </c>
      <c r="I93" s="195" t="s">
        <v>707</v>
      </c>
      <c r="J93" s="196" t="n">
        <f aca="false">IFERROR(VLOOKUP(VALUE($D93),BSPL2026!$B:$Z,25,FALSE()),0)</f>
        <v>0</v>
      </c>
      <c r="K93" s="197"/>
      <c r="L93" s="198"/>
      <c r="M93" s="196" t="n">
        <f aca="false">J93+K93-L93</f>
        <v>0</v>
      </c>
      <c r="N93" s="197" t="n">
        <f aca="false">SUMIF('statutory adj_2026 조정분개'!$S:$S,$D93,'statutory adj_2026 조정분개'!$K:$K)</f>
        <v>0</v>
      </c>
      <c r="O93" s="198" t="n">
        <f aca="false">SUMIF('statutory adj_2026 조정분개'!$S:$S,$D93,'statutory adj_2026 조정분개'!$L:$L)</f>
        <v>0</v>
      </c>
      <c r="P93" s="196" t="n">
        <f aca="false">M93+N93-O93</f>
        <v>0</v>
      </c>
      <c r="Q93" s="199" t="n">
        <f aca="false">IFERROR(VLOOKUP(VALUE($D93),BSPL2026!$B:$Q,16,FALSE()),0)</f>
        <v>2032298</v>
      </c>
      <c r="R93" s="200" t="s">
        <v>496</v>
      </c>
      <c r="S93" s="162" t="str">
        <f aca="false">IFERROR(VLOOKUP(VALUE($D93),BSPL2026!$B:$M,12,FALSE()),"")</f>
        <v>매입채무</v>
      </c>
      <c r="T93" s="162" t="str">
        <f aca="false">IF(OR(S93="",S93=0,LEFT(S93,5)="(원본오류"),"",IF(S93=H93,"","매핑차이"))</f>
        <v/>
      </c>
    </row>
    <row r="94" customFormat="false" ht="16.5" hidden="true" customHeight="false" outlineLevel="0" collapsed="false">
      <c r="D94" s="190" t="s">
        <v>708</v>
      </c>
      <c r="E94" s="191" t="s">
        <v>709</v>
      </c>
      <c r="F94" s="192" t="s">
        <v>493</v>
      </c>
      <c r="G94" s="193" t="s">
        <v>157</v>
      </c>
      <c r="H94" s="194" t="s">
        <v>165</v>
      </c>
      <c r="I94" s="195" t="s">
        <v>709</v>
      </c>
      <c r="J94" s="196" t="n">
        <f aca="false">IFERROR(VLOOKUP(VALUE($D94),BSPL2026!$B:$Z,25,FALSE()),0)</f>
        <v>5693788</v>
      </c>
      <c r="K94" s="197"/>
      <c r="L94" s="198"/>
      <c r="M94" s="196" t="n">
        <f aca="false">J94+K94-L94</f>
        <v>5693788</v>
      </c>
      <c r="N94" s="197" t="n">
        <f aca="false">SUMIF('statutory adj_2026 조정분개'!$S:$S,$D94,'statutory adj_2026 조정분개'!$K:$K)</f>
        <v>0</v>
      </c>
      <c r="O94" s="198" t="n">
        <f aca="false">SUMIF('statutory adj_2026 조정분개'!$S:$S,$D94,'statutory adj_2026 조정분개'!$L:$L)</f>
        <v>0</v>
      </c>
      <c r="P94" s="196" t="n">
        <f aca="false">M94+N94-O94</f>
        <v>5693788</v>
      </c>
      <c r="Q94" s="199" t="n">
        <f aca="false">IFERROR(VLOOKUP(VALUE($D94),BSPL2026!$B:$Q,16,FALSE()),0)</f>
        <v>1051034</v>
      </c>
      <c r="R94" s="200" t="s">
        <v>496</v>
      </c>
      <c r="S94" s="162" t="str">
        <f aca="false">IFERROR(VLOOKUP(VALUE($D94),BSPL2026!$B:$M,12,FALSE()),"")</f>
        <v>미지급금</v>
      </c>
      <c r="T94" s="162" t="str">
        <f aca="false">IF(OR(S94="",S94=0,LEFT(S94,5)="(원본오류"),"",IF(S94=H94,"","매핑차이"))</f>
        <v/>
      </c>
    </row>
    <row r="95" customFormat="false" ht="16.5" hidden="true" customHeight="false" outlineLevel="0" collapsed="false">
      <c r="D95" s="190" t="s">
        <v>710</v>
      </c>
      <c r="E95" s="191" t="s">
        <v>711</v>
      </c>
      <c r="F95" s="192" t="s">
        <v>493</v>
      </c>
      <c r="G95" s="193" t="s">
        <v>157</v>
      </c>
      <c r="H95" s="194" t="s">
        <v>165</v>
      </c>
      <c r="I95" s="195" t="s">
        <v>711</v>
      </c>
      <c r="J95" s="196" t="n">
        <f aca="false">IFERROR(VLOOKUP(VALUE($D95),BSPL2026!$B:$Z,25,FALSE()),0)</f>
        <v>8838853</v>
      </c>
      <c r="K95" s="197"/>
      <c r="L95" s="198"/>
      <c r="M95" s="196" t="n">
        <f aca="false">J95+K95-L95</f>
        <v>8838853</v>
      </c>
      <c r="N95" s="197" t="n">
        <f aca="false">SUMIF('statutory adj_2026 조정분개'!$S:$S,$D95,'statutory adj_2026 조정분개'!$K:$K)</f>
        <v>0</v>
      </c>
      <c r="O95" s="198" t="n">
        <f aca="false">SUMIF('statutory adj_2026 조정분개'!$S:$S,$D95,'statutory adj_2026 조정분개'!$L:$L)</f>
        <v>0</v>
      </c>
      <c r="P95" s="196" t="n">
        <f aca="false">M95+N95-O95</f>
        <v>8838853</v>
      </c>
      <c r="Q95" s="199" t="n">
        <f aca="false">IFERROR(VLOOKUP(VALUE($D95),BSPL2026!$B:$Q,16,FALSE()),0)</f>
        <v>0</v>
      </c>
      <c r="R95" s="200" t="s">
        <v>496</v>
      </c>
      <c r="S95" s="162" t="str">
        <f aca="false">IFERROR(VLOOKUP(VALUE($D95),BSPL2026!$B:$M,12,FALSE()),"")</f>
        <v>미지급금</v>
      </c>
      <c r="T95" s="162" t="str">
        <f aca="false">IF(OR(S95="",S95=0,LEFT(S95,5)="(원본오류"),"",IF(S95=H95,"","매핑차이"))</f>
        <v/>
      </c>
    </row>
    <row r="96" customFormat="false" ht="16.5" hidden="true" customHeight="false" outlineLevel="0" collapsed="false">
      <c r="D96" s="190" t="s">
        <v>712</v>
      </c>
      <c r="E96" s="191" t="s">
        <v>713</v>
      </c>
      <c r="F96" s="192" t="s">
        <v>493</v>
      </c>
      <c r="G96" s="193" t="s">
        <v>157</v>
      </c>
      <c r="H96" s="194" t="s">
        <v>165</v>
      </c>
      <c r="I96" s="195" t="s">
        <v>713</v>
      </c>
      <c r="J96" s="196" t="n">
        <f aca="false">IFERROR(VLOOKUP(VALUE($D96),BSPL2026!$B:$Z,25,FALSE()),0)</f>
        <v>0</v>
      </c>
      <c r="K96" s="197"/>
      <c r="L96" s="198"/>
      <c r="M96" s="196" t="n">
        <f aca="false">J96+K96-L96</f>
        <v>0</v>
      </c>
      <c r="N96" s="197" t="n">
        <f aca="false">SUMIF('statutory adj_2026 조정분개'!$S:$S,$D96,'statutory adj_2026 조정분개'!$K:$K)</f>
        <v>0</v>
      </c>
      <c r="O96" s="198" t="n">
        <f aca="false">SUMIF('statutory adj_2026 조정분개'!$S:$S,$D96,'statutory adj_2026 조정분개'!$L:$L)</f>
        <v>0</v>
      </c>
      <c r="P96" s="196" t="n">
        <f aca="false">M96+N96-O96</f>
        <v>0</v>
      </c>
      <c r="Q96" s="199" t="n">
        <f aca="false">IFERROR(VLOOKUP(VALUE($D96),BSPL2026!$B:$Q,16,FALSE()),0)</f>
        <v>-21174</v>
      </c>
      <c r="R96" s="200" t="s">
        <v>496</v>
      </c>
      <c r="S96" s="162" t="str">
        <f aca="false">IFERROR(VLOOKUP(VALUE($D96),BSPL2026!$B:$M,12,FALSE()),"")</f>
        <v>미지급금</v>
      </c>
      <c r="T96" s="162" t="str">
        <f aca="false">IF(OR(S96="",S96=0,LEFT(S96,5)="(원본오류"),"",IF(S96=H96,"","매핑차이"))</f>
        <v/>
      </c>
    </row>
    <row r="97" customFormat="false" ht="16.5" hidden="true" customHeight="false" outlineLevel="0" collapsed="false">
      <c r="D97" s="190" t="s">
        <v>714</v>
      </c>
      <c r="E97" s="191" t="s">
        <v>715</v>
      </c>
      <c r="F97" s="192" t="s">
        <v>493</v>
      </c>
      <c r="G97" s="193" t="s">
        <v>157</v>
      </c>
      <c r="H97" s="194" t="s">
        <v>165</v>
      </c>
      <c r="I97" s="195" t="s">
        <v>715</v>
      </c>
      <c r="J97" s="196" t="n">
        <f aca="false">IFERROR(VLOOKUP(VALUE($D97),BSPL2026!$B:$Z,25,FALSE()),0)</f>
        <v>-7686947311</v>
      </c>
      <c r="K97" s="197"/>
      <c r="L97" s="198"/>
      <c r="M97" s="196" t="n">
        <f aca="false">J97+K97-L97</f>
        <v>-7686947311</v>
      </c>
      <c r="N97" s="197" t="n">
        <f aca="false">SUMIF('statutory adj_2026 조정분개'!$S:$S,$D97,'statutory adj_2026 조정분개'!$K:$K)</f>
        <v>612260090</v>
      </c>
      <c r="O97" s="198" t="n">
        <f aca="false">SUMIF('statutory adj_2026 조정분개'!$S:$S,$D97,'statutory adj_2026 조정분개'!$L:$L)</f>
        <v>0</v>
      </c>
      <c r="P97" s="196" t="n">
        <f aca="false">M97+N97-O97</f>
        <v>-7074687221</v>
      </c>
      <c r="Q97" s="199" t="n">
        <f aca="false">IFERROR(VLOOKUP(VALUE($D97),BSPL2026!$B:$Q,16,FALSE()),0)</f>
        <v>-12776261877</v>
      </c>
      <c r="R97" s="200" t="s">
        <v>496</v>
      </c>
      <c r="S97" s="162" t="str">
        <f aca="false">IFERROR(VLOOKUP(VALUE($D97),BSPL2026!$B:$M,12,FALSE()),"")</f>
        <v>미지급금</v>
      </c>
      <c r="T97" s="162" t="str">
        <f aca="false">IF(OR(S97="",S97=0,LEFT(S97,5)="(원본오류"),"",IF(S97=H97,"","매핑차이"))</f>
        <v/>
      </c>
    </row>
    <row r="98" customFormat="false" ht="16.5" hidden="true" customHeight="false" outlineLevel="0" collapsed="false">
      <c r="D98" s="190" t="s">
        <v>434</v>
      </c>
      <c r="E98" s="191" t="s">
        <v>716</v>
      </c>
      <c r="F98" s="192" t="s">
        <v>493</v>
      </c>
      <c r="G98" s="193" t="s">
        <v>157</v>
      </c>
      <c r="H98" s="194" t="s">
        <v>171</v>
      </c>
      <c r="I98" s="195" t="s">
        <v>717</v>
      </c>
      <c r="J98" s="196" t="n">
        <f aca="false">IFERROR(VLOOKUP(VALUE($D98),BSPL2026!$B:$Z,25,FALSE()),0)</f>
        <v>-13141943761</v>
      </c>
      <c r="K98" s="197"/>
      <c r="L98" s="198"/>
      <c r="M98" s="196" t="n">
        <f aca="false">J98+K98-L98</f>
        <v>-13141943761</v>
      </c>
      <c r="N98" s="197" t="n">
        <f aca="false">SUMIF('statutory adj_2026 조정분개'!$S:$S,$D98,'statutory adj_2026 조정분개'!$K:$K)</f>
        <v>0</v>
      </c>
      <c r="O98" s="198" t="n">
        <f aca="false">SUMIF('statutory adj_2026 조정분개'!$S:$S,$D98,'statutory adj_2026 조정분개'!$L:$L)</f>
        <v>0</v>
      </c>
      <c r="P98" s="196" t="n">
        <f aca="false">M98+N98-O98</f>
        <v>-13141943761</v>
      </c>
      <c r="Q98" s="199" t="n">
        <f aca="false">IFERROR(VLOOKUP(VALUE($D98),BSPL2026!$B:$Q,16,FALSE()),0)</f>
        <v>0</v>
      </c>
      <c r="R98" s="200" t="s">
        <v>496</v>
      </c>
      <c r="S98" s="162" t="str">
        <f aca="false">IFERROR(VLOOKUP(VALUE($D98),BSPL2026!$B:$M,12,FALSE()),"")</f>
        <v>미지급비용</v>
      </c>
      <c r="T98" s="162" t="str">
        <f aca="false">IF(OR(S98="",S98=0,LEFT(S98,5)="(원본오류"),"",IF(S98=H98,"","매핑차이"))</f>
        <v/>
      </c>
    </row>
    <row r="99" customFormat="false" ht="16.5" hidden="true" customHeight="false" outlineLevel="0" collapsed="false">
      <c r="D99" s="190" t="s">
        <v>718</v>
      </c>
      <c r="E99" s="191" t="s">
        <v>719</v>
      </c>
      <c r="F99" s="192" t="s">
        <v>493</v>
      </c>
      <c r="G99" s="193" t="s">
        <v>157</v>
      </c>
      <c r="H99" s="194" t="s">
        <v>171</v>
      </c>
      <c r="I99" s="195" t="s">
        <v>719</v>
      </c>
      <c r="J99" s="196" t="n">
        <f aca="false">IFERROR(VLOOKUP(VALUE($D99),BSPL2026!$B:$Z,25,FALSE()),0)</f>
        <v>-1794368419</v>
      </c>
      <c r="K99" s="197"/>
      <c r="L99" s="198"/>
      <c r="M99" s="196" t="n">
        <f aca="false">J99+K99-L99</f>
        <v>-1794368419</v>
      </c>
      <c r="N99" s="197" t="n">
        <f aca="false">SUMIF('statutory adj_2026 조정분개'!$S:$S,$D99,'statutory adj_2026 조정분개'!$K:$K)</f>
        <v>0</v>
      </c>
      <c r="O99" s="198" t="n">
        <f aca="false">SUMIF('statutory adj_2026 조정분개'!$S:$S,$D99,'statutory adj_2026 조정분개'!$L:$L)</f>
        <v>0</v>
      </c>
      <c r="P99" s="196" t="n">
        <f aca="false">M99+N99-O99</f>
        <v>-1794368419</v>
      </c>
      <c r="Q99" s="199" t="n">
        <f aca="false">IFERROR(VLOOKUP(VALUE($D99),BSPL2026!$B:$Q,16,FALSE()),0)</f>
        <v>-210450356</v>
      </c>
      <c r="R99" s="200" t="s">
        <v>496</v>
      </c>
      <c r="S99" s="162" t="str">
        <f aca="false">IFERROR(VLOOKUP(VALUE($D99),BSPL2026!$B:$M,12,FALSE()),"")</f>
        <v>미지급비용</v>
      </c>
      <c r="T99" s="162" t="str">
        <f aca="false">IF(OR(S99="",S99=0,LEFT(S99,5)="(원본오류"),"",IF(S99=H99,"","매핑차이"))</f>
        <v/>
      </c>
    </row>
    <row r="100" customFormat="false" ht="16.5" hidden="true" customHeight="false" outlineLevel="0" collapsed="false">
      <c r="D100" s="190" t="s">
        <v>720</v>
      </c>
      <c r="E100" s="191" t="s">
        <v>721</v>
      </c>
      <c r="F100" s="192" t="s">
        <v>493</v>
      </c>
      <c r="G100" s="193" t="s">
        <v>157</v>
      </c>
      <c r="H100" s="194" t="s">
        <v>161</v>
      </c>
      <c r="I100" s="195" t="s">
        <v>721</v>
      </c>
      <c r="J100" s="196" t="n">
        <f aca="false">IFERROR(VLOOKUP(VALUE($D100),BSPL2026!$B:$Z,25,FALSE()),0)</f>
        <v>-8609260</v>
      </c>
      <c r="K100" s="197"/>
      <c r="L100" s="198"/>
      <c r="M100" s="196" t="n">
        <f aca="false">J100+K100-L100</f>
        <v>-8609260</v>
      </c>
      <c r="N100" s="197" t="n">
        <f aca="false">SUMIF('statutory adj_2026 조정분개'!$S:$S,$D100,'statutory adj_2026 조정분개'!$K:$K)</f>
        <v>0</v>
      </c>
      <c r="O100" s="198" t="n">
        <f aca="false">SUMIF('statutory adj_2026 조정분개'!$S:$S,$D100,'statutory adj_2026 조정분개'!$L:$L)</f>
        <v>0</v>
      </c>
      <c r="P100" s="196" t="n">
        <f aca="false">M100+N100-O100</f>
        <v>-8609260</v>
      </c>
      <c r="Q100" s="199" t="n">
        <f aca="false">IFERROR(VLOOKUP(VALUE($D100),BSPL2026!$B:$Q,16,FALSE()),0)</f>
        <v>0</v>
      </c>
      <c r="R100" s="200" t="s">
        <v>496</v>
      </c>
      <c r="S100" s="162" t="str">
        <f aca="false">IFERROR(VLOOKUP(VALUE($D100),BSPL2026!$B:$M,12,FALSE()),"")</f>
        <v>매입채무</v>
      </c>
      <c r="T100" s="162" t="str">
        <f aca="false">IF(OR(S100="",S100=0,LEFT(S100,5)="(원본오류"),"",IF(S100=H100,"","매핑차이"))</f>
        <v/>
      </c>
    </row>
    <row r="101" customFormat="false" ht="16.5" hidden="true" customHeight="false" outlineLevel="0" collapsed="false">
      <c r="D101" s="190" t="s">
        <v>722</v>
      </c>
      <c r="E101" s="191" t="s">
        <v>723</v>
      </c>
      <c r="F101" s="192" t="s">
        <v>493</v>
      </c>
      <c r="G101" s="193" t="s">
        <v>157</v>
      </c>
      <c r="H101" s="194" t="s">
        <v>161</v>
      </c>
      <c r="I101" s="195" t="s">
        <v>723</v>
      </c>
      <c r="J101" s="196" t="n">
        <f aca="false">IFERROR(VLOOKUP(VALUE($D101),BSPL2026!$B:$Z,25,FALSE()),0)</f>
        <v>-87544156013</v>
      </c>
      <c r="K101" s="197"/>
      <c r="L101" s="198"/>
      <c r="M101" s="196" t="n">
        <f aca="false">J101+K101-L101</f>
        <v>-87544156013</v>
      </c>
      <c r="N101" s="197" t="n">
        <f aca="false">SUMIF('statutory adj_2026 조정분개'!$S:$S,$D101,'statutory adj_2026 조정분개'!$K:$K)</f>
        <v>0</v>
      </c>
      <c r="O101" s="198" t="n">
        <f aca="false">SUMIF('statutory adj_2026 조정분개'!$S:$S,$D101,'statutory adj_2026 조정분개'!$L:$L)</f>
        <v>0</v>
      </c>
      <c r="P101" s="196" t="n">
        <f aca="false">M101+N101-O101</f>
        <v>-87544156013</v>
      </c>
      <c r="Q101" s="199" t="n">
        <f aca="false">IFERROR(VLOOKUP(VALUE($D101),BSPL2026!$B:$Q,16,FALSE()),0)</f>
        <v>0</v>
      </c>
      <c r="R101" s="200" t="s">
        <v>496</v>
      </c>
      <c r="S101" s="162" t="str">
        <f aca="false">IFERROR(VLOOKUP(VALUE($D101),BSPL2026!$B:$M,12,FALSE()),"")</f>
        <v>매입채무</v>
      </c>
      <c r="T101" s="162" t="str">
        <f aca="false">IF(OR(S101="",S101=0,LEFT(S101,5)="(원본오류"),"",IF(S101=H101,"","매핑차이"))</f>
        <v/>
      </c>
    </row>
    <row r="102" customFormat="false" ht="16.5" hidden="true" customHeight="false" outlineLevel="0" collapsed="false">
      <c r="D102" s="190" t="s">
        <v>724</v>
      </c>
      <c r="E102" s="191" t="s">
        <v>725</v>
      </c>
      <c r="F102" s="192" t="s">
        <v>493</v>
      </c>
      <c r="G102" s="193" t="s">
        <v>157</v>
      </c>
      <c r="H102" s="194" t="s">
        <v>161</v>
      </c>
      <c r="I102" s="195" t="s">
        <v>725</v>
      </c>
      <c r="J102" s="196" t="n">
        <f aca="false">IFERROR(VLOOKUP(VALUE($D102),BSPL2026!$B:$Z,25,FALSE()),0)</f>
        <v>0</v>
      </c>
      <c r="K102" s="197"/>
      <c r="L102" s="198"/>
      <c r="M102" s="196" t="n">
        <f aca="false">J102+K102-L102</f>
        <v>0</v>
      </c>
      <c r="N102" s="197" t="n">
        <f aca="false">SUMIF('statutory adj_2026 조정분개'!$S:$S,$D102,'statutory adj_2026 조정분개'!$K:$K)</f>
        <v>0</v>
      </c>
      <c r="O102" s="198" t="n">
        <f aca="false">SUMIF('statutory adj_2026 조정분개'!$S:$S,$D102,'statutory adj_2026 조정분개'!$L:$L)</f>
        <v>0</v>
      </c>
      <c r="P102" s="196" t="n">
        <f aca="false">M102+N102-O102</f>
        <v>0</v>
      </c>
      <c r="Q102" s="199" t="n">
        <f aca="false">IFERROR(VLOOKUP(VALUE($D102),BSPL2026!$B:$Q,16,FALSE()),0)</f>
        <v>0</v>
      </c>
      <c r="R102" s="200" t="s">
        <v>496</v>
      </c>
      <c r="S102" s="162" t="str">
        <f aca="false">IFERROR(VLOOKUP(VALUE($D102),BSPL2026!$B:$M,12,FALSE()),"")</f>
        <v>매입채무</v>
      </c>
      <c r="T102" s="162" t="str">
        <f aca="false">IF(OR(S102="",S102=0,LEFT(S102,5)="(원본오류"),"",IF(S102=H102,"","매핑차이"))</f>
        <v/>
      </c>
    </row>
    <row r="103" customFormat="false" ht="16.5" hidden="true" customHeight="false" outlineLevel="0" collapsed="false">
      <c r="D103" s="190" t="s">
        <v>726</v>
      </c>
      <c r="E103" s="191" t="s">
        <v>727</v>
      </c>
      <c r="F103" s="192" t="s">
        <v>493</v>
      </c>
      <c r="G103" s="193" t="s">
        <v>728</v>
      </c>
      <c r="H103" s="194" t="s">
        <v>728</v>
      </c>
      <c r="I103" s="195" t="s">
        <v>727</v>
      </c>
      <c r="J103" s="196" t="n">
        <f aca="false">IFERROR(VLOOKUP(VALUE($D103),BSPL2026!$B:$Z,25,FALSE()),0)</f>
        <v>17852337563</v>
      </c>
      <c r="K103" s="197"/>
      <c r="L103" s="198"/>
      <c r="M103" s="196" t="n">
        <f aca="false">J103+K103-L103</f>
        <v>17852337563</v>
      </c>
      <c r="N103" s="197" t="n">
        <f aca="false">SUMIF('statutory adj_2026 조정분개'!$S:$S,$D103,'statutory adj_2026 조정분개'!$K:$K)</f>
        <v>0</v>
      </c>
      <c r="O103" s="198" t="n">
        <f aca="false">SUMIF('statutory adj_2026 조정분개'!$S:$S,$D103,'statutory adj_2026 조정분개'!$L:$L)</f>
        <v>0</v>
      </c>
      <c r="P103" s="196" t="n">
        <f aca="false">M103+N103-O103</f>
        <v>17852337563</v>
      </c>
      <c r="Q103" s="199" t="n">
        <f aca="false">IFERROR(VLOOKUP(VALUE($D103),BSPL2026!$B:$Q,16,FALSE()),0)</f>
        <v>20691651164</v>
      </c>
      <c r="R103" s="200" t="s">
        <v>496</v>
      </c>
      <c r="S103" s="162" t="str">
        <f aca="false">IFERROR(VLOOKUP(VALUE($D103),BSPL2026!$B:$M,12,FALSE()),"")</f>
        <v>가계정</v>
      </c>
      <c r="T103" s="162" t="str">
        <f aca="false">IF(OR(S103="",S103=0,LEFT(S103,5)="(원본오류"),"",IF(S103=H103,"","매핑차이"))</f>
        <v/>
      </c>
    </row>
    <row r="104" customFormat="false" ht="16.5" hidden="true" customHeight="false" outlineLevel="0" collapsed="false">
      <c r="D104" s="190" t="s">
        <v>729</v>
      </c>
      <c r="E104" s="191" t="s">
        <v>730</v>
      </c>
      <c r="F104" s="192" t="s">
        <v>493</v>
      </c>
      <c r="G104" s="193" t="s">
        <v>494</v>
      </c>
      <c r="H104" s="194" t="s">
        <v>83</v>
      </c>
      <c r="I104" s="195" t="s">
        <v>730</v>
      </c>
      <c r="J104" s="196" t="n">
        <f aca="false">IFERROR(VLOOKUP(VALUE($D104),BSPL2026!$B:$Z,25,FALSE()),0)</f>
        <v>17852337563</v>
      </c>
      <c r="K104" s="197"/>
      <c r="L104" s="198"/>
      <c r="M104" s="196" t="n">
        <f aca="false">J104+K104-L104</f>
        <v>17852337563</v>
      </c>
      <c r="N104" s="197" t="n">
        <f aca="false">SUMIF('statutory adj_2026 조정분개'!$S:$S,$D104,'statutory adj_2026 조정분개'!$K:$K)</f>
        <v>0</v>
      </c>
      <c r="O104" s="198" t="n">
        <f aca="false">SUMIF('statutory adj_2026 조정분개'!$S:$S,$D104,'statutory adj_2026 조정분개'!$L:$L)</f>
        <v>0</v>
      </c>
      <c r="P104" s="196" t="n">
        <f aca="false">M104+N104-O104</f>
        <v>17852337563</v>
      </c>
      <c r="Q104" s="199" t="n">
        <f aca="false">IFERROR(VLOOKUP(VALUE($D104),BSPL2026!$B:$Q,16,FALSE()),0)</f>
        <v>20691651164</v>
      </c>
      <c r="R104" s="200" t="s">
        <v>496</v>
      </c>
      <c r="S104" s="162" t="str">
        <f aca="false">IFERROR(VLOOKUP(VALUE($D104),BSPL2026!$B:$M,12,FALSE()),"")</f>
        <v>미착품</v>
      </c>
      <c r="T104" s="162" t="str">
        <f aca="false">IF(OR(S104="",S104=0,LEFT(S104,5)="(원본오류"),"",IF(S104=H104,"","매핑차이"))</f>
        <v/>
      </c>
    </row>
    <row r="105" customFormat="false" ht="16.5" hidden="true" customHeight="false" outlineLevel="0" collapsed="false">
      <c r="D105" s="190" t="s">
        <v>731</v>
      </c>
      <c r="E105" s="191" t="s">
        <v>732</v>
      </c>
      <c r="F105" s="192" t="s">
        <v>493</v>
      </c>
      <c r="G105" s="193" t="s">
        <v>157</v>
      </c>
      <c r="H105" s="194" t="s">
        <v>161</v>
      </c>
      <c r="I105" s="195" t="s">
        <v>732</v>
      </c>
      <c r="J105" s="196" t="n">
        <f aca="false">IFERROR(VLOOKUP(VALUE($D105),BSPL2026!$B:$Z,25,FALSE()),0)</f>
        <v>-360236150</v>
      </c>
      <c r="K105" s="197"/>
      <c r="L105" s="198"/>
      <c r="M105" s="196" t="n">
        <f aca="false">J105+K105-L105</f>
        <v>-360236150</v>
      </c>
      <c r="N105" s="197" t="n">
        <f aca="false">SUMIF('statutory adj_2026 조정분개'!$S:$S,$D105,'statutory adj_2026 조정분개'!$K:$K)</f>
        <v>0</v>
      </c>
      <c r="O105" s="198" t="n">
        <f aca="false">SUMIF('statutory adj_2026 조정분개'!$S:$S,$D105,'statutory adj_2026 조정분개'!$L:$L)</f>
        <v>0</v>
      </c>
      <c r="P105" s="196" t="n">
        <f aca="false">M105+N105-O105</f>
        <v>-360236150</v>
      </c>
      <c r="Q105" s="199" t="n">
        <f aca="false">IFERROR(VLOOKUP(VALUE($D105),BSPL2026!$B:$Q,16,FALSE()),0)</f>
        <v>-1386404</v>
      </c>
      <c r="R105" s="200" t="s">
        <v>496</v>
      </c>
      <c r="S105" s="162" t="str">
        <f aca="false">IFERROR(VLOOKUP(VALUE($D105),BSPL2026!$B:$M,12,FALSE()),"")</f>
        <v>매입채무</v>
      </c>
      <c r="T105" s="162" t="str">
        <f aca="false">IF(OR(S105="",S105=0,LEFT(S105,5)="(원본오류"),"",IF(S105=H105,"","매핑차이"))</f>
        <v/>
      </c>
    </row>
    <row r="106" customFormat="false" ht="16.5" hidden="true" customHeight="false" outlineLevel="0" collapsed="false">
      <c r="D106" s="190" t="s">
        <v>733</v>
      </c>
      <c r="E106" s="191" t="s">
        <v>734</v>
      </c>
      <c r="F106" s="192" t="s">
        <v>493</v>
      </c>
      <c r="G106" s="193" t="s">
        <v>728</v>
      </c>
      <c r="H106" s="194" t="s">
        <v>728</v>
      </c>
      <c r="I106" s="195" t="s">
        <v>734</v>
      </c>
      <c r="J106" s="196" t="n">
        <f aca="false">IFERROR(VLOOKUP(VALUE($D106),BSPL2026!$B:$Z,25,FALSE()),0)</f>
        <v>-17492101413</v>
      </c>
      <c r="K106" s="197"/>
      <c r="L106" s="198"/>
      <c r="M106" s="196" t="n">
        <f aca="false">J106+K106-L106</f>
        <v>-17492101413</v>
      </c>
      <c r="N106" s="197" t="n">
        <f aca="false">SUMIF('statutory adj_2026 조정분개'!$S:$S,$D106,'statutory adj_2026 조정분개'!$K:$K)</f>
        <v>0</v>
      </c>
      <c r="O106" s="198" t="n">
        <f aca="false">SUMIF('statutory adj_2026 조정분개'!$S:$S,$D106,'statutory adj_2026 조정분개'!$L:$L)</f>
        <v>0</v>
      </c>
      <c r="P106" s="196" t="n">
        <f aca="false">M106+N106-O106</f>
        <v>-17492101413</v>
      </c>
      <c r="Q106" s="199" t="n">
        <f aca="false">IFERROR(VLOOKUP(VALUE($D106),BSPL2026!$B:$Q,16,FALSE()),0)</f>
        <v>-20690264760</v>
      </c>
      <c r="R106" s="200" t="s">
        <v>496</v>
      </c>
      <c r="S106" s="162" t="str">
        <f aca="false">IFERROR(VLOOKUP(VALUE($D106),BSPL2026!$B:$M,12,FALSE()),"")</f>
        <v>가계정</v>
      </c>
      <c r="T106" s="162" t="str">
        <f aca="false">IF(OR(S106="",S106=0,LEFT(S106,5)="(원본오류"),"",IF(S106=H106,"","매핑차이"))</f>
        <v/>
      </c>
    </row>
    <row r="107" customFormat="false" ht="16.5" hidden="true" customHeight="false" outlineLevel="0" collapsed="false">
      <c r="D107" s="190" t="s">
        <v>735</v>
      </c>
      <c r="E107" s="191" t="s">
        <v>736</v>
      </c>
      <c r="F107" s="192" t="s">
        <v>493</v>
      </c>
      <c r="G107" s="193" t="s">
        <v>728</v>
      </c>
      <c r="H107" s="194" t="s">
        <v>728</v>
      </c>
      <c r="I107" s="195" t="s">
        <v>736</v>
      </c>
      <c r="J107" s="196" t="n">
        <f aca="false">IFERROR(VLOOKUP(VALUE($D107),BSPL2026!$B:$Z,25,FALSE()),0)</f>
        <v>-360236150</v>
      </c>
      <c r="K107" s="197"/>
      <c r="L107" s="198"/>
      <c r="M107" s="196" t="n">
        <f aca="false">J107+K107-L107</f>
        <v>-360236150</v>
      </c>
      <c r="N107" s="197" t="n">
        <f aca="false">SUMIF('statutory adj_2026 조정분개'!$S:$S,$D107,'statutory adj_2026 조정분개'!$K:$K)</f>
        <v>0</v>
      </c>
      <c r="O107" s="198" t="n">
        <f aca="false">SUMIF('statutory adj_2026 조정분개'!$S:$S,$D107,'statutory adj_2026 조정분개'!$L:$L)</f>
        <v>0</v>
      </c>
      <c r="P107" s="196" t="n">
        <f aca="false">M107+N107-O107</f>
        <v>-360236150</v>
      </c>
      <c r="Q107" s="199" t="n">
        <f aca="false">IFERROR(VLOOKUP(VALUE($D107),BSPL2026!$B:$Q,16,FALSE()),0)</f>
        <v>-1149824</v>
      </c>
      <c r="R107" s="200" t="s">
        <v>496</v>
      </c>
      <c r="S107" s="162" t="str">
        <f aca="false">IFERROR(VLOOKUP(VALUE($D107),BSPL2026!$B:$M,12,FALSE()),"")</f>
        <v>가계정</v>
      </c>
      <c r="T107" s="162" t="str">
        <f aca="false">IF(OR(S107="",S107=0,LEFT(S107,5)="(원본오류"),"",IF(S107=H107,"","매핑차이"))</f>
        <v/>
      </c>
    </row>
    <row r="108" customFormat="false" ht="16.5" hidden="true" customHeight="false" outlineLevel="0" collapsed="false">
      <c r="D108" s="190" t="s">
        <v>737</v>
      </c>
      <c r="E108" s="191" t="s">
        <v>738</v>
      </c>
      <c r="F108" s="192" t="s">
        <v>493</v>
      </c>
      <c r="G108" s="193" t="s">
        <v>728</v>
      </c>
      <c r="H108" s="194" t="s">
        <v>728</v>
      </c>
      <c r="I108" s="195" t="s">
        <v>738</v>
      </c>
      <c r="J108" s="196" t="n">
        <f aca="false">IFERROR(VLOOKUP(VALUE($D108),BSPL2026!$B:$Z,25,FALSE()),0)</f>
        <v>-1864310651</v>
      </c>
      <c r="K108" s="197"/>
      <c r="L108" s="198"/>
      <c r="M108" s="196" t="n">
        <f aca="false">J108+K108-L108</f>
        <v>-1864310651</v>
      </c>
      <c r="N108" s="197" t="n">
        <f aca="false">SUMIF('statutory adj_2026 조정분개'!$S:$S,$D108,'statutory adj_2026 조정분개'!$K:$K)</f>
        <v>0</v>
      </c>
      <c r="O108" s="198" t="n">
        <f aca="false">SUMIF('statutory adj_2026 조정분개'!$S:$S,$D108,'statutory adj_2026 조정분개'!$L:$L)</f>
        <v>0</v>
      </c>
      <c r="P108" s="196" t="n">
        <f aca="false">M108+N108-O108</f>
        <v>-1864310651</v>
      </c>
      <c r="Q108" s="199" t="n">
        <f aca="false">IFERROR(VLOOKUP(VALUE($D108),BSPL2026!$B:$Q,16,FALSE()),0)</f>
        <v>-1871052780</v>
      </c>
      <c r="R108" s="200" t="s">
        <v>496</v>
      </c>
      <c r="S108" s="162" t="str">
        <f aca="false">IFERROR(VLOOKUP(VALUE($D108),BSPL2026!$B:$M,12,FALSE()),"")</f>
        <v>가계정</v>
      </c>
      <c r="T108" s="162" t="str">
        <f aca="false">IF(OR(S108="",S108=0,LEFT(S108,5)="(원본오류"),"",IF(S108=H108,"","매핑차이"))</f>
        <v/>
      </c>
    </row>
    <row r="109" customFormat="false" ht="16.5" hidden="true" customHeight="false" outlineLevel="0" collapsed="false">
      <c r="D109" s="190" t="s">
        <v>739</v>
      </c>
      <c r="E109" s="191" t="s">
        <v>740</v>
      </c>
      <c r="F109" s="192" t="s">
        <v>493</v>
      </c>
      <c r="G109" s="193" t="s">
        <v>494</v>
      </c>
      <c r="H109" s="194" t="s">
        <v>45</v>
      </c>
      <c r="I109" s="195" t="s">
        <v>740</v>
      </c>
      <c r="J109" s="196" t="n">
        <f aca="false">IFERROR(VLOOKUP(VALUE($D109),BSPL2026!$B:$Z,25,FALSE()),0)</f>
        <v>-65382929</v>
      </c>
      <c r="K109" s="197"/>
      <c r="L109" s="198"/>
      <c r="M109" s="196" t="n">
        <f aca="false">J109+K109-L109</f>
        <v>-65382929</v>
      </c>
      <c r="N109" s="197" t="n">
        <f aca="false">SUMIF('statutory adj_2026 조정분개'!$S:$S,$D109,'statutory adj_2026 조정분개'!$K:$K)</f>
        <v>0</v>
      </c>
      <c r="O109" s="198" t="n">
        <f aca="false">SUMIF('statutory adj_2026 조정분개'!$S:$S,$D109,'statutory adj_2026 조정분개'!$L:$L)</f>
        <v>0</v>
      </c>
      <c r="P109" s="196" t="n">
        <f aca="false">M109+N109-O109</f>
        <v>-65382929</v>
      </c>
      <c r="Q109" s="199" t="n">
        <f aca="false">IFERROR(VLOOKUP(VALUE($D109),BSPL2026!$B:$Q,16,FALSE()),0)</f>
        <v>46265404</v>
      </c>
      <c r="R109" s="200" t="s">
        <v>496</v>
      </c>
      <c r="S109" s="162" t="str">
        <f aca="false">IFERROR(VLOOKUP(VALUE($D109),BSPL2026!$B:$M,12,FALSE()),"")</f>
        <v>선급금</v>
      </c>
      <c r="T109" s="162" t="str">
        <f aca="false">IF(OR(S109="",S109=0,LEFT(S109,5)="(원본오류"),"",IF(S109=H109,"","매핑차이"))</f>
        <v/>
      </c>
    </row>
    <row r="110" customFormat="false" ht="16.5" hidden="true" customHeight="false" outlineLevel="0" collapsed="false">
      <c r="D110" s="190" t="s">
        <v>741</v>
      </c>
      <c r="E110" s="191" t="s">
        <v>742</v>
      </c>
      <c r="F110" s="192" t="s">
        <v>493</v>
      </c>
      <c r="G110" s="193" t="s">
        <v>157</v>
      </c>
      <c r="H110" s="194" t="s">
        <v>165</v>
      </c>
      <c r="I110" s="195" t="s">
        <v>742</v>
      </c>
      <c r="J110" s="196" t="n">
        <f aca="false">IFERROR(VLOOKUP(VALUE($D110),BSPL2026!$B:$Z,25,FALSE()),0)</f>
        <v>-1798927722</v>
      </c>
      <c r="K110" s="197"/>
      <c r="L110" s="198"/>
      <c r="M110" s="196" t="n">
        <f aca="false">J110+K110-L110</f>
        <v>-1798927722</v>
      </c>
      <c r="N110" s="197" t="n">
        <f aca="false">SUMIF('statutory adj_2026 조정분개'!$S:$S,$D110,'statutory adj_2026 조정분개'!$K:$K)</f>
        <v>0</v>
      </c>
      <c r="O110" s="198" t="n">
        <f aca="false">SUMIF('statutory adj_2026 조정분개'!$S:$S,$D110,'statutory adj_2026 조정분개'!$L:$L)</f>
        <v>0</v>
      </c>
      <c r="P110" s="196" t="n">
        <f aca="false">M110+N110-O110</f>
        <v>-1798927722</v>
      </c>
      <c r="Q110" s="199" t="n">
        <f aca="false">IFERROR(VLOOKUP(VALUE($D110),BSPL2026!$B:$Q,16,FALSE()),0)</f>
        <v>-1917318184</v>
      </c>
      <c r="R110" s="200" t="s">
        <v>496</v>
      </c>
      <c r="S110" s="162" t="str">
        <f aca="false">IFERROR(VLOOKUP(VALUE($D110),BSPL2026!$B:$M,12,FALSE()),"")</f>
        <v>미지급금</v>
      </c>
      <c r="T110" s="162" t="str">
        <f aca="false">IF(OR(S110="",S110=0,LEFT(S110,5)="(원본오류"),"",IF(S110=H110,"","매핑차이"))</f>
        <v/>
      </c>
    </row>
    <row r="111" customFormat="false" ht="16.5" hidden="true" customHeight="false" outlineLevel="0" collapsed="false">
      <c r="D111" s="190" t="s">
        <v>743</v>
      </c>
      <c r="E111" s="191" t="s">
        <v>744</v>
      </c>
      <c r="F111" s="192" t="s">
        <v>493</v>
      </c>
      <c r="G111" s="193" t="s">
        <v>728</v>
      </c>
      <c r="H111" s="194" t="s">
        <v>728</v>
      </c>
      <c r="I111" s="195" t="s">
        <v>744</v>
      </c>
      <c r="J111" s="196" t="n">
        <f aca="false">IFERROR(VLOOKUP(VALUE($D111),BSPL2026!$B:$Z,25,FALSE()),0)</f>
        <v>1864310651</v>
      </c>
      <c r="K111" s="197"/>
      <c r="L111" s="198"/>
      <c r="M111" s="196" t="n">
        <f aca="false">J111+K111-L111</f>
        <v>1864310651</v>
      </c>
      <c r="N111" s="197" t="n">
        <f aca="false">SUMIF('statutory adj_2026 조정분개'!$S:$S,$D111,'statutory adj_2026 조정분개'!$K:$K)</f>
        <v>0</v>
      </c>
      <c r="O111" s="198" t="n">
        <f aca="false">SUMIF('statutory adj_2026 조정분개'!$S:$S,$D111,'statutory adj_2026 조정분개'!$L:$L)</f>
        <v>0</v>
      </c>
      <c r="P111" s="196" t="n">
        <f aca="false">M111+N111-O111</f>
        <v>1864310651</v>
      </c>
      <c r="Q111" s="199" t="n">
        <f aca="false">IFERROR(VLOOKUP(VALUE($D111),BSPL2026!$B:$Q,16,FALSE()),0)</f>
        <v>1871052780</v>
      </c>
      <c r="R111" s="200" t="s">
        <v>496</v>
      </c>
      <c r="S111" s="162" t="str">
        <f aca="false">IFERROR(VLOOKUP(VALUE($D111),BSPL2026!$B:$M,12,FALSE()),"")</f>
        <v>가계정</v>
      </c>
      <c r="T111" s="162" t="str">
        <f aca="false">IF(OR(S111="",S111=0,LEFT(S111,5)="(원본오류"),"",IF(S111=H111,"","매핑차이"))</f>
        <v/>
      </c>
    </row>
    <row r="112" customFormat="false" ht="16.5" hidden="true" customHeight="false" outlineLevel="0" collapsed="false">
      <c r="D112" s="190" t="s">
        <v>745</v>
      </c>
      <c r="E112" s="191" t="s">
        <v>746</v>
      </c>
      <c r="F112" s="192" t="s">
        <v>493</v>
      </c>
      <c r="G112" s="193" t="s">
        <v>728</v>
      </c>
      <c r="H112" s="194" t="s">
        <v>728</v>
      </c>
      <c r="I112" s="195" t="s">
        <v>746</v>
      </c>
      <c r="J112" s="196" t="n">
        <f aca="false">IFERROR(VLOOKUP(VALUE($D112),BSPL2026!$B:$Z,25,FALSE()),0)</f>
        <v>0</v>
      </c>
      <c r="K112" s="197"/>
      <c r="L112" s="198"/>
      <c r="M112" s="196" t="n">
        <f aca="false">J112+K112-L112</f>
        <v>0</v>
      </c>
      <c r="N112" s="197" t="n">
        <f aca="false">SUMIF('statutory adj_2026 조정분개'!$S:$S,$D112,'statutory adj_2026 조정분개'!$K:$K)</f>
        <v>0</v>
      </c>
      <c r="O112" s="198" t="n">
        <f aca="false">SUMIF('statutory adj_2026 조정분개'!$S:$S,$D112,'statutory adj_2026 조정분개'!$L:$L)</f>
        <v>0</v>
      </c>
      <c r="P112" s="196" t="n">
        <f aca="false">M112+N112-O112</f>
        <v>0</v>
      </c>
      <c r="Q112" s="199" t="n">
        <f aca="false">IFERROR(VLOOKUP(VALUE($D112),BSPL2026!$B:$Q,16,FALSE()),0)</f>
        <v>-236580</v>
      </c>
      <c r="R112" s="200" t="s">
        <v>496</v>
      </c>
      <c r="S112" s="162" t="str">
        <f aca="false">IFERROR(VLOOKUP(VALUE($D112),BSPL2026!$B:$M,12,FALSE()),"")</f>
        <v>가계정</v>
      </c>
      <c r="T112" s="162" t="str">
        <f aca="false">IF(OR(S112="",S112=0,LEFT(S112,5)="(원본오류"),"",IF(S112=H112,"","매핑차이"))</f>
        <v/>
      </c>
    </row>
    <row r="113" customFormat="false" ht="16.5" hidden="true" customHeight="false" outlineLevel="0" collapsed="false">
      <c r="D113" s="190" t="s">
        <v>747</v>
      </c>
      <c r="E113" s="191" t="s">
        <v>748</v>
      </c>
      <c r="F113" s="192" t="s">
        <v>493</v>
      </c>
      <c r="G113" s="193" t="s">
        <v>494</v>
      </c>
      <c r="H113" s="194" t="s">
        <v>83</v>
      </c>
      <c r="I113" s="195" t="s">
        <v>749</v>
      </c>
      <c r="J113" s="196" t="n">
        <f aca="false">IFERROR(VLOOKUP(VALUE($D113),BSPL2026!$B:$Z,25,FALSE()),0)</f>
        <v>-17908151541</v>
      </c>
      <c r="K113" s="197"/>
      <c r="L113" s="198"/>
      <c r="M113" s="196" t="n">
        <f aca="false">J113+K113-L113</f>
        <v>-17908151541</v>
      </c>
      <c r="N113" s="197" t="n">
        <f aca="false">SUMIF('statutory adj_2026 조정분개'!$S:$S,$D113,'statutory adj_2026 조정분개'!$K:$K)</f>
        <v>0</v>
      </c>
      <c r="O113" s="198" t="n">
        <f aca="false">SUMIF('statutory adj_2026 조정분개'!$S:$S,$D113,'statutory adj_2026 조정분개'!$L:$L)</f>
        <v>0</v>
      </c>
      <c r="P113" s="196" t="n">
        <f aca="false">M113+N113-O113</f>
        <v>-17908151541</v>
      </c>
      <c r="Q113" s="199" t="n">
        <f aca="false">IFERROR(VLOOKUP(VALUE($D113),BSPL2026!$B:$Q,16,FALSE()),0)</f>
        <v>-20691651164</v>
      </c>
      <c r="R113" s="200" t="s">
        <v>496</v>
      </c>
      <c r="S113" s="162" t="str">
        <f aca="false">IFERROR(VLOOKUP(VALUE($D113),BSPL2026!$B:$M,12,FALSE()),"")</f>
        <v>미착품</v>
      </c>
      <c r="T113" s="162" t="str">
        <f aca="false">IF(OR(S113="",S113=0,LEFT(S113,5)="(원본오류"),"",IF(S113=H113,"","매핑차이"))</f>
        <v/>
      </c>
    </row>
    <row r="114" customFormat="false" ht="16.5" hidden="true" customHeight="false" outlineLevel="0" collapsed="false">
      <c r="D114" s="190" t="s">
        <v>750</v>
      </c>
      <c r="E114" s="191" t="s">
        <v>751</v>
      </c>
      <c r="F114" s="192" t="s">
        <v>493</v>
      </c>
      <c r="G114" s="193" t="s">
        <v>494</v>
      </c>
      <c r="H114" s="194" t="s">
        <v>83</v>
      </c>
      <c r="I114" s="195" t="s">
        <v>751</v>
      </c>
      <c r="J114" s="196" t="n">
        <f aca="false">IFERROR(VLOOKUP(VALUE($D114),BSPL2026!$B:$Z,25,FALSE()),0)</f>
        <v>0</v>
      </c>
      <c r="K114" s="197"/>
      <c r="L114" s="198"/>
      <c r="M114" s="196" t="n">
        <f aca="false">J114+K114-L114</f>
        <v>0</v>
      </c>
      <c r="N114" s="197" t="n">
        <f aca="false">SUMIF('statutory adj_2026 조정분개'!$S:$S,$D114,'statutory adj_2026 조정분개'!$K:$K)</f>
        <v>0</v>
      </c>
      <c r="O114" s="198" t="n">
        <f aca="false">SUMIF('statutory adj_2026 조정분개'!$S:$S,$D114,'statutory adj_2026 조정분개'!$L:$L)</f>
        <v>0</v>
      </c>
      <c r="P114" s="196" t="n">
        <f aca="false">M114+N114-O114</f>
        <v>0</v>
      </c>
      <c r="Q114" s="199" t="n">
        <f aca="false">IFERROR(VLOOKUP(VALUE($D114),BSPL2026!$B:$Q,16,FALSE()),0)</f>
        <v>0</v>
      </c>
      <c r="R114" s="200" t="s">
        <v>496</v>
      </c>
      <c r="S114" s="162" t="str">
        <f aca="false">IFERROR(VLOOKUP(VALUE($D114),BSPL2026!$B:$M,12,FALSE()),"")</f>
        <v>미착품</v>
      </c>
      <c r="T114" s="162" t="str">
        <f aca="false">IF(OR(S114="",S114=0,LEFT(S114,5)="(원본오류"),"",IF(S114=H114,"","매핑차이"))</f>
        <v/>
      </c>
    </row>
    <row r="115" customFormat="false" ht="16.5" hidden="true" customHeight="false" outlineLevel="0" collapsed="false">
      <c r="D115" s="190" t="s">
        <v>752</v>
      </c>
      <c r="E115" s="191" t="s">
        <v>753</v>
      </c>
      <c r="F115" s="192" t="s">
        <v>493</v>
      </c>
      <c r="G115" s="193" t="s">
        <v>157</v>
      </c>
      <c r="H115" s="194" t="s">
        <v>161</v>
      </c>
      <c r="I115" s="195" t="s">
        <v>753</v>
      </c>
      <c r="J115" s="196" t="n">
        <f aca="false">IFERROR(VLOOKUP(VALUE($D115),BSPL2026!$B:$Z,25,FALSE()),0)</f>
        <v>0</v>
      </c>
      <c r="K115" s="197"/>
      <c r="L115" s="198"/>
      <c r="M115" s="196" t="n">
        <f aca="false">J115+K115-L115</f>
        <v>0</v>
      </c>
      <c r="N115" s="197" t="n">
        <f aca="false">SUMIF('statutory adj_2026 조정분개'!$S:$S,$D115,'statutory adj_2026 조정분개'!$K:$K)</f>
        <v>0</v>
      </c>
      <c r="O115" s="198" t="n">
        <f aca="false">SUMIF('statutory adj_2026 조정분개'!$S:$S,$D115,'statutory adj_2026 조정분개'!$L:$L)</f>
        <v>0</v>
      </c>
      <c r="P115" s="196" t="n">
        <f aca="false">M115+N115-O115</f>
        <v>0</v>
      </c>
      <c r="Q115" s="199" t="n">
        <f aca="false">IFERROR(VLOOKUP(VALUE($D115),BSPL2026!$B:$Q,16,FALSE()),0)</f>
        <v>0</v>
      </c>
      <c r="R115" s="200" t="s">
        <v>496</v>
      </c>
      <c r="S115" s="162" t="str">
        <f aca="false">IFERROR(VLOOKUP(VALUE($D115),BSPL2026!$B:$M,12,FALSE()),"")</f>
        <v>매입채무</v>
      </c>
      <c r="T115" s="162" t="str">
        <f aca="false">IF(OR(S115="",S115=0,LEFT(S115,5)="(원본오류"),"",IF(S115=H115,"","매핑차이"))</f>
        <v/>
      </c>
    </row>
    <row r="116" customFormat="false" ht="16.5" hidden="true" customHeight="false" outlineLevel="0" collapsed="false">
      <c r="D116" s="190" t="s">
        <v>754</v>
      </c>
      <c r="E116" s="191" t="s">
        <v>755</v>
      </c>
      <c r="F116" s="192" t="s">
        <v>493</v>
      </c>
      <c r="G116" s="193" t="s">
        <v>157</v>
      </c>
      <c r="H116" s="194" t="s">
        <v>171</v>
      </c>
      <c r="I116" s="195" t="s">
        <v>755</v>
      </c>
      <c r="J116" s="196" t="n">
        <f aca="false">IFERROR(VLOOKUP(VALUE($D116),BSPL2026!$B:$Z,25,FALSE()),0)</f>
        <v>0</v>
      </c>
      <c r="K116" s="197"/>
      <c r="L116" s="198"/>
      <c r="M116" s="196" t="n">
        <f aca="false">J116+K116-L116</f>
        <v>0</v>
      </c>
      <c r="N116" s="197" t="n">
        <f aca="false">SUMIF('statutory adj_2026 조정분개'!$S:$S,$D116,'statutory adj_2026 조정분개'!$K:$K)</f>
        <v>0</v>
      </c>
      <c r="O116" s="198" t="n">
        <f aca="false">SUMIF('statutory adj_2026 조정분개'!$S:$S,$D116,'statutory adj_2026 조정분개'!$L:$L)</f>
        <v>0</v>
      </c>
      <c r="P116" s="196" t="n">
        <f aca="false">M116+N116-O116</f>
        <v>0</v>
      </c>
      <c r="Q116" s="199" t="n">
        <f aca="false">IFERROR(VLOOKUP(VALUE($D116),BSPL2026!$B:$Q,16,FALSE()),0)</f>
        <v>-213282707</v>
      </c>
      <c r="R116" s="200" t="s">
        <v>496</v>
      </c>
      <c r="S116" s="162" t="str">
        <f aca="false">IFERROR(VLOOKUP(VALUE($D116),BSPL2026!$B:$M,12,FALSE()),"")</f>
        <v>미지급비용</v>
      </c>
      <c r="T116" s="162" t="str">
        <f aca="false">IF(OR(S116="",S116=0,LEFT(S116,5)="(원본오류"),"",IF(S116=H116,"","매핑차이"))</f>
        <v/>
      </c>
    </row>
    <row r="117" customFormat="false" ht="16.5" hidden="true" customHeight="false" outlineLevel="0" collapsed="false">
      <c r="D117" s="190" t="s">
        <v>756</v>
      </c>
      <c r="E117" s="191" t="s">
        <v>757</v>
      </c>
      <c r="F117" s="192" t="s">
        <v>493</v>
      </c>
      <c r="G117" s="193" t="s">
        <v>157</v>
      </c>
      <c r="H117" s="194" t="s">
        <v>165</v>
      </c>
      <c r="I117" s="195" t="s">
        <v>757</v>
      </c>
      <c r="J117" s="196" t="n">
        <f aca="false">IFERROR(VLOOKUP(VALUE($D117),BSPL2026!$B:$Z,25,FALSE()),0)</f>
        <v>0</v>
      </c>
      <c r="K117" s="197"/>
      <c r="L117" s="198"/>
      <c r="M117" s="196" t="n">
        <f aca="false">J117+K117-L117</f>
        <v>0</v>
      </c>
      <c r="N117" s="197" t="n">
        <f aca="false">SUMIF('statutory adj_2026 조정분개'!$S:$S,$D117,'statutory adj_2026 조정분개'!$K:$K)</f>
        <v>0</v>
      </c>
      <c r="O117" s="198" t="n">
        <f aca="false">SUMIF('statutory adj_2026 조정분개'!$S:$S,$D117,'statutory adj_2026 조정분개'!$L:$L)</f>
        <v>0</v>
      </c>
      <c r="P117" s="196" t="n">
        <f aca="false">M117+N117-O117</f>
        <v>0</v>
      </c>
      <c r="Q117" s="199" t="n">
        <f aca="false">IFERROR(VLOOKUP(VALUE($D117),BSPL2026!$B:$Q,16,FALSE()),0)</f>
        <v>0</v>
      </c>
      <c r="R117" s="200" t="s">
        <v>496</v>
      </c>
      <c r="S117" s="162" t="str">
        <f aca="false">IFERROR(VLOOKUP(VALUE($D117),BSPL2026!$B:$M,12,FALSE()),"")</f>
        <v>(원본오류 N/A)</v>
      </c>
      <c r="T117" s="162" t="str">
        <f aca="false">IF(OR(S117="",S117=0,LEFT(S117,5)="(원본오류"),"",IF(S117=H117,"","매핑차이"))</f>
        <v/>
      </c>
    </row>
    <row r="118" customFormat="false" ht="16.5" hidden="true" customHeight="false" outlineLevel="0" collapsed="false">
      <c r="D118" s="190" t="s">
        <v>758</v>
      </c>
      <c r="E118" s="191" t="s">
        <v>759</v>
      </c>
      <c r="F118" s="192" t="s">
        <v>493</v>
      </c>
      <c r="G118" s="193" t="s">
        <v>157</v>
      </c>
      <c r="H118" s="194" t="s">
        <v>165</v>
      </c>
      <c r="I118" s="195" t="s">
        <v>759</v>
      </c>
      <c r="J118" s="196" t="n">
        <f aca="false">IFERROR(VLOOKUP(VALUE($D118),BSPL2026!$B:$Z,25,FALSE()),0)</f>
        <v>-17491972</v>
      </c>
      <c r="K118" s="197"/>
      <c r="L118" s="198"/>
      <c r="M118" s="196" t="n">
        <f aca="false">J118+K118-L118</f>
        <v>-17491972</v>
      </c>
      <c r="N118" s="197" t="n">
        <f aca="false">SUMIF('statutory adj_2026 조정분개'!$S:$S,$D118,'statutory adj_2026 조정분개'!$K:$K)</f>
        <v>0</v>
      </c>
      <c r="O118" s="198" t="n">
        <f aca="false">SUMIF('statutory adj_2026 조정분개'!$S:$S,$D118,'statutory adj_2026 조정분개'!$L:$L)</f>
        <v>0</v>
      </c>
      <c r="P118" s="196" t="n">
        <f aca="false">M118+N118-O118</f>
        <v>-17491972</v>
      </c>
      <c r="Q118" s="199" t="n">
        <f aca="false">IFERROR(VLOOKUP(VALUE($D118),BSPL2026!$B:$Q,16,FALSE()),0)</f>
        <v>-26726065</v>
      </c>
      <c r="R118" s="200" t="s">
        <v>496</v>
      </c>
      <c r="S118" s="162" t="str">
        <f aca="false">IFERROR(VLOOKUP(VALUE($D118),BSPL2026!$B:$M,12,FALSE()),"")</f>
        <v>미지급금</v>
      </c>
      <c r="T118" s="162" t="str">
        <f aca="false">IF(OR(S118="",S118=0,LEFT(S118,5)="(원본오류"),"",IF(S118=H118,"","매핑차이"))</f>
        <v/>
      </c>
    </row>
    <row r="119" customFormat="false" ht="16.5" hidden="true" customHeight="false" outlineLevel="0" collapsed="false">
      <c r="D119" s="190" t="s">
        <v>760</v>
      </c>
      <c r="E119" s="191" t="s">
        <v>761</v>
      </c>
      <c r="F119" s="192" t="s">
        <v>493</v>
      </c>
      <c r="G119" s="193" t="s">
        <v>157</v>
      </c>
      <c r="H119" s="194" t="s">
        <v>165</v>
      </c>
      <c r="I119" s="195" t="s">
        <v>761</v>
      </c>
      <c r="J119" s="196" t="n">
        <f aca="false">IFERROR(VLOOKUP(VALUE($D119),BSPL2026!$B:$Z,25,FALSE()),0)</f>
        <v>0</v>
      </c>
      <c r="K119" s="197"/>
      <c r="L119" s="198"/>
      <c r="M119" s="196" t="n">
        <f aca="false">J119+K119-L119</f>
        <v>0</v>
      </c>
      <c r="N119" s="197" t="n">
        <f aca="false">SUMIF('statutory adj_2026 조정분개'!$S:$S,$D119,'statutory adj_2026 조정분개'!$K:$K)</f>
        <v>0</v>
      </c>
      <c r="O119" s="198" t="n">
        <f aca="false">SUMIF('statutory adj_2026 조정분개'!$S:$S,$D119,'statutory adj_2026 조정분개'!$L:$L)</f>
        <v>0</v>
      </c>
      <c r="P119" s="196" t="n">
        <f aca="false">M119+N119-O119</f>
        <v>0</v>
      </c>
      <c r="Q119" s="199" t="n">
        <f aca="false">IFERROR(VLOOKUP(VALUE($D119),BSPL2026!$B:$Q,16,FALSE()),0)</f>
        <v>0</v>
      </c>
      <c r="R119" s="200" t="s">
        <v>496</v>
      </c>
      <c r="S119" s="162" t="str">
        <f aca="false">IFERROR(VLOOKUP(VALUE($D119),BSPL2026!$B:$M,12,FALSE()),"")</f>
        <v>(원본오류 N/A)</v>
      </c>
      <c r="T119" s="162" t="str">
        <f aca="false">IF(OR(S119="",S119=0,LEFT(S119,5)="(원본오류"),"",IF(S119=H119,"","매핑차이"))</f>
        <v/>
      </c>
    </row>
    <row r="120" customFormat="false" ht="16.5" hidden="true" customHeight="false" outlineLevel="0" collapsed="false">
      <c r="D120" s="190" t="s">
        <v>762</v>
      </c>
      <c r="E120" s="191" t="s">
        <v>763</v>
      </c>
      <c r="F120" s="192" t="s">
        <v>493</v>
      </c>
      <c r="G120" s="193" t="s">
        <v>157</v>
      </c>
      <c r="H120" s="194" t="s">
        <v>165</v>
      </c>
      <c r="I120" s="195" t="s">
        <v>763</v>
      </c>
      <c r="J120" s="196" t="n">
        <f aca="false">IFERROR(VLOOKUP(VALUE($D120),BSPL2026!$B:$Z,25,FALSE()),0)</f>
        <v>-2484939960</v>
      </c>
      <c r="K120" s="197"/>
      <c r="L120" s="198"/>
      <c r="M120" s="196" t="n">
        <f aca="false">J120+K120-L120</f>
        <v>-2484939960</v>
      </c>
      <c r="N120" s="197" t="n">
        <f aca="false">SUMIF('statutory adj_2026 조정분개'!$S:$S,$D120,'statutory adj_2026 조정분개'!$K:$K)</f>
        <v>0</v>
      </c>
      <c r="O120" s="198" t="n">
        <f aca="false">SUMIF('statutory adj_2026 조정분개'!$S:$S,$D120,'statutory adj_2026 조정분개'!$L:$L)</f>
        <v>0</v>
      </c>
      <c r="P120" s="196" t="n">
        <f aca="false">M120+N120-O120</f>
        <v>-2484939960</v>
      </c>
      <c r="Q120" s="199" t="n">
        <f aca="false">IFERROR(VLOOKUP(VALUE($D120),BSPL2026!$B:$Q,16,FALSE()),0)</f>
        <v>-410271</v>
      </c>
      <c r="R120" s="200" t="s">
        <v>496</v>
      </c>
      <c r="S120" s="162" t="str">
        <f aca="false">IFERROR(VLOOKUP(VALUE($D120),BSPL2026!$B:$M,12,FALSE()),"")</f>
        <v>미지급금</v>
      </c>
      <c r="T120" s="162" t="str">
        <f aca="false">IF(OR(S120="",S120=0,LEFT(S120,5)="(원본오류"),"",IF(S120=H120,"","매핑차이"))</f>
        <v/>
      </c>
    </row>
    <row r="121" customFormat="false" ht="16.5" hidden="true" customHeight="false" outlineLevel="0" collapsed="false">
      <c r="D121" s="190" t="s">
        <v>764</v>
      </c>
      <c r="E121" s="191" t="s">
        <v>765</v>
      </c>
      <c r="F121" s="192" t="s">
        <v>493</v>
      </c>
      <c r="G121" s="193" t="s">
        <v>157</v>
      </c>
      <c r="H121" s="194" t="s">
        <v>171</v>
      </c>
      <c r="I121" s="195" t="s">
        <v>765</v>
      </c>
      <c r="J121" s="196" t="n">
        <f aca="false">IFERROR(VLOOKUP(VALUE($D121),BSPL2026!$B:$Z,25,FALSE()),0)</f>
        <v>0</v>
      </c>
      <c r="K121" s="197"/>
      <c r="L121" s="198"/>
      <c r="M121" s="196" t="n">
        <f aca="false">J121+K121-L121</f>
        <v>0</v>
      </c>
      <c r="N121" s="197" t="n">
        <f aca="false">SUMIF('statutory adj_2026 조정분개'!$S:$S,$D121,'statutory adj_2026 조정분개'!$K:$K)</f>
        <v>0</v>
      </c>
      <c r="O121" s="198" t="n">
        <f aca="false">SUMIF('statutory adj_2026 조정분개'!$S:$S,$D121,'statutory adj_2026 조정분개'!$L:$L)</f>
        <v>0</v>
      </c>
      <c r="P121" s="196" t="n">
        <f aca="false">M121+N121-O121</f>
        <v>0</v>
      </c>
      <c r="Q121" s="199" t="n">
        <f aca="false">IFERROR(VLOOKUP(VALUE($D121),BSPL2026!$B:$Q,16,FALSE()),0)</f>
        <v>0</v>
      </c>
      <c r="R121" s="200" t="s">
        <v>496</v>
      </c>
      <c r="S121" s="162" t="str">
        <f aca="false">IFERROR(VLOOKUP(VALUE($D121),BSPL2026!$B:$M,12,FALSE()),"")</f>
        <v>미지급비용</v>
      </c>
      <c r="T121" s="162" t="str">
        <f aca="false">IF(OR(S121="",S121=0,LEFT(S121,5)="(원본오류"),"",IF(S121=H121,"","매핑차이"))</f>
        <v/>
      </c>
    </row>
    <row r="122" customFormat="false" ht="16.5" hidden="true" customHeight="false" outlineLevel="0" collapsed="false">
      <c r="D122" s="190" t="s">
        <v>766</v>
      </c>
      <c r="E122" s="191" t="s">
        <v>767</v>
      </c>
      <c r="F122" s="192" t="s">
        <v>493</v>
      </c>
      <c r="G122" s="193" t="s">
        <v>157</v>
      </c>
      <c r="H122" s="194" t="s">
        <v>171</v>
      </c>
      <c r="I122" s="195" t="s">
        <v>767</v>
      </c>
      <c r="J122" s="196" t="n">
        <f aca="false">IFERROR(VLOOKUP(VALUE($D122),BSPL2026!$B:$Z,25,FALSE()),0)</f>
        <v>0</v>
      </c>
      <c r="K122" s="197"/>
      <c r="L122" s="198"/>
      <c r="M122" s="196" t="n">
        <f aca="false">J122+K122-L122</f>
        <v>0</v>
      </c>
      <c r="N122" s="197" t="n">
        <f aca="false">SUMIF('statutory adj_2026 조정분개'!$S:$S,$D122,'statutory adj_2026 조정분개'!$K:$K)</f>
        <v>0</v>
      </c>
      <c r="O122" s="198" t="n">
        <f aca="false">SUMIF('statutory adj_2026 조정분개'!$S:$S,$D122,'statutory adj_2026 조정분개'!$L:$L)</f>
        <v>0</v>
      </c>
      <c r="P122" s="196" t="n">
        <f aca="false">M122+N122-O122</f>
        <v>0</v>
      </c>
      <c r="Q122" s="199" t="n">
        <f aca="false">IFERROR(VLOOKUP(VALUE($D122),BSPL2026!$B:$Q,16,FALSE()),0)</f>
        <v>0</v>
      </c>
      <c r="R122" s="200" t="s">
        <v>496</v>
      </c>
      <c r="S122" s="162" t="str">
        <f aca="false">IFERROR(VLOOKUP(VALUE($D122),BSPL2026!$B:$M,12,FALSE()),"")</f>
        <v>미지급비용</v>
      </c>
      <c r="T122" s="162" t="str">
        <f aca="false">IF(OR(S122="",S122=0,LEFT(S122,5)="(원본오류"),"",IF(S122=H122,"","매핑차이"))</f>
        <v/>
      </c>
    </row>
    <row r="123" customFormat="false" ht="16.5" hidden="true" customHeight="false" outlineLevel="0" collapsed="false">
      <c r="D123" s="190" t="s">
        <v>768</v>
      </c>
      <c r="E123" s="191" t="s">
        <v>769</v>
      </c>
      <c r="F123" s="192" t="s">
        <v>493</v>
      </c>
      <c r="G123" s="193" t="s">
        <v>157</v>
      </c>
      <c r="H123" s="194" t="s">
        <v>171</v>
      </c>
      <c r="I123" s="195" t="s">
        <v>769</v>
      </c>
      <c r="J123" s="196" t="n">
        <f aca="false">IFERROR(VLOOKUP(VALUE($D123),BSPL2026!$B:$Z,25,FALSE()),0)</f>
        <v>-4573948770</v>
      </c>
      <c r="K123" s="197"/>
      <c r="L123" s="198"/>
      <c r="M123" s="196" t="n">
        <f aca="false">J123+K123-L123</f>
        <v>-4573948770</v>
      </c>
      <c r="N123" s="197" t="n">
        <f aca="false">SUMIF('statutory adj_2026 조정분개'!$S:$S,$D123,'statutory adj_2026 조정분개'!$K:$K)</f>
        <v>0</v>
      </c>
      <c r="O123" s="198" t="n">
        <f aca="false">SUMIF('statutory adj_2026 조정분개'!$S:$S,$D123,'statutory adj_2026 조정분개'!$L:$L)</f>
        <v>0</v>
      </c>
      <c r="P123" s="196" t="n">
        <f aca="false">M123+N123-O123</f>
        <v>-4573948770</v>
      </c>
      <c r="Q123" s="199" t="n">
        <f aca="false">IFERROR(VLOOKUP(VALUE($D123),BSPL2026!$B:$Q,16,FALSE()),0)</f>
        <v>-5865973511</v>
      </c>
      <c r="R123" s="200" t="s">
        <v>496</v>
      </c>
      <c r="S123" s="162" t="str">
        <f aca="false">IFERROR(VLOOKUP(VALUE($D123),BSPL2026!$B:$M,12,FALSE()),"")</f>
        <v>미지급비용</v>
      </c>
      <c r="T123" s="162" t="str">
        <f aca="false">IF(OR(S123="",S123=0,LEFT(S123,5)="(원본오류"),"",IF(S123=H123,"","매핑차이"))</f>
        <v/>
      </c>
    </row>
    <row r="124" customFormat="false" ht="16.5" hidden="true" customHeight="false" outlineLevel="0" collapsed="false">
      <c r="D124" s="190" t="s">
        <v>770</v>
      </c>
      <c r="E124" s="191" t="s">
        <v>771</v>
      </c>
      <c r="F124" s="192" t="s">
        <v>493</v>
      </c>
      <c r="G124" s="193" t="s">
        <v>157</v>
      </c>
      <c r="H124" s="194" t="s">
        <v>194</v>
      </c>
      <c r="I124" s="195" t="s">
        <v>772</v>
      </c>
      <c r="J124" s="196" t="n">
        <f aca="false">IFERROR(VLOOKUP(VALUE($D124),BSPL2026!$B:$Z,25,FALSE()),0)</f>
        <v>0</v>
      </c>
      <c r="K124" s="197"/>
      <c r="L124" s="198"/>
      <c r="M124" s="196" t="n">
        <f aca="false">J124+K124-L124</f>
        <v>0</v>
      </c>
      <c r="N124" s="197" t="n">
        <f aca="false">SUMIF('statutory adj_2026 조정분개'!$S:$S,$D124,'statutory adj_2026 조정분개'!$K:$K)</f>
        <v>0</v>
      </c>
      <c r="O124" s="198" t="n">
        <f aca="false">SUMIF('statutory adj_2026 조정분개'!$S:$S,$D124,'statutory adj_2026 조정분개'!$L:$L)</f>
        <v>0</v>
      </c>
      <c r="P124" s="196" t="n">
        <f aca="false">M124+N124-O124</f>
        <v>0</v>
      </c>
      <c r="Q124" s="199" t="n">
        <f aca="false">IFERROR(VLOOKUP(VALUE($D124),BSPL2026!$B:$Q,16,FALSE()),0)</f>
        <v>0</v>
      </c>
      <c r="R124" s="200" t="s">
        <v>496</v>
      </c>
      <c r="S124" s="162" t="str">
        <f aca="false">IFERROR(VLOOKUP(VALUE($D124),BSPL2026!$B:$M,12,FALSE()),"")</f>
        <v>복구충당부채</v>
      </c>
      <c r="T124" s="162" t="str">
        <f aca="false">IF(OR(S124="",S124=0,LEFT(S124,5)="(원본오류"),"",IF(S124=H124,"","매핑차이"))</f>
        <v/>
      </c>
    </row>
    <row r="125" customFormat="false" ht="16.5" hidden="true" customHeight="false" outlineLevel="0" collapsed="false">
      <c r="D125" s="190" t="s">
        <v>773</v>
      </c>
      <c r="E125" s="191" t="s">
        <v>774</v>
      </c>
      <c r="F125" s="192" t="s">
        <v>493</v>
      </c>
      <c r="G125" s="193" t="s">
        <v>157</v>
      </c>
      <c r="H125" s="194" t="s">
        <v>169</v>
      </c>
      <c r="I125" s="195" t="s">
        <v>774</v>
      </c>
      <c r="J125" s="196" t="n">
        <f aca="false">IFERROR(VLOOKUP(VALUE($D125),BSPL2026!$B:$Z,25,FALSE()),0)</f>
        <v>-608855770</v>
      </c>
      <c r="K125" s="197"/>
      <c r="L125" s="198"/>
      <c r="M125" s="196" t="n">
        <f aca="false">J125+K125-L125</f>
        <v>-608855770</v>
      </c>
      <c r="N125" s="197" t="n">
        <f aca="false">SUMIF('statutory adj_2026 조정분개'!$S:$S,$D125,'statutory adj_2026 조정분개'!$K:$K)</f>
        <v>0</v>
      </c>
      <c r="O125" s="198" t="n">
        <f aca="false">SUMIF('statutory adj_2026 조정분개'!$S:$S,$D125,'statutory adj_2026 조정분개'!$L:$L)</f>
        <v>0</v>
      </c>
      <c r="P125" s="196" t="n">
        <f aca="false">M125+N125-O125</f>
        <v>-608855770</v>
      </c>
      <c r="Q125" s="199" t="n">
        <f aca="false">IFERROR(VLOOKUP(VALUE($D125),BSPL2026!$B:$Q,16,FALSE()),0)</f>
        <v>-615989310</v>
      </c>
      <c r="R125" s="200" t="s">
        <v>496</v>
      </c>
      <c r="S125" s="162" t="str">
        <f aca="false">IFERROR(VLOOKUP(VALUE($D125),BSPL2026!$B:$M,12,FALSE()),"")</f>
        <v>예수금</v>
      </c>
      <c r="T125" s="162" t="str">
        <f aca="false">IF(OR(S125="",S125=0,LEFT(S125,5)="(원본오류"),"",IF(S125=H125,"","매핑차이"))</f>
        <v/>
      </c>
    </row>
    <row r="126" customFormat="false" ht="16.5" hidden="true" customHeight="false" outlineLevel="0" collapsed="false">
      <c r="D126" s="190" t="s">
        <v>775</v>
      </c>
      <c r="E126" s="191" t="s">
        <v>776</v>
      </c>
      <c r="F126" s="192" t="s">
        <v>493</v>
      </c>
      <c r="G126" s="193" t="s">
        <v>157</v>
      </c>
      <c r="H126" s="194" t="s">
        <v>169</v>
      </c>
      <c r="I126" s="195" t="s">
        <v>776</v>
      </c>
      <c r="J126" s="196" t="n">
        <f aca="false">IFERROR(VLOOKUP(VALUE($D126),BSPL2026!$B:$Z,25,FALSE()),0)</f>
        <v>0</v>
      </c>
      <c r="K126" s="197"/>
      <c r="L126" s="198"/>
      <c r="M126" s="196" t="n">
        <f aca="false">J126+K126-L126</f>
        <v>0</v>
      </c>
      <c r="N126" s="197" t="n">
        <f aca="false">SUMIF('statutory adj_2026 조정분개'!$S:$S,$D126,'statutory adj_2026 조정분개'!$K:$K)</f>
        <v>0</v>
      </c>
      <c r="O126" s="198" t="n">
        <f aca="false">SUMIF('statutory adj_2026 조정분개'!$S:$S,$D126,'statutory adj_2026 조정분개'!$L:$L)</f>
        <v>0</v>
      </c>
      <c r="P126" s="196" t="n">
        <f aca="false">M126+N126-O126</f>
        <v>0</v>
      </c>
      <c r="Q126" s="199" t="n">
        <f aca="false">IFERROR(VLOOKUP(VALUE($D126),BSPL2026!$B:$Q,16,FALSE()),0)</f>
        <v>0</v>
      </c>
      <c r="R126" s="200" t="s">
        <v>496</v>
      </c>
      <c r="S126" s="162" t="str">
        <f aca="false">IFERROR(VLOOKUP(VALUE($D126),BSPL2026!$B:$M,12,FALSE()),"")</f>
        <v>(원본오류 N/A)</v>
      </c>
      <c r="T126" s="162" t="str">
        <f aca="false">IF(OR(S126="",S126=0,LEFT(S126,5)="(원본오류"),"",IF(S126=H126,"","매핑차이"))</f>
        <v/>
      </c>
    </row>
    <row r="127" customFormat="false" ht="16.5" hidden="true" customHeight="false" outlineLevel="0" collapsed="false">
      <c r="D127" s="190" t="s">
        <v>777</v>
      </c>
      <c r="E127" s="191" t="s">
        <v>778</v>
      </c>
      <c r="F127" s="192" t="s">
        <v>493</v>
      </c>
      <c r="G127" s="193" t="s">
        <v>157</v>
      </c>
      <c r="H127" s="194" t="s">
        <v>169</v>
      </c>
      <c r="I127" s="195" t="s">
        <v>778</v>
      </c>
      <c r="J127" s="196" t="n">
        <f aca="false">IFERROR(VLOOKUP(VALUE($D127),BSPL2026!$B:$Z,25,FALSE()),0)</f>
        <v>0</v>
      </c>
      <c r="K127" s="197"/>
      <c r="L127" s="198"/>
      <c r="M127" s="196" t="n">
        <f aca="false">J127+K127-L127</f>
        <v>0</v>
      </c>
      <c r="N127" s="197" t="n">
        <f aca="false">SUMIF('statutory adj_2026 조정분개'!$S:$S,$D127,'statutory adj_2026 조정분개'!$K:$K)</f>
        <v>0</v>
      </c>
      <c r="O127" s="198" t="n">
        <f aca="false">SUMIF('statutory adj_2026 조정분개'!$S:$S,$D127,'statutory adj_2026 조정분개'!$L:$L)</f>
        <v>0</v>
      </c>
      <c r="P127" s="196" t="n">
        <f aca="false">M127+N127-O127</f>
        <v>0</v>
      </c>
      <c r="Q127" s="199" t="n">
        <f aca="false">IFERROR(VLOOKUP(VALUE($D127),BSPL2026!$B:$Q,16,FALSE()),0)</f>
        <v>0</v>
      </c>
      <c r="R127" s="200" t="s">
        <v>496</v>
      </c>
      <c r="S127" s="162" t="str">
        <f aca="false">IFERROR(VLOOKUP(VALUE($D127),BSPL2026!$B:$M,12,FALSE()),"")</f>
        <v>(원본오류 N/A)</v>
      </c>
      <c r="T127" s="162" t="str">
        <f aca="false">IF(OR(S127="",S127=0,LEFT(S127,5)="(원본오류"),"",IF(S127=H127,"","매핑차이"))</f>
        <v/>
      </c>
    </row>
    <row r="128" customFormat="false" ht="16.5" hidden="true" customHeight="false" outlineLevel="0" collapsed="false">
      <c r="D128" s="190" t="s">
        <v>779</v>
      </c>
      <c r="E128" s="191" t="s">
        <v>780</v>
      </c>
      <c r="F128" s="192" t="s">
        <v>493</v>
      </c>
      <c r="G128" s="193" t="s">
        <v>157</v>
      </c>
      <c r="H128" s="194" t="s">
        <v>171</v>
      </c>
      <c r="I128" s="195" t="s">
        <v>780</v>
      </c>
      <c r="J128" s="196" t="n">
        <f aca="false">IFERROR(VLOOKUP(VALUE($D128),BSPL2026!$B:$Z,25,FALSE()),0)</f>
        <v>0</v>
      </c>
      <c r="K128" s="197"/>
      <c r="L128" s="198"/>
      <c r="M128" s="196" t="n">
        <f aca="false">J128+K128-L128</f>
        <v>0</v>
      </c>
      <c r="N128" s="197" t="n">
        <f aca="false">SUMIF('statutory adj_2026 조정분개'!$S:$S,$D128,'statutory adj_2026 조정분개'!$K:$K)</f>
        <v>0</v>
      </c>
      <c r="O128" s="198" t="n">
        <f aca="false">SUMIF('statutory adj_2026 조정분개'!$S:$S,$D128,'statutory adj_2026 조정분개'!$L:$L)</f>
        <v>0</v>
      </c>
      <c r="P128" s="196" t="n">
        <f aca="false">M128+N128-O128</f>
        <v>0</v>
      </c>
      <c r="Q128" s="199" t="n">
        <f aca="false">IFERROR(VLOOKUP(VALUE($D128),BSPL2026!$B:$Q,16,FALSE()),0)</f>
        <v>0</v>
      </c>
      <c r="R128" s="200" t="s">
        <v>496</v>
      </c>
      <c r="S128" s="162" t="str">
        <f aca="false">IFERROR(VLOOKUP(VALUE($D128),BSPL2026!$B:$M,12,FALSE()),"")</f>
        <v>(원본오류 N/A)</v>
      </c>
      <c r="T128" s="162" t="str">
        <f aca="false">IF(OR(S128="",S128=0,LEFT(S128,5)="(원본오류"),"",IF(S128=H128,"","매핑차이"))</f>
        <v/>
      </c>
    </row>
    <row r="129" customFormat="false" ht="16.5" hidden="true" customHeight="false" outlineLevel="0" collapsed="false">
      <c r="D129" s="190" t="s">
        <v>781</v>
      </c>
      <c r="E129" s="191" t="s">
        <v>782</v>
      </c>
      <c r="F129" s="192" t="s">
        <v>493</v>
      </c>
      <c r="G129" s="193" t="s">
        <v>157</v>
      </c>
      <c r="H129" s="194" t="s">
        <v>171</v>
      </c>
      <c r="I129" s="195" t="s">
        <v>782</v>
      </c>
      <c r="J129" s="196" t="n">
        <f aca="false">IFERROR(VLOOKUP(VALUE($D129),BSPL2026!$B:$Z,25,FALSE()),0)</f>
        <v>0</v>
      </c>
      <c r="K129" s="197"/>
      <c r="L129" s="198"/>
      <c r="M129" s="196" t="n">
        <f aca="false">J129+K129-L129</f>
        <v>0</v>
      </c>
      <c r="N129" s="197" t="n">
        <f aca="false">SUMIF('statutory adj_2026 조정분개'!$S:$S,$D129,'statutory adj_2026 조정분개'!$K:$K)</f>
        <v>0</v>
      </c>
      <c r="O129" s="198" t="n">
        <f aca="false">SUMIF('statutory adj_2026 조정분개'!$S:$S,$D129,'statutory adj_2026 조정분개'!$L:$L)</f>
        <v>0</v>
      </c>
      <c r="P129" s="196" t="n">
        <f aca="false">M129+N129-O129</f>
        <v>0</v>
      </c>
      <c r="Q129" s="199" t="n">
        <f aca="false">IFERROR(VLOOKUP(VALUE($D129),BSPL2026!$B:$Q,16,FALSE()),0)</f>
        <v>0</v>
      </c>
      <c r="R129" s="200" t="s">
        <v>496</v>
      </c>
      <c r="S129" s="162" t="str">
        <f aca="false">IFERROR(VLOOKUP(VALUE($D129),BSPL2026!$B:$M,12,FALSE()),"")</f>
        <v>(원본오류 N/A)</v>
      </c>
      <c r="T129" s="162" t="str">
        <f aca="false">IF(OR(S129="",S129=0,LEFT(S129,5)="(원본오류"),"",IF(S129=H129,"","매핑차이"))</f>
        <v/>
      </c>
    </row>
    <row r="130" customFormat="false" ht="16.5" hidden="true" customHeight="false" outlineLevel="0" collapsed="false">
      <c r="D130" s="190" t="s">
        <v>783</v>
      </c>
      <c r="E130" s="191" t="s">
        <v>784</v>
      </c>
      <c r="F130" s="192" t="s">
        <v>493</v>
      </c>
      <c r="G130" s="193" t="s">
        <v>157</v>
      </c>
      <c r="H130" s="194" t="s">
        <v>171</v>
      </c>
      <c r="I130" s="195" t="s">
        <v>784</v>
      </c>
      <c r="J130" s="196" t="n">
        <f aca="false">IFERROR(VLOOKUP(VALUE($D130),BSPL2026!$B:$Z,25,FALSE()),0)</f>
        <v>0</v>
      </c>
      <c r="K130" s="197"/>
      <c r="L130" s="198"/>
      <c r="M130" s="196" t="n">
        <f aca="false">J130+K130-L130</f>
        <v>0</v>
      </c>
      <c r="N130" s="197" t="n">
        <f aca="false">SUMIF('statutory adj_2026 조정분개'!$S:$S,$D130,'statutory adj_2026 조정분개'!$K:$K)</f>
        <v>0</v>
      </c>
      <c r="O130" s="198" t="n">
        <f aca="false">SUMIF('statutory adj_2026 조정분개'!$S:$S,$D130,'statutory adj_2026 조정분개'!$L:$L)</f>
        <v>0</v>
      </c>
      <c r="P130" s="196" t="n">
        <f aca="false">M130+N130-O130</f>
        <v>0</v>
      </c>
      <c r="Q130" s="199" t="n">
        <f aca="false">IFERROR(VLOOKUP(VALUE($D130),BSPL2026!$B:$Q,16,FALSE()),0)</f>
        <v>0</v>
      </c>
      <c r="R130" s="200" t="s">
        <v>496</v>
      </c>
      <c r="S130" s="162" t="str">
        <f aca="false">IFERROR(VLOOKUP(VALUE($D130),BSPL2026!$B:$M,12,FALSE()),"")</f>
        <v>(원본오류 N/A)</v>
      </c>
      <c r="T130" s="162" t="str">
        <f aca="false">IF(OR(S130="",S130=0,LEFT(S130,5)="(원본오류"),"",IF(S130=H130,"","매핑차이"))</f>
        <v/>
      </c>
    </row>
    <row r="131" customFormat="false" ht="16.5" hidden="true" customHeight="false" outlineLevel="0" collapsed="false">
      <c r="D131" s="190" t="s">
        <v>785</v>
      </c>
      <c r="E131" s="191" t="s">
        <v>786</v>
      </c>
      <c r="F131" s="192" t="s">
        <v>493</v>
      </c>
      <c r="G131" s="193" t="s">
        <v>157</v>
      </c>
      <c r="H131" s="194" t="s">
        <v>169</v>
      </c>
      <c r="I131" s="195" t="s">
        <v>786</v>
      </c>
      <c r="J131" s="196" t="n">
        <f aca="false">IFERROR(VLOOKUP(VALUE($D131),BSPL2026!$B:$Z,25,FALSE()),0)</f>
        <v>-1404290230</v>
      </c>
      <c r="K131" s="197"/>
      <c r="L131" s="198"/>
      <c r="M131" s="196" t="n">
        <f aca="false">J131+K131-L131</f>
        <v>-1404290230</v>
      </c>
      <c r="N131" s="197" t="n">
        <f aca="false">SUMIF('statutory adj_2026 조정분개'!$S:$S,$D131,'statutory adj_2026 조정분개'!$K:$K)</f>
        <v>0</v>
      </c>
      <c r="O131" s="198" t="n">
        <f aca="false">SUMIF('statutory adj_2026 조정분개'!$S:$S,$D131,'statutory adj_2026 조정분개'!$L:$L)</f>
        <v>0</v>
      </c>
      <c r="P131" s="196" t="n">
        <f aca="false">M131+N131-O131</f>
        <v>-1404290230</v>
      </c>
      <c r="Q131" s="199" t="n">
        <f aca="false">IFERROR(VLOOKUP(VALUE($D131),BSPL2026!$B:$Q,16,FALSE()),0)</f>
        <v>-560663980</v>
      </c>
      <c r="R131" s="200" t="s">
        <v>496</v>
      </c>
      <c r="S131" s="162" t="str">
        <f aca="false">IFERROR(VLOOKUP(VALUE($D131),BSPL2026!$B:$M,12,FALSE()),"")</f>
        <v>예수금</v>
      </c>
      <c r="T131" s="162" t="str">
        <f aca="false">IF(OR(S131="",S131=0,LEFT(S131,5)="(원본오류"),"",IF(S131=H131,"","매핑차이"))</f>
        <v/>
      </c>
    </row>
    <row r="132" customFormat="false" ht="16.5" hidden="true" customHeight="false" outlineLevel="0" collapsed="false">
      <c r="D132" s="190" t="s">
        <v>787</v>
      </c>
      <c r="E132" s="191" t="s">
        <v>788</v>
      </c>
      <c r="F132" s="192" t="s">
        <v>493</v>
      </c>
      <c r="G132" s="193" t="s">
        <v>157</v>
      </c>
      <c r="H132" s="194" t="s">
        <v>171</v>
      </c>
      <c r="I132" s="195" t="s">
        <v>788</v>
      </c>
      <c r="J132" s="196" t="n">
        <f aca="false">IFERROR(VLOOKUP(VALUE($D132),BSPL2026!$B:$Z,25,FALSE()),0)</f>
        <v>0</v>
      </c>
      <c r="K132" s="197"/>
      <c r="L132" s="198"/>
      <c r="M132" s="196" t="n">
        <f aca="false">J132+K132-L132</f>
        <v>0</v>
      </c>
      <c r="N132" s="197" t="n">
        <f aca="false">SUMIF('statutory adj_2026 조정분개'!$S:$S,$D132,'statutory adj_2026 조정분개'!$K:$K)</f>
        <v>0</v>
      </c>
      <c r="O132" s="198" t="n">
        <f aca="false">SUMIF('statutory adj_2026 조정분개'!$S:$S,$D132,'statutory adj_2026 조정분개'!$L:$L)</f>
        <v>0</v>
      </c>
      <c r="P132" s="196" t="n">
        <f aca="false">M132+N132-O132</f>
        <v>0</v>
      </c>
      <c r="Q132" s="199" t="n">
        <f aca="false">IFERROR(VLOOKUP(VALUE($D132),BSPL2026!$B:$Q,16,FALSE()),0)</f>
        <v>0</v>
      </c>
      <c r="R132" s="200" t="s">
        <v>496</v>
      </c>
      <c r="S132" s="162" t="str">
        <f aca="false">IFERROR(VLOOKUP(VALUE($D132),BSPL2026!$B:$M,12,FALSE()),"")</f>
        <v>(원본오류 N/A)</v>
      </c>
      <c r="T132" s="162" t="str">
        <f aca="false">IF(OR(S132="",S132=0,LEFT(S132,5)="(원본오류"),"",IF(S132=H132,"","매핑차이"))</f>
        <v/>
      </c>
    </row>
    <row r="133" customFormat="false" ht="16.5" hidden="true" customHeight="false" outlineLevel="0" collapsed="false">
      <c r="D133" s="190" t="s">
        <v>789</v>
      </c>
      <c r="E133" s="191" t="s">
        <v>790</v>
      </c>
      <c r="F133" s="192" t="s">
        <v>493</v>
      </c>
      <c r="G133" s="193" t="s">
        <v>157</v>
      </c>
      <c r="H133" s="194" t="s">
        <v>171</v>
      </c>
      <c r="I133" s="195" t="s">
        <v>790</v>
      </c>
      <c r="J133" s="196" t="n">
        <f aca="false">IFERROR(VLOOKUP(VALUE($D133),BSPL2026!$B:$Z,25,FALSE()),0)</f>
        <v>0</v>
      </c>
      <c r="K133" s="197"/>
      <c r="L133" s="198"/>
      <c r="M133" s="196" t="n">
        <f aca="false">J133+K133-L133</f>
        <v>0</v>
      </c>
      <c r="N133" s="197" t="n">
        <f aca="false">SUMIF('statutory adj_2026 조정분개'!$S:$S,$D133,'statutory adj_2026 조정분개'!$K:$K)</f>
        <v>0</v>
      </c>
      <c r="O133" s="198" t="n">
        <f aca="false">SUMIF('statutory adj_2026 조정분개'!$S:$S,$D133,'statutory adj_2026 조정분개'!$L:$L)</f>
        <v>0</v>
      </c>
      <c r="P133" s="196" t="n">
        <f aca="false">M133+N133-O133</f>
        <v>0</v>
      </c>
      <c r="Q133" s="199" t="n">
        <f aca="false">IFERROR(VLOOKUP(VALUE($D133),BSPL2026!$B:$Q,16,FALSE()),0)</f>
        <v>0</v>
      </c>
      <c r="R133" s="200" t="s">
        <v>496</v>
      </c>
      <c r="S133" s="162" t="str">
        <f aca="false">IFERROR(VLOOKUP(VALUE($D133),BSPL2026!$B:$M,12,FALSE()),"")</f>
        <v>(원본오류 N/A)</v>
      </c>
      <c r="T133" s="162" t="str">
        <f aca="false">IF(OR(S133="",S133=0,LEFT(S133,5)="(원본오류"),"",IF(S133=H133,"","매핑차이"))</f>
        <v/>
      </c>
    </row>
    <row r="134" customFormat="false" ht="16.5" hidden="true" customHeight="false" outlineLevel="0" collapsed="false">
      <c r="D134" s="190" t="s">
        <v>791</v>
      </c>
      <c r="E134" s="191" t="s">
        <v>715</v>
      </c>
      <c r="F134" s="192" t="s">
        <v>493</v>
      </c>
      <c r="G134" s="193" t="s">
        <v>157</v>
      </c>
      <c r="H134" s="194" t="s">
        <v>171</v>
      </c>
      <c r="I134" s="195" t="s">
        <v>715</v>
      </c>
      <c r="J134" s="196" t="n">
        <f aca="false">IFERROR(VLOOKUP(VALUE($D134),BSPL2026!$B:$Z,25,FALSE()),0)</f>
        <v>-1472152548</v>
      </c>
      <c r="K134" s="197"/>
      <c r="L134" s="198"/>
      <c r="M134" s="196" t="n">
        <f aca="false">J134+K134-L134</f>
        <v>-1472152548</v>
      </c>
      <c r="N134" s="197" t="n">
        <f aca="false">SUMIF('statutory adj_2026 조정분개'!$S:$S,$D134,'statutory adj_2026 조정분개'!$K:$K)</f>
        <v>0</v>
      </c>
      <c r="O134" s="198" t="n">
        <f aca="false">SUMIF('statutory adj_2026 조정분개'!$S:$S,$D134,'statutory adj_2026 조정분개'!$L:$L)</f>
        <v>612260090</v>
      </c>
      <c r="P134" s="196" t="n">
        <f aca="false">M134+N134-O134</f>
        <v>-2084412638</v>
      </c>
      <c r="Q134" s="199" t="n">
        <f aca="false">IFERROR(VLOOKUP(VALUE($D134),BSPL2026!$B:$Q,16,FALSE()),0)</f>
        <v>-11574162239</v>
      </c>
      <c r="R134" s="200" t="s">
        <v>496</v>
      </c>
      <c r="S134" s="162" t="str">
        <f aca="false">IFERROR(VLOOKUP(VALUE($D134),BSPL2026!$B:$M,12,FALSE()),"")</f>
        <v>미지급비용</v>
      </c>
      <c r="T134" s="162" t="str">
        <f aca="false">IF(OR(S134="",S134=0,LEFT(S134,5)="(원본오류"),"",IF(S134=H134,"","매핑차이"))</f>
        <v/>
      </c>
    </row>
    <row r="135" customFormat="false" ht="16.5" hidden="true" customHeight="false" outlineLevel="0" collapsed="false">
      <c r="D135" s="190" t="s">
        <v>792</v>
      </c>
      <c r="E135" s="191" t="s">
        <v>793</v>
      </c>
      <c r="F135" s="192" t="s">
        <v>493</v>
      </c>
      <c r="G135" s="193" t="s">
        <v>157</v>
      </c>
      <c r="H135" s="194" t="s">
        <v>171</v>
      </c>
      <c r="I135" s="195" t="s">
        <v>793</v>
      </c>
      <c r="J135" s="196" t="n">
        <f aca="false">IFERROR(VLOOKUP(VALUE($D135),BSPL2026!$B:$Z,25,FALSE()),0)</f>
        <v>0</v>
      </c>
      <c r="K135" s="197"/>
      <c r="L135" s="198"/>
      <c r="M135" s="196" t="n">
        <f aca="false">J135+K135-L135</f>
        <v>0</v>
      </c>
      <c r="N135" s="197" t="n">
        <f aca="false">SUMIF('statutory adj_2026 조정분개'!$S:$S,$D135,'statutory adj_2026 조정분개'!$K:$K)</f>
        <v>0</v>
      </c>
      <c r="O135" s="198" t="n">
        <f aca="false">SUMIF('statutory adj_2026 조정분개'!$S:$S,$D135,'statutory adj_2026 조정분개'!$L:$L)</f>
        <v>0</v>
      </c>
      <c r="P135" s="196" t="n">
        <f aca="false">M135+N135-O135</f>
        <v>0</v>
      </c>
      <c r="Q135" s="199" t="n">
        <f aca="false">IFERROR(VLOOKUP(VALUE($D135),BSPL2026!$B:$Q,16,FALSE()),0)</f>
        <v>0</v>
      </c>
      <c r="R135" s="200" t="s">
        <v>496</v>
      </c>
      <c r="S135" s="162" t="str">
        <f aca="false">IFERROR(VLOOKUP(VALUE($D135),BSPL2026!$B:$M,12,FALSE()),"")</f>
        <v>미지급비용</v>
      </c>
      <c r="T135" s="162" t="str">
        <f aca="false">IF(OR(S135="",S135=0,LEFT(S135,5)="(원본오류"),"",IF(S135=H135,"","매핑차이"))</f>
        <v/>
      </c>
    </row>
    <row r="136" customFormat="false" ht="16.5" hidden="true" customHeight="false" outlineLevel="0" collapsed="false">
      <c r="D136" s="190" t="s">
        <v>794</v>
      </c>
      <c r="E136" s="191" t="s">
        <v>755</v>
      </c>
      <c r="F136" s="192" t="s">
        <v>493</v>
      </c>
      <c r="G136" s="193" t="s">
        <v>157</v>
      </c>
      <c r="H136" s="194" t="s">
        <v>171</v>
      </c>
      <c r="I136" s="195" t="s">
        <v>755</v>
      </c>
      <c r="J136" s="196" t="n">
        <f aca="false">IFERROR(VLOOKUP(VALUE($D136),BSPL2026!$B:$Z,25,FALSE()),0)</f>
        <v>-207900</v>
      </c>
      <c r="K136" s="197"/>
      <c r="L136" s="198"/>
      <c r="M136" s="196" t="n">
        <f aca="false">J136+K136-L136</f>
        <v>-207900</v>
      </c>
      <c r="N136" s="197" t="n">
        <f aca="false">SUMIF('statutory adj_2026 조정분개'!$S:$S,$D136,'statutory adj_2026 조정분개'!$K:$K)</f>
        <v>0</v>
      </c>
      <c r="O136" s="198" t="n">
        <f aca="false">SUMIF('statutory adj_2026 조정분개'!$S:$S,$D136,'statutory adj_2026 조정분개'!$L:$L)</f>
        <v>0</v>
      </c>
      <c r="P136" s="196" t="n">
        <f aca="false">M136+N136-O136</f>
        <v>-207900</v>
      </c>
      <c r="Q136" s="199" t="n">
        <f aca="false">IFERROR(VLOOKUP(VALUE($D136),BSPL2026!$B:$Q,16,FALSE()),0)</f>
        <v>-25740</v>
      </c>
      <c r="R136" s="200" t="s">
        <v>496</v>
      </c>
      <c r="S136" s="162" t="str">
        <f aca="false">IFERROR(VLOOKUP(VALUE($D136),BSPL2026!$B:$M,12,FALSE()),"")</f>
        <v>미지급비용</v>
      </c>
      <c r="T136" s="162" t="str">
        <f aca="false">IF(OR(S136="",S136=0,LEFT(S136,5)="(원본오류"),"",IF(S136=H136,"","매핑차이"))</f>
        <v/>
      </c>
    </row>
    <row r="137" customFormat="false" ht="16.5" hidden="true" customHeight="false" outlineLevel="0" collapsed="false">
      <c r="D137" s="190" t="s">
        <v>795</v>
      </c>
      <c r="E137" s="191" t="s">
        <v>796</v>
      </c>
      <c r="F137" s="192" t="s">
        <v>493</v>
      </c>
      <c r="G137" s="193" t="s">
        <v>157</v>
      </c>
      <c r="H137" s="194" t="s">
        <v>171</v>
      </c>
      <c r="I137" s="195" t="s">
        <v>796</v>
      </c>
      <c r="J137" s="196" t="n">
        <f aca="false">IFERROR(VLOOKUP(VALUE($D137),BSPL2026!$B:$Z,25,FALSE()),0)</f>
        <v>-50044282649</v>
      </c>
      <c r="K137" s="197"/>
      <c r="L137" s="198"/>
      <c r="M137" s="196" t="n">
        <f aca="false">J137+K137-L137</f>
        <v>-50044282649</v>
      </c>
      <c r="N137" s="197" t="n">
        <f aca="false">SUMIF('statutory adj_2026 조정분개'!$S:$S,$D137,'statutory adj_2026 조정분개'!$K:$K)</f>
        <v>0</v>
      </c>
      <c r="O137" s="198" t="n">
        <f aca="false">SUMIF('statutory adj_2026 조정분개'!$S:$S,$D137,'statutory adj_2026 조정분개'!$L:$L)</f>
        <v>0</v>
      </c>
      <c r="P137" s="196" t="n">
        <f aca="false">M137+N137-O137</f>
        <v>-50044282649</v>
      </c>
      <c r="Q137" s="199" t="n">
        <f aca="false">IFERROR(VLOOKUP(VALUE($D137),BSPL2026!$B:$Q,16,FALSE()),0)</f>
        <v>-52227560299</v>
      </c>
      <c r="R137" s="200" t="s">
        <v>496</v>
      </c>
      <c r="S137" s="162" t="str">
        <f aca="false">IFERROR(VLOOKUP(VALUE($D137),BSPL2026!$B:$M,12,FALSE()),"")</f>
        <v>미지급비용</v>
      </c>
      <c r="T137" s="162" t="str">
        <f aca="false">IF(OR(S137="",S137=0,LEFT(S137,5)="(원본오류"),"",IF(S137=H137,"","매핑차이"))</f>
        <v/>
      </c>
    </row>
    <row r="138" customFormat="false" ht="16.5" hidden="true" customHeight="false" outlineLevel="0" collapsed="false">
      <c r="D138" s="190" t="s">
        <v>797</v>
      </c>
      <c r="E138" s="191" t="s">
        <v>798</v>
      </c>
      <c r="F138" s="192" t="s">
        <v>493</v>
      </c>
      <c r="G138" s="193" t="s">
        <v>157</v>
      </c>
      <c r="H138" s="194" t="s">
        <v>171</v>
      </c>
      <c r="I138" s="195" t="s">
        <v>798</v>
      </c>
      <c r="J138" s="196" t="n">
        <f aca="false">IFERROR(VLOOKUP(VALUE($D138),BSPL2026!$B:$Z,25,FALSE()),0)</f>
        <v>-42000000</v>
      </c>
      <c r="K138" s="197"/>
      <c r="L138" s="198"/>
      <c r="M138" s="196" t="n">
        <f aca="false">J138+K138-L138</f>
        <v>-42000000</v>
      </c>
      <c r="N138" s="197" t="n">
        <f aca="false">SUMIF('statutory adj_2026 조정분개'!$S:$S,$D138,'statutory adj_2026 조정분개'!$K:$K)</f>
        <v>0</v>
      </c>
      <c r="O138" s="198" t="n">
        <f aca="false">SUMIF('statutory adj_2026 조정분개'!$S:$S,$D138,'statutory adj_2026 조정분개'!$L:$L)</f>
        <v>0</v>
      </c>
      <c r="P138" s="196" t="n">
        <f aca="false">M138+N138-O138</f>
        <v>-42000000</v>
      </c>
      <c r="Q138" s="199" t="n">
        <f aca="false">IFERROR(VLOOKUP(VALUE($D138),BSPL2026!$B:$Q,16,FALSE()),0)</f>
        <v>-122500000</v>
      </c>
      <c r="R138" s="200" t="s">
        <v>496</v>
      </c>
      <c r="S138" s="162" t="str">
        <f aca="false">IFERROR(VLOOKUP(VALUE($D138),BSPL2026!$B:$M,12,FALSE()),"")</f>
        <v>미지급비용</v>
      </c>
      <c r="T138" s="162" t="str">
        <f aca="false">IF(OR(S138="",S138=0,LEFT(S138,5)="(원본오류"),"",IF(S138=H138,"","매핑차이"))</f>
        <v/>
      </c>
    </row>
    <row r="139" customFormat="false" ht="16.5" hidden="true" customHeight="false" outlineLevel="0" collapsed="false">
      <c r="D139" s="190" t="s">
        <v>799</v>
      </c>
      <c r="E139" s="191" t="s">
        <v>800</v>
      </c>
      <c r="F139" s="192" t="s">
        <v>493</v>
      </c>
      <c r="G139" s="193" t="s">
        <v>157</v>
      </c>
      <c r="H139" s="194" t="s">
        <v>171</v>
      </c>
      <c r="I139" s="195" t="s">
        <v>800</v>
      </c>
      <c r="J139" s="196" t="n">
        <f aca="false">IFERROR(VLOOKUP(VALUE($D139),BSPL2026!$B:$Z,25,FALSE()),0)</f>
        <v>-758423387</v>
      </c>
      <c r="K139" s="197"/>
      <c r="L139" s="198"/>
      <c r="M139" s="196" t="n">
        <f aca="false">J139+K139-L139</f>
        <v>-758423387</v>
      </c>
      <c r="N139" s="197" t="n">
        <f aca="false">SUMIF('statutory adj_2026 조정분개'!$S:$S,$D139,'statutory adj_2026 조정분개'!$K:$K)</f>
        <v>758423387</v>
      </c>
      <c r="O139" s="198" t="n">
        <f aca="false">SUMIF('statutory adj_2026 조정분개'!$S:$S,$D139,'statutory adj_2026 조정분개'!$L:$L)</f>
        <v>0</v>
      </c>
      <c r="P139" s="196" t="n">
        <f aca="false">M139+N139-O139</f>
        <v>0</v>
      </c>
      <c r="Q139" s="199" t="n">
        <f aca="false">IFERROR(VLOOKUP(VALUE($D139),BSPL2026!$B:$Q,16,FALSE()),0)</f>
        <v>-1003866748</v>
      </c>
      <c r="R139" s="200" t="s">
        <v>496</v>
      </c>
      <c r="S139" s="162" t="str">
        <f aca="false">IFERROR(VLOOKUP(VALUE($D139),BSPL2026!$B:$M,12,FALSE()),"")</f>
        <v>미지급비용</v>
      </c>
      <c r="T139" s="162" t="str">
        <f aca="false">IF(OR(S139="",S139=0,LEFT(S139,5)="(원본오류"),"",IF(S139=H139,"","매핑차이"))</f>
        <v/>
      </c>
    </row>
    <row r="140" customFormat="false" ht="16.5" hidden="true" customHeight="false" outlineLevel="0" collapsed="false">
      <c r="D140" s="190" t="s">
        <v>801</v>
      </c>
      <c r="E140" s="191" t="s">
        <v>802</v>
      </c>
      <c r="F140" s="192" t="s">
        <v>493</v>
      </c>
      <c r="G140" s="193" t="s">
        <v>157</v>
      </c>
      <c r="H140" s="194" t="s">
        <v>171</v>
      </c>
      <c r="I140" s="195" t="s">
        <v>802</v>
      </c>
      <c r="J140" s="196" t="n">
        <f aca="false">IFERROR(VLOOKUP(VALUE($D140),BSPL2026!$B:$Z,25,FALSE()),0)</f>
        <v>-5015243935</v>
      </c>
      <c r="K140" s="197"/>
      <c r="L140" s="198"/>
      <c r="M140" s="196" t="n">
        <f aca="false">J140+K140-L140</f>
        <v>-5015243935</v>
      </c>
      <c r="N140" s="197" t="n">
        <f aca="false">SUMIF('statutory adj_2026 조정분개'!$S:$S,$D140,'statutory adj_2026 조정분개'!$K:$K)</f>
        <v>0</v>
      </c>
      <c r="O140" s="198" t="n">
        <f aca="false">SUMIF('statutory adj_2026 조정분개'!$S:$S,$D140,'statutory adj_2026 조정분개'!$L:$L)</f>
        <v>0</v>
      </c>
      <c r="P140" s="196" t="n">
        <f aca="false">M140+N140-O140</f>
        <v>-5015243935</v>
      </c>
      <c r="Q140" s="199" t="n">
        <f aca="false">IFERROR(VLOOKUP(VALUE($D140),BSPL2026!$B:$Q,16,FALSE()),0)</f>
        <v>0</v>
      </c>
      <c r="R140" s="200" t="s">
        <v>496</v>
      </c>
      <c r="S140" s="162" t="str">
        <f aca="false">IFERROR(VLOOKUP(VALUE($D140),BSPL2026!$B:$M,12,FALSE()),"")</f>
        <v>미지급비용</v>
      </c>
      <c r="T140" s="162" t="str">
        <f aca="false">IF(OR(S140="",S140=0,LEFT(S140,5)="(원본오류"),"",IF(S140=H140,"","매핑차이"))</f>
        <v/>
      </c>
    </row>
    <row r="141" customFormat="false" ht="16.5" hidden="true" customHeight="false" outlineLevel="0" collapsed="false">
      <c r="D141" s="190" t="s">
        <v>803</v>
      </c>
      <c r="E141" s="191" t="s">
        <v>804</v>
      </c>
      <c r="F141" s="192" t="s">
        <v>493</v>
      </c>
      <c r="G141" s="193" t="s">
        <v>157</v>
      </c>
      <c r="H141" s="194" t="s">
        <v>171</v>
      </c>
      <c r="I141" s="195" t="s">
        <v>804</v>
      </c>
      <c r="J141" s="196" t="n">
        <f aca="false">IFERROR(VLOOKUP(VALUE($D141),BSPL2026!$B:$Z,25,FALSE()),0)</f>
        <v>-10532431629</v>
      </c>
      <c r="K141" s="197"/>
      <c r="L141" s="198"/>
      <c r="M141" s="196" t="n">
        <f aca="false">J141+K141-L141</f>
        <v>-10532431629</v>
      </c>
      <c r="N141" s="197" t="n">
        <f aca="false">SUMIF('statutory adj_2026 조정분개'!$S:$S,$D141,'statutory adj_2026 조정분개'!$K:$K)</f>
        <v>10532431629</v>
      </c>
      <c r="O141" s="198" t="n">
        <f aca="false">SUMIF('statutory adj_2026 조정분개'!$S:$S,$D141,'statutory adj_2026 조정분개'!$L:$L)</f>
        <v>0</v>
      </c>
      <c r="P141" s="196" t="n">
        <f aca="false">M141+N141-O141</f>
        <v>0</v>
      </c>
      <c r="Q141" s="199" t="n">
        <f aca="false">IFERROR(VLOOKUP(VALUE($D141),BSPL2026!$B:$Q,16,FALSE()),0)</f>
        <v>-5108547535</v>
      </c>
      <c r="R141" s="200" t="s">
        <v>496</v>
      </c>
      <c r="S141" s="162" t="str">
        <f aca="false">IFERROR(VLOOKUP(VALUE($D141),BSPL2026!$B:$M,12,FALSE()),"")</f>
        <v>미지급비용</v>
      </c>
      <c r="T141" s="162" t="str">
        <f aca="false">IF(OR(S141="",S141=0,LEFT(S141,5)="(원본오류"),"",IF(S141=H141,"","매핑차이"))</f>
        <v/>
      </c>
    </row>
    <row r="142" customFormat="false" ht="16.5" hidden="true" customHeight="false" outlineLevel="0" collapsed="false">
      <c r="D142" s="190" t="s">
        <v>805</v>
      </c>
      <c r="E142" s="191" t="s">
        <v>806</v>
      </c>
      <c r="F142" s="192" t="s">
        <v>493</v>
      </c>
      <c r="G142" s="193" t="s">
        <v>157</v>
      </c>
      <c r="H142" s="194" t="s">
        <v>171</v>
      </c>
      <c r="I142" s="195" t="s">
        <v>806</v>
      </c>
      <c r="J142" s="196" t="n">
        <f aca="false">IFERROR(VLOOKUP(VALUE($D142),BSPL2026!$B:$Z,25,FALSE()),0)</f>
        <v>-1124955108</v>
      </c>
      <c r="K142" s="197"/>
      <c r="L142" s="198"/>
      <c r="M142" s="196" t="n">
        <f aca="false">J142+K142-L142</f>
        <v>-1124955108</v>
      </c>
      <c r="N142" s="197" t="n">
        <f aca="false">SUMIF('statutory adj_2026 조정분개'!$S:$S,$D142,'statutory adj_2026 조정분개'!$K:$K)</f>
        <v>1124955108</v>
      </c>
      <c r="O142" s="198" t="n">
        <f aca="false">SUMIF('statutory adj_2026 조정분개'!$S:$S,$D142,'statutory adj_2026 조정분개'!$L:$L)</f>
        <v>0</v>
      </c>
      <c r="P142" s="196" t="n">
        <f aca="false">M142+N142-O142</f>
        <v>0</v>
      </c>
      <c r="Q142" s="199" t="n">
        <f aca="false">IFERROR(VLOOKUP(VALUE($D142),BSPL2026!$B:$Q,16,FALSE()),0)</f>
        <v>-1080026241</v>
      </c>
      <c r="R142" s="200" t="s">
        <v>496</v>
      </c>
      <c r="S142" s="162" t="str">
        <f aca="false">IFERROR(VLOOKUP(VALUE($D142),BSPL2026!$B:$M,12,FALSE()),"")</f>
        <v>미지급비용</v>
      </c>
      <c r="T142" s="162" t="str">
        <f aca="false">IF(OR(S142="",S142=0,LEFT(S142,5)="(원본오류"),"",IF(S142=H142,"","매핑차이"))</f>
        <v/>
      </c>
    </row>
    <row r="143" customFormat="false" ht="16.5" hidden="true" customHeight="false" outlineLevel="0" collapsed="false">
      <c r="D143" s="190" t="s">
        <v>807</v>
      </c>
      <c r="E143" s="191" t="s">
        <v>808</v>
      </c>
      <c r="F143" s="192" t="s">
        <v>493</v>
      </c>
      <c r="G143" s="193" t="s">
        <v>157</v>
      </c>
      <c r="H143" s="194" t="s">
        <v>171</v>
      </c>
      <c r="I143" s="195" t="s">
        <v>808</v>
      </c>
      <c r="J143" s="196" t="n">
        <f aca="false">IFERROR(VLOOKUP(VALUE($D143),BSPL2026!$B:$Z,25,FALSE()),0)</f>
        <v>0</v>
      </c>
      <c r="K143" s="197"/>
      <c r="L143" s="198"/>
      <c r="M143" s="196" t="n">
        <f aca="false">J143+K143-L143</f>
        <v>0</v>
      </c>
      <c r="N143" s="197" t="n">
        <f aca="false">SUMIF('statutory adj_2026 조정분개'!$S:$S,$D143,'statutory adj_2026 조정분개'!$K:$K)</f>
        <v>0</v>
      </c>
      <c r="O143" s="198" t="n">
        <f aca="false">SUMIF('statutory adj_2026 조정분개'!$S:$S,$D143,'statutory adj_2026 조정분개'!$L:$L)</f>
        <v>0</v>
      </c>
      <c r="P143" s="196" t="n">
        <f aca="false">M143+N143-O143</f>
        <v>0</v>
      </c>
      <c r="Q143" s="199" t="n">
        <f aca="false">IFERROR(VLOOKUP(VALUE($D143),BSPL2026!$B:$Q,16,FALSE()),0)</f>
        <v>-5006635526</v>
      </c>
      <c r="R143" s="200" t="s">
        <v>496</v>
      </c>
      <c r="S143" s="162" t="str">
        <f aca="false">IFERROR(VLOOKUP(VALUE($D143),BSPL2026!$B:$M,12,FALSE()),"")</f>
        <v>미지급비용</v>
      </c>
      <c r="T143" s="162" t="str">
        <f aca="false">IF(OR(S143="",S143=0,LEFT(S143,5)="(원본오류"),"",IF(S143=H143,"","매핑차이"))</f>
        <v/>
      </c>
    </row>
    <row r="144" customFormat="false" ht="16.5" hidden="true" customHeight="false" outlineLevel="0" collapsed="false">
      <c r="D144" s="190" t="s">
        <v>809</v>
      </c>
      <c r="E144" s="191" t="s">
        <v>810</v>
      </c>
      <c r="F144" s="192" t="s">
        <v>493</v>
      </c>
      <c r="G144" s="193" t="s">
        <v>157</v>
      </c>
      <c r="H144" s="194" t="s">
        <v>167</v>
      </c>
      <c r="I144" s="195" t="s">
        <v>810</v>
      </c>
      <c r="J144" s="196" t="n">
        <f aca="false">IFERROR(VLOOKUP(VALUE($D144),BSPL2026!$B:$Z,25,FALSE()),0)</f>
        <v>0</v>
      </c>
      <c r="K144" s="197"/>
      <c r="L144" s="198"/>
      <c r="M144" s="196" t="n">
        <f aca="false">J144+K144-L144</f>
        <v>0</v>
      </c>
      <c r="N144" s="197" t="n">
        <f aca="false">SUMIF('statutory adj_2026 조정분개'!$S:$S,$D144,'statutory adj_2026 조정분개'!$K:$K)</f>
        <v>0</v>
      </c>
      <c r="O144" s="198" t="n">
        <f aca="false">SUMIF('statutory adj_2026 조정분개'!$S:$S,$D144,'statutory adj_2026 조정분개'!$L:$L)</f>
        <v>0</v>
      </c>
      <c r="P144" s="196" t="n">
        <f aca="false">M144+N144-O144</f>
        <v>0</v>
      </c>
      <c r="Q144" s="199" t="n">
        <f aca="false">IFERROR(VLOOKUP(VALUE($D144),BSPL2026!$B:$Q,16,FALSE()),0)</f>
        <v>149468</v>
      </c>
      <c r="R144" s="200" t="s">
        <v>496</v>
      </c>
      <c r="S144" s="162" t="str">
        <f aca="false">IFERROR(VLOOKUP(VALUE($D144),BSPL2026!$B:$M,12,FALSE()),"")</f>
        <v>선수금</v>
      </c>
      <c r="T144" s="162" t="str">
        <f aca="false">IF(OR(S144="",S144=0,LEFT(S144,5)="(원본오류"),"",IF(S144=H144,"","매핑차이"))</f>
        <v/>
      </c>
    </row>
    <row r="145" customFormat="false" ht="16.5" hidden="true" customHeight="false" outlineLevel="0" collapsed="false">
      <c r="D145" s="190" t="s">
        <v>811</v>
      </c>
      <c r="E145" s="191" t="s">
        <v>812</v>
      </c>
      <c r="F145" s="192" t="s">
        <v>493</v>
      </c>
      <c r="G145" s="193" t="s">
        <v>157</v>
      </c>
      <c r="H145" s="194" t="s">
        <v>167</v>
      </c>
      <c r="I145" s="195" t="s">
        <v>812</v>
      </c>
      <c r="J145" s="196" t="n">
        <f aca="false">IFERROR(VLOOKUP(VALUE($D145),BSPL2026!$B:$Z,25,FALSE()),0)</f>
        <v>0</v>
      </c>
      <c r="K145" s="197"/>
      <c r="L145" s="198"/>
      <c r="M145" s="196" t="n">
        <f aca="false">J145+K145-L145</f>
        <v>0</v>
      </c>
      <c r="N145" s="197" t="n">
        <f aca="false">SUMIF('statutory adj_2026 조정분개'!$S:$S,$D145,'statutory adj_2026 조정분개'!$K:$K)</f>
        <v>0</v>
      </c>
      <c r="O145" s="198" t="n">
        <f aca="false">SUMIF('statutory adj_2026 조정분개'!$S:$S,$D145,'statutory adj_2026 조정분개'!$L:$L)</f>
        <v>0</v>
      </c>
      <c r="P145" s="196" t="n">
        <f aca="false">M145+N145-O145</f>
        <v>0</v>
      </c>
      <c r="Q145" s="199" t="n">
        <f aca="false">IFERROR(VLOOKUP(VALUE($D145),BSPL2026!$B:$Q,16,FALSE()),0)</f>
        <v>-2887000</v>
      </c>
      <c r="R145" s="200" t="s">
        <v>496</v>
      </c>
      <c r="S145" s="162" t="str">
        <f aca="false">IFERROR(VLOOKUP(VALUE($D145),BSPL2026!$B:$M,12,FALSE()),"")</f>
        <v>선수금</v>
      </c>
      <c r="T145" s="162" t="str">
        <f aca="false">IF(OR(S145="",S145=0,LEFT(S145,5)="(원본오류"),"",IF(S145=H145,"","매핑차이"))</f>
        <v/>
      </c>
    </row>
    <row r="146" customFormat="false" ht="16.5" hidden="true" customHeight="false" outlineLevel="0" collapsed="false">
      <c r="D146" s="190" t="s">
        <v>813</v>
      </c>
      <c r="E146" s="191" t="s">
        <v>814</v>
      </c>
      <c r="F146" s="192" t="s">
        <v>493</v>
      </c>
      <c r="G146" s="193" t="s">
        <v>157</v>
      </c>
      <c r="H146" s="194" t="s">
        <v>171</v>
      </c>
      <c r="I146" s="195" t="s">
        <v>814</v>
      </c>
      <c r="J146" s="196" t="n">
        <f aca="false">IFERROR(VLOOKUP(VALUE($D146),BSPL2026!$B:$Z,25,FALSE()),0)</f>
        <v>-231643268</v>
      </c>
      <c r="K146" s="197"/>
      <c r="L146" s="198"/>
      <c r="M146" s="196" t="n">
        <f aca="false">J146+K146-L146</f>
        <v>-231643268</v>
      </c>
      <c r="N146" s="197" t="n">
        <f aca="false">SUMIF('statutory adj_2026 조정분개'!$S:$S,$D146,'statutory adj_2026 조정분개'!$K:$K)</f>
        <v>0</v>
      </c>
      <c r="O146" s="198" t="n">
        <f aca="false">SUMIF('statutory adj_2026 조정분개'!$S:$S,$D146,'statutory adj_2026 조정분개'!$L:$L)</f>
        <v>0</v>
      </c>
      <c r="P146" s="196" t="n">
        <f aca="false">M146+N146-O146</f>
        <v>-231643268</v>
      </c>
      <c r="Q146" s="199" t="n">
        <f aca="false">IFERROR(VLOOKUP(VALUE($D146),BSPL2026!$B:$Q,16,FALSE()),0)</f>
        <v>-1034568702</v>
      </c>
      <c r="R146" s="200" t="s">
        <v>496</v>
      </c>
      <c r="S146" s="162" t="str">
        <f aca="false">IFERROR(VLOOKUP(VALUE($D146),BSPL2026!$B:$M,12,FALSE()),"")</f>
        <v>미지급비용</v>
      </c>
      <c r="T146" s="162" t="str">
        <f aca="false">IF(OR(S146="",S146=0,LEFT(S146,5)="(원본오류"),"",IF(S146=H146,"","매핑차이"))</f>
        <v/>
      </c>
    </row>
    <row r="147" customFormat="false" ht="16.5" hidden="true" customHeight="false" outlineLevel="0" collapsed="false">
      <c r="D147" s="190" t="s">
        <v>815</v>
      </c>
      <c r="E147" s="191" t="s">
        <v>816</v>
      </c>
      <c r="F147" s="192" t="s">
        <v>493</v>
      </c>
      <c r="G147" s="193" t="s">
        <v>157</v>
      </c>
      <c r="H147" s="194" t="s">
        <v>171</v>
      </c>
      <c r="I147" s="195" t="s">
        <v>816</v>
      </c>
      <c r="J147" s="196" t="n">
        <f aca="false">IFERROR(VLOOKUP(VALUE($D147),BSPL2026!$B:$Z,25,FALSE()),0)</f>
        <v>-331343</v>
      </c>
      <c r="K147" s="197"/>
      <c r="L147" s="198"/>
      <c r="M147" s="196" t="n">
        <f aca="false">J147+K147-L147</f>
        <v>-331343</v>
      </c>
      <c r="N147" s="197" t="n">
        <f aca="false">SUMIF('statutory adj_2026 조정분개'!$S:$S,$D147,'statutory adj_2026 조정분개'!$K:$K)</f>
        <v>0</v>
      </c>
      <c r="O147" s="198" t="n">
        <f aca="false">SUMIF('statutory adj_2026 조정분개'!$S:$S,$D147,'statutory adj_2026 조정분개'!$L:$L)</f>
        <v>0</v>
      </c>
      <c r="P147" s="196" t="n">
        <f aca="false">M147+N147-O147</f>
        <v>-331343</v>
      </c>
      <c r="Q147" s="199" t="n">
        <f aca="false">IFERROR(VLOOKUP(VALUE($D147),BSPL2026!$B:$Q,16,FALSE()),0)</f>
        <v>-1479860</v>
      </c>
      <c r="R147" s="200" t="s">
        <v>496</v>
      </c>
      <c r="S147" s="162" t="str">
        <f aca="false">IFERROR(VLOOKUP(VALUE($D147),BSPL2026!$B:$M,12,FALSE()),"")</f>
        <v>미지급비용</v>
      </c>
      <c r="T147" s="162" t="str">
        <f aca="false">IF(OR(S147="",S147=0,LEFT(S147,5)="(원본오류"),"",IF(S147=H147,"","매핑차이"))</f>
        <v/>
      </c>
    </row>
    <row r="148" customFormat="false" ht="16.5" hidden="true" customHeight="false" outlineLevel="0" collapsed="false">
      <c r="D148" s="190" t="s">
        <v>817</v>
      </c>
      <c r="E148" s="191" t="s">
        <v>818</v>
      </c>
      <c r="F148" s="192" t="s">
        <v>493</v>
      </c>
      <c r="G148" s="193" t="s">
        <v>157</v>
      </c>
      <c r="H148" s="194" t="s">
        <v>173</v>
      </c>
      <c r="I148" s="195" t="s">
        <v>818</v>
      </c>
      <c r="J148" s="196" t="n">
        <f aca="false">IFERROR(VLOOKUP(VALUE($D148),BSPL2026!$B:$Z,25,FALSE()),0)</f>
        <v>-22255016822</v>
      </c>
      <c r="K148" s="197"/>
      <c r="L148" s="198"/>
      <c r="M148" s="196" t="n">
        <f aca="false">J148+K148-L148</f>
        <v>-22255016822</v>
      </c>
      <c r="N148" s="197" t="n">
        <f aca="false">SUMIF('statutory adj_2026 조정분개'!$S:$S,$D148,'statutory adj_2026 조정분개'!$K:$K)</f>
        <v>0</v>
      </c>
      <c r="O148" s="198" t="n">
        <f aca="false">SUMIF('statutory adj_2026 조정분개'!$S:$S,$D148,'statutory adj_2026 조정분개'!$L:$L)</f>
        <v>0</v>
      </c>
      <c r="P148" s="196" t="n">
        <f aca="false">M148+N148-O148</f>
        <v>-22255016822</v>
      </c>
      <c r="Q148" s="199" t="n">
        <f aca="false">IFERROR(VLOOKUP(VALUE($D148),BSPL2026!$B:$Q,16,FALSE()),0)</f>
        <v>-17831350526</v>
      </c>
      <c r="R148" s="200" t="s">
        <v>496</v>
      </c>
      <c r="S148" s="162" t="str">
        <f aca="false">IFERROR(VLOOKUP(VALUE($D148),BSPL2026!$B:$M,12,FALSE()),"")</f>
        <v>부가가치세예수금</v>
      </c>
      <c r="T148" s="162" t="str">
        <f aca="false">IF(OR(S148="",S148=0,LEFT(S148,5)="(원본오류"),"",IF(S148=H148,"","매핑차이"))</f>
        <v/>
      </c>
    </row>
    <row r="149" customFormat="false" ht="16.5" hidden="true" customHeight="false" outlineLevel="0" collapsed="false">
      <c r="D149" s="190" t="s">
        <v>819</v>
      </c>
      <c r="E149" s="191" t="s">
        <v>820</v>
      </c>
      <c r="F149" s="192" t="s">
        <v>493</v>
      </c>
      <c r="G149" s="193" t="s">
        <v>157</v>
      </c>
      <c r="H149" s="194" t="s">
        <v>175</v>
      </c>
      <c r="I149" s="195" t="s">
        <v>820</v>
      </c>
      <c r="J149" s="196" t="n">
        <f aca="false">IFERROR(VLOOKUP(VALUE($D149),BSPL2026!$B:$Z,25,FALSE()),0)</f>
        <v>-3452659288</v>
      </c>
      <c r="K149" s="197"/>
      <c r="L149" s="198"/>
      <c r="M149" s="196" t="n">
        <f aca="false">J149+K149-L149</f>
        <v>-3452659288</v>
      </c>
      <c r="N149" s="197" t="n">
        <f aca="false">SUMIF('statutory adj_2026 조정분개'!$S:$S,$D149,'statutory adj_2026 조정분개'!$K:$K)</f>
        <v>0</v>
      </c>
      <c r="O149" s="198" t="n">
        <f aca="false">SUMIF('statutory adj_2026 조정분개'!$S:$S,$D149,'statutory adj_2026 조정분개'!$L:$L)</f>
        <v>0</v>
      </c>
      <c r="P149" s="196" t="n">
        <f aca="false">M149+N149-O149</f>
        <v>-3452659288</v>
      </c>
      <c r="Q149" s="199" t="n">
        <f aca="false">IFERROR(VLOOKUP(VALUE($D149),BSPL2026!$B:$Q,16,FALSE()),0)</f>
        <v>-11006749505</v>
      </c>
      <c r="R149" s="200" t="s">
        <v>496</v>
      </c>
      <c r="S149" s="162" t="str">
        <f aca="false">IFERROR(VLOOKUP(VALUE($D149),BSPL2026!$B:$M,12,FALSE()),"")</f>
        <v>미지급법인세</v>
      </c>
      <c r="T149" s="162" t="str">
        <f aca="false">IF(OR(S149="",S149=0,LEFT(S149,5)="(원본오류"),"",IF(S149=H149,"","매핑차이"))</f>
        <v/>
      </c>
    </row>
    <row r="150" customFormat="false" ht="16.5" hidden="true" customHeight="false" outlineLevel="0" collapsed="false">
      <c r="D150" s="190" t="s">
        <v>821</v>
      </c>
      <c r="E150" s="191" t="s">
        <v>822</v>
      </c>
      <c r="F150" s="192" t="s">
        <v>493</v>
      </c>
      <c r="G150" s="193" t="s">
        <v>494</v>
      </c>
      <c r="H150" s="194" t="s">
        <v>147</v>
      </c>
      <c r="I150" s="195" t="s">
        <v>822</v>
      </c>
      <c r="J150" s="196" t="n">
        <f aca="false">IFERROR(VLOOKUP(VALUE($D150),BSPL2026!$B:$Z,25,FALSE()),0)</f>
        <v>0</v>
      </c>
      <c r="K150" s="197"/>
      <c r="L150" s="198"/>
      <c r="M150" s="196" t="n">
        <f aca="false">J150+K150-L150</f>
        <v>0</v>
      </c>
      <c r="N150" s="197" t="n">
        <f aca="false">SUMIF('statutory adj_2026 조정분개'!$S:$S,$D150,'statutory adj_2026 조정분개'!$K:$K)</f>
        <v>0</v>
      </c>
      <c r="O150" s="198" t="n">
        <f aca="false">SUMIF('statutory adj_2026 조정분개'!$S:$S,$D150,'statutory adj_2026 조정분개'!$L:$L)</f>
        <v>0</v>
      </c>
      <c r="P150" s="196" t="n">
        <f aca="false">M150+N150-O150</f>
        <v>0</v>
      </c>
      <c r="Q150" s="199" t="n">
        <f aca="false">IFERROR(VLOOKUP(VALUE($D150),BSPL2026!$B:$Q,16,FALSE()),0)</f>
        <v>4436894520</v>
      </c>
      <c r="R150" s="200" t="s">
        <v>496</v>
      </c>
      <c r="S150" s="162" t="str">
        <f aca="false">IFERROR(VLOOKUP(VALUE($D150),BSPL2026!$B:$M,12,FALSE()),"")</f>
        <v>선급법인세</v>
      </c>
      <c r="T150" s="162" t="str">
        <f aca="false">IF(OR(S150="",S150=0,LEFT(S150,5)="(원본오류"),"",IF(S150=H150,"","매핑차이"))</f>
        <v/>
      </c>
    </row>
    <row r="151" customFormat="false" ht="16.5" hidden="true" customHeight="false" outlineLevel="0" collapsed="false">
      <c r="D151" s="190" t="s">
        <v>823</v>
      </c>
      <c r="E151" s="191" t="s">
        <v>824</v>
      </c>
      <c r="F151" s="192" t="s">
        <v>493</v>
      </c>
      <c r="G151" s="193" t="s">
        <v>494</v>
      </c>
      <c r="H151" s="194" t="s">
        <v>147</v>
      </c>
      <c r="I151" s="195" t="s">
        <v>824</v>
      </c>
      <c r="J151" s="196" t="n">
        <f aca="false">IFERROR(VLOOKUP(VALUE($D151),BSPL2026!$B:$Z,25,FALSE()),0)</f>
        <v>0</v>
      </c>
      <c r="K151" s="197"/>
      <c r="L151" s="198"/>
      <c r="M151" s="196" t="n">
        <f aca="false">J151+K151-L151</f>
        <v>0</v>
      </c>
      <c r="N151" s="197" t="n">
        <f aca="false">SUMIF('statutory adj_2026 조정분개'!$S:$S,$D151,'statutory adj_2026 조정분개'!$K:$K)</f>
        <v>0</v>
      </c>
      <c r="O151" s="198" t="n">
        <f aca="false">SUMIF('statutory adj_2026 조정분개'!$S:$S,$D151,'statutory adj_2026 조정분개'!$L:$L)</f>
        <v>0</v>
      </c>
      <c r="P151" s="196" t="n">
        <f aca="false">M151+N151-O151</f>
        <v>0</v>
      </c>
      <c r="Q151" s="199" t="n">
        <f aca="false">IFERROR(VLOOKUP(VALUE($D151),BSPL2026!$B:$Q,16,FALSE()),0)</f>
        <v>33826420</v>
      </c>
      <c r="R151" s="200" t="s">
        <v>496</v>
      </c>
      <c r="S151" s="162" t="str">
        <f aca="false">IFERROR(VLOOKUP(VALUE($D151),BSPL2026!$B:$M,12,FALSE()),"")</f>
        <v>선급법인세</v>
      </c>
      <c r="T151" s="162" t="str">
        <f aca="false">IF(OR(S151="",S151=0,LEFT(S151,5)="(원본오류"),"",IF(S151=H151,"","매핑차이"))</f>
        <v/>
      </c>
    </row>
    <row r="152" customFormat="false" ht="16.5" hidden="true" customHeight="false" outlineLevel="0" collapsed="false">
      <c r="D152" s="190" t="s">
        <v>825</v>
      </c>
      <c r="E152" s="191" t="s">
        <v>826</v>
      </c>
      <c r="F152" s="192" t="s">
        <v>493</v>
      </c>
      <c r="G152" s="193" t="s">
        <v>157</v>
      </c>
      <c r="H152" s="194" t="s">
        <v>169</v>
      </c>
      <c r="I152" s="195" t="s">
        <v>826</v>
      </c>
      <c r="J152" s="196" t="n">
        <f aca="false">IFERROR(VLOOKUP(VALUE($D152),BSPL2026!$B:$Z,25,FALSE()),0)</f>
        <v>-213945232</v>
      </c>
      <c r="K152" s="197"/>
      <c r="L152" s="198"/>
      <c r="M152" s="196" t="n">
        <f aca="false">J152+K152-L152</f>
        <v>-213945232</v>
      </c>
      <c r="N152" s="197" t="n">
        <f aca="false">SUMIF('statutory adj_2026 조정분개'!$S:$S,$D152,'statutory adj_2026 조정분개'!$K:$K)</f>
        <v>0</v>
      </c>
      <c r="O152" s="198" t="n">
        <f aca="false">SUMIF('statutory adj_2026 조정분개'!$S:$S,$D152,'statutory adj_2026 조정분개'!$L:$L)</f>
        <v>0</v>
      </c>
      <c r="P152" s="196" t="n">
        <f aca="false">M152+N152-O152</f>
        <v>-213945232</v>
      </c>
      <c r="Q152" s="199" t="n">
        <f aca="false">IFERROR(VLOOKUP(VALUE($D152),BSPL2026!$B:$Q,16,FALSE()),0)</f>
        <v>-42105600</v>
      </c>
      <c r="R152" s="200" t="s">
        <v>496</v>
      </c>
      <c r="S152" s="162" t="str">
        <f aca="false">IFERROR(VLOOKUP(VALUE($D152),BSPL2026!$B:$M,12,FALSE()),"")</f>
        <v>예수금</v>
      </c>
      <c r="T152" s="162" t="str">
        <f aca="false">IF(OR(S152="",S152=0,LEFT(S152,5)="(원본오류"),"",IF(S152=H152,"","매핑차이"))</f>
        <v/>
      </c>
    </row>
    <row r="153" customFormat="false" ht="16.5" hidden="true" customHeight="false" outlineLevel="0" collapsed="false">
      <c r="D153" s="190" t="s">
        <v>827</v>
      </c>
      <c r="E153" s="191" t="s">
        <v>828</v>
      </c>
      <c r="F153" s="192" t="s">
        <v>493</v>
      </c>
      <c r="G153" s="193" t="s">
        <v>157</v>
      </c>
      <c r="H153" s="194" t="s">
        <v>169</v>
      </c>
      <c r="I153" s="195" t="s">
        <v>828</v>
      </c>
      <c r="J153" s="196" t="n">
        <f aca="false">IFERROR(VLOOKUP(VALUE($D153),BSPL2026!$B:$Z,25,FALSE()),0)</f>
        <v>0</v>
      </c>
      <c r="K153" s="197"/>
      <c r="L153" s="198"/>
      <c r="M153" s="196" t="n">
        <f aca="false">J153+K153-L153</f>
        <v>0</v>
      </c>
      <c r="N153" s="197" t="n">
        <f aca="false">SUMIF('statutory adj_2026 조정분개'!$S:$S,$D153,'statutory adj_2026 조정분개'!$K:$K)</f>
        <v>0</v>
      </c>
      <c r="O153" s="198" t="n">
        <f aca="false">SUMIF('statutory adj_2026 조정분개'!$S:$S,$D153,'statutory adj_2026 조정분개'!$L:$L)</f>
        <v>0</v>
      </c>
      <c r="P153" s="196" t="n">
        <f aca="false">M153+N153-O153</f>
        <v>0</v>
      </c>
      <c r="Q153" s="199" t="n">
        <f aca="false">IFERROR(VLOOKUP(VALUE($D153),BSPL2026!$B:$Q,16,FALSE()),0)</f>
        <v>0</v>
      </c>
      <c r="R153" s="200" t="s">
        <v>496</v>
      </c>
      <c r="S153" s="162" t="str">
        <f aca="false">IFERROR(VLOOKUP(VALUE($D153),BSPL2026!$B:$M,12,FALSE()),"")</f>
        <v>예수금</v>
      </c>
      <c r="T153" s="162" t="str">
        <f aca="false">IF(OR(S153="",S153=0,LEFT(S153,5)="(원본오류"),"",IF(S153=H153,"","매핑차이"))</f>
        <v/>
      </c>
    </row>
    <row r="154" customFormat="false" ht="16.5" hidden="true" customHeight="false" outlineLevel="0" collapsed="false">
      <c r="D154" s="190" t="s">
        <v>829</v>
      </c>
      <c r="E154" s="191" t="s">
        <v>830</v>
      </c>
      <c r="F154" s="192" t="s">
        <v>493</v>
      </c>
      <c r="G154" s="193" t="s">
        <v>157</v>
      </c>
      <c r="H154" s="194" t="s">
        <v>169</v>
      </c>
      <c r="I154" s="195" t="s">
        <v>830</v>
      </c>
      <c r="J154" s="196" t="n">
        <f aca="false">IFERROR(VLOOKUP(VALUE($D154),BSPL2026!$B:$Z,25,FALSE()),0)</f>
        <v>0</v>
      </c>
      <c r="K154" s="197"/>
      <c r="L154" s="198"/>
      <c r="M154" s="196" t="n">
        <f aca="false">J154+K154-L154</f>
        <v>0</v>
      </c>
      <c r="N154" s="197" t="n">
        <f aca="false">SUMIF('statutory adj_2026 조정분개'!$S:$S,$D154,'statutory adj_2026 조정분개'!$K:$K)</f>
        <v>0</v>
      </c>
      <c r="O154" s="198" t="n">
        <f aca="false">SUMIF('statutory adj_2026 조정분개'!$S:$S,$D154,'statutory adj_2026 조정분개'!$L:$L)</f>
        <v>0</v>
      </c>
      <c r="P154" s="196" t="n">
        <f aca="false">M154+N154-O154</f>
        <v>0</v>
      </c>
      <c r="Q154" s="199" t="n">
        <f aca="false">IFERROR(VLOOKUP(VALUE($D154),BSPL2026!$B:$Q,16,FALSE()),0)</f>
        <v>0</v>
      </c>
      <c r="R154" s="200" t="s">
        <v>496</v>
      </c>
      <c r="S154" s="162" t="str">
        <f aca="false">IFERROR(VLOOKUP(VALUE($D154),BSPL2026!$B:$M,12,FALSE()),"")</f>
        <v>(원본오류 N/A)</v>
      </c>
      <c r="T154" s="162" t="str">
        <f aca="false">IF(OR(S154="",S154=0,LEFT(S154,5)="(원본오류"),"",IF(S154=H154,"","매핑차이"))</f>
        <v/>
      </c>
    </row>
    <row r="155" customFormat="false" ht="16.5" hidden="true" customHeight="false" outlineLevel="0" collapsed="false">
      <c r="D155" s="190" t="s">
        <v>831</v>
      </c>
      <c r="E155" s="191" t="s">
        <v>832</v>
      </c>
      <c r="F155" s="192" t="s">
        <v>493</v>
      </c>
      <c r="G155" s="193" t="s">
        <v>157</v>
      </c>
      <c r="H155" s="194" t="s">
        <v>169</v>
      </c>
      <c r="I155" s="195" t="s">
        <v>832</v>
      </c>
      <c r="J155" s="196" t="n">
        <f aca="false">IFERROR(VLOOKUP(VALUE($D155),BSPL2026!$B:$Z,25,FALSE()),0)</f>
        <v>5715518</v>
      </c>
      <c r="K155" s="197"/>
      <c r="L155" s="198"/>
      <c r="M155" s="196" t="n">
        <f aca="false">J155+K155-L155</f>
        <v>5715518</v>
      </c>
      <c r="N155" s="197" t="n">
        <f aca="false">SUMIF('statutory adj_2026 조정분개'!$S:$S,$D155,'statutory adj_2026 조정분개'!$K:$K)</f>
        <v>0</v>
      </c>
      <c r="O155" s="198" t="n">
        <f aca="false">SUMIF('statutory adj_2026 조정분개'!$S:$S,$D155,'statutory adj_2026 조정분개'!$L:$L)</f>
        <v>0</v>
      </c>
      <c r="P155" s="196" t="n">
        <f aca="false">M155+N155-O155</f>
        <v>5715518</v>
      </c>
      <c r="Q155" s="199" t="n">
        <f aca="false">IFERROR(VLOOKUP(VALUE($D155),BSPL2026!$B:$Q,16,FALSE()),0)</f>
        <v>1028428</v>
      </c>
      <c r="R155" s="200" t="s">
        <v>496</v>
      </c>
      <c r="S155" s="162" t="str">
        <f aca="false">IFERROR(VLOOKUP(VALUE($D155),BSPL2026!$B:$M,12,FALSE()),"")</f>
        <v>예수금</v>
      </c>
      <c r="T155" s="162" t="str">
        <f aca="false">IF(OR(S155="",S155=0,LEFT(S155,5)="(원본오류"),"",IF(S155=H155,"","매핑차이"))</f>
        <v/>
      </c>
    </row>
    <row r="156" customFormat="false" ht="16.5" hidden="true" customHeight="false" outlineLevel="0" collapsed="false">
      <c r="D156" s="190" t="s">
        <v>833</v>
      </c>
      <c r="E156" s="191" t="s">
        <v>834</v>
      </c>
      <c r="F156" s="192" t="s">
        <v>493</v>
      </c>
      <c r="G156" s="193" t="s">
        <v>157</v>
      </c>
      <c r="H156" s="194" t="s">
        <v>169</v>
      </c>
      <c r="I156" s="195" t="s">
        <v>834</v>
      </c>
      <c r="J156" s="196" t="n">
        <f aca="false">IFERROR(VLOOKUP(VALUE($D156),BSPL2026!$B:$Z,25,FALSE()),0)</f>
        <v>0</v>
      </c>
      <c r="K156" s="197"/>
      <c r="L156" s="198"/>
      <c r="M156" s="196" t="n">
        <f aca="false">J156+K156-L156</f>
        <v>0</v>
      </c>
      <c r="N156" s="197" t="n">
        <f aca="false">SUMIF('statutory adj_2026 조정분개'!$S:$S,$D156,'statutory adj_2026 조정분개'!$K:$K)</f>
        <v>0</v>
      </c>
      <c r="O156" s="198" t="n">
        <f aca="false">SUMIF('statutory adj_2026 조정분개'!$S:$S,$D156,'statutory adj_2026 조정분개'!$L:$L)</f>
        <v>0</v>
      </c>
      <c r="P156" s="196" t="n">
        <f aca="false">M156+N156-O156</f>
        <v>0</v>
      </c>
      <c r="Q156" s="199" t="n">
        <f aca="false">IFERROR(VLOOKUP(VALUE($D156),BSPL2026!$B:$Q,16,FALSE()),0)</f>
        <v>0</v>
      </c>
      <c r="R156" s="200" t="s">
        <v>496</v>
      </c>
      <c r="S156" s="162" t="str">
        <f aca="false">IFERROR(VLOOKUP(VALUE($D156),BSPL2026!$B:$M,12,FALSE()),"")</f>
        <v>예수금</v>
      </c>
      <c r="T156" s="162" t="str">
        <f aca="false">IF(OR(S156="",S156=0,LEFT(S156,5)="(원본오류"),"",IF(S156=H156,"","매핑차이"))</f>
        <v/>
      </c>
    </row>
    <row r="157" customFormat="false" ht="16.5" hidden="true" customHeight="false" outlineLevel="0" collapsed="false">
      <c r="D157" s="190" t="s">
        <v>835</v>
      </c>
      <c r="E157" s="191" t="s">
        <v>836</v>
      </c>
      <c r="F157" s="192" t="s">
        <v>493</v>
      </c>
      <c r="G157" s="193" t="s">
        <v>157</v>
      </c>
      <c r="H157" s="194" t="s">
        <v>169</v>
      </c>
      <c r="I157" s="195" t="s">
        <v>836</v>
      </c>
      <c r="J157" s="196" t="n">
        <f aca="false">IFERROR(VLOOKUP(VALUE($D157),BSPL2026!$B:$Z,25,FALSE()),0)</f>
        <v>-35571</v>
      </c>
      <c r="K157" s="197"/>
      <c r="L157" s="198"/>
      <c r="M157" s="196" t="n">
        <f aca="false">J157+K157-L157</f>
        <v>-35571</v>
      </c>
      <c r="N157" s="197" t="n">
        <f aca="false">SUMIF('statutory adj_2026 조정분개'!$S:$S,$D157,'statutory adj_2026 조정분개'!$K:$K)</f>
        <v>0</v>
      </c>
      <c r="O157" s="198" t="n">
        <f aca="false">SUMIF('statutory adj_2026 조정분개'!$S:$S,$D157,'statutory adj_2026 조정분개'!$L:$L)</f>
        <v>0</v>
      </c>
      <c r="P157" s="196" t="n">
        <f aca="false">M157+N157-O157</f>
        <v>-35571</v>
      </c>
      <c r="Q157" s="199" t="n">
        <f aca="false">IFERROR(VLOOKUP(VALUE($D157),BSPL2026!$B:$Q,16,FALSE()),0)</f>
        <v>102829</v>
      </c>
      <c r="R157" s="200" t="s">
        <v>496</v>
      </c>
      <c r="S157" s="162" t="str">
        <f aca="false">IFERROR(VLOOKUP(VALUE($D157),BSPL2026!$B:$M,12,FALSE()),"")</f>
        <v>예수금</v>
      </c>
      <c r="T157" s="162" t="str">
        <f aca="false">IF(OR(S157="",S157=0,LEFT(S157,5)="(원본오류"),"",IF(S157=H157,"","매핑차이"))</f>
        <v/>
      </c>
    </row>
    <row r="158" customFormat="false" ht="16.5" hidden="true" customHeight="false" outlineLevel="0" collapsed="false">
      <c r="D158" s="190" t="s">
        <v>837</v>
      </c>
      <c r="E158" s="191" t="s">
        <v>838</v>
      </c>
      <c r="F158" s="192" t="s">
        <v>493</v>
      </c>
      <c r="G158" s="193" t="s">
        <v>157</v>
      </c>
      <c r="H158" s="194" t="s">
        <v>169</v>
      </c>
      <c r="I158" s="195" t="s">
        <v>838</v>
      </c>
      <c r="J158" s="196" t="n">
        <f aca="false">IFERROR(VLOOKUP(VALUE($D158),BSPL2026!$B:$Z,25,FALSE()),0)</f>
        <v>0</v>
      </c>
      <c r="K158" s="197"/>
      <c r="L158" s="198"/>
      <c r="M158" s="196" t="n">
        <f aca="false">J158+K158-L158</f>
        <v>0</v>
      </c>
      <c r="N158" s="197" t="n">
        <f aca="false">SUMIF('statutory adj_2026 조정분개'!$S:$S,$D158,'statutory adj_2026 조정분개'!$K:$K)</f>
        <v>0</v>
      </c>
      <c r="O158" s="198" t="n">
        <f aca="false">SUMIF('statutory adj_2026 조정분개'!$S:$S,$D158,'statutory adj_2026 조정분개'!$L:$L)</f>
        <v>0</v>
      </c>
      <c r="P158" s="196" t="n">
        <f aca="false">M158+N158-O158</f>
        <v>0</v>
      </c>
      <c r="Q158" s="199" t="n">
        <f aca="false">IFERROR(VLOOKUP(VALUE($D158),BSPL2026!$B:$Q,16,FALSE()),0)</f>
        <v>0</v>
      </c>
      <c r="R158" s="200" t="s">
        <v>496</v>
      </c>
      <c r="S158" s="162" t="str">
        <f aca="false">IFERROR(VLOOKUP(VALUE($D158),BSPL2026!$B:$M,12,FALSE()),"")</f>
        <v>예수금</v>
      </c>
      <c r="T158" s="162" t="str">
        <f aca="false">IF(OR(S158="",S158=0,LEFT(S158,5)="(원본오류"),"",IF(S158=H158,"","매핑차이"))</f>
        <v/>
      </c>
    </row>
    <row r="159" customFormat="false" ht="16.5" hidden="true" customHeight="false" outlineLevel="0" collapsed="false">
      <c r="D159" s="190" t="s">
        <v>438</v>
      </c>
      <c r="E159" s="191" t="s">
        <v>439</v>
      </c>
      <c r="F159" s="192" t="s">
        <v>493</v>
      </c>
      <c r="G159" s="193" t="s">
        <v>157</v>
      </c>
      <c r="H159" s="194" t="s">
        <v>194</v>
      </c>
      <c r="I159" s="195" t="s">
        <v>439</v>
      </c>
      <c r="J159" s="196" t="n">
        <f aca="false">IFERROR(VLOOKUP(VALUE($D159),BSPL2026!$B:$Z,25,FALSE()),0)</f>
        <v>-912409574</v>
      </c>
      <c r="K159" s="197"/>
      <c r="L159" s="198"/>
      <c r="M159" s="196" t="n">
        <f aca="false">J159+K159-L159</f>
        <v>-912409574</v>
      </c>
      <c r="N159" s="197" t="n">
        <f aca="false">SUMIF('statutory adj_2026 조정분개'!$S:$S,$D159,'statutory adj_2026 조정분개'!$K:$K)</f>
        <v>0</v>
      </c>
      <c r="O159" s="198" t="n">
        <f aca="false">SUMIF('statutory adj_2026 조정분개'!$S:$S,$D159,'statutory adj_2026 조정분개'!$L:$L)</f>
        <v>0</v>
      </c>
      <c r="P159" s="196" t="n">
        <f aca="false">M159+N159-O159</f>
        <v>-912409574</v>
      </c>
      <c r="Q159" s="199" t="n">
        <f aca="false">IFERROR(VLOOKUP(VALUE($D159),BSPL2026!$B:$Q,16,FALSE()),0)</f>
        <v>-901263243</v>
      </c>
      <c r="R159" s="200" t="s">
        <v>496</v>
      </c>
      <c r="S159" s="162" t="str">
        <f aca="false">IFERROR(VLOOKUP(VALUE($D159),BSPL2026!$B:$M,12,FALSE()),"")</f>
        <v>복구충당부채</v>
      </c>
      <c r="T159" s="162" t="str">
        <f aca="false">IF(OR(S159="",S159=0,LEFT(S159,5)="(원본오류"),"",IF(S159=H159,"","매핑차이"))</f>
        <v/>
      </c>
    </row>
    <row r="160" customFormat="false" ht="16.5" hidden="true" customHeight="false" outlineLevel="0" collapsed="false">
      <c r="D160" s="190" t="s">
        <v>839</v>
      </c>
      <c r="E160" s="191" t="s">
        <v>840</v>
      </c>
      <c r="F160" s="192" t="s">
        <v>841</v>
      </c>
      <c r="G160" s="193" t="s">
        <v>842</v>
      </c>
      <c r="H160" s="194" t="s">
        <v>235</v>
      </c>
      <c r="I160" s="195" t="s">
        <v>840</v>
      </c>
      <c r="J160" s="196" t="n">
        <f aca="false">IFERROR(VLOOKUP(VALUE($D160),BSPL2026!$B:$Z,25,FALSE()),0)</f>
        <v>-9221612000</v>
      </c>
      <c r="K160" s="197"/>
      <c r="L160" s="198"/>
      <c r="M160" s="196" t="n">
        <f aca="false">J160+K160-L160</f>
        <v>-9221612000</v>
      </c>
      <c r="N160" s="197" t="n">
        <f aca="false">SUMIF('statutory adj_2026 조정분개'!$S:$S,$D160,'statutory adj_2026 조정분개'!$K:$K)</f>
        <v>0</v>
      </c>
      <c r="O160" s="198" t="n">
        <f aca="false">SUMIF('statutory adj_2026 조정분개'!$S:$S,$D160,'statutory adj_2026 조정분개'!$L:$L)</f>
        <v>0</v>
      </c>
      <c r="P160" s="196" t="n">
        <f aca="false">M160+N160-O160</f>
        <v>-9221612000</v>
      </c>
      <c r="Q160" s="199" t="n">
        <f aca="false">IFERROR(VLOOKUP(VALUE($D160),BSPL2026!$B:$Q,16,FALSE()),0)</f>
        <v>-3087000000</v>
      </c>
      <c r="R160" s="200" t="s">
        <v>496</v>
      </c>
      <c r="S160" s="162" t="str">
        <f aca="false">IFERROR(VLOOKUP(VALUE($D160),BSPL2026!$B:$M,12,FALSE()),"")</f>
        <v>매출액</v>
      </c>
      <c r="T160" s="162" t="str">
        <f aca="false">IF(OR(S160="",S160=0,LEFT(S160,5)="(원본오류"),"",IF(S160=H160,"","매핑차이"))</f>
        <v/>
      </c>
    </row>
    <row r="161" customFormat="false" ht="16.5" hidden="true" customHeight="false" outlineLevel="0" collapsed="false">
      <c r="D161" s="190" t="s">
        <v>843</v>
      </c>
      <c r="E161" s="191" t="s">
        <v>844</v>
      </c>
      <c r="F161" s="192" t="s">
        <v>841</v>
      </c>
      <c r="G161" s="193" t="s">
        <v>842</v>
      </c>
      <c r="H161" s="194" t="s">
        <v>235</v>
      </c>
      <c r="I161" s="195" t="s">
        <v>844</v>
      </c>
      <c r="J161" s="196" t="n">
        <f aca="false">IFERROR(VLOOKUP(VALUE($D161),BSPL2026!$B:$Z,25,FALSE()),0)</f>
        <v>2405434000</v>
      </c>
      <c r="K161" s="197"/>
      <c r="L161" s="198"/>
      <c r="M161" s="196" t="n">
        <f aca="false">J161+K161-L161</f>
        <v>2405434000</v>
      </c>
      <c r="N161" s="197" t="n">
        <f aca="false">SUMIF('statutory adj_2026 조정분개'!$S:$S,$D161,'statutory adj_2026 조정분개'!$K:$K)</f>
        <v>0</v>
      </c>
      <c r="O161" s="198" t="n">
        <f aca="false">SUMIF('statutory adj_2026 조정분개'!$S:$S,$D161,'statutory adj_2026 조정분개'!$L:$L)</f>
        <v>0</v>
      </c>
      <c r="P161" s="196" t="n">
        <f aca="false">M161+N161-O161</f>
        <v>2405434000</v>
      </c>
      <c r="Q161" s="199" t="n">
        <f aca="false">IFERROR(VLOOKUP(VALUE($D161),BSPL2026!$B:$Q,16,FALSE()),0)</f>
        <v>0</v>
      </c>
      <c r="R161" s="200" t="s">
        <v>496</v>
      </c>
      <c r="S161" s="162" t="str">
        <f aca="false">IFERROR(VLOOKUP(VALUE($D161),BSPL2026!$B:$M,12,FALSE()),"")</f>
        <v>매출액</v>
      </c>
      <c r="T161" s="162" t="str">
        <f aca="false">IF(OR(S161="",S161=0,LEFT(S161,5)="(원본오류"),"",IF(S161=H161,"","매핑차이"))</f>
        <v/>
      </c>
    </row>
    <row r="162" customFormat="false" ht="16.5" hidden="true" customHeight="false" outlineLevel="0" collapsed="false">
      <c r="D162" s="190" t="s">
        <v>845</v>
      </c>
      <c r="E162" s="191" t="s">
        <v>846</v>
      </c>
      <c r="F162" s="192" t="s">
        <v>841</v>
      </c>
      <c r="G162" s="193" t="s">
        <v>842</v>
      </c>
      <c r="H162" s="194" t="s">
        <v>235</v>
      </c>
      <c r="I162" s="195" t="s">
        <v>846</v>
      </c>
      <c r="J162" s="196" t="n">
        <f aca="false">IFERROR(VLOOKUP(VALUE($D162),BSPL2026!$B:$Z,25,FALSE()),0)</f>
        <v>-659560439833</v>
      </c>
      <c r="K162" s="197"/>
      <c r="L162" s="198"/>
      <c r="M162" s="196" t="n">
        <f aca="false">J162+K162-L162</f>
        <v>-659560439833</v>
      </c>
      <c r="N162" s="197" t="n">
        <f aca="false">SUMIF('statutory adj_2026 조정분개'!$S:$S,$D162,'statutory adj_2026 조정분개'!$K:$K)</f>
        <v>0</v>
      </c>
      <c r="O162" s="198" t="n">
        <f aca="false">SUMIF('statutory adj_2026 조정분개'!$S:$S,$D162,'statutory adj_2026 조정분개'!$L:$L)</f>
        <v>0</v>
      </c>
      <c r="P162" s="196" t="n">
        <f aca="false">M162+N162-O162</f>
        <v>-659560439833</v>
      </c>
      <c r="Q162" s="199" t="n">
        <f aca="false">IFERROR(VLOOKUP(VALUE($D162),BSPL2026!$B:$Q,16,FALSE()),0)</f>
        <v>-814803906204</v>
      </c>
      <c r="R162" s="200" t="s">
        <v>496</v>
      </c>
      <c r="S162" s="162" t="str">
        <f aca="false">IFERROR(VLOOKUP(VALUE($D162),BSPL2026!$B:$M,12,FALSE()),"")</f>
        <v>매출액</v>
      </c>
      <c r="T162" s="162" t="str">
        <f aca="false">IF(OR(S162="",S162=0,LEFT(S162,5)="(원본오류"),"",IF(S162=H162,"","매핑차이"))</f>
        <v/>
      </c>
    </row>
    <row r="163" customFormat="false" ht="16.5" hidden="true" customHeight="false" outlineLevel="0" collapsed="false">
      <c r="D163" s="190" t="s">
        <v>847</v>
      </c>
      <c r="E163" s="191" t="s">
        <v>848</v>
      </c>
      <c r="F163" s="192" t="s">
        <v>841</v>
      </c>
      <c r="G163" s="193" t="s">
        <v>842</v>
      </c>
      <c r="H163" s="194" t="s">
        <v>235</v>
      </c>
      <c r="I163" s="195" t="s">
        <v>848</v>
      </c>
      <c r="J163" s="196" t="n">
        <f aca="false">IFERROR(VLOOKUP(VALUE($D163),BSPL2026!$B:$Z,25,FALSE()),0)</f>
        <v>278999</v>
      </c>
      <c r="K163" s="197"/>
      <c r="L163" s="198"/>
      <c r="M163" s="196" t="n">
        <f aca="false">J163+K163-L163</f>
        <v>278999</v>
      </c>
      <c r="N163" s="197" t="n">
        <f aca="false">SUMIF('statutory adj_2026 조정분개'!$S:$S,$D163,'statutory adj_2026 조정분개'!$K:$K)</f>
        <v>0</v>
      </c>
      <c r="O163" s="198" t="n">
        <f aca="false">SUMIF('statutory adj_2026 조정분개'!$S:$S,$D163,'statutory adj_2026 조정분개'!$L:$L)</f>
        <v>0</v>
      </c>
      <c r="P163" s="196" t="n">
        <f aca="false">M163+N163-O163</f>
        <v>278999</v>
      </c>
      <c r="Q163" s="199" t="n">
        <f aca="false">IFERROR(VLOOKUP(VALUE($D163),BSPL2026!$B:$Q,16,FALSE()),0)</f>
        <v>2562762679</v>
      </c>
      <c r="R163" s="200" t="s">
        <v>496</v>
      </c>
      <c r="S163" s="162" t="str">
        <f aca="false">IFERROR(VLOOKUP(VALUE($D163),BSPL2026!$B:$M,12,FALSE()),"")</f>
        <v>매출액</v>
      </c>
      <c r="T163" s="162" t="str">
        <f aca="false">IF(OR(S163="",S163=0,LEFT(S163,5)="(원본오류"),"",IF(S163=H163,"","매핑차이"))</f>
        <v/>
      </c>
    </row>
    <row r="164" customFormat="false" ht="16.5" hidden="true" customHeight="false" outlineLevel="0" collapsed="false">
      <c r="D164" s="190" t="s">
        <v>849</v>
      </c>
      <c r="E164" s="191" t="s">
        <v>850</v>
      </c>
      <c r="F164" s="192" t="s">
        <v>841</v>
      </c>
      <c r="G164" s="193" t="s">
        <v>842</v>
      </c>
      <c r="H164" s="194" t="s">
        <v>235</v>
      </c>
      <c r="I164" s="195" t="s">
        <v>850</v>
      </c>
      <c r="J164" s="196" t="n">
        <f aca="false">IFERROR(VLOOKUP(VALUE($D164),BSPL2026!$B:$Z,25,FALSE()),0)</f>
        <v>-841471076</v>
      </c>
      <c r="K164" s="197"/>
      <c r="L164" s="198"/>
      <c r="M164" s="196" t="n">
        <f aca="false">J164+K164-L164</f>
        <v>-841471076</v>
      </c>
      <c r="N164" s="197" t="n">
        <f aca="false">SUMIF('statutory adj_2026 조정분개'!$S:$S,$D164,'statutory adj_2026 조정분개'!$K:$K)</f>
        <v>0</v>
      </c>
      <c r="O164" s="198" t="n">
        <f aca="false">SUMIF('statutory adj_2026 조정분개'!$S:$S,$D164,'statutory adj_2026 조정분개'!$L:$L)</f>
        <v>0</v>
      </c>
      <c r="P164" s="196" t="n">
        <f aca="false">M164+N164-O164</f>
        <v>-841471076</v>
      </c>
      <c r="Q164" s="199" t="n">
        <f aca="false">IFERROR(VLOOKUP(VALUE($D164),BSPL2026!$B:$Q,16,FALSE()),0)</f>
        <v>0</v>
      </c>
      <c r="R164" s="200" t="s">
        <v>496</v>
      </c>
      <c r="S164" s="162" t="str">
        <f aca="false">IFERROR(VLOOKUP(VALUE($D164),BSPL2026!$B:$M,12,FALSE()),"")</f>
        <v>매출액</v>
      </c>
      <c r="T164" s="162" t="str">
        <f aca="false">IF(OR(S164="",S164=0,LEFT(S164,5)="(원본오류"),"",IF(S164=H164,"","매핑차이"))</f>
        <v/>
      </c>
    </row>
    <row r="165" customFormat="false" ht="16.5" hidden="true" customHeight="false" outlineLevel="0" collapsed="false">
      <c r="D165" s="190" t="s">
        <v>851</v>
      </c>
      <c r="E165" s="191" t="s">
        <v>852</v>
      </c>
      <c r="F165" s="192" t="s">
        <v>841</v>
      </c>
      <c r="G165" s="193" t="s">
        <v>842</v>
      </c>
      <c r="H165" s="194" t="s">
        <v>235</v>
      </c>
      <c r="I165" s="195" t="s">
        <v>852</v>
      </c>
      <c r="J165" s="196" t="n">
        <f aca="false">IFERROR(VLOOKUP(VALUE($D165),BSPL2026!$B:$Z,25,FALSE()),0)</f>
        <v>100647150</v>
      </c>
      <c r="K165" s="197"/>
      <c r="L165" s="198"/>
      <c r="M165" s="196" t="n">
        <f aca="false">J165+K165-L165</f>
        <v>100647150</v>
      </c>
      <c r="N165" s="197" t="n">
        <f aca="false">SUMIF('statutory adj_2026 조정분개'!$S:$S,$D165,'statutory adj_2026 조정분개'!$K:$K)</f>
        <v>0</v>
      </c>
      <c r="O165" s="198" t="n">
        <f aca="false">SUMIF('statutory adj_2026 조정분개'!$S:$S,$D165,'statutory adj_2026 조정분개'!$L:$L)</f>
        <v>0</v>
      </c>
      <c r="P165" s="196" t="n">
        <f aca="false">M165+N165-O165</f>
        <v>100647150</v>
      </c>
      <c r="Q165" s="199" t="n">
        <f aca="false">IFERROR(VLOOKUP(VALUE($D165),BSPL2026!$B:$Q,16,FALSE()),0)</f>
        <v>117845810</v>
      </c>
      <c r="R165" s="200" t="s">
        <v>496</v>
      </c>
      <c r="S165" s="162" t="str">
        <f aca="false">IFERROR(VLOOKUP(VALUE($D165),BSPL2026!$B:$M,12,FALSE()),"")</f>
        <v>매출액</v>
      </c>
      <c r="T165" s="162" t="str">
        <f aca="false">IF(OR(S165="",S165=0,LEFT(S165,5)="(원본오류"),"",IF(S165=H165,"","매핑차이"))</f>
        <v/>
      </c>
    </row>
    <row r="166" customFormat="false" ht="16.5" hidden="true" customHeight="false" outlineLevel="0" collapsed="false">
      <c r="D166" s="190" t="s">
        <v>853</v>
      </c>
      <c r="E166" s="191" t="s">
        <v>854</v>
      </c>
      <c r="F166" s="192" t="s">
        <v>841</v>
      </c>
      <c r="G166" s="193" t="s">
        <v>842</v>
      </c>
      <c r="H166" s="194" t="s">
        <v>235</v>
      </c>
      <c r="I166" s="195" t="s">
        <v>854</v>
      </c>
      <c r="J166" s="196" t="n">
        <f aca="false">IFERROR(VLOOKUP(VALUE($D166),BSPL2026!$B:$Z,25,FALSE()),0)</f>
        <v>3697749345</v>
      </c>
      <c r="K166" s="197"/>
      <c r="L166" s="198"/>
      <c r="M166" s="196" t="n">
        <f aca="false">J166+K166-L166</f>
        <v>3697749345</v>
      </c>
      <c r="N166" s="197" t="n">
        <f aca="false">SUMIF('statutory adj_2026 조정분개'!$S:$S,$D166,'statutory adj_2026 조정분개'!$K:$K)</f>
        <v>0</v>
      </c>
      <c r="O166" s="198" t="n">
        <f aca="false">SUMIF('statutory adj_2026 조정분개'!$S:$S,$D166,'statutory adj_2026 조정분개'!$L:$L)</f>
        <v>0</v>
      </c>
      <c r="P166" s="196" t="n">
        <f aca="false">M166+N166-O166</f>
        <v>3697749345</v>
      </c>
      <c r="Q166" s="199" t="n">
        <f aca="false">IFERROR(VLOOKUP(VALUE($D166),BSPL2026!$B:$Q,16,FALSE()),0)</f>
        <v>2131290602</v>
      </c>
      <c r="R166" s="200" t="s">
        <v>496</v>
      </c>
      <c r="S166" s="162" t="str">
        <f aca="false">IFERROR(VLOOKUP(VALUE($D166),BSPL2026!$B:$M,12,FALSE()),"")</f>
        <v>매출액</v>
      </c>
      <c r="T166" s="162" t="str">
        <f aca="false">IF(OR(S166="",S166=0,LEFT(S166,5)="(원본오류"),"",IF(S166=H166,"","매핑차이"))</f>
        <v/>
      </c>
    </row>
    <row r="167" customFormat="false" ht="16.5" hidden="true" customHeight="false" outlineLevel="0" collapsed="false">
      <c r="D167" s="190" t="s">
        <v>855</v>
      </c>
      <c r="E167" s="191" t="s">
        <v>856</v>
      </c>
      <c r="F167" s="192" t="s">
        <v>841</v>
      </c>
      <c r="G167" s="193" t="s">
        <v>842</v>
      </c>
      <c r="H167" s="194" t="s">
        <v>235</v>
      </c>
      <c r="I167" s="195" t="s">
        <v>856</v>
      </c>
      <c r="J167" s="196" t="n">
        <f aca="false">IFERROR(VLOOKUP(VALUE($D167),BSPL2026!$B:$Z,25,FALSE()),0)</f>
        <v>-950000000</v>
      </c>
      <c r="K167" s="197"/>
      <c r="L167" s="198"/>
      <c r="M167" s="196" t="n">
        <f aca="false">J167+K167-L167</f>
        <v>-950000000</v>
      </c>
      <c r="N167" s="197" t="n">
        <f aca="false">SUMIF('statutory adj_2026 조정분개'!$S:$S,$D167,'statutory adj_2026 조정분개'!$K:$K)</f>
        <v>0</v>
      </c>
      <c r="O167" s="198" t="n">
        <f aca="false">SUMIF('statutory adj_2026 조정분개'!$S:$S,$D167,'statutory adj_2026 조정분개'!$L:$L)</f>
        <v>0</v>
      </c>
      <c r="P167" s="196" t="n">
        <f aca="false">M167+N167-O167</f>
        <v>-950000000</v>
      </c>
      <c r="Q167" s="199" t="n">
        <f aca="false">IFERROR(VLOOKUP(VALUE($D167),BSPL2026!$B:$Q,16,FALSE()),0)</f>
        <v>-2726200000</v>
      </c>
      <c r="R167" s="200" t="s">
        <v>496</v>
      </c>
      <c r="S167" s="162" t="str">
        <f aca="false">IFERROR(VLOOKUP(VALUE($D167),BSPL2026!$B:$M,12,FALSE()),"")</f>
        <v>매출액</v>
      </c>
      <c r="T167" s="162" t="str">
        <f aca="false">IF(OR(S167="",S167=0,LEFT(S167,5)="(원본오류"),"",IF(S167=H167,"","매핑차이"))</f>
        <v/>
      </c>
    </row>
    <row r="168" customFormat="false" ht="16.5" hidden="true" customHeight="false" outlineLevel="0" collapsed="false">
      <c r="D168" s="190" t="s">
        <v>857</v>
      </c>
      <c r="E168" s="191" t="s">
        <v>858</v>
      </c>
      <c r="F168" s="192" t="s">
        <v>841</v>
      </c>
      <c r="G168" s="193" t="s">
        <v>842</v>
      </c>
      <c r="H168" s="194" t="s">
        <v>235</v>
      </c>
      <c r="I168" s="195" t="s">
        <v>858</v>
      </c>
      <c r="J168" s="196" t="n">
        <f aca="false">IFERROR(VLOOKUP(VALUE($D168),BSPL2026!$B:$Z,25,FALSE()),0)</f>
        <v>-732044323</v>
      </c>
      <c r="K168" s="197"/>
      <c r="L168" s="198"/>
      <c r="M168" s="196" t="n">
        <f aca="false">J168+K168-L168</f>
        <v>-732044323</v>
      </c>
      <c r="N168" s="197" t="n">
        <f aca="false">SUMIF('statutory adj_2026 조정분개'!$S:$S,$D168,'statutory adj_2026 조정분개'!$K:$K)</f>
        <v>0</v>
      </c>
      <c r="O168" s="198" t="n">
        <f aca="false">SUMIF('statutory adj_2026 조정분개'!$S:$S,$D168,'statutory adj_2026 조정분개'!$L:$L)</f>
        <v>0</v>
      </c>
      <c r="P168" s="196" t="n">
        <f aca="false">M168+N168-O168</f>
        <v>-732044323</v>
      </c>
      <c r="Q168" s="199" t="n">
        <f aca="false">IFERROR(VLOOKUP(VALUE($D168),BSPL2026!$B:$Q,16,FALSE()),0)</f>
        <v>3307432009</v>
      </c>
      <c r="R168" s="200" t="s">
        <v>496</v>
      </c>
      <c r="S168" s="162" t="str">
        <f aca="false">IFERROR(VLOOKUP(VALUE($D168),BSPL2026!$B:$M,12,FALSE()),"")</f>
        <v>매출액</v>
      </c>
      <c r="T168" s="162" t="str">
        <f aca="false">IF(OR(S168="",S168=0,LEFT(S168,5)="(원본오류"),"",IF(S168=H168,"","매핑차이"))</f>
        <v/>
      </c>
    </row>
    <row r="169" customFormat="false" ht="16.5" hidden="true" customHeight="false" outlineLevel="0" collapsed="false">
      <c r="D169" s="190" t="s">
        <v>859</v>
      </c>
      <c r="E169" s="191" t="s">
        <v>860</v>
      </c>
      <c r="F169" s="192" t="s">
        <v>841</v>
      </c>
      <c r="G169" s="193" t="s">
        <v>842</v>
      </c>
      <c r="H169" s="194" t="s">
        <v>235</v>
      </c>
      <c r="I169" s="195" t="s">
        <v>860</v>
      </c>
      <c r="J169" s="196" t="n">
        <f aca="false">IFERROR(VLOOKUP(VALUE($D169),BSPL2026!$B:$Z,25,FALSE()),0)</f>
        <v>55603169388</v>
      </c>
      <c r="K169" s="197"/>
      <c r="L169" s="198"/>
      <c r="M169" s="196" t="n">
        <f aca="false">J169+K169-L169</f>
        <v>55603169388</v>
      </c>
      <c r="N169" s="197" t="n">
        <f aca="false">SUMIF('statutory adj_2026 조정분개'!$S:$S,$D169,'statutory adj_2026 조정분개'!$K:$K)</f>
        <v>0</v>
      </c>
      <c r="O169" s="198" t="n">
        <f aca="false">SUMIF('statutory adj_2026 조정분개'!$S:$S,$D169,'statutory adj_2026 조정분개'!$L:$L)</f>
        <v>0</v>
      </c>
      <c r="P169" s="196" t="n">
        <f aca="false">M169+N169-O169</f>
        <v>55603169388</v>
      </c>
      <c r="Q169" s="199" t="n">
        <f aca="false">IFERROR(VLOOKUP(VALUE($D169),BSPL2026!$B:$Q,16,FALSE()),0)</f>
        <v>59356208234</v>
      </c>
      <c r="R169" s="200" t="s">
        <v>496</v>
      </c>
      <c r="S169" s="162" t="str">
        <f aca="false">IFERROR(VLOOKUP(VALUE($D169),BSPL2026!$B:$M,12,FALSE()),"")</f>
        <v>매출액</v>
      </c>
      <c r="T169" s="162" t="str">
        <f aca="false">IF(OR(S169="",S169=0,LEFT(S169,5)="(원본오류"),"",IF(S169=H169,"","매핑차이"))</f>
        <v/>
      </c>
    </row>
    <row r="170" customFormat="false" ht="16.5" hidden="true" customHeight="false" outlineLevel="0" collapsed="false">
      <c r="D170" s="190" t="s">
        <v>861</v>
      </c>
      <c r="E170" s="191" t="s">
        <v>862</v>
      </c>
      <c r="F170" s="192" t="s">
        <v>841</v>
      </c>
      <c r="G170" s="193" t="s">
        <v>842</v>
      </c>
      <c r="H170" s="194" t="s">
        <v>235</v>
      </c>
      <c r="I170" s="195" t="s">
        <v>862</v>
      </c>
      <c r="J170" s="196" t="n">
        <f aca="false">IFERROR(VLOOKUP(VALUE($D170),BSPL2026!$B:$Z,25,FALSE()),0)</f>
        <v>58814456189</v>
      </c>
      <c r="K170" s="197"/>
      <c r="L170" s="198"/>
      <c r="M170" s="196" t="n">
        <f aca="false">J170+K170-L170</f>
        <v>58814456189</v>
      </c>
      <c r="N170" s="197" t="n">
        <f aca="false">SUMIF('statutory adj_2026 조정분개'!$S:$S,$D170,'statutory adj_2026 조정분개'!$K:$K)</f>
        <v>0</v>
      </c>
      <c r="O170" s="198" t="n">
        <f aca="false">SUMIF('statutory adj_2026 조정분개'!$S:$S,$D170,'statutory adj_2026 조정분개'!$L:$L)</f>
        <v>0</v>
      </c>
      <c r="P170" s="196" t="n">
        <f aca="false">M170+N170-O170</f>
        <v>58814456189</v>
      </c>
      <c r="Q170" s="199" t="n">
        <f aca="false">IFERROR(VLOOKUP(VALUE($D170),BSPL2026!$B:$Q,16,FALSE()),0)</f>
        <v>65934766601</v>
      </c>
      <c r="R170" s="200" t="s">
        <v>496</v>
      </c>
      <c r="S170" s="162" t="str">
        <f aca="false">IFERROR(VLOOKUP(VALUE($D170),BSPL2026!$B:$M,12,FALSE()),"")</f>
        <v>매출액</v>
      </c>
      <c r="T170" s="162" t="str">
        <f aca="false">IF(OR(S170="",S170=0,LEFT(S170,5)="(원본오류"),"",IF(S170=H170,"","매핑차이"))</f>
        <v/>
      </c>
    </row>
    <row r="171" customFormat="false" ht="16.5" hidden="true" customHeight="false" outlineLevel="0" collapsed="false">
      <c r="D171" s="190" t="s">
        <v>863</v>
      </c>
      <c r="E171" s="191" t="s">
        <v>864</v>
      </c>
      <c r="F171" s="192" t="s">
        <v>841</v>
      </c>
      <c r="G171" s="193" t="s">
        <v>842</v>
      </c>
      <c r="H171" s="194" t="s">
        <v>235</v>
      </c>
      <c r="I171" s="195" t="s">
        <v>864</v>
      </c>
      <c r="J171" s="196" t="n">
        <f aca="false">IFERROR(VLOOKUP(VALUE($D171),BSPL2026!$B:$Z,25,FALSE()),0)</f>
        <v>-2094817541</v>
      </c>
      <c r="K171" s="197"/>
      <c r="L171" s="198"/>
      <c r="M171" s="196" t="n">
        <f aca="false">J171+K171-L171</f>
        <v>-2094817541</v>
      </c>
      <c r="N171" s="197" t="n">
        <f aca="false">SUMIF('statutory adj_2026 조정분개'!$S:$S,$D171,'statutory adj_2026 조정분개'!$K:$K)</f>
        <v>0</v>
      </c>
      <c r="O171" s="198" t="n">
        <f aca="false">SUMIF('statutory adj_2026 조정분개'!$S:$S,$D171,'statutory adj_2026 조정분개'!$L:$L)</f>
        <v>0</v>
      </c>
      <c r="P171" s="196" t="n">
        <f aca="false">M171+N171-O171</f>
        <v>-2094817541</v>
      </c>
      <c r="Q171" s="199" t="n">
        <f aca="false">IFERROR(VLOOKUP(VALUE($D171),BSPL2026!$B:$Q,16,FALSE()),0)</f>
        <v>2731055417</v>
      </c>
      <c r="R171" s="200" t="s">
        <v>496</v>
      </c>
      <c r="S171" s="162" t="str">
        <f aca="false">IFERROR(VLOOKUP(VALUE($D171),BSPL2026!$B:$M,12,FALSE()),"")</f>
        <v>매출액</v>
      </c>
      <c r="T171" s="162" t="str">
        <f aca="false">IF(OR(S171="",S171=0,LEFT(S171,5)="(원본오류"),"",IF(S171=H171,"","매핑차이"))</f>
        <v/>
      </c>
    </row>
    <row r="172" customFormat="false" ht="16.5" hidden="true" customHeight="false" outlineLevel="0" collapsed="false">
      <c r="D172" s="190" t="s">
        <v>865</v>
      </c>
      <c r="E172" s="191" t="s">
        <v>866</v>
      </c>
      <c r="F172" s="192" t="s">
        <v>841</v>
      </c>
      <c r="G172" s="193" t="s">
        <v>842</v>
      </c>
      <c r="H172" s="194" t="s">
        <v>235</v>
      </c>
      <c r="I172" s="195" t="s">
        <v>866</v>
      </c>
      <c r="J172" s="196" t="n">
        <f aca="false">IFERROR(VLOOKUP(VALUE($D172),BSPL2026!$B:$Z,25,FALSE()),0)</f>
        <v>-1043177671</v>
      </c>
      <c r="K172" s="197"/>
      <c r="L172" s="198"/>
      <c r="M172" s="196" t="n">
        <f aca="false">J172+K172-L172</f>
        <v>-1043177671</v>
      </c>
      <c r="N172" s="197" t="n">
        <f aca="false">SUMIF('statutory adj_2026 조정분개'!$S:$S,$D172,'statutory adj_2026 조정분개'!$K:$K)</f>
        <v>0</v>
      </c>
      <c r="O172" s="198" t="n">
        <f aca="false">SUMIF('statutory adj_2026 조정분개'!$S:$S,$D172,'statutory adj_2026 조정분개'!$L:$L)</f>
        <v>0</v>
      </c>
      <c r="P172" s="196" t="n">
        <f aca="false">M172+N172-O172</f>
        <v>-1043177671</v>
      </c>
      <c r="Q172" s="199" t="n">
        <f aca="false">IFERROR(VLOOKUP(VALUE($D172),BSPL2026!$B:$Q,16,FALSE()),0)</f>
        <v>9577310118</v>
      </c>
      <c r="R172" s="200" t="s">
        <v>496</v>
      </c>
      <c r="S172" s="162" t="str">
        <f aca="false">IFERROR(VLOOKUP(VALUE($D172),BSPL2026!$B:$M,12,FALSE()),"")</f>
        <v>매출액</v>
      </c>
      <c r="T172" s="162" t="str">
        <f aca="false">IF(OR(S172="",S172=0,LEFT(S172,5)="(원본오류"),"",IF(S172=H172,"","매핑차이"))</f>
        <v/>
      </c>
    </row>
    <row r="173" customFormat="false" ht="16.5" hidden="true" customHeight="false" outlineLevel="0" collapsed="false">
      <c r="D173" s="190" t="s">
        <v>867</v>
      </c>
      <c r="E173" s="191" t="s">
        <v>868</v>
      </c>
      <c r="F173" s="192" t="s">
        <v>841</v>
      </c>
      <c r="G173" s="193" t="s">
        <v>842</v>
      </c>
      <c r="H173" s="194" t="s">
        <v>235</v>
      </c>
      <c r="I173" s="195" t="s">
        <v>868</v>
      </c>
      <c r="J173" s="196" t="n">
        <f aca="false">IFERROR(VLOOKUP(VALUE($D173),BSPL2026!$B:$Z,25,FALSE()),0)</f>
        <v>11739011327</v>
      </c>
      <c r="K173" s="197"/>
      <c r="L173" s="198"/>
      <c r="M173" s="196" t="n">
        <f aca="false">J173+K173-L173</f>
        <v>11739011327</v>
      </c>
      <c r="N173" s="197" t="n">
        <f aca="false">SUMIF('statutory adj_2026 조정분개'!$S:$S,$D173,'statutory adj_2026 조정분개'!$K:$K)</f>
        <v>0</v>
      </c>
      <c r="O173" s="198" t="n">
        <f aca="false">SUMIF('statutory adj_2026 조정분개'!$S:$S,$D173,'statutory adj_2026 조정분개'!$L:$L)</f>
        <v>0</v>
      </c>
      <c r="P173" s="196" t="n">
        <f aca="false">M173+N173-O173</f>
        <v>11739011327</v>
      </c>
      <c r="Q173" s="199" t="n">
        <f aca="false">IFERROR(VLOOKUP(VALUE($D173),BSPL2026!$B:$Q,16,FALSE()),0)</f>
        <v>21861009921</v>
      </c>
      <c r="R173" s="200" t="s">
        <v>496</v>
      </c>
      <c r="S173" s="162" t="str">
        <f aca="false">IFERROR(VLOOKUP(VALUE($D173),BSPL2026!$B:$M,12,FALSE()),"")</f>
        <v>매출액</v>
      </c>
      <c r="T173" s="162" t="str">
        <f aca="false">IF(OR(S173="",S173=0,LEFT(S173,5)="(원본오류"),"",IF(S173=H173,"","매핑차이"))</f>
        <v/>
      </c>
    </row>
    <row r="174" customFormat="false" ht="16.5" hidden="true" customHeight="false" outlineLevel="0" collapsed="false">
      <c r="D174" s="190" t="s">
        <v>869</v>
      </c>
      <c r="E174" s="191" t="s">
        <v>870</v>
      </c>
      <c r="F174" s="192" t="s">
        <v>841</v>
      </c>
      <c r="G174" s="193" t="s">
        <v>842</v>
      </c>
      <c r="H174" s="194" t="s">
        <v>235</v>
      </c>
      <c r="I174" s="195" t="s">
        <v>870</v>
      </c>
      <c r="J174" s="196" t="n">
        <f aca="false">IFERROR(VLOOKUP(VALUE($D174),BSPL2026!$B:$Z,25,FALSE()),0)</f>
        <v>-245443361</v>
      </c>
      <c r="K174" s="197"/>
      <c r="L174" s="198"/>
      <c r="M174" s="196" t="n">
        <f aca="false">J174+K174-L174</f>
        <v>-245443361</v>
      </c>
      <c r="N174" s="197" t="n">
        <f aca="false">SUMIF('statutory adj_2026 조정분개'!$S:$S,$D174,'statutory adj_2026 조정분개'!$K:$K)</f>
        <v>0</v>
      </c>
      <c r="O174" s="198" t="n">
        <f aca="false">SUMIF('statutory adj_2026 조정분개'!$S:$S,$D174,'statutory adj_2026 조정분개'!$L:$L)</f>
        <v>0</v>
      </c>
      <c r="P174" s="196" t="n">
        <f aca="false">M174+N174-O174</f>
        <v>-245443361</v>
      </c>
      <c r="Q174" s="199" t="n">
        <f aca="false">IFERROR(VLOOKUP(VALUE($D174),BSPL2026!$B:$Q,16,FALSE()),0)</f>
        <v>-39590985</v>
      </c>
      <c r="R174" s="200" t="s">
        <v>496</v>
      </c>
      <c r="S174" s="162" t="str">
        <f aca="false">IFERROR(VLOOKUP(VALUE($D174),BSPL2026!$B:$M,12,FALSE()),"")</f>
        <v>매출액</v>
      </c>
      <c r="T174" s="162" t="str">
        <f aca="false">IF(OR(S174="",S174=0,LEFT(S174,5)="(원본오류"),"",IF(S174=H174,"","매핑차이"))</f>
        <v/>
      </c>
    </row>
    <row r="175" customFormat="false" ht="16.5" hidden="true" customHeight="false" outlineLevel="0" collapsed="false">
      <c r="D175" s="190" t="s">
        <v>871</v>
      </c>
      <c r="E175" s="191" t="s">
        <v>804</v>
      </c>
      <c r="F175" s="192" t="s">
        <v>841</v>
      </c>
      <c r="G175" s="193" t="s">
        <v>842</v>
      </c>
      <c r="H175" s="194" t="s">
        <v>235</v>
      </c>
      <c r="I175" s="195" t="s">
        <v>804</v>
      </c>
      <c r="J175" s="196" t="n">
        <f aca="false">IFERROR(VLOOKUP(VALUE($D175),BSPL2026!$B:$Z,25,FALSE()),0)</f>
        <v>10006743243</v>
      </c>
      <c r="K175" s="197"/>
      <c r="L175" s="198"/>
      <c r="M175" s="196" t="n">
        <f aca="false">J175+K175-L175</f>
        <v>10006743243</v>
      </c>
      <c r="N175" s="197" t="n">
        <f aca="false">SUMIF('statutory adj_2026 조정분개'!$S:$S,$D175,'statutory adj_2026 조정분개'!$K:$K)</f>
        <v>0</v>
      </c>
      <c r="O175" s="198" t="n">
        <f aca="false">SUMIF('statutory adj_2026 조정분개'!$S:$S,$D175,'statutory adj_2026 조정분개'!$L:$L)</f>
        <v>0</v>
      </c>
      <c r="P175" s="196" t="n">
        <f aca="false">M175+N175-O175</f>
        <v>10006743243</v>
      </c>
      <c r="Q175" s="199" t="n">
        <f aca="false">IFERROR(VLOOKUP(VALUE($D175),BSPL2026!$B:$Q,16,FALSE()),0)</f>
        <v>7322555127</v>
      </c>
      <c r="R175" s="200" t="s">
        <v>496</v>
      </c>
      <c r="S175" s="162" t="str">
        <f aca="false">IFERROR(VLOOKUP(VALUE($D175),BSPL2026!$B:$M,12,FALSE()),"")</f>
        <v>매출액</v>
      </c>
      <c r="T175" s="162" t="str">
        <f aca="false">IF(OR(S175="",S175=0,LEFT(S175,5)="(원본오류"),"",IF(S175=H175,"","매핑차이"))</f>
        <v/>
      </c>
    </row>
    <row r="176" customFormat="false" ht="16.5" hidden="true" customHeight="false" outlineLevel="0" collapsed="false">
      <c r="D176" s="190" t="s">
        <v>872</v>
      </c>
      <c r="E176" s="191" t="s">
        <v>873</v>
      </c>
      <c r="F176" s="192" t="s">
        <v>841</v>
      </c>
      <c r="G176" s="193" t="s">
        <v>874</v>
      </c>
      <c r="H176" s="194" t="s">
        <v>240</v>
      </c>
      <c r="I176" s="195" t="s">
        <v>873</v>
      </c>
      <c r="J176" s="196" t="n">
        <f aca="false">IFERROR(VLOOKUP(VALUE($D176),BSPL2026!$B:$Z,25,FALSE()),0)</f>
        <v>398083725574</v>
      </c>
      <c r="K176" s="197"/>
      <c r="L176" s="198"/>
      <c r="M176" s="196" t="n">
        <f aca="false">J176+K176-L176</f>
        <v>398083725574</v>
      </c>
      <c r="N176" s="197" t="n">
        <f aca="false">SUMIF('statutory adj_2026 조정분개'!$S:$S,$D176,'statutory adj_2026 조정분개'!$K:$K)</f>
        <v>0</v>
      </c>
      <c r="O176" s="198" t="n">
        <f aca="false">SUMIF('statutory adj_2026 조정분개'!$S:$S,$D176,'statutory adj_2026 조정분개'!$L:$L)</f>
        <v>0</v>
      </c>
      <c r="P176" s="196" t="n">
        <f aca="false">M176+N176-O176</f>
        <v>398083725574</v>
      </c>
      <c r="Q176" s="199" t="n">
        <f aca="false">IFERROR(VLOOKUP(VALUE($D176),BSPL2026!$B:$Q,16,FALSE()),0)</f>
        <v>492779169233</v>
      </c>
      <c r="R176" s="200" t="s">
        <v>496</v>
      </c>
      <c r="S176" s="162" t="str">
        <f aca="false">IFERROR(VLOOKUP(VALUE($D176),BSPL2026!$B:$M,12,FALSE()),"")</f>
        <v>상품매출원가</v>
      </c>
      <c r="T176" s="162" t="str">
        <f aca="false">IF(OR(S176="",S176=0,LEFT(S176,5)="(원본오류"),"",IF(S176=H176,"","매핑차이"))</f>
        <v/>
      </c>
    </row>
    <row r="177" customFormat="false" ht="16.5" hidden="true" customHeight="false" outlineLevel="0" collapsed="false">
      <c r="D177" s="190" t="s">
        <v>875</v>
      </c>
      <c r="E177" s="191" t="s">
        <v>876</v>
      </c>
      <c r="F177" s="192" t="s">
        <v>841</v>
      </c>
      <c r="G177" s="193" t="s">
        <v>874</v>
      </c>
      <c r="H177" s="194" t="s">
        <v>240</v>
      </c>
      <c r="I177" s="195" t="s">
        <v>876</v>
      </c>
      <c r="J177" s="196" t="n">
        <f aca="false">IFERROR(VLOOKUP(VALUE($D177),BSPL2026!$B:$Z,25,FALSE()),0)</f>
        <v>0</v>
      </c>
      <c r="K177" s="197"/>
      <c r="L177" s="198"/>
      <c r="M177" s="196" t="n">
        <f aca="false">J177+K177-L177</f>
        <v>0</v>
      </c>
      <c r="N177" s="197" t="n">
        <f aca="false">SUMIF('statutory adj_2026 조정분개'!$S:$S,$D177,'statutory adj_2026 조정분개'!$K:$K)</f>
        <v>0</v>
      </c>
      <c r="O177" s="198" t="n">
        <f aca="false">SUMIF('statutory adj_2026 조정분개'!$S:$S,$D177,'statutory adj_2026 조정분개'!$L:$L)</f>
        <v>0</v>
      </c>
      <c r="P177" s="196" t="n">
        <f aca="false">M177+N177-O177</f>
        <v>0</v>
      </c>
      <c r="Q177" s="199" t="n">
        <f aca="false">IFERROR(VLOOKUP(VALUE($D177),BSPL2026!$B:$Q,16,FALSE()),0)</f>
        <v>-1381680</v>
      </c>
      <c r="R177" s="200" t="s">
        <v>496</v>
      </c>
      <c r="S177" s="162" t="str">
        <f aca="false">IFERROR(VLOOKUP(VALUE($D177),BSPL2026!$B:$M,12,FALSE()),"")</f>
        <v>상품매출원가</v>
      </c>
      <c r="T177" s="162" t="str">
        <f aca="false">IF(OR(S177="",S177=0,LEFT(S177,5)="(원본오류"),"",IF(S177=H177,"","매핑차이"))</f>
        <v/>
      </c>
    </row>
    <row r="178" customFormat="false" ht="16.5" hidden="true" customHeight="false" outlineLevel="0" collapsed="false">
      <c r="D178" s="190" t="s">
        <v>877</v>
      </c>
      <c r="E178" s="191" t="s">
        <v>878</v>
      </c>
      <c r="F178" s="192" t="s">
        <v>841</v>
      </c>
      <c r="G178" s="193" t="s">
        <v>874</v>
      </c>
      <c r="H178" s="194" t="s">
        <v>240</v>
      </c>
      <c r="I178" s="195" t="s">
        <v>878</v>
      </c>
      <c r="J178" s="196" t="n">
        <f aca="false">IFERROR(VLOOKUP(VALUE($D178),BSPL2026!$B:$Z,25,FALSE()),0)</f>
        <v>-184200745</v>
      </c>
      <c r="K178" s="197"/>
      <c r="L178" s="198"/>
      <c r="M178" s="196" t="n">
        <f aca="false">J178+K178-L178</f>
        <v>-184200745</v>
      </c>
      <c r="N178" s="197" t="n">
        <f aca="false">SUMIF('statutory adj_2026 조정분개'!$S:$S,$D178,'statutory adj_2026 조정분개'!$K:$K)</f>
        <v>0</v>
      </c>
      <c r="O178" s="198" t="n">
        <f aca="false">SUMIF('statutory adj_2026 조정분개'!$S:$S,$D178,'statutory adj_2026 조정분개'!$L:$L)</f>
        <v>0</v>
      </c>
      <c r="P178" s="196" t="n">
        <f aca="false">M178+N178-O178</f>
        <v>-184200745</v>
      </c>
      <c r="Q178" s="199" t="n">
        <f aca="false">IFERROR(VLOOKUP(VALUE($D178),BSPL2026!$B:$Q,16,FALSE()),0)</f>
        <v>611922041</v>
      </c>
      <c r="R178" s="200" t="s">
        <v>496</v>
      </c>
      <c r="S178" s="162" t="str">
        <f aca="false">IFERROR(VLOOKUP(VALUE($D178),BSPL2026!$B:$M,12,FALSE()),"")</f>
        <v>상품매출원가</v>
      </c>
      <c r="T178" s="162" t="str">
        <f aca="false">IF(OR(S178="",S178=0,LEFT(S178,5)="(원본오류"),"",IF(S178=H178,"","매핑차이"))</f>
        <v/>
      </c>
    </row>
    <row r="179" customFormat="false" ht="16.5" hidden="true" customHeight="false" outlineLevel="0" collapsed="false">
      <c r="D179" s="190" t="s">
        <v>879</v>
      </c>
      <c r="E179" s="191" t="s">
        <v>880</v>
      </c>
      <c r="F179" s="192" t="s">
        <v>841</v>
      </c>
      <c r="G179" s="193" t="s">
        <v>874</v>
      </c>
      <c r="H179" s="194" t="s">
        <v>240</v>
      </c>
      <c r="I179" s="195" t="s">
        <v>880</v>
      </c>
      <c r="J179" s="196" t="n">
        <f aca="false">IFERROR(VLOOKUP(VALUE($D179),BSPL2026!$B:$Z,25,FALSE()),0)</f>
        <v>-2400102196</v>
      </c>
      <c r="K179" s="197"/>
      <c r="L179" s="198"/>
      <c r="M179" s="196" t="n">
        <f aca="false">J179+K179-L179</f>
        <v>-2400102196</v>
      </c>
      <c r="N179" s="197" t="n">
        <f aca="false">SUMIF('statutory adj_2026 조정분개'!$S:$S,$D179,'statutory adj_2026 조정분개'!$K:$K)</f>
        <v>0</v>
      </c>
      <c r="O179" s="198" t="n">
        <f aca="false">SUMIF('statutory adj_2026 조정분개'!$S:$S,$D179,'statutory adj_2026 조정분개'!$L:$L)</f>
        <v>0</v>
      </c>
      <c r="P179" s="196" t="n">
        <f aca="false">M179+N179-O179</f>
        <v>-2400102196</v>
      </c>
      <c r="Q179" s="199" t="n">
        <f aca="false">IFERROR(VLOOKUP(VALUE($D179),BSPL2026!$B:$Q,16,FALSE()),0)</f>
        <v>-355542315</v>
      </c>
      <c r="R179" s="200" t="s">
        <v>496</v>
      </c>
      <c r="S179" s="162" t="str">
        <f aca="false">IFERROR(VLOOKUP(VALUE($D179),BSPL2026!$B:$M,12,FALSE()),"")</f>
        <v>상품매출원가</v>
      </c>
      <c r="T179" s="162" t="str">
        <f aca="false">IF(OR(S179="",S179=0,LEFT(S179,5)="(원본오류"),"",IF(S179=H179,"","매핑차이"))</f>
        <v/>
      </c>
    </row>
    <row r="180" customFormat="false" ht="16.5" hidden="true" customHeight="false" outlineLevel="0" collapsed="false">
      <c r="D180" s="190" t="s">
        <v>881</v>
      </c>
      <c r="E180" s="191" t="s">
        <v>882</v>
      </c>
      <c r="F180" s="192" t="s">
        <v>841</v>
      </c>
      <c r="G180" s="193" t="s">
        <v>874</v>
      </c>
      <c r="H180" s="194" t="s">
        <v>240</v>
      </c>
      <c r="I180" s="195" t="s">
        <v>882</v>
      </c>
      <c r="J180" s="196" t="n">
        <f aca="false">IFERROR(VLOOKUP(VALUE($D180),BSPL2026!$B:$Z,25,FALSE()),0)</f>
        <v>-452391346</v>
      </c>
      <c r="K180" s="197"/>
      <c r="L180" s="198"/>
      <c r="M180" s="196" t="n">
        <f aca="false">J180+K180-L180</f>
        <v>-452391346</v>
      </c>
      <c r="N180" s="197" t="n">
        <f aca="false">SUMIF('statutory adj_2026 조정분개'!$S:$S,$D180,'statutory adj_2026 조정분개'!$K:$K)</f>
        <v>0</v>
      </c>
      <c r="O180" s="198" t="n">
        <f aca="false">SUMIF('statutory adj_2026 조정분개'!$S:$S,$D180,'statutory adj_2026 조정분개'!$L:$L)</f>
        <v>0</v>
      </c>
      <c r="P180" s="196" t="n">
        <f aca="false">M180+N180-O180</f>
        <v>-452391346</v>
      </c>
      <c r="Q180" s="199" t="n">
        <f aca="false">IFERROR(VLOOKUP(VALUE($D180),BSPL2026!$B:$Q,16,FALSE()),0)</f>
        <v>-4568891349</v>
      </c>
      <c r="R180" s="200" t="s">
        <v>496</v>
      </c>
      <c r="S180" s="162" t="str">
        <f aca="false">IFERROR(VLOOKUP(VALUE($D180),BSPL2026!$B:$M,12,FALSE()),"")</f>
        <v>상품매출원가</v>
      </c>
      <c r="T180" s="162" t="str">
        <f aca="false">IF(OR(S180="",S180=0,LEFT(S180,5)="(원본오류"),"",IF(S180=H180,"","매핑차이"))</f>
        <v/>
      </c>
    </row>
    <row r="181" customFormat="false" ht="16.5" hidden="true" customHeight="false" outlineLevel="0" collapsed="false">
      <c r="D181" s="190" t="s">
        <v>883</v>
      </c>
      <c r="E181" s="191" t="s">
        <v>884</v>
      </c>
      <c r="F181" s="192" t="s">
        <v>841</v>
      </c>
      <c r="G181" s="193" t="s">
        <v>874</v>
      </c>
      <c r="H181" s="194" t="s">
        <v>240</v>
      </c>
      <c r="I181" s="195" t="s">
        <v>884</v>
      </c>
      <c r="J181" s="196" t="n">
        <f aca="false">IFERROR(VLOOKUP(VALUE($D181),BSPL2026!$B:$Z,25,FALSE()),0)</f>
        <v>-1149824</v>
      </c>
      <c r="K181" s="197"/>
      <c r="L181" s="198"/>
      <c r="M181" s="196" t="n">
        <f aca="false">J181+K181-L181</f>
        <v>-1149824</v>
      </c>
      <c r="N181" s="197" t="n">
        <f aca="false">SUMIF('statutory adj_2026 조정분개'!$S:$S,$D181,'statutory adj_2026 조정분개'!$K:$K)</f>
        <v>0</v>
      </c>
      <c r="O181" s="198" t="n">
        <f aca="false">SUMIF('statutory adj_2026 조정분개'!$S:$S,$D181,'statutory adj_2026 조정분개'!$L:$L)</f>
        <v>0</v>
      </c>
      <c r="P181" s="196" t="n">
        <f aca="false">M181+N181-O181</f>
        <v>-1149824</v>
      </c>
      <c r="Q181" s="199" t="n">
        <f aca="false">IFERROR(VLOOKUP(VALUE($D181),BSPL2026!$B:$Q,16,FALSE()),0)</f>
        <v>1035710</v>
      </c>
      <c r="R181" s="200" t="s">
        <v>496</v>
      </c>
      <c r="S181" s="162" t="str">
        <f aca="false">IFERROR(VLOOKUP(VALUE($D181),BSPL2026!$B:$M,12,FALSE()),"")</f>
        <v>상품매출원가</v>
      </c>
      <c r="T181" s="162" t="str">
        <f aca="false">IF(OR(S181="",S181=0,LEFT(S181,5)="(원본오류"),"",IF(S181=H181,"","매핑차이"))</f>
        <v/>
      </c>
    </row>
    <row r="182" customFormat="false" ht="16.5" hidden="true" customHeight="false" outlineLevel="0" collapsed="false">
      <c r="D182" s="190" t="s">
        <v>885</v>
      </c>
      <c r="E182" s="191" t="s">
        <v>886</v>
      </c>
      <c r="F182" s="192" t="s">
        <v>841</v>
      </c>
      <c r="G182" s="193" t="s">
        <v>874</v>
      </c>
      <c r="H182" s="194" t="s">
        <v>240</v>
      </c>
      <c r="I182" s="195" t="s">
        <v>886</v>
      </c>
      <c r="J182" s="196" t="n">
        <f aca="false">IFERROR(VLOOKUP(VALUE($D182),BSPL2026!$B:$Z,25,FALSE()),0)</f>
        <v>21339601</v>
      </c>
      <c r="K182" s="197"/>
      <c r="L182" s="198"/>
      <c r="M182" s="196" t="n">
        <f aca="false">J182+K182-L182</f>
        <v>21339601</v>
      </c>
      <c r="N182" s="197" t="n">
        <f aca="false">SUMIF('statutory adj_2026 조정분개'!$S:$S,$D182,'statutory adj_2026 조정분개'!$K:$K)</f>
        <v>0</v>
      </c>
      <c r="O182" s="198" t="n">
        <f aca="false">SUMIF('statutory adj_2026 조정분개'!$S:$S,$D182,'statutory adj_2026 조정분개'!$L:$L)</f>
        <v>0</v>
      </c>
      <c r="P182" s="196" t="n">
        <f aca="false">M182+N182-O182</f>
        <v>21339601</v>
      </c>
      <c r="Q182" s="199" t="n">
        <f aca="false">IFERROR(VLOOKUP(VALUE($D182),BSPL2026!$B:$Q,16,FALSE()),0)</f>
        <v>0</v>
      </c>
      <c r="R182" s="200" t="s">
        <v>496</v>
      </c>
      <c r="S182" s="162" t="str">
        <f aca="false">IFERROR(VLOOKUP(VALUE($D182),BSPL2026!$B:$M,12,FALSE()),"")</f>
        <v>상품매출원가</v>
      </c>
      <c r="T182" s="162" t="str">
        <f aca="false">IF(OR(S182="",S182=0,LEFT(S182,5)="(원본오류"),"",IF(S182=H182,"","매핑차이"))</f>
        <v/>
      </c>
    </row>
    <row r="183" customFormat="false" ht="16.5" hidden="true" customHeight="false" outlineLevel="0" collapsed="false">
      <c r="D183" s="190" t="s">
        <v>887</v>
      </c>
      <c r="E183" s="191" t="s">
        <v>888</v>
      </c>
      <c r="F183" s="192" t="s">
        <v>841</v>
      </c>
      <c r="G183" s="193" t="s">
        <v>874</v>
      </c>
      <c r="H183" s="194" t="s">
        <v>240</v>
      </c>
      <c r="I183" s="195" t="s">
        <v>888</v>
      </c>
      <c r="J183" s="196" t="n">
        <f aca="false">IFERROR(VLOOKUP(VALUE($D183),BSPL2026!$B:$Z,25,FALSE()),0)</f>
        <v>-1987252232</v>
      </c>
      <c r="K183" s="197"/>
      <c r="L183" s="198"/>
      <c r="M183" s="196" t="n">
        <f aca="false">J183+K183-L183</f>
        <v>-1987252232</v>
      </c>
      <c r="N183" s="197" t="n">
        <f aca="false">SUMIF('statutory adj_2026 조정분개'!$S:$S,$D183,'statutory adj_2026 조정분개'!$K:$K)</f>
        <v>0</v>
      </c>
      <c r="O183" s="198" t="n">
        <f aca="false">SUMIF('statutory adj_2026 조정분개'!$S:$S,$D183,'statutory adj_2026 조정분개'!$L:$L)</f>
        <v>0</v>
      </c>
      <c r="P183" s="196" t="n">
        <f aca="false">M183+N183-O183</f>
        <v>-1987252232</v>
      </c>
      <c r="Q183" s="199" t="n">
        <f aca="false">IFERROR(VLOOKUP(VALUE($D183),BSPL2026!$B:$Q,16,FALSE()),0)</f>
        <v>-2417467720</v>
      </c>
      <c r="R183" s="200" t="s">
        <v>496</v>
      </c>
      <c r="S183" s="162" t="str">
        <f aca="false">IFERROR(VLOOKUP(VALUE($D183),BSPL2026!$B:$M,12,FALSE()),"")</f>
        <v>상품매출원가</v>
      </c>
      <c r="T183" s="162" t="str">
        <f aca="false">IF(OR(S183="",S183=0,LEFT(S183,5)="(원본오류"),"",IF(S183=H183,"","매핑차이"))</f>
        <v/>
      </c>
    </row>
    <row r="184" customFormat="false" ht="16.5" hidden="true" customHeight="false" outlineLevel="0" collapsed="false">
      <c r="D184" s="190" t="s">
        <v>889</v>
      </c>
      <c r="E184" s="191" t="s">
        <v>890</v>
      </c>
      <c r="F184" s="192" t="s">
        <v>841</v>
      </c>
      <c r="G184" s="193" t="s">
        <v>874</v>
      </c>
      <c r="H184" s="194" t="s">
        <v>240</v>
      </c>
      <c r="I184" s="195" t="s">
        <v>891</v>
      </c>
      <c r="J184" s="196" t="n">
        <f aca="false">IFERROR(VLOOKUP(VALUE($D184),BSPL2026!$B:$Z,25,FALSE()),0)</f>
        <v>1948608791</v>
      </c>
      <c r="K184" s="197"/>
      <c r="L184" s="198"/>
      <c r="M184" s="196" t="n">
        <f aca="false">J184+K184-L184</f>
        <v>1948608791</v>
      </c>
      <c r="N184" s="197" t="n">
        <f aca="false">SUMIF('statutory adj_2026 조정분개'!$S:$S,$D184,'statutory adj_2026 조정분개'!$K:$K)</f>
        <v>0</v>
      </c>
      <c r="O184" s="198" t="n">
        <f aca="false">SUMIF('statutory adj_2026 조정분개'!$S:$S,$D184,'statutory adj_2026 조정분개'!$L:$L)</f>
        <v>0</v>
      </c>
      <c r="P184" s="196" t="n">
        <f aca="false">M184+N184-O184</f>
        <v>1948608791</v>
      </c>
      <c r="Q184" s="199" t="n">
        <f aca="false">IFERROR(VLOOKUP(VALUE($D184),BSPL2026!$B:$Q,16,FALSE()),0)</f>
        <v>1584677840</v>
      </c>
      <c r="R184" s="200" t="s">
        <v>496</v>
      </c>
      <c r="S184" s="162" t="str">
        <f aca="false">IFERROR(VLOOKUP(VALUE($D184),BSPL2026!$B:$M,12,FALSE()),"")</f>
        <v>상품매출원가</v>
      </c>
      <c r="T184" s="162" t="str">
        <f aca="false">IF(OR(S184="",S184=0,LEFT(S184,5)="(원본오류"),"",IF(S184=H184,"","매핑차이"))</f>
        <v/>
      </c>
    </row>
    <row r="185" customFormat="false" ht="16.5" hidden="true" customHeight="false" outlineLevel="0" collapsed="false">
      <c r="D185" s="190" t="s">
        <v>892</v>
      </c>
      <c r="E185" s="191" t="s">
        <v>893</v>
      </c>
      <c r="F185" s="192" t="s">
        <v>841</v>
      </c>
      <c r="G185" s="193" t="s">
        <v>874</v>
      </c>
      <c r="H185" s="194" t="s">
        <v>240</v>
      </c>
      <c r="I185" s="195" t="s">
        <v>893</v>
      </c>
      <c r="J185" s="196" t="n">
        <f aca="false">IFERROR(VLOOKUP(VALUE($D185),BSPL2026!$B:$Z,25,FALSE()),0)</f>
        <v>2176465415</v>
      </c>
      <c r="K185" s="197"/>
      <c r="L185" s="198"/>
      <c r="M185" s="196" t="n">
        <f aca="false">J185+K185-L185</f>
        <v>2176465415</v>
      </c>
      <c r="N185" s="197" t="n">
        <f aca="false">SUMIF('statutory adj_2026 조정분개'!$S:$S,$D185,'statutory adj_2026 조정분개'!$K:$K)</f>
        <v>0</v>
      </c>
      <c r="O185" s="198" t="n">
        <f aca="false">SUMIF('statutory adj_2026 조정분개'!$S:$S,$D185,'statutory adj_2026 조정분개'!$L:$L)</f>
        <v>0</v>
      </c>
      <c r="P185" s="196" t="n">
        <f aca="false">M185+N185-O185</f>
        <v>2176465415</v>
      </c>
      <c r="Q185" s="199" t="n">
        <f aca="false">IFERROR(VLOOKUP(VALUE($D185),BSPL2026!$B:$Q,16,FALSE()),0)</f>
        <v>4272917104</v>
      </c>
      <c r="R185" s="200" t="s">
        <v>496</v>
      </c>
      <c r="S185" s="162" t="str">
        <f aca="false">IFERROR(VLOOKUP(VALUE($D185),BSPL2026!$B:$M,12,FALSE()),"")</f>
        <v>상품매출원가</v>
      </c>
      <c r="T185" s="162" t="str">
        <f aca="false">IF(OR(S185="",S185=0,LEFT(S185,5)="(원본오류"),"",IF(S185=H185,"","매핑차이"))</f>
        <v/>
      </c>
    </row>
    <row r="186" customFormat="false" ht="16.5" hidden="true" customHeight="false" outlineLevel="0" collapsed="false">
      <c r="D186" s="190" t="s">
        <v>894</v>
      </c>
      <c r="E186" s="191" t="s">
        <v>895</v>
      </c>
      <c r="F186" s="192" t="s">
        <v>841</v>
      </c>
      <c r="G186" s="193" t="s">
        <v>874</v>
      </c>
      <c r="H186" s="194" t="s">
        <v>240</v>
      </c>
      <c r="I186" s="195" t="s">
        <v>895</v>
      </c>
      <c r="J186" s="196" t="n">
        <f aca="false">IFERROR(VLOOKUP(VALUE($D186),BSPL2026!$B:$Z,25,FALSE()),0)</f>
        <v>1917769208</v>
      </c>
      <c r="K186" s="197"/>
      <c r="L186" s="198"/>
      <c r="M186" s="196" t="n">
        <f aca="false">J186+K186-L186</f>
        <v>1917769208</v>
      </c>
      <c r="N186" s="197" t="n">
        <f aca="false">SUMIF('statutory adj_2026 조정분개'!$S:$S,$D186,'statutory adj_2026 조정분개'!$K:$K)</f>
        <v>0</v>
      </c>
      <c r="O186" s="198" t="n">
        <f aca="false">SUMIF('statutory adj_2026 조정분개'!$S:$S,$D186,'statutory adj_2026 조정분개'!$L:$L)</f>
        <v>0</v>
      </c>
      <c r="P186" s="196" t="n">
        <f aca="false">M186+N186-O186</f>
        <v>1917769208</v>
      </c>
      <c r="Q186" s="199" t="n">
        <f aca="false">IFERROR(VLOOKUP(VALUE($D186),BSPL2026!$B:$Q,16,FALSE()),0)</f>
        <v>485633263</v>
      </c>
      <c r="R186" s="200" t="s">
        <v>496</v>
      </c>
      <c r="S186" s="162" t="str">
        <f aca="false">IFERROR(VLOOKUP(VALUE($D186),BSPL2026!$B:$M,12,FALSE()),"")</f>
        <v>상품매출원가</v>
      </c>
      <c r="T186" s="162" t="str">
        <f aca="false">IF(OR(S186="",S186=0,LEFT(S186,5)="(원본오류"),"",IF(S186=H186,"","매핑차이"))</f>
        <v/>
      </c>
    </row>
    <row r="187" customFormat="false" ht="16.5" hidden="true" customHeight="false" outlineLevel="0" collapsed="false">
      <c r="D187" s="190" t="s">
        <v>896</v>
      </c>
      <c r="E187" s="191" t="s">
        <v>897</v>
      </c>
      <c r="F187" s="192" t="s">
        <v>841</v>
      </c>
      <c r="G187" s="193" t="s">
        <v>874</v>
      </c>
      <c r="H187" s="194" t="s">
        <v>240</v>
      </c>
      <c r="I187" s="195" t="s">
        <v>897</v>
      </c>
      <c r="J187" s="196" t="n">
        <f aca="false">IFERROR(VLOOKUP(VALUE($D187),BSPL2026!$B:$Z,25,FALSE()),0)</f>
        <v>-3921818424</v>
      </c>
      <c r="K187" s="197"/>
      <c r="L187" s="198"/>
      <c r="M187" s="196" t="n">
        <f aca="false">J187+K187-L187</f>
        <v>-3921818424</v>
      </c>
      <c r="N187" s="197" t="n">
        <f aca="false">SUMIF('statutory adj_2026 조정분개'!$S:$S,$D187,'statutory adj_2026 조정분개'!$K:$K)</f>
        <v>0</v>
      </c>
      <c r="O187" s="198" t="n">
        <f aca="false">SUMIF('statutory adj_2026 조정분개'!$S:$S,$D187,'statutory adj_2026 조정분개'!$L:$L)</f>
        <v>0</v>
      </c>
      <c r="P187" s="196" t="n">
        <f aca="false">M187+N187-O187</f>
        <v>-3921818424</v>
      </c>
      <c r="Q187" s="199" t="n">
        <f aca="false">IFERROR(VLOOKUP(VALUE($D187),BSPL2026!$B:$Q,16,FALSE()),0)</f>
        <v>-3387201262</v>
      </c>
      <c r="R187" s="200" t="s">
        <v>496</v>
      </c>
      <c r="S187" s="162" t="str">
        <f aca="false">IFERROR(VLOOKUP(VALUE($D187),BSPL2026!$B:$M,12,FALSE()),"")</f>
        <v>상품매출원가</v>
      </c>
      <c r="T187" s="162" t="str">
        <f aca="false">IF(OR(S187="",S187=0,LEFT(S187,5)="(원본오류"),"",IF(S187=H187,"","매핑차이"))</f>
        <v/>
      </c>
    </row>
    <row r="188" customFormat="false" ht="16.5" hidden="true" customHeight="false" outlineLevel="0" collapsed="false">
      <c r="D188" s="190" t="s">
        <v>898</v>
      </c>
      <c r="E188" s="191" t="s">
        <v>899</v>
      </c>
      <c r="F188" s="192" t="s">
        <v>841</v>
      </c>
      <c r="G188" s="193" t="s">
        <v>874</v>
      </c>
      <c r="H188" s="194" t="s">
        <v>240</v>
      </c>
      <c r="I188" s="195" t="s">
        <v>899</v>
      </c>
      <c r="J188" s="196" t="n">
        <f aca="false">IFERROR(VLOOKUP(VALUE($D188),BSPL2026!$B:$Z,25,FALSE()),0)</f>
        <v>-234396026</v>
      </c>
      <c r="K188" s="197"/>
      <c r="L188" s="198"/>
      <c r="M188" s="196" t="n">
        <f aca="false">J188+K188-L188</f>
        <v>-234396026</v>
      </c>
      <c r="N188" s="197" t="n">
        <f aca="false">SUMIF('statutory adj_2026 조정분개'!$S:$S,$D188,'statutory adj_2026 조정분개'!$K:$K)</f>
        <v>0</v>
      </c>
      <c r="O188" s="198" t="n">
        <f aca="false">SUMIF('statutory adj_2026 조정분개'!$S:$S,$D188,'statutory adj_2026 조정분개'!$L:$L)</f>
        <v>0</v>
      </c>
      <c r="P188" s="196" t="n">
        <f aca="false">M188+N188-O188</f>
        <v>-234396026</v>
      </c>
      <c r="Q188" s="199" t="n">
        <f aca="false">IFERROR(VLOOKUP(VALUE($D188),BSPL2026!$B:$Q,16,FALSE()),0)</f>
        <v>-268905600</v>
      </c>
      <c r="R188" s="200" t="s">
        <v>496</v>
      </c>
      <c r="S188" s="162" t="str">
        <f aca="false">IFERROR(VLOOKUP(VALUE($D188),BSPL2026!$B:$M,12,FALSE()),"")</f>
        <v>상품매출원가</v>
      </c>
      <c r="T188" s="162" t="str">
        <f aca="false">IF(OR(S188="",S188=0,LEFT(S188,5)="(원본오류"),"",IF(S188=H188,"","매핑차이"))</f>
        <v/>
      </c>
    </row>
    <row r="189" customFormat="false" ht="16.5" hidden="true" customHeight="false" outlineLevel="0" collapsed="false">
      <c r="D189" s="190" t="s">
        <v>900</v>
      </c>
      <c r="E189" s="191" t="s">
        <v>901</v>
      </c>
      <c r="F189" s="192" t="s">
        <v>841</v>
      </c>
      <c r="G189" s="193" t="s">
        <v>874</v>
      </c>
      <c r="H189" s="194" t="s">
        <v>240</v>
      </c>
      <c r="I189" s="195" t="s">
        <v>901</v>
      </c>
      <c r="J189" s="196" t="n">
        <f aca="false">IFERROR(VLOOKUP(VALUE($D189),BSPL2026!$B:$Z,25,FALSE()),0)</f>
        <v>23526152</v>
      </c>
      <c r="K189" s="197"/>
      <c r="L189" s="198"/>
      <c r="M189" s="196" t="n">
        <f aca="false">J189+K189-L189</f>
        <v>23526152</v>
      </c>
      <c r="N189" s="197" t="n">
        <f aca="false">SUMIF('statutory adj_2026 조정분개'!$S:$S,$D189,'statutory adj_2026 조정분개'!$K:$K)</f>
        <v>0</v>
      </c>
      <c r="O189" s="198" t="n">
        <f aca="false">SUMIF('statutory adj_2026 조정분개'!$S:$S,$D189,'statutory adj_2026 조정분개'!$L:$L)</f>
        <v>0</v>
      </c>
      <c r="P189" s="196" t="n">
        <f aca="false">M189+N189-O189</f>
        <v>23526152</v>
      </c>
      <c r="Q189" s="199" t="n">
        <f aca="false">IFERROR(VLOOKUP(VALUE($D189),BSPL2026!$B:$Q,16,FALSE()),0)</f>
        <v>844936198</v>
      </c>
      <c r="R189" s="200" t="s">
        <v>496</v>
      </c>
      <c r="S189" s="162" t="str">
        <f aca="false">IFERROR(VLOOKUP(VALUE($D189),BSPL2026!$B:$M,12,FALSE()),"")</f>
        <v>상품매출원가</v>
      </c>
      <c r="T189" s="162" t="str">
        <f aca="false">IF(OR(S189="",S189=0,LEFT(S189,5)="(원본오류"),"",IF(S189=H189,"","매핑차이"))</f>
        <v/>
      </c>
    </row>
    <row r="190" customFormat="false" ht="16.5" hidden="true" customHeight="false" outlineLevel="0" collapsed="false">
      <c r="D190" s="190" t="s">
        <v>902</v>
      </c>
      <c r="E190" s="191" t="s">
        <v>903</v>
      </c>
      <c r="F190" s="192" t="s">
        <v>841</v>
      </c>
      <c r="G190" s="193" t="s">
        <v>874</v>
      </c>
      <c r="H190" s="194" t="s">
        <v>240</v>
      </c>
      <c r="I190" s="195" t="s">
        <v>903</v>
      </c>
      <c r="J190" s="196" t="n">
        <f aca="false">IFERROR(VLOOKUP(VALUE($D190),BSPL2026!$B:$Z,25,FALSE()),0)</f>
        <v>67274554</v>
      </c>
      <c r="K190" s="197"/>
      <c r="L190" s="198"/>
      <c r="M190" s="196" t="n">
        <f aca="false">J190+K190-L190</f>
        <v>67274554</v>
      </c>
      <c r="N190" s="197" t="n">
        <f aca="false">SUMIF('statutory adj_2026 조정분개'!$S:$S,$D190,'statutory adj_2026 조정분개'!$K:$K)</f>
        <v>0</v>
      </c>
      <c r="O190" s="198" t="n">
        <f aca="false">SUMIF('statutory adj_2026 조정분개'!$S:$S,$D190,'statutory adj_2026 조정분개'!$L:$L)</f>
        <v>0</v>
      </c>
      <c r="P190" s="196" t="n">
        <f aca="false">M190+N190-O190</f>
        <v>67274554</v>
      </c>
      <c r="Q190" s="199" t="n">
        <f aca="false">IFERROR(VLOOKUP(VALUE($D190),BSPL2026!$B:$Q,16,FALSE()),0)</f>
        <v>-5491708</v>
      </c>
      <c r="R190" s="200" t="s">
        <v>496</v>
      </c>
      <c r="S190" s="162" t="str">
        <f aca="false">IFERROR(VLOOKUP(VALUE($D190),BSPL2026!$B:$M,12,FALSE()),"")</f>
        <v>상품매출원가</v>
      </c>
      <c r="T190" s="162" t="str">
        <f aca="false">IF(OR(S190="",S190=0,LEFT(S190,5)="(원본오류"),"",IF(S190=H190,"","매핑차이"))</f>
        <v/>
      </c>
    </row>
    <row r="191" customFormat="false" ht="16.5" hidden="true" customHeight="false" outlineLevel="0" collapsed="false">
      <c r="D191" s="190" t="s">
        <v>904</v>
      </c>
      <c r="E191" s="191" t="s">
        <v>905</v>
      </c>
      <c r="F191" s="192" t="s">
        <v>841</v>
      </c>
      <c r="G191" s="193" t="s">
        <v>874</v>
      </c>
      <c r="H191" s="194" t="s">
        <v>240</v>
      </c>
      <c r="I191" s="195" t="s">
        <v>905</v>
      </c>
      <c r="J191" s="196" t="n">
        <f aca="false">IFERROR(VLOOKUP(VALUE($D191),BSPL2026!$B:$Z,25,FALSE()),0)</f>
        <v>-70303217</v>
      </c>
      <c r="K191" s="197"/>
      <c r="L191" s="198"/>
      <c r="M191" s="196" t="n">
        <f aca="false">J191+K191-L191</f>
        <v>-70303217</v>
      </c>
      <c r="N191" s="197" t="n">
        <f aca="false">SUMIF('statutory adj_2026 조정분개'!$S:$S,$D191,'statutory adj_2026 조정분개'!$K:$K)</f>
        <v>0</v>
      </c>
      <c r="O191" s="198" t="n">
        <f aca="false">SUMIF('statutory adj_2026 조정분개'!$S:$S,$D191,'statutory adj_2026 조정분개'!$L:$L)</f>
        <v>0</v>
      </c>
      <c r="P191" s="196" t="n">
        <f aca="false">M191+N191-O191</f>
        <v>-70303217</v>
      </c>
      <c r="Q191" s="199" t="n">
        <f aca="false">IFERROR(VLOOKUP(VALUE($D191),BSPL2026!$B:$Q,16,FALSE()),0)</f>
        <v>-38721729</v>
      </c>
      <c r="R191" s="200" t="s">
        <v>496</v>
      </c>
      <c r="S191" s="162" t="str">
        <f aca="false">IFERROR(VLOOKUP(VALUE($D191),BSPL2026!$B:$M,12,FALSE()),"")</f>
        <v>상품매출원가</v>
      </c>
      <c r="T191" s="162" t="str">
        <f aca="false">IF(OR(S191="",S191=0,LEFT(S191,5)="(원본오류"),"",IF(S191=H191,"","매핑차이"))</f>
        <v/>
      </c>
    </row>
    <row r="192" customFormat="false" ht="16.5" hidden="true" customHeight="false" outlineLevel="0" collapsed="false">
      <c r="D192" s="190" t="s">
        <v>906</v>
      </c>
      <c r="E192" s="191" t="s">
        <v>907</v>
      </c>
      <c r="F192" s="192" t="s">
        <v>841</v>
      </c>
      <c r="G192" s="193" t="s">
        <v>874</v>
      </c>
      <c r="H192" s="194" t="s">
        <v>240</v>
      </c>
      <c r="I192" s="195" t="s">
        <v>907</v>
      </c>
      <c r="J192" s="196" t="n">
        <f aca="false">IFERROR(VLOOKUP(VALUE($D192),BSPL2026!$B:$Z,25,FALSE()),0)</f>
        <v>3178234946</v>
      </c>
      <c r="K192" s="197"/>
      <c r="L192" s="198"/>
      <c r="M192" s="196" t="n">
        <f aca="false">J192+K192-L192</f>
        <v>3178234946</v>
      </c>
      <c r="N192" s="197" t="n">
        <f aca="false">SUMIF('statutory adj_2026 조정분개'!$S:$S,$D192,'statutory adj_2026 조정분개'!$K:$K)</f>
        <v>0</v>
      </c>
      <c r="O192" s="198" t="n">
        <f aca="false">SUMIF('statutory adj_2026 조정분개'!$S:$S,$D192,'statutory adj_2026 조정분개'!$L:$L)</f>
        <v>0</v>
      </c>
      <c r="P192" s="196" t="n">
        <f aca="false">M192+N192-O192</f>
        <v>3178234946</v>
      </c>
      <c r="Q192" s="199" t="n">
        <f aca="false">IFERROR(VLOOKUP(VALUE($D192),BSPL2026!$B:$Q,16,FALSE()),0)</f>
        <v>7678409124</v>
      </c>
      <c r="R192" s="200" t="s">
        <v>496</v>
      </c>
      <c r="S192" s="162" t="str">
        <f aca="false">IFERROR(VLOOKUP(VALUE($D192),BSPL2026!$B:$M,12,FALSE()),"")</f>
        <v>상품매출원가</v>
      </c>
      <c r="T192" s="162" t="str">
        <f aca="false">IF(OR(S192="",S192=0,LEFT(S192,5)="(원본오류"),"",IF(S192=H192,"","매핑차이"))</f>
        <v/>
      </c>
    </row>
    <row r="193" customFormat="false" ht="16.5" hidden="true" customHeight="false" outlineLevel="0" collapsed="false">
      <c r="D193" s="190" t="s">
        <v>908</v>
      </c>
      <c r="E193" s="191" t="s">
        <v>909</v>
      </c>
      <c r="F193" s="192" t="s">
        <v>841</v>
      </c>
      <c r="G193" s="193" t="s">
        <v>874</v>
      </c>
      <c r="H193" s="194" t="s">
        <v>240</v>
      </c>
      <c r="I193" s="195" t="s">
        <v>909</v>
      </c>
      <c r="J193" s="196" t="n">
        <f aca="false">IFERROR(VLOOKUP(VALUE($D193),BSPL2026!$B:$Z,25,FALSE()),0)</f>
        <v>-21513</v>
      </c>
      <c r="K193" s="197"/>
      <c r="L193" s="198"/>
      <c r="M193" s="196" t="n">
        <f aca="false">J193+K193-L193</f>
        <v>-21513</v>
      </c>
      <c r="N193" s="197" t="n">
        <f aca="false">SUMIF('statutory adj_2026 조정분개'!$S:$S,$D193,'statutory adj_2026 조정분개'!$K:$K)</f>
        <v>0</v>
      </c>
      <c r="O193" s="198" t="n">
        <f aca="false">SUMIF('statutory adj_2026 조정분개'!$S:$S,$D193,'statutory adj_2026 조정분개'!$L:$L)</f>
        <v>0</v>
      </c>
      <c r="P193" s="196" t="n">
        <f aca="false">M193+N193-O193</f>
        <v>-21513</v>
      </c>
      <c r="Q193" s="199" t="n">
        <f aca="false">IFERROR(VLOOKUP(VALUE($D193),BSPL2026!$B:$Q,16,FALSE()),0)</f>
        <v>27447908</v>
      </c>
      <c r="R193" s="200" t="s">
        <v>496</v>
      </c>
      <c r="S193" s="162" t="str">
        <f aca="false">IFERROR(VLOOKUP(VALUE($D193),BSPL2026!$B:$M,12,FALSE()),"")</f>
        <v>상품매출원가</v>
      </c>
      <c r="T193" s="162" t="str">
        <f aca="false">IF(OR(S193="",S193=0,LEFT(S193,5)="(원본오류"),"",IF(S193=H193,"","매핑차이"))</f>
        <v/>
      </c>
    </row>
    <row r="194" customFormat="false" ht="16.5" hidden="true" customHeight="false" outlineLevel="0" collapsed="false">
      <c r="D194" s="190" t="s">
        <v>910</v>
      </c>
      <c r="E194" s="191" t="s">
        <v>911</v>
      </c>
      <c r="F194" s="192" t="s">
        <v>841</v>
      </c>
      <c r="G194" s="193" t="s">
        <v>912</v>
      </c>
      <c r="H194" s="194" t="s">
        <v>299</v>
      </c>
      <c r="I194" s="195" t="s">
        <v>911</v>
      </c>
      <c r="J194" s="196" t="n">
        <f aca="false">IFERROR(VLOOKUP(VALUE($D194),BSPL2026!$B:$Z,25,FALSE()),0)</f>
        <v>2816679419</v>
      </c>
      <c r="K194" s="197"/>
      <c r="L194" s="198"/>
      <c r="M194" s="196" t="n">
        <f aca="false">J194+K194-L194</f>
        <v>2816679419</v>
      </c>
      <c r="N194" s="197" t="n">
        <f aca="false">SUMIF('statutory adj_2026 조정분개'!$S:$S,$D194,'statutory adj_2026 조정분개'!$K:$K)</f>
        <v>0</v>
      </c>
      <c r="O194" s="198" t="n">
        <f aca="false">SUMIF('statutory adj_2026 조정분개'!$S:$S,$D194,'statutory adj_2026 조정분개'!$L:$L)</f>
        <v>0</v>
      </c>
      <c r="P194" s="196" t="n">
        <f aca="false">M194+N194-O194</f>
        <v>2816679419</v>
      </c>
      <c r="Q194" s="199" t="n">
        <f aca="false">IFERROR(VLOOKUP(VALUE($D194),BSPL2026!$B:$Q,16,FALSE()),0)</f>
        <v>437758949</v>
      </c>
      <c r="R194" s="200" t="s">
        <v>496</v>
      </c>
      <c r="S194" s="162" t="str">
        <f aca="false">IFERROR(VLOOKUP(VALUE($D194),BSPL2026!$B:$M,12,FALSE()),"")</f>
        <v>지급수수료</v>
      </c>
      <c r="T194" s="162" t="str">
        <f aca="false">IF(OR(S194="",S194=0,LEFT(S194,5)="(원본오류"),"",IF(S194=H194,"","매핑차이"))</f>
        <v/>
      </c>
    </row>
    <row r="195" customFormat="false" ht="16.5" hidden="true" customHeight="false" outlineLevel="0" collapsed="false">
      <c r="D195" s="190" t="s">
        <v>913</v>
      </c>
      <c r="E195" s="191" t="s">
        <v>914</v>
      </c>
      <c r="F195" s="192" t="s">
        <v>841</v>
      </c>
      <c r="G195" s="193" t="s">
        <v>912</v>
      </c>
      <c r="H195" s="194" t="s">
        <v>307</v>
      </c>
      <c r="I195" s="195" t="s">
        <v>915</v>
      </c>
      <c r="J195" s="196" t="n">
        <f aca="false">IFERROR(VLOOKUP(VALUE($D195),BSPL2026!$B:$Z,25,FALSE()),0)</f>
        <v>140169400</v>
      </c>
      <c r="K195" s="197"/>
      <c r="L195" s="198"/>
      <c r="M195" s="196" t="n">
        <f aca="false">J195+K195-L195</f>
        <v>140169400</v>
      </c>
      <c r="N195" s="197" t="n">
        <f aca="false">SUMIF('statutory adj_2026 조정분개'!$S:$S,$D195,'statutory adj_2026 조정분개'!$K:$K)</f>
        <v>0</v>
      </c>
      <c r="O195" s="198" t="n">
        <f aca="false">SUMIF('statutory adj_2026 조정분개'!$S:$S,$D195,'statutory adj_2026 조정분개'!$L:$L)</f>
        <v>0</v>
      </c>
      <c r="P195" s="196" t="n">
        <f aca="false">M195+N195-O195</f>
        <v>140169400</v>
      </c>
      <c r="Q195" s="199" t="n">
        <f aca="false">IFERROR(VLOOKUP(VALUE($D195),BSPL2026!$B:$Q,16,FALSE()),0)</f>
        <v>3879868</v>
      </c>
      <c r="R195" s="200" t="s">
        <v>496</v>
      </c>
      <c r="S195" s="162" t="str">
        <f aca="false">IFERROR(VLOOKUP(VALUE($D195),BSPL2026!$B:$M,12,FALSE()),"")</f>
        <v>임상증례조사비</v>
      </c>
      <c r="T195" s="162" t="str">
        <f aca="false">IF(OR(S195="",S195=0,LEFT(S195,5)="(원본오류"),"",IF(S195=H195,"","매핑차이"))</f>
        <v/>
      </c>
    </row>
    <row r="196" customFormat="false" ht="16.5" hidden="true" customHeight="false" outlineLevel="0" collapsed="false">
      <c r="D196" s="190" t="s">
        <v>916</v>
      </c>
      <c r="E196" s="191" t="s">
        <v>917</v>
      </c>
      <c r="F196" s="192" t="s">
        <v>841</v>
      </c>
      <c r="G196" s="193" t="s">
        <v>874</v>
      </c>
      <c r="H196" s="194" t="s">
        <v>240</v>
      </c>
      <c r="I196" s="195" t="s">
        <v>917</v>
      </c>
      <c r="J196" s="196" t="n">
        <f aca="false">IFERROR(VLOOKUP(VALUE($D196),BSPL2026!$B:$Z,25,FALSE()),0)</f>
        <v>4354291</v>
      </c>
      <c r="K196" s="197"/>
      <c r="L196" s="198"/>
      <c r="M196" s="196" t="n">
        <f aca="false">J196+K196-L196</f>
        <v>4354291</v>
      </c>
      <c r="N196" s="197" t="n">
        <f aca="false">SUMIF('statutory adj_2026 조정분개'!$S:$S,$D196,'statutory adj_2026 조정분개'!$K:$K)</f>
        <v>0</v>
      </c>
      <c r="O196" s="198" t="n">
        <f aca="false">SUMIF('statutory adj_2026 조정분개'!$S:$S,$D196,'statutory adj_2026 조정분개'!$L:$L)</f>
        <v>0</v>
      </c>
      <c r="P196" s="196" t="n">
        <f aca="false">M196+N196-O196</f>
        <v>4354291</v>
      </c>
      <c r="Q196" s="199" t="n">
        <f aca="false">IFERROR(VLOOKUP(VALUE($D196),BSPL2026!$B:$Q,16,FALSE()),0)</f>
        <v>3950705</v>
      </c>
      <c r="R196" s="200" t="s">
        <v>496</v>
      </c>
      <c r="S196" s="162" t="str">
        <f aca="false">IFERROR(VLOOKUP(VALUE($D196),BSPL2026!$B:$M,12,FALSE()),"")</f>
        <v>상품매출원가</v>
      </c>
      <c r="T196" s="162" t="str">
        <f aca="false">IF(OR(S196="",S196=0,LEFT(S196,5)="(원본오류"),"",IF(S196=H196,"","매핑차이"))</f>
        <v/>
      </c>
    </row>
    <row r="197" customFormat="false" ht="16.5" hidden="true" customHeight="false" outlineLevel="0" collapsed="false">
      <c r="D197" s="190" t="s">
        <v>918</v>
      </c>
      <c r="E197" s="191" t="s">
        <v>919</v>
      </c>
      <c r="F197" s="192" t="s">
        <v>841</v>
      </c>
      <c r="G197" s="193" t="s">
        <v>920</v>
      </c>
      <c r="H197" s="194" t="s">
        <v>339</v>
      </c>
      <c r="I197" s="195" t="s">
        <v>919</v>
      </c>
      <c r="J197" s="196" t="n">
        <f aca="false">IFERROR(VLOOKUP(VALUE($D197),BSPL2026!$B:$Z,25,FALSE()),0)</f>
        <v>-980740018</v>
      </c>
      <c r="K197" s="197"/>
      <c r="L197" s="198"/>
      <c r="M197" s="196" t="n">
        <f aca="false">J197+K197-L197</f>
        <v>-980740018</v>
      </c>
      <c r="N197" s="197" t="n">
        <f aca="false">SUMIF('statutory adj_2026 조정분개'!$S:$S,$D197,'statutory adj_2026 조정분개'!$K:$K)</f>
        <v>0</v>
      </c>
      <c r="O197" s="198" t="n">
        <f aca="false">SUMIF('statutory adj_2026 조정분개'!$S:$S,$D197,'statutory adj_2026 조정분개'!$L:$L)</f>
        <v>0</v>
      </c>
      <c r="P197" s="196" t="n">
        <f aca="false">M197+N197-O197</f>
        <v>-980740018</v>
      </c>
      <c r="Q197" s="199" t="n">
        <f aca="false">IFERROR(VLOOKUP(VALUE($D197),BSPL2026!$B:$Q,16,FALSE()),0)</f>
        <v>-1056190856</v>
      </c>
      <c r="R197" s="200" t="s">
        <v>496</v>
      </c>
      <c r="S197" s="162" t="str">
        <f aca="false">IFERROR(VLOOKUP(VALUE($D197),BSPL2026!$B:$M,12,FALSE()),"")</f>
        <v>잡이익</v>
      </c>
      <c r="T197" s="162" t="str">
        <f aca="false">IF(OR(S197="",S197=0,LEFT(S197,5)="(원본오류"),"",IF(S197=H197,"","매핑차이"))</f>
        <v/>
      </c>
    </row>
    <row r="198" customFormat="false" ht="16.5" hidden="true" customHeight="false" outlineLevel="0" collapsed="false">
      <c r="D198" s="190" t="s">
        <v>921</v>
      </c>
      <c r="E198" s="191" t="s">
        <v>922</v>
      </c>
      <c r="F198" s="192" t="s">
        <v>841</v>
      </c>
      <c r="G198" s="193" t="s">
        <v>912</v>
      </c>
      <c r="H198" s="194" t="s">
        <v>313</v>
      </c>
      <c r="I198" s="195" t="s">
        <v>922</v>
      </c>
      <c r="J198" s="196" t="n">
        <f aca="false">IFERROR(VLOOKUP(VALUE($D198),BSPL2026!$B:$Z,25,FALSE()),0)</f>
        <v>137494628</v>
      </c>
      <c r="K198" s="197"/>
      <c r="L198" s="198"/>
      <c r="M198" s="196" t="n">
        <f aca="false">J198+K198-L198</f>
        <v>137494628</v>
      </c>
      <c r="N198" s="197" t="n">
        <f aca="false">SUMIF('statutory adj_2026 조정분개'!$S:$S,$D198,'statutory adj_2026 조정분개'!$K:$K)</f>
        <v>0</v>
      </c>
      <c r="O198" s="198" t="n">
        <f aca="false">SUMIF('statutory adj_2026 조정분개'!$S:$S,$D198,'statutory adj_2026 조정분개'!$L:$L)</f>
        <v>0</v>
      </c>
      <c r="P198" s="196" t="n">
        <f aca="false">M198+N198-O198</f>
        <v>137494628</v>
      </c>
      <c r="Q198" s="199" t="n">
        <f aca="false">IFERROR(VLOOKUP(VALUE($D198),BSPL2026!$B:$Q,16,FALSE()),0)</f>
        <v>252267505</v>
      </c>
      <c r="R198" s="200" t="s">
        <v>496</v>
      </c>
      <c r="S198" s="162" t="str">
        <f aca="false">IFERROR(VLOOKUP(VALUE($D198),BSPL2026!$B:$M,12,FALSE()),"")</f>
        <v>교육훈련비</v>
      </c>
      <c r="T198" s="162" t="str">
        <f aca="false">IF(OR(S198="",S198=0,LEFT(S198,5)="(원본오류"),"",IF(S198=H198,"","매핑차이"))</f>
        <v/>
      </c>
    </row>
    <row r="199" customFormat="false" ht="16.5" hidden="true" customHeight="false" outlineLevel="0" collapsed="false">
      <c r="D199" s="190" t="s">
        <v>923</v>
      </c>
      <c r="E199" s="191" t="s">
        <v>924</v>
      </c>
      <c r="F199" s="192" t="s">
        <v>841</v>
      </c>
      <c r="G199" s="193" t="s">
        <v>912</v>
      </c>
      <c r="H199" s="194" t="s">
        <v>299</v>
      </c>
      <c r="I199" s="195" t="s">
        <v>924</v>
      </c>
      <c r="J199" s="196" t="n">
        <f aca="false">IFERROR(VLOOKUP(VALUE($D199),BSPL2026!$B:$Z,25,FALSE()),0)</f>
        <v>6731978</v>
      </c>
      <c r="K199" s="197"/>
      <c r="L199" s="198"/>
      <c r="M199" s="196" t="n">
        <f aca="false">J199+K199-L199</f>
        <v>6731978</v>
      </c>
      <c r="N199" s="197" t="n">
        <f aca="false">SUMIF('statutory adj_2026 조정분개'!$S:$S,$D199,'statutory adj_2026 조정분개'!$K:$K)</f>
        <v>0</v>
      </c>
      <c r="O199" s="198" t="n">
        <f aca="false">SUMIF('statutory adj_2026 조정분개'!$S:$S,$D199,'statutory adj_2026 조정분개'!$L:$L)</f>
        <v>0</v>
      </c>
      <c r="P199" s="196" t="n">
        <f aca="false">M199+N199-O199</f>
        <v>6731978</v>
      </c>
      <c r="Q199" s="199" t="n">
        <f aca="false">IFERROR(VLOOKUP(VALUE($D199),BSPL2026!$B:$Q,16,FALSE()),0)</f>
        <v>8168087</v>
      </c>
      <c r="R199" s="200" t="s">
        <v>496</v>
      </c>
      <c r="S199" s="162" t="str">
        <f aca="false">IFERROR(VLOOKUP(VALUE($D199),BSPL2026!$B:$M,12,FALSE()),"")</f>
        <v>지급수수료</v>
      </c>
      <c r="T199" s="162" t="str">
        <f aca="false">IF(OR(S199="",S199=0,LEFT(S199,5)="(원본오류"),"",IF(S199=H199,"","매핑차이"))</f>
        <v/>
      </c>
    </row>
    <row r="200" customFormat="false" ht="16.5" hidden="true" customHeight="false" outlineLevel="0" collapsed="false">
      <c r="D200" s="190" t="s">
        <v>925</v>
      </c>
      <c r="E200" s="191" t="s">
        <v>926</v>
      </c>
      <c r="F200" s="192" t="s">
        <v>841</v>
      </c>
      <c r="G200" s="193" t="s">
        <v>912</v>
      </c>
      <c r="H200" s="194" t="s">
        <v>299</v>
      </c>
      <c r="I200" s="195" t="s">
        <v>926</v>
      </c>
      <c r="J200" s="196" t="n">
        <f aca="false">IFERROR(VLOOKUP(VALUE($D200),BSPL2026!$B:$Z,25,FALSE()),0)</f>
        <v>0</v>
      </c>
      <c r="K200" s="197"/>
      <c r="L200" s="198"/>
      <c r="M200" s="196" t="n">
        <f aca="false">J200+K200-L200</f>
        <v>0</v>
      </c>
      <c r="N200" s="197" t="n">
        <f aca="false">SUMIF('statutory adj_2026 조정분개'!$S:$S,$D200,'statutory adj_2026 조정분개'!$K:$K)</f>
        <v>0</v>
      </c>
      <c r="O200" s="198" t="n">
        <f aca="false">SUMIF('statutory adj_2026 조정분개'!$S:$S,$D200,'statutory adj_2026 조정분개'!$L:$L)</f>
        <v>0</v>
      </c>
      <c r="P200" s="196" t="n">
        <f aca="false">M200+N200-O200</f>
        <v>0</v>
      </c>
      <c r="Q200" s="199" t="n">
        <f aca="false">IFERROR(VLOOKUP(VALUE($D200),BSPL2026!$B:$Q,16,FALSE()),0)</f>
        <v>2000</v>
      </c>
      <c r="R200" s="200" t="s">
        <v>496</v>
      </c>
      <c r="S200" s="162" t="str">
        <f aca="false">IFERROR(VLOOKUP(VALUE($D200),BSPL2026!$B:$M,12,FALSE()),"")</f>
        <v>지급수수료</v>
      </c>
      <c r="T200" s="162" t="str">
        <f aca="false">IF(OR(S200="",S200=0,LEFT(S200,5)="(원본오류"),"",IF(S200=H200,"","매핑차이"))</f>
        <v/>
      </c>
    </row>
    <row r="201" customFormat="false" ht="16.5" hidden="true" customHeight="false" outlineLevel="0" collapsed="false">
      <c r="D201" s="190" t="s">
        <v>927</v>
      </c>
      <c r="E201" s="191" t="s">
        <v>928</v>
      </c>
      <c r="F201" s="192" t="s">
        <v>841</v>
      </c>
      <c r="G201" s="193" t="s">
        <v>912</v>
      </c>
      <c r="H201" s="194" t="s">
        <v>309</v>
      </c>
      <c r="I201" s="195" t="s">
        <v>929</v>
      </c>
      <c r="J201" s="196" t="n">
        <f aca="false">IFERROR(VLOOKUP(VALUE($D201),BSPL2026!$B:$Z,25,FALSE()),0)</f>
        <v>0</v>
      </c>
      <c r="K201" s="197"/>
      <c r="L201" s="198"/>
      <c r="M201" s="196" t="n">
        <f aca="false">J201+K201-L201</f>
        <v>0</v>
      </c>
      <c r="N201" s="197" t="n">
        <f aca="false">SUMIF('statutory adj_2026 조정분개'!$S:$S,$D201,'statutory adj_2026 조정분개'!$K:$K)</f>
        <v>0</v>
      </c>
      <c r="O201" s="198" t="n">
        <f aca="false">SUMIF('statutory adj_2026 조정분개'!$S:$S,$D201,'statutory adj_2026 조정분개'!$L:$L)</f>
        <v>0</v>
      </c>
      <c r="P201" s="196" t="n">
        <f aca="false">M201+N201-O201</f>
        <v>0</v>
      </c>
      <c r="Q201" s="199" t="n">
        <f aca="false">IFERROR(VLOOKUP(VALUE($D201),BSPL2026!$B:$Q,16,FALSE()),0)</f>
        <v>1121736</v>
      </c>
      <c r="R201" s="200" t="s">
        <v>496</v>
      </c>
      <c r="S201" s="162" t="str">
        <f aca="false">IFERROR(VLOOKUP(VALUE($D201),BSPL2026!$B:$M,12,FALSE()),"")</f>
        <v>감가상각비</v>
      </c>
      <c r="T201" s="162" t="str">
        <f aca="false">IF(OR(S201="",S201=0,LEFT(S201,5)="(원본오류"),"",IF(S201=H201,"","매핑차이"))</f>
        <v/>
      </c>
    </row>
    <row r="202" customFormat="false" ht="16.5" hidden="true" customHeight="false" outlineLevel="0" collapsed="false">
      <c r="D202" s="190" t="s">
        <v>930</v>
      </c>
      <c r="E202" s="191" t="s">
        <v>931</v>
      </c>
      <c r="F202" s="192" t="s">
        <v>841</v>
      </c>
      <c r="G202" s="193" t="s">
        <v>912</v>
      </c>
      <c r="H202" s="194" t="s">
        <v>283</v>
      </c>
      <c r="I202" s="195" t="s">
        <v>931</v>
      </c>
      <c r="J202" s="196" t="n">
        <f aca="false">IFERROR(VLOOKUP(VALUE($D202),BSPL2026!$B:$Z,25,FALSE()),0)</f>
        <v>203700000</v>
      </c>
      <c r="K202" s="197"/>
      <c r="L202" s="198"/>
      <c r="M202" s="196" t="n">
        <f aca="false">J202+K202-L202</f>
        <v>203700000</v>
      </c>
      <c r="N202" s="197" t="n">
        <f aca="false">SUMIF('statutory adj_2026 조정분개'!$S:$S,$D202,'statutory adj_2026 조정분개'!$K:$K)</f>
        <v>0</v>
      </c>
      <c r="O202" s="198" t="n">
        <f aca="false">SUMIF('statutory adj_2026 조정분개'!$S:$S,$D202,'statutory adj_2026 조정분개'!$L:$L)</f>
        <v>0</v>
      </c>
      <c r="P202" s="196" t="n">
        <f aca="false">M202+N202-O202</f>
        <v>203700000</v>
      </c>
      <c r="Q202" s="199" t="n">
        <f aca="false">IFERROR(VLOOKUP(VALUE($D202),BSPL2026!$B:$Q,16,FALSE()),0)</f>
        <v>107700000</v>
      </c>
      <c r="R202" s="200" t="s">
        <v>496</v>
      </c>
      <c r="S202" s="162" t="str">
        <f aca="false">IFERROR(VLOOKUP(VALUE($D202),BSPL2026!$B:$M,12,FALSE()),"")</f>
        <v>상여와수당</v>
      </c>
      <c r="T202" s="162" t="str">
        <f aca="false">IF(OR(S202="",S202=0,LEFT(S202,5)="(원본오류"),"",IF(S202=H202,"","매핑차이"))</f>
        <v/>
      </c>
    </row>
    <row r="203" customFormat="false" ht="16.5" hidden="true" customHeight="false" outlineLevel="0" collapsed="false">
      <c r="D203" s="190" t="s">
        <v>932</v>
      </c>
      <c r="E203" s="191" t="s">
        <v>933</v>
      </c>
      <c r="F203" s="192" t="s">
        <v>841</v>
      </c>
      <c r="G203" s="193" t="s">
        <v>912</v>
      </c>
      <c r="H203" s="194" t="s">
        <v>283</v>
      </c>
      <c r="I203" s="195" t="s">
        <v>933</v>
      </c>
      <c r="J203" s="196" t="n">
        <f aca="false">IFERROR(VLOOKUP(VALUE($D203),BSPL2026!$B:$Z,25,FALSE()),0)</f>
        <v>910853726</v>
      </c>
      <c r="K203" s="197"/>
      <c r="L203" s="198"/>
      <c r="M203" s="196" t="n">
        <f aca="false">J203+K203-L203</f>
        <v>910853726</v>
      </c>
      <c r="N203" s="197" t="n">
        <f aca="false">SUMIF('statutory adj_2026 조정분개'!$S:$S,$D203,'statutory adj_2026 조정분개'!$K:$K)</f>
        <v>0</v>
      </c>
      <c r="O203" s="198" t="n">
        <f aca="false">SUMIF('statutory adj_2026 조정분개'!$S:$S,$D203,'statutory adj_2026 조정분개'!$L:$L)</f>
        <v>0</v>
      </c>
      <c r="P203" s="196" t="n">
        <f aca="false">M203+N203-O203</f>
        <v>910853726</v>
      </c>
      <c r="Q203" s="199" t="n">
        <f aca="false">IFERROR(VLOOKUP(VALUE($D203),BSPL2026!$B:$Q,16,FALSE()),0)</f>
        <v>1289093338</v>
      </c>
      <c r="R203" s="200" t="s">
        <v>496</v>
      </c>
      <c r="S203" s="162" t="str">
        <f aca="false">IFERROR(VLOOKUP(VALUE($D203),BSPL2026!$B:$M,12,FALSE()),"")</f>
        <v>상여와수당</v>
      </c>
      <c r="T203" s="162" t="str">
        <f aca="false">IF(OR(S203="",S203=0,LEFT(S203,5)="(원본오류"),"",IF(S203=H203,"","매핑차이"))</f>
        <v/>
      </c>
    </row>
    <row r="204" customFormat="false" ht="16.5" hidden="true" customHeight="false" outlineLevel="0" collapsed="false">
      <c r="D204" s="190" t="s">
        <v>934</v>
      </c>
      <c r="E204" s="191" t="s">
        <v>935</v>
      </c>
      <c r="F204" s="192" t="s">
        <v>841</v>
      </c>
      <c r="G204" s="193" t="s">
        <v>912</v>
      </c>
      <c r="H204" s="194" t="s">
        <v>282</v>
      </c>
      <c r="I204" s="195" t="s">
        <v>935</v>
      </c>
      <c r="J204" s="196" t="n">
        <f aca="false">IFERROR(VLOOKUP(VALUE($D204),BSPL2026!$B:$Z,25,FALSE()),0)</f>
        <v>344265645</v>
      </c>
      <c r="K204" s="197"/>
      <c r="L204" s="198"/>
      <c r="M204" s="196" t="n">
        <f aca="false">J204+K204-L204</f>
        <v>344265645</v>
      </c>
      <c r="N204" s="197" t="n">
        <f aca="false">SUMIF('statutory adj_2026 조정분개'!$S:$S,$D204,'statutory adj_2026 조정분개'!$K:$K)</f>
        <v>0</v>
      </c>
      <c r="O204" s="198" t="n">
        <f aca="false">SUMIF('statutory adj_2026 조정분개'!$S:$S,$D204,'statutory adj_2026 조정분개'!$L:$L)</f>
        <v>0</v>
      </c>
      <c r="P204" s="196" t="n">
        <f aca="false">M204+N204-O204</f>
        <v>344265645</v>
      </c>
      <c r="Q204" s="199" t="n">
        <f aca="false">IFERROR(VLOOKUP(VALUE($D204),BSPL2026!$B:$Q,16,FALSE()),0)</f>
        <v>369741359</v>
      </c>
      <c r="R204" s="200" t="s">
        <v>496</v>
      </c>
      <c r="S204" s="162" t="str">
        <f aca="false">IFERROR(VLOOKUP(VALUE($D204),BSPL2026!$B:$M,12,FALSE()),"")</f>
        <v>급여</v>
      </c>
      <c r="T204" s="162" t="str">
        <f aca="false">IF(OR(S204="",S204=0,LEFT(S204,5)="(원본오류"),"",IF(S204=H204,"","매핑차이"))</f>
        <v/>
      </c>
    </row>
    <row r="205" customFormat="false" ht="16.5" hidden="true" customHeight="false" outlineLevel="0" collapsed="false">
      <c r="D205" s="190" t="s">
        <v>936</v>
      </c>
      <c r="E205" s="191" t="s">
        <v>937</v>
      </c>
      <c r="F205" s="192" t="s">
        <v>841</v>
      </c>
      <c r="G205" s="193" t="s">
        <v>912</v>
      </c>
      <c r="H205" s="194" t="s">
        <v>282</v>
      </c>
      <c r="I205" s="195" t="s">
        <v>937</v>
      </c>
      <c r="J205" s="196" t="n">
        <f aca="false">IFERROR(VLOOKUP(VALUE($D205),BSPL2026!$B:$Z,25,FALSE()),0)</f>
        <v>27579467961</v>
      </c>
      <c r="K205" s="197"/>
      <c r="L205" s="198"/>
      <c r="M205" s="196" t="n">
        <f aca="false">J205+K205-L205</f>
        <v>27579467961</v>
      </c>
      <c r="N205" s="197" t="n">
        <f aca="false">SUMIF('statutory adj_2026 조정분개'!$S:$S,$D205,'statutory adj_2026 조정분개'!$K:$K)</f>
        <v>0</v>
      </c>
      <c r="O205" s="198" t="n">
        <f aca="false">SUMIF('statutory adj_2026 조정분개'!$S:$S,$D205,'statutory adj_2026 조정분개'!$L:$L)</f>
        <v>0</v>
      </c>
      <c r="P205" s="196" t="n">
        <f aca="false">M205+N205-O205</f>
        <v>27579467961</v>
      </c>
      <c r="Q205" s="199" t="n">
        <f aca="false">IFERROR(VLOOKUP(VALUE($D205),BSPL2026!$B:$Q,16,FALSE()),0)</f>
        <v>37163609496</v>
      </c>
      <c r="R205" s="200" t="s">
        <v>496</v>
      </c>
      <c r="S205" s="162" t="str">
        <f aca="false">IFERROR(VLOOKUP(VALUE($D205),BSPL2026!$B:$M,12,FALSE()),"")</f>
        <v>급여</v>
      </c>
      <c r="T205" s="162" t="str">
        <f aca="false">IF(OR(S205="",S205=0,LEFT(S205,5)="(원본오류"),"",IF(S205=H205,"","매핑차이"))</f>
        <v/>
      </c>
    </row>
    <row r="206" customFormat="false" ht="16.5" hidden="false" customHeight="false" outlineLevel="0" collapsed="false">
      <c r="D206" s="190" t="s">
        <v>938</v>
      </c>
      <c r="E206" s="191" t="s">
        <v>939</v>
      </c>
      <c r="F206" s="192" t="s">
        <v>841</v>
      </c>
      <c r="G206" s="193" t="s">
        <v>912</v>
      </c>
      <c r="H206" s="194" t="s">
        <v>282</v>
      </c>
      <c r="I206" s="195" t="s">
        <v>939</v>
      </c>
      <c r="J206" s="196" t="n">
        <f aca="false">IFERROR(VLOOKUP(VALUE($D206),BSPL2026!$B:$Z,25,FALSE()),0)</f>
        <v>-141361790</v>
      </c>
      <c r="K206" s="197"/>
      <c r="L206" s="198"/>
      <c r="M206" s="196" t="n">
        <f aca="false">J206+K206-L206</f>
        <v>-141361790</v>
      </c>
      <c r="N206" s="197" t="n">
        <f aca="false">SUMIF('statutory adj_2026 조정분개'!$S:$S,$D206,'statutory adj_2026 조정분개'!$K:$K)</f>
        <v>0</v>
      </c>
      <c r="O206" s="198" t="n">
        <f aca="false">SUMIF('statutory adj_2026 조정분개'!$S:$S,$D206,'statutory adj_2026 조정분개'!$L:$L)</f>
        <v>0</v>
      </c>
      <c r="P206" s="196" t="n">
        <f aca="false">M206+N206-O206</f>
        <v>-141361790</v>
      </c>
      <c r="Q206" s="199" t="n">
        <f aca="false">IFERROR(VLOOKUP(VALUE($D206),BSPL2026!$B:$Q,16,FALSE()),0)</f>
        <v>353827550</v>
      </c>
      <c r="R206" s="200" t="s">
        <v>496</v>
      </c>
      <c r="S206" s="162" t="str">
        <f aca="false">IFERROR(VLOOKUP(VALUE($D206),BSPL2026!$B:$M,12,FALSE()),"")</f>
        <v>급여</v>
      </c>
      <c r="T206" s="162" t="str">
        <f aca="false">IF(OR(S206="",S206=0,LEFT(S206,5)="(원본오류"),"",IF(S206=H206,"","매핑차이"))</f>
        <v/>
      </c>
    </row>
    <row r="207" customFormat="false" ht="16.5" hidden="false" customHeight="false" outlineLevel="0" collapsed="false">
      <c r="D207" s="190" t="s">
        <v>940</v>
      </c>
      <c r="E207" s="191" t="s">
        <v>941</v>
      </c>
      <c r="F207" s="192" t="s">
        <v>841</v>
      </c>
      <c r="G207" s="193" t="s">
        <v>912</v>
      </c>
      <c r="H207" s="194" t="s">
        <v>275</v>
      </c>
      <c r="I207" s="195" t="s">
        <v>941</v>
      </c>
      <c r="J207" s="196" t="n">
        <f aca="false">IFERROR(VLOOKUP(VALUE($D207),BSPL2026!$B:$Z,25,FALSE()),0)</f>
        <v>-808494567</v>
      </c>
      <c r="K207" s="197"/>
      <c r="L207" s="198"/>
      <c r="M207" s="196" t="n">
        <f aca="false">J207+K207-L207</f>
        <v>-808494567</v>
      </c>
      <c r="N207" s="197" t="n">
        <f aca="false">SUMIF('statutory adj_2026 조정분개'!$S:$S,$D207,'statutory adj_2026 조정분개'!$K:$K)</f>
        <v>0</v>
      </c>
      <c r="O207" s="198" t="n">
        <f aca="false">SUMIF('statutory adj_2026 조정분개'!$S:$S,$D207,'statutory adj_2026 조정분개'!$L:$L)</f>
        <v>0</v>
      </c>
      <c r="P207" s="196" t="n">
        <f aca="false">M207+N207-O207</f>
        <v>-808494567</v>
      </c>
      <c r="Q207" s="199" t="n">
        <f aca="false">IFERROR(VLOOKUP(VALUE($D207),BSPL2026!$B:$Q,16,FALSE()),0)</f>
        <v>-22885088</v>
      </c>
      <c r="R207" s="200" t="s">
        <v>496</v>
      </c>
      <c r="S207" s="162" t="str">
        <f aca="false">IFERROR(VLOOKUP(VALUE($D207),BSPL2026!$B:$M,12,FALSE()),"")</f>
        <v>판매수당</v>
      </c>
      <c r="T207" s="162" t="str">
        <f aca="false">IF(OR(S207="",S207=0,LEFT(S207,5)="(원본오류"),"",IF(S207=H207,"","매핑차이"))</f>
        <v/>
      </c>
    </row>
    <row r="208" customFormat="false" ht="16.5" hidden="false" customHeight="false" outlineLevel="0" collapsed="false">
      <c r="D208" s="190" t="s">
        <v>942</v>
      </c>
      <c r="E208" s="191" t="s">
        <v>943</v>
      </c>
      <c r="F208" s="192" t="s">
        <v>841</v>
      </c>
      <c r="G208" s="193" t="s">
        <v>912</v>
      </c>
      <c r="H208" s="194" t="s">
        <v>290</v>
      </c>
      <c r="I208" s="195" t="s">
        <v>943</v>
      </c>
      <c r="J208" s="196" t="n">
        <f aca="false">IFERROR(VLOOKUP(VALUE($D208),BSPL2026!$B:$Z,25,FALSE()),0)</f>
        <v>347825000</v>
      </c>
      <c r="K208" s="197"/>
      <c r="L208" s="198"/>
      <c r="M208" s="196" t="n">
        <f aca="false">J208+K208-L208</f>
        <v>347825000</v>
      </c>
      <c r="N208" s="197" t="n">
        <f aca="false">SUMIF('statutory adj_2026 조정분개'!$S:$S,$D208,'statutory adj_2026 조정분개'!$K:$K)</f>
        <v>0</v>
      </c>
      <c r="O208" s="198" t="n">
        <f aca="false">SUMIF('statutory adj_2026 조정분개'!$S:$S,$D208,'statutory adj_2026 조정분개'!$L:$L)</f>
        <v>0</v>
      </c>
      <c r="P208" s="196" t="n">
        <f aca="false">M208+N208-O208</f>
        <v>347825000</v>
      </c>
      <c r="Q208" s="199" t="n">
        <f aca="false">IFERROR(VLOOKUP(VALUE($D208),BSPL2026!$B:$Q,16,FALSE()),0)</f>
        <v>634092023</v>
      </c>
      <c r="R208" s="200" t="s">
        <v>496</v>
      </c>
      <c r="S208" s="162" t="str">
        <f aca="false">IFERROR(VLOOKUP(VALUE($D208),BSPL2026!$B:$M,12,FALSE()),"")</f>
        <v>여비교통비</v>
      </c>
      <c r="T208" s="162" t="str">
        <f aca="false">IF(OR(S208="",S208=0,LEFT(S208,5)="(원본오류"),"",IF(S208=H208,"","매핑차이"))</f>
        <v/>
      </c>
    </row>
    <row r="209" customFormat="false" ht="16.5" hidden="false" customHeight="false" outlineLevel="0" collapsed="false">
      <c r="D209" s="190" t="s">
        <v>944</v>
      </c>
      <c r="E209" s="191" t="s">
        <v>945</v>
      </c>
      <c r="F209" s="192" t="s">
        <v>841</v>
      </c>
      <c r="G209" s="193" t="s">
        <v>912</v>
      </c>
      <c r="H209" s="194" t="s">
        <v>275</v>
      </c>
      <c r="I209" s="195" t="s">
        <v>945</v>
      </c>
      <c r="J209" s="196" t="n">
        <f aca="false">IFERROR(VLOOKUP(VALUE($D209),BSPL2026!$B:$Z,25,FALSE()),0)</f>
        <v>4163222610</v>
      </c>
      <c r="K209" s="197"/>
      <c r="L209" s="198"/>
      <c r="M209" s="196" t="n">
        <f aca="false">J209+K209-L209</f>
        <v>4163222610</v>
      </c>
      <c r="N209" s="197" t="n">
        <f aca="false">SUMIF('statutory adj_2026 조정분개'!$S:$S,$D209,'statutory adj_2026 조정분개'!$K:$K)</f>
        <v>0</v>
      </c>
      <c r="O209" s="198" t="n">
        <f aca="false">SUMIF('statutory adj_2026 조정분개'!$S:$S,$D209,'statutory adj_2026 조정분개'!$L:$L)</f>
        <v>0</v>
      </c>
      <c r="P209" s="196" t="n">
        <f aca="false">M209+N209-O209</f>
        <v>4163222610</v>
      </c>
      <c r="Q209" s="199" t="n">
        <f aca="false">IFERROR(VLOOKUP(VALUE($D209),BSPL2026!$B:$Q,16,FALSE()),0)</f>
        <v>4172982320</v>
      </c>
      <c r="R209" s="200" t="s">
        <v>496</v>
      </c>
      <c r="S209" s="162" t="str">
        <f aca="false">IFERROR(VLOOKUP(VALUE($D209),BSPL2026!$B:$M,12,FALSE()),"")</f>
        <v>판매수당</v>
      </c>
      <c r="T209" s="162" t="str">
        <f aca="false">IF(OR(S209="",S209=0,LEFT(S209,5)="(원본오류"),"",IF(S209=H209,"","매핑차이"))</f>
        <v/>
      </c>
    </row>
    <row r="210" customFormat="false" ht="16.5" hidden="true" customHeight="false" outlineLevel="0" collapsed="false">
      <c r="D210" s="190" t="s">
        <v>946</v>
      </c>
      <c r="E210" s="191" t="s">
        <v>698</v>
      </c>
      <c r="F210" s="192" t="s">
        <v>841</v>
      </c>
      <c r="G210" s="193" t="s">
        <v>912</v>
      </c>
      <c r="H210" s="194" t="s">
        <v>283</v>
      </c>
      <c r="I210" s="195" t="s">
        <v>698</v>
      </c>
      <c r="J210" s="196" t="n">
        <f aca="false">IFERROR(VLOOKUP(VALUE($D210),BSPL2026!$B:$Z,25,FALSE()),0)</f>
        <v>1127914767</v>
      </c>
      <c r="K210" s="197"/>
      <c r="L210" s="198"/>
      <c r="M210" s="196" t="n">
        <f aca="false">J210+K210-L210</f>
        <v>1127914767</v>
      </c>
      <c r="N210" s="197" t="n">
        <f aca="false">SUMIF('statutory adj_2026 조정분개'!$S:$S,$D210,'statutory adj_2026 조정분개'!$K:$K)</f>
        <v>0</v>
      </c>
      <c r="O210" s="198" t="n">
        <f aca="false">SUMIF('statutory adj_2026 조정분개'!$S:$S,$D210,'statutory adj_2026 조정분개'!$L:$L)</f>
        <v>0</v>
      </c>
      <c r="P210" s="196" t="n">
        <f aca="false">M210+N210-O210</f>
        <v>1127914767</v>
      </c>
      <c r="Q210" s="199" t="n">
        <f aca="false">IFERROR(VLOOKUP(VALUE($D210),BSPL2026!$B:$Q,16,FALSE()),0)</f>
        <v>1200612826</v>
      </c>
      <c r="R210" s="200" t="s">
        <v>496</v>
      </c>
      <c r="S210" s="162" t="str">
        <f aca="false">IFERROR(VLOOKUP(VALUE($D210),BSPL2026!$B:$M,12,FALSE()),"")</f>
        <v>상여와수당</v>
      </c>
      <c r="T210" s="162" t="str">
        <f aca="false">IF(OR(S210="",S210=0,LEFT(S210,5)="(원본오류"),"",IF(S210=H210,"","매핑차이"))</f>
        <v/>
      </c>
    </row>
    <row r="211" customFormat="false" ht="16.5" hidden="false" customHeight="false" outlineLevel="0" collapsed="false">
      <c r="D211" s="190" t="s">
        <v>947</v>
      </c>
      <c r="E211" s="191" t="s">
        <v>948</v>
      </c>
      <c r="F211" s="192" t="s">
        <v>841</v>
      </c>
      <c r="G211" s="193" t="s">
        <v>912</v>
      </c>
      <c r="H211" s="194" t="s">
        <v>283</v>
      </c>
      <c r="I211" s="195" t="s">
        <v>948</v>
      </c>
      <c r="J211" s="196" t="n">
        <f aca="false">IFERROR(VLOOKUP(VALUE($D211),BSPL2026!$B:$Z,25,FALSE()),0)</f>
        <v>284270186</v>
      </c>
      <c r="K211" s="197"/>
      <c r="L211" s="198"/>
      <c r="M211" s="196" t="n">
        <f aca="false">J211+K211-L211</f>
        <v>284270186</v>
      </c>
      <c r="N211" s="197" t="n">
        <f aca="false">SUMIF('statutory adj_2026 조정분개'!$S:$S,$D211,'statutory adj_2026 조정분개'!$K:$K)</f>
        <v>0</v>
      </c>
      <c r="O211" s="198" t="n">
        <f aca="false">SUMIF('statutory adj_2026 조정분개'!$S:$S,$D211,'statutory adj_2026 조정분개'!$L:$L)</f>
        <v>0</v>
      </c>
      <c r="P211" s="196" t="n">
        <f aca="false">M211+N211-O211</f>
        <v>284270186</v>
      </c>
      <c r="Q211" s="199" t="n">
        <f aca="false">IFERROR(VLOOKUP(VALUE($D211),BSPL2026!$B:$Q,16,FALSE()),0)</f>
        <v>408807534</v>
      </c>
      <c r="R211" s="200" t="s">
        <v>496</v>
      </c>
      <c r="S211" s="162" t="str">
        <f aca="false">IFERROR(VLOOKUP(VALUE($D211),BSPL2026!$B:$M,12,FALSE()),"")</f>
        <v>상여와수당</v>
      </c>
      <c r="T211" s="162" t="str">
        <f aca="false">IF(OR(S211="",S211=0,LEFT(S211,5)="(원본오류"),"",IF(S211=H211,"","매핑차이"))</f>
        <v/>
      </c>
    </row>
    <row r="212" customFormat="false" ht="16.5" hidden="false" customHeight="false" outlineLevel="0" collapsed="false">
      <c r="D212" s="190" t="s">
        <v>949</v>
      </c>
      <c r="E212" s="191" t="s">
        <v>950</v>
      </c>
      <c r="F212" s="192" t="s">
        <v>841</v>
      </c>
      <c r="G212" s="193" t="s">
        <v>912</v>
      </c>
      <c r="H212" s="194" t="s">
        <v>300</v>
      </c>
      <c r="I212" s="195" t="s">
        <v>950</v>
      </c>
      <c r="J212" s="196" t="n">
        <f aca="false">IFERROR(VLOOKUP(VALUE($D212),BSPL2026!$B:$Z,25,FALSE()),0)</f>
        <v>890858351</v>
      </c>
      <c r="K212" s="197"/>
      <c r="L212" s="198"/>
      <c r="M212" s="196" t="n">
        <f aca="false">J212+K212-L212</f>
        <v>890858351</v>
      </c>
      <c r="N212" s="197" t="n">
        <f aca="false">SUMIF('statutory adj_2026 조정분개'!$S:$S,$D212,'statutory adj_2026 조정분개'!$K:$K)</f>
        <v>0</v>
      </c>
      <c r="O212" s="198" t="n">
        <f aca="false">SUMIF('statutory adj_2026 조정분개'!$S:$S,$D212,'statutory adj_2026 조정분개'!$L:$L)</f>
        <v>0</v>
      </c>
      <c r="P212" s="196" t="n">
        <f aca="false">M212+N212-O212</f>
        <v>890858351</v>
      </c>
      <c r="Q212" s="199" t="n">
        <f aca="false">IFERROR(VLOOKUP(VALUE($D212),BSPL2026!$B:$Q,16,FALSE()),0)</f>
        <v>1380273135</v>
      </c>
      <c r="R212" s="200" t="s">
        <v>496</v>
      </c>
      <c r="S212" s="162" t="str">
        <f aca="false">IFERROR(VLOOKUP(VALUE($D212),BSPL2026!$B:$M,12,FALSE()),"")</f>
        <v>제세공과</v>
      </c>
      <c r="T212" s="162" t="str">
        <f aca="false">IF(OR(S212="",S212=0,LEFT(S212,5)="(원본오류"),"",IF(S212=H212,"","매핑차이"))</f>
        <v/>
      </c>
    </row>
    <row r="213" customFormat="false" ht="16.5" hidden="false" customHeight="false" outlineLevel="0" collapsed="false">
      <c r="D213" s="190" t="s">
        <v>951</v>
      </c>
      <c r="E213" s="191" t="s">
        <v>952</v>
      </c>
      <c r="F213" s="192" t="s">
        <v>841</v>
      </c>
      <c r="G213" s="193" t="s">
        <v>912</v>
      </c>
      <c r="H213" s="194" t="s">
        <v>285</v>
      </c>
      <c r="I213" s="195" t="s">
        <v>952</v>
      </c>
      <c r="J213" s="196" t="n">
        <f aca="false">IFERROR(VLOOKUP(VALUE($D213),BSPL2026!$B:$Z,25,FALSE()),0)</f>
        <v>4660370448</v>
      </c>
      <c r="K213" s="197"/>
      <c r="L213" s="198"/>
      <c r="M213" s="196" t="n">
        <f aca="false">J213+K213-L213</f>
        <v>4660370448</v>
      </c>
      <c r="N213" s="197" t="n">
        <f aca="false">SUMIF('statutory adj_2026 조정분개'!$S:$S,$D213,'statutory adj_2026 조정분개'!$K:$K)</f>
        <v>0</v>
      </c>
      <c r="O213" s="198" t="n">
        <f aca="false">SUMIF('statutory adj_2026 조정분개'!$S:$S,$D213,'statutory adj_2026 조정분개'!$L:$L)</f>
        <v>0</v>
      </c>
      <c r="P213" s="196" t="n">
        <f aca="false">M213+N213-O213</f>
        <v>4660370448</v>
      </c>
      <c r="Q213" s="199" t="n">
        <f aca="false">IFERROR(VLOOKUP(VALUE($D213),BSPL2026!$B:$Q,16,FALSE()),0)</f>
        <v>5809203600</v>
      </c>
      <c r="R213" s="200" t="s">
        <v>496</v>
      </c>
      <c r="S213" s="162" t="str">
        <f aca="false">IFERROR(VLOOKUP(VALUE($D213),BSPL2026!$B:$M,12,FALSE()),"")</f>
        <v>퇴직급여</v>
      </c>
      <c r="T213" s="162" t="str">
        <f aca="false">IF(OR(S213="",S213=0,LEFT(S213,5)="(원본오류"),"",IF(S213=H213,"","매핑차이"))</f>
        <v/>
      </c>
    </row>
    <row r="214" customFormat="false" ht="16.5" hidden="false" customHeight="false" outlineLevel="0" collapsed="false">
      <c r="D214" s="190" t="s">
        <v>953</v>
      </c>
      <c r="E214" s="191" t="s">
        <v>954</v>
      </c>
      <c r="F214" s="192" t="s">
        <v>841</v>
      </c>
      <c r="G214" s="193" t="s">
        <v>912</v>
      </c>
      <c r="H214" s="194" t="s">
        <v>289</v>
      </c>
      <c r="I214" s="195" t="s">
        <v>954</v>
      </c>
      <c r="J214" s="196" t="n">
        <f aca="false">IFERROR(VLOOKUP(VALUE($D214),BSPL2026!$B:$Z,25,FALSE()),0)</f>
        <v>1364502312</v>
      </c>
      <c r="K214" s="197"/>
      <c r="L214" s="198"/>
      <c r="M214" s="196" t="n">
        <f aca="false">J214+K214-L214</f>
        <v>1364502312</v>
      </c>
      <c r="N214" s="197" t="n">
        <f aca="false">SUMIF('statutory adj_2026 조정분개'!$S:$S,$D214,'statutory adj_2026 조정분개'!$K:$K)</f>
        <v>0</v>
      </c>
      <c r="O214" s="198" t="n">
        <f aca="false">SUMIF('statutory adj_2026 조정분개'!$S:$S,$D214,'statutory adj_2026 조정분개'!$L:$L)</f>
        <v>0</v>
      </c>
      <c r="P214" s="196" t="n">
        <f aca="false">M214+N214-O214</f>
        <v>1364502312</v>
      </c>
      <c r="Q214" s="199" t="n">
        <f aca="false">IFERROR(VLOOKUP(VALUE($D214),BSPL2026!$B:$Q,16,FALSE()),0)</f>
        <v>2009211921</v>
      </c>
      <c r="R214" s="200" t="s">
        <v>496</v>
      </c>
      <c r="S214" s="162" t="str">
        <f aca="false">IFERROR(VLOOKUP(VALUE($D214),BSPL2026!$B:$M,12,FALSE()),"")</f>
        <v>복리후생비</v>
      </c>
      <c r="T214" s="162" t="str">
        <f aca="false">IF(OR(S214="",S214=0,LEFT(S214,5)="(원본오류"),"",IF(S214=H214,"","매핑차이"))</f>
        <v/>
      </c>
    </row>
    <row r="215" customFormat="false" ht="16.5" hidden="false" customHeight="false" outlineLevel="0" collapsed="false">
      <c r="D215" s="190" t="s">
        <v>955</v>
      </c>
      <c r="E215" s="191" t="s">
        <v>956</v>
      </c>
      <c r="F215" s="192" t="s">
        <v>841</v>
      </c>
      <c r="G215" s="193" t="s">
        <v>912</v>
      </c>
      <c r="H215" s="194" t="s">
        <v>289</v>
      </c>
      <c r="I215" s="195" t="s">
        <v>956</v>
      </c>
      <c r="J215" s="196" t="n">
        <f aca="false">IFERROR(VLOOKUP(VALUE($D215),BSPL2026!$B:$Z,25,FALSE()),0)</f>
        <v>239892981</v>
      </c>
      <c r="K215" s="197"/>
      <c r="L215" s="198"/>
      <c r="M215" s="196" t="n">
        <f aca="false">J215+K215-L215</f>
        <v>239892981</v>
      </c>
      <c r="N215" s="197" t="n">
        <f aca="false">SUMIF('statutory adj_2026 조정분개'!$S:$S,$D215,'statutory adj_2026 조정분개'!$K:$K)</f>
        <v>0</v>
      </c>
      <c r="O215" s="198" t="n">
        <f aca="false">SUMIF('statutory adj_2026 조정분개'!$S:$S,$D215,'statutory adj_2026 조정분개'!$L:$L)</f>
        <v>0</v>
      </c>
      <c r="P215" s="196" t="n">
        <f aca="false">M215+N215-O215</f>
        <v>239892981</v>
      </c>
      <c r="Q215" s="199" t="n">
        <f aca="false">IFERROR(VLOOKUP(VALUE($D215),BSPL2026!$B:$Q,16,FALSE()),0)</f>
        <v>276761763</v>
      </c>
      <c r="R215" s="200" t="s">
        <v>496</v>
      </c>
      <c r="S215" s="162" t="str">
        <f aca="false">IFERROR(VLOOKUP(VALUE($D215),BSPL2026!$B:$M,12,FALSE()),"")</f>
        <v>복리후생비</v>
      </c>
      <c r="T215" s="162" t="str">
        <f aca="false">IF(OR(S215="",S215=0,LEFT(S215,5)="(원본오류"),"",IF(S215=H215,"","매핑차이"))</f>
        <v/>
      </c>
    </row>
    <row r="216" customFormat="false" ht="16.5" hidden="false" customHeight="false" outlineLevel="0" collapsed="false">
      <c r="D216" s="190" t="s">
        <v>957</v>
      </c>
      <c r="E216" s="191" t="s">
        <v>958</v>
      </c>
      <c r="F216" s="192" t="s">
        <v>841</v>
      </c>
      <c r="G216" s="193" t="s">
        <v>912</v>
      </c>
      <c r="H216" s="194" t="s">
        <v>289</v>
      </c>
      <c r="I216" s="195" t="s">
        <v>958</v>
      </c>
      <c r="J216" s="196" t="n">
        <f aca="false">IFERROR(VLOOKUP(VALUE($D216),BSPL2026!$B:$Z,25,FALSE()),0)</f>
        <v>156704704</v>
      </c>
      <c r="K216" s="197"/>
      <c r="L216" s="198"/>
      <c r="M216" s="196" t="n">
        <f aca="false">J216+K216-L216</f>
        <v>156704704</v>
      </c>
      <c r="N216" s="197" t="n">
        <f aca="false">SUMIF('statutory adj_2026 조정분개'!$S:$S,$D216,'statutory adj_2026 조정분개'!$K:$K)</f>
        <v>0</v>
      </c>
      <c r="O216" s="198" t="n">
        <f aca="false">SUMIF('statutory adj_2026 조정분개'!$S:$S,$D216,'statutory adj_2026 조정분개'!$L:$L)</f>
        <v>0</v>
      </c>
      <c r="P216" s="196" t="n">
        <f aca="false">M216+N216-O216</f>
        <v>156704704</v>
      </c>
      <c r="Q216" s="199" t="n">
        <f aca="false">IFERROR(VLOOKUP(VALUE($D216),BSPL2026!$B:$Q,16,FALSE()),0)</f>
        <v>200141195</v>
      </c>
      <c r="R216" s="200" t="s">
        <v>496</v>
      </c>
      <c r="S216" s="162" t="str">
        <f aca="false">IFERROR(VLOOKUP(VALUE($D216),BSPL2026!$B:$M,12,FALSE()),"")</f>
        <v>복리후생비</v>
      </c>
      <c r="T216" s="162" t="str">
        <f aca="false">IF(OR(S216="",S216=0,LEFT(S216,5)="(원본오류"),"",IF(S216=H216,"","매핑차이"))</f>
        <v/>
      </c>
    </row>
    <row r="217" customFormat="false" ht="16.5" hidden="false" customHeight="false" outlineLevel="0" collapsed="false">
      <c r="D217" s="190" t="s">
        <v>959</v>
      </c>
      <c r="E217" s="191" t="s">
        <v>960</v>
      </c>
      <c r="F217" s="192" t="s">
        <v>841</v>
      </c>
      <c r="G217" s="193" t="s">
        <v>912</v>
      </c>
      <c r="H217" s="194" t="s">
        <v>289</v>
      </c>
      <c r="I217" s="195" t="s">
        <v>960</v>
      </c>
      <c r="J217" s="196" t="n">
        <f aca="false">IFERROR(VLOOKUP(VALUE($D217),BSPL2026!$B:$Z,25,FALSE()),0)</f>
        <v>-14614089</v>
      </c>
      <c r="K217" s="197"/>
      <c r="L217" s="198"/>
      <c r="M217" s="196" t="n">
        <f aca="false">J217+K217-L217</f>
        <v>-14614089</v>
      </c>
      <c r="N217" s="197" t="n">
        <f aca="false">SUMIF('statutory adj_2026 조정분개'!$S:$S,$D217,'statutory adj_2026 조정분개'!$K:$K)</f>
        <v>0</v>
      </c>
      <c r="O217" s="198" t="n">
        <f aca="false">SUMIF('statutory adj_2026 조정분개'!$S:$S,$D217,'statutory adj_2026 조정분개'!$L:$L)</f>
        <v>0</v>
      </c>
      <c r="P217" s="196" t="n">
        <f aca="false">M217+N217-O217</f>
        <v>-14614089</v>
      </c>
      <c r="Q217" s="199" t="n">
        <f aca="false">IFERROR(VLOOKUP(VALUE($D217),BSPL2026!$B:$Q,16,FALSE()),0)</f>
        <v>14614089</v>
      </c>
      <c r="R217" s="200" t="s">
        <v>496</v>
      </c>
      <c r="S217" s="162" t="str">
        <f aca="false">IFERROR(VLOOKUP(VALUE($D217),BSPL2026!$B:$M,12,FALSE()),"")</f>
        <v>복리후생비</v>
      </c>
      <c r="T217" s="162" t="str">
        <f aca="false">IF(OR(S217="",S217=0,LEFT(S217,5)="(원본오류"),"",IF(S217=H217,"","매핑차이"))</f>
        <v/>
      </c>
    </row>
    <row r="218" customFormat="false" ht="16.5" hidden="false" customHeight="false" outlineLevel="0" collapsed="false">
      <c r="D218" s="190" t="s">
        <v>961</v>
      </c>
      <c r="E218" s="191" t="s">
        <v>962</v>
      </c>
      <c r="F218" s="192" t="s">
        <v>841</v>
      </c>
      <c r="G218" s="193" t="s">
        <v>912</v>
      </c>
      <c r="H218" s="194" t="s">
        <v>290</v>
      </c>
      <c r="I218" s="195" t="s">
        <v>962</v>
      </c>
      <c r="J218" s="196" t="n">
        <f aca="false">IFERROR(VLOOKUP(VALUE($D218),BSPL2026!$B:$Z,25,FALSE()),0)</f>
        <v>63924575</v>
      </c>
      <c r="K218" s="197"/>
      <c r="L218" s="198"/>
      <c r="M218" s="196" t="n">
        <f aca="false">J218+K218-L218</f>
        <v>63924575</v>
      </c>
      <c r="N218" s="197" t="n">
        <f aca="false">SUMIF('statutory adj_2026 조정분개'!$S:$S,$D218,'statutory adj_2026 조정분개'!$K:$K)</f>
        <v>0</v>
      </c>
      <c r="O218" s="198" t="n">
        <f aca="false">SUMIF('statutory adj_2026 조정분개'!$S:$S,$D218,'statutory adj_2026 조정분개'!$L:$L)</f>
        <v>0</v>
      </c>
      <c r="P218" s="196" t="n">
        <f aca="false">M218+N218-O218</f>
        <v>63924575</v>
      </c>
      <c r="Q218" s="199" t="n">
        <f aca="false">IFERROR(VLOOKUP(VALUE($D218),BSPL2026!$B:$Q,16,FALSE()),0)</f>
        <v>59161675</v>
      </c>
      <c r="R218" s="200" t="s">
        <v>496</v>
      </c>
      <c r="S218" s="162" t="str">
        <f aca="false">IFERROR(VLOOKUP(VALUE($D218),BSPL2026!$B:$M,12,FALSE()),"")</f>
        <v>여비교통비</v>
      </c>
      <c r="T218" s="162" t="str">
        <f aca="false">IF(OR(S218="",S218=0,LEFT(S218,5)="(원본오류"),"",IF(S218=H218,"","매핑차이"))</f>
        <v/>
      </c>
    </row>
    <row r="219" customFormat="false" ht="16.5" hidden="false" customHeight="false" outlineLevel="0" collapsed="false">
      <c r="D219" s="190" t="s">
        <v>963</v>
      </c>
      <c r="E219" s="191" t="s">
        <v>964</v>
      </c>
      <c r="F219" s="192" t="s">
        <v>841</v>
      </c>
      <c r="G219" s="193" t="s">
        <v>912</v>
      </c>
      <c r="H219" s="194" t="s">
        <v>284</v>
      </c>
      <c r="I219" s="195" t="s">
        <v>964</v>
      </c>
      <c r="J219" s="196" t="n">
        <f aca="false">IFERROR(VLOOKUP(VALUE($D219),BSPL2026!$B:$Z,25,FALSE()),0)</f>
        <v>-348309458</v>
      </c>
      <c r="K219" s="197"/>
      <c r="L219" s="198"/>
      <c r="M219" s="196" t="n">
        <f aca="false">J219+K219-L219</f>
        <v>-348309458</v>
      </c>
      <c r="N219" s="197" t="n">
        <f aca="false">SUMIF('statutory adj_2026 조정분개'!$S:$S,$D219,'statutory adj_2026 조정분개'!$K:$K)</f>
        <v>0</v>
      </c>
      <c r="O219" s="198" t="n">
        <f aca="false">SUMIF('statutory adj_2026 조정분개'!$S:$S,$D219,'statutory adj_2026 조정분개'!$L:$L)</f>
        <v>0</v>
      </c>
      <c r="P219" s="196" t="n">
        <f aca="false">M219+N219-O219</f>
        <v>-348309458</v>
      </c>
      <c r="Q219" s="199" t="n">
        <f aca="false">IFERROR(VLOOKUP(VALUE($D219),BSPL2026!$B:$Q,16,FALSE()),0)</f>
        <v>-164581135</v>
      </c>
      <c r="R219" s="200" t="s">
        <v>496</v>
      </c>
      <c r="S219" s="162" t="str">
        <f aca="false">IFERROR(VLOOKUP(VALUE($D219),BSPL2026!$B:$M,12,FALSE()),"")</f>
        <v>성과급여</v>
      </c>
      <c r="T219" s="162" t="str">
        <f aca="false">IF(OR(S219="",S219=0,LEFT(S219,5)="(원본오류"),"",IF(S219=H219,"","매핑차이"))</f>
        <v/>
      </c>
    </row>
    <row r="220" customFormat="false" ht="16.5" hidden="false" customHeight="false" outlineLevel="0" collapsed="false">
      <c r="D220" s="190" t="s">
        <v>965</v>
      </c>
      <c r="E220" s="191" t="s">
        <v>966</v>
      </c>
      <c r="F220" s="192" t="s">
        <v>841</v>
      </c>
      <c r="G220" s="193" t="s">
        <v>912</v>
      </c>
      <c r="H220" s="194" t="s">
        <v>284</v>
      </c>
      <c r="I220" s="195" t="s">
        <v>966</v>
      </c>
      <c r="J220" s="196" t="n">
        <f aca="false">IFERROR(VLOOKUP(VALUE($D220),BSPL2026!$B:$Z,25,FALSE()),0)</f>
        <v>690780403</v>
      </c>
      <c r="K220" s="197"/>
      <c r="L220" s="198"/>
      <c r="M220" s="196" t="n">
        <f aca="false">J220+K220-L220</f>
        <v>690780403</v>
      </c>
      <c r="N220" s="197" t="n">
        <f aca="false">SUMIF('statutory adj_2026 조정분개'!$S:$S,$D220,'statutory adj_2026 조정분개'!$K:$K)</f>
        <v>0</v>
      </c>
      <c r="O220" s="198" t="n">
        <f aca="false">SUMIF('statutory adj_2026 조정분개'!$S:$S,$D220,'statutory adj_2026 조정분개'!$L:$L)</f>
        <v>0</v>
      </c>
      <c r="P220" s="196" t="n">
        <f aca="false">M220+N220-O220</f>
        <v>690780403</v>
      </c>
      <c r="Q220" s="199" t="n">
        <f aca="false">IFERROR(VLOOKUP(VALUE($D220),BSPL2026!$B:$Q,16,FALSE()),0)</f>
        <v>1090091454</v>
      </c>
      <c r="R220" s="200" t="s">
        <v>496</v>
      </c>
      <c r="S220" s="162" t="str">
        <f aca="false">IFERROR(VLOOKUP(VALUE($D220),BSPL2026!$B:$M,12,FALSE()),"")</f>
        <v>성과급여</v>
      </c>
      <c r="T220" s="162" t="str">
        <f aca="false">IF(OR(S220="",S220=0,LEFT(S220,5)="(원본오류"),"",IF(S220=H220,"","매핑차이"))</f>
        <v/>
      </c>
    </row>
    <row r="221" customFormat="false" ht="16.5" hidden="false" customHeight="false" outlineLevel="0" collapsed="false">
      <c r="D221" s="190" t="s">
        <v>967</v>
      </c>
      <c r="E221" s="191" t="s">
        <v>968</v>
      </c>
      <c r="F221" s="192" t="s">
        <v>841</v>
      </c>
      <c r="G221" s="193" t="s">
        <v>912</v>
      </c>
      <c r="H221" s="194" t="s">
        <v>283</v>
      </c>
      <c r="I221" s="195" t="s">
        <v>968</v>
      </c>
      <c r="J221" s="196" t="n">
        <f aca="false">IFERROR(VLOOKUP(VALUE($D221),BSPL2026!$B:$Z,25,FALSE()),0)</f>
        <v>-12320098</v>
      </c>
      <c r="K221" s="197"/>
      <c r="L221" s="198"/>
      <c r="M221" s="196" t="n">
        <f aca="false">J221+K221-L221</f>
        <v>-12320098</v>
      </c>
      <c r="N221" s="197" t="n">
        <f aca="false">SUMIF('statutory adj_2026 조정분개'!$S:$S,$D221,'statutory adj_2026 조정분개'!$K:$K)</f>
        <v>0</v>
      </c>
      <c r="O221" s="198" t="n">
        <f aca="false">SUMIF('statutory adj_2026 조정분개'!$S:$S,$D221,'statutory adj_2026 조정분개'!$L:$L)</f>
        <v>0</v>
      </c>
      <c r="P221" s="196" t="n">
        <f aca="false">M221+N221-O221</f>
        <v>-12320098</v>
      </c>
      <c r="Q221" s="199" t="n">
        <f aca="false">IFERROR(VLOOKUP(VALUE($D221),BSPL2026!$B:$Q,16,FALSE()),0)</f>
        <v>99624976</v>
      </c>
      <c r="R221" s="200" t="s">
        <v>496</v>
      </c>
      <c r="S221" s="162" t="str">
        <f aca="false">IFERROR(VLOOKUP(VALUE($D221),BSPL2026!$B:$M,12,FALSE()),"")</f>
        <v>상여와수당</v>
      </c>
      <c r="T221" s="162" t="str">
        <f aca="false">IF(OR(S221="",S221=0,LEFT(S221,5)="(원본오류"),"",IF(S221=H221,"","매핑차이"))</f>
        <v/>
      </c>
    </row>
    <row r="222" customFormat="false" ht="16.5" hidden="false" customHeight="false" outlineLevel="0" collapsed="false">
      <c r="D222" s="190" t="s">
        <v>969</v>
      </c>
      <c r="E222" s="191" t="s">
        <v>970</v>
      </c>
      <c r="F222" s="192" t="s">
        <v>841</v>
      </c>
      <c r="G222" s="193" t="s">
        <v>912</v>
      </c>
      <c r="H222" s="194" t="s">
        <v>313</v>
      </c>
      <c r="I222" s="195" t="s">
        <v>970</v>
      </c>
      <c r="J222" s="196" t="n">
        <f aca="false">IFERROR(VLOOKUP(VALUE($D222),BSPL2026!$B:$Z,25,FALSE()),0)</f>
        <v>249000</v>
      </c>
      <c r="K222" s="197"/>
      <c r="L222" s="198"/>
      <c r="M222" s="196" t="n">
        <f aca="false">J222+K222-L222</f>
        <v>249000</v>
      </c>
      <c r="N222" s="197" t="n">
        <f aca="false">SUMIF('statutory adj_2026 조정분개'!$S:$S,$D222,'statutory adj_2026 조정분개'!$K:$K)</f>
        <v>0</v>
      </c>
      <c r="O222" s="198" t="n">
        <f aca="false">SUMIF('statutory adj_2026 조정분개'!$S:$S,$D222,'statutory adj_2026 조정분개'!$L:$L)</f>
        <v>0</v>
      </c>
      <c r="P222" s="196" t="n">
        <f aca="false">M222+N222-O222</f>
        <v>249000</v>
      </c>
      <c r="Q222" s="199" t="n">
        <f aca="false">IFERROR(VLOOKUP(VALUE($D222),BSPL2026!$B:$Q,16,FALSE()),0)</f>
        <v>1816200</v>
      </c>
      <c r="R222" s="200" t="s">
        <v>496</v>
      </c>
      <c r="S222" s="162" t="str">
        <f aca="false">IFERROR(VLOOKUP(VALUE($D222),BSPL2026!$B:$M,12,FALSE()),"")</f>
        <v>교육훈련비</v>
      </c>
      <c r="T222" s="162" t="str">
        <f aca="false">IF(OR(S222="",S222=0,LEFT(S222,5)="(원본오류"),"",IF(S222=H222,"","매핑차이"))</f>
        <v/>
      </c>
    </row>
    <row r="223" customFormat="false" ht="16.5" hidden="false" customHeight="false" outlineLevel="0" collapsed="false">
      <c r="D223" s="190" t="s">
        <v>971</v>
      </c>
      <c r="E223" s="191" t="s">
        <v>972</v>
      </c>
      <c r="F223" s="192" t="s">
        <v>841</v>
      </c>
      <c r="G223" s="193" t="s">
        <v>912</v>
      </c>
      <c r="H223" s="194" t="s">
        <v>307</v>
      </c>
      <c r="I223" s="195" t="s">
        <v>972</v>
      </c>
      <c r="J223" s="196" t="n">
        <f aca="false">IFERROR(VLOOKUP(VALUE($D223),BSPL2026!$B:$Z,25,FALSE()),0)</f>
        <v>402998681</v>
      </c>
      <c r="K223" s="197"/>
      <c r="L223" s="198"/>
      <c r="M223" s="196" t="n">
        <f aca="false">J223+K223-L223</f>
        <v>402998681</v>
      </c>
      <c r="N223" s="197" t="n">
        <f aca="false">SUMIF('statutory adj_2026 조정분개'!$S:$S,$D223,'statutory adj_2026 조정분개'!$K:$K)</f>
        <v>0</v>
      </c>
      <c r="O223" s="198" t="n">
        <f aca="false">SUMIF('statutory adj_2026 조정분개'!$S:$S,$D223,'statutory adj_2026 조정분개'!$L:$L)</f>
        <v>0</v>
      </c>
      <c r="P223" s="196" t="n">
        <f aca="false">M223+N223-O223</f>
        <v>402998681</v>
      </c>
      <c r="Q223" s="199" t="n">
        <f aca="false">IFERROR(VLOOKUP(VALUE($D223),BSPL2026!$B:$Q,16,FALSE()),0)</f>
        <v>392927090</v>
      </c>
      <c r="R223" s="200" t="s">
        <v>496</v>
      </c>
      <c r="S223" s="162" t="str">
        <f aca="false">IFERROR(VLOOKUP(VALUE($D223),BSPL2026!$B:$M,12,FALSE()),"")</f>
        <v>임상증례조사비</v>
      </c>
      <c r="T223" s="162" t="str">
        <f aca="false">IF(OR(S223="",S223=0,LEFT(S223,5)="(원본오류"),"",IF(S223=H223,"","매핑차이"))</f>
        <v/>
      </c>
    </row>
    <row r="224" customFormat="false" ht="16.5" hidden="false" customHeight="false" outlineLevel="0" collapsed="false">
      <c r="D224" s="190" t="s">
        <v>973</v>
      </c>
      <c r="E224" s="191" t="s">
        <v>974</v>
      </c>
      <c r="F224" s="192" t="s">
        <v>841</v>
      </c>
      <c r="G224" s="193" t="s">
        <v>912</v>
      </c>
      <c r="H224" s="194" t="s">
        <v>307</v>
      </c>
      <c r="I224" s="195" t="s">
        <v>974</v>
      </c>
      <c r="J224" s="196" t="n">
        <f aca="false">IFERROR(VLOOKUP(VALUE($D224),BSPL2026!$B:$Z,25,FALSE()),0)</f>
        <v>39750000</v>
      </c>
      <c r="K224" s="197"/>
      <c r="L224" s="198"/>
      <c r="M224" s="196" t="n">
        <f aca="false">J224+K224-L224</f>
        <v>39750000</v>
      </c>
      <c r="N224" s="197" t="n">
        <f aca="false">SUMIF('statutory adj_2026 조정분개'!$S:$S,$D224,'statutory adj_2026 조정분개'!$K:$K)</f>
        <v>0</v>
      </c>
      <c r="O224" s="198" t="n">
        <f aca="false">SUMIF('statutory adj_2026 조정분개'!$S:$S,$D224,'statutory adj_2026 조정분개'!$L:$L)</f>
        <v>0</v>
      </c>
      <c r="P224" s="196" t="n">
        <f aca="false">M224+N224-O224</f>
        <v>39750000</v>
      </c>
      <c r="Q224" s="199" t="n">
        <f aca="false">IFERROR(VLOOKUP(VALUE($D224),BSPL2026!$B:$Q,16,FALSE()),0)</f>
        <v>57250000</v>
      </c>
      <c r="R224" s="200" t="s">
        <v>496</v>
      </c>
      <c r="S224" s="162" t="str">
        <f aca="false">IFERROR(VLOOKUP(VALUE($D224),BSPL2026!$B:$M,12,FALSE()),"")</f>
        <v>임상증례조사비</v>
      </c>
      <c r="T224" s="162" t="str">
        <f aca="false">IF(OR(S224="",S224=0,LEFT(S224,5)="(원본오류"),"",IF(S224=H224,"","매핑차이"))</f>
        <v/>
      </c>
    </row>
    <row r="225" customFormat="false" ht="16.5" hidden="false" customHeight="false" outlineLevel="0" collapsed="false">
      <c r="D225" s="190" t="s">
        <v>975</v>
      </c>
      <c r="E225" s="191" t="s">
        <v>976</v>
      </c>
      <c r="F225" s="192" t="s">
        <v>841</v>
      </c>
      <c r="G225" s="193" t="s">
        <v>912</v>
      </c>
      <c r="H225" s="194" t="s">
        <v>307</v>
      </c>
      <c r="I225" s="195" t="s">
        <v>976</v>
      </c>
      <c r="J225" s="196" t="n">
        <f aca="false">IFERROR(VLOOKUP(VALUE($D225),BSPL2026!$B:$Z,25,FALSE()),0)</f>
        <v>6888477316</v>
      </c>
      <c r="K225" s="197"/>
      <c r="L225" s="198"/>
      <c r="M225" s="196" t="n">
        <f aca="false">J225+K225-L225</f>
        <v>6888477316</v>
      </c>
      <c r="N225" s="197" t="n">
        <f aca="false">SUMIF('statutory adj_2026 조정분개'!$S:$S,$D225,'statutory adj_2026 조정분개'!$K:$K)</f>
        <v>0</v>
      </c>
      <c r="O225" s="198" t="n">
        <f aca="false">SUMIF('statutory adj_2026 조정분개'!$S:$S,$D225,'statutory adj_2026 조정분개'!$L:$L)</f>
        <v>0</v>
      </c>
      <c r="P225" s="196" t="n">
        <f aca="false">M225+N225-O225</f>
        <v>6888477316</v>
      </c>
      <c r="Q225" s="199" t="n">
        <f aca="false">IFERROR(VLOOKUP(VALUE($D225),BSPL2026!$B:$Q,16,FALSE()),0)</f>
        <v>718716355</v>
      </c>
      <c r="R225" s="200" t="s">
        <v>496</v>
      </c>
      <c r="S225" s="162" t="str">
        <f aca="false">IFERROR(VLOOKUP(VALUE($D225),BSPL2026!$B:$M,12,FALSE()),"")</f>
        <v>임상증례조사비</v>
      </c>
      <c r="T225" s="162" t="str">
        <f aca="false">IF(OR(S225="",S225=0,LEFT(S225,5)="(원본오류"),"",IF(S225=H225,"","매핑차이"))</f>
        <v/>
      </c>
    </row>
    <row r="226" customFormat="false" ht="16.5" hidden="false" customHeight="false" outlineLevel="0" collapsed="false">
      <c r="D226" s="190" t="s">
        <v>977</v>
      </c>
      <c r="E226" s="191" t="s">
        <v>978</v>
      </c>
      <c r="F226" s="192" t="s">
        <v>841</v>
      </c>
      <c r="G226" s="193" t="s">
        <v>912</v>
      </c>
      <c r="H226" s="194" t="s">
        <v>307</v>
      </c>
      <c r="I226" s="195" t="s">
        <v>978</v>
      </c>
      <c r="J226" s="196" t="n">
        <f aca="false">IFERROR(VLOOKUP(VALUE($D226),BSPL2026!$B:$Z,25,FALSE()),0)</f>
        <v>105186941</v>
      </c>
      <c r="K226" s="197"/>
      <c r="L226" s="198"/>
      <c r="M226" s="196" t="n">
        <f aca="false">J226+K226-L226</f>
        <v>105186941</v>
      </c>
      <c r="N226" s="197" t="n">
        <f aca="false">SUMIF('statutory adj_2026 조정분개'!$S:$S,$D226,'statutory adj_2026 조정분개'!$K:$K)</f>
        <v>0</v>
      </c>
      <c r="O226" s="198" t="n">
        <f aca="false">SUMIF('statutory adj_2026 조정분개'!$S:$S,$D226,'statutory adj_2026 조정분개'!$L:$L)</f>
        <v>0</v>
      </c>
      <c r="P226" s="196" t="n">
        <f aca="false">M226+N226-O226</f>
        <v>105186941</v>
      </c>
      <c r="Q226" s="199" t="n">
        <f aca="false">IFERROR(VLOOKUP(VALUE($D226),BSPL2026!$B:$Q,16,FALSE()),0)</f>
        <v>0</v>
      </c>
      <c r="R226" s="200" t="s">
        <v>496</v>
      </c>
      <c r="S226" s="162" t="str">
        <f aca="false">IFERROR(VLOOKUP(VALUE($D226),BSPL2026!$B:$M,12,FALSE()),"")</f>
        <v>임상증례조사비</v>
      </c>
      <c r="T226" s="162" t="str">
        <f aca="false">IF(OR(S226="",S226=0,LEFT(S226,5)="(원본오류"),"",IF(S226=H226,"","매핑차이"))</f>
        <v/>
      </c>
    </row>
    <row r="227" customFormat="false" ht="16.5" hidden="false" customHeight="false" outlineLevel="0" collapsed="false">
      <c r="D227" s="190" t="s">
        <v>979</v>
      </c>
      <c r="E227" s="191" t="s">
        <v>980</v>
      </c>
      <c r="F227" s="192" t="s">
        <v>841</v>
      </c>
      <c r="G227" s="193" t="s">
        <v>912</v>
      </c>
      <c r="H227" s="194" t="s">
        <v>290</v>
      </c>
      <c r="I227" s="195" t="s">
        <v>980</v>
      </c>
      <c r="J227" s="196" t="n">
        <f aca="false">IFERROR(VLOOKUP(VALUE($D227),BSPL2026!$B:$Z,25,FALSE()),0)</f>
        <v>724695011</v>
      </c>
      <c r="K227" s="197"/>
      <c r="L227" s="198"/>
      <c r="M227" s="196" t="n">
        <f aca="false">J227+K227-L227</f>
        <v>724695011</v>
      </c>
      <c r="N227" s="197" t="n">
        <f aca="false">SUMIF('statutory adj_2026 조정분개'!$S:$S,$D227,'statutory adj_2026 조정분개'!$K:$K)</f>
        <v>0</v>
      </c>
      <c r="O227" s="198" t="n">
        <f aca="false">SUMIF('statutory adj_2026 조정분개'!$S:$S,$D227,'statutory adj_2026 조정분개'!$L:$L)</f>
        <v>0</v>
      </c>
      <c r="P227" s="196" t="n">
        <f aca="false">M227+N227-O227</f>
        <v>724695011</v>
      </c>
      <c r="Q227" s="199" t="n">
        <f aca="false">IFERROR(VLOOKUP(VALUE($D227),BSPL2026!$B:$Q,16,FALSE()),0)</f>
        <v>1144180686</v>
      </c>
      <c r="R227" s="200" t="s">
        <v>496</v>
      </c>
      <c r="S227" s="162" t="str">
        <f aca="false">IFERROR(VLOOKUP(VALUE($D227),BSPL2026!$B:$M,12,FALSE()),"")</f>
        <v>여비교통비</v>
      </c>
      <c r="T227" s="162" t="str">
        <f aca="false">IF(OR(S227="",S227=0,LEFT(S227,5)="(원본오류"),"",IF(S227=H227,"","매핑차이"))</f>
        <v/>
      </c>
    </row>
    <row r="228" customFormat="false" ht="16.5" hidden="false" customHeight="false" outlineLevel="0" collapsed="false">
      <c r="D228" s="190" t="s">
        <v>981</v>
      </c>
      <c r="E228" s="191" t="s">
        <v>982</v>
      </c>
      <c r="F228" s="192" t="s">
        <v>841</v>
      </c>
      <c r="G228" s="193" t="s">
        <v>912</v>
      </c>
      <c r="H228" s="194" t="s">
        <v>290</v>
      </c>
      <c r="I228" s="195" t="s">
        <v>982</v>
      </c>
      <c r="J228" s="196" t="n">
        <f aca="false">IFERROR(VLOOKUP(VALUE($D228),BSPL2026!$B:$Z,25,FALSE()),0)</f>
        <v>200512833</v>
      </c>
      <c r="K228" s="197"/>
      <c r="L228" s="198"/>
      <c r="M228" s="196" t="n">
        <f aca="false">J228+K228-L228</f>
        <v>200512833</v>
      </c>
      <c r="N228" s="197" t="n">
        <f aca="false">SUMIF('statutory adj_2026 조정분개'!$S:$S,$D228,'statutory adj_2026 조정분개'!$K:$K)</f>
        <v>0</v>
      </c>
      <c r="O228" s="198" t="n">
        <f aca="false">SUMIF('statutory adj_2026 조정분개'!$S:$S,$D228,'statutory adj_2026 조정분개'!$L:$L)</f>
        <v>0</v>
      </c>
      <c r="P228" s="196" t="n">
        <f aca="false">M228+N228-O228</f>
        <v>200512833</v>
      </c>
      <c r="Q228" s="199" t="n">
        <f aca="false">IFERROR(VLOOKUP(VALUE($D228),BSPL2026!$B:$Q,16,FALSE()),0)</f>
        <v>627902575</v>
      </c>
      <c r="R228" s="200" t="s">
        <v>496</v>
      </c>
      <c r="S228" s="162" t="str">
        <f aca="false">IFERROR(VLOOKUP(VALUE($D228),BSPL2026!$B:$M,12,FALSE()),"")</f>
        <v>여비교통비</v>
      </c>
      <c r="T228" s="162" t="str">
        <f aca="false">IF(OR(S228="",S228=0,LEFT(S228,5)="(원본오류"),"",IF(S228=H228,"","매핑차이"))</f>
        <v/>
      </c>
    </row>
    <row r="229" customFormat="false" ht="16.5" hidden="false" customHeight="false" outlineLevel="0" collapsed="false">
      <c r="D229" s="190" t="s">
        <v>983</v>
      </c>
      <c r="E229" s="191" t="s">
        <v>984</v>
      </c>
      <c r="F229" s="192" t="s">
        <v>841</v>
      </c>
      <c r="G229" s="193" t="s">
        <v>912</v>
      </c>
      <c r="H229" s="194" t="s">
        <v>290</v>
      </c>
      <c r="I229" s="195" t="s">
        <v>984</v>
      </c>
      <c r="J229" s="196" t="n">
        <f aca="false">IFERROR(VLOOKUP(VALUE($D229),BSPL2026!$B:$Z,25,FALSE()),0)</f>
        <v>771586050</v>
      </c>
      <c r="K229" s="197"/>
      <c r="L229" s="198"/>
      <c r="M229" s="196" t="n">
        <f aca="false">J229+K229-L229</f>
        <v>771586050</v>
      </c>
      <c r="N229" s="197" t="n">
        <f aca="false">SUMIF('statutory adj_2026 조정분개'!$S:$S,$D229,'statutory adj_2026 조정분개'!$K:$K)</f>
        <v>0</v>
      </c>
      <c r="O229" s="198" t="n">
        <f aca="false">SUMIF('statutory adj_2026 조정분개'!$S:$S,$D229,'statutory adj_2026 조정분개'!$L:$L)</f>
        <v>0</v>
      </c>
      <c r="P229" s="196" t="n">
        <f aca="false">M229+N229-O229</f>
        <v>771586050</v>
      </c>
      <c r="Q229" s="199" t="n">
        <f aca="false">IFERROR(VLOOKUP(VALUE($D229),BSPL2026!$B:$Q,16,FALSE()),0)</f>
        <v>977430514</v>
      </c>
      <c r="R229" s="200" t="s">
        <v>496</v>
      </c>
      <c r="S229" s="162" t="str">
        <f aca="false">IFERROR(VLOOKUP(VALUE($D229),BSPL2026!$B:$M,12,FALSE()),"")</f>
        <v>여비교통비</v>
      </c>
      <c r="T229" s="162" t="str">
        <f aca="false">IF(OR(S229="",S229=0,LEFT(S229,5)="(원본오류"),"",IF(S229=H229,"","매핑차이"))</f>
        <v/>
      </c>
    </row>
    <row r="230" customFormat="false" ht="16.5" hidden="false" customHeight="false" outlineLevel="0" collapsed="false">
      <c r="D230" s="190" t="s">
        <v>985</v>
      </c>
      <c r="E230" s="191" t="s">
        <v>986</v>
      </c>
      <c r="F230" s="192" t="s">
        <v>841</v>
      </c>
      <c r="G230" s="193" t="s">
        <v>912</v>
      </c>
      <c r="H230" s="194" t="s">
        <v>290</v>
      </c>
      <c r="I230" s="195" t="s">
        <v>986</v>
      </c>
      <c r="J230" s="196" t="n">
        <f aca="false">IFERROR(VLOOKUP(VALUE($D230),BSPL2026!$B:$Z,25,FALSE()),0)</f>
        <v>245291825</v>
      </c>
      <c r="K230" s="197"/>
      <c r="L230" s="198"/>
      <c r="M230" s="196" t="n">
        <f aca="false">J230+K230-L230</f>
        <v>245291825</v>
      </c>
      <c r="N230" s="197" t="n">
        <f aca="false">SUMIF('statutory adj_2026 조정분개'!$S:$S,$D230,'statutory adj_2026 조정분개'!$K:$K)</f>
        <v>0</v>
      </c>
      <c r="O230" s="198" t="n">
        <f aca="false">SUMIF('statutory adj_2026 조정분개'!$S:$S,$D230,'statutory adj_2026 조정분개'!$L:$L)</f>
        <v>0</v>
      </c>
      <c r="P230" s="196" t="n">
        <f aca="false">M230+N230-O230</f>
        <v>245291825</v>
      </c>
      <c r="Q230" s="199" t="n">
        <f aca="false">IFERROR(VLOOKUP(VALUE($D230),BSPL2026!$B:$Q,16,FALSE()),0)</f>
        <v>297992352</v>
      </c>
      <c r="R230" s="200" t="s">
        <v>496</v>
      </c>
      <c r="S230" s="162" t="str">
        <f aca="false">IFERROR(VLOOKUP(VALUE($D230),BSPL2026!$B:$M,12,FALSE()),"")</f>
        <v>여비교통비</v>
      </c>
      <c r="T230" s="162" t="str">
        <f aca="false">IF(OR(S230="",S230=0,LEFT(S230,5)="(원본오류"),"",IF(S230=H230,"","매핑차이"))</f>
        <v/>
      </c>
    </row>
    <row r="231" customFormat="false" ht="16.5" hidden="true" customHeight="false" outlineLevel="0" collapsed="false">
      <c r="D231" s="190" t="s">
        <v>987</v>
      </c>
      <c r="E231" s="191" t="s">
        <v>988</v>
      </c>
      <c r="F231" s="192" t="s">
        <v>841</v>
      </c>
      <c r="G231" s="193" t="s">
        <v>912</v>
      </c>
      <c r="H231" s="194" t="s">
        <v>290</v>
      </c>
      <c r="I231" s="195" t="s">
        <v>988</v>
      </c>
      <c r="J231" s="196" t="n">
        <f aca="false">IFERROR(VLOOKUP(VALUE($D231),BSPL2026!$B:$Z,25,FALSE()),0)</f>
        <v>219749734</v>
      </c>
      <c r="K231" s="197"/>
      <c r="L231" s="198"/>
      <c r="M231" s="196" t="n">
        <f aca="false">J231+K231-L231</f>
        <v>219749734</v>
      </c>
      <c r="N231" s="197" t="n">
        <f aca="false">SUMIF('statutory adj_2026 조정분개'!$S:$S,$D231,'statutory adj_2026 조정분개'!$K:$K)</f>
        <v>0</v>
      </c>
      <c r="O231" s="198" t="n">
        <f aca="false">SUMIF('statutory adj_2026 조정분개'!$S:$S,$D231,'statutory adj_2026 조정분개'!$L:$L)</f>
        <v>0</v>
      </c>
      <c r="P231" s="196" t="n">
        <f aca="false">M231+N231-O231</f>
        <v>219749734</v>
      </c>
      <c r="Q231" s="199" t="n">
        <f aca="false">IFERROR(VLOOKUP(VALUE($D231),BSPL2026!$B:$Q,16,FALSE()),0)</f>
        <v>387825910</v>
      </c>
      <c r="R231" s="200" t="s">
        <v>496</v>
      </c>
      <c r="S231" s="162" t="str">
        <f aca="false">IFERROR(VLOOKUP(VALUE($D231),BSPL2026!$B:$M,12,FALSE()),"")</f>
        <v>여비교통비</v>
      </c>
      <c r="T231" s="162" t="str">
        <f aca="false">IF(OR(S231="",S231=0,LEFT(S231,5)="(원본오류"),"",IF(S231=H231,"","매핑차이"))</f>
        <v/>
      </c>
    </row>
    <row r="232" customFormat="false" ht="16.5" hidden="false" customHeight="false" outlineLevel="0" collapsed="false">
      <c r="D232" s="190" t="s">
        <v>989</v>
      </c>
      <c r="E232" s="191" t="s">
        <v>990</v>
      </c>
      <c r="F232" s="192" t="s">
        <v>841</v>
      </c>
      <c r="G232" s="193" t="s">
        <v>912</v>
      </c>
      <c r="H232" s="194" t="s">
        <v>301</v>
      </c>
      <c r="I232" s="195" t="s">
        <v>990</v>
      </c>
      <c r="J232" s="196" t="n">
        <f aca="false">IFERROR(VLOOKUP(VALUE($D232),BSPL2026!$B:$Z,25,FALSE()),0)</f>
        <v>417021348</v>
      </c>
      <c r="K232" s="197"/>
      <c r="L232" s="198"/>
      <c r="M232" s="196" t="n">
        <f aca="false">J232+K232-L232</f>
        <v>417021348</v>
      </c>
      <c r="N232" s="197" t="n">
        <f aca="false">SUMIF('statutory adj_2026 조정분개'!$S:$S,$D232,'statutory adj_2026 조정분개'!$K:$K)</f>
        <v>0</v>
      </c>
      <c r="O232" s="198" t="n">
        <f aca="false">SUMIF('statutory adj_2026 조정분개'!$S:$S,$D232,'statutory adj_2026 조정분개'!$L:$L)</f>
        <v>0</v>
      </c>
      <c r="P232" s="196" t="n">
        <f aca="false">M232+N232-O232</f>
        <v>417021348</v>
      </c>
      <c r="Q232" s="199" t="n">
        <f aca="false">IFERROR(VLOOKUP(VALUE($D232),BSPL2026!$B:$Q,16,FALSE()),0)</f>
        <v>808759233</v>
      </c>
      <c r="R232" s="200" t="s">
        <v>496</v>
      </c>
      <c r="S232" s="162" t="str">
        <f aca="false">IFERROR(VLOOKUP(VALUE($D232),BSPL2026!$B:$M,12,FALSE()),"")</f>
        <v>접대비</v>
      </c>
      <c r="T232" s="162" t="str">
        <f aca="false">IF(OR(S232="",S232=0,LEFT(S232,5)="(원본오류"),"",IF(S232=H232,"","매핑차이"))</f>
        <v/>
      </c>
    </row>
    <row r="233" customFormat="false" ht="16.5" hidden="false" customHeight="false" outlineLevel="0" collapsed="false">
      <c r="D233" s="190" t="s">
        <v>991</v>
      </c>
      <c r="E233" s="191" t="s">
        <v>992</v>
      </c>
      <c r="F233" s="192" t="s">
        <v>841</v>
      </c>
      <c r="G233" s="193" t="s">
        <v>912</v>
      </c>
      <c r="H233" s="194" t="s">
        <v>290</v>
      </c>
      <c r="I233" s="195" t="s">
        <v>992</v>
      </c>
      <c r="J233" s="196" t="n">
        <f aca="false">IFERROR(VLOOKUP(VALUE($D233),BSPL2026!$B:$Z,25,FALSE()),0)</f>
        <v>49659829</v>
      </c>
      <c r="K233" s="197"/>
      <c r="L233" s="198"/>
      <c r="M233" s="196" t="n">
        <f aca="false">J233+K233-L233</f>
        <v>49659829</v>
      </c>
      <c r="N233" s="197" t="n">
        <f aca="false">SUMIF('statutory adj_2026 조정분개'!$S:$S,$D233,'statutory adj_2026 조정분개'!$K:$K)</f>
        <v>0</v>
      </c>
      <c r="O233" s="198" t="n">
        <f aca="false">SUMIF('statutory adj_2026 조정분개'!$S:$S,$D233,'statutory adj_2026 조정분개'!$L:$L)</f>
        <v>0</v>
      </c>
      <c r="P233" s="196" t="n">
        <f aca="false">M233+N233-O233</f>
        <v>49659829</v>
      </c>
      <c r="Q233" s="199" t="n">
        <f aca="false">IFERROR(VLOOKUP(VALUE($D233),BSPL2026!$B:$Q,16,FALSE()),0)</f>
        <v>60050855</v>
      </c>
      <c r="R233" s="200" t="s">
        <v>496</v>
      </c>
      <c r="S233" s="162" t="str">
        <f aca="false">IFERROR(VLOOKUP(VALUE($D233),BSPL2026!$B:$M,12,FALSE()),"")</f>
        <v>여비교통비</v>
      </c>
      <c r="T233" s="162" t="str">
        <f aca="false">IF(OR(S233="",S233=0,LEFT(S233,5)="(원본오류"),"",IF(S233=H233,"","매핑차이"))</f>
        <v/>
      </c>
    </row>
    <row r="234" customFormat="false" ht="16.5" hidden="false" customHeight="false" outlineLevel="0" collapsed="false">
      <c r="D234" s="190" t="s">
        <v>993</v>
      </c>
      <c r="E234" s="191" t="s">
        <v>994</v>
      </c>
      <c r="F234" s="192" t="s">
        <v>841</v>
      </c>
      <c r="G234" s="193" t="s">
        <v>912</v>
      </c>
      <c r="H234" s="194" t="s">
        <v>290</v>
      </c>
      <c r="I234" s="195" t="s">
        <v>995</v>
      </c>
      <c r="J234" s="196" t="n">
        <f aca="false">IFERROR(VLOOKUP(VALUE($D234),BSPL2026!$B:$Z,25,FALSE()),0)</f>
        <v>500026</v>
      </c>
      <c r="K234" s="197"/>
      <c r="L234" s="198"/>
      <c r="M234" s="196" t="n">
        <f aca="false">J234+K234-L234</f>
        <v>500026</v>
      </c>
      <c r="N234" s="197" t="n">
        <f aca="false">SUMIF('statutory adj_2026 조정분개'!$S:$S,$D234,'statutory adj_2026 조정분개'!$K:$K)</f>
        <v>0</v>
      </c>
      <c r="O234" s="198" t="n">
        <f aca="false">SUMIF('statutory adj_2026 조정분개'!$S:$S,$D234,'statutory adj_2026 조정분개'!$L:$L)</f>
        <v>0</v>
      </c>
      <c r="P234" s="196" t="n">
        <f aca="false">M234+N234-O234</f>
        <v>500026</v>
      </c>
      <c r="Q234" s="199" t="n">
        <f aca="false">IFERROR(VLOOKUP(VALUE($D234),BSPL2026!$B:$Q,16,FALSE()),0)</f>
        <v>1110815</v>
      </c>
      <c r="R234" s="200" t="s">
        <v>496</v>
      </c>
      <c r="S234" s="162" t="str">
        <f aca="false">IFERROR(VLOOKUP(VALUE($D234),BSPL2026!$B:$M,12,FALSE()),"")</f>
        <v>여비교통비</v>
      </c>
      <c r="T234" s="162" t="str">
        <f aca="false">IF(OR(S234="",S234=0,LEFT(S234,5)="(원본오류"),"",IF(S234=H234,"","매핑차이"))</f>
        <v/>
      </c>
    </row>
    <row r="235" customFormat="false" ht="16.5" hidden="false" customHeight="false" outlineLevel="0" collapsed="false">
      <c r="D235" s="190" t="s">
        <v>996</v>
      </c>
      <c r="E235" s="191" t="s">
        <v>997</v>
      </c>
      <c r="F235" s="192" t="s">
        <v>841</v>
      </c>
      <c r="G235" s="193" t="s">
        <v>912</v>
      </c>
      <c r="H235" s="194" t="s">
        <v>299</v>
      </c>
      <c r="I235" s="195" t="s">
        <v>997</v>
      </c>
      <c r="J235" s="196" t="n">
        <f aca="false">IFERROR(VLOOKUP(VALUE($D235),BSPL2026!$B:$Z,25,FALSE()),0)</f>
        <v>510410764</v>
      </c>
      <c r="K235" s="197"/>
      <c r="L235" s="198"/>
      <c r="M235" s="196" t="n">
        <f aca="false">J235+K235-L235</f>
        <v>510410764</v>
      </c>
      <c r="N235" s="197" t="n">
        <f aca="false">SUMIF('statutory adj_2026 조정분개'!$S:$S,$D235,'statutory adj_2026 조정분개'!$K:$K)</f>
        <v>0</v>
      </c>
      <c r="O235" s="198" t="n">
        <f aca="false">SUMIF('statutory adj_2026 조정분개'!$S:$S,$D235,'statutory adj_2026 조정분개'!$L:$L)</f>
        <v>0</v>
      </c>
      <c r="P235" s="196" t="n">
        <f aca="false">M235+N235-O235</f>
        <v>510410764</v>
      </c>
      <c r="Q235" s="199" t="n">
        <f aca="false">IFERROR(VLOOKUP(VALUE($D235),BSPL2026!$B:$Q,16,FALSE()),0)</f>
        <v>797608255</v>
      </c>
      <c r="R235" s="200" t="s">
        <v>496</v>
      </c>
      <c r="S235" s="162" t="str">
        <f aca="false">IFERROR(VLOOKUP(VALUE($D235),BSPL2026!$B:$M,12,FALSE()),"")</f>
        <v>지급수수료</v>
      </c>
      <c r="T235" s="162" t="str">
        <f aca="false">IF(OR(S235="",S235=0,LEFT(S235,5)="(원본오류"),"",IF(S235=H235,"","매핑차이"))</f>
        <v/>
      </c>
    </row>
    <row r="236" customFormat="false" ht="16.5" hidden="false" customHeight="false" outlineLevel="0" collapsed="false">
      <c r="D236" s="190" t="s">
        <v>998</v>
      </c>
      <c r="E236" s="191" t="s">
        <v>999</v>
      </c>
      <c r="F236" s="192" t="s">
        <v>841</v>
      </c>
      <c r="G236" s="193" t="s">
        <v>912</v>
      </c>
      <c r="H236" s="194" t="s">
        <v>299</v>
      </c>
      <c r="I236" s="195" t="s">
        <v>999</v>
      </c>
      <c r="J236" s="196" t="n">
        <f aca="false">IFERROR(VLOOKUP(VALUE($D236),BSPL2026!$B:$Z,25,FALSE()),0)</f>
        <v>81548204</v>
      </c>
      <c r="K236" s="197"/>
      <c r="L236" s="198"/>
      <c r="M236" s="196" t="n">
        <f aca="false">J236+K236-L236</f>
        <v>81548204</v>
      </c>
      <c r="N236" s="197" t="n">
        <f aca="false">SUMIF('statutory adj_2026 조정분개'!$S:$S,$D236,'statutory adj_2026 조정분개'!$K:$K)</f>
        <v>0</v>
      </c>
      <c r="O236" s="198" t="n">
        <f aca="false">SUMIF('statutory adj_2026 조정분개'!$S:$S,$D236,'statutory adj_2026 조정분개'!$L:$L)</f>
        <v>0</v>
      </c>
      <c r="P236" s="196" t="n">
        <f aca="false">M236+N236-O236</f>
        <v>81548204</v>
      </c>
      <c r="Q236" s="199" t="n">
        <f aca="false">IFERROR(VLOOKUP(VALUE($D236),BSPL2026!$B:$Q,16,FALSE()),0)</f>
        <v>110116910</v>
      </c>
      <c r="R236" s="200" t="s">
        <v>496</v>
      </c>
      <c r="S236" s="162" t="str">
        <f aca="false">IFERROR(VLOOKUP(VALUE($D236),BSPL2026!$B:$M,12,FALSE()),"")</f>
        <v>지급수수료</v>
      </c>
      <c r="T236" s="162" t="str">
        <f aca="false">IF(OR(S236="",S236=0,LEFT(S236,5)="(원본오류"),"",IF(S236=H236,"","매핑차이"))</f>
        <v/>
      </c>
    </row>
    <row r="237" customFormat="false" ht="16.5" hidden="true" customHeight="false" outlineLevel="0" collapsed="false">
      <c r="D237" s="190" t="s">
        <v>1000</v>
      </c>
      <c r="E237" s="191" t="s">
        <v>1001</v>
      </c>
      <c r="F237" s="192" t="s">
        <v>841</v>
      </c>
      <c r="G237" s="193" t="s">
        <v>912</v>
      </c>
      <c r="H237" s="194" t="s">
        <v>299</v>
      </c>
      <c r="I237" s="195" t="s">
        <v>1001</v>
      </c>
      <c r="J237" s="196" t="n">
        <f aca="false">IFERROR(VLOOKUP(VALUE($D237),BSPL2026!$B:$Z,25,FALSE()),0)</f>
        <v>54542909</v>
      </c>
      <c r="K237" s="197"/>
      <c r="L237" s="198"/>
      <c r="M237" s="196" t="n">
        <f aca="false">J237+K237-L237</f>
        <v>54542909</v>
      </c>
      <c r="N237" s="197" t="n">
        <f aca="false">SUMIF('statutory adj_2026 조정분개'!$S:$S,$D237,'statutory adj_2026 조정분개'!$K:$K)</f>
        <v>0</v>
      </c>
      <c r="O237" s="198" t="n">
        <f aca="false">SUMIF('statutory adj_2026 조정분개'!$S:$S,$D237,'statutory adj_2026 조정분개'!$L:$L)</f>
        <v>0</v>
      </c>
      <c r="P237" s="196" t="n">
        <f aca="false">M237+N237-O237</f>
        <v>54542909</v>
      </c>
      <c r="Q237" s="199" t="n">
        <f aca="false">IFERROR(VLOOKUP(VALUE($D237),BSPL2026!$B:$Q,16,FALSE()),0)</f>
        <v>212456564</v>
      </c>
      <c r="R237" s="200" t="s">
        <v>496</v>
      </c>
      <c r="S237" s="162" t="str">
        <f aca="false">IFERROR(VLOOKUP(VALUE($D237),BSPL2026!$B:$M,12,FALSE()),"")</f>
        <v>지급수수료</v>
      </c>
      <c r="T237" s="162" t="str">
        <f aca="false">IF(OR(S237="",S237=0,LEFT(S237,5)="(원본오류"),"",IF(S237=H237,"","매핑차이"))</f>
        <v/>
      </c>
    </row>
    <row r="238" customFormat="false" ht="16.5" hidden="true" customHeight="false" outlineLevel="0" collapsed="false">
      <c r="D238" s="190" t="s">
        <v>1002</v>
      </c>
      <c r="E238" s="191" t="s">
        <v>1003</v>
      </c>
      <c r="F238" s="192" t="s">
        <v>841</v>
      </c>
      <c r="G238" s="193" t="s">
        <v>912</v>
      </c>
      <c r="H238" s="194" t="s">
        <v>299</v>
      </c>
      <c r="I238" s="195" t="s">
        <v>1004</v>
      </c>
      <c r="J238" s="196" t="n">
        <f aca="false">IFERROR(VLOOKUP(VALUE($D238),BSPL2026!$B:$Z,25,FALSE()),0)</f>
        <v>8580000</v>
      </c>
      <c r="K238" s="197"/>
      <c r="L238" s="198"/>
      <c r="M238" s="196" t="n">
        <f aca="false">J238+K238-L238</f>
        <v>8580000</v>
      </c>
      <c r="N238" s="197" t="n">
        <f aca="false">SUMIF('statutory adj_2026 조정분개'!$S:$S,$D238,'statutory adj_2026 조정분개'!$K:$K)</f>
        <v>0</v>
      </c>
      <c r="O238" s="198" t="n">
        <f aca="false">SUMIF('statutory adj_2026 조정분개'!$S:$S,$D238,'statutory adj_2026 조정분개'!$L:$L)</f>
        <v>0</v>
      </c>
      <c r="P238" s="196" t="n">
        <f aca="false">M238+N238-O238</f>
        <v>8580000</v>
      </c>
      <c r="Q238" s="199" t="n">
        <f aca="false">IFERROR(VLOOKUP(VALUE($D238),BSPL2026!$B:$Q,16,FALSE()),0)</f>
        <v>10692000</v>
      </c>
      <c r="R238" s="200" t="s">
        <v>496</v>
      </c>
      <c r="S238" s="162" t="str">
        <f aca="false">IFERROR(VLOOKUP(VALUE($D238),BSPL2026!$B:$M,12,FALSE()),"")</f>
        <v>지급수수료</v>
      </c>
      <c r="T238" s="162" t="str">
        <f aca="false">IF(OR(S238="",S238=0,LEFT(S238,5)="(원본오류"),"",IF(S238=H238,"","매핑차이"))</f>
        <v/>
      </c>
    </row>
    <row r="239" customFormat="false" ht="16.5" hidden="false" customHeight="false" outlineLevel="0" collapsed="false">
      <c r="D239" s="190" t="s">
        <v>1005</v>
      </c>
      <c r="E239" s="191" t="s">
        <v>1006</v>
      </c>
      <c r="F239" s="192" t="s">
        <v>841</v>
      </c>
      <c r="G239" s="193" t="s">
        <v>912</v>
      </c>
      <c r="H239" s="194" t="s">
        <v>299</v>
      </c>
      <c r="I239" s="195" t="s">
        <v>1007</v>
      </c>
      <c r="J239" s="196" t="n">
        <f aca="false">IFERROR(VLOOKUP(VALUE($D239),BSPL2026!$B:$Z,25,FALSE()),0)</f>
        <v>75353064</v>
      </c>
      <c r="K239" s="197"/>
      <c r="L239" s="198"/>
      <c r="M239" s="196" t="n">
        <f aca="false">J239+K239-L239</f>
        <v>75353064</v>
      </c>
      <c r="N239" s="197" t="n">
        <f aca="false">SUMIF('statutory adj_2026 조정분개'!$S:$S,$D239,'statutory adj_2026 조정분개'!$K:$K)</f>
        <v>0</v>
      </c>
      <c r="O239" s="198" t="n">
        <f aca="false">SUMIF('statutory adj_2026 조정분개'!$S:$S,$D239,'statutory adj_2026 조정분개'!$L:$L)</f>
        <v>0</v>
      </c>
      <c r="P239" s="196" t="n">
        <f aca="false">M239+N239-O239</f>
        <v>75353064</v>
      </c>
      <c r="Q239" s="199" t="n">
        <f aca="false">IFERROR(VLOOKUP(VALUE($D239),BSPL2026!$B:$Q,16,FALSE()),0)</f>
        <v>127512955</v>
      </c>
      <c r="R239" s="200" t="s">
        <v>496</v>
      </c>
      <c r="S239" s="162" t="str">
        <f aca="false">IFERROR(VLOOKUP(VALUE($D239),BSPL2026!$B:$M,12,FALSE()),"")</f>
        <v>지급수수료</v>
      </c>
      <c r="T239" s="162" t="str">
        <f aca="false">IF(OR(S239="",S239=0,LEFT(S239,5)="(원본오류"),"",IF(S239=H239,"","매핑차이"))</f>
        <v/>
      </c>
    </row>
    <row r="240" customFormat="false" ht="16.5" hidden="true" customHeight="false" outlineLevel="0" collapsed="false">
      <c r="D240" s="190" t="s">
        <v>1008</v>
      </c>
      <c r="E240" s="191" t="s">
        <v>1009</v>
      </c>
      <c r="F240" s="192" t="s">
        <v>841</v>
      </c>
      <c r="G240" s="193" t="s">
        <v>912</v>
      </c>
      <c r="H240" s="194" t="s">
        <v>299</v>
      </c>
      <c r="I240" s="195" t="s">
        <v>1009</v>
      </c>
      <c r="J240" s="196" t="n">
        <f aca="false">IFERROR(VLOOKUP(VALUE($D240),BSPL2026!$B:$Z,25,FALSE()),0)</f>
        <v>9433609</v>
      </c>
      <c r="K240" s="197"/>
      <c r="L240" s="198"/>
      <c r="M240" s="196" t="n">
        <f aca="false">J240+K240-L240</f>
        <v>9433609</v>
      </c>
      <c r="N240" s="197" t="n">
        <f aca="false">SUMIF('statutory adj_2026 조정분개'!$S:$S,$D240,'statutory adj_2026 조정분개'!$K:$K)</f>
        <v>0</v>
      </c>
      <c r="O240" s="198" t="n">
        <f aca="false">SUMIF('statutory adj_2026 조정분개'!$S:$S,$D240,'statutory adj_2026 조정분개'!$L:$L)</f>
        <v>0</v>
      </c>
      <c r="P240" s="196" t="n">
        <f aca="false">M240+N240-O240</f>
        <v>9433609</v>
      </c>
      <c r="Q240" s="199" t="n">
        <f aca="false">IFERROR(VLOOKUP(VALUE($D240),BSPL2026!$B:$Q,16,FALSE()),0)</f>
        <v>0</v>
      </c>
      <c r="R240" s="200" t="s">
        <v>496</v>
      </c>
      <c r="S240" s="162" t="str">
        <f aca="false">IFERROR(VLOOKUP(VALUE($D240),BSPL2026!$B:$M,12,FALSE()),"")</f>
        <v>지급수수료</v>
      </c>
      <c r="T240" s="162" t="str">
        <f aca="false">IF(OR(S240="",S240=0,LEFT(S240,5)="(원본오류"),"",IF(S240=H240,"","매핑차이"))</f>
        <v/>
      </c>
    </row>
    <row r="241" customFormat="false" ht="16.5" hidden="false" customHeight="false" outlineLevel="0" collapsed="false">
      <c r="D241" s="190" t="s">
        <v>1010</v>
      </c>
      <c r="E241" s="191" t="s">
        <v>1011</v>
      </c>
      <c r="F241" s="192" t="s">
        <v>841</v>
      </c>
      <c r="G241" s="193" t="s">
        <v>912</v>
      </c>
      <c r="H241" s="194" t="s">
        <v>299</v>
      </c>
      <c r="I241" s="195" t="s">
        <v>1011</v>
      </c>
      <c r="J241" s="196" t="n">
        <f aca="false">IFERROR(VLOOKUP(VALUE($D241),BSPL2026!$B:$Z,25,FALSE()),0)</f>
        <v>461336963</v>
      </c>
      <c r="K241" s="197"/>
      <c r="L241" s="198"/>
      <c r="M241" s="196" t="n">
        <f aca="false">J241+K241-L241</f>
        <v>461336963</v>
      </c>
      <c r="N241" s="197" t="n">
        <f aca="false">SUMIF('statutory adj_2026 조정분개'!$S:$S,$D241,'statutory adj_2026 조정분개'!$K:$K)</f>
        <v>0</v>
      </c>
      <c r="O241" s="198" t="n">
        <f aca="false">SUMIF('statutory adj_2026 조정분개'!$S:$S,$D241,'statutory adj_2026 조정분개'!$L:$L)</f>
        <v>0</v>
      </c>
      <c r="P241" s="196" t="n">
        <f aca="false">M241+N241-O241</f>
        <v>461336963</v>
      </c>
      <c r="Q241" s="199" t="n">
        <f aca="false">IFERROR(VLOOKUP(VALUE($D241),BSPL2026!$B:$Q,16,FALSE()),0)</f>
        <v>193401123</v>
      </c>
      <c r="R241" s="200" t="s">
        <v>496</v>
      </c>
      <c r="S241" s="162" t="str">
        <f aca="false">IFERROR(VLOOKUP(VALUE($D241),BSPL2026!$B:$M,12,FALSE()),"")</f>
        <v>지급수수료</v>
      </c>
      <c r="T241" s="162" t="str">
        <f aca="false">IF(OR(S241="",S241=0,LEFT(S241,5)="(원본오류"),"",IF(S241=H241,"","매핑차이"))</f>
        <v/>
      </c>
    </row>
    <row r="242" customFormat="false" ht="16.5" hidden="false" customHeight="false" outlineLevel="0" collapsed="false">
      <c r="D242" s="190" t="s">
        <v>1012</v>
      </c>
      <c r="E242" s="191" t="s">
        <v>1013</v>
      </c>
      <c r="F242" s="192" t="s">
        <v>841</v>
      </c>
      <c r="G242" s="193" t="s">
        <v>912</v>
      </c>
      <c r="H242" s="194" t="s">
        <v>299</v>
      </c>
      <c r="I242" s="195" t="s">
        <v>1013</v>
      </c>
      <c r="J242" s="196" t="n">
        <f aca="false">IFERROR(VLOOKUP(VALUE($D242),BSPL2026!$B:$Z,25,FALSE()),0)</f>
        <v>72741420</v>
      </c>
      <c r="K242" s="197"/>
      <c r="L242" s="198"/>
      <c r="M242" s="196" t="n">
        <f aca="false">J242+K242-L242</f>
        <v>72741420</v>
      </c>
      <c r="N242" s="197" t="n">
        <f aca="false">SUMIF('statutory adj_2026 조정분개'!$S:$S,$D242,'statutory adj_2026 조정분개'!$K:$K)</f>
        <v>0</v>
      </c>
      <c r="O242" s="198" t="n">
        <f aca="false">SUMIF('statutory adj_2026 조정분개'!$S:$S,$D242,'statutory adj_2026 조정분개'!$L:$L)</f>
        <v>0</v>
      </c>
      <c r="P242" s="196" t="n">
        <f aca="false">M242+N242-O242</f>
        <v>72741420</v>
      </c>
      <c r="Q242" s="199" t="n">
        <f aca="false">IFERROR(VLOOKUP(VALUE($D242),BSPL2026!$B:$Q,16,FALSE()),0)</f>
        <v>53376663</v>
      </c>
      <c r="R242" s="200" t="s">
        <v>496</v>
      </c>
      <c r="S242" s="162" t="str">
        <f aca="false">IFERROR(VLOOKUP(VALUE($D242),BSPL2026!$B:$M,12,FALSE()),"")</f>
        <v>지급수수료</v>
      </c>
      <c r="T242" s="162" t="str">
        <f aca="false">IF(OR(S242="",S242=0,LEFT(S242,5)="(원본오류"),"",IF(S242=H242,"","매핑차이"))</f>
        <v/>
      </c>
    </row>
    <row r="243" customFormat="false" ht="16.5" hidden="true" customHeight="false" outlineLevel="0" collapsed="false">
      <c r="D243" s="190" t="s">
        <v>1014</v>
      </c>
      <c r="E243" s="191" t="s">
        <v>1015</v>
      </c>
      <c r="F243" s="192" t="s">
        <v>841</v>
      </c>
      <c r="G243" s="193" t="s">
        <v>912</v>
      </c>
      <c r="H243" s="194" t="s">
        <v>299</v>
      </c>
      <c r="I243" s="195" t="s">
        <v>1015</v>
      </c>
      <c r="J243" s="196" t="n">
        <f aca="false">IFERROR(VLOOKUP(VALUE($D243),BSPL2026!$B:$Z,25,FALSE()),0)</f>
        <v>247604987</v>
      </c>
      <c r="K243" s="197"/>
      <c r="L243" s="198"/>
      <c r="M243" s="196" t="n">
        <f aca="false">J243+K243-L243</f>
        <v>247604987</v>
      </c>
      <c r="N243" s="197" t="n">
        <f aca="false">SUMIF('statutory adj_2026 조정분개'!$S:$S,$D243,'statutory adj_2026 조정분개'!$K:$K)</f>
        <v>0</v>
      </c>
      <c r="O243" s="198" t="n">
        <f aca="false">SUMIF('statutory adj_2026 조정분개'!$S:$S,$D243,'statutory adj_2026 조정분개'!$L:$L)</f>
        <v>0</v>
      </c>
      <c r="P243" s="196" t="n">
        <f aca="false">M243+N243-O243</f>
        <v>247604987</v>
      </c>
      <c r="Q243" s="199" t="n">
        <f aca="false">IFERROR(VLOOKUP(VALUE($D243),BSPL2026!$B:$Q,16,FALSE()),0)</f>
        <v>1181290912</v>
      </c>
      <c r="R243" s="200" t="s">
        <v>496</v>
      </c>
      <c r="S243" s="162" t="str">
        <f aca="false">IFERROR(VLOOKUP(VALUE($D243),BSPL2026!$B:$M,12,FALSE()),"")</f>
        <v>지급수수료</v>
      </c>
      <c r="T243" s="162" t="str">
        <f aca="false">IF(OR(S243="",S243=0,LEFT(S243,5)="(원본오류"),"",IF(S243=H243,"","매핑차이"))</f>
        <v/>
      </c>
    </row>
    <row r="244" customFormat="false" ht="16.5" hidden="true" customHeight="false" outlineLevel="0" collapsed="false">
      <c r="D244" s="190" t="s">
        <v>1016</v>
      </c>
      <c r="E244" s="191" t="s">
        <v>1017</v>
      </c>
      <c r="F244" s="192" t="s">
        <v>841</v>
      </c>
      <c r="G244" s="193" t="s">
        <v>912</v>
      </c>
      <c r="H244" s="194" t="s">
        <v>299</v>
      </c>
      <c r="I244" s="195" t="s">
        <v>1017</v>
      </c>
      <c r="J244" s="196" t="n">
        <f aca="false">IFERROR(VLOOKUP(VALUE($D244),BSPL2026!$B:$Z,25,FALSE()),0)</f>
        <v>25221186</v>
      </c>
      <c r="K244" s="197"/>
      <c r="L244" s="198"/>
      <c r="M244" s="196" t="n">
        <f aca="false">J244+K244-L244</f>
        <v>25221186</v>
      </c>
      <c r="N244" s="197" t="n">
        <f aca="false">SUMIF('statutory adj_2026 조정분개'!$S:$S,$D244,'statutory adj_2026 조정분개'!$K:$K)</f>
        <v>0</v>
      </c>
      <c r="O244" s="198" t="n">
        <f aca="false">SUMIF('statutory adj_2026 조정분개'!$S:$S,$D244,'statutory adj_2026 조정분개'!$L:$L)</f>
        <v>0</v>
      </c>
      <c r="P244" s="196" t="n">
        <f aca="false">M244+N244-O244</f>
        <v>25221186</v>
      </c>
      <c r="Q244" s="199" t="n">
        <f aca="false">IFERROR(VLOOKUP(VALUE($D244),BSPL2026!$B:$Q,16,FALSE()),0)</f>
        <v>115116809</v>
      </c>
      <c r="R244" s="200" t="s">
        <v>496</v>
      </c>
      <c r="S244" s="162" t="str">
        <f aca="false">IFERROR(VLOOKUP(VALUE($D244),BSPL2026!$B:$M,12,FALSE()),"")</f>
        <v>지급수수료</v>
      </c>
      <c r="T244" s="162" t="str">
        <f aca="false">IF(OR(S244="",S244=0,LEFT(S244,5)="(원본오류"),"",IF(S244=H244,"","매핑차이"))</f>
        <v/>
      </c>
    </row>
    <row r="245" customFormat="false" ht="16.5" hidden="true" customHeight="false" outlineLevel="0" collapsed="false">
      <c r="D245" s="190" t="s">
        <v>1018</v>
      </c>
      <c r="E245" s="191" t="s">
        <v>1019</v>
      </c>
      <c r="F245" s="192" t="s">
        <v>841</v>
      </c>
      <c r="G245" s="193" t="s">
        <v>912</v>
      </c>
      <c r="H245" s="194" t="s">
        <v>299</v>
      </c>
      <c r="I245" s="195" t="s">
        <v>1019</v>
      </c>
      <c r="J245" s="196" t="n">
        <f aca="false">IFERROR(VLOOKUP(VALUE($D245),BSPL2026!$B:$Z,25,FALSE()),0)</f>
        <v>543554392</v>
      </c>
      <c r="K245" s="197"/>
      <c r="L245" s="198"/>
      <c r="M245" s="196" t="n">
        <f aca="false">J245+K245-L245</f>
        <v>543554392</v>
      </c>
      <c r="N245" s="197" t="n">
        <f aca="false">SUMIF('statutory adj_2026 조정분개'!$S:$S,$D245,'statutory adj_2026 조정분개'!$K:$K)</f>
        <v>0</v>
      </c>
      <c r="O245" s="198" t="n">
        <f aca="false">SUMIF('statutory adj_2026 조정분개'!$S:$S,$D245,'statutory adj_2026 조정분개'!$L:$L)</f>
        <v>0</v>
      </c>
      <c r="P245" s="196" t="n">
        <f aca="false">M245+N245-O245</f>
        <v>543554392</v>
      </c>
      <c r="Q245" s="199" t="n">
        <f aca="false">IFERROR(VLOOKUP(VALUE($D245),BSPL2026!$B:$Q,16,FALSE()),0)</f>
        <v>858696709</v>
      </c>
      <c r="R245" s="200" t="s">
        <v>496</v>
      </c>
      <c r="S245" s="162" t="str">
        <f aca="false">IFERROR(VLOOKUP(VALUE($D245),BSPL2026!$B:$M,12,FALSE()),"")</f>
        <v>지급수수료</v>
      </c>
      <c r="T245" s="162" t="str">
        <f aca="false">IF(OR(S245="",S245=0,LEFT(S245,5)="(원본오류"),"",IF(S245=H245,"","매핑차이"))</f>
        <v/>
      </c>
    </row>
    <row r="246" customFormat="false" ht="16.5" hidden="true" customHeight="false" outlineLevel="0" collapsed="false">
      <c r="D246" s="190" t="s">
        <v>1020</v>
      </c>
      <c r="E246" s="191" t="s">
        <v>1021</v>
      </c>
      <c r="F246" s="192" t="s">
        <v>841</v>
      </c>
      <c r="G246" s="193" t="s">
        <v>912</v>
      </c>
      <c r="H246" s="194" t="s">
        <v>299</v>
      </c>
      <c r="I246" s="195" t="s">
        <v>1021</v>
      </c>
      <c r="J246" s="196" t="n">
        <f aca="false">IFERROR(VLOOKUP(VALUE($D246),BSPL2026!$B:$Z,25,FALSE()),0)</f>
        <v>8165000</v>
      </c>
      <c r="K246" s="197"/>
      <c r="L246" s="198"/>
      <c r="M246" s="196" t="n">
        <f aca="false">J246+K246-L246</f>
        <v>8165000</v>
      </c>
      <c r="N246" s="197" t="n">
        <f aca="false">SUMIF('statutory adj_2026 조정분개'!$S:$S,$D246,'statutory adj_2026 조정분개'!$K:$K)</f>
        <v>0</v>
      </c>
      <c r="O246" s="198" t="n">
        <f aca="false">SUMIF('statutory adj_2026 조정분개'!$S:$S,$D246,'statutory adj_2026 조정분개'!$L:$L)</f>
        <v>0</v>
      </c>
      <c r="P246" s="196" t="n">
        <f aca="false">M246+N246-O246</f>
        <v>8165000</v>
      </c>
      <c r="Q246" s="199" t="n">
        <f aca="false">IFERROR(VLOOKUP(VALUE($D246),BSPL2026!$B:$Q,16,FALSE()),0)</f>
        <v>4740000</v>
      </c>
      <c r="R246" s="200" t="s">
        <v>496</v>
      </c>
      <c r="S246" s="162" t="str">
        <f aca="false">IFERROR(VLOOKUP(VALUE($D246),BSPL2026!$B:$M,12,FALSE()),"")</f>
        <v>지급수수료</v>
      </c>
      <c r="T246" s="162" t="str">
        <f aca="false">IF(OR(S246="",S246=0,LEFT(S246,5)="(원본오류"),"",IF(S246=H246,"","매핑차이"))</f>
        <v/>
      </c>
    </row>
    <row r="247" customFormat="false" ht="16.5" hidden="true" customHeight="false" outlineLevel="0" collapsed="false">
      <c r="D247" s="190" t="s">
        <v>1022</v>
      </c>
      <c r="E247" s="191" t="s">
        <v>1023</v>
      </c>
      <c r="F247" s="192" t="s">
        <v>841</v>
      </c>
      <c r="G247" s="193" t="s">
        <v>912</v>
      </c>
      <c r="H247" s="194" t="s">
        <v>279</v>
      </c>
      <c r="I247" s="195" t="s">
        <v>1023</v>
      </c>
      <c r="J247" s="196" t="n">
        <f aca="false">IFERROR(VLOOKUP(VALUE($D247),BSPL2026!$B:$Z,25,FALSE()),0)</f>
        <v>103422332</v>
      </c>
      <c r="K247" s="197"/>
      <c r="L247" s="198"/>
      <c r="M247" s="196" t="n">
        <f aca="false">J247+K247-L247</f>
        <v>103422332</v>
      </c>
      <c r="N247" s="197" t="n">
        <f aca="false">SUMIF('statutory adj_2026 조정분개'!$S:$S,$D247,'statutory adj_2026 조정분개'!$K:$K)</f>
        <v>0</v>
      </c>
      <c r="O247" s="198" t="n">
        <f aca="false">SUMIF('statutory adj_2026 조정분개'!$S:$S,$D247,'statutory adj_2026 조정분개'!$L:$L)</f>
        <v>0</v>
      </c>
      <c r="P247" s="196" t="n">
        <f aca="false">M247+N247-O247</f>
        <v>103422332</v>
      </c>
      <c r="Q247" s="199" t="n">
        <f aca="false">IFERROR(VLOOKUP(VALUE($D247),BSPL2026!$B:$Q,16,FALSE()),0)</f>
        <v>101073465</v>
      </c>
      <c r="R247" s="200" t="s">
        <v>496</v>
      </c>
      <c r="S247" s="162" t="str">
        <f aca="false">IFERROR(VLOOKUP(VALUE($D247),BSPL2026!$B:$M,12,FALSE()),"")</f>
        <v>광고선전비</v>
      </c>
      <c r="T247" s="162" t="str">
        <f aca="false">IF(OR(S247="",S247=0,LEFT(S247,5)="(원본오류"),"",IF(S247=H247,"","매핑차이"))</f>
        <v/>
      </c>
    </row>
    <row r="248" customFormat="false" ht="16.5" hidden="true" customHeight="false" outlineLevel="0" collapsed="false">
      <c r="D248" s="190" t="s">
        <v>1024</v>
      </c>
      <c r="E248" s="191" t="s">
        <v>1025</v>
      </c>
      <c r="F248" s="192" t="s">
        <v>841</v>
      </c>
      <c r="G248" s="193" t="s">
        <v>912</v>
      </c>
      <c r="H248" s="194" t="s">
        <v>279</v>
      </c>
      <c r="I248" s="195" t="s">
        <v>1025</v>
      </c>
      <c r="J248" s="196" t="n">
        <f aca="false">IFERROR(VLOOKUP(VALUE($D248),BSPL2026!$B:$Z,25,FALSE()),0)</f>
        <v>835585092</v>
      </c>
      <c r="K248" s="197"/>
      <c r="L248" s="198"/>
      <c r="M248" s="196" t="n">
        <f aca="false">J248+K248-L248</f>
        <v>835585092</v>
      </c>
      <c r="N248" s="197" t="n">
        <f aca="false">SUMIF('statutory adj_2026 조정분개'!$S:$S,$D248,'statutory adj_2026 조정분개'!$K:$K)</f>
        <v>0</v>
      </c>
      <c r="O248" s="198" t="n">
        <f aca="false">SUMIF('statutory adj_2026 조정분개'!$S:$S,$D248,'statutory adj_2026 조정분개'!$L:$L)</f>
        <v>0</v>
      </c>
      <c r="P248" s="196" t="n">
        <f aca="false">M248+N248-O248</f>
        <v>835585092</v>
      </c>
      <c r="Q248" s="199" t="n">
        <f aca="false">IFERROR(VLOOKUP(VALUE($D248),BSPL2026!$B:$Q,16,FALSE()),0)</f>
        <v>1146378033</v>
      </c>
      <c r="R248" s="200" t="s">
        <v>496</v>
      </c>
      <c r="S248" s="162" t="str">
        <f aca="false">IFERROR(VLOOKUP(VALUE($D248),BSPL2026!$B:$M,12,FALSE()),"")</f>
        <v>광고선전비</v>
      </c>
      <c r="T248" s="162" t="str">
        <f aca="false">IF(OR(S248="",S248=0,LEFT(S248,5)="(원본오류"),"",IF(S248=H248,"","매핑차이"))</f>
        <v/>
      </c>
    </row>
    <row r="249" customFormat="false" ht="16.5" hidden="true" customHeight="false" outlineLevel="0" collapsed="false">
      <c r="D249" s="190" t="s">
        <v>1026</v>
      </c>
      <c r="E249" s="191" t="s">
        <v>1027</v>
      </c>
      <c r="F249" s="192" t="s">
        <v>841</v>
      </c>
      <c r="G249" s="193" t="s">
        <v>912</v>
      </c>
      <c r="H249" s="194" t="s">
        <v>279</v>
      </c>
      <c r="I249" s="195" t="s">
        <v>1027</v>
      </c>
      <c r="J249" s="196" t="n">
        <f aca="false">IFERROR(VLOOKUP(VALUE($D249),BSPL2026!$B:$Z,25,FALSE()),0)</f>
        <v>0</v>
      </c>
      <c r="K249" s="197"/>
      <c r="L249" s="198"/>
      <c r="M249" s="196" t="n">
        <f aca="false">J249+K249-L249</f>
        <v>0</v>
      </c>
      <c r="N249" s="197" t="n">
        <f aca="false">SUMIF('statutory adj_2026 조정분개'!$S:$S,$D249,'statutory adj_2026 조정분개'!$K:$K)</f>
        <v>0</v>
      </c>
      <c r="O249" s="198" t="n">
        <f aca="false">SUMIF('statutory adj_2026 조정분개'!$S:$S,$D249,'statutory adj_2026 조정분개'!$L:$L)</f>
        <v>0</v>
      </c>
      <c r="P249" s="196" t="n">
        <f aca="false">M249+N249-O249</f>
        <v>0</v>
      </c>
      <c r="Q249" s="199" t="n">
        <f aca="false">IFERROR(VLOOKUP(VALUE($D249),BSPL2026!$B:$Q,16,FALSE()),0)</f>
        <v>-266854</v>
      </c>
      <c r="R249" s="200" t="s">
        <v>496</v>
      </c>
      <c r="S249" s="162" t="str">
        <f aca="false">IFERROR(VLOOKUP(VALUE($D249),BSPL2026!$B:$M,12,FALSE()),"")</f>
        <v>광고선전비</v>
      </c>
      <c r="T249" s="162" t="str">
        <f aca="false">IF(OR(S249="",S249=0,LEFT(S249,5)="(원본오류"),"",IF(S249=H249,"","매핑차이"))</f>
        <v/>
      </c>
    </row>
    <row r="250" customFormat="false" ht="16.5" hidden="true" customHeight="false" outlineLevel="0" collapsed="false">
      <c r="D250" s="190" t="s">
        <v>1028</v>
      </c>
      <c r="E250" s="191" t="s">
        <v>1029</v>
      </c>
      <c r="F250" s="192" t="s">
        <v>841</v>
      </c>
      <c r="G250" s="193" t="s">
        <v>912</v>
      </c>
      <c r="H250" s="194" t="s">
        <v>279</v>
      </c>
      <c r="I250" s="195" t="s">
        <v>1029</v>
      </c>
      <c r="J250" s="196" t="n">
        <f aca="false">IFERROR(VLOOKUP(VALUE($D250),BSPL2026!$B:$Z,25,FALSE()),0)</f>
        <v>1152026115</v>
      </c>
      <c r="K250" s="197"/>
      <c r="L250" s="198"/>
      <c r="M250" s="196" t="n">
        <f aca="false">J250+K250-L250</f>
        <v>1152026115</v>
      </c>
      <c r="N250" s="197" t="n">
        <f aca="false">SUMIF('statutory adj_2026 조정분개'!$S:$S,$D250,'statutory adj_2026 조정분개'!$K:$K)</f>
        <v>0</v>
      </c>
      <c r="O250" s="198" t="n">
        <f aca="false">SUMIF('statutory adj_2026 조정분개'!$S:$S,$D250,'statutory adj_2026 조정분개'!$L:$L)</f>
        <v>0</v>
      </c>
      <c r="P250" s="196" t="n">
        <f aca="false">M250+N250-O250</f>
        <v>1152026115</v>
      </c>
      <c r="Q250" s="199" t="n">
        <f aca="false">IFERROR(VLOOKUP(VALUE($D250),BSPL2026!$B:$Q,16,FALSE()),0)</f>
        <v>1617944637</v>
      </c>
      <c r="R250" s="200" t="s">
        <v>496</v>
      </c>
      <c r="S250" s="162" t="str">
        <f aca="false">IFERROR(VLOOKUP(VALUE($D250),BSPL2026!$B:$M,12,FALSE()),"")</f>
        <v>광고선전비</v>
      </c>
      <c r="T250" s="162" t="str">
        <f aca="false">IF(OR(S250="",S250=0,LEFT(S250,5)="(원본오류"),"",IF(S250=H250,"","매핑차이"))</f>
        <v/>
      </c>
    </row>
    <row r="251" customFormat="false" ht="16.5" hidden="true" customHeight="false" outlineLevel="0" collapsed="false">
      <c r="D251" s="190" t="s">
        <v>1030</v>
      </c>
      <c r="E251" s="191" t="s">
        <v>1031</v>
      </c>
      <c r="F251" s="192" t="s">
        <v>841</v>
      </c>
      <c r="G251" s="193" t="s">
        <v>912</v>
      </c>
      <c r="H251" s="194" t="s">
        <v>279</v>
      </c>
      <c r="I251" s="195" t="s">
        <v>1031</v>
      </c>
      <c r="J251" s="196" t="n">
        <f aca="false">IFERROR(VLOOKUP(VALUE($D251),BSPL2026!$B:$Z,25,FALSE()),0)</f>
        <v>2245127049</v>
      </c>
      <c r="K251" s="197"/>
      <c r="L251" s="198"/>
      <c r="M251" s="196" t="n">
        <f aca="false">J251+K251-L251</f>
        <v>2245127049</v>
      </c>
      <c r="N251" s="197" t="n">
        <f aca="false">SUMIF('statutory adj_2026 조정분개'!$S:$S,$D251,'statutory adj_2026 조정분개'!$K:$K)</f>
        <v>0</v>
      </c>
      <c r="O251" s="198" t="n">
        <f aca="false">SUMIF('statutory adj_2026 조정분개'!$S:$S,$D251,'statutory adj_2026 조정분개'!$L:$L)</f>
        <v>0</v>
      </c>
      <c r="P251" s="196" t="n">
        <f aca="false">M251+N251-O251</f>
        <v>2245127049</v>
      </c>
      <c r="Q251" s="199" t="n">
        <f aca="false">IFERROR(VLOOKUP(VALUE($D251),BSPL2026!$B:$Q,16,FALSE()),0)</f>
        <v>4235790455</v>
      </c>
      <c r="R251" s="200" t="s">
        <v>496</v>
      </c>
      <c r="S251" s="162" t="str">
        <f aca="false">IFERROR(VLOOKUP(VALUE($D251),BSPL2026!$B:$M,12,FALSE()),"")</f>
        <v>광고선전비</v>
      </c>
      <c r="T251" s="162" t="str">
        <f aca="false">IF(OR(S251="",S251=0,LEFT(S251,5)="(원본오류"),"",IF(S251=H251,"","매핑차이"))</f>
        <v/>
      </c>
    </row>
    <row r="252" customFormat="false" ht="16.5" hidden="true" customHeight="false" outlineLevel="0" collapsed="false">
      <c r="D252" s="190" t="s">
        <v>1032</v>
      </c>
      <c r="E252" s="191" t="s">
        <v>1033</v>
      </c>
      <c r="F252" s="192" t="s">
        <v>841</v>
      </c>
      <c r="G252" s="193" t="s">
        <v>912</v>
      </c>
      <c r="H252" s="194" t="s">
        <v>279</v>
      </c>
      <c r="I252" s="195" t="s">
        <v>1033</v>
      </c>
      <c r="J252" s="196" t="n">
        <f aca="false">IFERROR(VLOOKUP(VALUE($D252),BSPL2026!$B:$Z,25,FALSE()),0)</f>
        <v>574412708</v>
      </c>
      <c r="K252" s="197"/>
      <c r="L252" s="198"/>
      <c r="M252" s="196" t="n">
        <f aca="false">J252+K252-L252</f>
        <v>574412708</v>
      </c>
      <c r="N252" s="197" t="n">
        <f aca="false">SUMIF('statutory adj_2026 조정분개'!$S:$S,$D252,'statutory adj_2026 조정분개'!$K:$K)</f>
        <v>0</v>
      </c>
      <c r="O252" s="198" t="n">
        <f aca="false">SUMIF('statutory adj_2026 조정분개'!$S:$S,$D252,'statutory adj_2026 조정분개'!$L:$L)</f>
        <v>0</v>
      </c>
      <c r="P252" s="196" t="n">
        <f aca="false">M252+N252-O252</f>
        <v>574412708</v>
      </c>
      <c r="Q252" s="199" t="n">
        <f aca="false">IFERROR(VLOOKUP(VALUE($D252),BSPL2026!$B:$Q,16,FALSE()),0)</f>
        <v>684330614</v>
      </c>
      <c r="R252" s="200" t="s">
        <v>496</v>
      </c>
      <c r="S252" s="162" t="str">
        <f aca="false">IFERROR(VLOOKUP(VALUE($D252),BSPL2026!$B:$M,12,FALSE()),"")</f>
        <v>광고선전비</v>
      </c>
      <c r="T252" s="162" t="str">
        <f aca="false">IF(OR(S252="",S252=0,LEFT(S252,5)="(원본오류"),"",IF(S252=H252,"","매핑차이"))</f>
        <v/>
      </c>
    </row>
    <row r="253" customFormat="false" ht="16.5" hidden="true" customHeight="false" outlineLevel="0" collapsed="false">
      <c r="D253" s="190" t="s">
        <v>1034</v>
      </c>
      <c r="E253" s="191" t="s">
        <v>1035</v>
      </c>
      <c r="F253" s="192" t="s">
        <v>841</v>
      </c>
      <c r="G253" s="193" t="s">
        <v>912</v>
      </c>
      <c r="H253" s="194" t="s">
        <v>299</v>
      </c>
      <c r="I253" s="195" t="s">
        <v>1035</v>
      </c>
      <c r="J253" s="196" t="n">
        <f aca="false">IFERROR(VLOOKUP(VALUE($D253),BSPL2026!$B:$Z,25,FALSE()),0)</f>
        <v>0</v>
      </c>
      <c r="K253" s="197"/>
      <c r="L253" s="198"/>
      <c r="M253" s="196" t="n">
        <f aca="false">J253+K253-L253</f>
        <v>0</v>
      </c>
      <c r="N253" s="197" t="n">
        <f aca="false">SUMIF('statutory adj_2026 조정분개'!$S:$S,$D253,'statutory adj_2026 조정분개'!$K:$K)</f>
        <v>0</v>
      </c>
      <c r="O253" s="198" t="n">
        <f aca="false">SUMIF('statutory adj_2026 조정분개'!$S:$S,$D253,'statutory adj_2026 조정분개'!$L:$L)</f>
        <v>0</v>
      </c>
      <c r="P253" s="196" t="n">
        <f aca="false">M253+N253-O253</f>
        <v>0</v>
      </c>
      <c r="Q253" s="199" t="n">
        <f aca="false">IFERROR(VLOOKUP(VALUE($D253),BSPL2026!$B:$Q,16,FALSE()),0)</f>
        <v>4000000</v>
      </c>
      <c r="R253" s="200" t="s">
        <v>496</v>
      </c>
      <c r="S253" s="162" t="str">
        <f aca="false">IFERROR(VLOOKUP(VALUE($D253),BSPL2026!$B:$M,12,FALSE()),"")</f>
        <v>지급수수료</v>
      </c>
      <c r="T253" s="162" t="str">
        <f aca="false">IF(OR(S253="",S253=0,LEFT(S253,5)="(원본오류"),"",IF(S253=H253,"","매핑차이"))</f>
        <v/>
      </c>
    </row>
    <row r="254" customFormat="false" ht="16.5" hidden="true" customHeight="false" outlineLevel="0" collapsed="false">
      <c r="D254" s="190" t="s">
        <v>1036</v>
      </c>
      <c r="E254" s="191" t="s">
        <v>1037</v>
      </c>
      <c r="F254" s="192" t="s">
        <v>841</v>
      </c>
      <c r="G254" s="193" t="s">
        <v>912</v>
      </c>
      <c r="H254" s="194" t="s">
        <v>279</v>
      </c>
      <c r="I254" s="195" t="s">
        <v>1037</v>
      </c>
      <c r="J254" s="196" t="n">
        <f aca="false">IFERROR(VLOOKUP(VALUE($D254),BSPL2026!$B:$Z,25,FALSE()),0)</f>
        <v>0</v>
      </c>
      <c r="K254" s="197"/>
      <c r="L254" s="198"/>
      <c r="M254" s="196" t="n">
        <f aca="false">J254+K254-L254</f>
        <v>0</v>
      </c>
      <c r="N254" s="197" t="n">
        <f aca="false">SUMIF('statutory adj_2026 조정분개'!$S:$S,$D254,'statutory adj_2026 조정분개'!$K:$K)</f>
        <v>0</v>
      </c>
      <c r="O254" s="198" t="n">
        <f aca="false">SUMIF('statutory adj_2026 조정분개'!$S:$S,$D254,'statutory adj_2026 조정분개'!$L:$L)</f>
        <v>0</v>
      </c>
      <c r="P254" s="196" t="n">
        <f aca="false">M254+N254-O254</f>
        <v>0</v>
      </c>
      <c r="Q254" s="199" t="n">
        <f aca="false">IFERROR(VLOOKUP(VALUE($D254),BSPL2026!$B:$Q,16,FALSE()),0)</f>
        <v>-43933200</v>
      </c>
      <c r="R254" s="200" t="s">
        <v>496</v>
      </c>
      <c r="S254" s="162" t="str">
        <f aca="false">IFERROR(VLOOKUP(VALUE($D254),BSPL2026!$B:$M,12,FALSE()),"")</f>
        <v>광고선전비</v>
      </c>
      <c r="T254" s="162" t="str">
        <f aca="false">IF(OR(S254="",S254=0,LEFT(S254,5)="(원본오류"),"",IF(S254=H254,"","매핑차이"))</f>
        <v/>
      </c>
    </row>
    <row r="255" customFormat="false" ht="16.5" hidden="true" customHeight="false" outlineLevel="0" collapsed="false">
      <c r="D255" s="190" t="s">
        <v>1038</v>
      </c>
      <c r="E255" s="191" t="s">
        <v>1039</v>
      </c>
      <c r="F255" s="192" t="s">
        <v>841</v>
      </c>
      <c r="G255" s="193" t="s">
        <v>912</v>
      </c>
      <c r="H255" s="194" t="s">
        <v>300</v>
      </c>
      <c r="I255" s="195" t="s">
        <v>1039</v>
      </c>
      <c r="J255" s="196" t="n">
        <f aca="false">IFERROR(VLOOKUP(VALUE($D255),BSPL2026!$B:$Z,25,FALSE()),0)</f>
        <v>296221488</v>
      </c>
      <c r="K255" s="197"/>
      <c r="L255" s="198"/>
      <c r="M255" s="196" t="n">
        <f aca="false">J255+K255-L255</f>
        <v>296221488</v>
      </c>
      <c r="N255" s="197" t="n">
        <f aca="false">SUMIF('statutory adj_2026 조정분개'!$S:$S,$D255,'statutory adj_2026 조정분개'!$K:$K)</f>
        <v>0</v>
      </c>
      <c r="O255" s="198" t="n">
        <f aca="false">SUMIF('statutory adj_2026 조정분개'!$S:$S,$D255,'statutory adj_2026 조정분개'!$L:$L)</f>
        <v>0</v>
      </c>
      <c r="P255" s="196" t="n">
        <f aca="false">M255+N255-O255</f>
        <v>296221488</v>
      </c>
      <c r="Q255" s="199" t="n">
        <f aca="false">IFERROR(VLOOKUP(VALUE($D255),BSPL2026!$B:$Q,16,FALSE()),0)</f>
        <v>419798628</v>
      </c>
      <c r="R255" s="200" t="s">
        <v>496</v>
      </c>
      <c r="S255" s="162" t="str">
        <f aca="false">IFERROR(VLOOKUP(VALUE($D255),BSPL2026!$B:$M,12,FALSE()),"")</f>
        <v>제세공과</v>
      </c>
      <c r="T255" s="162" t="str">
        <f aca="false">IF(OR(S255="",S255=0,LEFT(S255,5)="(원본오류"),"",IF(S255=H255,"","매핑차이"))</f>
        <v/>
      </c>
    </row>
    <row r="256" customFormat="false" ht="16.5" hidden="true" customHeight="false" outlineLevel="0" collapsed="false">
      <c r="D256" s="190" t="s">
        <v>1040</v>
      </c>
      <c r="E256" s="191" t="s">
        <v>1041</v>
      </c>
      <c r="F256" s="192" t="s">
        <v>841</v>
      </c>
      <c r="G256" s="193" t="s">
        <v>912</v>
      </c>
      <c r="H256" s="194" t="s">
        <v>299</v>
      </c>
      <c r="I256" s="195" t="s">
        <v>1041</v>
      </c>
      <c r="J256" s="196" t="n">
        <f aca="false">IFERROR(VLOOKUP(VALUE($D256),BSPL2026!$B:$Z,25,FALSE()),0)</f>
        <v>454576863</v>
      </c>
      <c r="K256" s="197"/>
      <c r="L256" s="198"/>
      <c r="M256" s="196" t="n">
        <f aca="false">J256+K256-L256</f>
        <v>454576863</v>
      </c>
      <c r="N256" s="197" t="n">
        <f aca="false">SUMIF('statutory adj_2026 조정분개'!$S:$S,$D256,'statutory adj_2026 조정분개'!$K:$K)</f>
        <v>0</v>
      </c>
      <c r="O256" s="198" t="n">
        <f aca="false">SUMIF('statutory adj_2026 조정분개'!$S:$S,$D256,'statutory adj_2026 조정분개'!$L:$L)</f>
        <v>0</v>
      </c>
      <c r="P256" s="196" t="n">
        <f aca="false">M256+N256-O256</f>
        <v>454576863</v>
      </c>
      <c r="Q256" s="199" t="n">
        <f aca="false">IFERROR(VLOOKUP(VALUE($D256),BSPL2026!$B:$Q,16,FALSE()),0)</f>
        <v>732418362</v>
      </c>
      <c r="R256" s="200" t="s">
        <v>496</v>
      </c>
      <c r="S256" s="162" t="str">
        <f aca="false">IFERROR(VLOOKUP(VALUE($D256),BSPL2026!$B:$M,12,FALSE()),"")</f>
        <v>지급수수료</v>
      </c>
      <c r="T256" s="162" t="str">
        <f aca="false">IF(OR(S256="",S256=0,LEFT(S256,5)="(원본오류"),"",IF(S256=H256,"","매핑차이"))</f>
        <v/>
      </c>
    </row>
    <row r="257" customFormat="false" ht="16.5" hidden="true" customHeight="false" outlineLevel="0" collapsed="false">
      <c r="D257" s="190" t="s">
        <v>1042</v>
      </c>
      <c r="E257" s="191" t="s">
        <v>1043</v>
      </c>
      <c r="F257" s="192" t="s">
        <v>841</v>
      </c>
      <c r="G257" s="193" t="s">
        <v>912</v>
      </c>
      <c r="H257" s="194" t="s">
        <v>279</v>
      </c>
      <c r="I257" s="195" t="s">
        <v>1043</v>
      </c>
      <c r="J257" s="196" t="n">
        <f aca="false">IFERROR(VLOOKUP(VALUE($D257),BSPL2026!$B:$Z,25,FALSE()),0)</f>
        <v>1383397148</v>
      </c>
      <c r="K257" s="197"/>
      <c r="L257" s="198"/>
      <c r="M257" s="196" t="n">
        <f aca="false">J257+K257-L257</f>
        <v>1383397148</v>
      </c>
      <c r="N257" s="197" t="n">
        <f aca="false">SUMIF('statutory adj_2026 조정분개'!$S:$S,$D257,'statutory adj_2026 조정분개'!$K:$K)</f>
        <v>0</v>
      </c>
      <c r="O257" s="198" t="n">
        <f aca="false">SUMIF('statutory adj_2026 조정분개'!$S:$S,$D257,'statutory adj_2026 조정분개'!$L:$L)</f>
        <v>0</v>
      </c>
      <c r="P257" s="196" t="n">
        <f aca="false">M257+N257-O257</f>
        <v>1383397148</v>
      </c>
      <c r="Q257" s="199" t="n">
        <f aca="false">IFERROR(VLOOKUP(VALUE($D257),BSPL2026!$B:$Q,16,FALSE()),0)</f>
        <v>2592263449</v>
      </c>
      <c r="R257" s="200" t="s">
        <v>496</v>
      </c>
      <c r="S257" s="162" t="str">
        <f aca="false">IFERROR(VLOOKUP(VALUE($D257),BSPL2026!$B:$M,12,FALSE()),"")</f>
        <v>광고선전비</v>
      </c>
      <c r="T257" s="162" t="str">
        <f aca="false">IF(OR(S257="",S257=0,LEFT(S257,5)="(원본오류"),"",IF(S257=H257,"","매핑차이"))</f>
        <v/>
      </c>
    </row>
    <row r="258" customFormat="false" ht="16.5" hidden="true" customHeight="false" outlineLevel="0" collapsed="false">
      <c r="D258" s="190" t="s">
        <v>1044</v>
      </c>
      <c r="E258" s="191" t="s">
        <v>1045</v>
      </c>
      <c r="F258" s="192" t="s">
        <v>841</v>
      </c>
      <c r="G258" s="193" t="s">
        <v>912</v>
      </c>
      <c r="H258" s="194" t="s">
        <v>279</v>
      </c>
      <c r="I258" s="195" t="s">
        <v>1045</v>
      </c>
      <c r="J258" s="196" t="n">
        <f aca="false">IFERROR(VLOOKUP(VALUE($D258),BSPL2026!$B:$Z,25,FALSE()),0)</f>
        <v>383074589</v>
      </c>
      <c r="K258" s="197"/>
      <c r="L258" s="198"/>
      <c r="M258" s="196" t="n">
        <f aca="false">J258+K258-L258</f>
        <v>383074589</v>
      </c>
      <c r="N258" s="197" t="n">
        <f aca="false">SUMIF('statutory adj_2026 조정분개'!$S:$S,$D258,'statutory adj_2026 조정분개'!$K:$K)</f>
        <v>0</v>
      </c>
      <c r="O258" s="198" t="n">
        <f aca="false">SUMIF('statutory adj_2026 조정분개'!$S:$S,$D258,'statutory adj_2026 조정분개'!$L:$L)</f>
        <v>0</v>
      </c>
      <c r="P258" s="196" t="n">
        <f aca="false">M258+N258-O258</f>
        <v>383074589</v>
      </c>
      <c r="Q258" s="199" t="n">
        <f aca="false">IFERROR(VLOOKUP(VALUE($D258),BSPL2026!$B:$Q,16,FALSE()),0)</f>
        <v>413713160</v>
      </c>
      <c r="R258" s="200" t="s">
        <v>496</v>
      </c>
      <c r="S258" s="162" t="str">
        <f aca="false">IFERROR(VLOOKUP(VALUE($D258),BSPL2026!$B:$M,12,FALSE()),"")</f>
        <v>광고선전비</v>
      </c>
      <c r="T258" s="162" t="str">
        <f aca="false">IF(OR(S258="",S258=0,LEFT(S258,5)="(원본오류"),"",IF(S258=H258,"","매핑차이"))</f>
        <v/>
      </c>
    </row>
    <row r="259" customFormat="false" ht="16.5" hidden="true" customHeight="false" outlineLevel="0" collapsed="false">
      <c r="D259" s="190" t="s">
        <v>1046</v>
      </c>
      <c r="E259" s="191" t="s">
        <v>1047</v>
      </c>
      <c r="F259" s="192" t="s">
        <v>841</v>
      </c>
      <c r="G259" s="193" t="s">
        <v>912</v>
      </c>
      <c r="H259" s="194" t="s">
        <v>279</v>
      </c>
      <c r="I259" s="195" t="s">
        <v>1047</v>
      </c>
      <c r="J259" s="196" t="n">
        <f aca="false">IFERROR(VLOOKUP(VALUE($D259),BSPL2026!$B:$Z,25,FALSE()),0)</f>
        <v>760619973</v>
      </c>
      <c r="K259" s="197"/>
      <c r="L259" s="198"/>
      <c r="M259" s="196" t="n">
        <f aca="false">J259+K259-L259</f>
        <v>760619973</v>
      </c>
      <c r="N259" s="197" t="n">
        <f aca="false">SUMIF('statutory adj_2026 조정분개'!$S:$S,$D259,'statutory adj_2026 조정분개'!$K:$K)</f>
        <v>0</v>
      </c>
      <c r="O259" s="198" t="n">
        <f aca="false">SUMIF('statutory adj_2026 조정분개'!$S:$S,$D259,'statutory adj_2026 조정분개'!$L:$L)</f>
        <v>0</v>
      </c>
      <c r="P259" s="196" t="n">
        <f aca="false">M259+N259-O259</f>
        <v>760619973</v>
      </c>
      <c r="Q259" s="199" t="n">
        <f aca="false">IFERROR(VLOOKUP(VALUE($D259),BSPL2026!$B:$Q,16,FALSE()),0)</f>
        <v>1098853873</v>
      </c>
      <c r="R259" s="200" t="s">
        <v>496</v>
      </c>
      <c r="S259" s="162" t="str">
        <f aca="false">IFERROR(VLOOKUP(VALUE($D259),BSPL2026!$B:$M,12,FALSE()),"")</f>
        <v>광고선전비</v>
      </c>
      <c r="T259" s="162" t="str">
        <f aca="false">IF(OR(S259="",S259=0,LEFT(S259,5)="(원본오류"),"",IF(S259=H259,"","매핑차이"))</f>
        <v/>
      </c>
    </row>
    <row r="260" customFormat="false" ht="16.5" hidden="true" customHeight="false" outlineLevel="0" collapsed="false">
      <c r="D260" s="190" t="s">
        <v>1048</v>
      </c>
      <c r="E260" s="191" t="s">
        <v>1049</v>
      </c>
      <c r="F260" s="192" t="s">
        <v>841</v>
      </c>
      <c r="G260" s="193" t="s">
        <v>912</v>
      </c>
      <c r="H260" s="194" t="s">
        <v>279</v>
      </c>
      <c r="I260" s="195" t="s">
        <v>1049</v>
      </c>
      <c r="J260" s="196" t="n">
        <f aca="false">IFERROR(VLOOKUP(VALUE($D260),BSPL2026!$B:$Z,25,FALSE()),0)</f>
        <v>1187318831</v>
      </c>
      <c r="K260" s="197"/>
      <c r="L260" s="198"/>
      <c r="M260" s="196" t="n">
        <f aca="false">J260+K260-L260</f>
        <v>1187318831</v>
      </c>
      <c r="N260" s="197" t="n">
        <f aca="false">SUMIF('statutory adj_2026 조정분개'!$S:$S,$D260,'statutory adj_2026 조정분개'!$K:$K)</f>
        <v>0</v>
      </c>
      <c r="O260" s="198" t="n">
        <f aca="false">SUMIF('statutory adj_2026 조정분개'!$S:$S,$D260,'statutory adj_2026 조정분개'!$L:$L)</f>
        <v>0</v>
      </c>
      <c r="P260" s="196" t="n">
        <f aca="false">M260+N260-O260</f>
        <v>1187318831</v>
      </c>
      <c r="Q260" s="199" t="n">
        <f aca="false">IFERROR(VLOOKUP(VALUE($D260),BSPL2026!$B:$Q,16,FALSE()),0)</f>
        <v>1913268307</v>
      </c>
      <c r="R260" s="200" t="s">
        <v>496</v>
      </c>
      <c r="S260" s="162" t="str">
        <f aca="false">IFERROR(VLOOKUP(VALUE($D260),BSPL2026!$B:$M,12,FALSE()),"")</f>
        <v>광고선전비</v>
      </c>
      <c r="T260" s="162" t="str">
        <f aca="false">IF(OR(S260="",S260=0,LEFT(S260,5)="(원본오류"),"",IF(S260=H260,"","매핑차이"))</f>
        <v/>
      </c>
    </row>
    <row r="261" customFormat="false" ht="16.5" hidden="true" customHeight="false" outlineLevel="0" collapsed="false">
      <c r="D261" s="190" t="s">
        <v>1050</v>
      </c>
      <c r="E261" s="191" t="s">
        <v>1051</v>
      </c>
      <c r="F261" s="192" t="s">
        <v>841</v>
      </c>
      <c r="G261" s="193" t="s">
        <v>912</v>
      </c>
      <c r="H261" s="194" t="s">
        <v>279</v>
      </c>
      <c r="I261" s="195" t="s">
        <v>1051</v>
      </c>
      <c r="J261" s="196" t="n">
        <f aca="false">IFERROR(VLOOKUP(VALUE($D261),BSPL2026!$B:$Z,25,FALSE()),0)</f>
        <v>0</v>
      </c>
      <c r="K261" s="197"/>
      <c r="L261" s="198"/>
      <c r="M261" s="196" t="n">
        <f aca="false">J261+K261-L261</f>
        <v>0</v>
      </c>
      <c r="N261" s="197" t="n">
        <f aca="false">SUMIF('statutory adj_2026 조정분개'!$S:$S,$D261,'statutory adj_2026 조정분개'!$K:$K)</f>
        <v>0</v>
      </c>
      <c r="O261" s="198" t="n">
        <f aca="false">SUMIF('statutory adj_2026 조정분개'!$S:$S,$D261,'statutory adj_2026 조정분개'!$L:$L)</f>
        <v>0</v>
      </c>
      <c r="P261" s="196" t="n">
        <f aca="false">M261+N261-O261</f>
        <v>0</v>
      </c>
      <c r="Q261" s="199" t="n">
        <f aca="false">IFERROR(VLOOKUP(VALUE($D261),BSPL2026!$B:$Q,16,FALSE()),0)</f>
        <v>0</v>
      </c>
      <c r="R261" s="200" t="s">
        <v>496</v>
      </c>
      <c r="S261" s="162" t="str">
        <f aca="false">IFERROR(VLOOKUP(VALUE($D261),BSPL2026!$B:$M,12,FALSE()),"")</f>
        <v>광고선전비</v>
      </c>
      <c r="T261" s="162" t="str">
        <f aca="false">IF(OR(S261="",S261=0,LEFT(S261,5)="(원본오류"),"",IF(S261=H261,"","매핑차이"))</f>
        <v/>
      </c>
    </row>
    <row r="262" customFormat="false" ht="16.5" hidden="true" customHeight="false" outlineLevel="0" collapsed="false">
      <c r="D262" s="190" t="s">
        <v>1052</v>
      </c>
      <c r="E262" s="191" t="s">
        <v>1053</v>
      </c>
      <c r="F262" s="192" t="s">
        <v>841</v>
      </c>
      <c r="G262" s="193" t="s">
        <v>912</v>
      </c>
      <c r="H262" s="194" t="s">
        <v>307</v>
      </c>
      <c r="I262" s="195" t="s">
        <v>1053</v>
      </c>
      <c r="J262" s="196" t="n">
        <f aca="false">IFERROR(VLOOKUP(VALUE($D262),BSPL2026!$B:$Z,25,FALSE()),0)</f>
        <v>2672791433</v>
      </c>
      <c r="K262" s="197"/>
      <c r="L262" s="198"/>
      <c r="M262" s="196" t="n">
        <f aca="false">J262+K262-L262</f>
        <v>2672791433</v>
      </c>
      <c r="N262" s="197" t="n">
        <f aca="false">SUMIF('statutory adj_2026 조정분개'!$S:$S,$D262,'statutory adj_2026 조정분개'!$K:$K)</f>
        <v>0</v>
      </c>
      <c r="O262" s="198" t="n">
        <f aca="false">SUMIF('statutory adj_2026 조정분개'!$S:$S,$D262,'statutory adj_2026 조정분개'!$L:$L)</f>
        <v>0</v>
      </c>
      <c r="P262" s="196" t="n">
        <f aca="false">M262+N262-O262</f>
        <v>2672791433</v>
      </c>
      <c r="Q262" s="199" t="n">
        <f aca="false">IFERROR(VLOOKUP(VALUE($D262),BSPL2026!$B:$Q,16,FALSE()),0)</f>
        <v>3899617646</v>
      </c>
      <c r="R262" s="200" t="s">
        <v>496</v>
      </c>
      <c r="S262" s="162" t="str">
        <f aca="false">IFERROR(VLOOKUP(VALUE($D262),BSPL2026!$B:$M,12,FALSE()),"")</f>
        <v>임상증례조사비</v>
      </c>
      <c r="T262" s="162" t="str">
        <f aca="false">IF(OR(S262="",S262=0,LEFT(S262,5)="(원본오류"),"",IF(S262=H262,"","매핑차이"))</f>
        <v/>
      </c>
    </row>
    <row r="263" customFormat="false" ht="16.5" hidden="true" customHeight="false" outlineLevel="0" collapsed="false">
      <c r="D263" s="190" t="s">
        <v>1054</v>
      </c>
      <c r="E263" s="191" t="s">
        <v>1055</v>
      </c>
      <c r="F263" s="192" t="s">
        <v>841</v>
      </c>
      <c r="G263" s="193" t="s">
        <v>912</v>
      </c>
      <c r="H263" s="194" t="s">
        <v>279</v>
      </c>
      <c r="I263" s="195" t="s">
        <v>1055</v>
      </c>
      <c r="J263" s="196" t="n">
        <f aca="false">IFERROR(VLOOKUP(VALUE($D263),BSPL2026!$B:$Z,25,FALSE()),0)</f>
        <v>2311855062</v>
      </c>
      <c r="K263" s="197"/>
      <c r="L263" s="198"/>
      <c r="M263" s="196" t="n">
        <f aca="false">J263+K263-L263</f>
        <v>2311855062</v>
      </c>
      <c r="N263" s="197" t="n">
        <f aca="false">SUMIF('statutory adj_2026 조정분개'!$S:$S,$D263,'statutory adj_2026 조정분개'!$K:$K)</f>
        <v>0</v>
      </c>
      <c r="O263" s="198" t="n">
        <f aca="false">SUMIF('statutory adj_2026 조정분개'!$S:$S,$D263,'statutory adj_2026 조정분개'!$L:$L)</f>
        <v>0</v>
      </c>
      <c r="P263" s="196" t="n">
        <f aca="false">M263+N263-O263</f>
        <v>2311855062</v>
      </c>
      <c r="Q263" s="199" t="n">
        <f aca="false">IFERROR(VLOOKUP(VALUE($D263),BSPL2026!$B:$Q,16,FALSE()),0)</f>
        <v>3433479830</v>
      </c>
      <c r="R263" s="200" t="s">
        <v>496</v>
      </c>
      <c r="S263" s="162" t="str">
        <f aca="false">IFERROR(VLOOKUP(VALUE($D263),BSPL2026!$B:$M,12,FALSE()),"")</f>
        <v>광고선전비</v>
      </c>
      <c r="T263" s="162" t="str">
        <f aca="false">IF(OR(S263="",S263=0,LEFT(S263,5)="(원본오류"),"",IF(S263=H263,"","매핑차이"))</f>
        <v/>
      </c>
    </row>
    <row r="264" customFormat="false" ht="16.5" hidden="true" customHeight="false" outlineLevel="0" collapsed="false">
      <c r="D264" s="190" t="s">
        <v>1056</v>
      </c>
      <c r="E264" s="191" t="s">
        <v>1057</v>
      </c>
      <c r="F264" s="192" t="s">
        <v>841</v>
      </c>
      <c r="G264" s="193" t="s">
        <v>912</v>
      </c>
      <c r="H264" s="194" t="s">
        <v>307</v>
      </c>
      <c r="I264" s="195" t="s">
        <v>1057</v>
      </c>
      <c r="J264" s="196" t="n">
        <f aca="false">IFERROR(VLOOKUP(VALUE($D264),BSPL2026!$B:$Z,25,FALSE()),0)</f>
        <v>3336401089</v>
      </c>
      <c r="K264" s="197"/>
      <c r="L264" s="198"/>
      <c r="M264" s="196" t="n">
        <f aca="false">J264+K264-L264</f>
        <v>3336401089</v>
      </c>
      <c r="N264" s="197" t="n">
        <f aca="false">SUMIF('statutory adj_2026 조정분개'!$S:$S,$D264,'statutory adj_2026 조정분개'!$K:$K)</f>
        <v>0</v>
      </c>
      <c r="O264" s="198" t="n">
        <f aca="false">SUMIF('statutory adj_2026 조정분개'!$S:$S,$D264,'statutory adj_2026 조정분개'!$L:$L)</f>
        <v>0</v>
      </c>
      <c r="P264" s="196" t="n">
        <f aca="false">M264+N264-O264</f>
        <v>3336401089</v>
      </c>
      <c r="Q264" s="199" t="n">
        <f aca="false">IFERROR(VLOOKUP(VALUE($D264),BSPL2026!$B:$Q,16,FALSE()),0)</f>
        <v>5337493600</v>
      </c>
      <c r="R264" s="200" t="s">
        <v>496</v>
      </c>
      <c r="S264" s="162" t="str">
        <f aca="false">IFERROR(VLOOKUP(VALUE($D264),BSPL2026!$B:$M,12,FALSE()),"")</f>
        <v>임상증례조사비</v>
      </c>
      <c r="T264" s="162" t="str">
        <f aca="false">IF(OR(S264="",S264=0,LEFT(S264,5)="(원본오류"),"",IF(S264=H264,"","매핑차이"))</f>
        <v/>
      </c>
    </row>
    <row r="265" customFormat="false" ht="16.5" hidden="true" customHeight="false" outlineLevel="0" collapsed="false">
      <c r="D265" s="190" t="s">
        <v>1058</v>
      </c>
      <c r="E265" s="191" t="s">
        <v>1059</v>
      </c>
      <c r="F265" s="192" t="s">
        <v>841</v>
      </c>
      <c r="G265" s="193" t="s">
        <v>912</v>
      </c>
      <c r="H265" s="194" t="s">
        <v>299</v>
      </c>
      <c r="I265" s="195" t="s">
        <v>1059</v>
      </c>
      <c r="J265" s="196" t="n">
        <f aca="false">IFERROR(VLOOKUP(VALUE($D265),BSPL2026!$B:$Z,25,FALSE()),0)</f>
        <v>0</v>
      </c>
      <c r="K265" s="197"/>
      <c r="L265" s="198"/>
      <c r="M265" s="196" t="n">
        <f aca="false">J265+K265-L265</f>
        <v>0</v>
      </c>
      <c r="N265" s="197" t="n">
        <f aca="false">SUMIF('statutory adj_2026 조정분개'!$S:$S,$D265,'statutory adj_2026 조정분개'!$K:$K)</f>
        <v>0</v>
      </c>
      <c r="O265" s="198" t="n">
        <f aca="false">SUMIF('statutory adj_2026 조정분개'!$S:$S,$D265,'statutory adj_2026 조정분개'!$L:$L)</f>
        <v>0</v>
      </c>
      <c r="P265" s="196" t="n">
        <f aca="false">M265+N265-O265</f>
        <v>0</v>
      </c>
      <c r="Q265" s="199" t="n">
        <f aca="false">IFERROR(VLOOKUP(VALUE($D265),BSPL2026!$B:$Q,16,FALSE()),0)</f>
        <v>34257251</v>
      </c>
      <c r="R265" s="200" t="s">
        <v>496</v>
      </c>
      <c r="S265" s="162" t="str">
        <f aca="false">IFERROR(VLOOKUP(VALUE($D265),BSPL2026!$B:$M,12,FALSE()),"")</f>
        <v>지급수수료</v>
      </c>
      <c r="T265" s="162" t="str">
        <f aca="false">IF(OR(S265="",S265=0,LEFT(S265,5)="(원본오류"),"",IF(S265=H265,"","매핑차이"))</f>
        <v/>
      </c>
    </row>
    <row r="266" customFormat="false" ht="16.5" hidden="true" customHeight="false" outlineLevel="0" collapsed="false">
      <c r="D266" s="190" t="s">
        <v>1060</v>
      </c>
      <c r="E266" s="191" t="s">
        <v>1061</v>
      </c>
      <c r="F266" s="192" t="s">
        <v>841</v>
      </c>
      <c r="G266" s="193" t="s">
        <v>920</v>
      </c>
      <c r="H266" s="194" t="s">
        <v>339</v>
      </c>
      <c r="I266" s="195" t="s">
        <v>1061</v>
      </c>
      <c r="J266" s="196" t="n">
        <f aca="false">IFERROR(VLOOKUP(VALUE($D266),BSPL2026!$B:$Z,25,FALSE()),0)</f>
        <v>75168530</v>
      </c>
      <c r="K266" s="197"/>
      <c r="L266" s="198"/>
      <c r="M266" s="196" t="n">
        <f aca="false">J266+K266-L266</f>
        <v>75168530</v>
      </c>
      <c r="N266" s="197" t="n">
        <f aca="false">SUMIF('statutory adj_2026 조정분개'!$S:$S,$D266,'statutory adj_2026 조정분개'!$K:$K)</f>
        <v>0</v>
      </c>
      <c r="O266" s="198" t="n">
        <f aca="false">SUMIF('statutory adj_2026 조정분개'!$S:$S,$D266,'statutory adj_2026 조정분개'!$L:$L)</f>
        <v>0</v>
      </c>
      <c r="P266" s="196" t="n">
        <f aca="false">M266+N266-O266</f>
        <v>75168530</v>
      </c>
      <c r="Q266" s="199" t="n">
        <f aca="false">IFERROR(VLOOKUP(VALUE($D266),BSPL2026!$B:$Q,16,FALSE()),0)</f>
        <v>55278600</v>
      </c>
      <c r="R266" s="200" t="s">
        <v>496</v>
      </c>
      <c r="S266" s="162" t="str">
        <f aca="false">IFERROR(VLOOKUP(VALUE($D266),BSPL2026!$B:$M,12,FALSE()),"")</f>
        <v>잡이익</v>
      </c>
      <c r="T266" s="162" t="str">
        <f aca="false">IF(OR(S266="",S266=0,LEFT(S266,5)="(원본오류"),"",IF(S266=H266,"","매핑차이"))</f>
        <v/>
      </c>
    </row>
    <row r="267" customFormat="false" ht="16.5" hidden="true" customHeight="false" outlineLevel="0" collapsed="false">
      <c r="D267" s="190" t="s">
        <v>1062</v>
      </c>
      <c r="E267" s="191" t="s">
        <v>1063</v>
      </c>
      <c r="F267" s="192" t="s">
        <v>841</v>
      </c>
      <c r="G267" s="193" t="s">
        <v>912</v>
      </c>
      <c r="H267" s="194" t="s">
        <v>299</v>
      </c>
      <c r="I267" s="195" t="s">
        <v>1063</v>
      </c>
      <c r="J267" s="196" t="n">
        <f aca="false">IFERROR(VLOOKUP(VALUE($D267),BSPL2026!$B:$Z,25,FALSE()),0)</f>
        <v>60782292</v>
      </c>
      <c r="K267" s="197"/>
      <c r="L267" s="198"/>
      <c r="M267" s="196" t="n">
        <f aca="false">J267+K267-L267</f>
        <v>60782292</v>
      </c>
      <c r="N267" s="197" t="n">
        <f aca="false">SUMIF('statutory adj_2026 조정분개'!$S:$S,$D267,'statutory adj_2026 조정분개'!$K:$K)</f>
        <v>0</v>
      </c>
      <c r="O267" s="198" t="n">
        <f aca="false">SUMIF('statutory adj_2026 조정분개'!$S:$S,$D267,'statutory adj_2026 조정분개'!$L:$L)</f>
        <v>0</v>
      </c>
      <c r="P267" s="196" t="n">
        <f aca="false">M267+N267-O267</f>
        <v>60782292</v>
      </c>
      <c r="Q267" s="199" t="n">
        <f aca="false">IFERROR(VLOOKUP(VALUE($D267),BSPL2026!$B:$Q,16,FALSE()),0)</f>
        <v>143196600</v>
      </c>
      <c r="R267" s="200" t="s">
        <v>496</v>
      </c>
      <c r="S267" s="162" t="str">
        <f aca="false">IFERROR(VLOOKUP(VALUE($D267),BSPL2026!$B:$M,12,FALSE()),"")</f>
        <v>지급수수료</v>
      </c>
      <c r="T267" s="162" t="str">
        <f aca="false">IF(OR(S267="",S267=0,LEFT(S267,5)="(원본오류"),"",IF(S267=H267,"","매핑차이"))</f>
        <v/>
      </c>
    </row>
    <row r="268" customFormat="false" ht="16.5" hidden="true" customHeight="false" outlineLevel="0" collapsed="false">
      <c r="D268" s="190" t="s">
        <v>1064</v>
      </c>
      <c r="E268" s="191" t="s">
        <v>1065</v>
      </c>
      <c r="F268" s="192" t="s">
        <v>841</v>
      </c>
      <c r="G268" s="193" t="s">
        <v>912</v>
      </c>
      <c r="H268" s="194" t="s">
        <v>299</v>
      </c>
      <c r="I268" s="195" t="s">
        <v>1065</v>
      </c>
      <c r="J268" s="196" t="n">
        <f aca="false">IFERROR(VLOOKUP(VALUE($D268),BSPL2026!$B:$Z,25,FALSE()),0)</f>
        <v>114532971</v>
      </c>
      <c r="K268" s="197"/>
      <c r="L268" s="198"/>
      <c r="M268" s="196" t="n">
        <f aca="false">J268+K268-L268</f>
        <v>114532971</v>
      </c>
      <c r="N268" s="197" t="n">
        <f aca="false">SUMIF('statutory adj_2026 조정분개'!$S:$S,$D268,'statutory adj_2026 조정분개'!$K:$K)</f>
        <v>0</v>
      </c>
      <c r="O268" s="198" t="n">
        <f aca="false">SUMIF('statutory adj_2026 조정분개'!$S:$S,$D268,'statutory adj_2026 조정분개'!$L:$L)</f>
        <v>0</v>
      </c>
      <c r="P268" s="196" t="n">
        <f aca="false">M268+N268-O268</f>
        <v>114532971</v>
      </c>
      <c r="Q268" s="199" t="n">
        <f aca="false">IFERROR(VLOOKUP(VALUE($D268),BSPL2026!$B:$Q,16,FALSE()),0)</f>
        <v>113760726</v>
      </c>
      <c r="R268" s="200" t="s">
        <v>496</v>
      </c>
      <c r="S268" s="162" t="str">
        <f aca="false">IFERROR(VLOOKUP(VALUE($D268),BSPL2026!$B:$M,12,FALSE()),"")</f>
        <v>지급수수료</v>
      </c>
      <c r="T268" s="162" t="str">
        <f aca="false">IF(OR(S268="",S268=0,LEFT(S268,5)="(원본오류"),"",IF(S268=H268,"","매핑차이"))</f>
        <v/>
      </c>
    </row>
    <row r="269" customFormat="false" ht="16.5" hidden="true" customHeight="false" outlineLevel="0" collapsed="false">
      <c r="D269" s="190" t="s">
        <v>1066</v>
      </c>
      <c r="E269" s="191" t="s">
        <v>1067</v>
      </c>
      <c r="F269" s="192" t="s">
        <v>841</v>
      </c>
      <c r="G269" s="193" t="s">
        <v>912</v>
      </c>
      <c r="H269" s="194" t="s">
        <v>299</v>
      </c>
      <c r="I269" s="195" t="s">
        <v>1067</v>
      </c>
      <c r="J269" s="196" t="n">
        <f aca="false">IFERROR(VLOOKUP(VALUE($D269),BSPL2026!$B:$Z,25,FALSE()),0)</f>
        <v>5671111</v>
      </c>
      <c r="K269" s="197"/>
      <c r="L269" s="198"/>
      <c r="M269" s="196" t="n">
        <f aca="false">J269+K269-L269</f>
        <v>5671111</v>
      </c>
      <c r="N269" s="197" t="n">
        <f aca="false">SUMIF('statutory adj_2026 조정분개'!$S:$S,$D269,'statutory adj_2026 조정분개'!$K:$K)</f>
        <v>0</v>
      </c>
      <c r="O269" s="198" t="n">
        <f aca="false">SUMIF('statutory adj_2026 조정분개'!$S:$S,$D269,'statutory adj_2026 조정분개'!$L:$L)</f>
        <v>0</v>
      </c>
      <c r="P269" s="196" t="n">
        <f aca="false">M269+N269-O269</f>
        <v>5671111</v>
      </c>
      <c r="Q269" s="199" t="n">
        <f aca="false">IFERROR(VLOOKUP(VALUE($D269),BSPL2026!$B:$Q,16,FALSE()),0)</f>
        <v>11966044</v>
      </c>
      <c r="R269" s="200" t="s">
        <v>496</v>
      </c>
      <c r="S269" s="162" t="str">
        <f aca="false">IFERROR(VLOOKUP(VALUE($D269),BSPL2026!$B:$M,12,FALSE()),"")</f>
        <v>지급수수료</v>
      </c>
      <c r="T269" s="162" t="str">
        <f aca="false">IF(OR(S269="",S269=0,LEFT(S269,5)="(원본오류"),"",IF(S269=H269,"","매핑차이"))</f>
        <v/>
      </c>
    </row>
    <row r="270" customFormat="false" ht="16.5" hidden="true" customHeight="false" outlineLevel="0" collapsed="false">
      <c r="D270" s="190" t="s">
        <v>1068</v>
      </c>
      <c r="E270" s="191" t="s">
        <v>1069</v>
      </c>
      <c r="F270" s="192" t="s">
        <v>841</v>
      </c>
      <c r="G270" s="193" t="s">
        <v>912</v>
      </c>
      <c r="H270" s="194" t="s">
        <v>291</v>
      </c>
      <c r="I270" s="195" t="s">
        <v>1069</v>
      </c>
      <c r="J270" s="196" t="n">
        <f aca="false">IFERROR(VLOOKUP(VALUE($D270),BSPL2026!$B:$Z,25,FALSE()),0)</f>
        <v>19716910</v>
      </c>
      <c r="K270" s="197"/>
      <c r="L270" s="198"/>
      <c r="M270" s="196" t="n">
        <f aca="false">J270+K270-L270</f>
        <v>19716910</v>
      </c>
      <c r="N270" s="197" t="n">
        <f aca="false">SUMIF('statutory adj_2026 조정분개'!$S:$S,$D270,'statutory adj_2026 조정분개'!$K:$K)</f>
        <v>0</v>
      </c>
      <c r="O270" s="198" t="n">
        <f aca="false">SUMIF('statutory adj_2026 조정분개'!$S:$S,$D270,'statutory adj_2026 조정분개'!$L:$L)</f>
        <v>0</v>
      </c>
      <c r="P270" s="196" t="n">
        <f aca="false">M270+N270-O270</f>
        <v>19716910</v>
      </c>
      <c r="Q270" s="199" t="n">
        <f aca="false">IFERROR(VLOOKUP(VALUE($D270),BSPL2026!$B:$Q,16,FALSE()),0)</f>
        <v>29264836</v>
      </c>
      <c r="R270" s="200" t="s">
        <v>496</v>
      </c>
      <c r="S270" s="162" t="str">
        <f aca="false">IFERROR(VLOOKUP(VALUE($D270),BSPL2026!$B:$M,12,FALSE()),"")</f>
        <v>통신비</v>
      </c>
      <c r="T270" s="162" t="str">
        <f aca="false">IF(OR(S270="",S270=0,LEFT(S270,5)="(원본오류"),"",IF(S270=H270,"","매핑차이"))</f>
        <v/>
      </c>
    </row>
    <row r="271" customFormat="false" ht="16.5" hidden="true" customHeight="false" outlineLevel="0" collapsed="false">
      <c r="D271" s="190" t="s">
        <v>1070</v>
      </c>
      <c r="E271" s="191" t="s">
        <v>1071</v>
      </c>
      <c r="F271" s="192" t="s">
        <v>841</v>
      </c>
      <c r="G271" s="193" t="s">
        <v>912</v>
      </c>
      <c r="H271" s="194" t="s">
        <v>277</v>
      </c>
      <c r="I271" s="195" t="s">
        <v>1071</v>
      </c>
      <c r="J271" s="196" t="n">
        <f aca="false">IFERROR(VLOOKUP(VALUE($D271),BSPL2026!$B:$Z,25,FALSE()),0)</f>
        <v>759893265</v>
      </c>
      <c r="K271" s="197"/>
      <c r="L271" s="198"/>
      <c r="M271" s="196" t="n">
        <f aca="false">J271+K271-L271</f>
        <v>759893265</v>
      </c>
      <c r="N271" s="197" t="n">
        <f aca="false">SUMIF('statutory adj_2026 조정분개'!$S:$S,$D271,'statutory adj_2026 조정분개'!$K:$K)</f>
        <v>0</v>
      </c>
      <c r="O271" s="198" t="n">
        <f aca="false">SUMIF('statutory adj_2026 조정분개'!$S:$S,$D271,'statutory adj_2026 조정분개'!$L:$L)</f>
        <v>0</v>
      </c>
      <c r="P271" s="196" t="n">
        <f aca="false">M271+N271-O271</f>
        <v>759893265</v>
      </c>
      <c r="Q271" s="199" t="n">
        <f aca="false">IFERROR(VLOOKUP(VALUE($D271),BSPL2026!$B:$Q,16,FALSE()),0)</f>
        <v>1224384275</v>
      </c>
      <c r="R271" s="200" t="s">
        <v>496</v>
      </c>
      <c r="S271" s="162" t="str">
        <f aca="false">IFERROR(VLOOKUP(VALUE($D271),BSPL2026!$B:$M,12,FALSE()),"")</f>
        <v>하조및운임</v>
      </c>
      <c r="T271" s="162" t="str">
        <f aca="false">IF(OR(S271="",S271=0,LEFT(S271,5)="(원본오류"),"",IF(S271=H271,"","매핑차이"))</f>
        <v/>
      </c>
    </row>
    <row r="272" customFormat="false" ht="16.5" hidden="true" customHeight="false" outlineLevel="0" collapsed="false">
      <c r="D272" s="190" t="s">
        <v>1072</v>
      </c>
      <c r="E272" s="191" t="s">
        <v>1073</v>
      </c>
      <c r="F272" s="192" t="s">
        <v>841</v>
      </c>
      <c r="G272" s="193" t="s">
        <v>912</v>
      </c>
      <c r="H272" s="194" t="s">
        <v>299</v>
      </c>
      <c r="I272" s="195" t="s">
        <v>1073</v>
      </c>
      <c r="J272" s="196" t="n">
        <f aca="false">IFERROR(VLOOKUP(VALUE($D272),BSPL2026!$B:$Z,25,FALSE()),0)</f>
        <v>532256757</v>
      </c>
      <c r="K272" s="197"/>
      <c r="L272" s="198"/>
      <c r="M272" s="196" t="n">
        <f aca="false">J272+K272-L272</f>
        <v>532256757</v>
      </c>
      <c r="N272" s="197" t="n">
        <f aca="false">SUMIF('statutory adj_2026 조정분개'!$S:$S,$D272,'statutory adj_2026 조정분개'!$K:$K)</f>
        <v>0</v>
      </c>
      <c r="O272" s="198" t="n">
        <f aca="false">SUMIF('statutory adj_2026 조정분개'!$S:$S,$D272,'statutory adj_2026 조정분개'!$L:$L)</f>
        <v>0</v>
      </c>
      <c r="P272" s="196" t="n">
        <f aca="false">M272+N272-O272</f>
        <v>532256757</v>
      </c>
      <c r="Q272" s="199" t="n">
        <f aca="false">IFERROR(VLOOKUP(VALUE($D272),BSPL2026!$B:$Q,16,FALSE()),0)</f>
        <v>1127731372</v>
      </c>
      <c r="R272" s="200" t="s">
        <v>496</v>
      </c>
      <c r="S272" s="162" t="str">
        <f aca="false">IFERROR(VLOOKUP(VALUE($D272),BSPL2026!$B:$M,12,FALSE()),"")</f>
        <v>지급수수료</v>
      </c>
      <c r="T272" s="162" t="str">
        <f aca="false">IF(OR(S272="",S272=0,LEFT(S272,5)="(원본오류"),"",IF(S272=H272,"","매핑차이"))</f>
        <v/>
      </c>
    </row>
    <row r="273" customFormat="false" ht="16.5" hidden="true" customHeight="false" outlineLevel="0" collapsed="false">
      <c r="D273" s="190" t="s">
        <v>1074</v>
      </c>
      <c r="E273" s="191" t="s">
        <v>1075</v>
      </c>
      <c r="F273" s="192" t="s">
        <v>841</v>
      </c>
      <c r="G273" s="193" t="s">
        <v>912</v>
      </c>
      <c r="H273" s="194" t="s">
        <v>299</v>
      </c>
      <c r="I273" s="195" t="s">
        <v>1075</v>
      </c>
      <c r="J273" s="196" t="n">
        <f aca="false">IFERROR(VLOOKUP(VALUE($D273),BSPL2026!$B:$Z,25,FALSE()),0)</f>
        <v>-162981298</v>
      </c>
      <c r="K273" s="197"/>
      <c r="L273" s="198"/>
      <c r="M273" s="196" t="n">
        <f aca="false">J273+K273-L273</f>
        <v>-162981298</v>
      </c>
      <c r="N273" s="197" t="n">
        <f aca="false">SUMIF('statutory adj_2026 조정분개'!$S:$S,$D273,'statutory adj_2026 조정분개'!$K:$K)</f>
        <v>0</v>
      </c>
      <c r="O273" s="198" t="n">
        <f aca="false">SUMIF('statutory adj_2026 조정분개'!$S:$S,$D273,'statutory adj_2026 조정분개'!$L:$L)</f>
        <v>0</v>
      </c>
      <c r="P273" s="196" t="n">
        <f aca="false">M273+N273-O273</f>
        <v>-162981298</v>
      </c>
      <c r="Q273" s="199" t="n">
        <f aca="false">IFERROR(VLOOKUP(VALUE($D273),BSPL2026!$B:$Q,16,FALSE()),0)</f>
        <v>883118930</v>
      </c>
      <c r="R273" s="200" t="s">
        <v>496</v>
      </c>
      <c r="S273" s="162" t="str">
        <f aca="false">IFERROR(VLOOKUP(VALUE($D273),BSPL2026!$B:$M,12,FALSE()),"")</f>
        <v>지급수수료</v>
      </c>
      <c r="T273" s="162" t="str">
        <f aca="false">IF(OR(S273="",S273=0,LEFT(S273,5)="(원본오류"),"",IF(S273=H273,"","매핑차이"))</f>
        <v/>
      </c>
    </row>
    <row r="274" customFormat="false" ht="16.5" hidden="true" customHeight="false" outlineLevel="0" collapsed="false">
      <c r="D274" s="190" t="s">
        <v>1076</v>
      </c>
      <c r="E274" s="191" t="s">
        <v>1077</v>
      </c>
      <c r="F274" s="192" t="s">
        <v>841</v>
      </c>
      <c r="G274" s="193" t="s">
        <v>912</v>
      </c>
      <c r="H274" s="194" t="s">
        <v>299</v>
      </c>
      <c r="I274" s="195" t="s">
        <v>1077</v>
      </c>
      <c r="J274" s="196" t="n">
        <f aca="false">IFERROR(VLOOKUP(VALUE($D274),BSPL2026!$B:$Z,25,FALSE()),0)</f>
        <v>146120884</v>
      </c>
      <c r="K274" s="197"/>
      <c r="L274" s="198"/>
      <c r="M274" s="196" t="n">
        <f aca="false">J274+K274-L274</f>
        <v>146120884</v>
      </c>
      <c r="N274" s="197" t="n">
        <f aca="false">SUMIF('statutory adj_2026 조정분개'!$S:$S,$D274,'statutory adj_2026 조정분개'!$K:$K)</f>
        <v>0</v>
      </c>
      <c r="O274" s="198" t="n">
        <f aca="false">SUMIF('statutory adj_2026 조정분개'!$S:$S,$D274,'statutory adj_2026 조정분개'!$L:$L)</f>
        <v>0</v>
      </c>
      <c r="P274" s="196" t="n">
        <f aca="false">M274+N274-O274</f>
        <v>146120884</v>
      </c>
      <c r="Q274" s="199" t="n">
        <f aca="false">IFERROR(VLOOKUP(VALUE($D274),BSPL2026!$B:$Q,16,FALSE()),0)</f>
        <v>31857000</v>
      </c>
      <c r="R274" s="200" t="s">
        <v>496</v>
      </c>
      <c r="S274" s="162" t="str">
        <f aca="false">IFERROR(VLOOKUP(VALUE($D274),BSPL2026!$B:$M,12,FALSE()),"")</f>
        <v>지급수수료</v>
      </c>
      <c r="T274" s="162" t="str">
        <f aca="false">IF(OR(S274="",S274=0,LEFT(S274,5)="(원본오류"),"",IF(S274=H274,"","매핑차이"))</f>
        <v/>
      </c>
    </row>
    <row r="275" customFormat="false" ht="16.5" hidden="true" customHeight="false" outlineLevel="0" collapsed="false">
      <c r="D275" s="190" t="s">
        <v>1078</v>
      </c>
      <c r="E275" s="191" t="s">
        <v>1079</v>
      </c>
      <c r="F275" s="192" t="s">
        <v>841</v>
      </c>
      <c r="G275" s="193" t="s">
        <v>912</v>
      </c>
      <c r="H275" s="194" t="s">
        <v>289</v>
      </c>
      <c r="I275" s="195" t="s">
        <v>1079</v>
      </c>
      <c r="J275" s="196" t="n">
        <f aca="false">IFERROR(VLOOKUP(VALUE($D275),BSPL2026!$B:$Z,25,FALSE()),0)</f>
        <v>557246116</v>
      </c>
      <c r="K275" s="197"/>
      <c r="L275" s="198"/>
      <c r="M275" s="196" t="n">
        <f aca="false">J275+K275-L275</f>
        <v>557246116</v>
      </c>
      <c r="N275" s="197" t="n">
        <f aca="false">SUMIF('statutory adj_2026 조정분개'!$S:$S,$D275,'statutory adj_2026 조정분개'!$K:$K)</f>
        <v>0</v>
      </c>
      <c r="O275" s="198" t="n">
        <f aca="false">SUMIF('statutory adj_2026 조정분개'!$S:$S,$D275,'statutory adj_2026 조정분개'!$L:$L)</f>
        <v>0</v>
      </c>
      <c r="P275" s="196" t="n">
        <f aca="false">M275+N275-O275</f>
        <v>557246116</v>
      </c>
      <c r="Q275" s="199" t="n">
        <f aca="false">IFERROR(VLOOKUP(VALUE($D275),BSPL2026!$B:$Q,16,FALSE()),0)</f>
        <v>715350610</v>
      </c>
      <c r="R275" s="200" t="s">
        <v>496</v>
      </c>
      <c r="S275" s="162" t="str">
        <f aca="false">IFERROR(VLOOKUP(VALUE($D275),BSPL2026!$B:$M,12,FALSE()),"")</f>
        <v>복리후생비</v>
      </c>
      <c r="T275" s="162" t="str">
        <f aca="false">IF(OR(S275="",S275=0,LEFT(S275,5)="(원본오류"),"",IF(S275=H275,"","매핑차이"))</f>
        <v/>
      </c>
    </row>
    <row r="276" customFormat="false" ht="16.5" hidden="true" customHeight="false" outlineLevel="0" collapsed="false">
      <c r="D276" s="190" t="s">
        <v>1080</v>
      </c>
      <c r="E276" s="191" t="s">
        <v>1081</v>
      </c>
      <c r="F276" s="192" t="s">
        <v>841</v>
      </c>
      <c r="G276" s="193" t="s">
        <v>912</v>
      </c>
      <c r="H276" s="194" t="s">
        <v>292</v>
      </c>
      <c r="I276" s="195" t="s">
        <v>1081</v>
      </c>
      <c r="J276" s="196" t="n">
        <f aca="false">IFERROR(VLOOKUP(VALUE($D276),BSPL2026!$B:$Z,25,FALSE()),0)</f>
        <v>579913</v>
      </c>
      <c r="K276" s="197"/>
      <c r="L276" s="198"/>
      <c r="M276" s="196" t="n">
        <f aca="false">J276+K276-L276</f>
        <v>579913</v>
      </c>
      <c r="N276" s="197" t="n">
        <f aca="false">SUMIF('statutory adj_2026 조정분개'!$S:$S,$D276,'statutory adj_2026 조정분개'!$K:$K)</f>
        <v>0</v>
      </c>
      <c r="O276" s="198" t="n">
        <f aca="false">SUMIF('statutory adj_2026 조정분개'!$S:$S,$D276,'statutory adj_2026 조정분개'!$L:$L)</f>
        <v>0</v>
      </c>
      <c r="P276" s="196" t="n">
        <f aca="false">M276+N276-O276</f>
        <v>579913</v>
      </c>
      <c r="Q276" s="199" t="n">
        <f aca="false">IFERROR(VLOOKUP(VALUE($D276),BSPL2026!$B:$Q,16,FALSE()),0)</f>
        <v>15325687</v>
      </c>
      <c r="R276" s="200" t="s">
        <v>496</v>
      </c>
      <c r="S276" s="162" t="str">
        <f aca="false">IFERROR(VLOOKUP(VALUE($D276),BSPL2026!$B:$M,12,FALSE()),"")</f>
        <v>소모품비</v>
      </c>
      <c r="T276" s="162" t="str">
        <f aca="false">IF(OR(S276="",S276=0,LEFT(S276,5)="(원본오류"),"",IF(S276=H276,"","매핑차이"))</f>
        <v/>
      </c>
    </row>
    <row r="277" customFormat="false" ht="16.5" hidden="true" customHeight="false" outlineLevel="0" collapsed="false">
      <c r="D277" s="190" t="s">
        <v>1082</v>
      </c>
      <c r="E277" s="191" t="s">
        <v>1083</v>
      </c>
      <c r="F277" s="192" t="s">
        <v>841</v>
      </c>
      <c r="G277" s="193" t="s">
        <v>912</v>
      </c>
      <c r="H277" s="194" t="s">
        <v>307</v>
      </c>
      <c r="I277" s="195" t="s">
        <v>1084</v>
      </c>
      <c r="J277" s="196" t="n">
        <f aca="false">IFERROR(VLOOKUP(VALUE($D277),BSPL2026!$B:$Z,25,FALSE()),0)</f>
        <v>21599970</v>
      </c>
      <c r="K277" s="197"/>
      <c r="L277" s="198"/>
      <c r="M277" s="196" t="n">
        <f aca="false">J277+K277-L277</f>
        <v>21599970</v>
      </c>
      <c r="N277" s="197" t="n">
        <f aca="false">SUMIF('statutory adj_2026 조정분개'!$S:$S,$D277,'statutory adj_2026 조정분개'!$K:$K)</f>
        <v>0</v>
      </c>
      <c r="O277" s="198" t="n">
        <f aca="false">SUMIF('statutory adj_2026 조정분개'!$S:$S,$D277,'statutory adj_2026 조정분개'!$L:$L)</f>
        <v>0</v>
      </c>
      <c r="P277" s="196" t="n">
        <f aca="false">M277+N277-O277</f>
        <v>21599970</v>
      </c>
      <c r="Q277" s="199" t="n">
        <f aca="false">IFERROR(VLOOKUP(VALUE($D277),BSPL2026!$B:$Q,16,FALSE()),0)</f>
        <v>9782100</v>
      </c>
      <c r="R277" s="200" t="s">
        <v>496</v>
      </c>
      <c r="S277" s="162" t="str">
        <f aca="false">IFERROR(VLOOKUP(VALUE($D277),BSPL2026!$B:$M,12,FALSE()),"")</f>
        <v>임상증례조사비</v>
      </c>
      <c r="T277" s="162" t="str">
        <f aca="false">IF(OR(S277="",S277=0,LEFT(S277,5)="(원본오류"),"",IF(S277=H277,"","매핑차이"))</f>
        <v/>
      </c>
    </row>
    <row r="278" customFormat="false" ht="16.5" hidden="true" customHeight="false" outlineLevel="0" collapsed="false">
      <c r="D278" s="190" t="s">
        <v>1085</v>
      </c>
      <c r="E278" s="191" t="s">
        <v>1086</v>
      </c>
      <c r="F278" s="192" t="s">
        <v>841</v>
      </c>
      <c r="G278" s="193" t="s">
        <v>912</v>
      </c>
      <c r="H278" s="194" t="s">
        <v>294</v>
      </c>
      <c r="I278" s="195" t="s">
        <v>1086</v>
      </c>
      <c r="J278" s="196" t="n">
        <f aca="false">IFERROR(VLOOKUP(VALUE($D278),BSPL2026!$B:$Z,25,FALSE()),0)</f>
        <v>1242631250</v>
      </c>
      <c r="K278" s="197"/>
      <c r="L278" s="198"/>
      <c r="M278" s="196" t="n">
        <f aca="false">J278+K278-L278</f>
        <v>1242631250</v>
      </c>
      <c r="N278" s="197" t="n">
        <f aca="false">SUMIF('statutory adj_2026 조정분개'!$S:$S,$D278,'statutory adj_2026 조정분개'!$K:$K)</f>
        <v>0</v>
      </c>
      <c r="O278" s="198" t="n">
        <f aca="false">SUMIF('statutory adj_2026 조정분개'!$S:$S,$D278,'statutory adj_2026 조정분개'!$L:$L)</f>
        <v>0</v>
      </c>
      <c r="P278" s="196" t="n">
        <f aca="false">M278+N278-O278</f>
        <v>1242631250</v>
      </c>
      <c r="Q278" s="199" t="n">
        <f aca="false">IFERROR(VLOOKUP(VALUE($D278),BSPL2026!$B:$Q,16,FALSE()),0)</f>
        <v>1339014190</v>
      </c>
      <c r="R278" s="200" t="s">
        <v>496</v>
      </c>
      <c r="S278" s="162" t="str">
        <f aca="false">IFERROR(VLOOKUP(VALUE($D278),BSPL2026!$B:$M,12,FALSE()),"")</f>
        <v>임차료</v>
      </c>
      <c r="T278" s="162" t="str">
        <f aca="false">IF(OR(S278="",S278=0,LEFT(S278,5)="(원본오류"),"",IF(S278=H278,"","매핑차이"))</f>
        <v/>
      </c>
    </row>
    <row r="279" customFormat="false" ht="16.5" hidden="true" customHeight="false" outlineLevel="0" collapsed="false">
      <c r="D279" s="190" t="s">
        <v>1087</v>
      </c>
      <c r="E279" s="191" t="s">
        <v>1088</v>
      </c>
      <c r="F279" s="192" t="s">
        <v>841</v>
      </c>
      <c r="G279" s="193" t="s">
        <v>912</v>
      </c>
      <c r="H279" s="194" t="s">
        <v>294</v>
      </c>
      <c r="I279" s="195" t="s">
        <v>1088</v>
      </c>
      <c r="J279" s="196" t="n">
        <f aca="false">IFERROR(VLOOKUP(VALUE($D279),BSPL2026!$B:$Z,25,FALSE()),0)</f>
        <v>-812490588</v>
      </c>
      <c r="K279" s="197"/>
      <c r="L279" s="198"/>
      <c r="M279" s="196" t="n">
        <f aca="false">J279+K279-L279</f>
        <v>-812490588</v>
      </c>
      <c r="N279" s="197" t="n">
        <f aca="false">SUMIF('statutory adj_2026 조정분개'!$S:$S,$D279,'statutory adj_2026 조정분개'!$K:$K)</f>
        <v>0</v>
      </c>
      <c r="O279" s="198" t="n">
        <f aca="false">SUMIF('statutory adj_2026 조정분개'!$S:$S,$D279,'statutory adj_2026 조정분개'!$L:$L)</f>
        <v>0</v>
      </c>
      <c r="P279" s="196" t="n">
        <f aca="false">M279+N279-O279</f>
        <v>-812490588</v>
      </c>
      <c r="Q279" s="199" t="n">
        <f aca="false">IFERROR(VLOOKUP(VALUE($D279),BSPL2026!$B:$Q,16,FALSE()),0)</f>
        <v>-1126894020</v>
      </c>
      <c r="R279" s="200" t="s">
        <v>496</v>
      </c>
      <c r="S279" s="162" t="str">
        <f aca="false">IFERROR(VLOOKUP(VALUE($D279),BSPL2026!$B:$M,12,FALSE()),"")</f>
        <v>임차료</v>
      </c>
      <c r="T279" s="162" t="str">
        <f aca="false">IF(OR(S279="",S279=0,LEFT(S279,5)="(원본오류"),"",IF(S279=H279,"","매핑차이"))</f>
        <v/>
      </c>
    </row>
    <row r="280" customFormat="false" ht="16.5" hidden="true" customHeight="false" outlineLevel="0" collapsed="false">
      <c r="D280" s="190" t="s">
        <v>1089</v>
      </c>
      <c r="E280" s="191" t="s">
        <v>1090</v>
      </c>
      <c r="F280" s="192" t="s">
        <v>841</v>
      </c>
      <c r="G280" s="193" t="s">
        <v>912</v>
      </c>
      <c r="H280" s="194" t="s">
        <v>297</v>
      </c>
      <c r="I280" s="195" t="s">
        <v>1090</v>
      </c>
      <c r="J280" s="196" t="n">
        <f aca="false">IFERROR(VLOOKUP(VALUE($D280),BSPL2026!$B:$Z,25,FALSE()),0)</f>
        <v>16172820</v>
      </c>
      <c r="K280" s="197"/>
      <c r="L280" s="198"/>
      <c r="M280" s="196" t="n">
        <f aca="false">J280+K280-L280</f>
        <v>16172820</v>
      </c>
      <c r="N280" s="197" t="n">
        <f aca="false">SUMIF('statutory adj_2026 조정분개'!$S:$S,$D280,'statutory adj_2026 조정분개'!$K:$K)</f>
        <v>0</v>
      </c>
      <c r="O280" s="198" t="n">
        <f aca="false">SUMIF('statutory adj_2026 조정분개'!$S:$S,$D280,'statutory adj_2026 조정분개'!$L:$L)</f>
        <v>0</v>
      </c>
      <c r="P280" s="196" t="n">
        <f aca="false">M280+N280-O280</f>
        <v>16172820</v>
      </c>
      <c r="Q280" s="199" t="n">
        <f aca="false">IFERROR(VLOOKUP(VALUE($D280),BSPL2026!$B:$Q,16,FALSE()),0)</f>
        <v>26593320</v>
      </c>
      <c r="R280" s="200" t="s">
        <v>496</v>
      </c>
      <c r="S280" s="162" t="str">
        <f aca="false">IFERROR(VLOOKUP(VALUE($D280),BSPL2026!$B:$M,12,FALSE()),"")</f>
        <v>수도광열비</v>
      </c>
      <c r="T280" s="162" t="str">
        <f aca="false">IF(OR(S280="",S280=0,LEFT(S280,5)="(원본오류"),"",IF(S280=H280,"","매핑차이"))</f>
        <v/>
      </c>
    </row>
    <row r="281" customFormat="false" ht="16.5" hidden="true" customHeight="false" outlineLevel="0" collapsed="false">
      <c r="D281" s="190" t="s">
        <v>1091</v>
      </c>
      <c r="E281" s="191" t="s">
        <v>1092</v>
      </c>
      <c r="F281" s="192" t="s">
        <v>841</v>
      </c>
      <c r="G281" s="193" t="s">
        <v>912</v>
      </c>
      <c r="H281" s="194" t="s">
        <v>291</v>
      </c>
      <c r="I281" s="195" t="s">
        <v>1092</v>
      </c>
      <c r="J281" s="196" t="n">
        <f aca="false">IFERROR(VLOOKUP(VALUE($D281),BSPL2026!$B:$Z,25,FALSE()),0)</f>
        <v>128587635</v>
      </c>
      <c r="K281" s="197"/>
      <c r="L281" s="198"/>
      <c r="M281" s="196" t="n">
        <f aca="false">J281+K281-L281</f>
        <v>128587635</v>
      </c>
      <c r="N281" s="197" t="n">
        <f aca="false">SUMIF('statutory adj_2026 조정분개'!$S:$S,$D281,'statutory adj_2026 조정분개'!$K:$K)</f>
        <v>0</v>
      </c>
      <c r="O281" s="198" t="n">
        <f aca="false">SUMIF('statutory adj_2026 조정분개'!$S:$S,$D281,'statutory adj_2026 조정분개'!$L:$L)</f>
        <v>0</v>
      </c>
      <c r="P281" s="196" t="n">
        <f aca="false">M281+N281-O281</f>
        <v>128587635</v>
      </c>
      <c r="Q281" s="199" t="n">
        <f aca="false">IFERROR(VLOOKUP(VALUE($D281),BSPL2026!$B:$Q,16,FALSE()),0)</f>
        <v>168925257</v>
      </c>
      <c r="R281" s="200" t="s">
        <v>496</v>
      </c>
      <c r="S281" s="162" t="str">
        <f aca="false">IFERROR(VLOOKUP(VALUE($D281),BSPL2026!$B:$M,12,FALSE()),"")</f>
        <v>통신비</v>
      </c>
      <c r="T281" s="162" t="str">
        <f aca="false">IF(OR(S281="",S281=0,LEFT(S281,5)="(원본오류"),"",IF(S281=H281,"","매핑차이"))</f>
        <v/>
      </c>
    </row>
    <row r="282" customFormat="false" ht="16.5" hidden="true" customHeight="false" outlineLevel="0" collapsed="false">
      <c r="D282" s="190" t="s">
        <v>1093</v>
      </c>
      <c r="E282" s="191" t="s">
        <v>1094</v>
      </c>
      <c r="F282" s="192" t="s">
        <v>841</v>
      </c>
      <c r="G282" s="193" t="s">
        <v>912</v>
      </c>
      <c r="H282" s="194" t="s">
        <v>291</v>
      </c>
      <c r="I282" s="195" t="s">
        <v>1094</v>
      </c>
      <c r="J282" s="196" t="n">
        <f aca="false">IFERROR(VLOOKUP(VALUE($D282),BSPL2026!$B:$Z,25,FALSE()),0)</f>
        <v>137733970</v>
      </c>
      <c r="K282" s="197"/>
      <c r="L282" s="198"/>
      <c r="M282" s="196" t="n">
        <f aca="false">J282+K282-L282</f>
        <v>137733970</v>
      </c>
      <c r="N282" s="197" t="n">
        <f aca="false">SUMIF('statutory adj_2026 조정분개'!$S:$S,$D282,'statutory adj_2026 조정분개'!$K:$K)</f>
        <v>0</v>
      </c>
      <c r="O282" s="198" t="n">
        <f aca="false">SUMIF('statutory adj_2026 조정분개'!$S:$S,$D282,'statutory adj_2026 조정분개'!$L:$L)</f>
        <v>0</v>
      </c>
      <c r="P282" s="196" t="n">
        <f aca="false">M282+N282-O282</f>
        <v>137733970</v>
      </c>
      <c r="Q282" s="199" t="n">
        <f aca="false">IFERROR(VLOOKUP(VALUE($D282),BSPL2026!$B:$Q,16,FALSE()),0)</f>
        <v>206717269</v>
      </c>
      <c r="R282" s="200" t="s">
        <v>496</v>
      </c>
      <c r="S282" s="162" t="str">
        <f aca="false">IFERROR(VLOOKUP(VALUE($D282),BSPL2026!$B:$M,12,FALSE()),"")</f>
        <v>통신비</v>
      </c>
      <c r="T282" s="162" t="str">
        <f aca="false">IF(OR(S282="",S282=0,LEFT(S282,5)="(원본오류"),"",IF(S282=H282,"","매핑차이"))</f>
        <v/>
      </c>
    </row>
    <row r="283" customFormat="false" ht="16.5" hidden="true" customHeight="false" outlineLevel="0" collapsed="false">
      <c r="D283" s="190" t="s">
        <v>1095</v>
      </c>
      <c r="E283" s="191" t="s">
        <v>1096</v>
      </c>
      <c r="F283" s="192" t="s">
        <v>841</v>
      </c>
      <c r="G283" s="193" t="s">
        <v>912</v>
      </c>
      <c r="H283" s="194" t="s">
        <v>296</v>
      </c>
      <c r="I283" s="195" t="s">
        <v>1096</v>
      </c>
      <c r="J283" s="196" t="n">
        <f aca="false">IFERROR(VLOOKUP(VALUE($D283),BSPL2026!$B:$Z,25,FALSE()),0)</f>
        <v>69195000</v>
      </c>
      <c r="K283" s="197"/>
      <c r="L283" s="198"/>
      <c r="M283" s="196" t="n">
        <f aca="false">J283+K283-L283</f>
        <v>69195000</v>
      </c>
      <c r="N283" s="197" t="n">
        <f aca="false">SUMIF('statutory adj_2026 조정분개'!$S:$S,$D283,'statutory adj_2026 조정분개'!$K:$K)</f>
        <v>0</v>
      </c>
      <c r="O283" s="198" t="n">
        <f aca="false">SUMIF('statutory adj_2026 조정분개'!$S:$S,$D283,'statutory adj_2026 조정분개'!$L:$L)</f>
        <v>0</v>
      </c>
      <c r="P283" s="196" t="n">
        <f aca="false">M283+N283-O283</f>
        <v>69195000</v>
      </c>
      <c r="Q283" s="199" t="n">
        <f aca="false">IFERROR(VLOOKUP(VALUE($D283),BSPL2026!$B:$Q,16,FALSE()),0)</f>
        <v>97560000</v>
      </c>
      <c r="R283" s="200" t="s">
        <v>496</v>
      </c>
      <c r="S283" s="162" t="str">
        <f aca="false">IFERROR(VLOOKUP(VALUE($D283),BSPL2026!$B:$M,12,FALSE()),"")</f>
        <v>수선비</v>
      </c>
      <c r="T283" s="162" t="str">
        <f aca="false">IF(OR(S283="",S283=0,LEFT(S283,5)="(원본오류"),"",IF(S283=H283,"","매핑차이"))</f>
        <v/>
      </c>
    </row>
    <row r="284" customFormat="false" ht="16.5" hidden="true" customHeight="false" outlineLevel="0" collapsed="false">
      <c r="D284" s="190" t="s">
        <v>1097</v>
      </c>
      <c r="E284" s="191" t="s">
        <v>1098</v>
      </c>
      <c r="F284" s="192" t="s">
        <v>841</v>
      </c>
      <c r="G284" s="193" t="s">
        <v>912</v>
      </c>
      <c r="H284" s="194" t="s">
        <v>292</v>
      </c>
      <c r="I284" s="195" t="s">
        <v>1098</v>
      </c>
      <c r="J284" s="196" t="n">
        <f aca="false">IFERROR(VLOOKUP(VALUE($D284),BSPL2026!$B:$Z,25,FALSE()),0)</f>
        <v>22739938</v>
      </c>
      <c r="K284" s="197"/>
      <c r="L284" s="198"/>
      <c r="M284" s="196" t="n">
        <f aca="false">J284+K284-L284</f>
        <v>22739938</v>
      </c>
      <c r="N284" s="197" t="n">
        <f aca="false">SUMIF('statutory adj_2026 조정분개'!$S:$S,$D284,'statutory adj_2026 조정분개'!$K:$K)</f>
        <v>0</v>
      </c>
      <c r="O284" s="198" t="n">
        <f aca="false">SUMIF('statutory adj_2026 조정분개'!$S:$S,$D284,'statutory adj_2026 조정분개'!$L:$L)</f>
        <v>0</v>
      </c>
      <c r="P284" s="196" t="n">
        <f aca="false">M284+N284-O284</f>
        <v>22739938</v>
      </c>
      <c r="Q284" s="199" t="n">
        <f aca="false">IFERROR(VLOOKUP(VALUE($D284),BSPL2026!$B:$Q,16,FALSE()),0)</f>
        <v>57475140</v>
      </c>
      <c r="R284" s="200" t="s">
        <v>496</v>
      </c>
      <c r="S284" s="162" t="str">
        <f aca="false">IFERROR(VLOOKUP(VALUE($D284),BSPL2026!$B:$M,12,FALSE()),"")</f>
        <v>소모품비</v>
      </c>
      <c r="T284" s="162" t="str">
        <f aca="false">IF(OR(S284="",S284=0,LEFT(S284,5)="(원본오류"),"",IF(S284=H284,"","매핑차이"))</f>
        <v/>
      </c>
    </row>
    <row r="285" customFormat="false" ht="16.5" hidden="true" customHeight="false" outlineLevel="0" collapsed="false">
      <c r="D285" s="190" t="s">
        <v>1099</v>
      </c>
      <c r="E285" s="191" t="s">
        <v>1100</v>
      </c>
      <c r="F285" s="192" t="s">
        <v>841</v>
      </c>
      <c r="G285" s="193" t="s">
        <v>912</v>
      </c>
      <c r="H285" s="194" t="s">
        <v>309</v>
      </c>
      <c r="I285" s="195" t="s">
        <v>1100</v>
      </c>
      <c r="J285" s="196" t="n">
        <f aca="false">IFERROR(VLOOKUP(VALUE($D285),BSPL2026!$B:$Z,25,FALSE()),0)</f>
        <v>79793855</v>
      </c>
      <c r="K285" s="197"/>
      <c r="L285" s="198"/>
      <c r="M285" s="196" t="n">
        <f aca="false">J285+K285-L285</f>
        <v>79793855</v>
      </c>
      <c r="N285" s="197" t="n">
        <f aca="false">SUMIF('statutory adj_2026 조정분개'!$S:$S,$D285,'statutory adj_2026 조정분개'!$K:$K)</f>
        <v>0</v>
      </c>
      <c r="O285" s="198" t="n">
        <f aca="false">SUMIF('statutory adj_2026 조정분개'!$S:$S,$D285,'statutory adj_2026 조정분개'!$L:$L)</f>
        <v>0</v>
      </c>
      <c r="P285" s="196" t="n">
        <f aca="false">M285+N285-O285</f>
        <v>79793855</v>
      </c>
      <c r="Q285" s="199" t="n">
        <f aca="false">IFERROR(VLOOKUP(VALUE($D285),BSPL2026!$B:$Q,16,FALSE()),0)</f>
        <v>133379604</v>
      </c>
      <c r="R285" s="200" t="s">
        <v>496</v>
      </c>
      <c r="S285" s="162" t="str">
        <f aca="false">IFERROR(VLOOKUP(VALUE($D285),BSPL2026!$B:$M,12,FALSE()),"")</f>
        <v>감가상각비</v>
      </c>
      <c r="T285" s="162" t="str">
        <f aca="false">IF(OR(S285="",S285=0,LEFT(S285,5)="(원본오류"),"",IF(S285=H285,"","매핑차이"))</f>
        <v/>
      </c>
    </row>
    <row r="286" customFormat="false" ht="16.5" hidden="true" customHeight="false" outlineLevel="0" collapsed="false">
      <c r="D286" s="190" t="s">
        <v>1101</v>
      </c>
      <c r="E286" s="191" t="s">
        <v>1102</v>
      </c>
      <c r="F286" s="192" t="s">
        <v>841</v>
      </c>
      <c r="G286" s="193" t="s">
        <v>912</v>
      </c>
      <c r="H286" s="194" t="s">
        <v>309</v>
      </c>
      <c r="I286" s="195" t="s">
        <v>1102</v>
      </c>
      <c r="J286" s="196" t="n">
        <f aca="false">IFERROR(VLOOKUP(VALUE($D286),BSPL2026!$B:$Z,25,FALSE()),0)</f>
        <v>0</v>
      </c>
      <c r="K286" s="197"/>
      <c r="L286" s="198"/>
      <c r="M286" s="196" t="n">
        <f aca="false">J286+K286-L286</f>
        <v>0</v>
      </c>
      <c r="N286" s="197" t="n">
        <f aca="false">SUMIF('statutory adj_2026 조정분개'!$S:$S,$D286,'statutory adj_2026 조정분개'!$K:$K)</f>
        <v>0</v>
      </c>
      <c r="O286" s="198" t="n">
        <f aca="false">SUMIF('statutory adj_2026 조정분개'!$S:$S,$D286,'statutory adj_2026 조정분개'!$L:$L)</f>
        <v>0</v>
      </c>
      <c r="P286" s="196" t="n">
        <f aca="false">M286+N286-O286</f>
        <v>0</v>
      </c>
      <c r="Q286" s="199" t="n">
        <f aca="false">IFERROR(VLOOKUP(VALUE($D286),BSPL2026!$B:$Q,16,FALSE()),0)</f>
        <v>-383857</v>
      </c>
      <c r="R286" s="200" t="s">
        <v>496</v>
      </c>
      <c r="S286" s="162" t="str">
        <f aca="false">IFERROR(VLOOKUP(VALUE($D286),BSPL2026!$B:$M,12,FALSE()),"")</f>
        <v>감가상각비</v>
      </c>
      <c r="T286" s="162" t="str">
        <f aca="false">IF(OR(S286="",S286=0,LEFT(S286,5)="(원본오류"),"",IF(S286=H286,"","매핑차이"))</f>
        <v/>
      </c>
    </row>
    <row r="287" customFormat="false" ht="16.5" hidden="true" customHeight="false" outlineLevel="0" collapsed="false">
      <c r="D287" s="190" t="s">
        <v>1103</v>
      </c>
      <c r="E287" s="191" t="s">
        <v>929</v>
      </c>
      <c r="F287" s="192" t="s">
        <v>841</v>
      </c>
      <c r="G287" s="193" t="s">
        <v>912</v>
      </c>
      <c r="H287" s="194" t="s">
        <v>309</v>
      </c>
      <c r="I287" s="195" t="s">
        <v>1104</v>
      </c>
      <c r="J287" s="196" t="n">
        <f aca="false">IFERROR(VLOOKUP(VALUE($D287),BSPL2026!$B:$Z,25,FALSE()),0)</f>
        <v>340741388</v>
      </c>
      <c r="K287" s="197"/>
      <c r="L287" s="198"/>
      <c r="M287" s="196" t="n">
        <f aca="false">J287+K287-L287</f>
        <v>340741388</v>
      </c>
      <c r="N287" s="197" t="n">
        <f aca="false">SUMIF('statutory adj_2026 조정분개'!$S:$S,$D287,'statutory adj_2026 조정분개'!$K:$K)</f>
        <v>0</v>
      </c>
      <c r="O287" s="198" t="n">
        <f aca="false">SUMIF('statutory adj_2026 조정분개'!$S:$S,$D287,'statutory adj_2026 조정분개'!$L:$L)</f>
        <v>0</v>
      </c>
      <c r="P287" s="196" t="n">
        <f aca="false">M287+N287-O287</f>
        <v>340741388</v>
      </c>
      <c r="Q287" s="199" t="n">
        <f aca="false">IFERROR(VLOOKUP(VALUE($D287),BSPL2026!$B:$Q,16,FALSE()),0)</f>
        <v>454321850</v>
      </c>
      <c r="R287" s="200" t="s">
        <v>496</v>
      </c>
      <c r="S287" s="162" t="str">
        <f aca="false">IFERROR(VLOOKUP(VALUE($D287),BSPL2026!$B:$M,12,FALSE()),"")</f>
        <v>감가상각비</v>
      </c>
      <c r="T287" s="162" t="str">
        <f aca="false">IF(OR(S287="",S287=0,LEFT(S287,5)="(원본오류"),"",IF(S287=H287,"","매핑차이"))</f>
        <v/>
      </c>
    </row>
    <row r="288" customFormat="false" ht="16.5" hidden="true" customHeight="false" outlineLevel="0" collapsed="false">
      <c r="D288" s="190" t="s">
        <v>1105</v>
      </c>
      <c r="E288" s="191" t="s">
        <v>1106</v>
      </c>
      <c r="F288" s="192" t="s">
        <v>841</v>
      </c>
      <c r="G288" s="193" t="s">
        <v>912</v>
      </c>
      <c r="H288" s="194" t="s">
        <v>309</v>
      </c>
      <c r="I288" s="195" t="s">
        <v>1104</v>
      </c>
      <c r="J288" s="196" t="n">
        <f aca="false">IFERROR(VLOOKUP(VALUE($D288),BSPL2026!$B:$Z,25,FALSE()),0)</f>
        <v>41244000</v>
      </c>
      <c r="K288" s="197"/>
      <c r="L288" s="198"/>
      <c r="M288" s="196" t="n">
        <f aca="false">J288+K288-L288</f>
        <v>41244000</v>
      </c>
      <c r="N288" s="197" t="n">
        <f aca="false">SUMIF('statutory adj_2026 조정분개'!$S:$S,$D288,'statutory adj_2026 조정분개'!$K:$K)</f>
        <v>0</v>
      </c>
      <c r="O288" s="198" t="n">
        <f aca="false">SUMIF('statutory adj_2026 조정분개'!$S:$S,$D288,'statutory adj_2026 조정분개'!$L:$L)</f>
        <v>0</v>
      </c>
      <c r="P288" s="196" t="n">
        <f aca="false">M288+N288-O288</f>
        <v>41244000</v>
      </c>
      <c r="Q288" s="199" t="n">
        <f aca="false">IFERROR(VLOOKUP(VALUE($D288),BSPL2026!$B:$Q,16,FALSE()),0)</f>
        <v>54992000</v>
      </c>
      <c r="R288" s="200" t="s">
        <v>496</v>
      </c>
      <c r="S288" s="162" t="str">
        <f aca="false">IFERROR(VLOOKUP(VALUE($D288),BSPL2026!$B:$M,12,FALSE()),"")</f>
        <v>감가상각비</v>
      </c>
      <c r="T288" s="162" t="str">
        <f aca="false">IF(OR(S288="",S288=0,LEFT(S288,5)="(원본오류"),"",IF(S288=H288,"","매핑차이"))</f>
        <v/>
      </c>
    </row>
    <row r="289" customFormat="false" ht="16.5" hidden="true" customHeight="false" outlineLevel="0" collapsed="false">
      <c r="D289" s="190" t="s">
        <v>1107</v>
      </c>
      <c r="E289" s="191" t="s">
        <v>1108</v>
      </c>
      <c r="F289" s="192" t="s">
        <v>841</v>
      </c>
      <c r="G289" s="193" t="s">
        <v>912</v>
      </c>
      <c r="H289" s="194" t="s">
        <v>299</v>
      </c>
      <c r="I289" s="195" t="s">
        <v>1108</v>
      </c>
      <c r="J289" s="196" t="n">
        <f aca="false">IFERROR(VLOOKUP(VALUE($D289),BSPL2026!$B:$Z,25,FALSE()),0)</f>
        <v>19654241</v>
      </c>
      <c r="K289" s="197"/>
      <c r="L289" s="198"/>
      <c r="M289" s="196" t="n">
        <f aca="false">J289+K289-L289</f>
        <v>19654241</v>
      </c>
      <c r="N289" s="197" t="n">
        <f aca="false">SUMIF('statutory adj_2026 조정분개'!$S:$S,$D289,'statutory adj_2026 조정분개'!$K:$K)</f>
        <v>0</v>
      </c>
      <c r="O289" s="198" t="n">
        <f aca="false">SUMIF('statutory adj_2026 조정분개'!$S:$S,$D289,'statutory adj_2026 조정분개'!$L:$L)</f>
        <v>0</v>
      </c>
      <c r="P289" s="196" t="n">
        <f aca="false">M289+N289-O289</f>
        <v>19654241</v>
      </c>
      <c r="Q289" s="199" t="n">
        <f aca="false">IFERROR(VLOOKUP(VALUE($D289),BSPL2026!$B:$Q,16,FALSE()),0)</f>
        <v>255551702</v>
      </c>
      <c r="R289" s="200" t="s">
        <v>496</v>
      </c>
      <c r="S289" s="162" t="str">
        <f aca="false">IFERROR(VLOOKUP(VALUE($D289),BSPL2026!$B:$M,12,FALSE()),"")</f>
        <v>지급수수료</v>
      </c>
      <c r="T289" s="162" t="str">
        <f aca="false">IF(OR(S289="",S289=0,LEFT(S289,5)="(원본오류"),"",IF(S289=H289,"","매핑차이"))</f>
        <v/>
      </c>
    </row>
    <row r="290" customFormat="false" ht="16.5" hidden="true" customHeight="false" outlineLevel="0" collapsed="false">
      <c r="D290" s="190" t="s">
        <v>1109</v>
      </c>
      <c r="E290" s="191" t="s">
        <v>1110</v>
      </c>
      <c r="F290" s="192" t="s">
        <v>841</v>
      </c>
      <c r="G290" s="193" t="s">
        <v>912</v>
      </c>
      <c r="H290" s="194" t="s">
        <v>296</v>
      </c>
      <c r="I290" s="195" t="s">
        <v>1110</v>
      </c>
      <c r="J290" s="196" t="n">
        <f aca="false">IFERROR(VLOOKUP(VALUE($D290),BSPL2026!$B:$Z,25,FALSE()),0)</f>
        <v>2533174</v>
      </c>
      <c r="K290" s="197"/>
      <c r="L290" s="198"/>
      <c r="M290" s="196" t="n">
        <f aca="false">J290+K290-L290</f>
        <v>2533174</v>
      </c>
      <c r="N290" s="197" t="n">
        <f aca="false">SUMIF('statutory adj_2026 조정분개'!$S:$S,$D290,'statutory adj_2026 조정분개'!$K:$K)</f>
        <v>0</v>
      </c>
      <c r="O290" s="198" t="n">
        <f aca="false">SUMIF('statutory adj_2026 조정분개'!$S:$S,$D290,'statutory adj_2026 조정분개'!$L:$L)</f>
        <v>0</v>
      </c>
      <c r="P290" s="196" t="n">
        <f aca="false">M290+N290-O290</f>
        <v>2533174</v>
      </c>
      <c r="Q290" s="199" t="n">
        <f aca="false">IFERROR(VLOOKUP(VALUE($D290),BSPL2026!$B:$Q,16,FALSE()),0)</f>
        <v>-1420070</v>
      </c>
      <c r="R290" s="200" t="s">
        <v>496</v>
      </c>
      <c r="S290" s="162" t="str">
        <f aca="false">IFERROR(VLOOKUP(VALUE($D290),BSPL2026!$B:$M,12,FALSE()),"")</f>
        <v>수선비</v>
      </c>
      <c r="T290" s="162" t="str">
        <f aca="false">IF(OR(S290="",S290=0,LEFT(S290,5)="(원본오류"),"",IF(S290=H290,"","매핑차이"))</f>
        <v/>
      </c>
    </row>
    <row r="291" customFormat="false" ht="16.5" hidden="true" customHeight="false" outlineLevel="0" collapsed="false">
      <c r="D291" s="190" t="s">
        <v>1111</v>
      </c>
      <c r="E291" s="191" t="s">
        <v>1112</v>
      </c>
      <c r="F291" s="192" t="s">
        <v>841</v>
      </c>
      <c r="G291" s="193" t="s">
        <v>912</v>
      </c>
      <c r="H291" s="194" t="s">
        <v>305</v>
      </c>
      <c r="I291" s="195" t="s">
        <v>1112</v>
      </c>
      <c r="J291" s="196" t="n">
        <f aca="false">IFERROR(VLOOKUP(VALUE($D291),BSPL2026!$B:$Z,25,FALSE()),0)</f>
        <v>274311</v>
      </c>
      <c r="K291" s="197"/>
      <c r="L291" s="198"/>
      <c r="M291" s="196" t="n">
        <f aca="false">J291+K291-L291</f>
        <v>274311</v>
      </c>
      <c r="N291" s="197" t="n">
        <f aca="false">SUMIF('statutory adj_2026 조정분개'!$S:$S,$D291,'statutory adj_2026 조정분개'!$K:$K)</f>
        <v>0</v>
      </c>
      <c r="O291" s="198" t="n">
        <f aca="false">SUMIF('statutory adj_2026 조정분개'!$S:$S,$D291,'statutory adj_2026 조정분개'!$L:$L)</f>
        <v>0</v>
      </c>
      <c r="P291" s="196" t="n">
        <f aca="false">M291+N291-O291</f>
        <v>274311</v>
      </c>
      <c r="Q291" s="199" t="n">
        <f aca="false">IFERROR(VLOOKUP(VALUE($D291),BSPL2026!$B:$Q,16,FALSE()),0)</f>
        <v>1991992</v>
      </c>
      <c r="R291" s="200" t="s">
        <v>496</v>
      </c>
      <c r="S291" s="162" t="str">
        <f aca="false">IFERROR(VLOOKUP(VALUE($D291),BSPL2026!$B:$M,12,FALSE()),"")</f>
        <v>차량비</v>
      </c>
      <c r="T291" s="162" t="str">
        <f aca="false">IF(OR(S291="",S291=0,LEFT(S291,5)="(원본오류"),"",IF(S291=H291,"","매핑차이"))</f>
        <v/>
      </c>
    </row>
    <row r="292" customFormat="false" ht="16.5" hidden="true" customHeight="false" outlineLevel="0" collapsed="false">
      <c r="D292" s="190" t="s">
        <v>1113</v>
      </c>
      <c r="E292" s="191" t="s">
        <v>1114</v>
      </c>
      <c r="F292" s="192" t="s">
        <v>841</v>
      </c>
      <c r="G292" s="193" t="s">
        <v>912</v>
      </c>
      <c r="H292" s="194" t="s">
        <v>292</v>
      </c>
      <c r="I292" s="195" t="s">
        <v>1114</v>
      </c>
      <c r="J292" s="196" t="n">
        <f aca="false">IFERROR(VLOOKUP(VALUE($D292),BSPL2026!$B:$Z,25,FALSE()),0)</f>
        <v>29290731</v>
      </c>
      <c r="K292" s="197"/>
      <c r="L292" s="198"/>
      <c r="M292" s="196" t="n">
        <f aca="false">J292+K292-L292</f>
        <v>29290731</v>
      </c>
      <c r="N292" s="197" t="n">
        <f aca="false">SUMIF('statutory adj_2026 조정분개'!$S:$S,$D292,'statutory adj_2026 조정분개'!$K:$K)</f>
        <v>0</v>
      </c>
      <c r="O292" s="198" t="n">
        <f aca="false">SUMIF('statutory adj_2026 조정분개'!$S:$S,$D292,'statutory adj_2026 조정분개'!$L:$L)</f>
        <v>0</v>
      </c>
      <c r="P292" s="196" t="n">
        <f aca="false">M292+N292-O292</f>
        <v>29290731</v>
      </c>
      <c r="Q292" s="199" t="n">
        <f aca="false">IFERROR(VLOOKUP(VALUE($D292),BSPL2026!$B:$Q,16,FALSE()),0)</f>
        <v>64946303</v>
      </c>
      <c r="R292" s="200" t="s">
        <v>496</v>
      </c>
      <c r="S292" s="162" t="str">
        <f aca="false">IFERROR(VLOOKUP(VALUE($D292),BSPL2026!$B:$M,12,FALSE()),"")</f>
        <v>소모품비</v>
      </c>
      <c r="T292" s="162" t="str">
        <f aca="false">IF(OR(S292="",S292=0,LEFT(S292,5)="(원본오류"),"",IF(S292=H292,"","매핑차이"))</f>
        <v/>
      </c>
    </row>
    <row r="293" customFormat="false" ht="16.5" hidden="true" customHeight="false" outlineLevel="0" collapsed="false">
      <c r="D293" s="190" t="s">
        <v>1115</v>
      </c>
      <c r="E293" s="191" t="s">
        <v>1116</v>
      </c>
      <c r="F293" s="192" t="s">
        <v>841</v>
      </c>
      <c r="G293" s="193" t="s">
        <v>912</v>
      </c>
      <c r="H293" s="194" t="s">
        <v>307</v>
      </c>
      <c r="I293" s="195" t="s">
        <v>1116</v>
      </c>
      <c r="J293" s="196" t="n">
        <f aca="false">IFERROR(VLOOKUP(VALUE($D293),BSPL2026!$B:$Z,25,FALSE()),0)</f>
        <v>31591154</v>
      </c>
      <c r="K293" s="197"/>
      <c r="L293" s="198"/>
      <c r="M293" s="196" t="n">
        <f aca="false">J293+K293-L293</f>
        <v>31591154</v>
      </c>
      <c r="N293" s="197" t="n">
        <f aca="false">SUMIF('statutory adj_2026 조정분개'!$S:$S,$D293,'statutory adj_2026 조정분개'!$K:$K)</f>
        <v>0</v>
      </c>
      <c r="O293" s="198" t="n">
        <f aca="false">SUMIF('statutory adj_2026 조정분개'!$S:$S,$D293,'statutory adj_2026 조정분개'!$L:$L)</f>
        <v>0</v>
      </c>
      <c r="P293" s="196" t="n">
        <f aca="false">M293+N293-O293</f>
        <v>31591154</v>
      </c>
      <c r="Q293" s="199" t="n">
        <f aca="false">IFERROR(VLOOKUP(VALUE($D293),BSPL2026!$B:$Q,16,FALSE()),0)</f>
        <v>0</v>
      </c>
      <c r="R293" s="200" t="s">
        <v>496</v>
      </c>
      <c r="S293" s="162" t="str">
        <f aca="false">IFERROR(VLOOKUP(VALUE($D293),BSPL2026!$B:$M,12,FALSE()),"")</f>
        <v>임상증례조사비</v>
      </c>
      <c r="T293" s="162" t="str">
        <f aca="false">IF(OR(S293="",S293=0,LEFT(S293,5)="(원본오류"),"",IF(S293=H293,"","매핑차이"))</f>
        <v/>
      </c>
    </row>
    <row r="294" customFormat="false" ht="16.5" hidden="true" customHeight="false" outlineLevel="0" collapsed="false">
      <c r="D294" s="190" t="s">
        <v>1117</v>
      </c>
      <c r="E294" s="191" t="s">
        <v>1118</v>
      </c>
      <c r="F294" s="192" t="s">
        <v>841</v>
      </c>
      <c r="G294" s="193" t="s">
        <v>912</v>
      </c>
      <c r="H294" s="194" t="s">
        <v>289</v>
      </c>
      <c r="I294" s="195" t="s">
        <v>1118</v>
      </c>
      <c r="J294" s="196" t="n">
        <f aca="false">IFERROR(VLOOKUP(VALUE($D294),BSPL2026!$B:$Z,25,FALSE()),0)</f>
        <v>-113205122</v>
      </c>
      <c r="K294" s="197"/>
      <c r="L294" s="198"/>
      <c r="M294" s="196" t="n">
        <f aca="false">J294+K294-L294</f>
        <v>-113205122</v>
      </c>
      <c r="N294" s="197" t="n">
        <f aca="false">SUMIF('statutory adj_2026 조정분개'!$S:$S,$D294,'statutory adj_2026 조정분개'!$K:$K)</f>
        <v>0</v>
      </c>
      <c r="O294" s="198" t="n">
        <f aca="false">SUMIF('statutory adj_2026 조정분개'!$S:$S,$D294,'statutory adj_2026 조정분개'!$L:$L)</f>
        <v>0</v>
      </c>
      <c r="P294" s="196" t="n">
        <f aca="false">M294+N294-O294</f>
        <v>-113205122</v>
      </c>
      <c r="Q294" s="199" t="n">
        <f aca="false">IFERROR(VLOOKUP(VALUE($D294),BSPL2026!$B:$Q,16,FALSE()),0)</f>
        <v>79853060</v>
      </c>
      <c r="R294" s="200" t="s">
        <v>496</v>
      </c>
      <c r="S294" s="162" t="str">
        <f aca="false">IFERROR(VLOOKUP(VALUE($D294),BSPL2026!$B:$M,12,FALSE()),"")</f>
        <v>복리후생비</v>
      </c>
      <c r="T294" s="162" t="str">
        <f aca="false">IF(OR(S294="",S294=0,LEFT(S294,5)="(원본오류"),"",IF(S294=H294,"","매핑차이"))</f>
        <v/>
      </c>
    </row>
    <row r="295" customFormat="false" ht="16.5" hidden="true" customHeight="false" outlineLevel="0" collapsed="false">
      <c r="D295" s="190" t="s">
        <v>1119</v>
      </c>
      <c r="E295" s="191" t="s">
        <v>1120</v>
      </c>
      <c r="F295" s="192" t="s">
        <v>841</v>
      </c>
      <c r="G295" s="193" t="s">
        <v>912</v>
      </c>
      <c r="H295" s="194" t="s">
        <v>293</v>
      </c>
      <c r="I295" s="195" t="s">
        <v>1120</v>
      </c>
      <c r="J295" s="196" t="n">
        <f aca="false">IFERROR(VLOOKUP(VALUE($D295),BSPL2026!$B:$Z,25,FALSE()),0)</f>
        <v>8549981</v>
      </c>
      <c r="K295" s="197"/>
      <c r="L295" s="198"/>
      <c r="M295" s="196" t="n">
        <f aca="false">J295+K295-L295</f>
        <v>8549981</v>
      </c>
      <c r="N295" s="197" t="n">
        <f aca="false">SUMIF('statutory adj_2026 조정분개'!$S:$S,$D295,'statutory adj_2026 조정분개'!$K:$K)</f>
        <v>0</v>
      </c>
      <c r="O295" s="198" t="n">
        <f aca="false">SUMIF('statutory adj_2026 조정분개'!$S:$S,$D295,'statutory adj_2026 조정분개'!$L:$L)</f>
        <v>0</v>
      </c>
      <c r="P295" s="196" t="n">
        <f aca="false">M295+N295-O295</f>
        <v>8549981</v>
      </c>
      <c r="Q295" s="199" t="n">
        <f aca="false">IFERROR(VLOOKUP(VALUE($D295),BSPL2026!$B:$Q,16,FALSE()),0)</f>
        <v>5701984</v>
      </c>
      <c r="R295" s="200" t="s">
        <v>496</v>
      </c>
      <c r="S295" s="162" t="str">
        <f aca="false">IFERROR(VLOOKUP(VALUE($D295),BSPL2026!$B:$M,12,FALSE()),"")</f>
        <v>도서인쇄비</v>
      </c>
      <c r="T295" s="162" t="str">
        <f aca="false">IF(OR(S295="",S295=0,LEFT(S295,5)="(원본오류"),"",IF(S295=H295,"","매핑차이"))</f>
        <v/>
      </c>
    </row>
    <row r="296" customFormat="false" ht="16.5" hidden="true" customHeight="false" outlineLevel="0" collapsed="false">
      <c r="D296" s="190" t="s">
        <v>1121</v>
      </c>
      <c r="E296" s="191" t="s">
        <v>1122</v>
      </c>
      <c r="F296" s="192" t="s">
        <v>841</v>
      </c>
      <c r="G296" s="193" t="s">
        <v>912</v>
      </c>
      <c r="H296" s="194" t="s">
        <v>293</v>
      </c>
      <c r="I296" s="195" t="s">
        <v>1122</v>
      </c>
      <c r="J296" s="196" t="n">
        <f aca="false">IFERROR(VLOOKUP(VALUE($D296),BSPL2026!$B:$Z,25,FALSE()),0)</f>
        <v>453188710</v>
      </c>
      <c r="K296" s="197"/>
      <c r="L296" s="198"/>
      <c r="M296" s="196" t="n">
        <f aca="false">J296+K296-L296</f>
        <v>453188710</v>
      </c>
      <c r="N296" s="197" t="n">
        <f aca="false">SUMIF('statutory adj_2026 조정분개'!$S:$S,$D296,'statutory adj_2026 조정분개'!$K:$K)</f>
        <v>0</v>
      </c>
      <c r="O296" s="198" t="n">
        <f aca="false">SUMIF('statutory adj_2026 조정분개'!$S:$S,$D296,'statutory adj_2026 조정분개'!$L:$L)</f>
        <v>0</v>
      </c>
      <c r="P296" s="196" t="n">
        <f aca="false">M296+N296-O296</f>
        <v>453188710</v>
      </c>
      <c r="Q296" s="199" t="n">
        <f aca="false">IFERROR(VLOOKUP(VALUE($D296),BSPL2026!$B:$Q,16,FALSE()),0)</f>
        <v>299612978</v>
      </c>
      <c r="R296" s="200" t="s">
        <v>496</v>
      </c>
      <c r="S296" s="162" t="str">
        <f aca="false">IFERROR(VLOOKUP(VALUE($D296),BSPL2026!$B:$M,12,FALSE()),"")</f>
        <v>도서인쇄비</v>
      </c>
      <c r="T296" s="162" t="str">
        <f aca="false">IF(OR(S296="",S296=0,LEFT(S296,5)="(원본오류"),"",IF(S296=H296,"","매핑차이"))</f>
        <v/>
      </c>
    </row>
    <row r="297" customFormat="false" ht="16.5" hidden="true" customHeight="false" outlineLevel="0" collapsed="false">
      <c r="D297" s="190" t="s">
        <v>1123</v>
      </c>
      <c r="E297" s="191" t="s">
        <v>1124</v>
      </c>
      <c r="F297" s="192" t="s">
        <v>841</v>
      </c>
      <c r="G297" s="193" t="s">
        <v>912</v>
      </c>
      <c r="H297" s="194" t="s">
        <v>311</v>
      </c>
      <c r="I297" s="195" t="s">
        <v>1124</v>
      </c>
      <c r="J297" s="196" t="n">
        <f aca="false">IFERROR(VLOOKUP(VALUE($D297),BSPL2026!$B:$Z,25,FALSE()),0)</f>
        <v>218563083</v>
      </c>
      <c r="K297" s="197"/>
      <c r="L297" s="198"/>
      <c r="M297" s="196" t="n">
        <f aca="false">J297+K297-L297</f>
        <v>218563083</v>
      </c>
      <c r="N297" s="197" t="n">
        <f aca="false">SUMIF('statutory adj_2026 조정분개'!$S:$S,$D297,'statutory adj_2026 조정분개'!$K:$K)</f>
        <v>0</v>
      </c>
      <c r="O297" s="198" t="n">
        <f aca="false">SUMIF('statutory adj_2026 조정분개'!$S:$S,$D297,'statutory adj_2026 조정분개'!$L:$L)</f>
        <v>0</v>
      </c>
      <c r="P297" s="196" t="n">
        <f aca="false">M297+N297-O297</f>
        <v>218563083</v>
      </c>
      <c r="Q297" s="199" t="n">
        <f aca="false">IFERROR(VLOOKUP(VALUE($D297),BSPL2026!$B:$Q,16,FALSE()),0)</f>
        <v>248286549</v>
      </c>
      <c r="R297" s="200" t="s">
        <v>496</v>
      </c>
      <c r="S297" s="162" t="str">
        <f aca="false">IFERROR(VLOOKUP(VALUE($D297),BSPL2026!$B:$M,12,FALSE()),"")</f>
        <v>보험료</v>
      </c>
      <c r="T297" s="162" t="str">
        <f aca="false">IF(OR(S297="",S297=0,LEFT(S297,5)="(원본오류"),"",IF(S297=H297,"","매핑차이"))</f>
        <v/>
      </c>
    </row>
    <row r="298" customFormat="false" ht="16.5" hidden="true" customHeight="false" outlineLevel="0" collapsed="false">
      <c r="D298" s="190" t="s">
        <v>1125</v>
      </c>
      <c r="E298" s="191" t="s">
        <v>1126</v>
      </c>
      <c r="F298" s="192" t="s">
        <v>841</v>
      </c>
      <c r="G298" s="193" t="s">
        <v>912</v>
      </c>
      <c r="H298" s="194" t="s">
        <v>311</v>
      </c>
      <c r="I298" s="195" t="s">
        <v>1126</v>
      </c>
      <c r="J298" s="196" t="n">
        <f aca="false">IFERROR(VLOOKUP(VALUE($D298),BSPL2026!$B:$Z,25,FALSE()),0)</f>
        <v>210123882</v>
      </c>
      <c r="K298" s="197"/>
      <c r="L298" s="198"/>
      <c r="M298" s="196" t="n">
        <f aca="false">J298+K298-L298</f>
        <v>210123882</v>
      </c>
      <c r="N298" s="197" t="n">
        <f aca="false">SUMIF('statutory adj_2026 조정분개'!$S:$S,$D298,'statutory adj_2026 조정분개'!$K:$K)</f>
        <v>0</v>
      </c>
      <c r="O298" s="198" t="n">
        <f aca="false">SUMIF('statutory adj_2026 조정분개'!$S:$S,$D298,'statutory adj_2026 조정분개'!$L:$L)</f>
        <v>0</v>
      </c>
      <c r="P298" s="196" t="n">
        <f aca="false">M298+N298-O298</f>
        <v>210123882</v>
      </c>
      <c r="Q298" s="199" t="n">
        <f aca="false">IFERROR(VLOOKUP(VALUE($D298),BSPL2026!$B:$Q,16,FALSE()),0)</f>
        <v>648706188</v>
      </c>
      <c r="R298" s="200" t="s">
        <v>496</v>
      </c>
      <c r="S298" s="162" t="str">
        <f aca="false">IFERROR(VLOOKUP(VALUE($D298),BSPL2026!$B:$M,12,FALSE()),"")</f>
        <v>보험료</v>
      </c>
      <c r="T298" s="162" t="str">
        <f aca="false">IF(OR(S298="",S298=0,LEFT(S298,5)="(원본오류"),"",IF(S298=H298,"","매핑차이"))</f>
        <v/>
      </c>
    </row>
    <row r="299" customFormat="false" ht="16.5" hidden="true" customHeight="false" outlineLevel="0" collapsed="false">
      <c r="D299" s="190" t="s">
        <v>1127</v>
      </c>
      <c r="E299" s="191" t="s">
        <v>1128</v>
      </c>
      <c r="F299" s="192" t="s">
        <v>841</v>
      </c>
      <c r="G299" s="193" t="s">
        <v>912</v>
      </c>
      <c r="H299" s="194" t="s">
        <v>277</v>
      </c>
      <c r="I299" s="195" t="s">
        <v>1128</v>
      </c>
      <c r="J299" s="196" t="n">
        <f aca="false">IFERROR(VLOOKUP(VALUE($D299),BSPL2026!$B:$Z,25,FALSE()),0)</f>
        <v>882045385</v>
      </c>
      <c r="K299" s="197"/>
      <c r="L299" s="198"/>
      <c r="M299" s="196" t="n">
        <f aca="false">J299+K299-L299</f>
        <v>882045385</v>
      </c>
      <c r="N299" s="197" t="n">
        <f aca="false">SUMIF('statutory adj_2026 조정분개'!$S:$S,$D299,'statutory adj_2026 조정분개'!$K:$K)</f>
        <v>0</v>
      </c>
      <c r="O299" s="198" t="n">
        <f aca="false">SUMIF('statutory adj_2026 조정분개'!$S:$S,$D299,'statutory adj_2026 조정분개'!$L:$L)</f>
        <v>0</v>
      </c>
      <c r="P299" s="196" t="n">
        <f aca="false">M299+N299-O299</f>
        <v>882045385</v>
      </c>
      <c r="Q299" s="199" t="n">
        <f aca="false">IFERROR(VLOOKUP(VALUE($D299),BSPL2026!$B:$Q,16,FALSE()),0)</f>
        <v>1824005086</v>
      </c>
      <c r="R299" s="200" t="s">
        <v>496</v>
      </c>
      <c r="S299" s="162" t="str">
        <f aca="false">IFERROR(VLOOKUP(VALUE($D299),BSPL2026!$B:$M,12,FALSE()),"")</f>
        <v>하조및운임</v>
      </c>
      <c r="T299" s="162" t="str">
        <f aca="false">IF(OR(S299="",S299=0,LEFT(S299,5)="(원본오류"),"",IF(S299=H299,"","매핑차이"))</f>
        <v/>
      </c>
    </row>
    <row r="300" customFormat="false" ht="16.5" hidden="true" customHeight="false" outlineLevel="0" collapsed="false">
      <c r="D300" s="190" t="s">
        <v>1129</v>
      </c>
      <c r="E300" s="191" t="s">
        <v>1130</v>
      </c>
      <c r="F300" s="192" t="s">
        <v>841</v>
      </c>
      <c r="G300" s="193" t="s">
        <v>912</v>
      </c>
      <c r="H300" s="194" t="s">
        <v>277</v>
      </c>
      <c r="I300" s="195" t="s">
        <v>1131</v>
      </c>
      <c r="J300" s="196" t="n">
        <f aca="false">IFERROR(VLOOKUP(VALUE($D300),BSPL2026!$B:$Z,25,FALSE()),0)</f>
        <v>-55000</v>
      </c>
      <c r="K300" s="197"/>
      <c r="L300" s="198"/>
      <c r="M300" s="196" t="n">
        <f aca="false">J300+K300-L300</f>
        <v>-55000</v>
      </c>
      <c r="N300" s="197" t="n">
        <f aca="false">SUMIF('statutory adj_2026 조정분개'!$S:$S,$D300,'statutory adj_2026 조정분개'!$K:$K)</f>
        <v>0</v>
      </c>
      <c r="O300" s="198" t="n">
        <f aca="false">SUMIF('statutory adj_2026 조정분개'!$S:$S,$D300,'statutory adj_2026 조정분개'!$L:$L)</f>
        <v>0</v>
      </c>
      <c r="P300" s="196" t="n">
        <f aca="false">M300+N300-O300</f>
        <v>-55000</v>
      </c>
      <c r="Q300" s="199" t="n">
        <f aca="false">IFERROR(VLOOKUP(VALUE($D300),BSPL2026!$B:$Q,16,FALSE()),0)</f>
        <v>1769103</v>
      </c>
      <c r="R300" s="200" t="s">
        <v>496</v>
      </c>
      <c r="S300" s="162" t="str">
        <f aca="false">IFERROR(VLOOKUP(VALUE($D300),BSPL2026!$B:$M,12,FALSE()),"")</f>
        <v>하조및운임</v>
      </c>
      <c r="T300" s="162" t="str">
        <f aca="false">IF(OR(S300="",S300=0,LEFT(S300,5)="(원본오류"),"",IF(S300=H300,"","매핑차이"))</f>
        <v/>
      </c>
    </row>
    <row r="301" customFormat="false" ht="16.5" hidden="true" customHeight="false" outlineLevel="0" collapsed="false">
      <c r="D301" s="190" t="s">
        <v>1132</v>
      </c>
      <c r="E301" s="191" t="s">
        <v>1133</v>
      </c>
      <c r="F301" s="192" t="s">
        <v>841</v>
      </c>
      <c r="G301" s="193" t="s">
        <v>912</v>
      </c>
      <c r="H301" s="194" t="s">
        <v>300</v>
      </c>
      <c r="I301" s="195" t="s">
        <v>1133</v>
      </c>
      <c r="J301" s="196" t="n">
        <f aca="false">IFERROR(VLOOKUP(VALUE($D301),BSPL2026!$B:$Z,25,FALSE()),0)</f>
        <v>7497550</v>
      </c>
      <c r="K301" s="197"/>
      <c r="L301" s="198"/>
      <c r="M301" s="196" t="n">
        <f aca="false">J301+K301-L301</f>
        <v>7497550</v>
      </c>
      <c r="N301" s="197" t="n">
        <f aca="false">SUMIF('statutory adj_2026 조정분개'!$S:$S,$D301,'statutory adj_2026 조정분개'!$K:$K)</f>
        <v>0</v>
      </c>
      <c r="O301" s="198" t="n">
        <f aca="false">SUMIF('statutory adj_2026 조정분개'!$S:$S,$D301,'statutory adj_2026 조정분개'!$L:$L)</f>
        <v>0</v>
      </c>
      <c r="P301" s="196" t="n">
        <f aca="false">M301+N301-O301</f>
        <v>7497550</v>
      </c>
      <c r="Q301" s="199" t="n">
        <f aca="false">IFERROR(VLOOKUP(VALUE($D301),BSPL2026!$B:$Q,16,FALSE()),0)</f>
        <v>1407780</v>
      </c>
      <c r="R301" s="200" t="s">
        <v>496</v>
      </c>
      <c r="S301" s="162" t="str">
        <f aca="false">IFERROR(VLOOKUP(VALUE($D301),BSPL2026!$B:$M,12,FALSE()),"")</f>
        <v>제세공과</v>
      </c>
      <c r="T301" s="162" t="str">
        <f aca="false">IF(OR(S301="",S301=0,LEFT(S301,5)="(원본오류"),"",IF(S301=H301,"","매핑차이"))</f>
        <v/>
      </c>
    </row>
    <row r="302" customFormat="false" ht="16.5" hidden="true" customHeight="false" outlineLevel="0" collapsed="false">
      <c r="D302" s="190" t="s">
        <v>1134</v>
      </c>
      <c r="E302" s="191" t="s">
        <v>1135</v>
      </c>
      <c r="F302" s="192" t="s">
        <v>841</v>
      </c>
      <c r="G302" s="193" t="s">
        <v>912</v>
      </c>
      <c r="H302" s="194" t="s">
        <v>289</v>
      </c>
      <c r="I302" s="195" t="s">
        <v>1135</v>
      </c>
      <c r="J302" s="196" t="n">
        <f aca="false">IFERROR(VLOOKUP(VALUE($D302),BSPL2026!$B:$Z,25,FALSE()),0)</f>
        <v>380536469</v>
      </c>
      <c r="K302" s="197"/>
      <c r="L302" s="198"/>
      <c r="M302" s="196" t="n">
        <f aca="false">J302+K302-L302</f>
        <v>380536469</v>
      </c>
      <c r="N302" s="197" t="n">
        <f aca="false">SUMIF('statutory adj_2026 조정분개'!$S:$S,$D302,'statutory adj_2026 조정분개'!$K:$K)</f>
        <v>0</v>
      </c>
      <c r="O302" s="198" t="n">
        <f aca="false">SUMIF('statutory adj_2026 조정분개'!$S:$S,$D302,'statutory adj_2026 조정분개'!$L:$L)</f>
        <v>0</v>
      </c>
      <c r="P302" s="196" t="n">
        <f aca="false">M302+N302-O302</f>
        <v>380536469</v>
      </c>
      <c r="Q302" s="199" t="n">
        <f aca="false">IFERROR(VLOOKUP(VALUE($D302),BSPL2026!$B:$Q,16,FALSE()),0)</f>
        <v>400875300</v>
      </c>
      <c r="R302" s="200" t="s">
        <v>496</v>
      </c>
      <c r="S302" s="162" t="str">
        <f aca="false">IFERROR(VLOOKUP(VALUE($D302),BSPL2026!$B:$M,12,FALSE()),"")</f>
        <v>복리후생비</v>
      </c>
      <c r="T302" s="162" t="str">
        <f aca="false">IF(OR(S302="",S302=0,LEFT(S302,5)="(원본오류"),"",IF(S302=H302,"","매핑차이"))</f>
        <v/>
      </c>
    </row>
    <row r="303" customFormat="false" ht="16.5" hidden="true" customHeight="false" outlineLevel="0" collapsed="false">
      <c r="D303" s="190" t="s">
        <v>1136</v>
      </c>
      <c r="E303" s="191" t="s">
        <v>1137</v>
      </c>
      <c r="F303" s="192" t="s">
        <v>841</v>
      </c>
      <c r="G303" s="193" t="s">
        <v>912</v>
      </c>
      <c r="H303" s="194" t="s">
        <v>293</v>
      </c>
      <c r="I303" s="195" t="s">
        <v>1137</v>
      </c>
      <c r="J303" s="196" t="n">
        <f aca="false">IFERROR(VLOOKUP(VALUE($D303),BSPL2026!$B:$Z,25,FALSE()),0)</f>
        <v>11790000</v>
      </c>
      <c r="K303" s="197"/>
      <c r="L303" s="198"/>
      <c r="M303" s="196" t="n">
        <f aca="false">J303+K303-L303</f>
        <v>11790000</v>
      </c>
      <c r="N303" s="197" t="n">
        <f aca="false">SUMIF('statutory adj_2026 조정분개'!$S:$S,$D303,'statutory adj_2026 조정분개'!$K:$K)</f>
        <v>0</v>
      </c>
      <c r="O303" s="198" t="n">
        <f aca="false">SUMIF('statutory adj_2026 조정분개'!$S:$S,$D303,'statutory adj_2026 조정분개'!$L:$L)</f>
        <v>0</v>
      </c>
      <c r="P303" s="196" t="n">
        <f aca="false">M303+N303-O303</f>
        <v>11790000</v>
      </c>
      <c r="Q303" s="199" t="n">
        <f aca="false">IFERROR(VLOOKUP(VALUE($D303),BSPL2026!$B:$Q,16,FALSE()),0)</f>
        <v>22040000</v>
      </c>
      <c r="R303" s="200" t="s">
        <v>496</v>
      </c>
      <c r="S303" s="162" t="str">
        <f aca="false">IFERROR(VLOOKUP(VALUE($D303),BSPL2026!$B:$M,12,FALSE()),"")</f>
        <v>도서인쇄비</v>
      </c>
      <c r="T303" s="162" t="str">
        <f aca="false">IF(OR(S303="",S303=0,LEFT(S303,5)="(원본오류"),"",IF(S303=H303,"","매핑차이"))</f>
        <v/>
      </c>
    </row>
    <row r="304" customFormat="false" ht="16.5" hidden="true" customHeight="false" outlineLevel="0" collapsed="false">
      <c r="D304" s="190" t="s">
        <v>1138</v>
      </c>
      <c r="E304" s="191" t="s">
        <v>1139</v>
      </c>
      <c r="F304" s="192" t="s">
        <v>841</v>
      </c>
      <c r="G304" s="193" t="s">
        <v>1140</v>
      </c>
      <c r="H304" s="194" t="s">
        <v>360</v>
      </c>
      <c r="I304" s="195" t="s">
        <v>1139</v>
      </c>
      <c r="J304" s="196" t="n">
        <f aca="false">IFERROR(VLOOKUP(VALUE($D304),BSPL2026!$B:$Z,25,FALSE()),0)</f>
        <v>-8407426</v>
      </c>
      <c r="K304" s="197"/>
      <c r="L304" s="198"/>
      <c r="M304" s="196" t="n">
        <f aca="false">J304+K304-L304</f>
        <v>-8407426</v>
      </c>
      <c r="N304" s="197" t="n">
        <f aca="false">SUMIF('statutory adj_2026 조정분개'!$S:$S,$D304,'statutory adj_2026 조정분개'!$K:$K)</f>
        <v>0</v>
      </c>
      <c r="O304" s="198" t="n">
        <f aca="false">SUMIF('statutory adj_2026 조정분개'!$S:$S,$D304,'statutory adj_2026 조정분개'!$L:$L)</f>
        <v>0</v>
      </c>
      <c r="P304" s="196" t="n">
        <f aca="false">M304+N304-O304</f>
        <v>-8407426</v>
      </c>
      <c r="Q304" s="199" t="n">
        <f aca="false">IFERROR(VLOOKUP(VALUE($D304),BSPL2026!$B:$Q,16,FALSE()),0)</f>
        <v>97646461</v>
      </c>
      <c r="R304" s="200" t="s">
        <v>496</v>
      </c>
      <c r="S304" s="162" t="str">
        <f aca="false">IFERROR(VLOOKUP(VALUE($D304),BSPL2026!$B:$M,12,FALSE()),"")</f>
        <v>잡손실</v>
      </c>
      <c r="T304" s="162" t="str">
        <f aca="false">IF(OR(S304="",S304=0,LEFT(S304,5)="(원본오류"),"",IF(S304=H304,"","매핑차이"))</f>
        <v/>
      </c>
    </row>
    <row r="305" customFormat="false" ht="16.5" hidden="true" customHeight="false" outlineLevel="0" collapsed="false">
      <c r="D305" s="190" t="s">
        <v>1141</v>
      </c>
      <c r="E305" s="191" t="s">
        <v>1142</v>
      </c>
      <c r="F305" s="192" t="s">
        <v>841</v>
      </c>
      <c r="G305" s="193" t="s">
        <v>1140</v>
      </c>
      <c r="H305" s="194" t="s">
        <v>349</v>
      </c>
      <c r="I305" s="195" t="s">
        <v>1143</v>
      </c>
      <c r="J305" s="196" t="n">
        <f aca="false">IFERROR(VLOOKUP(VALUE($D305),BSPL2026!$B:$Z,25,FALSE()),0)</f>
        <v>285797619</v>
      </c>
      <c r="K305" s="197"/>
      <c r="L305" s="198"/>
      <c r="M305" s="196" t="n">
        <f aca="false">J305+K305-L305</f>
        <v>285797619</v>
      </c>
      <c r="N305" s="197" t="n">
        <f aca="false">SUMIF('statutory adj_2026 조정분개'!$S:$S,$D305,'statutory adj_2026 조정분개'!$K:$K)</f>
        <v>0</v>
      </c>
      <c r="O305" s="198" t="n">
        <f aca="false">SUMIF('statutory adj_2026 조정분개'!$S:$S,$D305,'statutory adj_2026 조정분개'!$L:$L)</f>
        <v>0</v>
      </c>
      <c r="P305" s="196" t="n">
        <f aca="false">M305+N305-O305</f>
        <v>285797619</v>
      </c>
      <c r="Q305" s="199" t="n">
        <f aca="false">IFERROR(VLOOKUP(VALUE($D305),BSPL2026!$B:$Q,16,FALSE()),0)</f>
        <v>213198200</v>
      </c>
      <c r="R305" s="200" t="s">
        <v>496</v>
      </c>
      <c r="S305" s="162" t="str">
        <f aca="false">IFERROR(VLOOKUP(VALUE($D305),BSPL2026!$B:$M,12,FALSE()),"")</f>
        <v>기부금</v>
      </c>
      <c r="T305" s="162" t="str">
        <f aca="false">IF(OR(S305="",S305=0,LEFT(S305,5)="(원본오류"),"",IF(S305=H305,"","매핑차이"))</f>
        <v/>
      </c>
    </row>
    <row r="306" customFormat="false" ht="16.5" hidden="true" customHeight="false" outlineLevel="0" collapsed="false">
      <c r="D306" s="190" t="s">
        <v>1144</v>
      </c>
      <c r="E306" s="191" t="s">
        <v>1145</v>
      </c>
      <c r="F306" s="192" t="s">
        <v>841</v>
      </c>
      <c r="G306" s="193" t="s">
        <v>1140</v>
      </c>
      <c r="H306" s="194" t="s">
        <v>349</v>
      </c>
      <c r="I306" s="195" t="s">
        <v>1146</v>
      </c>
      <c r="J306" s="196" t="n">
        <f aca="false">IFERROR(VLOOKUP(VALUE($D306),BSPL2026!$B:$Z,25,FALSE()),0)</f>
        <v>0</v>
      </c>
      <c r="K306" s="197"/>
      <c r="L306" s="198"/>
      <c r="M306" s="196" t="n">
        <f aca="false">J306+K306-L306</f>
        <v>0</v>
      </c>
      <c r="N306" s="197" t="n">
        <f aca="false">SUMIF('statutory adj_2026 조정분개'!$S:$S,$D306,'statutory adj_2026 조정분개'!$K:$K)</f>
        <v>0</v>
      </c>
      <c r="O306" s="198" t="n">
        <f aca="false">SUMIF('statutory adj_2026 조정분개'!$S:$S,$D306,'statutory adj_2026 조정분개'!$L:$L)</f>
        <v>0</v>
      </c>
      <c r="P306" s="196" t="n">
        <f aca="false">M306+N306-O306</f>
        <v>0</v>
      </c>
      <c r="Q306" s="199" t="n">
        <f aca="false">IFERROR(VLOOKUP(VALUE($D306),BSPL2026!$B:$Q,16,FALSE()),0)</f>
        <v>10000000</v>
      </c>
      <c r="R306" s="200" t="s">
        <v>496</v>
      </c>
      <c r="S306" s="162" t="str">
        <f aca="false">IFERROR(VLOOKUP(VALUE($D306),BSPL2026!$B:$M,12,FALSE()),"")</f>
        <v>기부금</v>
      </c>
      <c r="T306" s="162" t="str">
        <f aca="false">IF(OR(S306="",S306=0,LEFT(S306,5)="(원본오류"),"",IF(S306=H306,"","매핑차이"))</f>
        <v/>
      </c>
    </row>
    <row r="307" customFormat="false" ht="16.5" hidden="true" customHeight="false" outlineLevel="0" collapsed="false">
      <c r="D307" s="190" t="s">
        <v>1147</v>
      </c>
      <c r="E307" s="191" t="s">
        <v>1148</v>
      </c>
      <c r="F307" s="192" t="s">
        <v>841</v>
      </c>
      <c r="G307" s="193" t="s">
        <v>1140</v>
      </c>
      <c r="H307" s="194" t="s">
        <v>349</v>
      </c>
      <c r="I307" s="195" t="s">
        <v>1148</v>
      </c>
      <c r="J307" s="196" t="n">
        <f aca="false">IFERROR(VLOOKUP(VALUE($D307),BSPL2026!$B:$Z,25,FALSE()),0)</f>
        <v>5000000</v>
      </c>
      <c r="K307" s="197"/>
      <c r="L307" s="198"/>
      <c r="M307" s="196" t="n">
        <f aca="false">J307+K307-L307</f>
        <v>5000000</v>
      </c>
      <c r="N307" s="197" t="n">
        <f aca="false">SUMIF('statutory adj_2026 조정분개'!$S:$S,$D307,'statutory adj_2026 조정분개'!$K:$K)</f>
        <v>0</v>
      </c>
      <c r="O307" s="198" t="n">
        <f aca="false">SUMIF('statutory adj_2026 조정분개'!$S:$S,$D307,'statutory adj_2026 조정분개'!$L:$L)</f>
        <v>0</v>
      </c>
      <c r="P307" s="196" t="n">
        <f aca="false">M307+N307-O307</f>
        <v>5000000</v>
      </c>
      <c r="Q307" s="199" t="n">
        <f aca="false">IFERROR(VLOOKUP(VALUE($D307),BSPL2026!$B:$Q,16,FALSE()),0)</f>
        <v>35855618</v>
      </c>
      <c r="R307" s="200" t="s">
        <v>496</v>
      </c>
      <c r="S307" s="162" t="str">
        <f aca="false">IFERROR(VLOOKUP(VALUE($D307),BSPL2026!$B:$M,12,FALSE()),"")</f>
        <v>기부금</v>
      </c>
      <c r="T307" s="162" t="str">
        <f aca="false">IF(OR(S307="",S307=0,LEFT(S307,5)="(원본오류"),"",IF(S307=H307,"","매핑차이"))</f>
        <v/>
      </c>
    </row>
    <row r="308" customFormat="false" ht="16.5" hidden="true" customHeight="false" outlineLevel="0" collapsed="false">
      <c r="D308" s="190" t="s">
        <v>1149</v>
      </c>
      <c r="E308" s="191" t="s">
        <v>1150</v>
      </c>
      <c r="F308" s="192" t="s">
        <v>841</v>
      </c>
      <c r="G308" s="193" t="s">
        <v>912</v>
      </c>
      <c r="H308" s="194" t="s">
        <v>299</v>
      </c>
      <c r="I308" s="195" t="s">
        <v>1150</v>
      </c>
      <c r="J308" s="196" t="n">
        <f aca="false">IFERROR(VLOOKUP(VALUE($D308),BSPL2026!$B:$Z,25,FALSE()),0)</f>
        <v>64618589</v>
      </c>
      <c r="K308" s="197"/>
      <c r="L308" s="198"/>
      <c r="M308" s="196" t="n">
        <f aca="false">J308+K308-L308</f>
        <v>64618589</v>
      </c>
      <c r="N308" s="197" t="n">
        <f aca="false">SUMIF('statutory adj_2026 조정분개'!$S:$S,$D308,'statutory adj_2026 조정분개'!$K:$K)</f>
        <v>0</v>
      </c>
      <c r="O308" s="198" t="n">
        <f aca="false">SUMIF('statutory adj_2026 조정분개'!$S:$S,$D308,'statutory adj_2026 조정분개'!$L:$L)</f>
        <v>0</v>
      </c>
      <c r="P308" s="196" t="n">
        <f aca="false">M308+N308-O308</f>
        <v>64618589</v>
      </c>
      <c r="Q308" s="199" t="n">
        <f aca="false">IFERROR(VLOOKUP(VALUE($D308),BSPL2026!$B:$Q,16,FALSE()),0)</f>
        <v>81697788</v>
      </c>
      <c r="R308" s="200" t="s">
        <v>496</v>
      </c>
      <c r="S308" s="162" t="str">
        <f aca="false">IFERROR(VLOOKUP(VALUE($D308),BSPL2026!$B:$M,12,FALSE()),"")</f>
        <v>지급수수료</v>
      </c>
      <c r="T308" s="162" t="str">
        <f aca="false">IF(OR(S308="",S308=0,LEFT(S308,5)="(원본오류"),"",IF(S308=H308,"","매핑차이"))</f>
        <v/>
      </c>
    </row>
    <row r="309" customFormat="false" ht="16.5" hidden="true" customHeight="false" outlineLevel="0" collapsed="false">
      <c r="D309" s="190" t="s">
        <v>1151</v>
      </c>
      <c r="E309" s="191" t="s">
        <v>1152</v>
      </c>
      <c r="F309" s="192" t="s">
        <v>841</v>
      </c>
      <c r="G309" s="193" t="s">
        <v>912</v>
      </c>
      <c r="H309" s="194" t="s">
        <v>307</v>
      </c>
      <c r="I309" s="195" t="s">
        <v>1152</v>
      </c>
      <c r="J309" s="196" t="n">
        <f aca="false">IFERROR(VLOOKUP(VALUE($D309),BSPL2026!$B:$Z,25,FALSE()),0)</f>
        <v>0</v>
      </c>
      <c r="K309" s="197"/>
      <c r="L309" s="198"/>
      <c r="M309" s="196" t="n">
        <f aca="false">J309+K309-L309</f>
        <v>0</v>
      </c>
      <c r="N309" s="197" t="n">
        <f aca="false">SUMIF('statutory adj_2026 조정분개'!$S:$S,$D309,'statutory adj_2026 조정분개'!$K:$K)</f>
        <v>0</v>
      </c>
      <c r="O309" s="198" t="n">
        <f aca="false">SUMIF('statutory adj_2026 조정분개'!$S:$S,$D309,'statutory adj_2026 조정분개'!$L:$L)</f>
        <v>0</v>
      </c>
      <c r="P309" s="196" t="n">
        <f aca="false">M309+N309-O309</f>
        <v>0</v>
      </c>
      <c r="Q309" s="199" t="n">
        <f aca="false">IFERROR(VLOOKUP(VALUE($D309),BSPL2026!$B:$Q,16,FALSE()),0)</f>
        <v>-174835248</v>
      </c>
      <c r="R309" s="200" t="s">
        <v>496</v>
      </c>
      <c r="S309" s="162" t="str">
        <f aca="false">IFERROR(VLOOKUP(VALUE($D309),BSPL2026!$B:$M,12,FALSE()),"")</f>
        <v>임상증례조사비</v>
      </c>
      <c r="T309" s="162" t="str">
        <f aca="false">IF(OR(S309="",S309=0,LEFT(S309,5)="(원본오류"),"",IF(S309=H309,"","매핑차이"))</f>
        <v/>
      </c>
    </row>
    <row r="310" customFormat="false" ht="16.5" hidden="true" customHeight="false" outlineLevel="0" collapsed="false">
      <c r="D310" s="190" t="s">
        <v>1153</v>
      </c>
      <c r="E310" s="191" t="s">
        <v>1154</v>
      </c>
      <c r="F310" s="192" t="s">
        <v>841</v>
      </c>
      <c r="G310" s="193" t="s">
        <v>912</v>
      </c>
      <c r="H310" s="194" t="s">
        <v>299</v>
      </c>
      <c r="I310" s="195" t="s">
        <v>1154</v>
      </c>
      <c r="J310" s="196" t="n">
        <f aca="false">IFERROR(VLOOKUP(VALUE($D310),BSPL2026!$B:$Z,25,FALSE()),0)</f>
        <v>407970082</v>
      </c>
      <c r="K310" s="197"/>
      <c r="L310" s="198"/>
      <c r="M310" s="196" t="n">
        <f aca="false">J310+K310-L310</f>
        <v>407970082</v>
      </c>
      <c r="N310" s="197" t="n">
        <f aca="false">SUMIF('statutory adj_2026 조정분개'!$S:$S,$D310,'statutory adj_2026 조정분개'!$K:$K)</f>
        <v>0</v>
      </c>
      <c r="O310" s="198" t="n">
        <f aca="false">SUMIF('statutory adj_2026 조정분개'!$S:$S,$D310,'statutory adj_2026 조정분개'!$L:$L)</f>
        <v>0</v>
      </c>
      <c r="P310" s="196" t="n">
        <f aca="false">M310+N310-O310</f>
        <v>407970082</v>
      </c>
      <c r="Q310" s="199" t="n">
        <f aca="false">IFERROR(VLOOKUP(VALUE($D310),BSPL2026!$B:$Q,16,FALSE()),0)</f>
        <v>244495750</v>
      </c>
      <c r="R310" s="200" t="s">
        <v>496</v>
      </c>
      <c r="S310" s="162" t="str">
        <f aca="false">IFERROR(VLOOKUP(VALUE($D310),BSPL2026!$B:$M,12,FALSE()),"")</f>
        <v>지급수수료</v>
      </c>
      <c r="T310" s="162" t="str">
        <f aca="false">IF(OR(S310="",S310=0,LEFT(S310,5)="(원본오류"),"",IF(S310=H310,"","매핑차이"))</f>
        <v/>
      </c>
    </row>
    <row r="311" customFormat="false" ht="16.5" hidden="true" customHeight="false" outlineLevel="0" collapsed="false">
      <c r="D311" s="190" t="s">
        <v>1155</v>
      </c>
      <c r="E311" s="191" t="s">
        <v>1156</v>
      </c>
      <c r="F311" s="192" t="s">
        <v>841</v>
      </c>
      <c r="G311" s="193" t="s">
        <v>874</v>
      </c>
      <c r="H311" s="194" t="s">
        <v>240</v>
      </c>
      <c r="I311" s="195" t="s">
        <v>1156</v>
      </c>
      <c r="J311" s="196" t="n">
        <f aca="false">IFERROR(VLOOKUP(VALUE($D311),BSPL2026!$B:$Z,25,FALSE()),0)</f>
        <v>3605799114</v>
      </c>
      <c r="K311" s="197"/>
      <c r="L311" s="198"/>
      <c r="M311" s="196" t="n">
        <f aca="false">J311+K311-L311</f>
        <v>3605799114</v>
      </c>
      <c r="N311" s="197" t="n">
        <f aca="false">SUMIF('statutory adj_2026 조정분개'!$S:$S,$D311,'statutory adj_2026 조정분개'!$K:$K)</f>
        <v>0</v>
      </c>
      <c r="O311" s="198" t="n">
        <f aca="false">SUMIF('statutory adj_2026 조정분개'!$S:$S,$D311,'statutory adj_2026 조정분개'!$L:$L)</f>
        <v>0</v>
      </c>
      <c r="P311" s="196" t="n">
        <f aca="false">M311+N311-O311</f>
        <v>3605799114</v>
      </c>
      <c r="Q311" s="199" t="n">
        <f aca="false">IFERROR(VLOOKUP(VALUE($D311),BSPL2026!$B:$Q,16,FALSE()),0)</f>
        <v>4038906063</v>
      </c>
      <c r="R311" s="200" t="s">
        <v>496</v>
      </c>
      <c r="S311" s="162" t="str">
        <f aca="false">IFERROR(VLOOKUP(VALUE($D311),BSPL2026!$B:$M,12,FALSE()),"")</f>
        <v>상품매출원가</v>
      </c>
      <c r="T311" s="162" t="str">
        <f aca="false">IF(OR(S311="",S311=0,LEFT(S311,5)="(원본오류"),"",IF(S311=H311,"","매핑차이"))</f>
        <v/>
      </c>
    </row>
    <row r="312" customFormat="false" ht="16.5" hidden="true" customHeight="false" outlineLevel="0" collapsed="false">
      <c r="D312" s="190" t="s">
        <v>1157</v>
      </c>
      <c r="E312" s="191" t="s">
        <v>1158</v>
      </c>
      <c r="F312" s="192" t="s">
        <v>841</v>
      </c>
      <c r="G312" s="193" t="s">
        <v>912</v>
      </c>
      <c r="H312" s="194" t="s">
        <v>282</v>
      </c>
      <c r="I312" s="195" t="s">
        <v>1158</v>
      </c>
      <c r="J312" s="196" t="n">
        <f aca="false">IFERROR(VLOOKUP(VALUE($D312),BSPL2026!$B:$Z,25,FALSE()),0)</f>
        <v>618790933</v>
      </c>
      <c r="K312" s="197"/>
      <c r="L312" s="198"/>
      <c r="M312" s="196" t="n">
        <f aca="false">J312+K312-L312</f>
        <v>618790933</v>
      </c>
      <c r="N312" s="197" t="n">
        <f aca="false">SUMIF('statutory adj_2026 조정분개'!$S:$S,$D312,'statutory adj_2026 조정분개'!$K:$K)</f>
        <v>0</v>
      </c>
      <c r="O312" s="198" t="n">
        <f aca="false">SUMIF('statutory adj_2026 조정분개'!$S:$S,$D312,'statutory adj_2026 조정분개'!$L:$L)</f>
        <v>0</v>
      </c>
      <c r="P312" s="196" t="n">
        <f aca="false">M312+N312-O312</f>
        <v>618790933</v>
      </c>
      <c r="Q312" s="199" t="n">
        <f aca="false">IFERROR(VLOOKUP(VALUE($D312),BSPL2026!$B:$Q,16,FALSE()),0)</f>
        <v>712226358</v>
      </c>
      <c r="R312" s="200" t="s">
        <v>496</v>
      </c>
      <c r="S312" s="162" t="str">
        <f aca="false">IFERROR(VLOOKUP(VALUE($D312),BSPL2026!$B:$M,12,FALSE()),"")</f>
        <v>급여</v>
      </c>
      <c r="T312" s="162" t="str">
        <f aca="false">IF(OR(S312="",S312=0,LEFT(S312,5)="(원본오류"),"",IF(S312=H312,"","매핑차이"))</f>
        <v/>
      </c>
    </row>
    <row r="313" customFormat="false" ht="16.5" hidden="true" customHeight="false" outlineLevel="0" collapsed="false">
      <c r="D313" s="190" t="s">
        <v>1159</v>
      </c>
      <c r="E313" s="191" t="s">
        <v>1160</v>
      </c>
      <c r="F313" s="192" t="s">
        <v>841</v>
      </c>
      <c r="G313" s="193" t="s">
        <v>912</v>
      </c>
      <c r="H313" s="194" t="s">
        <v>299</v>
      </c>
      <c r="I313" s="195" t="s">
        <v>1160</v>
      </c>
      <c r="J313" s="196" t="n">
        <f aca="false">IFERROR(VLOOKUP(VALUE($D313),BSPL2026!$B:$Z,25,FALSE()),0)</f>
        <v>151777885</v>
      </c>
      <c r="K313" s="197"/>
      <c r="L313" s="198"/>
      <c r="M313" s="196" t="n">
        <f aca="false">J313+K313-L313</f>
        <v>151777885</v>
      </c>
      <c r="N313" s="197" t="n">
        <f aca="false">SUMIF('statutory adj_2026 조정분개'!$S:$S,$D313,'statutory adj_2026 조정분개'!$K:$K)</f>
        <v>0</v>
      </c>
      <c r="O313" s="198" t="n">
        <f aca="false">SUMIF('statutory adj_2026 조정분개'!$S:$S,$D313,'statutory adj_2026 조정분개'!$L:$L)</f>
        <v>0</v>
      </c>
      <c r="P313" s="196" t="n">
        <f aca="false">M313+N313-O313</f>
        <v>151777885</v>
      </c>
      <c r="Q313" s="199" t="n">
        <f aca="false">IFERROR(VLOOKUP(VALUE($D313),BSPL2026!$B:$Q,16,FALSE()),0)</f>
        <v>0</v>
      </c>
      <c r="R313" s="200" t="s">
        <v>496</v>
      </c>
      <c r="S313" s="162" t="str">
        <f aca="false">IFERROR(VLOOKUP(VALUE($D313),BSPL2026!$B:$M,12,FALSE()),"")</f>
        <v>지급수수료</v>
      </c>
      <c r="T313" s="162" t="str">
        <f aca="false">IF(OR(S313="",S313=0,LEFT(S313,5)="(원본오류"),"",IF(S313=H313,"","매핑차이"))</f>
        <v/>
      </c>
    </row>
    <row r="314" customFormat="false" ht="16.5" hidden="true" customHeight="false" outlineLevel="0" collapsed="false">
      <c r="D314" s="190" t="s">
        <v>1161</v>
      </c>
      <c r="E314" s="191" t="s">
        <v>1162</v>
      </c>
      <c r="F314" s="192" t="s">
        <v>841</v>
      </c>
      <c r="G314" s="193" t="s">
        <v>912</v>
      </c>
      <c r="H314" s="194" t="s">
        <v>311</v>
      </c>
      <c r="I314" s="195" t="s">
        <v>1162</v>
      </c>
      <c r="J314" s="196" t="n">
        <f aca="false">IFERROR(VLOOKUP(VALUE($D314),BSPL2026!$B:$Z,25,FALSE()),0)</f>
        <v>514428539</v>
      </c>
      <c r="K314" s="197"/>
      <c r="L314" s="198"/>
      <c r="M314" s="196" t="n">
        <f aca="false">J314+K314-L314</f>
        <v>514428539</v>
      </c>
      <c r="N314" s="197" t="n">
        <f aca="false">SUMIF('statutory adj_2026 조정분개'!$S:$S,$D314,'statutory adj_2026 조정분개'!$K:$K)</f>
        <v>0</v>
      </c>
      <c r="O314" s="198" t="n">
        <f aca="false">SUMIF('statutory adj_2026 조정분개'!$S:$S,$D314,'statutory adj_2026 조정분개'!$L:$L)</f>
        <v>0</v>
      </c>
      <c r="P314" s="196" t="n">
        <f aca="false">M314+N314-O314</f>
        <v>514428539</v>
      </c>
      <c r="Q314" s="199" t="n">
        <f aca="false">IFERROR(VLOOKUP(VALUE($D314),BSPL2026!$B:$Q,16,FALSE()),0)</f>
        <v>847881416</v>
      </c>
      <c r="R314" s="200" t="s">
        <v>496</v>
      </c>
      <c r="S314" s="162" t="str">
        <f aca="false">IFERROR(VLOOKUP(VALUE($D314),BSPL2026!$B:$M,12,FALSE()),"")</f>
        <v>보험료</v>
      </c>
      <c r="T314" s="162" t="str">
        <f aca="false">IF(OR(S314="",S314=0,LEFT(S314,5)="(원본오류"),"",IF(S314=H314,"","매핑차이"))</f>
        <v/>
      </c>
    </row>
    <row r="315" customFormat="false" ht="16.5" hidden="true" customHeight="false" outlineLevel="0" collapsed="false">
      <c r="D315" s="190" t="s">
        <v>1163</v>
      </c>
      <c r="E315" s="191" t="s">
        <v>1164</v>
      </c>
      <c r="F315" s="192" t="s">
        <v>841</v>
      </c>
      <c r="G315" s="193" t="s">
        <v>912</v>
      </c>
      <c r="H315" s="194" t="s">
        <v>289</v>
      </c>
      <c r="I315" s="195" t="s">
        <v>1164</v>
      </c>
      <c r="J315" s="196" t="n">
        <f aca="false">IFERROR(VLOOKUP(VALUE($D315),BSPL2026!$B:$Z,25,FALSE()),0)</f>
        <v>0</v>
      </c>
      <c r="K315" s="197"/>
      <c r="L315" s="198"/>
      <c r="M315" s="196" t="n">
        <f aca="false">J315+K315-L315</f>
        <v>0</v>
      </c>
      <c r="N315" s="197" t="n">
        <f aca="false">SUMIF('statutory adj_2026 조정분개'!$S:$S,$D315,'statutory adj_2026 조정분개'!$K:$K)</f>
        <v>0</v>
      </c>
      <c r="O315" s="198" t="n">
        <f aca="false">SUMIF('statutory adj_2026 조정분개'!$S:$S,$D315,'statutory adj_2026 조정분개'!$L:$L)</f>
        <v>0</v>
      </c>
      <c r="P315" s="196" t="n">
        <f aca="false">M315+N315-O315</f>
        <v>0</v>
      </c>
      <c r="Q315" s="199" t="n">
        <f aca="false">IFERROR(VLOOKUP(VALUE($D315),BSPL2026!$B:$Q,16,FALSE()),0)</f>
        <v>58248434</v>
      </c>
      <c r="R315" s="200" t="s">
        <v>496</v>
      </c>
      <c r="S315" s="162" t="str">
        <f aca="false">IFERROR(VLOOKUP(VALUE($D315),BSPL2026!$B:$M,12,FALSE()),"")</f>
        <v>복리후생비</v>
      </c>
      <c r="T315" s="162" t="str">
        <f aca="false">IF(OR(S315="",S315=0,LEFT(S315,5)="(원본오류"),"",IF(S315=H315,"","매핑차이"))</f>
        <v/>
      </c>
    </row>
    <row r="316" customFormat="false" ht="16.5" hidden="true" customHeight="false" outlineLevel="0" collapsed="false">
      <c r="D316" s="190" t="s">
        <v>1165</v>
      </c>
      <c r="E316" s="191" t="s">
        <v>1166</v>
      </c>
      <c r="F316" s="192" t="s">
        <v>841</v>
      </c>
      <c r="G316" s="193" t="s">
        <v>912</v>
      </c>
      <c r="H316" s="194" t="s">
        <v>290</v>
      </c>
      <c r="I316" s="195" t="s">
        <v>1166</v>
      </c>
      <c r="J316" s="196" t="n">
        <f aca="false">IFERROR(VLOOKUP(VALUE($D316),BSPL2026!$B:$Z,25,FALSE()),0)</f>
        <v>556899000</v>
      </c>
      <c r="K316" s="197"/>
      <c r="L316" s="198"/>
      <c r="M316" s="196" t="n">
        <f aca="false">J316+K316-L316</f>
        <v>556899000</v>
      </c>
      <c r="N316" s="197" t="n">
        <f aca="false">SUMIF('statutory adj_2026 조정분개'!$S:$S,$D316,'statutory adj_2026 조정분개'!$K:$K)</f>
        <v>0</v>
      </c>
      <c r="O316" s="198" t="n">
        <f aca="false">SUMIF('statutory adj_2026 조정분개'!$S:$S,$D316,'statutory adj_2026 조정분개'!$L:$L)</f>
        <v>0</v>
      </c>
      <c r="P316" s="196" t="n">
        <f aca="false">M316+N316-O316</f>
        <v>556899000</v>
      </c>
      <c r="Q316" s="199" t="n">
        <f aca="false">IFERROR(VLOOKUP(VALUE($D316),BSPL2026!$B:$Q,16,FALSE()),0)</f>
        <v>781400436</v>
      </c>
      <c r="R316" s="200" t="s">
        <v>496</v>
      </c>
      <c r="S316" s="162" t="str">
        <f aca="false">IFERROR(VLOOKUP(VALUE($D316),BSPL2026!$B:$M,12,FALSE()),"")</f>
        <v>여비교통비</v>
      </c>
      <c r="T316" s="162" t="str">
        <f aca="false">IF(OR(S316="",S316=0,LEFT(S316,5)="(원본오류"),"",IF(S316=H316,"","매핑차이"))</f>
        <v/>
      </c>
    </row>
    <row r="317" customFormat="false" ht="16.5" hidden="true" customHeight="false" outlineLevel="0" collapsed="false">
      <c r="D317" s="190" t="s">
        <v>1167</v>
      </c>
      <c r="E317" s="191" t="s">
        <v>1168</v>
      </c>
      <c r="F317" s="192" t="s">
        <v>841</v>
      </c>
      <c r="G317" s="193" t="s">
        <v>912</v>
      </c>
      <c r="H317" s="194" t="s">
        <v>299</v>
      </c>
      <c r="I317" s="195" t="s">
        <v>1168</v>
      </c>
      <c r="J317" s="196" t="n">
        <f aca="false">IFERROR(VLOOKUP(VALUE($D317),BSPL2026!$B:$Z,25,FALSE()),0)</f>
        <v>41496005</v>
      </c>
      <c r="K317" s="197"/>
      <c r="L317" s="198"/>
      <c r="M317" s="196" t="n">
        <f aca="false">J317+K317-L317</f>
        <v>41496005</v>
      </c>
      <c r="N317" s="197" t="n">
        <f aca="false">SUMIF('statutory adj_2026 조정분개'!$S:$S,$D317,'statutory adj_2026 조정분개'!$K:$K)</f>
        <v>0</v>
      </c>
      <c r="O317" s="198" t="n">
        <f aca="false">SUMIF('statutory adj_2026 조정분개'!$S:$S,$D317,'statutory adj_2026 조정분개'!$L:$L)</f>
        <v>0</v>
      </c>
      <c r="P317" s="196" t="n">
        <f aca="false">M317+N317-O317</f>
        <v>41496005</v>
      </c>
      <c r="Q317" s="199" t="n">
        <f aca="false">IFERROR(VLOOKUP(VALUE($D317),BSPL2026!$B:$Q,16,FALSE()),0)</f>
        <v>41848355</v>
      </c>
      <c r="R317" s="200" t="s">
        <v>496</v>
      </c>
      <c r="S317" s="162" t="str">
        <f aca="false">IFERROR(VLOOKUP(VALUE($D317),BSPL2026!$B:$M,12,FALSE()),"")</f>
        <v>지급수수료</v>
      </c>
      <c r="T317" s="162" t="str">
        <f aca="false">IF(OR(S317="",S317=0,LEFT(S317,5)="(원본오류"),"",IF(S317=H317,"","매핑차이"))</f>
        <v/>
      </c>
    </row>
    <row r="318" customFormat="false" ht="16.5" hidden="true" customHeight="false" outlineLevel="0" collapsed="false">
      <c r="D318" s="190" t="s">
        <v>1169</v>
      </c>
      <c r="E318" s="191" t="s">
        <v>1170</v>
      </c>
      <c r="F318" s="192" t="s">
        <v>841</v>
      </c>
      <c r="G318" s="193" t="s">
        <v>912</v>
      </c>
      <c r="H318" s="194" t="s">
        <v>299</v>
      </c>
      <c r="I318" s="195" t="s">
        <v>1170</v>
      </c>
      <c r="J318" s="196" t="n">
        <f aca="false">IFERROR(VLOOKUP(VALUE($D318),BSPL2026!$B:$Z,25,FALSE()),0)</f>
        <v>10500000</v>
      </c>
      <c r="K318" s="197"/>
      <c r="L318" s="198"/>
      <c r="M318" s="196" t="n">
        <f aca="false">J318+K318-L318</f>
        <v>10500000</v>
      </c>
      <c r="N318" s="197" t="n">
        <f aca="false">SUMIF('statutory adj_2026 조정분개'!$S:$S,$D318,'statutory adj_2026 조정분개'!$K:$K)</f>
        <v>0</v>
      </c>
      <c r="O318" s="198" t="n">
        <f aca="false">SUMIF('statutory adj_2026 조정분개'!$S:$S,$D318,'statutory adj_2026 조정분개'!$L:$L)</f>
        <v>0</v>
      </c>
      <c r="P318" s="196" t="n">
        <f aca="false">M318+N318-O318</f>
        <v>10500000</v>
      </c>
      <c r="Q318" s="199" t="n">
        <f aca="false">IFERROR(VLOOKUP(VALUE($D318),BSPL2026!$B:$Q,16,FALSE()),0)</f>
        <v>3500000</v>
      </c>
      <c r="R318" s="200" t="s">
        <v>496</v>
      </c>
      <c r="S318" s="162" t="str">
        <f aca="false">IFERROR(VLOOKUP(VALUE($D318),BSPL2026!$B:$M,12,FALSE()),"")</f>
        <v>지급수수료</v>
      </c>
      <c r="T318" s="162" t="str">
        <f aca="false">IF(OR(S318="",S318=0,LEFT(S318,5)="(원본오류"),"",IF(S318=H318,"","매핑차이"))</f>
        <v/>
      </c>
    </row>
    <row r="319" customFormat="false" ht="16.5" hidden="true" customHeight="false" outlineLevel="0" collapsed="false">
      <c r="D319" s="190" t="s">
        <v>1171</v>
      </c>
      <c r="E319" s="191" t="s">
        <v>1172</v>
      </c>
      <c r="F319" s="192" t="s">
        <v>841</v>
      </c>
      <c r="G319" s="193" t="s">
        <v>912</v>
      </c>
      <c r="H319" s="194" t="s">
        <v>299</v>
      </c>
      <c r="I319" s="195" t="s">
        <v>1172</v>
      </c>
      <c r="J319" s="196" t="n">
        <f aca="false">IFERROR(VLOOKUP(VALUE($D319),BSPL2026!$B:$Z,25,FALSE()),0)</f>
        <v>4675766018</v>
      </c>
      <c r="K319" s="197"/>
      <c r="L319" s="198"/>
      <c r="M319" s="196" t="n">
        <f aca="false">J319+K319-L319</f>
        <v>4675766018</v>
      </c>
      <c r="N319" s="197" t="n">
        <f aca="false">SUMIF('statutory adj_2026 조정분개'!$S:$S,$D319,'statutory adj_2026 조정분개'!$K:$K)</f>
        <v>0</v>
      </c>
      <c r="O319" s="198" t="n">
        <f aca="false">SUMIF('statutory adj_2026 조정분개'!$S:$S,$D319,'statutory adj_2026 조정분개'!$L:$L)</f>
        <v>0</v>
      </c>
      <c r="P319" s="196" t="n">
        <f aca="false">M319+N319-O319</f>
        <v>4675766018</v>
      </c>
      <c r="Q319" s="199" t="n">
        <f aca="false">IFERROR(VLOOKUP(VALUE($D319),BSPL2026!$B:$Q,16,FALSE()),0)</f>
        <v>6734076454</v>
      </c>
      <c r="R319" s="200" t="s">
        <v>496</v>
      </c>
      <c r="S319" s="162" t="str">
        <f aca="false">IFERROR(VLOOKUP(VALUE($D319),BSPL2026!$B:$M,12,FALSE()),"")</f>
        <v>지급수수료</v>
      </c>
      <c r="T319" s="162" t="str">
        <f aca="false">IF(OR(S319="",S319=0,LEFT(S319,5)="(원본오류"),"",IF(S319=H319,"","매핑차이"))</f>
        <v/>
      </c>
    </row>
    <row r="320" customFormat="false" ht="16.5" hidden="true" customHeight="false" outlineLevel="0" collapsed="false">
      <c r="D320" s="190" t="s">
        <v>1173</v>
      </c>
      <c r="E320" s="191" t="s">
        <v>1088</v>
      </c>
      <c r="F320" s="192" t="s">
        <v>841</v>
      </c>
      <c r="G320" s="193" t="s">
        <v>912</v>
      </c>
      <c r="H320" s="194" t="s">
        <v>294</v>
      </c>
      <c r="I320" s="195" t="s">
        <v>1088</v>
      </c>
      <c r="J320" s="196" t="n">
        <f aca="false">IFERROR(VLOOKUP(VALUE($D320),BSPL2026!$B:$Z,25,FALSE()),0)</f>
        <v>16200000</v>
      </c>
      <c r="K320" s="197"/>
      <c r="L320" s="198"/>
      <c r="M320" s="196" t="n">
        <f aca="false">J320+K320-L320</f>
        <v>16200000</v>
      </c>
      <c r="N320" s="197" t="n">
        <f aca="false">SUMIF('statutory adj_2026 조정분개'!$S:$S,$D320,'statutory adj_2026 조정분개'!$K:$K)</f>
        <v>0</v>
      </c>
      <c r="O320" s="198" t="n">
        <f aca="false">SUMIF('statutory adj_2026 조정분개'!$S:$S,$D320,'statutory adj_2026 조정분개'!$L:$L)</f>
        <v>0</v>
      </c>
      <c r="P320" s="196" t="n">
        <f aca="false">M320+N320-O320</f>
        <v>16200000</v>
      </c>
      <c r="Q320" s="199" t="n">
        <f aca="false">IFERROR(VLOOKUP(VALUE($D320),BSPL2026!$B:$Q,16,FALSE()),0)</f>
        <v>125289400</v>
      </c>
      <c r="R320" s="200" t="s">
        <v>496</v>
      </c>
      <c r="S320" s="162" t="str">
        <f aca="false">IFERROR(VLOOKUP(VALUE($D320),BSPL2026!$B:$M,12,FALSE()),"")</f>
        <v>임차료</v>
      </c>
      <c r="T320" s="162" t="str">
        <f aca="false">IF(OR(S320="",S320=0,LEFT(S320,5)="(원본오류"),"",IF(S320=H320,"","매핑차이"))</f>
        <v/>
      </c>
    </row>
    <row r="321" customFormat="false" ht="16.5" hidden="true" customHeight="false" outlineLevel="0" collapsed="false">
      <c r="D321" s="190" t="s">
        <v>1174</v>
      </c>
      <c r="E321" s="191" t="s">
        <v>1175</v>
      </c>
      <c r="F321" s="192" t="s">
        <v>841</v>
      </c>
      <c r="G321" s="193" t="s">
        <v>912</v>
      </c>
      <c r="H321" s="194" t="s">
        <v>309</v>
      </c>
      <c r="I321" s="195" t="s">
        <v>1175</v>
      </c>
      <c r="J321" s="196" t="n">
        <f aca="false">IFERROR(VLOOKUP(VALUE($D321),BSPL2026!$B:$Z,25,FALSE()),0)</f>
        <v>58145311</v>
      </c>
      <c r="K321" s="197"/>
      <c r="L321" s="198"/>
      <c r="M321" s="196" t="n">
        <f aca="false">J321+K321-L321</f>
        <v>58145311</v>
      </c>
      <c r="N321" s="197" t="n">
        <f aca="false">SUMIF('statutory adj_2026 조정분개'!$S:$S,$D321,'statutory adj_2026 조정분개'!$K:$K)</f>
        <v>0</v>
      </c>
      <c r="O321" s="198" t="n">
        <f aca="false">SUMIF('statutory adj_2026 조정분개'!$S:$S,$D321,'statutory adj_2026 조정분개'!$L:$L)</f>
        <v>0</v>
      </c>
      <c r="P321" s="196" t="n">
        <f aca="false">M321+N321-O321</f>
        <v>58145311</v>
      </c>
      <c r="Q321" s="199" t="n">
        <f aca="false">IFERROR(VLOOKUP(VALUE($D321),BSPL2026!$B:$Q,16,FALSE()),0)</f>
        <v>77527081</v>
      </c>
      <c r="R321" s="200" t="s">
        <v>496</v>
      </c>
      <c r="S321" s="162" t="str">
        <f aca="false">IFERROR(VLOOKUP(VALUE($D321),BSPL2026!$B:$M,12,FALSE()),"")</f>
        <v>감가상각비</v>
      </c>
      <c r="T321" s="162" t="str">
        <f aca="false">IF(OR(S321="",S321=0,LEFT(S321,5)="(원본오류"),"",IF(S321=H321,"","매핑차이"))</f>
        <v/>
      </c>
    </row>
    <row r="322" customFormat="false" ht="16.5" hidden="true" customHeight="false" outlineLevel="0" collapsed="false">
      <c r="D322" s="190" t="s">
        <v>1176</v>
      </c>
      <c r="E322" s="191" t="s">
        <v>1177</v>
      </c>
      <c r="F322" s="192" t="s">
        <v>841</v>
      </c>
      <c r="G322" s="193" t="s">
        <v>912</v>
      </c>
      <c r="H322" s="194" t="s">
        <v>309</v>
      </c>
      <c r="I322" s="195" t="s">
        <v>1177</v>
      </c>
      <c r="J322" s="196" t="n">
        <f aca="false">IFERROR(VLOOKUP(VALUE($D322),BSPL2026!$B:$Z,25,FALSE()),0)</f>
        <v>39636593</v>
      </c>
      <c r="K322" s="197"/>
      <c r="L322" s="198"/>
      <c r="M322" s="196" t="n">
        <f aca="false">J322+K322-L322</f>
        <v>39636593</v>
      </c>
      <c r="N322" s="197" t="n">
        <f aca="false">SUMIF('statutory adj_2026 조정분개'!$S:$S,$D322,'statutory adj_2026 조정분개'!$K:$K)</f>
        <v>0</v>
      </c>
      <c r="O322" s="198" t="n">
        <f aca="false">SUMIF('statutory adj_2026 조정분개'!$S:$S,$D322,'statutory adj_2026 조정분개'!$L:$L)</f>
        <v>0</v>
      </c>
      <c r="P322" s="196" t="n">
        <f aca="false">M322+N322-O322</f>
        <v>39636593</v>
      </c>
      <c r="Q322" s="199" t="n">
        <f aca="false">IFERROR(VLOOKUP(VALUE($D322),BSPL2026!$B:$Q,16,FALSE()),0)</f>
        <v>59767139</v>
      </c>
      <c r="R322" s="200" t="s">
        <v>496</v>
      </c>
      <c r="S322" s="162" t="str">
        <f aca="false">IFERROR(VLOOKUP(VALUE($D322),BSPL2026!$B:$M,12,FALSE()),"")</f>
        <v>감가상각비</v>
      </c>
      <c r="T322" s="162" t="str">
        <f aca="false">IF(OR(S322="",S322=0,LEFT(S322,5)="(원본오류"),"",IF(S322=H322,"","매핑차이"))</f>
        <v/>
      </c>
    </row>
    <row r="323" customFormat="false" ht="16.5" hidden="true" customHeight="false" outlineLevel="0" collapsed="false">
      <c r="D323" s="190" t="s">
        <v>1178</v>
      </c>
      <c r="E323" s="191" t="s">
        <v>1179</v>
      </c>
      <c r="F323" s="192" t="s">
        <v>841</v>
      </c>
      <c r="G323" s="193" t="s">
        <v>912</v>
      </c>
      <c r="H323" s="194" t="s">
        <v>309</v>
      </c>
      <c r="I323" s="195" t="s">
        <v>1179</v>
      </c>
      <c r="J323" s="196" t="n">
        <f aca="false">IFERROR(VLOOKUP(VALUE($D323),BSPL2026!$B:$Z,25,FALSE()),0)</f>
        <v>77866274</v>
      </c>
      <c r="K323" s="197"/>
      <c r="L323" s="198"/>
      <c r="M323" s="196" t="n">
        <f aca="false">J323+K323-L323</f>
        <v>77866274</v>
      </c>
      <c r="N323" s="197" t="n">
        <f aca="false">SUMIF('statutory adj_2026 조정분개'!$S:$S,$D323,'statutory adj_2026 조정분개'!$K:$K)</f>
        <v>0</v>
      </c>
      <c r="O323" s="198" t="n">
        <f aca="false">SUMIF('statutory adj_2026 조정분개'!$S:$S,$D323,'statutory adj_2026 조정분개'!$L:$L)</f>
        <v>0</v>
      </c>
      <c r="P323" s="196" t="n">
        <f aca="false">M323+N323-O323</f>
        <v>77866274</v>
      </c>
      <c r="Q323" s="199" t="n">
        <f aca="false">IFERROR(VLOOKUP(VALUE($D323),BSPL2026!$B:$Q,16,FALSE()),0)</f>
        <v>107649104</v>
      </c>
      <c r="R323" s="200" t="s">
        <v>496</v>
      </c>
      <c r="S323" s="162" t="str">
        <f aca="false">IFERROR(VLOOKUP(VALUE($D323),BSPL2026!$B:$M,12,FALSE()),"")</f>
        <v>감가상각비</v>
      </c>
      <c r="T323" s="162" t="str">
        <f aca="false">IF(OR(S323="",S323=0,LEFT(S323,5)="(원본오류"),"",IF(S323=H323,"","매핑차이"))</f>
        <v/>
      </c>
    </row>
    <row r="324" customFormat="false" ht="16.5" hidden="true" customHeight="false" outlineLevel="0" collapsed="false">
      <c r="D324" s="190" t="s">
        <v>1180</v>
      </c>
      <c r="E324" s="191" t="s">
        <v>1181</v>
      </c>
      <c r="F324" s="192" t="s">
        <v>841</v>
      </c>
      <c r="G324" s="193" t="s">
        <v>912</v>
      </c>
      <c r="H324" s="194" t="s">
        <v>309</v>
      </c>
      <c r="I324" s="195" t="s">
        <v>1181</v>
      </c>
      <c r="J324" s="196" t="n">
        <f aca="false">IFERROR(VLOOKUP(VALUE($D324),BSPL2026!$B:$Z,25,FALSE()),0)</f>
        <v>10893752</v>
      </c>
      <c r="K324" s="197"/>
      <c r="L324" s="198"/>
      <c r="M324" s="196" t="n">
        <f aca="false">J324+K324-L324</f>
        <v>10893752</v>
      </c>
      <c r="N324" s="197" t="n">
        <f aca="false">SUMIF('statutory adj_2026 조정분개'!$S:$S,$D324,'statutory adj_2026 조정분개'!$K:$K)</f>
        <v>0</v>
      </c>
      <c r="O324" s="198" t="n">
        <f aca="false">SUMIF('statutory adj_2026 조정분개'!$S:$S,$D324,'statutory adj_2026 조정분개'!$L:$L)</f>
        <v>0</v>
      </c>
      <c r="P324" s="196" t="n">
        <f aca="false">M324+N324-O324</f>
        <v>10893752</v>
      </c>
      <c r="Q324" s="199" t="n">
        <f aca="false">IFERROR(VLOOKUP(VALUE($D324),BSPL2026!$B:$Q,16,FALSE()),0)</f>
        <v>58351890</v>
      </c>
      <c r="R324" s="200" t="s">
        <v>496</v>
      </c>
      <c r="S324" s="162" t="str">
        <f aca="false">IFERROR(VLOOKUP(VALUE($D324),BSPL2026!$B:$M,12,FALSE()),"")</f>
        <v>감가상각비</v>
      </c>
      <c r="T324" s="162" t="str">
        <f aca="false">IF(OR(S324="",S324=0,LEFT(S324,5)="(원본오류"),"",IF(S324=H324,"","매핑차이"))</f>
        <v/>
      </c>
    </row>
    <row r="325" customFormat="false" ht="16.5" hidden="true" customHeight="false" outlineLevel="0" collapsed="false">
      <c r="D325" s="190" t="s">
        <v>1182</v>
      </c>
      <c r="E325" s="191" t="s">
        <v>1183</v>
      </c>
      <c r="F325" s="192" t="s">
        <v>841</v>
      </c>
      <c r="G325" s="193" t="s">
        <v>912</v>
      </c>
      <c r="H325" s="194" t="s">
        <v>309</v>
      </c>
      <c r="I325" s="195" t="s">
        <v>1183</v>
      </c>
      <c r="J325" s="196" t="n">
        <f aca="false">IFERROR(VLOOKUP(VALUE($D325),BSPL2026!$B:$Z,25,FALSE()),0)</f>
        <v>977201082</v>
      </c>
      <c r="K325" s="197"/>
      <c r="L325" s="198"/>
      <c r="M325" s="196" t="n">
        <f aca="false">J325+K325-L325</f>
        <v>977201082</v>
      </c>
      <c r="N325" s="197" t="n">
        <f aca="false">SUMIF('statutory adj_2026 조정분개'!$S:$S,$D325,'statutory adj_2026 조정분개'!$K:$K)</f>
        <v>0</v>
      </c>
      <c r="O325" s="198" t="n">
        <f aca="false">SUMIF('statutory adj_2026 조정분개'!$S:$S,$D325,'statutory adj_2026 조정분개'!$L:$L)</f>
        <v>0</v>
      </c>
      <c r="P325" s="196" t="n">
        <f aca="false">M325+N325-O325</f>
        <v>977201082</v>
      </c>
      <c r="Q325" s="199" t="n">
        <f aca="false">IFERROR(VLOOKUP(VALUE($D325),BSPL2026!$B:$Q,16,FALSE()),0)</f>
        <v>1302934776</v>
      </c>
      <c r="R325" s="200" t="s">
        <v>496</v>
      </c>
      <c r="S325" s="162" t="str">
        <f aca="false">IFERROR(VLOOKUP(VALUE($D325),BSPL2026!$B:$M,12,FALSE()),"")</f>
        <v>감가상각비</v>
      </c>
      <c r="T325" s="162" t="str">
        <f aca="false">IF(OR(S325="",S325=0,LEFT(S325,5)="(원본오류"),"",IF(S325=H325,"","매핑차이"))</f>
        <v/>
      </c>
    </row>
    <row r="326" customFormat="false" ht="16.5" hidden="true" customHeight="false" outlineLevel="0" collapsed="false">
      <c r="D326" s="190" t="s">
        <v>1184</v>
      </c>
      <c r="E326" s="191" t="s">
        <v>1185</v>
      </c>
      <c r="F326" s="192" t="s">
        <v>841</v>
      </c>
      <c r="G326" s="193" t="s">
        <v>912</v>
      </c>
      <c r="H326" s="194" t="s">
        <v>292</v>
      </c>
      <c r="I326" s="195" t="s">
        <v>1185</v>
      </c>
      <c r="J326" s="196" t="n">
        <f aca="false">IFERROR(VLOOKUP(VALUE($D326),BSPL2026!$B:$Z,25,FALSE()),0)</f>
        <v>0</v>
      </c>
      <c r="K326" s="197"/>
      <c r="L326" s="198"/>
      <c r="M326" s="196" t="n">
        <f aca="false">J326+K326-L326</f>
        <v>0</v>
      </c>
      <c r="N326" s="197" t="n">
        <f aca="false">SUMIF('statutory adj_2026 조정분개'!$S:$S,$D326,'statutory adj_2026 조정분개'!$K:$K)</f>
        <v>0</v>
      </c>
      <c r="O326" s="198" t="n">
        <f aca="false">SUMIF('statutory adj_2026 조정분개'!$S:$S,$D326,'statutory adj_2026 조정분개'!$L:$L)</f>
        <v>0</v>
      </c>
      <c r="P326" s="196" t="n">
        <f aca="false">M326+N326-O326</f>
        <v>0</v>
      </c>
      <c r="Q326" s="199" t="n">
        <f aca="false">IFERROR(VLOOKUP(VALUE($D326),BSPL2026!$B:$Q,16,FALSE()),0)</f>
        <v>170869</v>
      </c>
      <c r="R326" s="200" t="s">
        <v>496</v>
      </c>
      <c r="S326" s="162" t="str">
        <f aca="false">IFERROR(VLOOKUP(VALUE($D326),BSPL2026!$B:$M,12,FALSE()),"")</f>
        <v>소모품비</v>
      </c>
      <c r="T326" s="162" t="str">
        <f aca="false">IF(OR(S326="",S326=0,LEFT(S326,5)="(원본오류"),"",IF(S326=H326,"","매핑차이"))</f>
        <v/>
      </c>
    </row>
    <row r="327" customFormat="false" ht="16.5" hidden="true" customHeight="false" outlineLevel="0" collapsed="false">
      <c r="D327" s="190" t="s">
        <v>1186</v>
      </c>
      <c r="E327" s="191" t="s">
        <v>1187</v>
      </c>
      <c r="F327" s="192" t="s">
        <v>841</v>
      </c>
      <c r="G327" s="193" t="s">
        <v>912</v>
      </c>
      <c r="H327" s="194" t="s">
        <v>300</v>
      </c>
      <c r="I327" s="195" t="s">
        <v>1187</v>
      </c>
      <c r="J327" s="196" t="n">
        <f aca="false">IFERROR(VLOOKUP(VALUE($D327),BSPL2026!$B:$Z,25,FALSE()),0)</f>
        <v>175762055</v>
      </c>
      <c r="K327" s="197"/>
      <c r="L327" s="198"/>
      <c r="M327" s="196" t="n">
        <f aca="false">J327+K327-L327</f>
        <v>175762055</v>
      </c>
      <c r="N327" s="197" t="n">
        <f aca="false">SUMIF('statutory adj_2026 조정분개'!$S:$S,$D327,'statutory adj_2026 조정분개'!$K:$K)</f>
        <v>0</v>
      </c>
      <c r="O327" s="198" t="n">
        <f aca="false">SUMIF('statutory adj_2026 조정분개'!$S:$S,$D327,'statutory adj_2026 조정분개'!$L:$L)</f>
        <v>0</v>
      </c>
      <c r="P327" s="196" t="n">
        <f aca="false">M327+N327-O327</f>
        <v>175762055</v>
      </c>
      <c r="Q327" s="199" t="n">
        <f aca="false">IFERROR(VLOOKUP(VALUE($D327),BSPL2026!$B:$Q,16,FALSE()),0)</f>
        <v>231061550</v>
      </c>
      <c r="R327" s="200" t="s">
        <v>496</v>
      </c>
      <c r="S327" s="162" t="str">
        <f aca="false">IFERROR(VLOOKUP(VALUE($D327),BSPL2026!$B:$M,12,FALSE()),"")</f>
        <v>제세공과</v>
      </c>
      <c r="T327" s="162" t="str">
        <f aca="false">IF(OR(S327="",S327=0,LEFT(S327,5)="(원본오류"),"",IF(S327=H327,"","매핑차이"))</f>
        <v/>
      </c>
    </row>
    <row r="328" customFormat="false" ht="16.5" hidden="true" customHeight="false" outlineLevel="0" collapsed="false">
      <c r="D328" s="190" t="s">
        <v>1188</v>
      </c>
      <c r="E328" s="191" t="s">
        <v>1189</v>
      </c>
      <c r="F328" s="192" t="s">
        <v>841</v>
      </c>
      <c r="G328" s="193" t="s">
        <v>912</v>
      </c>
      <c r="H328" s="194" t="s">
        <v>300</v>
      </c>
      <c r="I328" s="195" t="s">
        <v>1189</v>
      </c>
      <c r="J328" s="196" t="n">
        <f aca="false">IFERROR(VLOOKUP(VALUE($D328),BSPL2026!$B:$Z,25,FALSE()),0)</f>
        <v>107562882</v>
      </c>
      <c r="K328" s="197"/>
      <c r="L328" s="198"/>
      <c r="M328" s="196" t="n">
        <f aca="false">J328+K328-L328</f>
        <v>107562882</v>
      </c>
      <c r="N328" s="197" t="n">
        <f aca="false">SUMIF('statutory adj_2026 조정분개'!$S:$S,$D328,'statutory adj_2026 조정분개'!$K:$K)</f>
        <v>0</v>
      </c>
      <c r="O328" s="198" t="n">
        <f aca="false">SUMIF('statutory adj_2026 조정분개'!$S:$S,$D328,'statutory adj_2026 조정분개'!$L:$L)</f>
        <v>0</v>
      </c>
      <c r="P328" s="196" t="n">
        <f aca="false">M328+N328-O328</f>
        <v>107562882</v>
      </c>
      <c r="Q328" s="199" t="n">
        <f aca="false">IFERROR(VLOOKUP(VALUE($D328),BSPL2026!$B:$Q,16,FALSE()),0)</f>
        <v>743728051</v>
      </c>
      <c r="R328" s="200" t="s">
        <v>496</v>
      </c>
      <c r="S328" s="162" t="str">
        <f aca="false">IFERROR(VLOOKUP(VALUE($D328),BSPL2026!$B:$M,12,FALSE()),"")</f>
        <v>제세공과</v>
      </c>
      <c r="T328" s="162" t="str">
        <f aca="false">IF(OR(S328="",S328=0,LEFT(S328,5)="(원본오류"),"",IF(S328=H328,"","매핑차이"))</f>
        <v/>
      </c>
    </row>
    <row r="329" customFormat="false" ht="16.5" hidden="true" customHeight="false" outlineLevel="0" collapsed="false">
      <c r="D329" s="190" t="s">
        <v>1190</v>
      </c>
      <c r="E329" s="191" t="s">
        <v>1191</v>
      </c>
      <c r="F329" s="192" t="s">
        <v>841</v>
      </c>
      <c r="G329" s="193" t="s">
        <v>912</v>
      </c>
      <c r="H329" s="194" t="s">
        <v>299</v>
      </c>
      <c r="I329" s="195" t="s">
        <v>1191</v>
      </c>
      <c r="J329" s="196" t="n">
        <f aca="false">IFERROR(VLOOKUP(VALUE($D329),BSPL2026!$B:$Z,25,FALSE()),0)</f>
        <v>0</v>
      </c>
      <c r="K329" s="197"/>
      <c r="L329" s="198"/>
      <c r="M329" s="196" t="n">
        <f aca="false">J329+K329-L329</f>
        <v>0</v>
      </c>
      <c r="N329" s="197" t="n">
        <f aca="false">SUMIF('statutory adj_2026 조정분개'!$S:$S,$D329,'statutory adj_2026 조정분개'!$K:$K)</f>
        <v>0</v>
      </c>
      <c r="O329" s="198" t="n">
        <f aca="false">SUMIF('statutory adj_2026 조정분개'!$S:$S,$D329,'statutory adj_2026 조정분개'!$L:$L)</f>
        <v>0</v>
      </c>
      <c r="P329" s="196" t="n">
        <f aca="false">M329+N329-O329</f>
        <v>0</v>
      </c>
      <c r="Q329" s="199" t="n">
        <f aca="false">IFERROR(VLOOKUP(VALUE($D329),BSPL2026!$B:$Q,16,FALSE()),0)</f>
        <v>21010805</v>
      </c>
      <c r="R329" s="200" t="s">
        <v>496</v>
      </c>
      <c r="S329" s="162" t="str">
        <f aca="false">IFERROR(VLOOKUP(VALUE($D329),BSPL2026!$B:$M,12,FALSE()),"")</f>
        <v>지급수수료</v>
      </c>
      <c r="T329" s="162" t="str">
        <f aca="false">IF(OR(S329="",S329=0,LEFT(S329,5)="(원본오류"),"",IF(S329=H329,"","매핑차이"))</f>
        <v/>
      </c>
    </row>
    <row r="330" customFormat="false" ht="16.5" hidden="true" customHeight="false" outlineLevel="0" collapsed="false">
      <c r="D330" s="190" t="s">
        <v>1192</v>
      </c>
      <c r="E330" s="191" t="s">
        <v>1193</v>
      </c>
      <c r="F330" s="192" t="s">
        <v>841</v>
      </c>
      <c r="G330" s="193" t="s">
        <v>912</v>
      </c>
      <c r="H330" s="194" t="s">
        <v>299</v>
      </c>
      <c r="I330" s="195" t="s">
        <v>1193</v>
      </c>
      <c r="J330" s="196" t="n">
        <f aca="false">IFERROR(VLOOKUP(VALUE($D330),BSPL2026!$B:$Z,25,FALSE()),0)</f>
        <v>163477826</v>
      </c>
      <c r="K330" s="197"/>
      <c r="L330" s="198"/>
      <c r="M330" s="196" t="n">
        <f aca="false">J330+K330-L330</f>
        <v>163477826</v>
      </c>
      <c r="N330" s="197" t="n">
        <f aca="false">SUMIF('statutory adj_2026 조정분개'!$S:$S,$D330,'statutory adj_2026 조정분개'!$K:$K)</f>
        <v>0</v>
      </c>
      <c r="O330" s="198" t="n">
        <f aca="false">SUMIF('statutory adj_2026 조정분개'!$S:$S,$D330,'statutory adj_2026 조정분개'!$L:$L)</f>
        <v>0</v>
      </c>
      <c r="P330" s="196" t="n">
        <f aca="false">M330+N330-O330</f>
        <v>163477826</v>
      </c>
      <c r="Q330" s="199" t="n">
        <f aca="false">IFERROR(VLOOKUP(VALUE($D330),BSPL2026!$B:$Q,16,FALSE()),0)</f>
        <v>293613717</v>
      </c>
      <c r="R330" s="200" t="s">
        <v>496</v>
      </c>
      <c r="S330" s="162" t="str">
        <f aca="false">IFERROR(VLOOKUP(VALUE($D330),BSPL2026!$B:$M,12,FALSE()),"")</f>
        <v>지급수수료</v>
      </c>
      <c r="T330" s="162" t="str">
        <f aca="false">IF(OR(S330="",S330=0,LEFT(S330,5)="(원본오류"),"",IF(S330=H330,"","매핑차이"))</f>
        <v/>
      </c>
    </row>
    <row r="331" customFormat="false" ht="16.5" hidden="true" customHeight="false" outlineLevel="0" collapsed="false">
      <c r="D331" s="190" t="s">
        <v>1194</v>
      </c>
      <c r="E331" s="191" t="s">
        <v>1195</v>
      </c>
      <c r="F331" s="192" t="s">
        <v>841</v>
      </c>
      <c r="G331" s="193" t="s">
        <v>912</v>
      </c>
      <c r="H331" s="194" t="s">
        <v>279</v>
      </c>
      <c r="I331" s="195" t="s">
        <v>1195</v>
      </c>
      <c r="J331" s="196" t="n">
        <f aca="false">IFERROR(VLOOKUP(VALUE($D331),BSPL2026!$B:$Z,25,FALSE()),0)</f>
        <v>5349677</v>
      </c>
      <c r="K331" s="197"/>
      <c r="L331" s="198"/>
      <c r="M331" s="196" t="n">
        <f aca="false">J331+K331-L331</f>
        <v>5349677</v>
      </c>
      <c r="N331" s="197" t="n">
        <f aca="false">SUMIF('statutory adj_2026 조정분개'!$S:$S,$D331,'statutory adj_2026 조정분개'!$K:$K)</f>
        <v>0</v>
      </c>
      <c r="O331" s="198" t="n">
        <f aca="false">SUMIF('statutory adj_2026 조정분개'!$S:$S,$D331,'statutory adj_2026 조정분개'!$L:$L)</f>
        <v>0</v>
      </c>
      <c r="P331" s="196" t="n">
        <f aca="false">M331+N331-O331</f>
        <v>5349677</v>
      </c>
      <c r="Q331" s="199" t="n">
        <f aca="false">IFERROR(VLOOKUP(VALUE($D331),BSPL2026!$B:$Q,16,FALSE()),0)</f>
        <v>41876887</v>
      </c>
      <c r="R331" s="200" t="s">
        <v>496</v>
      </c>
      <c r="S331" s="162" t="str">
        <f aca="false">IFERROR(VLOOKUP(VALUE($D331),BSPL2026!$B:$M,12,FALSE()),"")</f>
        <v>광고선전비</v>
      </c>
      <c r="T331" s="162" t="str">
        <f aca="false">IF(OR(S331="",S331=0,LEFT(S331,5)="(원본오류"),"",IF(S331=H331,"","매핑차이"))</f>
        <v/>
      </c>
    </row>
    <row r="332" customFormat="false" ht="16.5" hidden="true" customHeight="false" outlineLevel="0" collapsed="false">
      <c r="D332" s="190" t="s">
        <v>1196</v>
      </c>
      <c r="E332" s="191" t="s">
        <v>1197</v>
      </c>
      <c r="F332" s="192" t="s">
        <v>841</v>
      </c>
      <c r="G332" s="193" t="s">
        <v>912</v>
      </c>
      <c r="H332" s="194" t="s">
        <v>279</v>
      </c>
      <c r="I332" s="195" t="s">
        <v>1197</v>
      </c>
      <c r="J332" s="196" t="n">
        <f aca="false">IFERROR(VLOOKUP(VALUE($D332),BSPL2026!$B:$Z,25,FALSE()),0)</f>
        <v>27017806</v>
      </c>
      <c r="K332" s="197"/>
      <c r="L332" s="198"/>
      <c r="M332" s="196" t="n">
        <f aca="false">J332+K332-L332</f>
        <v>27017806</v>
      </c>
      <c r="N332" s="197" t="n">
        <f aca="false">SUMIF('statutory adj_2026 조정분개'!$S:$S,$D332,'statutory adj_2026 조정분개'!$K:$K)</f>
        <v>0</v>
      </c>
      <c r="O332" s="198" t="n">
        <f aca="false">SUMIF('statutory adj_2026 조정분개'!$S:$S,$D332,'statutory adj_2026 조정분개'!$L:$L)</f>
        <v>0</v>
      </c>
      <c r="P332" s="196" t="n">
        <f aca="false">M332+N332-O332</f>
        <v>27017806</v>
      </c>
      <c r="Q332" s="199" t="n">
        <f aca="false">IFERROR(VLOOKUP(VALUE($D332),BSPL2026!$B:$Q,16,FALSE()),0)</f>
        <v>256179360</v>
      </c>
      <c r="R332" s="200" t="s">
        <v>496</v>
      </c>
      <c r="S332" s="162" t="str">
        <f aca="false">IFERROR(VLOOKUP(VALUE($D332),BSPL2026!$B:$M,12,FALSE()),"")</f>
        <v>광고선전비</v>
      </c>
      <c r="T332" s="162" t="str">
        <f aca="false">IF(OR(S332="",S332=0,LEFT(S332,5)="(원본오류"),"",IF(S332=H332,"","매핑차이"))</f>
        <v/>
      </c>
    </row>
    <row r="333" customFormat="false" ht="16.5" hidden="true" customHeight="false" outlineLevel="0" collapsed="false">
      <c r="D333" s="190" t="s">
        <v>459</v>
      </c>
      <c r="E333" s="191" t="s">
        <v>460</v>
      </c>
      <c r="F333" s="192" t="s">
        <v>841</v>
      </c>
      <c r="G333" s="193" t="s">
        <v>912</v>
      </c>
      <c r="H333" s="194" t="s">
        <v>289</v>
      </c>
      <c r="I333" s="195" t="s">
        <v>460</v>
      </c>
      <c r="J333" s="196" t="n">
        <f aca="false">IFERROR(VLOOKUP(VALUE($D333),BSPL2026!$B:$Z,25,FALSE()),0)</f>
        <v>60000000</v>
      </c>
      <c r="K333" s="197"/>
      <c r="L333" s="198"/>
      <c r="M333" s="196" t="n">
        <f aca="false">J333+K333-L333</f>
        <v>60000000</v>
      </c>
      <c r="N333" s="197" t="n">
        <f aca="false">SUMIF('statutory adj_2026 조정분개'!$S:$S,$D333,'statutory adj_2026 조정분개'!$K:$K)</f>
        <v>0</v>
      </c>
      <c r="O333" s="198" t="n">
        <f aca="false">SUMIF('statutory adj_2026 조정분개'!$S:$S,$D333,'statutory adj_2026 조정분개'!$L:$L)</f>
        <v>0</v>
      </c>
      <c r="P333" s="196" t="n">
        <f aca="false">M333+N333-O333</f>
        <v>60000000</v>
      </c>
      <c r="Q333" s="199" t="n">
        <f aca="false">IFERROR(VLOOKUP(VALUE($D333),BSPL2026!$B:$Q,16,FALSE()),0)</f>
        <v>0</v>
      </c>
      <c r="R333" s="200" t="s">
        <v>496</v>
      </c>
      <c r="S333" s="162" t="str">
        <f aca="false">IFERROR(VLOOKUP(VALUE($D333),BSPL2026!$B:$M,12,FALSE()),"")</f>
        <v>복리후생비</v>
      </c>
      <c r="T333" s="162" t="str">
        <f aca="false">IF(OR(S333="",S333=0,LEFT(S333,5)="(원본오류"),"",IF(S333=H333,"","매핑차이"))</f>
        <v/>
      </c>
    </row>
    <row r="334" customFormat="false" ht="16.5" hidden="true" customHeight="false" outlineLevel="0" collapsed="false">
      <c r="D334" s="190" t="s">
        <v>1198</v>
      </c>
      <c r="E334" s="191" t="s">
        <v>1199</v>
      </c>
      <c r="F334" s="192" t="s">
        <v>841</v>
      </c>
      <c r="G334" s="193" t="s">
        <v>912</v>
      </c>
      <c r="H334" s="194" t="s">
        <v>1200</v>
      </c>
      <c r="I334" s="195" t="s">
        <v>1199</v>
      </c>
      <c r="J334" s="196" t="n">
        <f aca="false">IFERROR(VLOOKUP(VALUE($D334),BSPL2026!$B:$Z,25,FALSE()),0)</f>
        <v>0</v>
      </c>
      <c r="K334" s="197"/>
      <c r="L334" s="198"/>
      <c r="M334" s="196" t="n">
        <f aca="false">J334+K334-L334</f>
        <v>0</v>
      </c>
      <c r="N334" s="197" t="n">
        <f aca="false">SUMIF('statutory adj_2026 조정분개'!$S:$S,$D334,'statutory adj_2026 조정분개'!$K:$K)</f>
        <v>0</v>
      </c>
      <c r="O334" s="198" t="n">
        <f aca="false">SUMIF('statutory adj_2026 조정분개'!$S:$S,$D334,'statutory adj_2026 조정분개'!$L:$L)</f>
        <v>0</v>
      </c>
      <c r="P334" s="196" t="n">
        <f aca="false">M334+N334-O334</f>
        <v>0</v>
      </c>
      <c r="Q334" s="199" t="n">
        <f aca="false">IFERROR(VLOOKUP(VALUE($D334),BSPL2026!$B:$Q,16,FALSE()),0)</f>
        <v>-1</v>
      </c>
      <c r="R334" s="200" t="s">
        <v>496</v>
      </c>
      <c r="S334" s="162" t="str">
        <f aca="false">IFERROR(VLOOKUP(VALUE($D334),BSPL2026!$B:$M,12,FALSE()),"")</f>
        <v>판매 및 일반관리비 대체</v>
      </c>
      <c r="T334" s="162" t="str">
        <f aca="false">IF(OR(S334="",S334=0,LEFT(S334,5)="(원본오류"),"",IF(S334=H334,"","매핑차이"))</f>
        <v/>
      </c>
    </row>
    <row r="335" customFormat="false" ht="16.5" hidden="true" customHeight="false" outlineLevel="0" collapsed="false">
      <c r="D335" s="190" t="s">
        <v>1201</v>
      </c>
      <c r="E335" s="191" t="s">
        <v>1202</v>
      </c>
      <c r="F335" s="192" t="s">
        <v>841</v>
      </c>
      <c r="G335" s="193" t="s">
        <v>912</v>
      </c>
      <c r="H335" s="194" t="s">
        <v>323</v>
      </c>
      <c r="I335" s="195" t="s">
        <v>1202</v>
      </c>
      <c r="J335" s="196" t="n">
        <f aca="false">IFERROR(VLOOKUP(VALUE($D335),BSPL2026!$B:$Z,25,FALSE()),0)</f>
        <v>-4124609</v>
      </c>
      <c r="K335" s="197"/>
      <c r="L335" s="198"/>
      <c r="M335" s="196" t="n">
        <f aca="false">J335+K335-L335</f>
        <v>-4124609</v>
      </c>
      <c r="N335" s="197" t="n">
        <f aca="false">SUMIF('statutory adj_2026 조정분개'!$S:$S,$D335,'statutory adj_2026 조정분개'!$K:$K)</f>
        <v>0</v>
      </c>
      <c r="O335" s="198" t="n">
        <f aca="false">SUMIF('statutory adj_2026 조정분개'!$S:$S,$D335,'statutory adj_2026 조정분개'!$L:$L)</f>
        <v>0</v>
      </c>
      <c r="P335" s="196" t="n">
        <f aca="false">M335+N335-O335</f>
        <v>-4124609</v>
      </c>
      <c r="Q335" s="199" t="n">
        <f aca="false">IFERROR(VLOOKUP(VALUE($D335),BSPL2026!$B:$Q,16,FALSE()),0)</f>
        <v>61130717</v>
      </c>
      <c r="R335" s="200" t="s">
        <v>496</v>
      </c>
      <c r="S335" s="162" t="str">
        <f aca="false">IFERROR(VLOOKUP(VALUE($D335),BSPL2026!$B:$M,12,FALSE()),"")</f>
        <v>대손상각비</v>
      </c>
      <c r="T335" s="162" t="str">
        <f aca="false">IF(OR(S335="",S335=0,LEFT(S335,5)="(원본오류"),"",IF(S335=H335,"","매핑차이"))</f>
        <v/>
      </c>
    </row>
    <row r="336" customFormat="false" ht="16.5" hidden="true" customHeight="false" outlineLevel="0" collapsed="false">
      <c r="D336" s="190" t="s">
        <v>1203</v>
      </c>
      <c r="E336" s="191" t="s">
        <v>1204</v>
      </c>
      <c r="F336" s="192" t="s">
        <v>841</v>
      </c>
      <c r="G336" s="193" t="s">
        <v>912</v>
      </c>
      <c r="H336" s="194" t="s">
        <v>282</v>
      </c>
      <c r="I336" s="195" t="s">
        <v>1204</v>
      </c>
      <c r="J336" s="196" t="n">
        <f aca="false">IFERROR(VLOOKUP(VALUE($D336),BSPL2026!$B:$Z,25,FALSE()),0)</f>
        <v>-1371313926</v>
      </c>
      <c r="K336" s="197"/>
      <c r="L336" s="198"/>
      <c r="M336" s="196" t="n">
        <f aca="false">J336+K336-L336</f>
        <v>-1371313926</v>
      </c>
      <c r="N336" s="197" t="n">
        <f aca="false">SUMIF('statutory adj_2026 조정분개'!$S:$S,$D336,'statutory adj_2026 조정분개'!$K:$K)</f>
        <v>0</v>
      </c>
      <c r="O336" s="198" t="n">
        <f aca="false">SUMIF('statutory adj_2026 조정분개'!$S:$S,$D336,'statutory adj_2026 조정분개'!$L:$L)</f>
        <v>0</v>
      </c>
      <c r="P336" s="196" t="n">
        <f aca="false">M336+N336-O336</f>
        <v>-1371313926</v>
      </c>
      <c r="Q336" s="199" t="n">
        <f aca="false">IFERROR(VLOOKUP(VALUE($D336),BSPL2026!$B:$Q,16,FALSE()),0)</f>
        <v>16559672481</v>
      </c>
      <c r="R336" s="200" t="s">
        <v>496</v>
      </c>
      <c r="S336" s="162" t="str">
        <f aca="false">IFERROR(VLOOKUP(VALUE($D336),BSPL2026!$B:$M,12,FALSE()),"")</f>
        <v>급여</v>
      </c>
      <c r="T336" s="162" t="str">
        <f aca="false">IF(OR(S336="",S336=0,LEFT(S336,5)="(원본오류"),"",IF(S336=H336,"","매핑차이"))</f>
        <v/>
      </c>
    </row>
    <row r="337" customFormat="false" ht="16.5" hidden="true" customHeight="false" outlineLevel="0" collapsed="false">
      <c r="D337" s="190" t="s">
        <v>442</v>
      </c>
      <c r="E337" s="191" t="s">
        <v>1205</v>
      </c>
      <c r="F337" s="192" t="s">
        <v>841</v>
      </c>
      <c r="G337" s="193" t="s">
        <v>1140</v>
      </c>
      <c r="H337" s="194" t="s">
        <v>347</v>
      </c>
      <c r="I337" s="195" t="s">
        <v>1205</v>
      </c>
      <c r="J337" s="196" t="n">
        <f aca="false">IFERROR(VLOOKUP(VALUE($D337),BSPL2026!$B:$Z,25,FALSE()),0)</f>
        <v>-790809571</v>
      </c>
      <c r="K337" s="197"/>
      <c r="L337" s="198"/>
      <c r="M337" s="196" t="n">
        <f aca="false">J337+K337-L337</f>
        <v>-790809571</v>
      </c>
      <c r="N337" s="197" t="n">
        <f aca="false">SUMIF('statutory adj_2026 조정분개'!$S:$S,$D337,'statutory adj_2026 조정분개'!$K:$K)</f>
        <v>0</v>
      </c>
      <c r="O337" s="198" t="n">
        <f aca="false">SUMIF('statutory adj_2026 조정분개'!$S:$S,$D337,'statutory adj_2026 조정분개'!$L:$L)</f>
        <v>0</v>
      </c>
      <c r="P337" s="196" t="n">
        <f aca="false">M337+N337-O337</f>
        <v>-790809571</v>
      </c>
      <c r="Q337" s="199" t="n">
        <f aca="false">IFERROR(VLOOKUP(VALUE($D337),BSPL2026!$B:$Q,16,FALSE()),0)</f>
        <v>-1553195901</v>
      </c>
      <c r="R337" s="200" t="s">
        <v>496</v>
      </c>
      <c r="S337" s="162" t="str">
        <f aca="false">IFERROR(VLOOKUP(VALUE($D337),BSPL2026!$B:$M,12,FALSE()),"")</f>
        <v>외환차손</v>
      </c>
      <c r="T337" s="162" t="str">
        <f aca="false">IF(OR(S337="",S337=0,LEFT(S337,5)="(원본오류"),"",IF(S337=H337,"","매핑차이"))</f>
        <v/>
      </c>
    </row>
    <row r="338" customFormat="false" ht="16.5" hidden="true" customHeight="false" outlineLevel="0" collapsed="false">
      <c r="D338" s="190" t="s">
        <v>1206</v>
      </c>
      <c r="E338" s="191" t="s">
        <v>1207</v>
      </c>
      <c r="F338" s="192" t="s">
        <v>841</v>
      </c>
      <c r="G338" s="193" t="s">
        <v>1140</v>
      </c>
      <c r="H338" s="194" t="s">
        <v>347</v>
      </c>
      <c r="I338" s="195" t="s">
        <v>1207</v>
      </c>
      <c r="J338" s="196" t="n">
        <f aca="false">IFERROR(VLOOKUP(VALUE($D338),BSPL2026!$B:$Z,25,FALSE()),0)</f>
        <v>753374323</v>
      </c>
      <c r="K338" s="197"/>
      <c r="L338" s="198"/>
      <c r="M338" s="196" t="n">
        <f aca="false">J338+K338-L338</f>
        <v>753374323</v>
      </c>
      <c r="N338" s="197" t="n">
        <f aca="false">SUMIF('statutory adj_2026 조정분개'!$S:$S,$D338,'statutory adj_2026 조정분개'!$K:$K)</f>
        <v>0</v>
      </c>
      <c r="O338" s="198" t="n">
        <f aca="false">SUMIF('statutory adj_2026 조정분개'!$S:$S,$D338,'statutory adj_2026 조정분개'!$L:$L)</f>
        <v>0</v>
      </c>
      <c r="P338" s="196" t="n">
        <f aca="false">M338+N338-O338</f>
        <v>753374323</v>
      </c>
      <c r="Q338" s="199" t="n">
        <f aca="false">IFERROR(VLOOKUP(VALUE($D338),BSPL2026!$B:$Q,16,FALSE()),0)</f>
        <v>1586782452</v>
      </c>
      <c r="R338" s="200" t="s">
        <v>496</v>
      </c>
      <c r="S338" s="162" t="str">
        <f aca="false">IFERROR(VLOOKUP(VALUE($D338),BSPL2026!$B:$M,12,FALSE()),"")</f>
        <v>외환차손</v>
      </c>
      <c r="T338" s="162" t="str">
        <f aca="false">IF(OR(S338="",S338=0,LEFT(S338,5)="(원본오류"),"",IF(S338=H338,"","매핑차이"))</f>
        <v/>
      </c>
    </row>
    <row r="339" customFormat="false" ht="16.5" hidden="true" customHeight="false" outlineLevel="0" collapsed="false">
      <c r="D339" s="190" t="s">
        <v>1208</v>
      </c>
      <c r="E339" s="191" t="s">
        <v>1209</v>
      </c>
      <c r="F339" s="192" t="s">
        <v>841</v>
      </c>
      <c r="G339" s="193" t="s">
        <v>920</v>
      </c>
      <c r="H339" s="194" t="s">
        <v>331</v>
      </c>
      <c r="I339" s="195" t="s">
        <v>1209</v>
      </c>
      <c r="J339" s="196" t="n">
        <f aca="false">IFERROR(VLOOKUP(VALUE($D339),BSPL2026!$B:$Z,25,FALSE()),0)</f>
        <v>-123101784</v>
      </c>
      <c r="K339" s="197"/>
      <c r="L339" s="198"/>
      <c r="M339" s="196" t="n">
        <f aca="false">J339+K339-L339</f>
        <v>-123101784</v>
      </c>
      <c r="N339" s="197" t="n">
        <f aca="false">SUMIF('statutory adj_2026 조정분개'!$S:$S,$D339,'statutory adj_2026 조정분개'!$K:$K)</f>
        <v>0</v>
      </c>
      <c r="O339" s="198" t="n">
        <f aca="false">SUMIF('statutory adj_2026 조정분개'!$S:$S,$D339,'statutory adj_2026 조정분개'!$L:$L)</f>
        <v>0</v>
      </c>
      <c r="P339" s="196" t="n">
        <f aca="false">M339+N339-O339</f>
        <v>-123101784</v>
      </c>
      <c r="Q339" s="199" t="n">
        <f aca="false">IFERROR(VLOOKUP(VALUE($D339),BSPL2026!$B:$Q,16,FALSE()),0)</f>
        <v>-857198</v>
      </c>
      <c r="R339" s="200" t="s">
        <v>496</v>
      </c>
      <c r="S339" s="162" t="str">
        <f aca="false">IFERROR(VLOOKUP(VALUE($D339),BSPL2026!$B:$M,12,FALSE()),"")</f>
        <v>외화환산이익</v>
      </c>
      <c r="T339" s="162" t="str">
        <f aca="false">IF(OR(S339="",S339=0,LEFT(S339,5)="(원본오류"),"",IF(S339=H339,"","매핑차이"))</f>
        <v/>
      </c>
    </row>
    <row r="340" customFormat="false" ht="16.5" hidden="true" customHeight="false" outlineLevel="0" collapsed="false">
      <c r="D340" s="190" t="s">
        <v>446</v>
      </c>
      <c r="E340" s="191" t="s">
        <v>447</v>
      </c>
      <c r="F340" s="192" t="s">
        <v>841</v>
      </c>
      <c r="G340" s="193" t="s">
        <v>920</v>
      </c>
      <c r="H340" s="194" t="s">
        <v>331</v>
      </c>
      <c r="I340" s="195" t="s">
        <v>447</v>
      </c>
      <c r="J340" s="196" t="n">
        <f aca="false">IFERROR(VLOOKUP(VALUE($D340),BSPL2026!$B:$Z,25,FALSE()),0)</f>
        <v>-679352</v>
      </c>
      <c r="K340" s="197"/>
      <c r="L340" s="198"/>
      <c r="M340" s="196" t="n">
        <f aca="false">J340+K340-L340</f>
        <v>-679352</v>
      </c>
      <c r="N340" s="197" t="n">
        <f aca="false">SUMIF('statutory adj_2026 조정분개'!$S:$S,$D340,'statutory adj_2026 조정분개'!$K:$K)</f>
        <v>0</v>
      </c>
      <c r="O340" s="198" t="n">
        <f aca="false">SUMIF('statutory adj_2026 조정분개'!$S:$S,$D340,'statutory adj_2026 조정분개'!$L:$L)</f>
        <v>0</v>
      </c>
      <c r="P340" s="196" t="n">
        <f aca="false">M340+N340-O340</f>
        <v>-679352</v>
      </c>
      <c r="Q340" s="199" t="n">
        <f aca="false">IFERROR(VLOOKUP(VALUE($D340),BSPL2026!$B:$Q,16,FALSE()),0)</f>
        <v>-23624342</v>
      </c>
      <c r="R340" s="200" t="s">
        <v>496</v>
      </c>
      <c r="S340" s="162" t="str">
        <f aca="false">IFERROR(VLOOKUP(VALUE($D340),BSPL2026!$B:$M,12,FALSE()),"")</f>
        <v>외화환산이익</v>
      </c>
      <c r="T340" s="162" t="str">
        <f aca="false">IF(OR(S340="",S340=0,LEFT(S340,5)="(원본오류"),"",IF(S340=H340,"","매핑차이"))</f>
        <v/>
      </c>
    </row>
    <row r="341" customFormat="false" ht="16.5" hidden="true" customHeight="false" outlineLevel="0" collapsed="false">
      <c r="D341" s="190" t="s">
        <v>1210</v>
      </c>
      <c r="E341" s="191" t="s">
        <v>1211</v>
      </c>
      <c r="F341" s="192" t="s">
        <v>841</v>
      </c>
      <c r="G341" s="193" t="s">
        <v>920</v>
      </c>
      <c r="H341" s="194" t="s">
        <v>339</v>
      </c>
      <c r="I341" s="195" t="s">
        <v>1211</v>
      </c>
      <c r="J341" s="196" t="n">
        <f aca="false">IFERROR(VLOOKUP(VALUE($D341),BSPL2026!$B:$Z,25,FALSE()),0)</f>
        <v>-26447153</v>
      </c>
      <c r="K341" s="197"/>
      <c r="L341" s="198"/>
      <c r="M341" s="196" t="n">
        <f aca="false">J341+K341-L341</f>
        <v>-26447153</v>
      </c>
      <c r="N341" s="197" t="n">
        <f aca="false">SUMIF('statutory adj_2026 조정분개'!$S:$S,$D341,'statutory adj_2026 조정분개'!$K:$K)</f>
        <v>0</v>
      </c>
      <c r="O341" s="198" t="n">
        <f aca="false">SUMIF('statutory adj_2026 조정분개'!$S:$S,$D341,'statutory adj_2026 조정분개'!$L:$L)</f>
        <v>0</v>
      </c>
      <c r="P341" s="196" t="n">
        <f aca="false">M341+N341-O341</f>
        <v>-26447153</v>
      </c>
      <c r="Q341" s="199" t="n">
        <f aca="false">IFERROR(VLOOKUP(VALUE($D341),BSPL2026!$B:$Q,16,FALSE()),0)</f>
        <v>-24103072</v>
      </c>
      <c r="R341" s="200" t="s">
        <v>496</v>
      </c>
      <c r="S341" s="162" t="str">
        <f aca="false">IFERROR(VLOOKUP(VALUE($D341),BSPL2026!$B:$M,12,FALSE()),"")</f>
        <v>잡이익</v>
      </c>
      <c r="T341" s="162" t="str">
        <f aca="false">IF(OR(S341="",S341=0,LEFT(S341,5)="(원본오류"),"",IF(S341=H341,"","매핑차이"))</f>
        <v/>
      </c>
    </row>
    <row r="342" customFormat="false" ht="16.5" hidden="true" customHeight="false" outlineLevel="0" collapsed="false">
      <c r="D342" s="190" t="s">
        <v>1212</v>
      </c>
      <c r="E342" s="191" t="s">
        <v>1213</v>
      </c>
      <c r="F342" s="192" t="s">
        <v>841</v>
      </c>
      <c r="G342" s="193" t="s">
        <v>920</v>
      </c>
      <c r="H342" s="194" t="s">
        <v>339</v>
      </c>
      <c r="I342" s="195" t="s">
        <v>1213</v>
      </c>
      <c r="J342" s="196" t="n">
        <f aca="false">IFERROR(VLOOKUP(VALUE($D342),BSPL2026!$B:$Z,25,FALSE()),0)</f>
        <v>-23051800562</v>
      </c>
      <c r="K342" s="197"/>
      <c r="L342" s="198"/>
      <c r="M342" s="196" t="n">
        <f aca="false">J342+K342-L342</f>
        <v>-23051800562</v>
      </c>
      <c r="N342" s="197" t="n">
        <f aca="false">SUMIF('statutory adj_2026 조정분개'!$S:$S,$D342,'statutory adj_2026 조정분개'!$K:$K)</f>
        <v>20794942446</v>
      </c>
      <c r="O342" s="198" t="n">
        <f aca="false">SUMIF('statutory adj_2026 조정분개'!$S:$S,$D342,'statutory adj_2026 조정분개'!$L:$L)</f>
        <v>0</v>
      </c>
      <c r="P342" s="196" t="n">
        <f aca="false">M342+N342-O342</f>
        <v>-2256858116</v>
      </c>
      <c r="Q342" s="199" t="n">
        <f aca="false">IFERROR(VLOOKUP(VALUE($D342),BSPL2026!$B:$Q,16,FALSE()),0)</f>
        <v>-21567260515</v>
      </c>
      <c r="R342" s="200" t="s">
        <v>496</v>
      </c>
      <c r="S342" s="162" t="str">
        <f aca="false">IFERROR(VLOOKUP(VALUE($D342),BSPL2026!$B:$M,12,FALSE()),"")</f>
        <v>잡이익</v>
      </c>
      <c r="T342" s="162" t="str">
        <f aca="false">IF(OR(S342="",S342=0,LEFT(S342,5)="(원본오류"),"",IF(S342=H342,"","매핑차이"))</f>
        <v/>
      </c>
    </row>
    <row r="343" customFormat="false" ht="16.5" hidden="true" customHeight="false" outlineLevel="0" collapsed="false">
      <c r="D343" s="190" t="s">
        <v>1214</v>
      </c>
      <c r="E343" s="191" t="s">
        <v>1215</v>
      </c>
      <c r="F343" s="192" t="s">
        <v>841</v>
      </c>
      <c r="G343" s="193" t="s">
        <v>920</v>
      </c>
      <c r="H343" s="194" t="s">
        <v>339</v>
      </c>
      <c r="I343" s="195" t="s">
        <v>1215</v>
      </c>
      <c r="J343" s="196" t="n">
        <f aca="false">IFERROR(VLOOKUP(VALUE($D343),BSPL2026!$B:$Z,25,FALSE()),0)</f>
        <v>-1087765</v>
      </c>
      <c r="K343" s="197"/>
      <c r="L343" s="198"/>
      <c r="M343" s="196" t="n">
        <f aca="false">J343+K343-L343</f>
        <v>-1087765</v>
      </c>
      <c r="N343" s="197" t="n">
        <f aca="false">SUMIF('statutory adj_2026 조정분개'!$S:$S,$D343,'statutory adj_2026 조정분개'!$K:$K)</f>
        <v>0</v>
      </c>
      <c r="O343" s="198" t="n">
        <f aca="false">SUMIF('statutory adj_2026 조정분개'!$S:$S,$D343,'statutory adj_2026 조정분개'!$L:$L)</f>
        <v>0</v>
      </c>
      <c r="P343" s="196" t="n">
        <f aca="false">M343+N343-O343</f>
        <v>-1087765</v>
      </c>
      <c r="Q343" s="199" t="n">
        <f aca="false">IFERROR(VLOOKUP(VALUE($D343),BSPL2026!$B:$Q,16,FALSE()),0)</f>
        <v>-8894303668</v>
      </c>
      <c r="R343" s="200" t="s">
        <v>496</v>
      </c>
      <c r="S343" s="162" t="str">
        <f aca="false">IFERROR(VLOOKUP(VALUE($D343),BSPL2026!$B:$M,12,FALSE()),"")</f>
        <v>잡이익</v>
      </c>
      <c r="T343" s="162" t="str">
        <f aca="false">IF(OR(S343="",S343=0,LEFT(S343,5)="(원본오류"),"",IF(S343=H343,"","매핑차이"))</f>
        <v/>
      </c>
    </row>
    <row r="344" customFormat="false" ht="16.5" hidden="true" customHeight="false" outlineLevel="0" collapsed="false">
      <c r="D344" s="190" t="s">
        <v>1216</v>
      </c>
      <c r="E344" s="191" t="s">
        <v>1217</v>
      </c>
      <c r="F344" s="192" t="s">
        <v>841</v>
      </c>
      <c r="G344" s="193" t="s">
        <v>1140</v>
      </c>
      <c r="H344" s="194" t="s">
        <v>360</v>
      </c>
      <c r="I344" s="195" t="s">
        <v>1217</v>
      </c>
      <c r="J344" s="196" t="n">
        <f aca="false">IFERROR(VLOOKUP(VALUE($D344),BSPL2026!$B:$Z,25,FALSE()),0)</f>
        <v>30208</v>
      </c>
      <c r="K344" s="197"/>
      <c r="L344" s="198"/>
      <c r="M344" s="196" t="n">
        <f aca="false">J344+K344-L344</f>
        <v>30208</v>
      </c>
      <c r="N344" s="197" t="n">
        <f aca="false">SUMIF('statutory adj_2026 조정분개'!$S:$S,$D344,'statutory adj_2026 조정분개'!$K:$K)</f>
        <v>0</v>
      </c>
      <c r="O344" s="198" t="n">
        <f aca="false">SUMIF('statutory adj_2026 조정분개'!$S:$S,$D344,'statutory adj_2026 조정분개'!$L:$L)</f>
        <v>0</v>
      </c>
      <c r="P344" s="196" t="n">
        <f aca="false">M344+N344-O344</f>
        <v>30208</v>
      </c>
      <c r="Q344" s="199" t="n">
        <f aca="false">IFERROR(VLOOKUP(VALUE($D344),BSPL2026!$B:$Q,16,FALSE()),0)</f>
        <v>11910</v>
      </c>
      <c r="R344" s="200" t="s">
        <v>496</v>
      </c>
      <c r="S344" s="162" t="str">
        <f aca="false">IFERROR(VLOOKUP(VALUE($D344),BSPL2026!$B:$M,12,FALSE()),"")</f>
        <v>잡손실</v>
      </c>
      <c r="T344" s="162" t="str">
        <f aca="false">IF(OR(S344="",S344=0,LEFT(S344,5)="(원본오류"),"",IF(S344=H344,"","매핑차이"))</f>
        <v/>
      </c>
    </row>
    <row r="345" customFormat="false" ht="16.5" hidden="true" customHeight="false" outlineLevel="0" collapsed="false">
      <c r="D345" s="190" t="s">
        <v>1218</v>
      </c>
      <c r="E345" s="191" t="s">
        <v>1219</v>
      </c>
      <c r="F345" s="192" t="s">
        <v>841</v>
      </c>
      <c r="G345" s="193" t="s">
        <v>912</v>
      </c>
      <c r="H345" s="194" t="s">
        <v>299</v>
      </c>
      <c r="I345" s="195" t="s">
        <v>1219</v>
      </c>
      <c r="J345" s="196" t="n">
        <f aca="false">IFERROR(VLOOKUP(VALUE($D345),BSPL2026!$B:$Z,25,FALSE()),0)</f>
        <v>992515326</v>
      </c>
      <c r="K345" s="197"/>
      <c r="L345" s="198"/>
      <c r="M345" s="196" t="n">
        <f aca="false">J345+K345-L345</f>
        <v>992515326</v>
      </c>
      <c r="N345" s="197" t="n">
        <f aca="false">SUMIF('statutory adj_2026 조정분개'!$S:$S,$D345,'statutory adj_2026 조정분개'!$K:$K)</f>
        <v>0</v>
      </c>
      <c r="O345" s="198" t="n">
        <f aca="false">SUMIF('statutory adj_2026 조정분개'!$S:$S,$D345,'statutory adj_2026 조정분개'!$L:$L)</f>
        <v>0</v>
      </c>
      <c r="P345" s="196" t="n">
        <f aca="false">M345+N345-O345</f>
        <v>992515326</v>
      </c>
      <c r="Q345" s="199" t="n">
        <f aca="false">IFERROR(VLOOKUP(VALUE($D345),BSPL2026!$B:$Q,16,FALSE()),0)</f>
        <v>692328511</v>
      </c>
      <c r="R345" s="200" t="s">
        <v>496</v>
      </c>
      <c r="S345" s="162" t="str">
        <f aca="false">IFERROR(VLOOKUP(VALUE($D345),BSPL2026!$B:$M,12,FALSE()),"")</f>
        <v>지급수수료</v>
      </c>
      <c r="T345" s="162" t="str">
        <f aca="false">IF(OR(S345="",S345=0,LEFT(S345,5)="(원본오류"),"",IF(S345=H345,"","매핑차이"))</f>
        <v/>
      </c>
    </row>
    <row r="346" customFormat="false" ht="16.5" hidden="true" customHeight="false" outlineLevel="0" collapsed="false">
      <c r="D346" s="190" t="s">
        <v>1220</v>
      </c>
      <c r="E346" s="191" t="s">
        <v>1221</v>
      </c>
      <c r="F346" s="192" t="s">
        <v>841</v>
      </c>
      <c r="G346" s="193" t="s">
        <v>1140</v>
      </c>
      <c r="H346" s="194" t="s">
        <v>360</v>
      </c>
      <c r="I346" s="195" t="s">
        <v>1221</v>
      </c>
      <c r="J346" s="196" t="n">
        <f aca="false">IFERROR(VLOOKUP(VALUE($D346),BSPL2026!$B:$Z,25,FALSE()),0)</f>
        <v>0</v>
      </c>
      <c r="K346" s="197"/>
      <c r="L346" s="198"/>
      <c r="M346" s="196" t="n">
        <f aca="false">J346+K346-L346</f>
        <v>0</v>
      </c>
      <c r="N346" s="197" t="n">
        <f aca="false">SUMIF('statutory adj_2026 조정분개'!$S:$S,$D346,'statutory adj_2026 조정분개'!$K:$K)</f>
        <v>0</v>
      </c>
      <c r="O346" s="198" t="n">
        <f aca="false">SUMIF('statutory adj_2026 조정분개'!$S:$S,$D346,'statutory adj_2026 조정분개'!$L:$L)</f>
        <v>0</v>
      </c>
      <c r="P346" s="196" t="n">
        <f aca="false">M346+N346-O346</f>
        <v>0</v>
      </c>
      <c r="Q346" s="199" t="n">
        <f aca="false">IFERROR(VLOOKUP(VALUE($D346),BSPL2026!$B:$Q,16,FALSE()),0)</f>
        <v>0</v>
      </c>
      <c r="R346" s="200" t="s">
        <v>496</v>
      </c>
      <c r="S346" s="162" t="str">
        <f aca="false">IFERROR(VLOOKUP(VALUE($D346),BSPL2026!$B:$M,12,FALSE()),"")</f>
        <v>잡손실</v>
      </c>
      <c r="T346" s="162" t="str">
        <f aca="false">IF(OR(S346="",S346=0,LEFT(S346,5)="(원본오류"),"",IF(S346=H346,"","매핑차이"))</f>
        <v/>
      </c>
    </row>
    <row r="347" customFormat="false" ht="16.5" hidden="true" customHeight="false" outlineLevel="0" collapsed="false">
      <c r="D347" s="190" t="s">
        <v>1222</v>
      </c>
      <c r="E347" s="191" t="s">
        <v>1223</v>
      </c>
      <c r="F347" s="192" t="s">
        <v>841</v>
      </c>
      <c r="G347" s="193" t="s">
        <v>1140</v>
      </c>
      <c r="H347" s="194" t="s">
        <v>360</v>
      </c>
      <c r="I347" s="195" t="s">
        <v>1223</v>
      </c>
      <c r="J347" s="196" t="n">
        <f aca="false">IFERROR(VLOOKUP(VALUE($D347),BSPL2026!$B:$Z,25,FALSE()),0)</f>
        <v>-2615663000</v>
      </c>
      <c r="K347" s="197"/>
      <c r="L347" s="198"/>
      <c r="M347" s="196" t="n">
        <f aca="false">J347+K347-L347</f>
        <v>-2615663000</v>
      </c>
      <c r="N347" s="197" t="n">
        <f aca="false">SUMIF('statutory adj_2026 조정분개'!$S:$S,$D347,'statutory adj_2026 조정분개'!$K:$K)</f>
        <v>0</v>
      </c>
      <c r="O347" s="198" t="n">
        <f aca="false">SUMIF('statutory adj_2026 조정분개'!$S:$S,$D347,'statutory adj_2026 조정분개'!$L:$L)</f>
        <v>0</v>
      </c>
      <c r="P347" s="196" t="n">
        <f aca="false">M347+N347-O347</f>
        <v>-2615663000</v>
      </c>
      <c r="Q347" s="199" t="n">
        <f aca="false">IFERROR(VLOOKUP(VALUE($D347),BSPL2026!$B:$Q,16,FALSE()),0)</f>
        <v>0</v>
      </c>
      <c r="R347" s="200" t="s">
        <v>496</v>
      </c>
      <c r="S347" s="162" t="str">
        <f aca="false">IFERROR(VLOOKUP(VALUE($D347),BSPL2026!$B:$M,12,FALSE()),"")</f>
        <v>잡손실</v>
      </c>
      <c r="T347" s="162" t="str">
        <f aca="false">IF(OR(S347="",S347=0,LEFT(S347,5)="(원본오류"),"",IF(S347=H347,"","매핑차이"))</f>
        <v/>
      </c>
    </row>
    <row r="348" customFormat="false" ht="16.5" hidden="true" customHeight="false" outlineLevel="0" collapsed="false">
      <c r="D348" s="190" t="s">
        <v>1224</v>
      </c>
      <c r="E348" s="191" t="s">
        <v>1225</v>
      </c>
      <c r="F348" s="192" t="s">
        <v>841</v>
      </c>
      <c r="G348" s="193" t="s">
        <v>1140</v>
      </c>
      <c r="H348" s="194" t="s">
        <v>360</v>
      </c>
      <c r="I348" s="195" t="s">
        <v>1226</v>
      </c>
      <c r="J348" s="196" t="n">
        <f aca="false">IFERROR(VLOOKUP(VALUE($D348),BSPL2026!$B:$Z,25,FALSE()),0)</f>
        <v>3023706000</v>
      </c>
      <c r="K348" s="197"/>
      <c r="L348" s="198"/>
      <c r="M348" s="196" t="n">
        <f aca="false">J348+K348-L348</f>
        <v>3023706000</v>
      </c>
      <c r="N348" s="197" t="n">
        <f aca="false">SUMIF('statutory adj_2026 조정분개'!$S:$S,$D348,'statutory adj_2026 조정분개'!$K:$K)</f>
        <v>0</v>
      </c>
      <c r="O348" s="198" t="n">
        <f aca="false">SUMIF('statutory adj_2026 조정분개'!$S:$S,$D348,'statutory adj_2026 조정분개'!$L:$L)</f>
        <v>0</v>
      </c>
      <c r="P348" s="196" t="n">
        <f aca="false">M348+N348-O348</f>
        <v>3023706000</v>
      </c>
      <c r="Q348" s="199" t="n">
        <f aca="false">IFERROR(VLOOKUP(VALUE($D348),BSPL2026!$B:$Q,16,FALSE()),0)</f>
        <v>-2207843000</v>
      </c>
      <c r="R348" s="200" t="s">
        <v>496</v>
      </c>
      <c r="S348" s="162" t="str">
        <f aca="false">IFERROR(VLOOKUP(VALUE($D348),BSPL2026!$B:$M,12,FALSE()),"")</f>
        <v>잡손실</v>
      </c>
      <c r="T348" s="162" t="str">
        <f aca="false">IF(OR(S348="",S348=0,LEFT(S348,5)="(원본오류"),"",IF(S348=H348,"","매핑차이"))</f>
        <v/>
      </c>
    </row>
    <row r="349" customFormat="false" ht="16.5" hidden="true" customHeight="false" outlineLevel="0" collapsed="false">
      <c r="D349" s="190" t="s">
        <v>1227</v>
      </c>
      <c r="E349" s="191" t="s">
        <v>1228</v>
      </c>
      <c r="F349" s="192" t="s">
        <v>841</v>
      </c>
      <c r="G349" s="193" t="s">
        <v>912</v>
      </c>
      <c r="H349" s="194" t="s">
        <v>299</v>
      </c>
      <c r="I349" s="195" t="s">
        <v>1228</v>
      </c>
      <c r="J349" s="196" t="n">
        <f aca="false">IFERROR(VLOOKUP(VALUE($D349),BSPL2026!$B:$Z,25,FALSE()),0)</f>
        <v>1443862856</v>
      </c>
      <c r="K349" s="197"/>
      <c r="L349" s="198"/>
      <c r="M349" s="196" t="n">
        <f aca="false">J349+K349-L349</f>
        <v>1443862856</v>
      </c>
      <c r="N349" s="197" t="n">
        <f aca="false">SUMIF('statutory adj_2026 조정분개'!$S:$S,$D349,'statutory adj_2026 조정분개'!$K:$K)</f>
        <v>0</v>
      </c>
      <c r="O349" s="198" t="n">
        <f aca="false">SUMIF('statutory adj_2026 조정분개'!$S:$S,$D349,'statutory adj_2026 조정분개'!$L:$L)</f>
        <v>0</v>
      </c>
      <c r="P349" s="196" t="n">
        <f aca="false">M349+N349-O349</f>
        <v>1443862856</v>
      </c>
      <c r="Q349" s="199" t="n">
        <f aca="false">IFERROR(VLOOKUP(VALUE($D349),BSPL2026!$B:$Q,16,FALSE()),0)</f>
        <v>2686373320</v>
      </c>
      <c r="R349" s="200" t="s">
        <v>496</v>
      </c>
      <c r="S349" s="162" t="str">
        <f aca="false">IFERROR(VLOOKUP(VALUE($D349),BSPL2026!$B:$M,12,FALSE()),"")</f>
        <v>지급수수료</v>
      </c>
      <c r="T349" s="162" t="str">
        <f aca="false">IF(OR(S349="",S349=0,LEFT(S349,5)="(원본오류"),"",IF(S349=H349,"","매핑차이"))</f>
        <v/>
      </c>
    </row>
    <row r="350" customFormat="false" ht="16.5" hidden="true" customHeight="false" outlineLevel="0" collapsed="false">
      <c r="D350" s="190" t="s">
        <v>1229</v>
      </c>
      <c r="E350" s="191" t="s">
        <v>1230</v>
      </c>
      <c r="F350" s="192" t="s">
        <v>841</v>
      </c>
      <c r="G350" s="193" t="s">
        <v>1140</v>
      </c>
      <c r="H350" s="194" t="s">
        <v>345</v>
      </c>
      <c r="I350" s="195" t="s">
        <v>1230</v>
      </c>
      <c r="J350" s="196" t="n">
        <f aca="false">IFERROR(VLOOKUP(VALUE($D350),BSPL2026!$B:$Z,25,FALSE()),0)</f>
        <v>143028569</v>
      </c>
      <c r="K350" s="197"/>
      <c r="L350" s="198"/>
      <c r="M350" s="196" t="n">
        <f aca="false">J350+K350-L350</f>
        <v>143028569</v>
      </c>
      <c r="N350" s="197" t="n">
        <f aca="false">SUMIF('statutory adj_2026 조정분개'!$S:$S,$D350,'statutory adj_2026 조정분개'!$K:$K)</f>
        <v>0</v>
      </c>
      <c r="O350" s="198" t="n">
        <f aca="false">SUMIF('statutory adj_2026 조정분개'!$S:$S,$D350,'statutory adj_2026 조정분개'!$L:$L)</f>
        <v>0</v>
      </c>
      <c r="P350" s="196" t="n">
        <f aca="false">M350+N350-O350</f>
        <v>143028569</v>
      </c>
      <c r="Q350" s="199" t="n">
        <f aca="false">IFERROR(VLOOKUP(VALUE($D350),BSPL2026!$B:$Q,16,FALSE()),0)</f>
        <v>78151752</v>
      </c>
      <c r="R350" s="200" t="s">
        <v>496</v>
      </c>
      <c r="S350" s="162" t="str">
        <f aca="false">IFERROR(VLOOKUP(VALUE($D350),BSPL2026!$B:$M,12,FALSE()),"")</f>
        <v>이자비용</v>
      </c>
      <c r="T350" s="162" t="str">
        <f aca="false">IF(OR(S350="",S350=0,LEFT(S350,5)="(원본오류"),"",IF(S350=H350,"","매핑차이"))</f>
        <v/>
      </c>
    </row>
    <row r="351" customFormat="false" ht="16.5" hidden="true" customHeight="false" outlineLevel="0" collapsed="false">
      <c r="D351" s="190" t="s">
        <v>1231</v>
      </c>
      <c r="E351" s="191" t="s">
        <v>1232</v>
      </c>
      <c r="F351" s="192" t="s">
        <v>841</v>
      </c>
      <c r="G351" s="193" t="s">
        <v>1140</v>
      </c>
      <c r="H351" s="194" t="s">
        <v>345</v>
      </c>
      <c r="I351" s="195" t="s">
        <v>1232</v>
      </c>
      <c r="J351" s="196" t="n">
        <f aca="false">IFERROR(VLOOKUP(VALUE($D351),BSPL2026!$B:$Z,25,FALSE()),0)</f>
        <v>11146331</v>
      </c>
      <c r="K351" s="197"/>
      <c r="L351" s="198"/>
      <c r="M351" s="196" t="n">
        <f aca="false">J351+K351-L351</f>
        <v>11146331</v>
      </c>
      <c r="N351" s="197" t="n">
        <f aca="false">SUMIF('statutory adj_2026 조정분개'!$S:$S,$D351,'statutory adj_2026 조정분개'!$K:$K)</f>
        <v>0</v>
      </c>
      <c r="O351" s="198" t="n">
        <f aca="false">SUMIF('statutory adj_2026 조정분개'!$S:$S,$D351,'statutory adj_2026 조정분개'!$L:$L)</f>
        <v>0</v>
      </c>
      <c r="P351" s="196" t="n">
        <f aca="false">M351+N351-O351</f>
        <v>11146331</v>
      </c>
      <c r="Q351" s="199" t="n">
        <f aca="false">IFERROR(VLOOKUP(VALUE($D351),BSPL2026!$B:$Q,16,FALSE()),0)</f>
        <v>14650247</v>
      </c>
      <c r="R351" s="200" t="s">
        <v>496</v>
      </c>
      <c r="S351" s="162" t="str">
        <f aca="false">IFERROR(VLOOKUP(VALUE($D351),BSPL2026!$B:$M,12,FALSE()),"")</f>
        <v>이자비용</v>
      </c>
      <c r="T351" s="162" t="str">
        <f aca="false">IF(OR(S351="",S351=0,LEFT(S351,5)="(원본오류"),"",IF(S351=H351,"","매핑차이"))</f>
        <v/>
      </c>
    </row>
    <row r="352" customFormat="false" ht="16.5" hidden="true" customHeight="false" outlineLevel="0" collapsed="false">
      <c r="D352" s="190" t="s">
        <v>1233</v>
      </c>
      <c r="E352" s="191" t="s">
        <v>1234</v>
      </c>
      <c r="F352" s="192" t="s">
        <v>841</v>
      </c>
      <c r="G352" s="193" t="s">
        <v>1140</v>
      </c>
      <c r="H352" s="194" t="s">
        <v>345</v>
      </c>
      <c r="I352" s="195" t="s">
        <v>1235</v>
      </c>
      <c r="J352" s="196" t="n">
        <f aca="false">IFERROR(VLOOKUP(VALUE($D352),BSPL2026!$B:$Z,25,FALSE()),0)</f>
        <v>8416637</v>
      </c>
      <c r="K352" s="197"/>
      <c r="L352" s="198"/>
      <c r="M352" s="196" t="n">
        <f aca="false">J352+K352-L352</f>
        <v>8416637</v>
      </c>
      <c r="N352" s="197" t="n">
        <f aca="false">SUMIF('statutory adj_2026 조정분개'!$S:$S,$D352,'statutory adj_2026 조정분개'!$K:$K)</f>
        <v>0</v>
      </c>
      <c r="O352" s="198" t="n">
        <f aca="false">SUMIF('statutory adj_2026 조정분개'!$S:$S,$D352,'statutory adj_2026 조정분개'!$L:$L)</f>
        <v>0</v>
      </c>
      <c r="P352" s="196" t="n">
        <f aca="false">M352+N352-O352</f>
        <v>8416637</v>
      </c>
      <c r="Q352" s="199" t="n">
        <f aca="false">IFERROR(VLOOKUP(VALUE($D352),BSPL2026!$B:$Q,16,FALSE()),0)</f>
        <v>27709972</v>
      </c>
      <c r="R352" s="200" t="s">
        <v>496</v>
      </c>
      <c r="S352" s="162" t="str">
        <f aca="false">IFERROR(VLOOKUP(VALUE($D352),BSPL2026!$B:$M,12,FALSE()),"")</f>
        <v>이자비용</v>
      </c>
      <c r="T352" s="162" t="str">
        <f aca="false">IF(OR(S352="",S352=0,LEFT(S352,5)="(원본오류"),"",IF(S352=H352,"","매핑차이"))</f>
        <v/>
      </c>
    </row>
    <row r="353" customFormat="false" ht="16.5" hidden="true" customHeight="false" outlineLevel="0" collapsed="false">
      <c r="D353" s="190" t="s">
        <v>1236</v>
      </c>
      <c r="E353" s="191" t="s">
        <v>1237</v>
      </c>
      <c r="F353" s="192" t="s">
        <v>841</v>
      </c>
      <c r="G353" s="193" t="s">
        <v>920</v>
      </c>
      <c r="H353" s="194" t="s">
        <v>329</v>
      </c>
      <c r="I353" s="195" t="s">
        <v>1237</v>
      </c>
      <c r="J353" s="196" t="n">
        <f aca="false">IFERROR(VLOOKUP(VALUE($D353),BSPL2026!$B:$Z,25,FALSE()),0)</f>
        <v>-191454870</v>
      </c>
      <c r="K353" s="197"/>
      <c r="L353" s="198"/>
      <c r="M353" s="196" t="n">
        <f aca="false">J353+K353-L353</f>
        <v>-191454870</v>
      </c>
      <c r="N353" s="197" t="n">
        <f aca="false">SUMIF('statutory adj_2026 조정분개'!$S:$S,$D353,'statutory adj_2026 조정분개'!$K:$K)</f>
        <v>0</v>
      </c>
      <c r="O353" s="198" t="n">
        <f aca="false">SUMIF('statutory adj_2026 조정분개'!$S:$S,$D353,'statutory adj_2026 조정분개'!$L:$L)</f>
        <v>0</v>
      </c>
      <c r="P353" s="196" t="n">
        <f aca="false">M353+N353-O353</f>
        <v>-191454870</v>
      </c>
      <c r="Q353" s="199" t="n">
        <f aca="false">IFERROR(VLOOKUP(VALUE($D353),BSPL2026!$B:$Q,16,FALSE()),0)</f>
        <v>-219671928</v>
      </c>
      <c r="R353" s="200" t="s">
        <v>496</v>
      </c>
      <c r="S353" s="162" t="str">
        <f aca="false">IFERROR(VLOOKUP(VALUE($D353),BSPL2026!$B:$M,12,FALSE()),"")</f>
        <v>이자수익</v>
      </c>
      <c r="T353" s="162" t="str">
        <f aca="false">IF(OR(S353="",S353=0,LEFT(S353,5)="(원본오류"),"",IF(S353=H353,"","매핑차이"))</f>
        <v/>
      </c>
    </row>
    <row r="354" customFormat="false" ht="16.5" hidden="true" customHeight="false" outlineLevel="0" collapsed="false">
      <c r="D354" s="190" t="s">
        <v>1238</v>
      </c>
      <c r="E354" s="191" t="s">
        <v>1239</v>
      </c>
      <c r="F354" s="192" t="s">
        <v>841</v>
      </c>
      <c r="G354" s="193" t="s">
        <v>920</v>
      </c>
      <c r="H354" s="194" t="s">
        <v>329</v>
      </c>
      <c r="I354" s="195" t="s">
        <v>1239</v>
      </c>
      <c r="J354" s="196" t="n">
        <f aca="false">IFERROR(VLOOKUP(VALUE($D354),BSPL2026!$B:$Z,25,FALSE()),0)</f>
        <v>-9771588</v>
      </c>
      <c r="K354" s="197"/>
      <c r="L354" s="198"/>
      <c r="M354" s="196" t="n">
        <f aca="false">J354+K354-L354</f>
        <v>-9771588</v>
      </c>
      <c r="N354" s="197" t="n">
        <f aca="false">SUMIF('statutory adj_2026 조정분개'!$S:$S,$D354,'statutory adj_2026 조정분개'!$K:$K)</f>
        <v>0</v>
      </c>
      <c r="O354" s="198" t="n">
        <f aca="false">SUMIF('statutory adj_2026 조정분개'!$S:$S,$D354,'statutory adj_2026 조정분개'!$L:$L)</f>
        <v>0</v>
      </c>
      <c r="P354" s="196" t="n">
        <f aca="false">M354+N354-O354</f>
        <v>-9771588</v>
      </c>
      <c r="Q354" s="199" t="n">
        <f aca="false">IFERROR(VLOOKUP(VALUE($D354),BSPL2026!$B:$Q,16,FALSE()),0)</f>
        <v>-18769094</v>
      </c>
      <c r="R354" s="200" t="s">
        <v>496</v>
      </c>
      <c r="S354" s="162" t="str">
        <f aca="false">IFERROR(VLOOKUP(VALUE($D354),BSPL2026!$B:$M,12,FALSE()),"")</f>
        <v>이자수익</v>
      </c>
      <c r="T354" s="162" t="str">
        <f aca="false">IF(OR(S354="",S354=0,LEFT(S354,5)="(원본오류"),"",IF(S354=H354,"","매핑차이"))</f>
        <v/>
      </c>
    </row>
    <row r="355" customFormat="false" ht="16.5" hidden="true" customHeight="false" outlineLevel="0" collapsed="false">
      <c r="D355" s="190" t="s">
        <v>1240</v>
      </c>
      <c r="E355" s="191" t="s">
        <v>1241</v>
      </c>
      <c r="F355" s="192" t="s">
        <v>841</v>
      </c>
      <c r="G355" s="193" t="s">
        <v>920</v>
      </c>
      <c r="H355" s="194" t="s">
        <v>332</v>
      </c>
      <c r="I355" s="195" t="s">
        <v>1241</v>
      </c>
      <c r="J355" s="196" t="n">
        <f aca="false">IFERROR(VLOOKUP(VALUE($D355),BSPL2026!$B:$Z,25,FALSE()),0)</f>
        <v>0</v>
      </c>
      <c r="K355" s="197"/>
      <c r="L355" s="198"/>
      <c r="M355" s="196" t="n">
        <f aca="false">J355+K355-L355</f>
        <v>0</v>
      </c>
      <c r="N355" s="197" t="n">
        <f aca="false">SUMIF('statutory adj_2026 조정분개'!$S:$S,$D355,'statutory adj_2026 조정분개'!$K:$K)</f>
        <v>0</v>
      </c>
      <c r="O355" s="198" t="n">
        <f aca="false">SUMIF('statutory adj_2026 조정분개'!$S:$S,$D355,'statutory adj_2026 조정분개'!$L:$L)</f>
        <v>0</v>
      </c>
      <c r="P355" s="196" t="n">
        <f aca="false">M355+N355-O355</f>
        <v>0</v>
      </c>
      <c r="Q355" s="199" t="n">
        <f aca="false">IFERROR(VLOOKUP(VALUE($D355),BSPL2026!$B:$Q,16,FALSE()),0)</f>
        <v>-7432120758</v>
      </c>
      <c r="R355" s="200" t="s">
        <v>496</v>
      </c>
      <c r="S355" s="162" t="str">
        <f aca="false">IFERROR(VLOOKUP(VALUE($D355),BSPL2026!$B:$M,12,FALSE()),"")</f>
        <v>투자자산처분이익</v>
      </c>
      <c r="T355" s="162" t="str">
        <f aca="false">IF(OR(S355="",S355=0,LEFT(S355,5)="(원본오류"),"",IF(S355=H355,"","매핑차이"))</f>
        <v/>
      </c>
    </row>
    <row r="356" customFormat="false" ht="16.5" hidden="true" customHeight="false" outlineLevel="0" collapsed="false">
      <c r="D356" s="190" t="s">
        <v>1242</v>
      </c>
      <c r="E356" s="191" t="s">
        <v>1243</v>
      </c>
      <c r="F356" s="192" t="s">
        <v>841</v>
      </c>
      <c r="G356" s="193" t="s">
        <v>912</v>
      </c>
      <c r="H356" s="194" t="s">
        <v>300</v>
      </c>
      <c r="I356" s="195" t="s">
        <v>1243</v>
      </c>
      <c r="J356" s="196" t="n">
        <f aca="false">IFERROR(VLOOKUP(VALUE($D356),BSPL2026!$B:$Z,25,FALSE()),0)</f>
        <v>131374060</v>
      </c>
      <c r="K356" s="197"/>
      <c r="L356" s="198"/>
      <c r="M356" s="196" t="n">
        <f aca="false">J356+K356-L356</f>
        <v>131374060</v>
      </c>
      <c r="N356" s="197" t="n">
        <f aca="false">SUMIF('statutory adj_2026 조정분개'!$S:$S,$D356,'statutory adj_2026 조정분개'!$K:$K)</f>
        <v>0</v>
      </c>
      <c r="O356" s="198" t="n">
        <f aca="false">SUMIF('statutory adj_2026 조정분개'!$S:$S,$D356,'statutory adj_2026 조정분개'!$L:$L)</f>
        <v>0</v>
      </c>
      <c r="P356" s="196" t="n">
        <f aca="false">M356+N356-O356</f>
        <v>131374060</v>
      </c>
      <c r="Q356" s="199" t="n">
        <f aca="false">IFERROR(VLOOKUP(VALUE($D356),BSPL2026!$B:$Q,16,FALSE()),0)</f>
        <v>0</v>
      </c>
      <c r="R356" s="200" t="s">
        <v>496</v>
      </c>
      <c r="S356" s="162" t="str">
        <f aca="false">IFERROR(VLOOKUP(VALUE($D356),BSPL2026!$B:$M,12,FALSE()),"")</f>
        <v>제세공과</v>
      </c>
      <c r="T356" s="162" t="str">
        <f aca="false">IF(OR(S356="",S356=0,LEFT(S356,5)="(원본오류"),"",IF(S356=H356,"","매핑차이"))</f>
        <v/>
      </c>
    </row>
    <row r="357" customFormat="false" ht="16.5" hidden="true" customHeight="false" outlineLevel="0" collapsed="false">
      <c r="D357" s="190" t="s">
        <v>1244</v>
      </c>
      <c r="E357" s="191" t="s">
        <v>1245</v>
      </c>
      <c r="F357" s="192" t="s">
        <v>841</v>
      </c>
      <c r="G357" s="193" t="s">
        <v>368</v>
      </c>
      <c r="H357" s="194" t="s">
        <v>368</v>
      </c>
      <c r="I357" s="195" t="s">
        <v>1245</v>
      </c>
      <c r="J357" s="196" t="n">
        <f aca="false">IFERROR(VLOOKUP(VALUE($D357),BSPL2026!$B:$Z,25,FALSE()),0)</f>
        <v>8845776907</v>
      </c>
      <c r="K357" s="197"/>
      <c r="L357" s="198"/>
      <c r="M357" s="196" t="n">
        <f aca="false">J357+K357-L357</f>
        <v>8845776907</v>
      </c>
      <c r="N357" s="197" t="n">
        <f aca="false">SUMIF('statutory adj_2026 조정분개'!$S:$S,$D357,'statutory adj_2026 조정분개'!$K:$K)</f>
        <v>0</v>
      </c>
      <c r="O357" s="198" t="n">
        <f aca="false">SUMIF('statutory adj_2026 조정분개'!$S:$S,$D357,'statutory adj_2026 조정분개'!$L:$L)</f>
        <v>0</v>
      </c>
      <c r="P357" s="196" t="n">
        <f aca="false">M357+N357-O357</f>
        <v>8845776907</v>
      </c>
      <c r="Q357" s="199" t="n">
        <f aca="false">IFERROR(VLOOKUP(VALUE($D357),BSPL2026!$B:$Q,16,FALSE()),0)</f>
        <v>11006749505</v>
      </c>
      <c r="R357" s="200" t="s">
        <v>496</v>
      </c>
      <c r="S357" s="162" t="str">
        <f aca="false">IFERROR(VLOOKUP(VALUE($D357),BSPL2026!$B:$M,12,FALSE()),"")</f>
        <v>법인세비용</v>
      </c>
      <c r="T357" s="162" t="str">
        <f aca="false">IF(OR(S357="",S357=0,LEFT(S357,5)="(원본오류"),"",IF(S357=H357,"","매핑차이"))</f>
        <v/>
      </c>
    </row>
    <row r="358" customFormat="false" ht="16.5" hidden="true" customHeight="false" outlineLevel="0" collapsed="false">
      <c r="D358" s="190" t="s">
        <v>1246</v>
      </c>
      <c r="E358" s="191" t="s">
        <v>1247</v>
      </c>
      <c r="F358" s="192" t="s">
        <v>841</v>
      </c>
      <c r="G358" s="193" t="s">
        <v>368</v>
      </c>
      <c r="H358" s="194" t="s">
        <v>368</v>
      </c>
      <c r="I358" s="195" t="s">
        <v>1247</v>
      </c>
      <c r="J358" s="196" t="n">
        <f aca="false">IFERROR(VLOOKUP(VALUE($D358),BSPL2026!$B:$Z,25,FALSE()),0)</f>
        <v>-332114429</v>
      </c>
      <c r="K358" s="197"/>
      <c r="L358" s="198"/>
      <c r="M358" s="196" t="n">
        <f aca="false">J358+K358-L358</f>
        <v>-332114429</v>
      </c>
      <c r="N358" s="197" t="n">
        <f aca="false">SUMIF('statutory adj_2026 조정분개'!$S:$S,$D358,'statutory adj_2026 조정분개'!$K:$K)</f>
        <v>0</v>
      </c>
      <c r="O358" s="198" t="n">
        <f aca="false">SUMIF('statutory adj_2026 조정분개'!$S:$S,$D358,'statutory adj_2026 조정분개'!$L:$L)</f>
        <v>0</v>
      </c>
      <c r="P358" s="196" t="n">
        <f aca="false">M358+N358-O358</f>
        <v>-332114429</v>
      </c>
      <c r="Q358" s="199" t="n">
        <f aca="false">IFERROR(VLOOKUP(VALUE($D358),BSPL2026!$B:$Q,16,FALSE()),0)</f>
        <v>0</v>
      </c>
      <c r="R358" s="200" t="s">
        <v>496</v>
      </c>
      <c r="S358" s="162" t="str">
        <f aca="false">IFERROR(VLOOKUP(VALUE($D358),BSPL2026!$B:$M,12,FALSE()),"")</f>
        <v>법인세비용</v>
      </c>
      <c r="T358" s="162" t="str">
        <f aca="false">IF(OR(S358="",S358=0,LEFT(S358,5)="(원본오류"),"",IF(S358=H358,"","매핑차이"))</f>
        <v/>
      </c>
    </row>
    <row r="359" customFormat="false" ht="16.5" hidden="true" customHeight="false" outlineLevel="0" collapsed="false">
      <c r="D359" s="190" t="s">
        <v>1248</v>
      </c>
      <c r="E359" s="191" t="s">
        <v>1249</v>
      </c>
      <c r="F359" s="192" t="s">
        <v>841</v>
      </c>
      <c r="G359" s="193" t="s">
        <v>368</v>
      </c>
      <c r="H359" s="194" t="s">
        <v>368</v>
      </c>
      <c r="I359" s="195" t="s">
        <v>1250</v>
      </c>
      <c r="J359" s="196" t="n">
        <f aca="false">IFERROR(VLOOKUP(VALUE($D359),BSPL2026!$B:$Z,25,FALSE()),0)</f>
        <v>0</v>
      </c>
      <c r="K359" s="197"/>
      <c r="L359" s="198"/>
      <c r="M359" s="196" t="n">
        <f aca="false">J359+K359-L359</f>
        <v>0</v>
      </c>
      <c r="N359" s="197" t="n">
        <f aca="false">SUMIF('statutory adj_2026 조정분개'!$S:$S,$D359,'statutory adj_2026 조정분개'!$K:$K)</f>
        <v>0</v>
      </c>
      <c r="O359" s="198" t="n">
        <f aca="false">SUMIF('statutory adj_2026 조정분개'!$S:$S,$D359,'statutory adj_2026 조정분개'!$L:$L)</f>
        <v>0</v>
      </c>
      <c r="P359" s="196" t="n">
        <f aca="false">M359+N359-O359</f>
        <v>0</v>
      </c>
      <c r="Q359" s="199" t="n">
        <f aca="false">IFERROR(VLOOKUP(VALUE($D359),BSPL2026!$B:$Q,16,FALSE()),0)</f>
        <v>-31</v>
      </c>
      <c r="R359" s="200" t="s">
        <v>496</v>
      </c>
      <c r="S359" s="162" t="str">
        <f aca="false">IFERROR(VLOOKUP(VALUE($D359),BSPL2026!$B:$M,12,FALSE()),"")</f>
        <v>법인세비용</v>
      </c>
      <c r="T359" s="162" t="str">
        <f aca="false">IF(OR(S359="",S359=0,LEFT(S359,5)="(원본오류"),"",IF(S359=H359,"","매핑차이"))</f>
        <v/>
      </c>
    </row>
    <row r="360" customFormat="false" ht="16.5" hidden="true" customHeight="false" outlineLevel="0" collapsed="false">
      <c r="D360" s="190" t="s">
        <v>1251</v>
      </c>
      <c r="E360" s="191" t="s">
        <v>1252</v>
      </c>
      <c r="F360" s="192" t="s">
        <v>841</v>
      </c>
      <c r="G360" s="193" t="s">
        <v>368</v>
      </c>
      <c r="H360" s="194" t="s">
        <v>368</v>
      </c>
      <c r="I360" s="195" t="s">
        <v>1252</v>
      </c>
      <c r="J360" s="196" t="n">
        <f aca="false">IFERROR(VLOOKUP(VALUE($D360),BSPL2026!$B:$Z,25,FALSE()),0)</f>
        <v>4628694078</v>
      </c>
      <c r="K360" s="197"/>
      <c r="L360" s="198"/>
      <c r="M360" s="196" t="n">
        <f aca="false">J360+K360-L360</f>
        <v>4628694078</v>
      </c>
      <c r="N360" s="197" t="n">
        <f aca="false">SUMIF('statutory adj_2026 조정분개'!$S:$S,$D360,'statutory adj_2026 조정분개'!$K:$K)</f>
        <v>0</v>
      </c>
      <c r="O360" s="198" t="n">
        <f aca="false">SUMIF('statutory adj_2026 조정분개'!$S:$S,$D360,'statutory adj_2026 조정분개'!$L:$L)</f>
        <v>0</v>
      </c>
      <c r="P360" s="196" t="n">
        <f aca="false">M360+N360-O360</f>
        <v>4628694078</v>
      </c>
      <c r="Q360" s="199" t="n">
        <f aca="false">IFERROR(VLOOKUP(VALUE($D360),BSPL2026!$B:$Q,16,FALSE()),0)</f>
        <v>-2709185174</v>
      </c>
      <c r="R360" s="200" t="s">
        <v>496</v>
      </c>
      <c r="S360" s="162" t="str">
        <f aca="false">IFERROR(VLOOKUP(VALUE($D360),BSPL2026!$B:$M,12,FALSE()),"")</f>
        <v>법인세비용</v>
      </c>
      <c r="T360" s="162" t="str">
        <f aca="false">IF(OR(S360="",S360=0,LEFT(S360,5)="(원본오류"),"",IF(S360=H360,"","매핑차이"))</f>
        <v/>
      </c>
    </row>
    <row r="361" customFormat="false" ht="16.5" hidden="true" customHeight="false" outlineLevel="0" collapsed="false">
      <c r="D361" s="190" t="s">
        <v>449</v>
      </c>
      <c r="E361" s="191" t="s">
        <v>450</v>
      </c>
      <c r="F361" s="192" t="s">
        <v>841</v>
      </c>
      <c r="G361" s="193" t="s">
        <v>368</v>
      </c>
      <c r="H361" s="194" t="s">
        <v>368</v>
      </c>
      <c r="I361" s="195" t="s">
        <v>450</v>
      </c>
      <c r="J361" s="196" t="n">
        <f aca="false">IFERROR(VLOOKUP(VALUE($D361),BSPL2026!$B:$Z,25,FALSE()),0)</f>
        <v>-39664165</v>
      </c>
      <c r="K361" s="197"/>
      <c r="L361" s="198"/>
      <c r="M361" s="196" t="n">
        <f aca="false">J361+K361-L361</f>
        <v>-39664165</v>
      </c>
      <c r="N361" s="197" t="n">
        <f aca="false">SUMIF('statutory adj_2026 조정분개'!$S:$S,$D361,'statutory adj_2026 조정분개'!$K:$K)</f>
        <v>0</v>
      </c>
      <c r="O361" s="198" t="n">
        <f aca="false">SUMIF('statutory adj_2026 조정분개'!$S:$S,$D361,'statutory adj_2026 조정분개'!$L:$L)</f>
        <v>0</v>
      </c>
      <c r="P361" s="196" t="n">
        <f aca="false">M361+N361-O361</f>
        <v>-39664165</v>
      </c>
      <c r="Q361" s="199" t="n">
        <f aca="false">IFERROR(VLOOKUP(VALUE($D361),BSPL2026!$B:$Q,16,FALSE()),0)</f>
        <v>451069375</v>
      </c>
      <c r="R361" s="200" t="s">
        <v>496</v>
      </c>
      <c r="S361" s="162" t="str">
        <f aca="false">IFERROR(VLOOKUP(VALUE($D361),BSPL2026!$B:$M,12,FALSE()),"")</f>
        <v>법인세비용</v>
      </c>
      <c r="T361" s="162" t="str">
        <f aca="false">IF(OR(S361="",S361=0,LEFT(S361,5)="(원본오류"),"",IF(S361=H361,"","매핑차이"))</f>
        <v/>
      </c>
    </row>
    <row r="362" customFormat="false" ht="16.5" hidden="true" customHeight="false" outlineLevel="0" collapsed="false">
      <c r="D362" s="190" t="s">
        <v>1253</v>
      </c>
      <c r="E362" s="191" t="s">
        <v>1254</v>
      </c>
      <c r="F362" s="192" t="s">
        <v>841</v>
      </c>
      <c r="G362" s="193" t="s">
        <v>912</v>
      </c>
      <c r="H362" s="194" t="s">
        <v>299</v>
      </c>
      <c r="I362" s="195" t="s">
        <v>1254</v>
      </c>
      <c r="J362" s="196" t="n">
        <f aca="false">IFERROR(VLOOKUP(VALUE($D362),BSPL2026!$B:$Z,25,FALSE()),0)</f>
        <v>4549248</v>
      </c>
      <c r="K362" s="197"/>
      <c r="L362" s="198"/>
      <c r="M362" s="196" t="n">
        <f aca="false">J362+K362-L362</f>
        <v>4549248</v>
      </c>
      <c r="N362" s="197" t="n">
        <f aca="false">SUMIF('statutory adj_2026 조정분개'!$S:$S,$D362,'statutory adj_2026 조정분개'!$K:$K)</f>
        <v>0</v>
      </c>
      <c r="O362" s="198" t="n">
        <f aca="false">SUMIF('statutory adj_2026 조정분개'!$S:$S,$D362,'statutory adj_2026 조정분개'!$L:$L)</f>
        <v>0</v>
      </c>
      <c r="P362" s="196" t="n">
        <f aca="false">M362+N362-O362</f>
        <v>4549248</v>
      </c>
      <c r="Q362" s="199" t="n">
        <f aca="false">IFERROR(VLOOKUP(VALUE($D362),BSPL2026!$B:$Q,16,FALSE()),0)</f>
        <v>603131607</v>
      </c>
      <c r="R362" s="200" t="s">
        <v>496</v>
      </c>
      <c r="S362" s="162" t="str">
        <f aca="false">IFERROR(VLOOKUP(VALUE($D362),BSPL2026!$B:$M,12,FALSE()),"")</f>
        <v>지급수수료</v>
      </c>
      <c r="T362" s="162" t="str">
        <f aca="false">IF(OR(S362="",S362=0,LEFT(S362,5)="(원본오류"),"",IF(S362=H362,"","매핑차이"))</f>
        <v/>
      </c>
    </row>
    <row r="363" customFormat="false" ht="16.5" hidden="true" customHeight="false" outlineLevel="0" collapsed="false">
      <c r="D363" s="190" t="s">
        <v>452</v>
      </c>
      <c r="E363" s="191" t="s">
        <v>453</v>
      </c>
      <c r="F363" s="192" t="s">
        <v>841</v>
      </c>
      <c r="G363" s="193" t="s">
        <v>1140</v>
      </c>
      <c r="H363" s="194" t="s">
        <v>351</v>
      </c>
      <c r="I363" s="195" t="s">
        <v>453</v>
      </c>
      <c r="J363" s="196" t="n">
        <f aca="false">IFERROR(VLOOKUP(VALUE($D363),BSPL2026!$B:$Z,25,FALSE()),0)</f>
        <v>-1874497219</v>
      </c>
      <c r="K363" s="197"/>
      <c r="L363" s="198"/>
      <c r="M363" s="196" t="n">
        <f aca="false">J363+K363-L363</f>
        <v>-1874497219</v>
      </c>
      <c r="N363" s="197" t="n">
        <f aca="false">SUMIF('statutory adj_2026 조정분개'!$S:$S,$D363,'statutory adj_2026 조정분개'!$K:$K)</f>
        <v>0</v>
      </c>
      <c r="O363" s="198" t="n">
        <f aca="false">SUMIF('statutory adj_2026 조정분개'!$S:$S,$D363,'statutory adj_2026 조정분개'!$L:$L)</f>
        <v>0</v>
      </c>
      <c r="P363" s="196" t="n">
        <f aca="false">M363+N363-O363</f>
        <v>-1874497219</v>
      </c>
      <c r="Q363" s="199" t="n">
        <f aca="false">IFERROR(VLOOKUP(VALUE($D363),BSPL2026!$B:$Q,16,FALSE()),0)</f>
        <v>0</v>
      </c>
      <c r="R363" s="200" t="s">
        <v>496</v>
      </c>
      <c r="S363" s="162" t="str">
        <f aca="false">IFERROR(VLOOKUP(VALUE($D363),BSPL2026!$B:$M,12,FALSE()),"")</f>
        <v>투자자산처분손실</v>
      </c>
      <c r="T363" s="162" t="str">
        <f aca="false">IF(OR(S363="",S363=0,LEFT(S363,5)="(원본오류"),"",IF(S363=H363,"","매핑차이"))</f>
        <v/>
      </c>
    </row>
    <row r="364" customFormat="false" ht="16.5" hidden="true" customHeight="false" outlineLevel="0" collapsed="false">
      <c r="D364" s="190" t="s">
        <v>1255</v>
      </c>
      <c r="E364" s="191" t="s">
        <v>1256</v>
      </c>
      <c r="F364" s="192" t="s">
        <v>841</v>
      </c>
      <c r="G364" s="193" t="s">
        <v>1140</v>
      </c>
      <c r="H364" s="194" t="s">
        <v>351</v>
      </c>
      <c r="I364" s="195" t="s">
        <v>1256</v>
      </c>
      <c r="J364" s="196" t="n">
        <f aca="false">IFERROR(VLOOKUP(VALUE($D364),BSPL2026!$B:$Z,25,FALSE()),0)</f>
        <v>3246854862</v>
      </c>
      <c r="K364" s="197"/>
      <c r="L364" s="198"/>
      <c r="M364" s="196" t="n">
        <f aca="false">J364+K364-L364</f>
        <v>3246854862</v>
      </c>
      <c r="N364" s="197" t="n">
        <f aca="false">SUMIF('statutory adj_2026 조정분개'!$S:$S,$D364,'statutory adj_2026 조정분개'!$K:$K)</f>
        <v>0</v>
      </c>
      <c r="O364" s="198" t="n">
        <f aca="false">SUMIF('statutory adj_2026 조정분개'!$S:$S,$D364,'statutory adj_2026 조정분개'!$L:$L)</f>
        <v>0</v>
      </c>
      <c r="P364" s="196" t="n">
        <f aca="false">M364+N364-O364</f>
        <v>3246854862</v>
      </c>
      <c r="Q364" s="199" t="n">
        <f aca="false">IFERROR(VLOOKUP(VALUE($D364),BSPL2026!$B:$Q,16,FALSE()),0)</f>
        <v>0</v>
      </c>
      <c r="R364" s="200" t="s">
        <v>496</v>
      </c>
      <c r="S364" s="162" t="str">
        <f aca="false">IFERROR(VLOOKUP(VALUE($D364),BSPL2026!$B:$M,12,FALSE()),"")</f>
        <v>투자자산처분손실</v>
      </c>
      <c r="T364" s="162" t="str">
        <f aca="false">IF(OR(S364="",S364=0,LEFT(S364,5)="(원본오류"),"",IF(S364=H364,"","매핑차이"))</f>
        <v/>
      </c>
    </row>
    <row r="365" customFormat="false" ht="16.5" hidden="true" customHeight="false" outlineLevel="0" collapsed="false">
      <c r="D365" s="190" t="s">
        <v>1257</v>
      </c>
      <c r="E365" s="191" t="s">
        <v>1258</v>
      </c>
      <c r="F365" s="192" t="s">
        <v>493</v>
      </c>
      <c r="G365" s="193" t="s">
        <v>494</v>
      </c>
      <c r="H365" s="194" t="s">
        <v>137</v>
      </c>
      <c r="I365" s="195" t="s">
        <v>1258</v>
      </c>
      <c r="J365" s="196" t="n">
        <f aca="false">IFERROR(VLOOKUP(VALUE($D365),BSPL2026!$B:$Z,25,FALSE()),0)</f>
        <v>0</v>
      </c>
      <c r="K365" s="197"/>
      <c r="L365" s="198"/>
      <c r="M365" s="196" t="n">
        <f aca="false">J365+K365-L365</f>
        <v>0</v>
      </c>
      <c r="N365" s="197" t="n">
        <f aca="false">SUMIF('statutory adj_2026 조정분개'!$S:$S,$D365,'statutory adj_2026 조정분개'!$K:$K)</f>
        <v>0</v>
      </c>
      <c r="O365" s="198" t="n">
        <f aca="false">SUMIF('statutory adj_2026 조정분개'!$S:$S,$D365,'statutory adj_2026 조정분개'!$L:$L)</f>
        <v>0</v>
      </c>
      <c r="P365" s="196" t="n">
        <f aca="false">M365+N365-O365</f>
        <v>0</v>
      </c>
      <c r="Q365" s="199" t="n">
        <f aca="false">IFERROR(VLOOKUP(VALUE($D365),BSPL2026!$B:$Q,16,FALSE()),0)</f>
        <v>0</v>
      </c>
      <c r="R365" s="200" t="s">
        <v>496</v>
      </c>
      <c r="S365" s="162" t="n">
        <f aca="false">IFERROR(VLOOKUP(VALUE($D365),BSPL2026!$B:$M,12,FALSE()),"")</f>
        <v>0</v>
      </c>
      <c r="T365" s="162" t="str">
        <f aca="false">IF(OR(S365="",S365=0,LEFT(S365,5)="(원본오류"),"",IF(S365=H365,"","매핑차이"))</f>
        <v/>
      </c>
    </row>
    <row r="366" customFormat="false" ht="16.5" hidden="true" customHeight="false" outlineLevel="0" collapsed="false">
      <c r="D366" s="190" t="s">
        <v>1259</v>
      </c>
      <c r="E366" s="191" t="s">
        <v>1260</v>
      </c>
      <c r="F366" s="192" t="s">
        <v>493</v>
      </c>
      <c r="G366" s="193" t="s">
        <v>494</v>
      </c>
      <c r="H366" s="194" t="s">
        <v>586</v>
      </c>
      <c r="I366" s="195" t="s">
        <v>1260</v>
      </c>
      <c r="J366" s="196" t="n">
        <f aca="false">IFERROR(VLOOKUP(VALUE($D366),BSPL2026!$B:$Z,25,FALSE()),0)</f>
        <v>-49640922</v>
      </c>
      <c r="K366" s="197"/>
      <c r="L366" s="198"/>
      <c r="M366" s="196" t="n">
        <f aca="false">J366+K366-L366</f>
        <v>-49640922</v>
      </c>
      <c r="N366" s="197" t="n">
        <f aca="false">SUMIF('statutory adj_2026 조정분개'!$S:$S,$D366,'statutory adj_2026 조정분개'!$K:$K)</f>
        <v>0</v>
      </c>
      <c r="O366" s="198" t="n">
        <f aca="false">SUMIF('statutory adj_2026 조정분개'!$S:$S,$D366,'statutory adj_2026 조정분개'!$L:$L)</f>
        <v>0</v>
      </c>
      <c r="P366" s="196" t="n">
        <f aca="false">M366+N366-O366</f>
        <v>-49640922</v>
      </c>
      <c r="Q366" s="199" t="n">
        <f aca="false">IFERROR(VLOOKUP(VALUE($D366),BSPL2026!$B:$Q,16,FALSE()),0)</f>
        <v>-53280567</v>
      </c>
      <c r="R366" s="200" t="s">
        <v>496</v>
      </c>
      <c r="S366" s="162" t="str">
        <f aca="false">IFERROR(VLOOKUP(VALUE($D366),BSPL2026!$B:$M,12,FALSE()),"")</f>
        <v>평가충당금-상품</v>
      </c>
      <c r="T366" s="162" t="str">
        <f aca="false">IF(OR(S366="",S366=0,LEFT(S366,5)="(원본오류"),"",IF(S366=H366,"","매핑차이"))</f>
        <v/>
      </c>
    </row>
    <row r="367" customFormat="false" ht="16.5" hidden="true" customHeight="false" outlineLevel="0" collapsed="false">
      <c r="D367" s="190" t="s">
        <v>1261</v>
      </c>
      <c r="E367" s="191" t="s">
        <v>1262</v>
      </c>
      <c r="F367" s="192" t="s">
        <v>493</v>
      </c>
      <c r="G367" s="193" t="s">
        <v>494</v>
      </c>
      <c r="H367" s="194" t="s">
        <v>42</v>
      </c>
      <c r="I367" s="195" t="s">
        <v>1262</v>
      </c>
      <c r="J367" s="196" t="n">
        <f aca="false">IFERROR(VLOOKUP(VALUE($D367),BSPL2026!$B:$Z,25,FALSE()),0)</f>
        <v>0</v>
      </c>
      <c r="K367" s="197"/>
      <c r="L367" s="198"/>
      <c r="M367" s="196" t="n">
        <f aca="false">J367+K367-L367</f>
        <v>0</v>
      </c>
      <c r="N367" s="197" t="n">
        <f aca="false">SUMIF('statutory adj_2026 조정분개'!$S:$S,$D367,'statutory adj_2026 조정분개'!$K:$K)</f>
        <v>0</v>
      </c>
      <c r="O367" s="198" t="n">
        <f aca="false">SUMIF('statutory adj_2026 조정분개'!$S:$S,$D367,'statutory adj_2026 조정분개'!$L:$L)</f>
        <v>0</v>
      </c>
      <c r="P367" s="196" t="n">
        <f aca="false">M367+N367-O367</f>
        <v>0</v>
      </c>
      <c r="Q367" s="199" t="n">
        <f aca="false">IFERROR(VLOOKUP(VALUE($D367),BSPL2026!$B:$Q,16,FALSE()),0)</f>
        <v>0</v>
      </c>
      <c r="R367" s="200" t="s">
        <v>496</v>
      </c>
      <c r="S367" s="162" t="n">
        <f aca="false">IFERROR(VLOOKUP(VALUE($D367),BSPL2026!$B:$M,12,FALSE()),"")</f>
        <v>0</v>
      </c>
      <c r="T367" s="162" t="str">
        <f aca="false">IF(OR(S367="",S367=0,LEFT(S367,5)="(원본오류"),"",IF(S367=H367,"","매핑차이"))</f>
        <v/>
      </c>
    </row>
    <row r="368" customFormat="false" ht="16.5" hidden="true" customHeight="false" outlineLevel="0" collapsed="false">
      <c r="D368" s="190" t="s">
        <v>1263</v>
      </c>
      <c r="E368" s="191" t="s">
        <v>1264</v>
      </c>
      <c r="F368" s="192" t="s">
        <v>493</v>
      </c>
      <c r="G368" s="193" t="s">
        <v>157</v>
      </c>
      <c r="H368" s="194" t="s">
        <v>171</v>
      </c>
      <c r="I368" s="195" t="s">
        <v>1264</v>
      </c>
      <c r="J368" s="196" t="n">
        <f aca="false">IFERROR(VLOOKUP(VALUE($D368),BSPL2026!$B:$Z,25,FALSE()),0)</f>
        <v>0</v>
      </c>
      <c r="K368" s="197"/>
      <c r="L368" s="198"/>
      <c r="M368" s="196" t="n">
        <f aca="false">J368+K368-L368</f>
        <v>0</v>
      </c>
      <c r="N368" s="197" t="n">
        <f aca="false">SUMIF('statutory adj_2026 조정분개'!$S:$S,$D368,'statutory adj_2026 조정분개'!$K:$K)</f>
        <v>0</v>
      </c>
      <c r="O368" s="198" t="n">
        <f aca="false">SUMIF('statutory adj_2026 조정분개'!$S:$S,$D368,'statutory adj_2026 조정분개'!$L:$L)</f>
        <v>0</v>
      </c>
      <c r="P368" s="196" t="n">
        <f aca="false">M368+N368-O368</f>
        <v>0</v>
      </c>
      <c r="Q368" s="199" t="n">
        <f aca="false">IFERROR(VLOOKUP(VALUE($D368),BSPL2026!$B:$Q,16,FALSE()),0)</f>
        <v>0</v>
      </c>
      <c r="R368" s="200" t="s">
        <v>496</v>
      </c>
      <c r="S368" s="162" t="n">
        <f aca="false">IFERROR(VLOOKUP(VALUE($D368),BSPL2026!$B:$M,12,FALSE()),"")</f>
        <v>0</v>
      </c>
      <c r="T368" s="162" t="str">
        <f aca="false">IF(OR(S368="",S368=0,LEFT(S368,5)="(원본오류"),"",IF(S368=H368,"","매핑차이"))</f>
        <v/>
      </c>
    </row>
    <row r="369" customFormat="false" ht="16.5" hidden="true" customHeight="false" outlineLevel="0" collapsed="false">
      <c r="D369" s="190" t="s">
        <v>1265</v>
      </c>
      <c r="E369" s="191" t="s">
        <v>1266</v>
      </c>
      <c r="F369" s="192" t="s">
        <v>493</v>
      </c>
      <c r="G369" s="193" t="s">
        <v>157</v>
      </c>
      <c r="H369" s="194" t="s">
        <v>175</v>
      </c>
      <c r="I369" s="195" t="s">
        <v>1266</v>
      </c>
      <c r="J369" s="196" t="n">
        <f aca="false">IFERROR(VLOOKUP(VALUE($D369),BSPL2026!$B:$Z,25,FALSE()),0)</f>
        <v>784609459</v>
      </c>
      <c r="K369" s="197"/>
      <c r="L369" s="198"/>
      <c r="M369" s="196" t="n">
        <f aca="false">J369+K369-L369</f>
        <v>784609459</v>
      </c>
      <c r="N369" s="197" t="n">
        <f aca="false">SUMIF('statutory adj_2026 조정분개'!$S:$S,$D369,'statutory adj_2026 조정분개'!$K:$K)</f>
        <v>0</v>
      </c>
      <c r="O369" s="198" t="n">
        <f aca="false">SUMIF('statutory adj_2026 조정분개'!$S:$S,$D369,'statutory adj_2026 조정분개'!$L:$L)</f>
        <v>0</v>
      </c>
      <c r="P369" s="196" t="n">
        <f aca="false">M369+N369-O369</f>
        <v>784609459</v>
      </c>
      <c r="Q369" s="199" t="n">
        <f aca="false">IFERROR(VLOOKUP(VALUE($D369),BSPL2026!$B:$Q,16,FALSE()),0)</f>
        <v>784609459</v>
      </c>
      <c r="R369" s="200" t="s">
        <v>496</v>
      </c>
      <c r="S369" s="162" t="str">
        <f aca="false">IFERROR(VLOOKUP(VALUE($D369),BSPL2026!$B:$M,12,FALSE()),"")</f>
        <v>미지급법인세</v>
      </c>
      <c r="T369" s="162" t="str">
        <f aca="false">IF(OR(S369="",S369=0,LEFT(S369,5)="(원본오류"),"",IF(S369=H369,"","매핑차이"))</f>
        <v/>
      </c>
    </row>
    <row r="370" customFormat="false" ht="16.5" hidden="true" customHeight="false" outlineLevel="0" collapsed="false">
      <c r="D370" s="190" t="s">
        <v>1267</v>
      </c>
      <c r="E370" s="191" t="s">
        <v>1268</v>
      </c>
      <c r="F370" s="192" t="s">
        <v>493</v>
      </c>
      <c r="G370" s="193" t="s">
        <v>494</v>
      </c>
      <c r="H370" s="194" t="s">
        <v>103</v>
      </c>
      <c r="I370" s="195" t="s">
        <v>1268</v>
      </c>
      <c r="J370" s="196" t="n">
        <f aca="false">IFERROR(VLOOKUP(VALUE($D370),BSPL2026!$B:$Z,25,FALSE()),0)</f>
        <v>-11215999121</v>
      </c>
      <c r="K370" s="197"/>
      <c r="L370" s="198"/>
      <c r="M370" s="196" t="n">
        <f aca="false">J370+K370-L370</f>
        <v>-11215999121</v>
      </c>
      <c r="N370" s="197" t="n">
        <f aca="false">SUMIF('statutory adj_2026 조정분개'!$S:$S,$D370,'statutory adj_2026 조정분개'!$K:$K)</f>
        <v>0</v>
      </c>
      <c r="O370" s="198" t="n">
        <f aca="false">SUMIF('statutory adj_2026 조정분개'!$S:$S,$D370,'statutory adj_2026 조정분개'!$L:$L)</f>
        <v>0</v>
      </c>
      <c r="P370" s="196" t="n">
        <f aca="false">M370+N370-O370</f>
        <v>-11215999121</v>
      </c>
      <c r="Q370" s="199" t="n">
        <f aca="false">IFERROR(VLOOKUP(VALUE($D370),BSPL2026!$B:$Q,16,FALSE()),0)</f>
        <v>-11215999121</v>
      </c>
      <c r="R370" s="200" t="s">
        <v>496</v>
      </c>
      <c r="S370" s="162" t="str">
        <f aca="false">IFERROR(VLOOKUP(VALUE($D370),BSPL2026!$B:$M,12,FALSE()),"")</f>
        <v>구축물</v>
      </c>
      <c r="T370" s="162" t="str">
        <f aca="false">IF(OR(S370="",S370=0,LEFT(S370,5)="(원본오류"),"",IF(S370=H370,"","매핑차이"))</f>
        <v/>
      </c>
    </row>
    <row r="371" customFormat="false" ht="16.5" hidden="true" customHeight="false" outlineLevel="0" collapsed="false">
      <c r="D371" s="190" t="s">
        <v>1269</v>
      </c>
      <c r="E371" s="191" t="s">
        <v>1270</v>
      </c>
      <c r="F371" s="192" t="s">
        <v>493</v>
      </c>
      <c r="G371" s="193" t="s">
        <v>494</v>
      </c>
      <c r="H371" s="194" t="s">
        <v>499</v>
      </c>
      <c r="I371" s="195" t="s">
        <v>1270</v>
      </c>
      <c r="J371" s="196" t="n">
        <f aca="false">IFERROR(VLOOKUP(VALUE($D371),BSPL2026!$B:$Z,25,FALSE()),0)</f>
        <v>11310270634</v>
      </c>
      <c r="K371" s="197"/>
      <c r="L371" s="198"/>
      <c r="M371" s="196" t="n">
        <f aca="false">J371+K371-L371</f>
        <v>11310270634</v>
      </c>
      <c r="N371" s="197" t="n">
        <f aca="false">SUMIF('statutory adj_2026 조정분개'!$S:$S,$D371,'statutory adj_2026 조정분개'!$K:$K)</f>
        <v>0</v>
      </c>
      <c r="O371" s="198" t="n">
        <f aca="false">SUMIF('statutory adj_2026 조정분개'!$S:$S,$D371,'statutory adj_2026 조정분개'!$L:$L)</f>
        <v>0</v>
      </c>
      <c r="P371" s="196" t="n">
        <f aca="false">M371+N371-O371</f>
        <v>11310270634</v>
      </c>
      <c r="Q371" s="199" t="n">
        <f aca="false">IFERROR(VLOOKUP(VALUE($D371),BSPL2026!$B:$Q,16,FALSE()),0)</f>
        <v>10179012274</v>
      </c>
      <c r="R371" s="200" t="s">
        <v>496</v>
      </c>
      <c r="S371" s="162" t="str">
        <f aca="false">IFERROR(VLOOKUP(VALUE($D371),BSPL2026!$B:$M,12,FALSE()),"")</f>
        <v>감가상각누계액-구축물</v>
      </c>
      <c r="T371" s="162" t="str">
        <f aca="false">IF(OR(S371="",S371=0,LEFT(S371,5)="(원본오류"),"",IF(S371=H371,"","매핑차이"))</f>
        <v/>
      </c>
    </row>
    <row r="372" customFormat="false" ht="16.5" hidden="true" customHeight="false" outlineLevel="0" collapsed="false">
      <c r="D372" s="190" t="s">
        <v>1271</v>
      </c>
      <c r="E372" s="191" t="s">
        <v>1272</v>
      </c>
      <c r="F372" s="192" t="s">
        <v>493</v>
      </c>
      <c r="G372" s="193" t="s">
        <v>494</v>
      </c>
      <c r="H372" s="194" t="s">
        <v>99</v>
      </c>
      <c r="I372" s="195" t="s">
        <v>502</v>
      </c>
      <c r="J372" s="196" t="n">
        <f aca="false">IFERROR(VLOOKUP(VALUE($D372),BSPL2026!$B:$Z,25,FALSE()),0)</f>
        <v>0</v>
      </c>
      <c r="K372" s="197"/>
      <c r="L372" s="198"/>
      <c r="M372" s="196" t="n">
        <f aca="false">J372+K372-L372</f>
        <v>0</v>
      </c>
      <c r="N372" s="197" t="n">
        <f aca="false">SUMIF('statutory adj_2026 조정분개'!$S:$S,$D372,'statutory adj_2026 조정분개'!$K:$K)</f>
        <v>0</v>
      </c>
      <c r="O372" s="198" t="n">
        <f aca="false">SUMIF('statutory adj_2026 조정분개'!$S:$S,$D372,'statutory adj_2026 조정분개'!$L:$L)</f>
        <v>0</v>
      </c>
      <c r="P372" s="196" t="n">
        <f aca="false">M372+N372-O372</f>
        <v>0</v>
      </c>
      <c r="Q372" s="199" t="n">
        <f aca="false">IFERROR(VLOOKUP(VALUE($D372),BSPL2026!$B:$Q,16,FALSE()),0)</f>
        <v>0</v>
      </c>
      <c r="R372" s="200" t="s">
        <v>496</v>
      </c>
      <c r="S372" s="162" t="n">
        <f aca="false">IFERROR(VLOOKUP(VALUE($D372),BSPL2026!$B:$M,12,FALSE()),"")</f>
        <v>0</v>
      </c>
      <c r="T372" s="162" t="str">
        <f aca="false">IF(OR(S372="",S372=0,LEFT(S372,5)="(원본오류"),"",IF(S372=H372,"","매핑차이"))</f>
        <v/>
      </c>
    </row>
    <row r="373" customFormat="false" ht="16.5" hidden="true" customHeight="false" outlineLevel="0" collapsed="false">
      <c r="D373" s="190" t="s">
        <v>1273</v>
      </c>
      <c r="E373" s="191" t="s">
        <v>1274</v>
      </c>
      <c r="F373" s="192" t="s">
        <v>493</v>
      </c>
      <c r="G373" s="193" t="s">
        <v>494</v>
      </c>
      <c r="H373" s="194" t="s">
        <v>103</v>
      </c>
      <c r="I373" s="195" t="s">
        <v>502</v>
      </c>
      <c r="J373" s="196" t="n">
        <f aca="false">IFERROR(VLOOKUP(VALUE($D373),BSPL2026!$B:$Z,25,FALSE()),0)</f>
        <v>0</v>
      </c>
      <c r="K373" s="197"/>
      <c r="L373" s="198"/>
      <c r="M373" s="196" t="n">
        <f aca="false">J373+K373-L373</f>
        <v>0</v>
      </c>
      <c r="N373" s="197" t="n">
        <f aca="false">SUMIF('statutory adj_2026 조정분개'!$S:$S,$D373,'statutory adj_2026 조정분개'!$K:$K)</f>
        <v>0</v>
      </c>
      <c r="O373" s="198" t="n">
        <f aca="false">SUMIF('statutory adj_2026 조정분개'!$S:$S,$D373,'statutory adj_2026 조정분개'!$L:$L)</f>
        <v>0</v>
      </c>
      <c r="P373" s="196" t="n">
        <f aca="false">M373+N373-O373</f>
        <v>0</v>
      </c>
      <c r="Q373" s="199" t="n">
        <f aca="false">IFERROR(VLOOKUP(VALUE($D373),BSPL2026!$B:$Q,16,FALSE()),0)</f>
        <v>0</v>
      </c>
      <c r="R373" s="200" t="s">
        <v>496</v>
      </c>
      <c r="S373" s="162" t="n">
        <f aca="false">IFERROR(VLOOKUP(VALUE($D373),BSPL2026!$B:$M,12,FALSE()),"")</f>
        <v>0</v>
      </c>
      <c r="T373" s="162" t="str">
        <f aca="false">IF(OR(S373="",S373=0,LEFT(S373,5)="(원본오류"),"",IF(S373=H373,"","매핑차이"))</f>
        <v/>
      </c>
    </row>
    <row r="374" customFormat="false" ht="16.5" hidden="true" customHeight="false" outlineLevel="0" collapsed="false">
      <c r="D374" s="190" t="s">
        <v>1275</v>
      </c>
      <c r="E374" s="191" t="s">
        <v>1276</v>
      </c>
      <c r="F374" s="192" t="s">
        <v>493</v>
      </c>
      <c r="G374" s="193" t="s">
        <v>494</v>
      </c>
      <c r="H374" s="194" t="s">
        <v>107</v>
      </c>
      <c r="I374" s="195" t="s">
        <v>508</v>
      </c>
      <c r="J374" s="196" t="n">
        <f aca="false">IFERROR(VLOOKUP(VALUE($D374),BSPL2026!$B:$Z,25,FALSE()),0)</f>
        <v>0</v>
      </c>
      <c r="K374" s="197"/>
      <c r="L374" s="198"/>
      <c r="M374" s="196" t="n">
        <f aca="false">J374+K374-L374</f>
        <v>0</v>
      </c>
      <c r="N374" s="197" t="n">
        <f aca="false">SUMIF('statutory adj_2026 조정분개'!$S:$S,$D374,'statutory adj_2026 조정분개'!$K:$K)</f>
        <v>0</v>
      </c>
      <c r="O374" s="198" t="n">
        <f aca="false">SUMIF('statutory adj_2026 조정분개'!$S:$S,$D374,'statutory adj_2026 조정분개'!$L:$L)</f>
        <v>0</v>
      </c>
      <c r="P374" s="196" t="n">
        <f aca="false">M374+N374-O374</f>
        <v>0</v>
      </c>
      <c r="Q374" s="199" t="n">
        <f aca="false">IFERROR(VLOOKUP(VALUE($D374),BSPL2026!$B:$Q,16,FALSE()),0)</f>
        <v>0</v>
      </c>
      <c r="R374" s="200" t="s">
        <v>496</v>
      </c>
      <c r="S374" s="162" t="n">
        <f aca="false">IFERROR(VLOOKUP(VALUE($D374),BSPL2026!$B:$M,12,FALSE()),"")</f>
        <v>0</v>
      </c>
      <c r="T374" s="162" t="str">
        <f aca="false">IF(OR(S374="",S374=0,LEFT(S374,5)="(원본오류"),"",IF(S374=H374,"","매핑차이"))</f>
        <v/>
      </c>
    </row>
    <row r="375" customFormat="false" ht="16.5" hidden="true" customHeight="false" outlineLevel="0" collapsed="false">
      <c r="D375" s="190" t="s">
        <v>1277</v>
      </c>
      <c r="E375" s="191" t="s">
        <v>1278</v>
      </c>
      <c r="F375" s="192" t="s">
        <v>493</v>
      </c>
      <c r="G375" s="193" t="s">
        <v>494</v>
      </c>
      <c r="H375" s="194" t="s">
        <v>115</v>
      </c>
      <c r="I375" s="195" t="s">
        <v>516</v>
      </c>
      <c r="J375" s="196" t="n">
        <f aca="false">IFERROR(VLOOKUP(VALUE($D375),BSPL2026!$B:$Z,25,FALSE()),0)</f>
        <v>0</v>
      </c>
      <c r="K375" s="197"/>
      <c r="L375" s="198"/>
      <c r="M375" s="196" t="n">
        <f aca="false">J375+K375-L375</f>
        <v>0</v>
      </c>
      <c r="N375" s="197" t="n">
        <f aca="false">SUMIF('statutory adj_2026 조정분개'!$S:$S,$D375,'statutory adj_2026 조정분개'!$K:$K)</f>
        <v>0</v>
      </c>
      <c r="O375" s="198" t="n">
        <f aca="false">SUMIF('statutory adj_2026 조정분개'!$S:$S,$D375,'statutory adj_2026 조정분개'!$L:$L)</f>
        <v>0</v>
      </c>
      <c r="P375" s="196" t="n">
        <f aca="false">M375+N375-O375</f>
        <v>0</v>
      </c>
      <c r="Q375" s="199" t="n">
        <f aca="false">IFERROR(VLOOKUP(VALUE($D375),BSPL2026!$B:$Q,16,FALSE()),0)</f>
        <v>0</v>
      </c>
      <c r="R375" s="200" t="s">
        <v>496</v>
      </c>
      <c r="S375" s="162" t="n">
        <f aca="false">IFERROR(VLOOKUP(VALUE($D375),BSPL2026!$B:$M,12,FALSE()),"")</f>
        <v>0</v>
      </c>
      <c r="T375" s="162" t="str">
        <f aca="false">IF(OR(S375="",S375=0,LEFT(S375,5)="(원본오류"),"",IF(S375=H375,"","매핑차이"))</f>
        <v/>
      </c>
    </row>
    <row r="376" customFormat="false" ht="16.5" hidden="true" customHeight="false" outlineLevel="0" collapsed="false">
      <c r="D376" s="190" t="s">
        <v>1279</v>
      </c>
      <c r="E376" s="191" t="s">
        <v>1280</v>
      </c>
      <c r="F376" s="192" t="s">
        <v>493</v>
      </c>
      <c r="G376" s="193" t="s">
        <v>494</v>
      </c>
      <c r="H376" s="194" t="s">
        <v>1281</v>
      </c>
      <c r="I376" s="195" t="s">
        <v>529</v>
      </c>
      <c r="J376" s="196" t="n">
        <f aca="false">IFERROR(VLOOKUP(VALUE($D376),BSPL2026!$B:$Z,25,FALSE()),0)</f>
        <v>0</v>
      </c>
      <c r="K376" s="197"/>
      <c r="L376" s="198"/>
      <c r="M376" s="196" t="n">
        <f aca="false">J376+K376-L376</f>
        <v>0</v>
      </c>
      <c r="N376" s="197" t="n">
        <f aca="false">SUMIF('statutory adj_2026 조정분개'!$S:$S,$D376,'statutory adj_2026 조정분개'!$K:$K)</f>
        <v>0</v>
      </c>
      <c r="O376" s="198" t="n">
        <f aca="false">SUMIF('statutory adj_2026 조정분개'!$S:$S,$D376,'statutory adj_2026 조정분개'!$L:$L)</f>
        <v>0</v>
      </c>
      <c r="P376" s="196" t="n">
        <f aca="false">M376+N376-O376</f>
        <v>0</v>
      </c>
      <c r="Q376" s="199" t="n">
        <f aca="false">IFERROR(VLOOKUP(VALUE($D376),BSPL2026!$B:$Q,16,FALSE()),0)</f>
        <v>0</v>
      </c>
      <c r="R376" s="200" t="s">
        <v>496</v>
      </c>
      <c r="S376" s="162" t="n">
        <f aca="false">IFERROR(VLOOKUP(VALUE($D376),BSPL2026!$B:$M,12,FALSE()),"")</f>
        <v>0</v>
      </c>
      <c r="T376" s="162" t="str">
        <f aca="false">IF(OR(S376="",S376=0,LEFT(S376,5)="(원본오류"),"",IF(S376=H376,"","매핑차이"))</f>
        <v/>
      </c>
    </row>
    <row r="377" customFormat="false" ht="16.5" hidden="true" customHeight="false" outlineLevel="0" collapsed="false">
      <c r="D377" s="190" t="s">
        <v>1282</v>
      </c>
      <c r="E377" s="191" t="s">
        <v>1283</v>
      </c>
      <c r="F377" s="192" t="s">
        <v>493</v>
      </c>
      <c r="G377" s="193" t="s">
        <v>494</v>
      </c>
      <c r="H377" s="194" t="s">
        <v>499</v>
      </c>
      <c r="I377" s="195" t="s">
        <v>529</v>
      </c>
      <c r="J377" s="196" t="n">
        <f aca="false">IFERROR(VLOOKUP(VALUE($D377),BSPL2026!$B:$Z,25,FALSE()),0)</f>
        <v>0</v>
      </c>
      <c r="K377" s="197"/>
      <c r="L377" s="198"/>
      <c r="M377" s="196" t="n">
        <f aca="false">J377+K377-L377</f>
        <v>0</v>
      </c>
      <c r="N377" s="197" t="n">
        <f aca="false">SUMIF('statutory adj_2026 조정분개'!$S:$S,$D377,'statutory adj_2026 조정분개'!$K:$K)</f>
        <v>0</v>
      </c>
      <c r="O377" s="198" t="n">
        <f aca="false">SUMIF('statutory adj_2026 조정분개'!$S:$S,$D377,'statutory adj_2026 조정분개'!$L:$L)</f>
        <v>0</v>
      </c>
      <c r="P377" s="196" t="n">
        <f aca="false">M377+N377-O377</f>
        <v>0</v>
      </c>
      <c r="Q377" s="199" t="n">
        <f aca="false">IFERROR(VLOOKUP(VALUE($D377),BSPL2026!$B:$Q,16,FALSE()),0)</f>
        <v>0</v>
      </c>
      <c r="R377" s="200" t="s">
        <v>496</v>
      </c>
      <c r="S377" s="162" t="n">
        <f aca="false">IFERROR(VLOOKUP(VALUE($D377),BSPL2026!$B:$M,12,FALSE()),"")</f>
        <v>0</v>
      </c>
      <c r="T377" s="162" t="str">
        <f aca="false">IF(OR(S377="",S377=0,LEFT(S377,5)="(원본오류"),"",IF(S377=H377,"","매핑차이"))</f>
        <v/>
      </c>
    </row>
    <row r="378" customFormat="false" ht="16.5" hidden="true" customHeight="false" outlineLevel="0" collapsed="false">
      <c r="D378" s="190" t="s">
        <v>1284</v>
      </c>
      <c r="E378" s="191" t="s">
        <v>1285</v>
      </c>
      <c r="F378" s="192" t="s">
        <v>493</v>
      </c>
      <c r="G378" s="193" t="s">
        <v>494</v>
      </c>
      <c r="H378" s="194" t="s">
        <v>542</v>
      </c>
      <c r="I378" s="195" t="s">
        <v>541</v>
      </c>
      <c r="J378" s="196" t="n">
        <f aca="false">IFERROR(VLOOKUP(VALUE($D378),BSPL2026!$B:$Z,25,FALSE()),0)</f>
        <v>0</v>
      </c>
      <c r="K378" s="197"/>
      <c r="L378" s="198"/>
      <c r="M378" s="196" t="n">
        <f aca="false">J378+K378-L378</f>
        <v>0</v>
      </c>
      <c r="N378" s="197" t="n">
        <f aca="false">SUMIF('statutory adj_2026 조정분개'!$S:$S,$D378,'statutory adj_2026 조정분개'!$K:$K)</f>
        <v>0</v>
      </c>
      <c r="O378" s="198" t="n">
        <f aca="false">SUMIF('statutory adj_2026 조정분개'!$S:$S,$D378,'statutory adj_2026 조정분개'!$L:$L)</f>
        <v>0</v>
      </c>
      <c r="P378" s="196" t="n">
        <f aca="false">M378+N378-O378</f>
        <v>0</v>
      </c>
      <c r="Q378" s="199" t="n">
        <f aca="false">IFERROR(VLOOKUP(VALUE($D378),BSPL2026!$B:$Q,16,FALSE()),0)</f>
        <v>0</v>
      </c>
      <c r="R378" s="200" t="s">
        <v>496</v>
      </c>
      <c r="S378" s="162" t="n">
        <f aca="false">IFERROR(VLOOKUP(VALUE($D378),BSPL2026!$B:$M,12,FALSE()),"")</f>
        <v>0</v>
      </c>
      <c r="T378" s="162" t="str">
        <f aca="false">IF(OR(S378="",S378=0,LEFT(S378,5)="(원본오류"),"",IF(S378=H378,"","매핑차이"))</f>
        <v/>
      </c>
    </row>
    <row r="379" customFormat="false" ht="16.5" hidden="true" customHeight="false" outlineLevel="0" collapsed="false">
      <c r="D379" s="190" t="s">
        <v>1286</v>
      </c>
      <c r="E379" s="191" t="s">
        <v>1287</v>
      </c>
      <c r="F379" s="192" t="s">
        <v>493</v>
      </c>
      <c r="G379" s="193" t="s">
        <v>494</v>
      </c>
      <c r="H379" s="194" t="s">
        <v>534</v>
      </c>
      <c r="I379" s="195" t="s">
        <v>533</v>
      </c>
      <c r="J379" s="196" t="n">
        <f aca="false">IFERROR(VLOOKUP(VALUE($D379),BSPL2026!$B:$Z,25,FALSE()),0)</f>
        <v>0</v>
      </c>
      <c r="K379" s="197"/>
      <c r="L379" s="198"/>
      <c r="M379" s="196" t="n">
        <f aca="false">J379+K379-L379</f>
        <v>0</v>
      </c>
      <c r="N379" s="197" t="n">
        <f aca="false">SUMIF('statutory adj_2026 조정분개'!$S:$S,$D379,'statutory adj_2026 조정분개'!$K:$K)</f>
        <v>0</v>
      </c>
      <c r="O379" s="198" t="n">
        <f aca="false">SUMIF('statutory adj_2026 조정분개'!$S:$S,$D379,'statutory adj_2026 조정분개'!$L:$L)</f>
        <v>0</v>
      </c>
      <c r="P379" s="196" t="n">
        <f aca="false">M379+N379-O379</f>
        <v>0</v>
      </c>
      <c r="Q379" s="199" t="n">
        <f aca="false">IFERROR(VLOOKUP(VALUE($D379),BSPL2026!$B:$Q,16,FALSE()),0)</f>
        <v>0</v>
      </c>
      <c r="R379" s="200" t="s">
        <v>496</v>
      </c>
      <c r="S379" s="162" t="n">
        <f aca="false">IFERROR(VLOOKUP(VALUE($D379),BSPL2026!$B:$M,12,FALSE()),"")</f>
        <v>0</v>
      </c>
      <c r="T379" s="162" t="str">
        <f aca="false">IF(OR(S379="",S379=0,LEFT(S379,5)="(원본오류"),"",IF(S379=H379,"","매핑차이"))</f>
        <v/>
      </c>
    </row>
    <row r="380" customFormat="false" ht="16.5" hidden="true" customHeight="false" outlineLevel="0" collapsed="false">
      <c r="D380" s="190" t="s">
        <v>1288</v>
      </c>
      <c r="E380" s="191" t="s">
        <v>1289</v>
      </c>
      <c r="F380" s="192" t="s">
        <v>493</v>
      </c>
      <c r="G380" s="193" t="s">
        <v>494</v>
      </c>
      <c r="H380" s="194" t="s">
        <v>90</v>
      </c>
      <c r="I380" s="195" t="s">
        <v>1290</v>
      </c>
      <c r="J380" s="196" t="n">
        <f aca="false">IFERROR(VLOOKUP(VALUE($D380),BSPL2026!$B:$Z,25,FALSE()),0)</f>
        <v>0</v>
      </c>
      <c r="K380" s="197"/>
      <c r="L380" s="198"/>
      <c r="M380" s="196" t="n">
        <f aca="false">J380+K380-L380</f>
        <v>0</v>
      </c>
      <c r="N380" s="197" t="n">
        <f aca="false">SUMIF('statutory adj_2026 조정분개'!$S:$S,$D380,'statutory adj_2026 조정분개'!$K:$K)</f>
        <v>0</v>
      </c>
      <c r="O380" s="198" t="n">
        <f aca="false">SUMIF('statutory adj_2026 조정분개'!$S:$S,$D380,'statutory adj_2026 조정분개'!$L:$L)</f>
        <v>0</v>
      </c>
      <c r="P380" s="196" t="n">
        <f aca="false">M380+N380-O380</f>
        <v>0</v>
      </c>
      <c r="Q380" s="199" t="n">
        <f aca="false">IFERROR(VLOOKUP(VALUE($D380),BSPL2026!$B:$Q,16,FALSE()),0)</f>
        <v>0</v>
      </c>
      <c r="R380" s="200" t="s">
        <v>496</v>
      </c>
      <c r="S380" s="162" t="str">
        <f aca="false">IFERROR(VLOOKUP(VALUE($D380),BSPL2026!$B:$M,12,FALSE()),"")</f>
        <v>지분법적용투자주식</v>
      </c>
      <c r="T380" s="162" t="str">
        <f aca="false">IF(OR(S380="",S380=0,LEFT(S380,5)="(원본오류"),"",IF(S380=H380,"","매핑차이"))</f>
        <v/>
      </c>
    </row>
    <row r="381" customFormat="false" ht="16.5" hidden="true" customHeight="false" outlineLevel="0" collapsed="false">
      <c r="D381" s="190" t="s">
        <v>1291</v>
      </c>
      <c r="E381" s="191" t="s">
        <v>1292</v>
      </c>
      <c r="F381" s="192" t="s">
        <v>493</v>
      </c>
      <c r="G381" s="193" t="s">
        <v>494</v>
      </c>
      <c r="H381" s="194" t="s">
        <v>92</v>
      </c>
      <c r="I381" s="195" t="s">
        <v>1293</v>
      </c>
      <c r="J381" s="196" t="n">
        <f aca="false">IFERROR(VLOOKUP(VALUE($D381),BSPL2026!$B:$Z,25,FALSE()),0)</f>
        <v>0</v>
      </c>
      <c r="K381" s="197"/>
      <c r="L381" s="198"/>
      <c r="M381" s="196" t="n">
        <f aca="false">J381+K381-L381</f>
        <v>0</v>
      </c>
      <c r="N381" s="197" t="n">
        <f aca="false">SUMIF('statutory adj_2026 조정분개'!$S:$S,$D381,'statutory adj_2026 조정분개'!$K:$K)</f>
        <v>30000000</v>
      </c>
      <c r="O381" s="198" t="n">
        <f aca="false">SUMIF('statutory adj_2026 조정분개'!$S:$S,$D381,'statutory adj_2026 조정분개'!$L:$L)</f>
        <v>0</v>
      </c>
      <c r="P381" s="196" t="n">
        <f aca="false">M381+N381-O381</f>
        <v>30000000</v>
      </c>
      <c r="Q381" s="199" t="n">
        <f aca="false">IFERROR(VLOOKUP(VALUE($D381),BSPL2026!$B:$Q,16,FALSE()),0)</f>
        <v>0</v>
      </c>
      <c r="R381" s="200" t="s">
        <v>496</v>
      </c>
      <c r="S381" s="162" t="n">
        <f aca="false">IFERROR(VLOOKUP(VALUE($D381),BSPL2026!$B:$M,12,FALSE()),"")</f>
        <v>0</v>
      </c>
      <c r="T381" s="162" t="str">
        <f aca="false">IF(OR(S381="",S381=0,LEFT(S381,5)="(원본오류"),"",IF(S381=H381,"","매핑차이"))</f>
        <v/>
      </c>
    </row>
    <row r="382" customFormat="false" ht="16.5" hidden="true" customHeight="false" outlineLevel="0" collapsed="false">
      <c r="D382" s="190" t="s">
        <v>1294</v>
      </c>
      <c r="E382" s="191" t="s">
        <v>1295</v>
      </c>
      <c r="F382" s="192" t="s">
        <v>493</v>
      </c>
      <c r="G382" s="193" t="s">
        <v>200</v>
      </c>
      <c r="H382" s="194" t="s">
        <v>212</v>
      </c>
      <c r="I382" s="195" t="s">
        <v>1296</v>
      </c>
      <c r="J382" s="196" t="n">
        <f aca="false">IFERROR(VLOOKUP(VALUE($D382),BSPL2026!$B:$Z,25,FALSE()),0)</f>
        <v>0</v>
      </c>
      <c r="K382" s="197"/>
      <c r="L382" s="198"/>
      <c r="M382" s="196" t="n">
        <f aca="false">J382+K382-L382</f>
        <v>0</v>
      </c>
      <c r="N382" s="197" t="n">
        <f aca="false">SUMIF('statutory adj_2026 조정분개'!$S:$S,$D382,'statutory adj_2026 조정분개'!$K:$K)</f>
        <v>0</v>
      </c>
      <c r="O382" s="198" t="n">
        <f aca="false">SUMIF('statutory adj_2026 조정분개'!$S:$S,$D382,'statutory adj_2026 조정분개'!$L:$L)</f>
        <v>0</v>
      </c>
      <c r="P382" s="196" t="n">
        <f aca="false">M382+N382-O382</f>
        <v>0</v>
      </c>
      <c r="Q382" s="199" t="n">
        <f aca="false">IFERROR(VLOOKUP(VALUE($D382),BSPL2026!$B:$Q,16,FALSE()),0)</f>
        <v>0</v>
      </c>
      <c r="R382" s="200" t="s">
        <v>496</v>
      </c>
      <c r="S382" s="162" t="n">
        <f aca="false">IFERROR(VLOOKUP(VALUE($D382),BSPL2026!$B:$M,12,FALSE()),"")</f>
        <v>0</v>
      </c>
      <c r="T382" s="162" t="str">
        <f aca="false">IF(OR(S382="",S382=0,LEFT(S382,5)="(원본오류"),"",IF(S382=H382,"","매핑차이"))</f>
        <v/>
      </c>
    </row>
    <row r="383" customFormat="false" ht="16.5" hidden="true" customHeight="false" outlineLevel="0" collapsed="false">
      <c r="D383" s="190" t="s">
        <v>1297</v>
      </c>
      <c r="E383" s="191" t="s">
        <v>1298</v>
      </c>
      <c r="F383" s="192" t="s">
        <v>493</v>
      </c>
      <c r="G383" s="193" t="s">
        <v>157</v>
      </c>
      <c r="H383" s="194" t="s">
        <v>171</v>
      </c>
      <c r="I383" s="195" t="s">
        <v>1298</v>
      </c>
      <c r="J383" s="196" t="n">
        <f aca="false">IFERROR(VLOOKUP(VALUE($D383),BSPL2026!$B:$Z,25,FALSE()),0)</f>
        <v>-231643035</v>
      </c>
      <c r="K383" s="197"/>
      <c r="L383" s="198"/>
      <c r="M383" s="196" t="n">
        <f aca="false">J383+K383-L383</f>
        <v>-231643035</v>
      </c>
      <c r="N383" s="197" t="n">
        <f aca="false">SUMIF('statutory adj_2026 조정분개'!$S:$S,$D383,'statutory adj_2026 조정분개'!$K:$K)</f>
        <v>0</v>
      </c>
      <c r="O383" s="198" t="n">
        <f aca="false">SUMIF('statutory adj_2026 조정분개'!$S:$S,$D383,'statutory adj_2026 조정분개'!$L:$L)</f>
        <v>0</v>
      </c>
      <c r="P383" s="196" t="n">
        <f aca="false">M383+N383-O383</f>
        <v>-231643035</v>
      </c>
      <c r="Q383" s="199" t="n">
        <f aca="false">IFERROR(VLOOKUP(VALUE($D383),BSPL2026!$B:$Q,16,FALSE()),0)</f>
        <v>0</v>
      </c>
      <c r="R383" s="200" t="s">
        <v>496</v>
      </c>
      <c r="S383" s="162" t="str">
        <f aca="false">IFERROR(VLOOKUP(VALUE($D383),BSPL2026!$B:$M,12,FALSE()),"")</f>
        <v>미지급비용</v>
      </c>
      <c r="T383" s="162" t="str">
        <f aca="false">IF(OR(S383="",S383=0,LEFT(S383,5)="(원본오류"),"",IF(S383=H383,"","매핑차이"))</f>
        <v/>
      </c>
    </row>
    <row r="384" customFormat="false" ht="16.5" hidden="true" customHeight="false" outlineLevel="0" collapsed="false">
      <c r="D384" s="190" t="s">
        <v>1299</v>
      </c>
      <c r="E384" s="191" t="s">
        <v>1300</v>
      </c>
      <c r="F384" s="192" t="s">
        <v>493</v>
      </c>
      <c r="G384" s="193" t="s">
        <v>494</v>
      </c>
      <c r="H384" s="194" t="s">
        <v>30</v>
      </c>
      <c r="I384" s="195" t="s">
        <v>593</v>
      </c>
      <c r="J384" s="196" t="n">
        <f aca="false">IFERROR(VLOOKUP(VALUE($D384),BSPL2026!$B:$Z,25,FALSE()),0)</f>
        <v>0</v>
      </c>
      <c r="K384" s="197"/>
      <c r="L384" s="198"/>
      <c r="M384" s="196" t="n">
        <f aca="false">J384+K384-L384</f>
        <v>0</v>
      </c>
      <c r="N384" s="197" t="n">
        <f aca="false">SUMIF('statutory adj_2026 조정분개'!$S:$S,$D384,'statutory adj_2026 조정분개'!$K:$K)</f>
        <v>0</v>
      </c>
      <c r="O384" s="198" t="n">
        <f aca="false">SUMIF('statutory adj_2026 조정분개'!$S:$S,$D384,'statutory adj_2026 조정분개'!$L:$L)</f>
        <v>0</v>
      </c>
      <c r="P384" s="196" t="n">
        <f aca="false">M384+N384-O384</f>
        <v>0</v>
      </c>
      <c r="Q384" s="199" t="n">
        <f aca="false">IFERROR(VLOOKUP(VALUE($D384),BSPL2026!$B:$Q,16,FALSE()),0)</f>
        <v>0</v>
      </c>
      <c r="R384" s="200" t="s">
        <v>496</v>
      </c>
      <c r="S384" s="162" t="str">
        <f aca="false">IFERROR(VLOOKUP(VALUE($D384),BSPL2026!$B:$M,12,FALSE()),"")</f>
        <v>매출채권</v>
      </c>
      <c r="T384" s="162" t="str">
        <f aca="false">IF(OR(S384="",S384=0,LEFT(S384,5)="(원본오류"),"",IF(S384=H384,"","매핑차이"))</f>
        <v/>
      </c>
    </row>
    <row r="385" customFormat="false" ht="16.5" hidden="true" customHeight="false" outlineLevel="0" collapsed="false">
      <c r="D385" s="190" t="s">
        <v>1301</v>
      </c>
      <c r="E385" s="191" t="s">
        <v>1302</v>
      </c>
      <c r="F385" s="192" t="s">
        <v>493</v>
      </c>
      <c r="G385" s="193" t="s">
        <v>494</v>
      </c>
      <c r="H385" s="194" t="s">
        <v>42</v>
      </c>
      <c r="I385" s="195" t="s">
        <v>614</v>
      </c>
      <c r="J385" s="196" t="n">
        <f aca="false">IFERROR(VLOOKUP(VALUE($D385),BSPL2026!$B:$Z,25,FALSE()),0)</f>
        <v>0</v>
      </c>
      <c r="K385" s="197"/>
      <c r="L385" s="198"/>
      <c r="M385" s="196" t="n">
        <f aca="false">J385+K385-L385</f>
        <v>0</v>
      </c>
      <c r="N385" s="197" t="n">
        <f aca="false">SUMIF('statutory adj_2026 조정분개'!$S:$S,$D385,'statutory adj_2026 조정분개'!$K:$K)</f>
        <v>0</v>
      </c>
      <c r="O385" s="198" t="n">
        <f aca="false">SUMIF('statutory adj_2026 조정분개'!$S:$S,$D385,'statutory adj_2026 조정분개'!$L:$L)</f>
        <v>0</v>
      </c>
      <c r="P385" s="196" t="n">
        <f aca="false">M385+N385-O385</f>
        <v>0</v>
      </c>
      <c r="Q385" s="199" t="n">
        <f aca="false">IFERROR(VLOOKUP(VALUE($D385),BSPL2026!$B:$Q,16,FALSE()),0)</f>
        <v>0</v>
      </c>
      <c r="R385" s="200" t="s">
        <v>496</v>
      </c>
      <c r="S385" s="162" t="n">
        <f aca="false">IFERROR(VLOOKUP(VALUE($D385),BSPL2026!$B:$M,12,FALSE()),"")</f>
        <v>0</v>
      </c>
      <c r="T385" s="162" t="str">
        <f aca="false">IF(OR(S385="",S385=0,LEFT(S385,5)="(원본오류"),"",IF(S385=H385,"","매핑차이"))</f>
        <v/>
      </c>
    </row>
    <row r="386" customFormat="false" ht="16.5" hidden="true" customHeight="false" outlineLevel="0" collapsed="false">
      <c r="D386" s="190" t="s">
        <v>1303</v>
      </c>
      <c r="E386" s="191" t="s">
        <v>1304</v>
      </c>
      <c r="F386" s="192" t="s">
        <v>493</v>
      </c>
      <c r="G386" s="193" t="s">
        <v>494</v>
      </c>
      <c r="H386" s="194" t="s">
        <v>45</v>
      </c>
      <c r="I386" s="195" t="s">
        <v>620</v>
      </c>
      <c r="J386" s="196" t="n">
        <f aca="false">IFERROR(VLOOKUP(VALUE($D386),BSPL2026!$B:$Z,25,FALSE()),0)</f>
        <v>0</v>
      </c>
      <c r="K386" s="197"/>
      <c r="L386" s="198"/>
      <c r="M386" s="196" t="n">
        <f aca="false">J386+K386-L386</f>
        <v>0</v>
      </c>
      <c r="N386" s="197" t="n">
        <f aca="false">SUMIF('statutory adj_2026 조정분개'!$S:$S,$D386,'statutory adj_2026 조정분개'!$K:$K)</f>
        <v>0</v>
      </c>
      <c r="O386" s="198" t="n">
        <f aca="false">SUMIF('statutory adj_2026 조정분개'!$S:$S,$D386,'statutory adj_2026 조정분개'!$L:$L)</f>
        <v>0</v>
      </c>
      <c r="P386" s="196" t="n">
        <f aca="false">M386+N386-O386</f>
        <v>0</v>
      </c>
      <c r="Q386" s="199" t="n">
        <f aca="false">IFERROR(VLOOKUP(VALUE($D386),BSPL2026!$B:$Q,16,FALSE()),0)</f>
        <v>0</v>
      </c>
      <c r="R386" s="200" t="s">
        <v>496</v>
      </c>
      <c r="S386" s="162" t="str">
        <f aca="false">IFERROR(VLOOKUP(VALUE($D386),BSPL2026!$B:$M,12,FALSE()),"")</f>
        <v>선급금</v>
      </c>
      <c r="T386" s="162" t="str">
        <f aca="false">IF(OR(S386="",S386=0,LEFT(S386,5)="(원본오류"),"",IF(S386=H386,"","매핑차이"))</f>
        <v/>
      </c>
    </row>
    <row r="387" customFormat="false" ht="16.5" hidden="true" customHeight="false" outlineLevel="0" collapsed="false">
      <c r="D387" s="190" t="s">
        <v>1305</v>
      </c>
      <c r="E387" s="191" t="s">
        <v>1306</v>
      </c>
      <c r="F387" s="192" t="s">
        <v>493</v>
      </c>
      <c r="G387" s="193" t="s">
        <v>494</v>
      </c>
      <c r="H387" s="194" t="s">
        <v>36</v>
      </c>
      <c r="I387" s="195" t="s">
        <v>616</v>
      </c>
      <c r="J387" s="196" t="n">
        <f aca="false">IFERROR(VLOOKUP(VALUE($D387),BSPL2026!$B:$Z,25,FALSE()),0)</f>
        <v>0</v>
      </c>
      <c r="K387" s="197"/>
      <c r="L387" s="198"/>
      <c r="M387" s="196" t="n">
        <f aca="false">J387+K387-L387</f>
        <v>0</v>
      </c>
      <c r="N387" s="197" t="n">
        <f aca="false">SUMIF('statutory adj_2026 조정분개'!$S:$S,$D387,'statutory adj_2026 조정분개'!$K:$K)</f>
        <v>0</v>
      </c>
      <c r="O387" s="198" t="n">
        <f aca="false">SUMIF('statutory adj_2026 조정분개'!$S:$S,$D387,'statutory adj_2026 조정분개'!$L:$L)</f>
        <v>0</v>
      </c>
      <c r="P387" s="196" t="n">
        <f aca="false">M387+N387-O387</f>
        <v>0</v>
      </c>
      <c r="Q387" s="199" t="n">
        <f aca="false">IFERROR(VLOOKUP(VALUE($D387),BSPL2026!$B:$Q,16,FALSE()),0)</f>
        <v>2256858116</v>
      </c>
      <c r="R387" s="200" t="s">
        <v>496</v>
      </c>
      <c r="S387" s="162" t="str">
        <f aca="false">IFERROR(VLOOKUP(VALUE($D387),BSPL2026!$B:$M,12,FALSE()),"")</f>
        <v>미수금</v>
      </c>
      <c r="T387" s="162" t="str">
        <f aca="false">IF(OR(S387="",S387=0,LEFT(S387,5)="(원본오류"),"",IF(S387=H387,"","매핑차이"))</f>
        <v/>
      </c>
    </row>
    <row r="388" customFormat="false" ht="16.5" hidden="true" customHeight="false" outlineLevel="0" collapsed="false">
      <c r="D388" s="190" t="s">
        <v>1307</v>
      </c>
      <c r="E388" s="191" t="s">
        <v>1308</v>
      </c>
      <c r="F388" s="192" t="s">
        <v>493</v>
      </c>
      <c r="G388" s="193" t="s">
        <v>157</v>
      </c>
      <c r="H388" s="194" t="s">
        <v>173</v>
      </c>
      <c r="I388" s="195" t="s">
        <v>630</v>
      </c>
      <c r="J388" s="196" t="n">
        <f aca="false">IFERROR(VLOOKUP(VALUE($D388),BSPL2026!$B:$Z,25,FALSE()),0)</f>
        <v>0</v>
      </c>
      <c r="K388" s="197"/>
      <c r="L388" s="198"/>
      <c r="M388" s="196" t="n">
        <f aca="false">J388+K388-L388</f>
        <v>0</v>
      </c>
      <c r="N388" s="197" t="n">
        <f aca="false">SUMIF('statutory adj_2026 조정분개'!$S:$S,$D388,'statutory adj_2026 조정분개'!$K:$K)</f>
        <v>0</v>
      </c>
      <c r="O388" s="198" t="n">
        <f aca="false">SUMIF('statutory adj_2026 조정분개'!$S:$S,$D388,'statutory adj_2026 조정분개'!$L:$L)</f>
        <v>0</v>
      </c>
      <c r="P388" s="196" t="n">
        <f aca="false">M388+N388-O388</f>
        <v>0</v>
      </c>
      <c r="Q388" s="199" t="n">
        <f aca="false">IFERROR(VLOOKUP(VALUE($D388),BSPL2026!$B:$Q,16,FALSE()),0)</f>
        <v>0</v>
      </c>
      <c r="R388" s="200" t="s">
        <v>496</v>
      </c>
      <c r="S388" s="162" t="n">
        <f aca="false">IFERROR(VLOOKUP(VALUE($D388),BSPL2026!$B:$M,12,FALSE()),"")</f>
        <v>0</v>
      </c>
      <c r="T388" s="162" t="str">
        <f aca="false">IF(OR(S388="",S388=0,LEFT(S388,5)="(원본오류"),"",IF(S388=H388,"","매핑차이"))</f>
        <v/>
      </c>
    </row>
    <row r="389" customFormat="false" ht="16.5" hidden="true" customHeight="false" outlineLevel="0" collapsed="false">
      <c r="D389" s="190" t="s">
        <v>1309</v>
      </c>
      <c r="E389" s="191" t="s">
        <v>1310</v>
      </c>
      <c r="F389" s="192" t="s">
        <v>493</v>
      </c>
      <c r="G389" s="193" t="s">
        <v>494</v>
      </c>
      <c r="H389" s="194" t="s">
        <v>147</v>
      </c>
      <c r="I389" s="195" t="s">
        <v>824</v>
      </c>
      <c r="J389" s="196" t="n">
        <f aca="false">IFERROR(VLOOKUP(VALUE($D389),BSPL2026!$B:$Z,25,FALSE()),0)</f>
        <v>0</v>
      </c>
      <c r="K389" s="197"/>
      <c r="L389" s="198"/>
      <c r="M389" s="196" t="n">
        <f aca="false">J389+K389-L389</f>
        <v>0</v>
      </c>
      <c r="N389" s="197" t="n">
        <f aca="false">SUMIF('statutory adj_2026 조정분개'!$S:$S,$D389,'statutory adj_2026 조정분개'!$K:$K)</f>
        <v>0</v>
      </c>
      <c r="O389" s="198" t="n">
        <f aca="false">SUMIF('statutory adj_2026 조정분개'!$S:$S,$D389,'statutory adj_2026 조정분개'!$L:$L)</f>
        <v>0</v>
      </c>
      <c r="P389" s="196" t="n">
        <f aca="false">M389+N389-O389</f>
        <v>0</v>
      </c>
      <c r="Q389" s="199" t="n">
        <f aca="false">IFERROR(VLOOKUP(VALUE($D389),BSPL2026!$B:$Q,16,FALSE()),0)</f>
        <v>-4470720940</v>
      </c>
      <c r="R389" s="200" t="s">
        <v>496</v>
      </c>
      <c r="S389" s="162" t="str">
        <f aca="false">IFERROR(VLOOKUP(VALUE($D389),BSPL2026!$B:$M,12,FALSE()),"")</f>
        <v>선급법인세</v>
      </c>
      <c r="T389" s="162" t="str">
        <f aca="false">IF(OR(S389="",S389=0,LEFT(S389,5)="(원본오류"),"",IF(S389=H389,"","매핑차이"))</f>
        <v/>
      </c>
    </row>
    <row r="390" customFormat="false" ht="16.5" hidden="true" customHeight="false" outlineLevel="0" collapsed="false">
      <c r="D390" s="190" t="s">
        <v>1311</v>
      </c>
      <c r="E390" s="191" t="s">
        <v>1312</v>
      </c>
      <c r="F390" s="192" t="s">
        <v>493</v>
      </c>
      <c r="G390" s="193" t="s">
        <v>494</v>
      </c>
      <c r="H390" s="194" t="s">
        <v>39</v>
      </c>
      <c r="I390" s="195" t="s">
        <v>648</v>
      </c>
      <c r="J390" s="196" t="n">
        <f aca="false">IFERROR(VLOOKUP(VALUE($D390),BSPL2026!$B:$Z,25,FALSE()),0)</f>
        <v>0</v>
      </c>
      <c r="K390" s="197"/>
      <c r="L390" s="198"/>
      <c r="M390" s="196" t="n">
        <f aca="false">J390+K390-L390</f>
        <v>0</v>
      </c>
      <c r="N390" s="197" t="n">
        <f aca="false">SUMIF('statutory adj_2026 조정분개'!$S:$S,$D390,'statutory adj_2026 조정분개'!$K:$K)</f>
        <v>0</v>
      </c>
      <c r="O390" s="198" t="n">
        <f aca="false">SUMIF('statutory adj_2026 조정분개'!$S:$S,$D390,'statutory adj_2026 조정분개'!$L:$L)</f>
        <v>0</v>
      </c>
      <c r="P390" s="196" t="n">
        <f aca="false">M390+N390-O390</f>
        <v>0</v>
      </c>
      <c r="Q390" s="199" t="n">
        <f aca="false">IFERROR(VLOOKUP(VALUE($D390),BSPL2026!$B:$Q,16,FALSE()),0)</f>
        <v>0</v>
      </c>
      <c r="R390" s="200" t="s">
        <v>496</v>
      </c>
      <c r="S390" s="162" t="n">
        <f aca="false">IFERROR(VLOOKUP(VALUE($D390),BSPL2026!$B:$M,12,FALSE()),"")</f>
        <v>0</v>
      </c>
      <c r="T390" s="162" t="str">
        <f aca="false">IF(OR(S390="",S390=0,LEFT(S390,5)="(원본오류"),"",IF(S390=H390,"","매핑차이"))</f>
        <v/>
      </c>
    </row>
    <row r="391" customFormat="false" ht="16.5" hidden="true" customHeight="false" outlineLevel="0" collapsed="false">
      <c r="D391" s="190" t="s">
        <v>1313</v>
      </c>
      <c r="E391" s="191" t="s">
        <v>1314</v>
      </c>
      <c r="F391" s="192" t="s">
        <v>493</v>
      </c>
      <c r="G391" s="193" t="s">
        <v>494</v>
      </c>
      <c r="H391" s="194" t="s">
        <v>57</v>
      </c>
      <c r="I391" s="195" t="s">
        <v>668</v>
      </c>
      <c r="J391" s="196" t="n">
        <f aca="false">IFERROR(VLOOKUP(VALUE($D391),BSPL2026!$B:$Z,25,FALSE()),0)</f>
        <v>-317032050</v>
      </c>
      <c r="K391" s="197"/>
      <c r="L391" s="198"/>
      <c r="M391" s="196" t="n">
        <f aca="false">J391+K391-L391</f>
        <v>-317032050</v>
      </c>
      <c r="N391" s="197" t="n">
        <f aca="false">SUMIF('statutory adj_2026 조정분개'!$S:$S,$D391,'statutory adj_2026 조정분개'!$K:$K)</f>
        <v>0</v>
      </c>
      <c r="O391" s="198" t="n">
        <f aca="false">SUMIF('statutory adj_2026 조정분개'!$S:$S,$D391,'statutory adj_2026 조정분개'!$L:$L)</f>
        <v>0</v>
      </c>
      <c r="P391" s="196" t="n">
        <f aca="false">M391+N391-O391</f>
        <v>-317032050</v>
      </c>
      <c r="Q391" s="199" t="n">
        <f aca="false">IFERROR(VLOOKUP(VALUE($D391),BSPL2026!$B:$Q,16,FALSE()),0)</f>
        <v>-218849080</v>
      </c>
      <c r="R391" s="200" t="s">
        <v>496</v>
      </c>
      <c r="S391" s="162" t="str">
        <f aca="false">IFERROR(VLOOKUP(VALUE($D391),BSPL2026!$B:$M,12,FALSE()),"")</f>
        <v>유동성이연법인세자산</v>
      </c>
      <c r="T391" s="162" t="str">
        <f aca="false">IF(OR(S391="",S391=0,LEFT(S391,5)="(원본오류"),"",IF(S391=H391,"","매핑차이"))</f>
        <v/>
      </c>
    </row>
    <row r="392" customFormat="false" ht="16.5" hidden="true" customHeight="false" outlineLevel="0" collapsed="false">
      <c r="D392" s="190" t="s">
        <v>1315</v>
      </c>
      <c r="E392" s="191" t="s">
        <v>1316</v>
      </c>
      <c r="F392" s="192" t="s">
        <v>493</v>
      </c>
      <c r="G392" s="193" t="s">
        <v>494</v>
      </c>
      <c r="H392" s="194" t="s">
        <v>145</v>
      </c>
      <c r="I392" s="195" t="s">
        <v>670</v>
      </c>
      <c r="J392" s="196" t="n">
        <f aca="false">IFERROR(VLOOKUP(VALUE($D392),BSPL2026!$B:$Z,25,FALSE()),0)</f>
        <v>422237592</v>
      </c>
      <c r="K392" s="197"/>
      <c r="L392" s="198"/>
      <c r="M392" s="196" t="n">
        <f aca="false">J392+K392-L392</f>
        <v>422237592</v>
      </c>
      <c r="N392" s="197" t="n">
        <f aca="false">SUMIF('statutory adj_2026 조정분개'!$S:$S,$D392,'statutory adj_2026 조정분개'!$K:$K)</f>
        <v>0</v>
      </c>
      <c r="O392" s="198" t="n">
        <f aca="false">SUMIF('statutory adj_2026 조정분개'!$S:$S,$D392,'statutory adj_2026 조정분개'!$L:$L)</f>
        <v>0</v>
      </c>
      <c r="P392" s="196" t="n">
        <f aca="false">M392+N392-O392</f>
        <v>422237592</v>
      </c>
      <c r="Q392" s="199" t="n">
        <f aca="false">IFERROR(VLOOKUP(VALUE($D392),BSPL2026!$B:$Q,16,FALSE()),0)</f>
        <v>422237592</v>
      </c>
      <c r="R392" s="200" t="s">
        <v>496</v>
      </c>
      <c r="S392" s="162" t="str">
        <f aca="false">IFERROR(VLOOKUP(VALUE($D392),BSPL2026!$B:$M,12,FALSE()),"")</f>
        <v>이연법인세자산</v>
      </c>
      <c r="T392" s="162" t="str">
        <f aca="false">IF(OR(S392="",S392=0,LEFT(S392,5)="(원본오류"),"",IF(S392=H392,"","매핑차이"))</f>
        <v/>
      </c>
    </row>
    <row r="393" customFormat="false" ht="16.5" hidden="true" customHeight="false" outlineLevel="0" collapsed="false">
      <c r="D393" s="190" t="s">
        <v>1317</v>
      </c>
      <c r="E393" s="191" t="s">
        <v>1318</v>
      </c>
      <c r="F393" s="192" t="s">
        <v>493</v>
      </c>
      <c r="G393" s="193" t="s">
        <v>200</v>
      </c>
      <c r="H393" s="194" t="s">
        <v>208</v>
      </c>
      <c r="I393" s="195" t="s">
        <v>674</v>
      </c>
      <c r="J393" s="196" t="n">
        <f aca="false">IFERROR(VLOOKUP(VALUE($D393),BSPL2026!$B:$Z,25,FALSE()),0)</f>
        <v>-30019790582</v>
      </c>
      <c r="K393" s="197"/>
      <c r="L393" s="198"/>
      <c r="M393" s="196" t="n">
        <f aca="false">J393+K393-L393</f>
        <v>-30019790582</v>
      </c>
      <c r="N393" s="197" t="n">
        <f aca="false">SUMIF('statutory adj_2026 조정분개'!$S:$S,$D393,'statutory adj_2026 조정분개'!$K:$K)</f>
        <v>0</v>
      </c>
      <c r="O393" s="198" t="n">
        <f aca="false">SUMIF('statutory adj_2026 조정분개'!$S:$S,$D393,'statutory adj_2026 조정분개'!$L:$L)</f>
        <v>0</v>
      </c>
      <c r="P393" s="196" t="n">
        <f aca="false">M393+N393-O393</f>
        <v>-30019790582</v>
      </c>
      <c r="Q393" s="199" t="n">
        <f aca="false">IFERROR(VLOOKUP(VALUE($D393),BSPL2026!$B:$Q,16,FALSE()),0)</f>
        <v>-30019790582</v>
      </c>
      <c r="R393" s="200" t="s">
        <v>496</v>
      </c>
      <c r="S393" s="162" t="str">
        <f aca="false">IFERROR(VLOOKUP(VALUE($D393),BSPL2026!$B:$M,12,FALSE()),"")</f>
        <v>주식발행초과금</v>
      </c>
      <c r="T393" s="162" t="str">
        <f aca="false">IF(OR(S393="",S393=0,LEFT(S393,5)="(원본오류"),"",IF(S393=H393,"","매핑차이"))</f>
        <v/>
      </c>
    </row>
    <row r="394" customFormat="false" ht="16.5" hidden="true" customHeight="false" outlineLevel="0" collapsed="false">
      <c r="D394" s="190" t="s">
        <v>1319</v>
      </c>
      <c r="E394" s="191" t="s">
        <v>1320</v>
      </c>
      <c r="F394" s="192" t="s">
        <v>493</v>
      </c>
      <c r="G394" s="193" t="s">
        <v>200</v>
      </c>
      <c r="H394" s="194" t="s">
        <v>210</v>
      </c>
      <c r="I394" s="195" t="s">
        <v>676</v>
      </c>
      <c r="J394" s="196" t="n">
        <f aca="false">IFERROR(VLOOKUP(VALUE($D394),BSPL2026!$B:$Z,25,FALSE()),0)</f>
        <v>-3154816366</v>
      </c>
      <c r="K394" s="197"/>
      <c r="L394" s="198"/>
      <c r="M394" s="196" t="n">
        <f aca="false">J394+K394-L394</f>
        <v>-3154816366</v>
      </c>
      <c r="N394" s="197" t="n">
        <f aca="false">SUMIF('statutory adj_2026 조정분개'!$S:$S,$D394,'statutory adj_2026 조정분개'!$K:$K)</f>
        <v>0</v>
      </c>
      <c r="O394" s="198" t="n">
        <f aca="false">SUMIF('statutory adj_2026 조정분개'!$S:$S,$D394,'statutory adj_2026 조정분개'!$L:$L)</f>
        <v>0</v>
      </c>
      <c r="P394" s="196" t="n">
        <f aca="false">M394+N394-O394</f>
        <v>-3154816366</v>
      </c>
      <c r="Q394" s="199" t="n">
        <f aca="false">IFERROR(VLOOKUP(VALUE($D394),BSPL2026!$B:$Q,16,FALSE()),0)</f>
        <v>-3154816366</v>
      </c>
      <c r="R394" s="200" t="s">
        <v>496</v>
      </c>
      <c r="S394" s="162" t="str">
        <f aca="false">IFERROR(VLOOKUP(VALUE($D394),BSPL2026!$B:$M,12,FALSE()),"")</f>
        <v>기타자본잉여금</v>
      </c>
      <c r="T394" s="162" t="str">
        <f aca="false">IF(OR(S394="",S394=0,LEFT(S394,5)="(원본오류"),"",IF(S394=H394,"","매핑차이"))</f>
        <v/>
      </c>
    </row>
    <row r="395" customFormat="false" ht="16.5" hidden="true" customHeight="false" outlineLevel="0" collapsed="false">
      <c r="D395" s="190" t="s">
        <v>1321</v>
      </c>
      <c r="E395" s="191" t="s">
        <v>1322</v>
      </c>
      <c r="F395" s="192" t="s">
        <v>493</v>
      </c>
      <c r="G395" s="193" t="s">
        <v>200</v>
      </c>
      <c r="H395" s="194" t="s">
        <v>220</v>
      </c>
      <c r="I395" s="195" t="s">
        <v>1323</v>
      </c>
      <c r="J395" s="196" t="n">
        <f aca="false">IFERROR(VLOOKUP(VALUE($D395),BSPL2026!$B:$Z,25,FALSE()),0)</f>
        <v>52281765109</v>
      </c>
      <c r="K395" s="197"/>
      <c r="L395" s="198"/>
      <c r="M395" s="196" t="n">
        <f aca="false">J395+K395-L395</f>
        <v>52281765109</v>
      </c>
      <c r="N395" s="197" t="n">
        <f aca="false">SUMIF('statutory adj_2026 조정분개'!$S:$S,$D395,'statutory adj_2026 조정분개'!$K:$K)</f>
        <v>0</v>
      </c>
      <c r="O395" s="198" t="n">
        <f aca="false">SUMIF('statutory adj_2026 조정분개'!$S:$S,$D395,'statutory adj_2026 조정분개'!$L:$L)</f>
        <v>0</v>
      </c>
      <c r="P395" s="196" t="n">
        <f aca="false">M395+N395-O395</f>
        <v>52281765109</v>
      </c>
      <c r="Q395" s="199" t="n">
        <f aca="false">IFERROR(VLOOKUP(VALUE($D395),BSPL2026!$B:$Q,16,FALSE()),0)</f>
        <v>51148825200</v>
      </c>
      <c r="R395" s="200" t="s">
        <v>496</v>
      </c>
      <c r="S395" s="162" t="str">
        <f aca="false">IFERROR(VLOOKUP(VALUE($D395),BSPL2026!$B:$M,12,FALSE()),"")</f>
        <v>이익잉여금</v>
      </c>
      <c r="T395" s="162" t="str">
        <f aca="false">IF(OR(S395="",S395=0,LEFT(S395,5)="(원본오류"),"",IF(S395=H395,"","매핑차이"))</f>
        <v/>
      </c>
    </row>
    <row r="396" customFormat="false" ht="16.5" hidden="true" customHeight="false" outlineLevel="0" collapsed="false">
      <c r="D396" s="190" t="s">
        <v>456</v>
      </c>
      <c r="E396" s="191" t="s">
        <v>457</v>
      </c>
      <c r="F396" s="192" t="s">
        <v>493</v>
      </c>
      <c r="G396" s="193" t="s">
        <v>200</v>
      </c>
      <c r="H396" s="194" t="s">
        <v>216</v>
      </c>
      <c r="I396" s="195" t="s">
        <v>685</v>
      </c>
      <c r="J396" s="196" t="n">
        <f aca="false">IFERROR(VLOOKUP(VALUE($D396),BSPL2026!$B:$Z,25,FALSE()),0)</f>
        <v>25000000</v>
      </c>
      <c r="K396" s="197"/>
      <c r="L396" s="198"/>
      <c r="M396" s="196" t="n">
        <f aca="false">J396+K396-L396</f>
        <v>25000000</v>
      </c>
      <c r="N396" s="197" t="n">
        <f aca="false">SUMIF('statutory adj_2026 조정분개'!$S:$S,$D396,'statutory adj_2026 조정분개'!$K:$K)</f>
        <v>0</v>
      </c>
      <c r="O396" s="198" t="n">
        <f aca="false">SUMIF('statutory adj_2026 조정분개'!$S:$S,$D396,'statutory adj_2026 조정분개'!$L:$L)</f>
        <v>0</v>
      </c>
      <c r="P396" s="196" t="n">
        <f aca="false">M396+N396-O396</f>
        <v>25000000</v>
      </c>
      <c r="Q396" s="199" t="n">
        <f aca="false">IFERROR(VLOOKUP(VALUE($D396),BSPL2026!$B:$Q,16,FALSE()),0)</f>
        <v>25000000</v>
      </c>
      <c r="R396" s="200" t="s">
        <v>496</v>
      </c>
      <c r="S396" s="162" t="str">
        <f aca="false">IFERROR(VLOOKUP(VALUE($D396),BSPL2026!$B:$M,12,FALSE()),"")</f>
        <v>이익준비금</v>
      </c>
      <c r="T396" s="162" t="str">
        <f aca="false">IF(OR(S396="",S396=0,LEFT(S396,5)="(원본오류"),"",IF(S396=H396,"","매핑차이"))</f>
        <v/>
      </c>
    </row>
    <row r="397" customFormat="false" ht="16.5" hidden="true" customHeight="false" outlineLevel="0" collapsed="false">
      <c r="D397" s="190" t="s">
        <v>1324</v>
      </c>
      <c r="E397" s="191" t="s">
        <v>1325</v>
      </c>
      <c r="F397" s="192" t="s">
        <v>493</v>
      </c>
      <c r="G397" s="193" t="s">
        <v>200</v>
      </c>
      <c r="H397" s="194" t="s">
        <v>220</v>
      </c>
      <c r="I397" s="195" t="s">
        <v>689</v>
      </c>
      <c r="J397" s="196" t="n">
        <f aca="false">IFERROR(VLOOKUP(VALUE($D397),BSPL2026!$B:$Z,25,FALSE()),0)</f>
        <v>0</v>
      </c>
      <c r="K397" s="197"/>
      <c r="L397" s="198"/>
      <c r="M397" s="196" t="n">
        <f aca="false">J397+K397-L397</f>
        <v>0</v>
      </c>
      <c r="N397" s="197" t="n">
        <f aca="false">SUMIF('statutory adj_2026 조정분개'!$S:$S,$D397,'statutory adj_2026 조정분개'!$K:$K)</f>
        <v>0</v>
      </c>
      <c r="O397" s="198" t="n">
        <f aca="false">SUMIF('statutory adj_2026 조정분개'!$S:$S,$D397,'statutory adj_2026 조정분개'!$L:$L)</f>
        <v>0</v>
      </c>
      <c r="P397" s="196" t="n">
        <f aca="false">M397+N397-O397</f>
        <v>0</v>
      </c>
      <c r="Q397" s="199" t="n">
        <f aca="false">IFERROR(VLOOKUP(VALUE($D397),BSPL2026!$B:$Q,16,FALSE()),0)</f>
        <v>0</v>
      </c>
      <c r="R397" s="200" t="s">
        <v>496</v>
      </c>
      <c r="S397" s="162" t="str">
        <f aca="false">IFERROR(VLOOKUP(VALUE($D397),BSPL2026!$B:$M,12,FALSE()),"")</f>
        <v>이익잉여금</v>
      </c>
      <c r="T397" s="162" t="str">
        <f aca="false">IF(OR(S397="",S397=0,LEFT(S397,5)="(원본오류"),"",IF(S397=H397,"","매핑차이"))</f>
        <v/>
      </c>
    </row>
    <row r="398" customFormat="false" ht="16.5" hidden="true" customHeight="false" outlineLevel="0" collapsed="false">
      <c r="D398" s="190" t="s">
        <v>1326</v>
      </c>
      <c r="E398" s="191" t="s">
        <v>1327</v>
      </c>
      <c r="F398" s="192" t="s">
        <v>493</v>
      </c>
      <c r="G398" s="193" t="s">
        <v>200</v>
      </c>
      <c r="H398" s="194" t="s">
        <v>220</v>
      </c>
      <c r="I398" s="195" t="s">
        <v>687</v>
      </c>
      <c r="J398" s="196" t="n">
        <f aca="false">IFERROR(VLOOKUP(VALUE($D398),BSPL2026!$B:$Z,25,FALSE()),0)</f>
        <v>0</v>
      </c>
      <c r="K398" s="197"/>
      <c r="L398" s="198"/>
      <c r="M398" s="196" t="n">
        <f aca="false">J398+K398-L398</f>
        <v>0</v>
      </c>
      <c r="N398" s="197" t="n">
        <f aca="false">SUMIF('statutory adj_2026 조정분개'!$S:$S,$D398,'statutory adj_2026 조정분개'!$K:$K)</f>
        <v>0</v>
      </c>
      <c r="O398" s="198" t="n">
        <f aca="false">SUMIF('statutory adj_2026 조정분개'!$S:$S,$D398,'statutory adj_2026 조정분개'!$L:$L)</f>
        <v>0</v>
      </c>
      <c r="P398" s="196" t="n">
        <f aca="false">M398+N398-O398</f>
        <v>0</v>
      </c>
      <c r="Q398" s="199" t="n">
        <f aca="false">IFERROR(VLOOKUP(VALUE($D398),BSPL2026!$B:$Q,16,FALSE()),0)</f>
        <v>0</v>
      </c>
      <c r="R398" s="200" t="s">
        <v>496</v>
      </c>
      <c r="S398" s="162" t="str">
        <f aca="false">IFERROR(VLOOKUP(VALUE($D398),BSPL2026!$B:$M,12,FALSE()),"")</f>
        <v>이익잉여금</v>
      </c>
      <c r="T398" s="162" t="str">
        <f aca="false">IF(OR(S398="",S398=0,LEFT(S398,5)="(원본오류"),"",IF(S398=H398,"","매핑차이"))</f>
        <v/>
      </c>
    </row>
    <row r="399" customFormat="false" ht="16.5" hidden="true" customHeight="false" outlineLevel="0" collapsed="false">
      <c r="D399" s="190" t="s">
        <v>1328</v>
      </c>
      <c r="E399" s="191" t="s">
        <v>1329</v>
      </c>
      <c r="F399" s="192" t="s">
        <v>493</v>
      </c>
      <c r="G399" s="193" t="s">
        <v>157</v>
      </c>
      <c r="H399" s="194" t="s">
        <v>171</v>
      </c>
      <c r="I399" s="195" t="s">
        <v>765</v>
      </c>
      <c r="J399" s="196" t="n">
        <f aca="false">IFERROR(VLOOKUP(VALUE($D399),BSPL2026!$B:$Z,25,FALSE()),0)</f>
        <v>0</v>
      </c>
      <c r="K399" s="197"/>
      <c r="L399" s="198"/>
      <c r="M399" s="196" t="n">
        <f aca="false">J399+K399-L399</f>
        <v>0</v>
      </c>
      <c r="N399" s="197" t="n">
        <f aca="false">SUMIF('statutory adj_2026 조정분개'!$S:$S,$D399,'statutory adj_2026 조정분개'!$K:$K)</f>
        <v>0</v>
      </c>
      <c r="O399" s="198" t="n">
        <f aca="false">SUMIF('statutory adj_2026 조정분개'!$S:$S,$D399,'statutory adj_2026 조정분개'!$L:$L)</f>
        <v>0</v>
      </c>
      <c r="P399" s="196" t="n">
        <f aca="false">M399+N399-O399</f>
        <v>0</v>
      </c>
      <c r="Q399" s="199" t="n">
        <f aca="false">IFERROR(VLOOKUP(VALUE($D399),BSPL2026!$B:$Q,16,FALSE()),0)</f>
        <v>0</v>
      </c>
      <c r="R399" s="200" t="s">
        <v>496</v>
      </c>
      <c r="S399" s="162" t="n">
        <f aca="false">IFERROR(VLOOKUP(VALUE($D399),BSPL2026!$B:$M,12,FALSE()),"")</f>
        <v>0</v>
      </c>
      <c r="T399" s="162" t="str">
        <f aca="false">IF(OR(S399="",S399=0,LEFT(S399,5)="(원본오류"),"",IF(S399=H399,"","매핑차이"))</f>
        <v/>
      </c>
    </row>
    <row r="400" customFormat="false" ht="16.5" hidden="true" customHeight="false" outlineLevel="0" collapsed="false">
      <c r="D400" s="190" t="s">
        <v>1330</v>
      </c>
      <c r="E400" s="191" t="s">
        <v>1331</v>
      </c>
      <c r="F400" s="192" t="s">
        <v>493</v>
      </c>
      <c r="G400" s="193" t="s">
        <v>157</v>
      </c>
      <c r="H400" s="194" t="s">
        <v>169</v>
      </c>
      <c r="I400" s="195" t="s">
        <v>786</v>
      </c>
      <c r="J400" s="196" t="n">
        <f aca="false">IFERROR(VLOOKUP(VALUE($D400),BSPL2026!$B:$Z,25,FALSE()),0)</f>
        <v>0</v>
      </c>
      <c r="K400" s="197"/>
      <c r="L400" s="198"/>
      <c r="M400" s="196" t="n">
        <f aca="false">J400+K400-L400</f>
        <v>0</v>
      </c>
      <c r="N400" s="197" t="n">
        <f aca="false">SUMIF('statutory adj_2026 조정분개'!$S:$S,$D400,'statutory adj_2026 조정분개'!$K:$K)</f>
        <v>0</v>
      </c>
      <c r="O400" s="198" t="n">
        <f aca="false">SUMIF('statutory adj_2026 조정분개'!$S:$S,$D400,'statutory adj_2026 조정분개'!$L:$L)</f>
        <v>0</v>
      </c>
      <c r="P400" s="196" t="n">
        <f aca="false">M400+N400-O400</f>
        <v>0</v>
      </c>
      <c r="Q400" s="199" t="n">
        <f aca="false">IFERROR(VLOOKUP(VALUE($D400),BSPL2026!$B:$Q,16,FALSE()),0)</f>
        <v>0</v>
      </c>
      <c r="R400" s="200" t="s">
        <v>496</v>
      </c>
      <c r="S400" s="162" t="n">
        <f aca="false">IFERROR(VLOOKUP(VALUE($D400),BSPL2026!$B:$M,12,FALSE()),"")</f>
        <v>0</v>
      </c>
      <c r="T400" s="162" t="str">
        <f aca="false">IF(OR(S400="",S400=0,LEFT(S400,5)="(원본오류"),"",IF(S400=H400,"","매핑차이"))</f>
        <v/>
      </c>
    </row>
    <row r="401" customFormat="false" ht="16.5" hidden="true" customHeight="false" outlineLevel="0" collapsed="false">
      <c r="D401" s="190" t="s">
        <v>1332</v>
      </c>
      <c r="E401" s="191" t="s">
        <v>1333</v>
      </c>
      <c r="F401" s="192" t="s">
        <v>493</v>
      </c>
      <c r="G401" s="193" t="s">
        <v>157</v>
      </c>
      <c r="H401" s="194" t="s">
        <v>161</v>
      </c>
      <c r="I401" s="195" t="s">
        <v>704</v>
      </c>
      <c r="J401" s="196" t="n">
        <f aca="false">IFERROR(VLOOKUP(VALUE($D401),BSPL2026!$B:$Z,25,FALSE()),0)</f>
        <v>0</v>
      </c>
      <c r="K401" s="197"/>
      <c r="L401" s="198"/>
      <c r="M401" s="196" t="n">
        <f aca="false">J401+K401-L401</f>
        <v>0</v>
      </c>
      <c r="N401" s="197" t="n">
        <f aca="false">SUMIF('statutory adj_2026 조정분개'!$S:$S,$D401,'statutory adj_2026 조정분개'!$K:$K)</f>
        <v>0</v>
      </c>
      <c r="O401" s="198" t="n">
        <f aca="false">SUMIF('statutory adj_2026 조정분개'!$S:$S,$D401,'statutory adj_2026 조정분개'!$L:$L)</f>
        <v>0</v>
      </c>
      <c r="P401" s="196" t="n">
        <f aca="false">M401+N401-O401</f>
        <v>0</v>
      </c>
      <c r="Q401" s="199" t="n">
        <f aca="false">IFERROR(VLOOKUP(VALUE($D401),BSPL2026!$B:$Q,16,FALSE()),0)</f>
        <v>-154705481</v>
      </c>
      <c r="R401" s="200" t="s">
        <v>496</v>
      </c>
      <c r="S401" s="162" t="str">
        <f aca="false">IFERROR(VLOOKUP(VALUE($D401),BSPL2026!$B:$M,12,FALSE()),"")</f>
        <v>매입채무</v>
      </c>
      <c r="T401" s="162" t="str">
        <f aca="false">IF(OR(S401="",S401=0,LEFT(S401,5)="(원본오류"),"",IF(S401=H401,"","매핑차이"))</f>
        <v/>
      </c>
    </row>
    <row r="402" customFormat="false" ht="16.5" hidden="true" customHeight="false" outlineLevel="0" collapsed="false">
      <c r="D402" s="190" t="s">
        <v>1334</v>
      </c>
      <c r="E402" s="191" t="s">
        <v>1335</v>
      </c>
      <c r="F402" s="192" t="s">
        <v>493</v>
      </c>
      <c r="G402" s="193" t="s">
        <v>157</v>
      </c>
      <c r="H402" s="194" t="s">
        <v>171</v>
      </c>
      <c r="I402" s="195" t="s">
        <v>800</v>
      </c>
      <c r="J402" s="196" t="n">
        <f aca="false">IFERROR(VLOOKUP(VALUE($D402),BSPL2026!$B:$Z,25,FALSE()),0)</f>
        <v>0</v>
      </c>
      <c r="K402" s="197"/>
      <c r="L402" s="198"/>
      <c r="M402" s="196" t="n">
        <f aca="false">J402+K402-L402</f>
        <v>0</v>
      </c>
      <c r="N402" s="197" t="n">
        <f aca="false">SUMIF('statutory adj_2026 조정분개'!$S:$S,$D402,'statutory adj_2026 조정분개'!$K:$K)</f>
        <v>0</v>
      </c>
      <c r="O402" s="198" t="n">
        <f aca="false">SUMIF('statutory adj_2026 조정분개'!$S:$S,$D402,'statutory adj_2026 조정분개'!$L:$L)</f>
        <v>0</v>
      </c>
      <c r="P402" s="196" t="n">
        <f aca="false">M402+N402-O402</f>
        <v>0</v>
      </c>
      <c r="Q402" s="199" t="n">
        <f aca="false">IFERROR(VLOOKUP(VALUE($D402),BSPL2026!$B:$Q,16,FALSE()),0)</f>
        <v>0</v>
      </c>
      <c r="R402" s="200" t="s">
        <v>496</v>
      </c>
      <c r="S402" s="162" t="n">
        <f aca="false">IFERROR(VLOOKUP(VALUE($D402),BSPL2026!$B:$M,12,FALSE()),"")</f>
        <v>0</v>
      </c>
      <c r="T402" s="162" t="str">
        <f aca="false">IF(OR(S402="",S402=0,LEFT(S402,5)="(원본오류"),"",IF(S402=H402,"","매핑차이"))</f>
        <v/>
      </c>
    </row>
    <row r="403" customFormat="false" ht="16.5" hidden="true" customHeight="false" outlineLevel="0" collapsed="false">
      <c r="D403" s="190" t="s">
        <v>1336</v>
      </c>
      <c r="E403" s="191" t="s">
        <v>1337</v>
      </c>
      <c r="F403" s="192" t="s">
        <v>493</v>
      </c>
      <c r="G403" s="193" t="s">
        <v>157</v>
      </c>
      <c r="H403" s="194" t="s">
        <v>173</v>
      </c>
      <c r="I403" s="195" t="s">
        <v>818</v>
      </c>
      <c r="J403" s="196" t="n">
        <f aca="false">IFERROR(VLOOKUP(VALUE($D403),BSPL2026!$B:$Z,25,FALSE()),0)</f>
        <v>0</v>
      </c>
      <c r="K403" s="197"/>
      <c r="L403" s="198"/>
      <c r="M403" s="196" t="n">
        <f aca="false">J403+K403-L403</f>
        <v>0</v>
      </c>
      <c r="N403" s="197" t="n">
        <f aca="false">SUMIF('statutory adj_2026 조정분개'!$S:$S,$D403,'statutory adj_2026 조정분개'!$K:$K)</f>
        <v>0</v>
      </c>
      <c r="O403" s="198" t="n">
        <f aca="false">SUMIF('statutory adj_2026 조정분개'!$S:$S,$D403,'statutory adj_2026 조정분개'!$L:$L)</f>
        <v>0</v>
      </c>
      <c r="P403" s="196" t="n">
        <f aca="false">M403+N403-O403</f>
        <v>0</v>
      </c>
      <c r="Q403" s="199" t="n">
        <f aca="false">IFERROR(VLOOKUP(VALUE($D403),BSPL2026!$B:$Q,16,FALSE()),0)</f>
        <v>0</v>
      </c>
      <c r="R403" s="200" t="s">
        <v>496</v>
      </c>
      <c r="S403" s="162" t="n">
        <f aca="false">IFERROR(VLOOKUP(VALUE($D403),BSPL2026!$B:$M,12,FALSE()),"")</f>
        <v>0</v>
      </c>
      <c r="T403" s="162" t="str">
        <f aca="false">IF(OR(S403="",S403=0,LEFT(S403,5)="(원본오류"),"",IF(S403=H403,"","매핑차이"))</f>
        <v/>
      </c>
    </row>
    <row r="404" customFormat="false" ht="16.5" hidden="true" customHeight="false" outlineLevel="0" collapsed="false">
      <c r="D404" s="190" t="s">
        <v>1338</v>
      </c>
      <c r="E404" s="191" t="s">
        <v>1339</v>
      </c>
      <c r="F404" s="192" t="s">
        <v>493</v>
      </c>
      <c r="G404" s="193" t="s">
        <v>157</v>
      </c>
      <c r="H404" s="194" t="s">
        <v>175</v>
      </c>
      <c r="I404" s="195" t="s">
        <v>820</v>
      </c>
      <c r="J404" s="196" t="n">
        <f aca="false">IFERROR(VLOOKUP(VALUE($D404),BSPL2026!$B:$Z,25,FALSE()),0)</f>
        <v>0</v>
      </c>
      <c r="K404" s="197"/>
      <c r="L404" s="198"/>
      <c r="M404" s="196" t="n">
        <f aca="false">J404+K404-L404</f>
        <v>0</v>
      </c>
      <c r="N404" s="197" t="n">
        <f aca="false">SUMIF('statutory adj_2026 조정분개'!$S:$S,$D404,'statutory adj_2026 조정분개'!$K:$K)</f>
        <v>0</v>
      </c>
      <c r="O404" s="198" t="n">
        <f aca="false">SUMIF('statutory adj_2026 조정분개'!$S:$S,$D404,'statutory adj_2026 조정분개'!$L:$L)</f>
        <v>0</v>
      </c>
      <c r="P404" s="196" t="n">
        <f aca="false">M404+N404-O404</f>
        <v>0</v>
      </c>
      <c r="Q404" s="199" t="n">
        <f aca="false">IFERROR(VLOOKUP(VALUE($D404),BSPL2026!$B:$Q,16,FALSE()),0)</f>
        <v>3589508933</v>
      </c>
      <c r="R404" s="200" t="s">
        <v>496</v>
      </c>
      <c r="S404" s="162" t="str">
        <f aca="false">IFERROR(VLOOKUP(VALUE($D404),BSPL2026!$B:$M,12,FALSE()),"")</f>
        <v>미지급법인세</v>
      </c>
      <c r="T404" s="162" t="str">
        <f aca="false">IF(OR(S404="",S404=0,LEFT(S404,5)="(원본오류"),"",IF(S404=H404,"","매핑차이"))</f>
        <v/>
      </c>
    </row>
    <row r="405" customFormat="false" ht="16.5" hidden="true" customHeight="false" outlineLevel="0" collapsed="false">
      <c r="D405" s="190" t="s">
        <v>1340</v>
      </c>
      <c r="E405" s="191" t="s">
        <v>1341</v>
      </c>
      <c r="F405" s="192" t="s">
        <v>493</v>
      </c>
      <c r="G405" s="193" t="s">
        <v>157</v>
      </c>
      <c r="H405" s="194" t="s">
        <v>195</v>
      </c>
      <c r="I405" s="195" t="s">
        <v>1342</v>
      </c>
      <c r="J405" s="196" t="n">
        <f aca="false">IFERROR(VLOOKUP(VALUE($D405),BSPL2026!$B:$Z,25,FALSE()),0)</f>
        <v>0</v>
      </c>
      <c r="K405" s="197"/>
      <c r="L405" s="198"/>
      <c r="M405" s="196" t="n">
        <f aca="false">J405+K405-L405</f>
        <v>0</v>
      </c>
      <c r="N405" s="197" t="n">
        <f aca="false">SUMIF('statutory adj_2026 조정분개'!$S:$S,$D405,'statutory adj_2026 조정분개'!$K:$K)</f>
        <v>0</v>
      </c>
      <c r="O405" s="198" t="n">
        <f aca="false">SUMIF('statutory adj_2026 조정분개'!$S:$S,$D405,'statutory adj_2026 조정분개'!$L:$L)</f>
        <v>0</v>
      </c>
      <c r="P405" s="196" t="n">
        <f aca="false">M405+N405-O405</f>
        <v>0</v>
      </c>
      <c r="Q405" s="199" t="n">
        <f aca="false">IFERROR(VLOOKUP(VALUE($D405),BSPL2026!$B:$Q,16,FALSE()),0)</f>
        <v>0</v>
      </c>
      <c r="R405" s="200" t="s">
        <v>496</v>
      </c>
      <c r="S405" s="162" t="n">
        <f aca="false">IFERROR(VLOOKUP(VALUE($D405),BSPL2026!$B:$M,12,FALSE()),"")</f>
        <v>0</v>
      </c>
      <c r="T405" s="162" t="str">
        <f aca="false">IF(OR(S405="",S405=0,LEFT(S405,5)="(원본오류"),"",IF(S405=H405,"","매핑차이"))</f>
        <v/>
      </c>
    </row>
    <row r="406" customFormat="false" ht="16.5" hidden="true" customHeight="false" outlineLevel="0" collapsed="false">
      <c r="D406" s="190" t="s">
        <v>1343</v>
      </c>
      <c r="E406" s="191" t="s">
        <v>1344</v>
      </c>
      <c r="F406" s="192" t="s">
        <v>493</v>
      </c>
      <c r="G406" s="193" t="s">
        <v>157</v>
      </c>
      <c r="H406" s="194" t="s">
        <v>167</v>
      </c>
      <c r="I406" s="195" t="s">
        <v>812</v>
      </c>
      <c r="J406" s="196" t="n">
        <f aca="false">IFERROR(VLOOKUP(VALUE($D406),BSPL2026!$B:$Z,25,FALSE()),0)</f>
        <v>0</v>
      </c>
      <c r="K406" s="197"/>
      <c r="L406" s="198"/>
      <c r="M406" s="196" t="n">
        <f aca="false">J406+K406-L406</f>
        <v>0</v>
      </c>
      <c r="N406" s="197" t="n">
        <f aca="false">SUMIF('statutory adj_2026 조정분개'!$S:$S,$D406,'statutory adj_2026 조정분개'!$K:$K)</f>
        <v>0</v>
      </c>
      <c r="O406" s="198" t="n">
        <f aca="false">SUMIF('statutory adj_2026 조정분개'!$S:$S,$D406,'statutory adj_2026 조정분개'!$L:$L)</f>
        <v>0</v>
      </c>
      <c r="P406" s="196" t="n">
        <f aca="false">M406+N406-O406</f>
        <v>0</v>
      </c>
      <c r="Q406" s="199" t="n">
        <f aca="false">IFERROR(VLOOKUP(VALUE($D406),BSPL2026!$B:$Q,16,FALSE()),0)</f>
        <v>0</v>
      </c>
      <c r="R406" s="200" t="s">
        <v>496</v>
      </c>
      <c r="S406" s="162" t="n">
        <f aca="false">IFERROR(VLOOKUP(VALUE($D406),BSPL2026!$B:$M,12,FALSE()),"")</f>
        <v>0</v>
      </c>
      <c r="T406" s="162" t="str">
        <f aca="false">IF(OR(S406="",S406=0,LEFT(S406,5)="(원본오류"),"",IF(S406=H406,"","매핑차이"))</f>
        <v/>
      </c>
    </row>
    <row r="407" customFormat="false" ht="16.5" hidden="true" customHeight="false" outlineLevel="0" collapsed="false">
      <c r="D407" s="190" t="s">
        <v>1345</v>
      </c>
      <c r="E407" s="191" t="s">
        <v>814</v>
      </c>
      <c r="F407" s="192" t="s">
        <v>493</v>
      </c>
      <c r="G407" s="193" t="s">
        <v>157</v>
      </c>
      <c r="H407" s="194" t="s">
        <v>171</v>
      </c>
      <c r="I407" s="195" t="s">
        <v>814</v>
      </c>
      <c r="J407" s="196" t="n">
        <f aca="false">IFERROR(VLOOKUP(VALUE($D407),BSPL2026!$B:$Z,25,FALSE()),0)</f>
        <v>130609871</v>
      </c>
      <c r="K407" s="197"/>
      <c r="L407" s="198"/>
      <c r="M407" s="196" t="n">
        <f aca="false">J407+K407-L407</f>
        <v>130609871</v>
      </c>
      <c r="N407" s="197" t="n">
        <f aca="false">SUMIF('statutory adj_2026 조정분개'!$S:$S,$D407,'statutory adj_2026 조정분개'!$K:$K)</f>
        <v>0</v>
      </c>
      <c r="O407" s="198" t="n">
        <f aca="false">SUMIF('statutory adj_2026 조정분개'!$S:$S,$D407,'statutory adj_2026 조정분개'!$L:$L)</f>
        <v>0</v>
      </c>
      <c r="P407" s="196" t="n">
        <f aca="false">M407+N407-O407</f>
        <v>130609871</v>
      </c>
      <c r="Q407" s="199" t="n">
        <f aca="false">IFERROR(VLOOKUP(VALUE($D407),BSPL2026!$B:$Q,16,FALSE()),0)</f>
        <v>1034568702</v>
      </c>
      <c r="R407" s="200" t="s">
        <v>496</v>
      </c>
      <c r="S407" s="162" t="str">
        <f aca="false">IFERROR(VLOOKUP(VALUE($D407),BSPL2026!$B:$M,12,FALSE()),"")</f>
        <v>미지급비용</v>
      </c>
      <c r="T407" s="162" t="str">
        <f aca="false">IF(OR(S407="",S407=0,LEFT(S407,5)="(원본오류"),"",IF(S407=H407,"","매핑차이"))</f>
        <v/>
      </c>
    </row>
    <row r="408" customFormat="false" ht="16.5" hidden="true" customHeight="false" outlineLevel="0" collapsed="false">
      <c r="D408" s="190" t="s">
        <v>1346</v>
      </c>
      <c r="E408" s="191" t="s">
        <v>816</v>
      </c>
      <c r="F408" s="192" t="s">
        <v>493</v>
      </c>
      <c r="G408" s="193" t="s">
        <v>157</v>
      </c>
      <c r="H408" s="194" t="s">
        <v>171</v>
      </c>
      <c r="I408" s="195" t="s">
        <v>816</v>
      </c>
      <c r="J408" s="196" t="n">
        <f aca="false">IFERROR(VLOOKUP(VALUE($D408),BSPL2026!$B:$Z,25,FALSE()),0)</f>
        <v>-144523</v>
      </c>
      <c r="K408" s="197"/>
      <c r="L408" s="198"/>
      <c r="M408" s="196" t="n">
        <f aca="false">J408+K408-L408</f>
        <v>-144523</v>
      </c>
      <c r="N408" s="197" t="n">
        <f aca="false">SUMIF('statutory adj_2026 조정분개'!$S:$S,$D408,'statutory adj_2026 조정분개'!$K:$K)</f>
        <v>0</v>
      </c>
      <c r="O408" s="198" t="n">
        <f aca="false">SUMIF('statutory adj_2026 조정분개'!$S:$S,$D408,'statutory adj_2026 조정분개'!$L:$L)</f>
        <v>0</v>
      </c>
      <c r="P408" s="196" t="n">
        <f aca="false">M408+N408-O408</f>
        <v>-144523</v>
      </c>
      <c r="Q408" s="199" t="n">
        <f aca="false">IFERROR(VLOOKUP(VALUE($D408),BSPL2026!$B:$Q,16,FALSE()),0)</f>
        <v>1479860</v>
      </c>
      <c r="R408" s="200" t="s">
        <v>496</v>
      </c>
      <c r="S408" s="162" t="str">
        <f aca="false">IFERROR(VLOOKUP(VALUE($D408),BSPL2026!$B:$M,12,FALSE()),"")</f>
        <v>미지급비용</v>
      </c>
      <c r="T408" s="162" t="str">
        <f aca="false">IF(OR(S408="",S408=0,LEFT(S408,5)="(원본오류"),"",IF(S408=H408,"","매핑차이"))</f>
        <v/>
      </c>
    </row>
    <row r="409" customFormat="false" ht="16.5" hidden="true" customHeight="false" outlineLevel="0" collapsed="false">
      <c r="D409" s="190" t="s">
        <v>1347</v>
      </c>
      <c r="E409" s="191" t="s">
        <v>1348</v>
      </c>
      <c r="F409" s="192" t="s">
        <v>493</v>
      </c>
      <c r="G409" s="193" t="s">
        <v>200</v>
      </c>
      <c r="H409" s="194" t="s">
        <v>220</v>
      </c>
      <c r="I409" s="195" t="s">
        <v>1348</v>
      </c>
      <c r="J409" s="196" t="n">
        <f aca="false">IFERROR(VLOOKUP(VALUE($D409),BSPL2026!$B:$Z,25,FALSE()),0)</f>
        <v>-20153937997</v>
      </c>
      <c r="K409" s="197"/>
      <c r="L409" s="198"/>
      <c r="M409" s="196" t="n">
        <f aca="false">J409+K409-L409</f>
        <v>-20153937997</v>
      </c>
      <c r="N409" s="197" t="n">
        <f aca="false">SUMIF('statutory adj_2026 조정분개'!$S:$S,$D409,'statutory adj_2026 조정분개'!$K:$K)</f>
        <v>0</v>
      </c>
      <c r="O409" s="198" t="n">
        <f aca="false">SUMIF('statutory adj_2026 조정분개'!$S:$S,$D409,'statutory adj_2026 조정분개'!$L:$L)</f>
        <v>0</v>
      </c>
      <c r="P409" s="196" t="n">
        <f aca="false">M409+N409-O409</f>
        <v>-20153937997</v>
      </c>
      <c r="Q409" s="199" t="n">
        <f aca="false">IFERROR(VLOOKUP(VALUE($D409),BSPL2026!$B:$Q,16,FALSE()),0)</f>
        <v>-22053341135</v>
      </c>
      <c r="R409" s="200" t="s">
        <v>496</v>
      </c>
      <c r="S409" s="162" t="str">
        <f aca="false">IFERROR(VLOOKUP(VALUE($D409),BSPL2026!$B:$M,12,FALSE()),"")</f>
        <v>이익잉여금</v>
      </c>
      <c r="T409" s="162" t="str">
        <f aca="false">IF(OR(S409="",S409=0,LEFT(S409,5)="(원본오류"),"",IF(S409=H409,"","매핑차이"))</f>
        <v/>
      </c>
    </row>
    <row r="410" customFormat="false" ht="16.5" hidden="true" customHeight="false" outlineLevel="0" collapsed="false">
      <c r="D410" s="190" t="s">
        <v>1349</v>
      </c>
      <c r="E410" s="191" t="s">
        <v>1350</v>
      </c>
      <c r="F410" s="192" t="s">
        <v>841</v>
      </c>
      <c r="G410" s="193" t="s">
        <v>368</v>
      </c>
      <c r="H410" s="194" t="s">
        <v>368</v>
      </c>
      <c r="I410" s="195" t="s">
        <v>1245</v>
      </c>
      <c r="J410" s="196" t="n">
        <f aca="false">IFERROR(VLOOKUP(VALUE($D410),BSPL2026!$B:$Z,25,FALSE()),0)</f>
        <v>-2014151916</v>
      </c>
      <c r="K410" s="197"/>
      <c r="L410" s="198"/>
      <c r="M410" s="196" t="n">
        <f aca="false">J410+K410-L410</f>
        <v>-2014151916</v>
      </c>
      <c r="N410" s="197" t="n">
        <f aca="false">SUMIF('statutory adj_2026 조정분개'!$S:$S,$D410,'statutory adj_2026 조정분개'!$K:$K)</f>
        <v>0</v>
      </c>
      <c r="O410" s="198" t="n">
        <f aca="false">SUMIF('statutory adj_2026 조정분개'!$S:$S,$D410,'statutory adj_2026 조정분개'!$L:$L)</f>
        <v>0</v>
      </c>
      <c r="P410" s="196" t="n">
        <f aca="false">M410+N410-O410</f>
        <v>-2014151916</v>
      </c>
      <c r="Q410" s="199" t="n">
        <f aca="false">IFERROR(VLOOKUP(VALUE($D410),BSPL2026!$B:$Q,16,FALSE()),0)</f>
        <v>-824172698</v>
      </c>
      <c r="R410" s="200" t="s">
        <v>496</v>
      </c>
      <c r="S410" s="162" t="str">
        <f aca="false">IFERROR(VLOOKUP(VALUE($D410),BSPL2026!$B:$M,12,FALSE()),"")</f>
        <v>법인세비용</v>
      </c>
      <c r="T410" s="162" t="str">
        <f aca="false">IF(OR(S410="",S410=0,LEFT(S410,5)="(원본오류"),"",IF(S410=H410,"","매핑차이"))</f>
        <v/>
      </c>
    </row>
    <row r="411" customFormat="false" ht="16.5" hidden="true" customHeight="false" outlineLevel="0" collapsed="false">
      <c r="D411" s="190" t="s">
        <v>1351</v>
      </c>
      <c r="E411" s="191" t="s">
        <v>1352</v>
      </c>
      <c r="F411" s="192" t="s">
        <v>841</v>
      </c>
      <c r="G411" s="193" t="s">
        <v>368</v>
      </c>
      <c r="H411" s="194" t="s">
        <v>368</v>
      </c>
      <c r="I411" s="195" t="s">
        <v>1353</v>
      </c>
      <c r="J411" s="196" t="n">
        <f aca="false">IFERROR(VLOOKUP(VALUE($D411),BSPL2026!$B:$Z,25,FALSE()),0)</f>
        <v>0</v>
      </c>
      <c r="K411" s="197"/>
      <c r="L411" s="198"/>
      <c r="M411" s="196" t="n">
        <f aca="false">J411+K411-L411</f>
        <v>0</v>
      </c>
      <c r="N411" s="197" t="n">
        <f aca="false">SUMIF('statutory adj_2026 조정분개'!$S:$S,$D411,'statutory adj_2026 조정분개'!$K:$K)</f>
        <v>0</v>
      </c>
      <c r="O411" s="198" t="n">
        <f aca="false">SUMIF('statutory adj_2026 조정분개'!$S:$S,$D411,'statutory adj_2026 조정분개'!$L:$L)</f>
        <v>0</v>
      </c>
      <c r="P411" s="196" t="n">
        <f aca="false">M411+N411-O411</f>
        <v>0</v>
      </c>
      <c r="Q411" s="199" t="n">
        <f aca="false">IFERROR(VLOOKUP(VALUE($D411),BSPL2026!$B:$Q,16,FALSE()),0)</f>
        <v>0</v>
      </c>
      <c r="R411" s="200" t="s">
        <v>496</v>
      </c>
      <c r="S411" s="162" t="n">
        <f aca="false">IFERROR(VLOOKUP(VALUE($D411),BSPL2026!$B:$M,12,FALSE()),"")</f>
        <v>0</v>
      </c>
      <c r="T411" s="162" t="str">
        <f aca="false">IF(OR(S411="",S411=0,LEFT(S411,5)="(원본오류"),"",IF(S411=H411,"","매핑차이"))</f>
        <v/>
      </c>
    </row>
    <row r="412" customFormat="false" ht="16.5" hidden="true" customHeight="false" outlineLevel="0" collapsed="false">
      <c r="D412" s="190" t="s">
        <v>1354</v>
      </c>
      <c r="E412" s="191" t="s">
        <v>1355</v>
      </c>
      <c r="F412" s="192" t="s">
        <v>841</v>
      </c>
      <c r="G412" s="193" t="s">
        <v>912</v>
      </c>
      <c r="H412" s="194" t="s">
        <v>289</v>
      </c>
      <c r="I412" s="195" t="s">
        <v>1356</v>
      </c>
      <c r="J412" s="196" t="n">
        <f aca="false">IFERROR(VLOOKUP(VALUE($D412),BSPL2026!$B:$Z,25,FALSE()),0)</f>
        <v>0</v>
      </c>
      <c r="K412" s="197"/>
      <c r="L412" s="198"/>
      <c r="M412" s="196" t="n">
        <f aca="false">J412+K412-L412</f>
        <v>0</v>
      </c>
      <c r="N412" s="197" t="n">
        <f aca="false">SUMIF('statutory adj_2026 조정분개'!$S:$S,$D412,'statutory adj_2026 조정분개'!$K:$K)</f>
        <v>0</v>
      </c>
      <c r="O412" s="198" t="n">
        <f aca="false">SUMIF('statutory adj_2026 조정분개'!$S:$S,$D412,'statutory adj_2026 조정분개'!$L:$L)</f>
        <v>155357637</v>
      </c>
      <c r="P412" s="196" t="n">
        <f aca="false">M412+N412-O412</f>
        <v>-155357637</v>
      </c>
      <c r="Q412" s="199" t="n">
        <f aca="false">IFERROR(VLOOKUP(VALUE($D412),BSPL2026!$B:$Q,16,FALSE()),0)</f>
        <v>0</v>
      </c>
      <c r="R412" s="200" t="s">
        <v>496</v>
      </c>
      <c r="S412" s="162" t="n">
        <f aca="false">IFERROR(VLOOKUP(VALUE($D412),BSPL2026!$B:$M,12,FALSE()),"")</f>
        <v>0</v>
      </c>
      <c r="T412" s="162" t="str">
        <f aca="false">IF(OR(S412="",S412=0,LEFT(S412,5)="(원본오류"),"",IF(S412=H412,"","매핑차이"))</f>
        <v/>
      </c>
    </row>
    <row r="413" customFormat="false" ht="16.5" hidden="true" customHeight="false" outlineLevel="0" collapsed="false">
      <c r="D413" s="190" t="s">
        <v>1357</v>
      </c>
      <c r="E413" s="191" t="s">
        <v>1358</v>
      </c>
      <c r="F413" s="192" t="s">
        <v>841</v>
      </c>
      <c r="G413" s="193" t="s">
        <v>912</v>
      </c>
      <c r="H413" s="194" t="s">
        <v>290</v>
      </c>
      <c r="I413" s="195" t="s">
        <v>994</v>
      </c>
      <c r="J413" s="196" t="n">
        <f aca="false">IFERROR(VLOOKUP(VALUE($D413),BSPL2026!$B:$Z,25,FALSE()),0)</f>
        <v>0</v>
      </c>
      <c r="K413" s="197"/>
      <c r="L413" s="198"/>
      <c r="M413" s="196" t="n">
        <f aca="false">J413+K413-L413</f>
        <v>0</v>
      </c>
      <c r="N413" s="197" t="n">
        <f aca="false">SUMIF('statutory adj_2026 조정분개'!$S:$S,$D413,'statutory adj_2026 조정분개'!$K:$K)</f>
        <v>0</v>
      </c>
      <c r="O413" s="198" t="n">
        <f aca="false">SUMIF('statutory adj_2026 조정분개'!$S:$S,$D413,'statutory adj_2026 조정분개'!$L:$L)</f>
        <v>128225390</v>
      </c>
      <c r="P413" s="196" t="n">
        <f aca="false">M413+N413-O413</f>
        <v>-128225390</v>
      </c>
      <c r="Q413" s="199" t="n">
        <f aca="false">IFERROR(VLOOKUP(VALUE($D413),BSPL2026!$B:$Q,16,FALSE()),0)</f>
        <v>0</v>
      </c>
      <c r="R413" s="200" t="s">
        <v>496</v>
      </c>
      <c r="S413" s="162" t="n">
        <f aca="false">IFERROR(VLOOKUP(VALUE($D413),BSPL2026!$B:$M,12,FALSE()),"")</f>
        <v>0</v>
      </c>
      <c r="T413" s="162" t="str">
        <f aca="false">IF(OR(S413="",S413=0,LEFT(S413,5)="(원본오류"),"",IF(S413=H413,"","매핑차이"))</f>
        <v/>
      </c>
    </row>
    <row r="414" customFormat="false" ht="16.5" hidden="true" customHeight="false" outlineLevel="0" collapsed="false">
      <c r="D414" s="190" t="s">
        <v>1359</v>
      </c>
      <c r="E414" s="191" t="s">
        <v>1360</v>
      </c>
      <c r="F414" s="192" t="s">
        <v>841</v>
      </c>
      <c r="G414" s="193" t="s">
        <v>912</v>
      </c>
      <c r="H414" s="194" t="s">
        <v>282</v>
      </c>
      <c r="I414" s="195" t="s">
        <v>935</v>
      </c>
      <c r="J414" s="196" t="n">
        <f aca="false">IFERROR(VLOOKUP(VALUE($D414),BSPL2026!$B:$Z,25,FALSE()),0)</f>
        <v>0</v>
      </c>
      <c r="K414" s="197"/>
      <c r="L414" s="198"/>
      <c r="M414" s="196" t="n">
        <f aca="false">J414+K414-L414</f>
        <v>0</v>
      </c>
      <c r="N414" s="197" t="n">
        <f aca="false">SUMIF('statutory adj_2026 조정분개'!$S:$S,$D414,'statutory adj_2026 조정분개'!$K:$K)</f>
        <v>0</v>
      </c>
      <c r="O414" s="198" t="n">
        <f aca="false">SUMIF('statutory adj_2026 조정분개'!$S:$S,$D414,'statutory adj_2026 조정분개'!$L:$L)</f>
        <v>2369648232</v>
      </c>
      <c r="P414" s="196" t="n">
        <f aca="false">M414+N414-O414</f>
        <v>-2369648232</v>
      </c>
      <c r="Q414" s="199" t="n">
        <f aca="false">IFERROR(VLOOKUP(VALUE($D414),BSPL2026!$B:$Q,16,FALSE()),0)</f>
        <v>433482852</v>
      </c>
      <c r="R414" s="200" t="s">
        <v>496</v>
      </c>
      <c r="S414" s="162" t="str">
        <f aca="false">IFERROR(VLOOKUP(VALUE($D414),BSPL2026!$B:$M,12,FALSE()),"")</f>
        <v>급여</v>
      </c>
      <c r="T414" s="162" t="str">
        <f aca="false">IF(OR(S414="",S414=0,LEFT(S414,5)="(원본오류"),"",IF(S414=H414,"","매핑차이"))</f>
        <v/>
      </c>
    </row>
    <row r="415" customFormat="false" ht="16.5" hidden="true" customHeight="false" outlineLevel="0" collapsed="false">
      <c r="D415" s="190" t="s">
        <v>1361</v>
      </c>
      <c r="E415" s="191" t="s">
        <v>1362</v>
      </c>
      <c r="F415" s="192" t="s">
        <v>841</v>
      </c>
      <c r="G415" s="193" t="s">
        <v>912</v>
      </c>
      <c r="H415" s="194" t="s">
        <v>313</v>
      </c>
      <c r="I415" s="195" t="s">
        <v>922</v>
      </c>
      <c r="J415" s="196" t="n">
        <f aca="false">IFERROR(VLOOKUP(VALUE($D415),BSPL2026!$B:$Z,25,FALSE()),0)</f>
        <v>0</v>
      </c>
      <c r="K415" s="197"/>
      <c r="L415" s="198"/>
      <c r="M415" s="196" t="n">
        <f aca="false">J415+K415-L415</f>
        <v>0</v>
      </c>
      <c r="N415" s="197" t="n">
        <f aca="false">SUMIF('statutory adj_2026 조정분개'!$S:$S,$D415,'statutory adj_2026 조정분개'!$K:$K)</f>
        <v>0</v>
      </c>
      <c r="O415" s="198" t="n">
        <f aca="false">SUMIF('statutory adj_2026 조정분개'!$S:$S,$D415,'statutory adj_2026 조정분개'!$L:$L)</f>
        <v>6474004</v>
      </c>
      <c r="P415" s="196" t="n">
        <f aca="false">M415+N415-O415</f>
        <v>-6474004</v>
      </c>
      <c r="Q415" s="199" t="n">
        <f aca="false">IFERROR(VLOOKUP(VALUE($D415),BSPL2026!$B:$Q,16,FALSE()),0)</f>
        <v>0</v>
      </c>
      <c r="R415" s="200" t="s">
        <v>496</v>
      </c>
      <c r="S415" s="162" t="n">
        <f aca="false">IFERROR(VLOOKUP(VALUE($D415),BSPL2026!$B:$M,12,FALSE()),"")</f>
        <v>0</v>
      </c>
      <c r="T415" s="162" t="str">
        <f aca="false">IF(OR(S415="",S415=0,LEFT(S415,5)="(원본오류"),"",IF(S415=H415,"","매핑차이"))</f>
        <v/>
      </c>
    </row>
    <row r="416" customFormat="false" ht="16.5" hidden="true" customHeight="false" outlineLevel="0" collapsed="false">
      <c r="D416" s="190" t="s">
        <v>1363</v>
      </c>
      <c r="E416" s="191" t="s">
        <v>1364</v>
      </c>
      <c r="F416" s="192" t="s">
        <v>841</v>
      </c>
      <c r="G416" s="193" t="s">
        <v>874</v>
      </c>
      <c r="H416" s="194" t="s">
        <v>240</v>
      </c>
      <c r="I416" s="195" t="s">
        <v>1364</v>
      </c>
      <c r="J416" s="196" t="n">
        <f aca="false">IFERROR(VLOOKUP(VALUE($D416),BSPL2026!$B:$Z,25,FALSE()),0)</f>
        <v>-408043000</v>
      </c>
      <c r="K416" s="197"/>
      <c r="L416" s="198"/>
      <c r="M416" s="196" t="n">
        <f aca="false">J416+K416-L416</f>
        <v>-408043000</v>
      </c>
      <c r="N416" s="197" t="n">
        <f aca="false">SUMIF('statutory adj_2026 조정분개'!$S:$S,$D416,'statutory adj_2026 조정분개'!$K:$K)</f>
        <v>0</v>
      </c>
      <c r="O416" s="198" t="n">
        <f aca="false">SUMIF('statutory adj_2026 조정분개'!$S:$S,$D416,'statutory adj_2026 조정분개'!$L:$L)</f>
        <v>0</v>
      </c>
      <c r="P416" s="196" t="n">
        <f aca="false">M416+N416-O416</f>
        <v>-408043000</v>
      </c>
      <c r="Q416" s="199" t="n">
        <f aca="false">IFERROR(VLOOKUP(VALUE($D416),BSPL2026!$B:$Q,16,FALSE()),0)</f>
        <v>408043000</v>
      </c>
      <c r="R416" s="200" t="s">
        <v>496</v>
      </c>
      <c r="S416" s="162" t="str">
        <f aca="false">IFERROR(VLOOKUP(VALUE($D416),BSPL2026!$B:$M,12,FALSE()),"")</f>
        <v>상품매출원가</v>
      </c>
      <c r="T416" s="162" t="str">
        <f aca="false">IF(OR(S416="",S416=0,LEFT(S416,5)="(원본오류"),"",IF(S416=H416,"","매핑차이"))</f>
        <v/>
      </c>
    </row>
    <row r="417" customFormat="false" ht="16.5" hidden="true" customHeight="false" outlineLevel="0" collapsed="false">
      <c r="D417" s="190" t="s">
        <v>1365</v>
      </c>
      <c r="E417" s="191" t="s">
        <v>1366</v>
      </c>
      <c r="F417" s="192" t="s">
        <v>841</v>
      </c>
      <c r="G417" s="193" t="s">
        <v>368</v>
      </c>
      <c r="H417" s="194" t="s">
        <v>368</v>
      </c>
      <c r="I417" s="195" t="s">
        <v>450</v>
      </c>
      <c r="J417" s="196" t="n">
        <f aca="false">IFERROR(VLOOKUP(VALUE($D417),BSPL2026!$B:$Z,25,FALSE()),0)</f>
        <v>0</v>
      </c>
      <c r="K417" s="197"/>
      <c r="L417" s="198"/>
      <c r="M417" s="196" t="n">
        <f aca="false">J417+K417-L417</f>
        <v>0</v>
      </c>
      <c r="N417" s="197" t="n">
        <f aca="false">SUMIF('statutory adj_2026 조정분개'!$S:$S,$D417,'statutory adj_2026 조정분개'!$K:$K)</f>
        <v>0</v>
      </c>
      <c r="O417" s="198" t="n">
        <f aca="false">SUMIF('statutory adj_2026 조정분개'!$S:$S,$D417,'statutory adj_2026 조정분개'!$L:$L)</f>
        <v>0</v>
      </c>
      <c r="P417" s="196" t="n">
        <f aca="false">M417+N417-O417</f>
        <v>0</v>
      </c>
      <c r="Q417" s="199" t="n">
        <f aca="false">IFERROR(VLOOKUP(VALUE($D417),BSPL2026!$B:$Q,16,FALSE()),0)</f>
        <v>2165556320</v>
      </c>
      <c r="R417" s="200" t="s">
        <v>496</v>
      </c>
      <c r="S417" s="162" t="str">
        <f aca="false">IFERROR(VLOOKUP(VALUE($D417),BSPL2026!$B:$M,12,FALSE()),"")</f>
        <v>법인세비용</v>
      </c>
      <c r="T417" s="162" t="str">
        <f aca="false">IF(OR(S417="",S417=0,LEFT(S417,5)="(원본오류"),"",IF(S417=H417,"","매핑차이"))</f>
        <v/>
      </c>
    </row>
    <row r="418" customFormat="false" ht="16.5" hidden="true" customHeight="false" outlineLevel="0" collapsed="false">
      <c r="D418" s="190" t="s">
        <v>1367</v>
      </c>
      <c r="E418" s="191" t="s">
        <v>1368</v>
      </c>
      <c r="F418" s="192" t="s">
        <v>841</v>
      </c>
      <c r="G418" s="193" t="s">
        <v>912</v>
      </c>
      <c r="H418" s="194" t="s">
        <v>307</v>
      </c>
      <c r="I418" s="195" t="s">
        <v>1368</v>
      </c>
      <c r="J418" s="196" t="n">
        <f aca="false">IFERROR(VLOOKUP(VALUE($D418),BSPL2026!$B:$Z,25,FALSE()),0)</f>
        <v>0</v>
      </c>
      <c r="K418" s="197"/>
      <c r="L418" s="198"/>
      <c r="M418" s="196" t="n">
        <f aca="false">J418+K418-L418</f>
        <v>0</v>
      </c>
      <c r="N418" s="197" t="n">
        <f aca="false">SUMIF('statutory adj_2026 조정분개'!$S:$S,$D418,'statutory adj_2026 조정분개'!$K:$K)</f>
        <v>0</v>
      </c>
      <c r="O418" s="198" t="n">
        <f aca="false">SUMIF('statutory adj_2026 조정분개'!$S:$S,$D418,'statutory adj_2026 조정분개'!$L:$L)</f>
        <v>13314198758</v>
      </c>
      <c r="P418" s="196" t="n">
        <f aca="false">M418+N418-O418</f>
        <v>-13314198758</v>
      </c>
      <c r="Q418" s="199" t="n">
        <f aca="false">IFERROR(VLOOKUP(VALUE($D418),BSPL2026!$B:$Q,16,FALSE()),0)</f>
        <v>0</v>
      </c>
      <c r="R418" s="200" t="s">
        <v>496</v>
      </c>
      <c r="S418" s="162" t="n">
        <f aca="false">IFERROR(VLOOKUP(VALUE($D418),BSPL2026!$B:$M,12,FALSE()),"")</f>
        <v>0</v>
      </c>
      <c r="T418" s="162" t="str">
        <f aca="false">IF(OR(S418="",S418=0,LEFT(S418,5)="(원본오류"),"",IF(S418=H418,"","매핑차이"))</f>
        <v/>
      </c>
    </row>
    <row r="419" customFormat="false" ht="16.5" hidden="true" customHeight="false" outlineLevel="0" collapsed="false">
      <c r="D419" s="190" t="s">
        <v>1369</v>
      </c>
      <c r="E419" s="191" t="s">
        <v>1370</v>
      </c>
      <c r="F419" s="192" t="s">
        <v>841</v>
      </c>
      <c r="G419" s="193" t="s">
        <v>912</v>
      </c>
      <c r="H419" s="194" t="s">
        <v>285</v>
      </c>
      <c r="I419" s="195" t="s">
        <v>952</v>
      </c>
      <c r="J419" s="196" t="n">
        <f aca="false">IFERROR(VLOOKUP(VALUE($D419),BSPL2026!$B:$Z,25,FALSE()),0)</f>
        <v>0</v>
      </c>
      <c r="K419" s="197"/>
      <c r="L419" s="198"/>
      <c r="M419" s="196" t="n">
        <f aca="false">J419+K419-L419</f>
        <v>0</v>
      </c>
      <c r="N419" s="197" t="n">
        <f aca="false">SUMIF('statutory adj_2026 조정분개'!$S:$S,$D419,'statutory adj_2026 조정분개'!$K:$K)</f>
        <v>0</v>
      </c>
      <c r="O419" s="198" t="n">
        <f aca="false">SUMIF('statutory adj_2026 조정분개'!$S:$S,$D419,'statutory adj_2026 조정분개'!$L:$L)</f>
        <v>349405261</v>
      </c>
      <c r="P419" s="196" t="n">
        <f aca="false">M419+N419-O419</f>
        <v>-349405261</v>
      </c>
      <c r="Q419" s="199" t="n">
        <f aca="false">IFERROR(VLOOKUP(VALUE($D419),BSPL2026!$B:$Q,16,FALSE()),0)</f>
        <v>0</v>
      </c>
      <c r="R419" s="200" t="s">
        <v>496</v>
      </c>
      <c r="S419" s="162" t="n">
        <f aca="false">IFERROR(VLOOKUP(VALUE($D419),BSPL2026!$B:$M,12,FALSE()),"")</f>
        <v>0</v>
      </c>
      <c r="T419" s="162" t="str">
        <f aca="false">IF(OR(S419="",S419=0,LEFT(S419,5)="(원본오류"),"",IF(S419=H419,"","매핑차이"))</f>
        <v/>
      </c>
    </row>
    <row r="420" customFormat="false" ht="16.5" hidden="true" customHeight="false" outlineLevel="0" collapsed="false">
      <c r="D420" s="190" t="s">
        <v>1371</v>
      </c>
      <c r="E420" s="191" t="s">
        <v>1372</v>
      </c>
      <c r="F420" s="192" t="s">
        <v>841</v>
      </c>
      <c r="G420" s="193" t="s">
        <v>912</v>
      </c>
      <c r="H420" s="194" t="s">
        <v>311</v>
      </c>
      <c r="I420" s="195" t="s">
        <v>1162</v>
      </c>
      <c r="J420" s="196" t="n">
        <f aca="false">IFERROR(VLOOKUP(VALUE($D420),BSPL2026!$B:$Z,25,FALSE()),0)</f>
        <v>0</v>
      </c>
      <c r="K420" s="197"/>
      <c r="L420" s="198"/>
      <c r="M420" s="196" t="n">
        <f aca="false">J420+K420-L420</f>
        <v>0</v>
      </c>
      <c r="N420" s="197" t="n">
        <f aca="false">SUMIF('statutory adj_2026 조정분개'!$S:$S,$D420,'statutory adj_2026 조정분개'!$K:$K)</f>
        <v>0</v>
      </c>
      <c r="O420" s="198" t="n">
        <f aca="false">SUMIF('statutory adj_2026 조정분개'!$S:$S,$D420,'statutory adj_2026 조정분개'!$L:$L)</f>
        <v>3977948983</v>
      </c>
      <c r="P420" s="196" t="n">
        <f aca="false">M420+N420-O420</f>
        <v>-3977948983</v>
      </c>
      <c r="Q420" s="199" t="n">
        <f aca="false">IFERROR(VLOOKUP(VALUE($D420),BSPL2026!$B:$Q,16,FALSE()),0)</f>
        <v>0</v>
      </c>
      <c r="R420" s="200" t="s">
        <v>496</v>
      </c>
      <c r="S420" s="162" t="n">
        <f aca="false">IFERROR(VLOOKUP(VALUE($D420),BSPL2026!$B:$M,12,FALSE()),"")</f>
        <v>0</v>
      </c>
      <c r="T420" s="162" t="str">
        <f aca="false">IF(OR(S420="",S420=0,LEFT(S420,5)="(원본오류"),"",IF(S420=H420,"","매핑차이"))</f>
        <v/>
      </c>
    </row>
    <row r="421" customFormat="false" ht="16.5" hidden="true" customHeight="false" outlineLevel="0" collapsed="false">
      <c r="D421" s="190" t="s">
        <v>1373</v>
      </c>
      <c r="E421" s="191" t="s">
        <v>1374</v>
      </c>
      <c r="F421" s="192" t="s">
        <v>841</v>
      </c>
      <c r="G421" s="193" t="s">
        <v>912</v>
      </c>
      <c r="H421" s="194" t="s">
        <v>294</v>
      </c>
      <c r="I421" s="195" t="s">
        <v>1374</v>
      </c>
      <c r="J421" s="196" t="n">
        <f aca="false">IFERROR(VLOOKUP(VALUE($D421),BSPL2026!$B:$Z,25,FALSE()),0)</f>
        <v>1150558794</v>
      </c>
      <c r="K421" s="197"/>
      <c r="L421" s="198"/>
      <c r="M421" s="196" t="n">
        <f aca="false">J421+K421-L421</f>
        <v>1150558794</v>
      </c>
      <c r="N421" s="197" t="n">
        <f aca="false">SUMIF('statutory adj_2026 조정분개'!$S:$S,$D421,'statutory adj_2026 조정분개'!$K:$K)</f>
        <v>0</v>
      </c>
      <c r="O421" s="198" t="n">
        <f aca="false">SUMIF('statutory adj_2026 조정분개'!$S:$S,$D421,'statutory adj_2026 조정분개'!$L:$L)</f>
        <v>0</v>
      </c>
      <c r="P421" s="196" t="n">
        <f aca="false">M421+N421-O421</f>
        <v>1150558794</v>
      </c>
      <c r="Q421" s="199" t="n">
        <f aca="false">IFERROR(VLOOKUP(VALUE($D421),BSPL2026!$B:$Q,16,FALSE()),0)</f>
        <v>1126894020</v>
      </c>
      <c r="R421" s="200" t="s">
        <v>496</v>
      </c>
      <c r="S421" s="162" t="str">
        <f aca="false">IFERROR(VLOOKUP(VALUE($D421),BSPL2026!$B:$M,12,FALSE()),"")</f>
        <v>임차료</v>
      </c>
      <c r="T421" s="162" t="str">
        <f aca="false">IF(OR(S421="",S421=0,LEFT(S421,5)="(원본오류"),"",IF(S421=H421,"","매핑차이"))</f>
        <v/>
      </c>
    </row>
    <row r="422" customFormat="false" ht="16.5" hidden="true" customHeight="false" outlineLevel="0" collapsed="false">
      <c r="D422" s="190" t="s">
        <v>1375</v>
      </c>
      <c r="E422" s="191" t="s">
        <v>1376</v>
      </c>
      <c r="F422" s="192" t="s">
        <v>841</v>
      </c>
      <c r="G422" s="193" t="s">
        <v>912</v>
      </c>
      <c r="H422" s="194" t="s">
        <v>309</v>
      </c>
      <c r="I422" s="195" t="s">
        <v>1376</v>
      </c>
      <c r="J422" s="196" t="n">
        <f aca="false">IFERROR(VLOOKUP(VALUE($D422),BSPL2026!$B:$Z,25,FALSE()),0)</f>
        <v>-1131258360</v>
      </c>
      <c r="K422" s="197"/>
      <c r="L422" s="198"/>
      <c r="M422" s="196" t="n">
        <f aca="false">J422+K422-L422</f>
        <v>-1131258360</v>
      </c>
      <c r="N422" s="197" t="n">
        <f aca="false">SUMIF('statutory adj_2026 조정분개'!$S:$S,$D422,'statutory adj_2026 조정분개'!$K:$K)</f>
        <v>0</v>
      </c>
      <c r="O422" s="198" t="n">
        <f aca="false">SUMIF('statutory adj_2026 조정분개'!$S:$S,$D422,'statutory adj_2026 조정분개'!$L:$L)</f>
        <v>0</v>
      </c>
      <c r="P422" s="196" t="n">
        <f aca="false">M422+N422-O422</f>
        <v>-1131258360</v>
      </c>
      <c r="Q422" s="199" t="n">
        <f aca="false">IFERROR(VLOOKUP(VALUE($D422),BSPL2026!$B:$Q,16,FALSE()),0)</f>
        <v>-1131258360</v>
      </c>
      <c r="R422" s="200" t="s">
        <v>496</v>
      </c>
      <c r="S422" s="162" t="str">
        <f aca="false">IFERROR(VLOOKUP(VALUE($D422),BSPL2026!$B:$M,12,FALSE()),"")</f>
        <v>감가상각비</v>
      </c>
      <c r="T422" s="162" t="str">
        <f aca="false">IF(OR(S422="",S422=0,LEFT(S422,5)="(원본오류"),"",IF(S422=H422,"","매핑차이"))</f>
        <v/>
      </c>
    </row>
    <row r="423" customFormat="false" ht="16.5" hidden="true" customHeight="false" outlineLevel="0" collapsed="false">
      <c r="D423" s="190" t="s">
        <v>1377</v>
      </c>
      <c r="E423" s="191" t="s">
        <v>1378</v>
      </c>
      <c r="F423" s="192" t="s">
        <v>493</v>
      </c>
      <c r="G423" s="193" t="s">
        <v>494</v>
      </c>
      <c r="H423" s="194" t="s">
        <v>90</v>
      </c>
      <c r="I423" s="195" t="s">
        <v>1290</v>
      </c>
      <c r="J423" s="196" t="n">
        <f aca="false">IFERROR(VLOOKUP(VALUE($D423),BSPL2026!$B:$Z,25,FALSE()),0)</f>
        <v>0</v>
      </c>
      <c r="K423" s="197"/>
      <c r="L423" s="198"/>
      <c r="M423" s="196" t="n">
        <f aca="false">J423+K423-L423</f>
        <v>0</v>
      </c>
      <c r="N423" s="197" t="n">
        <f aca="false">SUMIF('statutory adj_2026 조정분개'!$S:$S,$D423,'statutory adj_2026 조정분개'!$K:$K)</f>
        <v>0</v>
      </c>
      <c r="O423" s="198" t="n">
        <f aca="false">SUMIF('statutory adj_2026 조정분개'!$S:$S,$D423,'statutory adj_2026 조정분개'!$L:$L)</f>
        <v>0</v>
      </c>
      <c r="P423" s="196" t="n">
        <f aca="false">M423+N423-O423</f>
        <v>0</v>
      </c>
      <c r="Q423" s="199" t="n">
        <f aca="false">IFERROR(VLOOKUP(VALUE($D423),BSPL2026!$B:$Q,16,FALSE()),0)</f>
        <v>0</v>
      </c>
      <c r="R423" s="200" t="s">
        <v>496</v>
      </c>
      <c r="S423" s="162" t="n">
        <f aca="false">IFERROR(VLOOKUP(VALUE($D423),BSPL2026!$B:$M,12,FALSE()),"")</f>
        <v>0</v>
      </c>
      <c r="T423" s="162" t="str">
        <f aca="false">IF(OR(S423="",S423=0,LEFT(S423,5)="(원본오류"),"",IF(S423=H423,"","매핑차이"))</f>
        <v/>
      </c>
    </row>
    <row r="424" customFormat="false" ht="16.5" hidden="true" customHeight="false" outlineLevel="0" collapsed="false">
      <c r="D424" s="190" t="s">
        <v>1379</v>
      </c>
      <c r="E424" s="191" t="s">
        <v>1211</v>
      </c>
      <c r="F424" s="192" t="s">
        <v>841</v>
      </c>
      <c r="G424" s="193" t="s">
        <v>920</v>
      </c>
      <c r="H424" s="194" t="s">
        <v>340</v>
      </c>
      <c r="I424" s="195" t="s">
        <v>1380</v>
      </c>
      <c r="J424" s="196" t="n">
        <f aca="false">IFERROR(VLOOKUP(VALUE($D424),BSPL2026!$B:$Z,25,FALSE()),0)</f>
        <v>0</v>
      </c>
      <c r="K424" s="197"/>
      <c r="L424" s="198"/>
      <c r="M424" s="196" t="n">
        <f aca="false">J424+K424-L424</f>
        <v>0</v>
      </c>
      <c r="N424" s="197" t="n">
        <f aca="false">SUMIF('statutory adj_2026 조정분개'!$S:$S,$D424,'statutory adj_2026 조정분개'!$K:$K)</f>
        <v>0</v>
      </c>
      <c r="O424" s="198" t="n">
        <f aca="false">SUMIF('statutory adj_2026 조정분개'!$S:$S,$D424,'statutory adj_2026 조정분개'!$L:$L)</f>
        <v>0</v>
      </c>
      <c r="P424" s="196" t="n">
        <f aca="false">M424+N424-O424</f>
        <v>0</v>
      </c>
      <c r="Q424" s="199" t="n">
        <f aca="false">IFERROR(VLOOKUP(VALUE($D424),BSPL2026!$B:$Q,16,FALSE()),0)</f>
        <v>0</v>
      </c>
      <c r="R424" s="200" t="s">
        <v>496</v>
      </c>
      <c r="S424" s="162" t="n">
        <f aca="false">IFERROR(VLOOKUP(VALUE($D424),BSPL2026!$B:$M,12,FALSE()),"")</f>
        <v>0</v>
      </c>
      <c r="T424" s="162" t="str">
        <f aca="false">IF(OR(S424="",S424=0,LEFT(S424,5)="(원본오류"),"",IF(S424=H424,"","매핑차이"))</f>
        <v/>
      </c>
    </row>
    <row r="425" customFormat="false" ht="16.5" hidden="true" customHeight="false" outlineLevel="0" collapsed="false">
      <c r="D425" s="190" t="s">
        <v>1381</v>
      </c>
      <c r="E425" s="191" t="s">
        <v>1382</v>
      </c>
      <c r="F425" s="192" t="s">
        <v>841</v>
      </c>
      <c r="G425" s="193" t="s">
        <v>920</v>
      </c>
      <c r="H425" s="194" t="s">
        <v>339</v>
      </c>
      <c r="I425" s="195" t="s">
        <v>1383</v>
      </c>
      <c r="J425" s="196" t="n">
        <f aca="false">IFERROR(VLOOKUP(VALUE($D425),BSPL2026!$B:$Z,25,FALSE()),0)</f>
        <v>2510195635</v>
      </c>
      <c r="K425" s="197"/>
      <c r="L425" s="198"/>
      <c r="M425" s="196" t="n">
        <f aca="false">J425+K425-L425</f>
        <v>2510195635</v>
      </c>
      <c r="N425" s="197" t="n">
        <f aca="false">SUMIF('statutory adj_2026 조정분개'!$S:$S,$D425,'statutory adj_2026 조정분개'!$K:$K)</f>
        <v>0</v>
      </c>
      <c r="O425" s="198" t="n">
        <f aca="false">SUMIF('statutory adj_2026 조정분개'!$S:$S,$D425,'statutory adj_2026 조정분개'!$L:$L)</f>
        <v>50606130</v>
      </c>
      <c r="P425" s="196" t="n">
        <f aca="false">M425+N425-O425</f>
        <v>2459589505</v>
      </c>
      <c r="Q425" s="199" t="n">
        <f aca="false">IFERROR(VLOOKUP(VALUE($D425),BSPL2026!$B:$Q,16,FALSE()),0)</f>
        <v>-2278070394</v>
      </c>
      <c r="R425" s="200" t="s">
        <v>496</v>
      </c>
      <c r="S425" s="162" t="str">
        <f aca="false">IFERROR(VLOOKUP(VALUE($D425),BSPL2026!$B:$M,12,FALSE()),"")</f>
        <v>잡이익</v>
      </c>
      <c r="T425" s="162" t="str">
        <f aca="false">IF(OR(S425="",S425=0,LEFT(S425,5)="(원본오류"),"",IF(S425=H425,"","매핑차이"))</f>
        <v/>
      </c>
    </row>
    <row r="426" customFormat="false" ht="16.5" hidden="true" customHeight="false" outlineLevel="0" collapsed="false">
      <c r="D426" s="190" t="s">
        <v>1384</v>
      </c>
      <c r="E426" s="191" t="s">
        <v>1385</v>
      </c>
      <c r="F426" s="192" t="s">
        <v>841</v>
      </c>
      <c r="G426" s="193" t="s">
        <v>912</v>
      </c>
      <c r="H426" s="194" t="s">
        <v>275</v>
      </c>
      <c r="I426" s="195" t="s">
        <v>1385</v>
      </c>
      <c r="J426" s="196" t="n">
        <f aca="false">IFERROR(VLOOKUP(VALUE($D426),BSPL2026!$B:$Z,25,FALSE()),0)</f>
        <v>0</v>
      </c>
      <c r="K426" s="197"/>
      <c r="L426" s="198"/>
      <c r="M426" s="196" t="n">
        <f aca="false">J426+K426-L426</f>
        <v>0</v>
      </c>
      <c r="N426" s="197" t="n">
        <f aca="false">SUMIF('statutory adj_2026 조정분개'!$S:$S,$D426,'statutory adj_2026 조정분개'!$K:$K)</f>
        <v>0</v>
      </c>
      <c r="O426" s="198" t="n">
        <f aca="false">SUMIF('statutory adj_2026 조정분개'!$S:$S,$D426,'statutory adj_2026 조정분개'!$L:$L)</f>
        <v>0</v>
      </c>
      <c r="P426" s="196" t="n">
        <f aca="false">M426+N426-O426</f>
        <v>0</v>
      </c>
      <c r="Q426" s="199" t="n">
        <f aca="false">IFERROR(VLOOKUP(VALUE($D426),BSPL2026!$B:$Q,16,FALSE()),0)</f>
        <v>0</v>
      </c>
      <c r="R426" s="200" t="s">
        <v>496</v>
      </c>
      <c r="S426" s="162" t="n">
        <f aca="false">IFERROR(VLOOKUP(VALUE($D426),BSPL2026!$B:$M,12,FALSE()),"")</f>
        <v>0</v>
      </c>
      <c r="T426" s="162" t="str">
        <f aca="false">IF(OR(S426="",S426=0,LEFT(S426,5)="(원본오류"),"",IF(S426=H426,"","매핑차이"))</f>
        <v/>
      </c>
    </row>
    <row r="427" customFormat="false" ht="16.5" hidden="true" customHeight="false" outlineLevel="0" collapsed="false">
      <c r="D427" s="190" t="s">
        <v>1386</v>
      </c>
      <c r="E427" s="191" t="s">
        <v>1387</v>
      </c>
      <c r="F427" s="192" t="s">
        <v>841</v>
      </c>
      <c r="G427" s="193" t="s">
        <v>920</v>
      </c>
      <c r="H427" s="194" t="s">
        <v>339</v>
      </c>
      <c r="I427" s="195" t="s">
        <v>1387</v>
      </c>
      <c r="J427" s="196" t="n">
        <f aca="false">IFERROR(VLOOKUP(VALUE($D427),BSPL2026!$B:$Z,25,FALSE()),0)</f>
        <v>0</v>
      </c>
      <c r="K427" s="197"/>
      <c r="L427" s="198"/>
      <c r="M427" s="196" t="n">
        <f aca="false">J427+K427-L427</f>
        <v>0</v>
      </c>
      <c r="N427" s="197" t="n">
        <f aca="false">SUMIF('statutory adj_2026 조정분개'!$S:$S,$D427,'statutory adj_2026 조정분개'!$K:$K)</f>
        <v>0</v>
      </c>
      <c r="O427" s="198" t="n">
        <f aca="false">SUMIF('statutory adj_2026 조정분개'!$S:$S,$D427,'statutory adj_2026 조정분개'!$L:$L)</f>
        <v>0</v>
      </c>
      <c r="P427" s="196" t="n">
        <f aca="false">M427+N427-O427</f>
        <v>0</v>
      </c>
      <c r="Q427" s="199" t="n">
        <f aca="false">IFERROR(VLOOKUP(VALUE($D427),BSPL2026!$B:$Q,16,FALSE()),0)</f>
        <v>0</v>
      </c>
      <c r="R427" s="200" t="s">
        <v>496</v>
      </c>
      <c r="S427" s="162" t="n">
        <f aca="false">IFERROR(VLOOKUP(VALUE($D427),BSPL2026!$B:$M,12,FALSE()),"")</f>
        <v>0</v>
      </c>
      <c r="T427" s="162" t="str">
        <f aca="false">IF(OR(S427="",S427=0,LEFT(S427,5)="(원본오류"),"",IF(S427=H427,"","매핑차이"))</f>
        <v/>
      </c>
    </row>
    <row r="428" customFormat="false" ht="16.5" hidden="true" customHeight="false" outlineLevel="0" collapsed="false">
      <c r="D428" s="190" t="s">
        <v>1388</v>
      </c>
      <c r="E428" s="191" t="s">
        <v>1389</v>
      </c>
      <c r="F428" s="192" t="s">
        <v>841</v>
      </c>
      <c r="G428" s="193" t="s">
        <v>1140</v>
      </c>
      <c r="H428" s="194" t="s">
        <v>345</v>
      </c>
      <c r="I428" s="195" t="s">
        <v>1389</v>
      </c>
      <c r="J428" s="196" t="n">
        <f aca="false">IFERROR(VLOOKUP(VALUE($D428),BSPL2026!$B:$Z,25,FALSE()),0)</f>
        <v>-13332549</v>
      </c>
      <c r="K428" s="197"/>
      <c r="L428" s="198"/>
      <c r="M428" s="196" t="n">
        <f aca="false">J428+K428-L428</f>
        <v>-13332549</v>
      </c>
      <c r="N428" s="197" t="n">
        <f aca="false">SUMIF('statutory adj_2026 조정분개'!$S:$S,$D428,'statutory adj_2026 조정분개'!$K:$K)</f>
        <v>0</v>
      </c>
      <c r="O428" s="198" t="n">
        <f aca="false">SUMIF('statutory adj_2026 조정분개'!$S:$S,$D428,'statutory adj_2026 조정분개'!$L:$L)</f>
        <v>0</v>
      </c>
      <c r="P428" s="196" t="n">
        <f aca="false">M428+N428-O428</f>
        <v>-13332549</v>
      </c>
      <c r="Q428" s="199" t="n">
        <f aca="false">IFERROR(VLOOKUP(VALUE($D428),BSPL2026!$B:$Q,16,FALSE()),0)</f>
        <v>-27709972</v>
      </c>
      <c r="R428" s="200" t="s">
        <v>496</v>
      </c>
      <c r="S428" s="162" t="str">
        <f aca="false">IFERROR(VLOOKUP(VALUE($D428),BSPL2026!$B:$M,12,FALSE()),"")</f>
        <v>이자비용</v>
      </c>
      <c r="T428" s="162" t="str">
        <f aca="false">IF(OR(S428="",S428=0,LEFT(S428,5)="(원본오류"),"",IF(S428=H428,"","매핑차이"))</f>
        <v/>
      </c>
    </row>
    <row r="429" customFormat="false" ht="16.5" hidden="true" customHeight="false" outlineLevel="0" collapsed="false">
      <c r="D429" s="190" t="s">
        <v>1390</v>
      </c>
      <c r="E429" s="191" t="s">
        <v>1391</v>
      </c>
      <c r="F429" s="192" t="s">
        <v>841</v>
      </c>
      <c r="G429" s="193" t="s">
        <v>874</v>
      </c>
      <c r="H429" s="194" t="s">
        <v>271</v>
      </c>
      <c r="I429" s="195" t="s">
        <v>1391</v>
      </c>
      <c r="J429" s="196" t="n">
        <f aca="false">IFERROR(VLOOKUP(VALUE($D429),BSPL2026!$B:$Z,25,FALSE()),0)</f>
        <v>0</v>
      </c>
      <c r="K429" s="197"/>
      <c r="L429" s="198"/>
      <c r="M429" s="196" t="n">
        <f aca="false">J429+K429-L429</f>
        <v>0</v>
      </c>
      <c r="N429" s="197" t="n">
        <f aca="false">SUMIF('statutory adj_2026 조정분개'!$S:$S,$D429,'statutory adj_2026 조정분개'!$K:$K)</f>
        <v>0</v>
      </c>
      <c r="O429" s="198" t="n">
        <f aca="false">SUMIF('statutory adj_2026 조정분개'!$S:$S,$D429,'statutory adj_2026 조정분개'!$L:$L)</f>
        <v>0</v>
      </c>
      <c r="P429" s="196" t="n">
        <f aca="false">M429+N429-O429</f>
        <v>0</v>
      </c>
      <c r="Q429" s="199" t="n">
        <f aca="false">IFERROR(VLOOKUP(VALUE($D429),BSPL2026!$B:$Q,16,FALSE()),0)</f>
        <v>0</v>
      </c>
      <c r="R429" s="200" t="s">
        <v>496</v>
      </c>
      <c r="S429" s="162" t="n">
        <f aca="false">IFERROR(VLOOKUP(VALUE($D429),BSPL2026!$B:$M,12,FALSE()),"")</f>
        <v>0</v>
      </c>
      <c r="T429" s="162" t="str">
        <f aca="false">IF(OR(S429="",S429=0,LEFT(S429,5)="(원본오류"),"",IF(S429=H429,"","매핑차이"))</f>
        <v/>
      </c>
    </row>
    <row r="430" customFormat="false" ht="16.5" hidden="true" customHeight="false" outlineLevel="0" collapsed="false">
      <c r="D430" s="190" t="s">
        <v>1392</v>
      </c>
      <c r="E430" s="191" t="s">
        <v>1393</v>
      </c>
      <c r="F430" s="192" t="s">
        <v>841</v>
      </c>
      <c r="G430" s="193" t="s">
        <v>1140</v>
      </c>
      <c r="H430" s="194" t="s">
        <v>360</v>
      </c>
      <c r="I430" s="195" t="s">
        <v>1225</v>
      </c>
      <c r="J430" s="196" t="n">
        <f aca="false">IFERROR(VLOOKUP(VALUE($D430),BSPL2026!$B:$Z,25,FALSE()),0)</f>
        <v>0</v>
      </c>
      <c r="K430" s="197"/>
      <c r="L430" s="198"/>
      <c r="M430" s="196" t="n">
        <f aca="false">J430+K430-L430</f>
        <v>0</v>
      </c>
      <c r="N430" s="197" t="n">
        <f aca="false">SUMIF('statutory adj_2026 조정분개'!$S:$S,$D430,'statutory adj_2026 조정분개'!$K:$K)</f>
        <v>0</v>
      </c>
      <c r="O430" s="198" t="n">
        <f aca="false">SUMIF('statutory adj_2026 조정분개'!$S:$S,$D430,'statutory adj_2026 조정분개'!$L:$L)</f>
        <v>0</v>
      </c>
      <c r="P430" s="196" t="n">
        <f aca="false">M430+N430-O430</f>
        <v>0</v>
      </c>
      <c r="Q430" s="199" t="n">
        <f aca="false">IFERROR(VLOOKUP(VALUE($D430),BSPL2026!$B:$Q,16,FALSE()),0)</f>
        <v>2207843185</v>
      </c>
      <c r="R430" s="200" t="s">
        <v>496</v>
      </c>
      <c r="S430" s="162" t="str">
        <f aca="false">IFERROR(VLOOKUP(VALUE($D430),BSPL2026!$B:$M,12,FALSE()),"")</f>
        <v>잡손실</v>
      </c>
      <c r="T430" s="162" t="str">
        <f aca="false">IF(OR(S430="",S430=0,LEFT(S430,5)="(원본오류"),"",IF(S430=H430,"","매핑차이"))</f>
        <v/>
      </c>
    </row>
    <row r="431" customFormat="false" ht="16.5" hidden="true" customHeight="false" outlineLevel="0" collapsed="false">
      <c r="D431" s="190" t="s">
        <v>1394</v>
      </c>
      <c r="E431" s="191" t="s">
        <v>1395</v>
      </c>
      <c r="F431" s="192" t="s">
        <v>841</v>
      </c>
      <c r="G431" s="193" t="s">
        <v>912</v>
      </c>
      <c r="H431" s="194" t="s">
        <v>299</v>
      </c>
      <c r="I431" s="195" t="s">
        <v>1015</v>
      </c>
      <c r="J431" s="196" t="n">
        <f aca="false">IFERROR(VLOOKUP(VALUE($D431),BSPL2026!$B:$Z,25,FALSE()),0)</f>
        <v>0</v>
      </c>
      <c r="K431" s="197"/>
      <c r="L431" s="198"/>
      <c r="M431" s="196" t="n">
        <f aca="false">J431+K431-L431</f>
        <v>0</v>
      </c>
      <c r="N431" s="197" t="n">
        <f aca="false">SUMIF('statutory adj_2026 조정분개'!$S:$S,$D431,'statutory adj_2026 조정분개'!$K:$K)</f>
        <v>0</v>
      </c>
      <c r="O431" s="198" t="n">
        <f aca="false">SUMIF('statutory adj_2026 조정분개'!$S:$S,$D431,'statutory adj_2026 조정분개'!$L:$L)</f>
        <v>61682684</v>
      </c>
      <c r="P431" s="196" t="n">
        <f aca="false">M431+N431-O431</f>
        <v>-61682684</v>
      </c>
      <c r="Q431" s="199" t="n">
        <f aca="false">IFERROR(VLOOKUP(VALUE($D431),BSPL2026!$B:$Q,16,FALSE()),0)</f>
        <v>-348460250</v>
      </c>
      <c r="R431" s="200" t="s">
        <v>496</v>
      </c>
      <c r="S431" s="162" t="str">
        <f aca="false">IFERROR(VLOOKUP(VALUE($D431),BSPL2026!$B:$M,12,FALSE()),"")</f>
        <v>하조및운임</v>
      </c>
      <c r="T431" s="162" t="str">
        <f aca="false">IF(OR(S431="",S431=0,LEFT(S431,5)="(원본오류"),"",IF(S431=H431,"","매핑차이"))</f>
        <v>매핑차이</v>
      </c>
    </row>
    <row r="432" customFormat="false" ht="16.5" hidden="true" customHeight="false" outlineLevel="0" collapsed="false">
      <c r="D432" s="190" t="s">
        <v>1396</v>
      </c>
      <c r="E432" s="191" t="s">
        <v>1397</v>
      </c>
      <c r="F432" s="192" t="s">
        <v>841</v>
      </c>
      <c r="G432" s="193" t="s">
        <v>912</v>
      </c>
      <c r="H432" s="194" t="s">
        <v>299</v>
      </c>
      <c r="I432" s="195" t="s">
        <v>1019</v>
      </c>
      <c r="J432" s="196" t="n">
        <f aca="false">IFERROR(VLOOKUP(VALUE($D432),BSPL2026!$B:$Z,25,FALSE()),0)</f>
        <v>0</v>
      </c>
      <c r="K432" s="197"/>
      <c r="L432" s="198"/>
      <c r="M432" s="196" t="n">
        <f aca="false">J432+K432-L432</f>
        <v>0</v>
      </c>
      <c r="N432" s="197" t="n">
        <f aca="false">SUMIF('statutory adj_2026 조정분개'!$S:$S,$D432,'statutory adj_2026 조정분개'!$K:$K)</f>
        <v>0</v>
      </c>
      <c r="O432" s="198" t="n">
        <f aca="false">SUMIF('statutory adj_2026 조정분개'!$S:$S,$D432,'statutory adj_2026 조정분개'!$L:$L)</f>
        <v>0</v>
      </c>
      <c r="P432" s="196" t="n">
        <f aca="false">M432+N432-O432</f>
        <v>0</v>
      </c>
      <c r="Q432" s="199" t="n">
        <f aca="false">IFERROR(VLOOKUP(VALUE($D432),BSPL2026!$B:$Q,16,FALSE()),0)</f>
        <v>0</v>
      </c>
      <c r="R432" s="200" t="s">
        <v>496</v>
      </c>
      <c r="S432" s="162" t="n">
        <f aca="false">IFERROR(VLOOKUP(VALUE($D432),BSPL2026!$B:$M,12,FALSE()),"")</f>
        <v>0</v>
      </c>
      <c r="T432" s="162" t="str">
        <f aca="false">IF(OR(S432="",S432=0,LEFT(S432,5)="(원본오류"),"",IF(S432=H432,"","매핑차이"))</f>
        <v/>
      </c>
    </row>
    <row r="433" customFormat="false" ht="16.5" hidden="true" customHeight="false" outlineLevel="0" collapsed="false">
      <c r="D433" s="190" t="s">
        <v>1398</v>
      </c>
      <c r="E433" s="191" t="s">
        <v>1399</v>
      </c>
      <c r="F433" s="192" t="s">
        <v>841</v>
      </c>
      <c r="G433" s="193" t="s">
        <v>912</v>
      </c>
      <c r="H433" s="194" t="s">
        <v>292</v>
      </c>
      <c r="I433" s="195" t="s">
        <v>1098</v>
      </c>
      <c r="J433" s="196" t="n">
        <f aca="false">IFERROR(VLOOKUP(VALUE($D433),BSPL2026!$B:$Z,25,FALSE()),0)</f>
        <v>0</v>
      </c>
      <c r="K433" s="197"/>
      <c r="L433" s="198"/>
      <c r="M433" s="196" t="n">
        <f aca="false">J433+K433-L433</f>
        <v>0</v>
      </c>
      <c r="N433" s="197" t="n">
        <f aca="false">SUMIF('statutory adj_2026 조정분개'!$S:$S,$D433,'statutory adj_2026 조정분개'!$K:$K)</f>
        <v>0</v>
      </c>
      <c r="O433" s="198" t="n">
        <f aca="false">SUMIF('statutory adj_2026 조정분개'!$S:$S,$D433,'statutory adj_2026 조정분개'!$L:$L)</f>
        <v>17966376</v>
      </c>
      <c r="P433" s="196" t="n">
        <f aca="false">M433+N433-O433</f>
        <v>-17966376</v>
      </c>
      <c r="Q433" s="199" t="n">
        <f aca="false">IFERROR(VLOOKUP(VALUE($D433),BSPL2026!$B:$Q,16,FALSE()),0)</f>
        <v>0</v>
      </c>
      <c r="R433" s="200" t="s">
        <v>496</v>
      </c>
      <c r="S433" s="162" t="n">
        <f aca="false">IFERROR(VLOOKUP(VALUE($D433),BSPL2026!$B:$M,12,FALSE()),"")</f>
        <v>0</v>
      </c>
      <c r="T433" s="162" t="str">
        <f aca="false">IF(OR(S433="",S433=0,LEFT(S433,5)="(원본오류"),"",IF(S433=H433,"","매핑차이"))</f>
        <v/>
      </c>
    </row>
    <row r="434" customFormat="false" ht="16.5" hidden="true" customHeight="false" outlineLevel="0" collapsed="false">
      <c r="D434" s="190" t="s">
        <v>1400</v>
      </c>
      <c r="E434" s="191" t="s">
        <v>1401</v>
      </c>
      <c r="F434" s="192" t="s">
        <v>841</v>
      </c>
      <c r="G434" s="193" t="s">
        <v>920</v>
      </c>
      <c r="H434" s="194" t="s">
        <v>329</v>
      </c>
      <c r="I434" s="195" t="s">
        <v>1401</v>
      </c>
      <c r="J434" s="196" t="n">
        <f aca="false">IFERROR(VLOOKUP(VALUE($D434),BSPL2026!$B:$Z,25,FALSE()),0)</f>
        <v>0</v>
      </c>
      <c r="K434" s="197"/>
      <c r="L434" s="198"/>
      <c r="M434" s="196" t="n">
        <f aca="false">J434+K434-L434</f>
        <v>0</v>
      </c>
      <c r="N434" s="197" t="n">
        <f aca="false">SUMIF('statutory adj_2026 조정분개'!$S:$S,$D434,'statutory adj_2026 조정분개'!$K:$K)</f>
        <v>0</v>
      </c>
      <c r="O434" s="198" t="n">
        <f aca="false">SUMIF('statutory adj_2026 조정분개'!$S:$S,$D434,'statutory adj_2026 조정분개'!$L:$L)</f>
        <v>0</v>
      </c>
      <c r="P434" s="196" t="n">
        <f aca="false">M434+N434-O434</f>
        <v>0</v>
      </c>
      <c r="Q434" s="199" t="n">
        <f aca="false">IFERROR(VLOOKUP(VALUE($D434),BSPL2026!$B:$Q,16,FALSE()),0)</f>
        <v>0</v>
      </c>
      <c r="R434" s="200" t="s">
        <v>496</v>
      </c>
      <c r="S434" s="162" t="n">
        <f aca="false">IFERROR(VLOOKUP(VALUE($D434),BSPL2026!$B:$M,12,FALSE()),"")</f>
        <v>0</v>
      </c>
      <c r="T434" s="162" t="str">
        <f aca="false">IF(OR(S434="",S434=0,LEFT(S434,5)="(원본오류"),"",IF(S434=H434,"","매핑차이"))</f>
        <v/>
      </c>
    </row>
    <row r="435" customFormat="false" ht="16.5" hidden="true" customHeight="false" outlineLevel="0" collapsed="false">
      <c r="D435" s="190" t="s">
        <v>1402</v>
      </c>
      <c r="E435" s="191" t="s">
        <v>1403</v>
      </c>
      <c r="F435" s="192" t="s">
        <v>841</v>
      </c>
      <c r="G435" s="193" t="s">
        <v>912</v>
      </c>
      <c r="H435" s="194" t="s">
        <v>284</v>
      </c>
      <c r="I435" s="195" t="s">
        <v>964</v>
      </c>
      <c r="J435" s="196" t="n">
        <f aca="false">IFERROR(VLOOKUP(VALUE($D435),BSPL2026!$B:$Z,25,FALSE()),0)</f>
        <v>0</v>
      </c>
      <c r="K435" s="197"/>
      <c r="L435" s="198"/>
      <c r="M435" s="196" t="n">
        <f aca="false">J435+K435-L435</f>
        <v>0</v>
      </c>
      <c r="N435" s="197" t="n">
        <f aca="false">SUMIF('statutory adj_2026 조정분개'!$S:$S,$D435,'statutory adj_2026 조정분개'!$K:$K)</f>
        <v>0</v>
      </c>
      <c r="O435" s="198" t="n">
        <f aca="false">SUMIF('statutory adj_2026 조정분개'!$S:$S,$D435,'statutory adj_2026 조정분개'!$L:$L)</f>
        <v>333409964</v>
      </c>
      <c r="P435" s="196" t="n">
        <f aca="false">M435+N435-O435</f>
        <v>-333409964</v>
      </c>
      <c r="Q435" s="199" t="n">
        <f aca="false">IFERROR(VLOOKUP(VALUE($D435),BSPL2026!$B:$Q,16,FALSE()),0)</f>
        <v>0</v>
      </c>
      <c r="R435" s="200" t="s">
        <v>496</v>
      </c>
      <c r="S435" s="162" t="n">
        <f aca="false">IFERROR(VLOOKUP(VALUE($D435),BSPL2026!$B:$M,12,FALSE()),"")</f>
        <v>0</v>
      </c>
      <c r="T435" s="162" t="str">
        <f aca="false">IF(OR(S435="",S435=0,LEFT(S435,5)="(원본오류"),"",IF(S435=H435,"","매핑차이"))</f>
        <v/>
      </c>
    </row>
    <row r="436" customFormat="false" ht="16.5" hidden="true" customHeight="false" outlineLevel="0" collapsed="false">
      <c r="D436" s="190" t="s">
        <v>1404</v>
      </c>
      <c r="E436" s="191" t="s">
        <v>1405</v>
      </c>
      <c r="F436" s="192" t="s">
        <v>841</v>
      </c>
      <c r="G436" s="193" t="s">
        <v>912</v>
      </c>
      <c r="H436" s="194" t="s">
        <v>279</v>
      </c>
      <c r="I436" s="195" t="s">
        <v>1023</v>
      </c>
      <c r="J436" s="196" t="n">
        <f aca="false">IFERROR(VLOOKUP(VALUE($D436),BSPL2026!$B:$Z,25,FALSE()),0)</f>
        <v>0</v>
      </c>
      <c r="K436" s="197"/>
      <c r="L436" s="198"/>
      <c r="M436" s="196" t="n">
        <f aca="false">J436+K436-L436</f>
        <v>0</v>
      </c>
      <c r="N436" s="197" t="n">
        <f aca="false">SUMIF('statutory adj_2026 조정분개'!$S:$S,$D436,'statutory adj_2026 조정분개'!$K:$K)</f>
        <v>0</v>
      </c>
      <c r="O436" s="198" t="n">
        <f aca="false">SUMIF('statutory adj_2026 조정분개'!$S:$S,$D436,'statutory adj_2026 조정분개'!$L:$L)</f>
        <v>7481129</v>
      </c>
      <c r="P436" s="196" t="n">
        <f aca="false">M436+N436-O436</f>
        <v>-7481129</v>
      </c>
      <c r="Q436" s="199" t="n">
        <f aca="false">IFERROR(VLOOKUP(VALUE($D436),BSPL2026!$B:$Q,16,FALSE()),0)</f>
        <v>0</v>
      </c>
      <c r="R436" s="200" t="s">
        <v>496</v>
      </c>
      <c r="S436" s="162" t="n">
        <f aca="false">IFERROR(VLOOKUP(VALUE($D436),BSPL2026!$B:$M,12,FALSE()),"")</f>
        <v>0</v>
      </c>
      <c r="T436" s="162" t="str">
        <f aca="false">IF(OR(S436="",S436=0,LEFT(S436,5)="(원본오류"),"",IF(S436=H436,"","매핑차이"))</f>
        <v/>
      </c>
    </row>
    <row r="437" customFormat="false" ht="16.5" hidden="true" customHeight="false" outlineLevel="0" collapsed="false">
      <c r="D437" s="190" t="s">
        <v>1406</v>
      </c>
      <c r="E437" s="191" t="s">
        <v>1407</v>
      </c>
      <c r="F437" s="192" t="s">
        <v>841</v>
      </c>
      <c r="G437" s="193" t="s">
        <v>912</v>
      </c>
      <c r="H437" s="194" t="s">
        <v>293</v>
      </c>
      <c r="I437" s="195" t="s">
        <v>1039</v>
      </c>
      <c r="J437" s="196" t="n">
        <f aca="false">IFERROR(VLOOKUP(VALUE($D437),BSPL2026!$B:$Z,25,FALSE()),0)</f>
        <v>0</v>
      </c>
      <c r="K437" s="197"/>
      <c r="L437" s="198"/>
      <c r="M437" s="196" t="n">
        <f aca="false">J437+K437-L437</f>
        <v>0</v>
      </c>
      <c r="N437" s="197" t="n">
        <f aca="false">SUMIF('statutory adj_2026 조정분개'!$S:$S,$D437,'statutory adj_2026 조정분개'!$K:$K)</f>
        <v>0</v>
      </c>
      <c r="O437" s="198" t="n">
        <f aca="false">SUMIF('statutory adj_2026 조정분개'!$S:$S,$D437,'statutory adj_2026 조정분개'!$L:$L)</f>
        <v>473087</v>
      </c>
      <c r="P437" s="196" t="n">
        <f aca="false">M437+N437-O437</f>
        <v>-473087</v>
      </c>
      <c r="Q437" s="199" t="n">
        <f aca="false">IFERROR(VLOOKUP(VALUE($D437),BSPL2026!$B:$Q,16,FALSE()),0)</f>
        <v>0</v>
      </c>
      <c r="R437" s="200" t="s">
        <v>496</v>
      </c>
      <c r="S437" s="162" t="n">
        <f aca="false">IFERROR(VLOOKUP(VALUE($D437),BSPL2026!$B:$M,12,FALSE()),"")</f>
        <v>0</v>
      </c>
      <c r="T437" s="162" t="str">
        <f aca="false">IF(OR(S437="",S437=0,LEFT(S437,5)="(원본오류"),"",IF(S437=H437,"","매핑차이"))</f>
        <v/>
      </c>
    </row>
    <row r="438" customFormat="false" ht="16.5" hidden="true" customHeight="false" outlineLevel="0" collapsed="false">
      <c r="D438" s="190" t="s">
        <v>1408</v>
      </c>
      <c r="E438" s="191" t="s">
        <v>1409</v>
      </c>
      <c r="F438" s="192" t="s">
        <v>841</v>
      </c>
      <c r="G438" s="193" t="s">
        <v>912</v>
      </c>
      <c r="H438" s="194" t="s">
        <v>301</v>
      </c>
      <c r="I438" s="195" t="s">
        <v>990</v>
      </c>
      <c r="J438" s="196" t="n">
        <f aca="false">IFERROR(VLOOKUP(VALUE($D438),BSPL2026!$B:$Z,25,FALSE()),0)</f>
        <v>0</v>
      </c>
      <c r="K438" s="197"/>
      <c r="L438" s="198"/>
      <c r="M438" s="196" t="n">
        <f aca="false">J438+K438-L438</f>
        <v>0</v>
      </c>
      <c r="N438" s="197" t="n">
        <f aca="false">SUMIF('statutory adj_2026 조정분개'!$S:$S,$D438,'statutory adj_2026 조정분개'!$K:$K)</f>
        <v>0</v>
      </c>
      <c r="O438" s="198" t="n">
        <f aca="false">SUMIF('statutory adj_2026 조정분개'!$S:$S,$D438,'statutory adj_2026 조정분개'!$L:$L)</f>
        <v>7044189</v>
      </c>
      <c r="P438" s="196" t="n">
        <f aca="false">M438+N438-O438</f>
        <v>-7044189</v>
      </c>
      <c r="Q438" s="199" t="n">
        <f aca="false">IFERROR(VLOOKUP(VALUE($D438),BSPL2026!$B:$Q,16,FALSE()),0)</f>
        <v>0</v>
      </c>
      <c r="R438" s="200" t="s">
        <v>496</v>
      </c>
      <c r="S438" s="162" t="n">
        <f aca="false">IFERROR(VLOOKUP(VALUE($D438),BSPL2026!$B:$M,12,FALSE()),"")</f>
        <v>0</v>
      </c>
      <c r="T438" s="162" t="str">
        <f aca="false">IF(OR(S438="",S438=0,LEFT(S438,5)="(원본오류"),"",IF(S438=H438,"","매핑차이"))</f>
        <v/>
      </c>
    </row>
    <row r="439" customFormat="false" ht="16.5" hidden="true" customHeight="false" outlineLevel="0" collapsed="false">
      <c r="D439" s="190" t="s">
        <v>1410</v>
      </c>
      <c r="E439" s="191" t="s">
        <v>1411</v>
      </c>
      <c r="F439" s="192" t="s">
        <v>841</v>
      </c>
      <c r="G439" s="193" t="s">
        <v>912</v>
      </c>
      <c r="H439" s="194" t="s">
        <v>299</v>
      </c>
      <c r="I439" s="195" t="s">
        <v>1108</v>
      </c>
      <c r="J439" s="196" t="n">
        <f aca="false">IFERROR(VLOOKUP(VALUE($D439),BSPL2026!$B:$Z,25,FALSE()),0)</f>
        <v>0</v>
      </c>
      <c r="K439" s="197"/>
      <c r="L439" s="198"/>
      <c r="M439" s="196" t="n">
        <f aca="false">J439+K439-L439</f>
        <v>0</v>
      </c>
      <c r="N439" s="197" t="n">
        <f aca="false">SUMIF('statutory adj_2026 조정분개'!$S:$S,$D439,'statutory adj_2026 조정분개'!$K:$K)</f>
        <v>0</v>
      </c>
      <c r="O439" s="198" t="n">
        <f aca="false">SUMIF('statutory adj_2026 조정분개'!$S:$S,$D439,'statutory adj_2026 조정분개'!$L:$L)</f>
        <v>0</v>
      </c>
      <c r="P439" s="196" t="n">
        <f aca="false">M439+N439-O439</f>
        <v>0</v>
      </c>
      <c r="Q439" s="199" t="n">
        <f aca="false">IFERROR(VLOOKUP(VALUE($D439),BSPL2026!$B:$Q,16,FALSE()),0)</f>
        <v>0</v>
      </c>
      <c r="R439" s="200" t="s">
        <v>496</v>
      </c>
      <c r="S439" s="162" t="n">
        <f aca="false">IFERROR(VLOOKUP(VALUE($D439),BSPL2026!$B:$M,12,FALSE()),"")</f>
        <v>0</v>
      </c>
      <c r="T439" s="162" t="str">
        <f aca="false">IF(OR(S439="",S439=0,LEFT(S439,5)="(원본오류"),"",IF(S439=H439,"","매핑차이"))</f>
        <v/>
      </c>
    </row>
    <row r="440" customFormat="false" ht="16.5" hidden="true" customHeight="false" outlineLevel="0" collapsed="false">
      <c r="D440" s="190" t="s">
        <v>1412</v>
      </c>
      <c r="E440" s="191" t="s">
        <v>1139</v>
      </c>
      <c r="F440" s="192" t="s">
        <v>841</v>
      </c>
      <c r="G440" s="193" t="s">
        <v>912</v>
      </c>
      <c r="H440" s="194" t="s">
        <v>291</v>
      </c>
      <c r="I440" s="195" t="s">
        <v>1069</v>
      </c>
      <c r="J440" s="196" t="n">
        <f aca="false">IFERROR(VLOOKUP(VALUE($D440),BSPL2026!$B:$Z,25,FALSE()),0)</f>
        <v>0</v>
      </c>
      <c r="K440" s="197"/>
      <c r="L440" s="198"/>
      <c r="M440" s="196" t="n">
        <f aca="false">J440+K440-L440</f>
        <v>0</v>
      </c>
      <c r="N440" s="197" t="n">
        <f aca="false">SUMIF('statutory adj_2026 조정분개'!$S:$S,$D440,'statutory adj_2026 조정분개'!$K:$K)</f>
        <v>0</v>
      </c>
      <c r="O440" s="198" t="n">
        <f aca="false">SUMIF('statutory adj_2026 조정분개'!$S:$S,$D440,'statutory adj_2026 조정분개'!$L:$L)</f>
        <v>15020622</v>
      </c>
      <c r="P440" s="196" t="n">
        <f aca="false">M440+N440-O440</f>
        <v>-15020622</v>
      </c>
      <c r="Q440" s="199" t="n">
        <f aca="false">IFERROR(VLOOKUP(VALUE($D440),BSPL2026!$B:$Q,16,FALSE()),0)</f>
        <v>0</v>
      </c>
      <c r="R440" s="200" t="s">
        <v>496</v>
      </c>
      <c r="S440" s="162" t="n">
        <f aca="false">IFERROR(VLOOKUP(VALUE($D440),BSPL2026!$B:$M,12,FALSE()),"")</f>
        <v>0</v>
      </c>
      <c r="T440" s="162" t="str">
        <f aca="false">IF(OR(S440="",S440=0,LEFT(S440,5)="(원본오류"),"",IF(S440=H440,"","매핑차이"))</f>
        <v/>
      </c>
    </row>
    <row r="441" customFormat="false" ht="16.5" hidden="true" customHeight="false" outlineLevel="0" collapsed="false">
      <c r="D441" s="190" t="s">
        <v>1413</v>
      </c>
      <c r="E441" s="191" t="s">
        <v>1414</v>
      </c>
      <c r="F441" s="192" t="s">
        <v>841</v>
      </c>
      <c r="G441" s="193" t="s">
        <v>874</v>
      </c>
      <c r="H441" s="194" t="s">
        <v>240</v>
      </c>
      <c r="I441" s="195" t="s">
        <v>1414</v>
      </c>
      <c r="J441" s="196" t="n">
        <f aca="false">IFERROR(VLOOKUP(VALUE($D441),BSPL2026!$B:$Z,25,FALSE()),0)</f>
        <v>-3639645</v>
      </c>
      <c r="K441" s="197"/>
      <c r="L441" s="198"/>
      <c r="M441" s="196" t="n">
        <f aca="false">J441+K441-L441</f>
        <v>-3639645</v>
      </c>
      <c r="N441" s="197" t="n">
        <f aca="false">SUMIF('statutory adj_2026 조정분개'!$S:$S,$D441,'statutory adj_2026 조정분개'!$K:$K)</f>
        <v>0</v>
      </c>
      <c r="O441" s="198" t="n">
        <f aca="false">SUMIF('statutory adj_2026 조정분개'!$S:$S,$D441,'statutory adj_2026 조정분개'!$L:$L)</f>
        <v>0</v>
      </c>
      <c r="P441" s="196" t="n">
        <f aca="false">M441+N441-O441</f>
        <v>-3639645</v>
      </c>
      <c r="Q441" s="199" t="n">
        <f aca="false">IFERROR(VLOOKUP(VALUE($D441),BSPL2026!$B:$Q,16,FALSE()),0)</f>
        <v>8817720</v>
      </c>
      <c r="R441" s="200" t="s">
        <v>496</v>
      </c>
      <c r="S441" s="162" t="str">
        <f aca="false">IFERROR(VLOOKUP(VALUE($D441),BSPL2026!$B:$M,12,FALSE()),"")</f>
        <v>상품매출원가</v>
      </c>
      <c r="T441" s="162" t="str">
        <f aca="false">IF(OR(S441="",S441=0,LEFT(S441,5)="(원본오류"),"",IF(S441=H441,"","매핑차이"))</f>
        <v/>
      </c>
    </row>
    <row r="442" customFormat="false" ht="16.5" hidden="true" customHeight="false" outlineLevel="0" collapsed="false">
      <c r="D442" s="190" t="s">
        <v>1415</v>
      </c>
      <c r="E442" s="191" t="s">
        <v>1416</v>
      </c>
      <c r="F442" s="192" t="s">
        <v>841</v>
      </c>
      <c r="G442" s="193" t="s">
        <v>912</v>
      </c>
      <c r="H442" s="194" t="s">
        <v>317</v>
      </c>
      <c r="I442" s="195" t="s">
        <v>1416</v>
      </c>
      <c r="J442" s="196" t="n">
        <f aca="false">IFERROR(VLOOKUP(VALUE($D442),BSPL2026!$B:$Z,25,FALSE()),0)</f>
        <v>0</v>
      </c>
      <c r="K442" s="197"/>
      <c r="L442" s="198"/>
      <c r="M442" s="196" t="n">
        <f aca="false">J442+K442-L442</f>
        <v>0</v>
      </c>
      <c r="N442" s="197" t="n">
        <f aca="false">SUMIF('statutory adj_2026 조정분개'!$S:$S,$D442,'statutory adj_2026 조정분개'!$K:$K)</f>
        <v>0</v>
      </c>
      <c r="O442" s="198" t="n">
        <f aca="false">SUMIF('statutory adj_2026 조정분개'!$S:$S,$D442,'statutory adj_2026 조정분개'!$L:$L)</f>
        <v>0</v>
      </c>
      <c r="P442" s="196" t="n">
        <f aca="false">M442+N442-O442</f>
        <v>0</v>
      </c>
      <c r="Q442" s="199" t="n">
        <f aca="false">IFERROR(VLOOKUP(VALUE($D442),BSPL2026!$B:$Q,16,FALSE()),0)</f>
        <v>0</v>
      </c>
      <c r="R442" s="200" t="s">
        <v>496</v>
      </c>
      <c r="S442" s="162" t="n">
        <f aca="false">IFERROR(VLOOKUP(VALUE($D442),BSPL2026!$B:$M,12,FALSE()),"")</f>
        <v>0</v>
      </c>
      <c r="T442" s="162" t="str">
        <f aca="false">IF(OR(S442="",S442=0,LEFT(S442,5)="(원본오류"),"",IF(S442=H442,"","매핑차이"))</f>
        <v/>
      </c>
    </row>
    <row r="443" customFormat="false" ht="16.5" hidden="true" customHeight="false" outlineLevel="0" collapsed="false">
      <c r="D443" s="190" t="s">
        <v>1417</v>
      </c>
      <c r="E443" s="191" t="s">
        <v>1353</v>
      </c>
      <c r="F443" s="192" t="s">
        <v>841</v>
      </c>
      <c r="G443" s="193" t="s">
        <v>368</v>
      </c>
      <c r="H443" s="194" t="s">
        <v>368</v>
      </c>
      <c r="I443" s="195" t="s">
        <v>1353</v>
      </c>
      <c r="J443" s="196" t="n">
        <f aca="false">IFERROR(VLOOKUP(VALUE($D443),BSPL2026!$B:$Z,25,FALSE()),0)</f>
        <v>98182970</v>
      </c>
      <c r="K443" s="197"/>
      <c r="L443" s="198"/>
      <c r="M443" s="196" t="n">
        <f aca="false">J443+K443-L443</f>
        <v>98182970</v>
      </c>
      <c r="N443" s="197" t="n">
        <f aca="false">SUMIF('statutory adj_2026 조정분개'!$S:$S,$D443,'statutory adj_2026 조정분개'!$K:$K)</f>
        <v>0</v>
      </c>
      <c r="O443" s="198" t="n">
        <f aca="false">SUMIF('statutory adj_2026 조정분개'!$S:$S,$D443,'statutory adj_2026 조정분개'!$L:$L)</f>
        <v>0</v>
      </c>
      <c r="P443" s="196" t="n">
        <f aca="false">M443+N443-O443</f>
        <v>98182970</v>
      </c>
      <c r="Q443" s="199" t="n">
        <f aca="false">IFERROR(VLOOKUP(VALUE($D443),BSPL2026!$B:$Q,16,FALSE()),0)</f>
        <v>158437715</v>
      </c>
      <c r="R443" s="200" t="s">
        <v>496</v>
      </c>
      <c r="S443" s="162" t="str">
        <f aca="false">IFERROR(VLOOKUP(VALUE($D443),BSPL2026!$B:$M,12,FALSE()),"")</f>
        <v>법인세비용</v>
      </c>
      <c r="T443" s="162" t="str">
        <f aca="false">IF(OR(S443="",S443=0,LEFT(S443,5)="(원본오류"),"",IF(S443=H443,"","매핑차이"))</f>
        <v/>
      </c>
    </row>
    <row r="444" customFormat="false" ht="16.5" hidden="true" customHeight="false" outlineLevel="0" collapsed="false">
      <c r="D444" s="201" t="s">
        <v>1418</v>
      </c>
      <c r="E444" s="202" t="s">
        <v>1419</v>
      </c>
      <c r="F444" s="192" t="s">
        <v>493</v>
      </c>
      <c r="G444" s="193" t="s">
        <v>157</v>
      </c>
      <c r="H444" s="194" t="s">
        <v>193</v>
      </c>
      <c r="I444" s="195" t="s">
        <v>1420</v>
      </c>
      <c r="J444" s="196" t="n">
        <f aca="false">IFERROR(VLOOKUP(VALUE($D444),BSPL2026!$B:$Z,25,FALSE()),0)</f>
        <v>0</v>
      </c>
      <c r="K444" s="197"/>
      <c r="L444" s="198"/>
      <c r="M444" s="196" t="n">
        <f aca="false">J444+K444-L444</f>
        <v>0</v>
      </c>
      <c r="N444" s="197" t="n">
        <f aca="false">SUMIF('statutory adj_2026 조정분개'!$S:$S,$D444,'statutory adj_2026 조정분개'!$K:$K)</f>
        <v>0</v>
      </c>
      <c r="O444" s="198" t="n">
        <f aca="false">SUMIF('statutory adj_2026 조정분개'!$S:$S,$D444,'statutory adj_2026 조정분개'!$L:$L)</f>
        <v>646256500</v>
      </c>
      <c r="P444" s="196" t="n">
        <f aca="false">M444+N444-O444</f>
        <v>-646256500</v>
      </c>
      <c r="Q444" s="199" t="n">
        <f aca="false">IFERROR(VLOOKUP(VALUE($D444),BSPL2026!$B:$Q,16,FALSE()),0)</f>
        <v>0</v>
      </c>
      <c r="R444" s="200" t="s">
        <v>1421</v>
      </c>
      <c r="S444" s="162" t="str">
        <f aca="false">IFERROR(VLOOKUP(VALUE($D444),BSPL2026!$B:$M,12,FALSE()),"")</f>
        <v/>
      </c>
      <c r="T444" s="162" t="str">
        <f aca="false">IF(OR(S444="",S444=0,LEFT(S444,5)="(원본오류"),"",IF(S444=H444,"","매핑차이"))</f>
        <v/>
      </c>
    </row>
    <row r="445" customFormat="false" ht="16.5" hidden="true" customHeight="false" outlineLevel="0" collapsed="false">
      <c r="D445" s="190" t="s">
        <v>1422</v>
      </c>
      <c r="E445" s="191"/>
      <c r="F445" s="192"/>
      <c r="G445" s="193"/>
      <c r="H445" s="194"/>
      <c r="I445" s="195"/>
      <c r="J445" s="203" t="n">
        <f aca="false">SUM(J3:J444)</f>
        <v>0</v>
      </c>
      <c r="K445" s="204" t="n">
        <f aca="false">SUM(K3:K444)</f>
        <v>0</v>
      </c>
      <c r="L445" s="205" t="n">
        <f aca="false">SUM(L3:L444)</f>
        <v>0</v>
      </c>
      <c r="M445" s="203" t="n">
        <f aca="false">SUM(M3:M444)</f>
        <v>0</v>
      </c>
      <c r="N445" s="204" t="n">
        <f aca="false">SUM(N3:N444)</f>
        <v>35406828644</v>
      </c>
      <c r="O445" s="205" t="n">
        <f aca="false">SUM(O3:O444)</f>
        <v>35406828644</v>
      </c>
      <c r="P445" s="203" t="n">
        <f aca="false">SUM(P3:P444)</f>
        <v>0</v>
      </c>
      <c r="Q445" s="206" t="n">
        <f aca="false">SUM(Q3:Q444)</f>
        <v>4</v>
      </c>
      <c r="R445" s="200"/>
    </row>
    <row r="446" customFormat="false" ht="16.5" hidden="true" customHeight="false" outlineLevel="0" collapsed="false">
      <c r="D446" s="190" t="s">
        <v>1423</v>
      </c>
      <c r="E446" s="191"/>
      <c r="F446" s="192"/>
      <c r="G446" s="193"/>
      <c r="H446" s="194"/>
      <c r="I446" s="195"/>
      <c r="J446" s="207"/>
      <c r="K446" s="197"/>
      <c r="L446" s="198"/>
      <c r="M446" s="196"/>
      <c r="N446" s="208" t="n">
        <f aca="false">N445-SUMPRODUCT(('statutory adj_2026 조정분개'!$S$7:$S$74&lt;&gt;"")*'statutory adj_2026 조정분개'!$K$7:$K$74)</f>
        <v>0</v>
      </c>
      <c r="O446" s="209" t="n">
        <f aca="false">O445-SUMPRODUCT(('statutory adj_2026 조정분개'!$S$7:$S$74&lt;&gt;"")*'statutory adj_2026 조정분개'!$L$7:$L$74)</f>
        <v>0</v>
      </c>
      <c r="P446" s="207"/>
      <c r="Q446" s="199"/>
      <c r="R446" s="200"/>
    </row>
    <row r="447" customFormat="false" ht="16.5" hidden="true" customHeight="false" outlineLevel="0" collapsed="false">
      <c r="D447" s="190" t="s">
        <v>1424</v>
      </c>
      <c r="E447" s="191"/>
      <c r="F447" s="192"/>
      <c r="G447" s="193"/>
      <c r="H447" s="194"/>
      <c r="I447" s="195"/>
      <c r="J447" s="207"/>
      <c r="K447" s="197"/>
      <c r="L447" s="198"/>
      <c r="M447" s="196"/>
      <c r="N447" s="208" t="n">
        <f aca="false">N445-'statutory adj_2026 조정분개'!K75</f>
        <v>-9</v>
      </c>
      <c r="O447" s="209" t="n">
        <f aca="false">O445-'statutory adj_2026 조정분개'!L75</f>
        <v>-9</v>
      </c>
      <c r="P447" s="207"/>
      <c r="Q447" s="199"/>
      <c r="R447" s="200"/>
    </row>
    <row r="448" customFormat="false" ht="16.5" hidden="true" customHeight="false" outlineLevel="0" collapsed="false">
      <c r="D448" s="190"/>
      <c r="E448" s="191"/>
      <c r="F448" s="192"/>
      <c r="G448" s="193"/>
      <c r="H448" s="194"/>
      <c r="I448" s="195"/>
      <c r="J448" s="207"/>
      <c r="K448" s="197"/>
      <c r="L448" s="198"/>
      <c r="M448" s="196"/>
      <c r="N448" s="208"/>
      <c r="O448" s="209"/>
      <c r="P448" s="207"/>
      <c r="Q448" s="199"/>
      <c r="R448" s="200"/>
    </row>
    <row r="449" customFormat="false" ht="16.5" hidden="true" customHeight="false" outlineLevel="0" collapsed="false">
      <c r="D449" s="190"/>
      <c r="E449" s="191"/>
      <c r="F449" s="192"/>
      <c r="G449" s="193"/>
      <c r="H449" s="194"/>
      <c r="I449" s="195" t="s">
        <v>493</v>
      </c>
      <c r="J449" s="207" t="n">
        <f aca="false">SUMIF($F$3:$F$444,I449,$J$3:$J$444)</f>
        <v>49288887022</v>
      </c>
      <c r="K449" s="197"/>
      <c r="L449" s="198"/>
      <c r="M449" s="196"/>
      <c r="N449" s="208"/>
      <c r="O449" s="209" t="s">
        <v>493</v>
      </c>
      <c r="P449" s="207" t="n">
        <f aca="false">SUMIF($F$3:$F$444,O449,$P$3:$P$444)</f>
        <v>49288887022</v>
      </c>
      <c r="Q449" s="199"/>
      <c r="R449" s="200"/>
    </row>
    <row r="450" customFormat="false" ht="16.5" hidden="true" customHeight="false" outlineLevel="0" collapsed="false">
      <c r="D450" s="190"/>
      <c r="E450" s="191"/>
      <c r="F450" s="192"/>
      <c r="G450" s="193"/>
      <c r="H450" s="194"/>
      <c r="I450" s="195" t="s">
        <v>841</v>
      </c>
      <c r="J450" s="207" t="n">
        <f aca="false">SUMIF($F$3:$F$444,I450,$J$3:$J$444)</f>
        <v>-49288887022</v>
      </c>
      <c r="K450" s="197"/>
      <c r="L450" s="198"/>
      <c r="M450" s="196"/>
      <c r="N450" s="208"/>
      <c r="O450" s="209" t="s">
        <v>841</v>
      </c>
      <c r="P450" s="207" t="n">
        <f aca="false">SUMIF($F$3:$F$444,O450,$P$3:$P$444)</f>
        <v>-49288887022</v>
      </c>
      <c r="Q450" s="199"/>
      <c r="R450" s="200"/>
    </row>
    <row r="451" customFormat="false" ht="16.5" hidden="true" customHeight="false" outlineLevel="0" collapsed="false">
      <c r="D451" s="190"/>
      <c r="E451" s="191"/>
      <c r="F451" s="192"/>
      <c r="G451" s="193"/>
      <c r="H451" s="194"/>
      <c r="I451" s="195"/>
      <c r="J451" s="207"/>
      <c r="K451" s="197"/>
      <c r="L451" s="198"/>
      <c r="M451" s="196"/>
      <c r="N451" s="208"/>
      <c r="O451" s="209"/>
      <c r="P451" s="207"/>
      <c r="Q451" s="199"/>
      <c r="R451" s="200"/>
    </row>
    <row r="452" customFormat="false" ht="16.5" hidden="true" customHeight="false" outlineLevel="0" collapsed="false">
      <c r="D452" s="201" t="s">
        <v>1425</v>
      </c>
      <c r="E452" s="191"/>
      <c r="F452" s="192"/>
      <c r="G452" s="193"/>
      <c r="H452" s="194"/>
      <c r="I452" s="195"/>
      <c r="J452" s="207" t="n">
        <f aca="false">COUNTIF($T$3:$T$444,"매핑차이")</f>
        <v>1</v>
      </c>
      <c r="K452" s="197"/>
      <c r="L452" s="198"/>
      <c r="M452" s="196"/>
      <c r="N452" s="208"/>
      <c r="O452" s="209"/>
      <c r="P452" s="207"/>
      <c r="Q452" s="199"/>
      <c r="R452" s="200"/>
    </row>
    <row r="453" customFormat="false" ht="16.5" hidden="true" customHeight="false" outlineLevel="0" collapsed="false">
      <c r="D453" s="201" t="s">
        <v>1426</v>
      </c>
      <c r="E453" s="191"/>
      <c r="F453" s="192"/>
      <c r="G453" s="193"/>
      <c r="H453" s="194"/>
      <c r="I453" s="195"/>
      <c r="J453" s="207" t="n">
        <f aca="false">SUMIF($H$3:$H$444,"가계정",$M$3:$M$444)</f>
        <v>0</v>
      </c>
      <c r="K453" s="197"/>
      <c r="L453" s="198"/>
      <c r="M453" s="196"/>
      <c r="N453" s="208"/>
      <c r="O453" s="209"/>
      <c r="P453" s="207"/>
      <c r="Q453" s="199"/>
      <c r="R453" s="200"/>
    </row>
    <row r="454" customFormat="false" ht="16.5" hidden="true" customHeight="false" outlineLevel="0" collapsed="false">
      <c r="D454" s="190" t="s">
        <v>1427</v>
      </c>
      <c r="E454" s="191"/>
      <c r="F454" s="192"/>
      <c r="G454" s="193"/>
      <c r="H454" s="194"/>
      <c r="I454" s="195"/>
      <c r="J454" s="207" t="n">
        <f aca="false">SUMPRODUCT(--($H$3:$H$444&lt;&gt;"가계정"),--($H$3:$H$444&lt;&gt;"제품매출원가"),--($H$3:$H$444&lt;&gt;"판매 및 일반관리비 대체"),--ISNA(MATCH($H$3:$H$444,BS_KO!$D$1:$D$130,0)),--ISNA(MATCH($H$3:$H$444,'P&amp;L_KO'!$D$1:$D$120,0)))</f>
        <v>0</v>
      </c>
      <c r="K454" s="197"/>
      <c r="L454" s="198"/>
      <c r="M454" s="196"/>
      <c r="N454" s="208"/>
      <c r="O454" s="209"/>
      <c r="P454" s="207"/>
      <c r="Q454" s="199"/>
      <c r="R454" s="200"/>
    </row>
    <row r="455" customFormat="false" ht="16.5" hidden="true" customHeight="false" outlineLevel="0" collapsed="false">
      <c r="D455" s="190"/>
      <c r="E455" s="191"/>
      <c r="F455" s="192"/>
      <c r="G455" s="193"/>
      <c r="H455" s="194"/>
      <c r="I455" s="195"/>
      <c r="J455" s="196"/>
      <c r="K455" s="197"/>
      <c r="L455" s="198"/>
      <c r="M455" s="196"/>
      <c r="N455" s="197"/>
      <c r="O455" s="198"/>
      <c r="P455" s="196"/>
      <c r="Q455" s="199"/>
      <c r="R455" s="200"/>
    </row>
    <row r="456" customFormat="false" ht="16.5" hidden="true" customHeight="false" outlineLevel="0" collapsed="false">
      <c r="D456" s="190"/>
      <c r="E456" s="191"/>
      <c r="F456" s="192"/>
      <c r="G456" s="193"/>
      <c r="H456" s="194"/>
      <c r="I456" s="195"/>
      <c r="J456" s="196"/>
      <c r="K456" s="197"/>
      <c r="L456" s="198"/>
      <c r="M456" s="196"/>
      <c r="N456" s="197"/>
      <c r="O456" s="198"/>
      <c r="P456" s="196"/>
      <c r="Q456" s="199"/>
      <c r="R456" s="200"/>
    </row>
    <row r="457" customFormat="false" ht="16.5" hidden="true" customHeight="false" outlineLevel="0" collapsed="false">
      <c r="D457" s="190"/>
      <c r="E457" s="191"/>
      <c r="F457" s="192"/>
      <c r="G457" s="193"/>
      <c r="H457" s="194"/>
      <c r="I457" s="195"/>
      <c r="J457" s="196"/>
      <c r="K457" s="197"/>
      <c r="L457" s="198"/>
      <c r="M457" s="196"/>
      <c r="N457" s="197"/>
      <c r="O457" s="198"/>
      <c r="P457" s="196"/>
      <c r="Q457" s="199"/>
      <c r="R457" s="200"/>
    </row>
    <row r="458" customFormat="false" ht="16.5" hidden="true" customHeight="false" outlineLevel="0" collapsed="false">
      <c r="D458" s="190"/>
      <c r="E458" s="191"/>
      <c r="F458" s="192"/>
      <c r="G458" s="193"/>
      <c r="H458" s="194"/>
      <c r="I458" s="195"/>
      <c r="J458" s="196"/>
      <c r="K458" s="197"/>
      <c r="L458" s="198"/>
      <c r="M458" s="196"/>
      <c r="N458" s="197"/>
      <c r="O458" s="198"/>
      <c r="P458" s="196"/>
      <c r="Q458" s="199"/>
      <c r="R458" s="200"/>
    </row>
    <row r="459" customFormat="false" ht="16.5" hidden="true" customHeight="false" outlineLevel="0" collapsed="false">
      <c r="D459" s="190"/>
      <c r="E459" s="191"/>
      <c r="F459" s="192"/>
      <c r="G459" s="193"/>
      <c r="H459" s="194"/>
      <c r="I459" s="195"/>
      <c r="J459" s="196"/>
      <c r="K459" s="197"/>
      <c r="L459" s="198"/>
      <c r="M459" s="196"/>
      <c r="N459" s="197"/>
      <c r="O459" s="198"/>
      <c r="P459" s="196"/>
      <c r="Q459" s="199"/>
      <c r="R459" s="200"/>
    </row>
    <row r="460" customFormat="false" ht="16.5" hidden="true" customHeight="false" outlineLevel="0" collapsed="false">
      <c r="D460" s="190"/>
      <c r="E460" s="191"/>
      <c r="F460" s="192"/>
      <c r="G460" s="193"/>
      <c r="H460" s="194"/>
      <c r="I460" s="195"/>
      <c r="J460" s="196"/>
      <c r="K460" s="197"/>
      <c r="L460" s="198"/>
      <c r="M460" s="196"/>
      <c r="N460" s="197"/>
      <c r="O460" s="198"/>
      <c r="P460" s="196"/>
      <c r="Q460" s="199"/>
      <c r="R460" s="200"/>
    </row>
    <row r="461" customFormat="false" ht="16.5" hidden="true" customHeight="false" outlineLevel="0" collapsed="false">
      <c r="D461" s="190"/>
      <c r="E461" s="191"/>
      <c r="F461" s="192"/>
      <c r="G461" s="193"/>
      <c r="H461" s="194"/>
      <c r="I461" s="195"/>
      <c r="J461" s="196"/>
      <c r="K461" s="197"/>
      <c r="L461" s="198"/>
      <c r="M461" s="196"/>
      <c r="N461" s="197"/>
      <c r="O461" s="198"/>
      <c r="P461" s="196"/>
      <c r="Q461" s="199"/>
      <c r="R461" s="200"/>
    </row>
    <row r="462" customFormat="false" ht="16.5" hidden="true" customHeight="false" outlineLevel="0" collapsed="false">
      <c r="D462" s="190"/>
      <c r="E462" s="191"/>
      <c r="F462" s="192"/>
      <c r="G462" s="193"/>
      <c r="H462" s="194"/>
      <c r="I462" s="195"/>
      <c r="J462" s="196"/>
      <c r="K462" s="197"/>
      <c r="L462" s="198"/>
      <c r="M462" s="196"/>
      <c r="N462" s="197"/>
      <c r="O462" s="198"/>
      <c r="P462" s="196"/>
      <c r="Q462" s="199"/>
      <c r="R462" s="200"/>
    </row>
    <row r="463" customFormat="false" ht="16.5" hidden="true" customHeight="false" outlineLevel="0" collapsed="false">
      <c r="D463" s="190"/>
      <c r="E463" s="191"/>
      <c r="F463" s="192"/>
      <c r="G463" s="193"/>
      <c r="H463" s="194"/>
      <c r="I463" s="195"/>
      <c r="J463" s="196"/>
      <c r="K463" s="197"/>
      <c r="L463" s="198"/>
      <c r="M463" s="196"/>
      <c r="N463" s="197"/>
      <c r="O463" s="198"/>
      <c r="P463" s="196"/>
      <c r="Q463" s="199"/>
      <c r="R463" s="200"/>
    </row>
    <row r="464" customFormat="false" ht="16.5" hidden="true" customHeight="false" outlineLevel="0" collapsed="false">
      <c r="D464" s="190"/>
      <c r="E464" s="191"/>
      <c r="F464" s="192"/>
      <c r="G464" s="193"/>
      <c r="H464" s="194"/>
      <c r="I464" s="195"/>
      <c r="J464" s="196"/>
      <c r="K464" s="197"/>
      <c r="L464" s="198"/>
      <c r="M464" s="196"/>
      <c r="N464" s="197"/>
      <c r="O464" s="198"/>
      <c r="P464" s="196"/>
      <c r="Q464" s="199"/>
      <c r="R464" s="200"/>
    </row>
    <row r="465" customFormat="false" ht="16.5" hidden="true" customHeight="false" outlineLevel="0" collapsed="false">
      <c r="D465" s="190"/>
      <c r="E465" s="191"/>
      <c r="F465" s="192"/>
      <c r="G465" s="193"/>
      <c r="H465" s="194"/>
      <c r="I465" s="195"/>
      <c r="J465" s="196"/>
      <c r="K465" s="197"/>
      <c r="L465" s="198"/>
      <c r="M465" s="196"/>
      <c r="N465" s="197"/>
      <c r="O465" s="198"/>
      <c r="P465" s="196"/>
      <c r="Q465" s="199"/>
      <c r="R465" s="200"/>
    </row>
    <row r="466" customFormat="false" ht="16.5" hidden="true" customHeight="false" outlineLevel="0" collapsed="false">
      <c r="D466" s="190"/>
      <c r="E466" s="191"/>
      <c r="F466" s="192"/>
      <c r="G466" s="193"/>
      <c r="H466" s="194"/>
      <c r="I466" s="195"/>
      <c r="J466" s="196"/>
      <c r="K466" s="197"/>
      <c r="L466" s="198"/>
      <c r="M466" s="196"/>
      <c r="N466" s="197"/>
      <c r="O466" s="198"/>
      <c r="P466" s="196"/>
      <c r="Q466" s="199"/>
      <c r="R466" s="200"/>
    </row>
    <row r="467" customFormat="false" ht="16.5" hidden="true" customHeight="false" outlineLevel="0" collapsed="false">
      <c r="D467" s="190"/>
      <c r="E467" s="191"/>
      <c r="F467" s="192"/>
      <c r="G467" s="193"/>
      <c r="H467" s="194"/>
      <c r="I467" s="195"/>
      <c r="J467" s="196"/>
      <c r="K467" s="197"/>
      <c r="L467" s="198"/>
      <c r="M467" s="196"/>
      <c r="N467" s="197"/>
      <c r="O467" s="198"/>
      <c r="P467" s="196"/>
      <c r="Q467" s="199"/>
      <c r="R467" s="200"/>
    </row>
    <row r="468" customFormat="false" ht="16.5" hidden="true" customHeight="false" outlineLevel="0" collapsed="false">
      <c r="D468" s="190"/>
      <c r="E468" s="191"/>
      <c r="F468" s="192"/>
      <c r="G468" s="193"/>
      <c r="H468" s="194"/>
      <c r="I468" s="195"/>
      <c r="J468" s="196"/>
      <c r="K468" s="197"/>
      <c r="L468" s="198"/>
      <c r="M468" s="196"/>
      <c r="N468" s="197"/>
      <c r="O468" s="198"/>
      <c r="P468" s="196"/>
      <c r="Q468" s="199"/>
      <c r="R468" s="200"/>
    </row>
    <row r="469" customFormat="false" ht="16.5" hidden="true" customHeight="false" outlineLevel="0" collapsed="false">
      <c r="D469" s="190"/>
      <c r="E469" s="191"/>
      <c r="F469" s="192"/>
      <c r="G469" s="193"/>
      <c r="H469" s="194"/>
      <c r="I469" s="195"/>
      <c r="J469" s="196"/>
      <c r="K469" s="197"/>
      <c r="L469" s="198"/>
      <c r="M469" s="196"/>
      <c r="N469" s="197"/>
      <c r="O469" s="198"/>
      <c r="P469" s="196"/>
      <c r="Q469" s="199"/>
      <c r="R469" s="200"/>
    </row>
    <row r="470" customFormat="false" ht="16.5" hidden="true" customHeight="false" outlineLevel="0" collapsed="false">
      <c r="D470" s="190"/>
      <c r="E470" s="191"/>
      <c r="F470" s="192"/>
      <c r="G470" s="193"/>
      <c r="H470" s="194"/>
      <c r="I470" s="195"/>
      <c r="J470" s="196"/>
      <c r="K470" s="197"/>
      <c r="L470" s="198"/>
      <c r="M470" s="196"/>
      <c r="N470" s="197"/>
      <c r="O470" s="198"/>
      <c r="P470" s="196"/>
      <c r="Q470" s="199"/>
      <c r="R470" s="200"/>
    </row>
    <row r="471" customFormat="false" ht="16.5" hidden="true" customHeight="false" outlineLevel="0" collapsed="false">
      <c r="D471" s="190"/>
      <c r="E471" s="191"/>
      <c r="F471" s="192"/>
      <c r="G471" s="193"/>
      <c r="H471" s="194"/>
      <c r="I471" s="195"/>
      <c r="J471" s="196"/>
      <c r="K471" s="197"/>
      <c r="L471" s="198"/>
      <c r="M471" s="196"/>
      <c r="N471" s="197"/>
      <c r="O471" s="198"/>
      <c r="P471" s="196"/>
      <c r="Q471" s="199"/>
      <c r="R471" s="200"/>
    </row>
    <row r="472" customFormat="false" ht="16.5" hidden="true" customHeight="false" outlineLevel="0" collapsed="false">
      <c r="D472" s="190"/>
      <c r="E472" s="191"/>
      <c r="F472" s="192"/>
      <c r="G472" s="193"/>
      <c r="H472" s="194"/>
      <c r="I472" s="195"/>
      <c r="J472" s="196"/>
      <c r="K472" s="197"/>
      <c r="L472" s="198"/>
      <c r="M472" s="196"/>
      <c r="N472" s="197"/>
      <c r="O472" s="198"/>
      <c r="P472" s="196"/>
      <c r="Q472" s="199"/>
      <c r="R472" s="200"/>
    </row>
    <row r="473" customFormat="false" ht="16.5" hidden="true" customHeight="false" outlineLevel="0" collapsed="false">
      <c r="D473" s="190"/>
      <c r="E473" s="191"/>
      <c r="F473" s="192"/>
      <c r="G473" s="193"/>
      <c r="H473" s="194"/>
      <c r="I473" s="195"/>
      <c r="J473" s="196"/>
      <c r="K473" s="197"/>
      <c r="L473" s="198"/>
      <c r="M473" s="196"/>
      <c r="N473" s="197"/>
      <c r="O473" s="198"/>
      <c r="P473" s="196"/>
      <c r="Q473" s="199"/>
      <c r="R473" s="200"/>
    </row>
    <row r="474" customFormat="false" ht="16.5" hidden="true" customHeight="false" outlineLevel="0" collapsed="false">
      <c r="D474" s="190"/>
      <c r="E474" s="191"/>
      <c r="F474" s="192"/>
      <c r="G474" s="193"/>
      <c r="H474" s="194"/>
      <c r="I474" s="195"/>
      <c r="J474" s="196"/>
      <c r="K474" s="197"/>
      <c r="L474" s="198"/>
      <c r="M474" s="196"/>
      <c r="N474" s="197"/>
      <c r="O474" s="198"/>
      <c r="P474" s="196"/>
      <c r="Q474" s="199"/>
      <c r="R474" s="200"/>
    </row>
    <row r="475" customFormat="false" ht="16.5" hidden="true" customHeight="false" outlineLevel="0" collapsed="false">
      <c r="D475" s="190"/>
      <c r="E475" s="191"/>
      <c r="F475" s="192"/>
      <c r="G475" s="193"/>
      <c r="H475" s="194"/>
      <c r="I475" s="195"/>
      <c r="J475" s="196"/>
      <c r="K475" s="197"/>
      <c r="L475" s="198"/>
      <c r="M475" s="196"/>
      <c r="N475" s="197"/>
      <c r="O475" s="198"/>
      <c r="P475" s="196"/>
      <c r="Q475" s="199"/>
      <c r="R475" s="200"/>
    </row>
    <row r="476" customFormat="false" ht="16.5" hidden="true" customHeight="false" outlineLevel="0" collapsed="false">
      <c r="D476" s="190"/>
      <c r="E476" s="191"/>
      <c r="F476" s="192"/>
      <c r="G476" s="193"/>
      <c r="H476" s="194"/>
      <c r="I476" s="195"/>
      <c r="J476" s="196"/>
      <c r="K476" s="197"/>
      <c r="L476" s="198"/>
      <c r="M476" s="196"/>
      <c r="N476" s="197"/>
      <c r="O476" s="198"/>
      <c r="P476" s="196"/>
      <c r="Q476" s="199"/>
      <c r="R476" s="200"/>
    </row>
    <row r="477" customFormat="false" ht="16.5" hidden="true" customHeight="false" outlineLevel="0" collapsed="false">
      <c r="D477" s="190"/>
      <c r="E477" s="191"/>
      <c r="F477" s="192"/>
      <c r="G477" s="193"/>
      <c r="H477" s="194"/>
      <c r="I477" s="195"/>
      <c r="J477" s="196"/>
      <c r="K477" s="197"/>
      <c r="L477" s="198"/>
      <c r="M477" s="196"/>
      <c r="N477" s="197"/>
      <c r="O477" s="198"/>
      <c r="P477" s="196"/>
      <c r="Q477" s="199"/>
      <c r="R477" s="200"/>
    </row>
    <row r="478" customFormat="false" ht="16.5" hidden="true" customHeight="false" outlineLevel="0" collapsed="false">
      <c r="D478" s="190"/>
      <c r="E478" s="191"/>
      <c r="F478" s="192"/>
      <c r="G478" s="193"/>
      <c r="H478" s="194"/>
      <c r="I478" s="195"/>
      <c r="J478" s="196"/>
      <c r="K478" s="197"/>
      <c r="L478" s="198"/>
      <c r="M478" s="196"/>
      <c r="N478" s="197"/>
      <c r="O478" s="198"/>
      <c r="P478" s="196"/>
      <c r="Q478" s="199"/>
      <c r="R478" s="200"/>
    </row>
    <row r="479" customFormat="false" ht="16.5" hidden="true" customHeight="false" outlineLevel="0" collapsed="false">
      <c r="D479" s="190"/>
      <c r="E479" s="191"/>
      <c r="F479" s="192"/>
      <c r="G479" s="193"/>
      <c r="H479" s="194"/>
      <c r="I479" s="195"/>
      <c r="J479" s="196"/>
      <c r="K479" s="197"/>
      <c r="L479" s="198"/>
      <c r="M479" s="196"/>
      <c r="N479" s="197"/>
      <c r="O479" s="198"/>
      <c r="P479" s="196"/>
      <c r="Q479" s="199"/>
      <c r="R479" s="200"/>
    </row>
    <row r="480" customFormat="false" ht="16.5" hidden="true" customHeight="false" outlineLevel="0" collapsed="false">
      <c r="D480" s="190"/>
      <c r="E480" s="191"/>
      <c r="F480" s="192"/>
      <c r="G480" s="193"/>
      <c r="H480" s="194"/>
      <c r="I480" s="195"/>
      <c r="J480" s="196"/>
      <c r="K480" s="197"/>
      <c r="L480" s="198"/>
      <c r="M480" s="196"/>
      <c r="N480" s="197"/>
      <c r="O480" s="198"/>
      <c r="P480" s="196"/>
      <c r="Q480" s="199"/>
      <c r="R480" s="200"/>
    </row>
    <row r="481" customFormat="false" ht="16.5" hidden="true" customHeight="false" outlineLevel="0" collapsed="false">
      <c r="D481" s="190"/>
      <c r="E481" s="191"/>
      <c r="F481" s="192"/>
      <c r="G481" s="193"/>
      <c r="H481" s="194"/>
      <c r="I481" s="195"/>
      <c r="J481" s="196"/>
      <c r="K481" s="197"/>
      <c r="L481" s="198"/>
      <c r="M481" s="196"/>
      <c r="N481" s="197"/>
      <c r="O481" s="198"/>
      <c r="P481" s="196"/>
      <c r="Q481" s="199"/>
      <c r="R481" s="200"/>
    </row>
    <row r="482" customFormat="false" ht="16.5" hidden="true" customHeight="false" outlineLevel="0" collapsed="false">
      <c r="D482" s="190"/>
      <c r="E482" s="191"/>
      <c r="F482" s="192"/>
      <c r="G482" s="193"/>
      <c r="H482" s="194"/>
      <c r="I482" s="195"/>
      <c r="J482" s="196"/>
      <c r="K482" s="197"/>
      <c r="L482" s="198"/>
      <c r="M482" s="196"/>
      <c r="N482" s="197"/>
      <c r="O482" s="198"/>
      <c r="P482" s="196"/>
      <c r="Q482" s="199"/>
      <c r="R482" s="200"/>
    </row>
    <row r="483" customFormat="false" ht="16.5" hidden="true" customHeight="false" outlineLevel="0" collapsed="false">
      <c r="D483" s="190"/>
      <c r="E483" s="191"/>
      <c r="F483" s="192"/>
      <c r="G483" s="193"/>
      <c r="H483" s="194"/>
      <c r="I483" s="195"/>
      <c r="J483" s="196"/>
      <c r="K483" s="197"/>
      <c r="L483" s="198"/>
      <c r="M483" s="196"/>
      <c r="N483" s="197"/>
      <c r="O483" s="198"/>
      <c r="P483" s="196"/>
      <c r="Q483" s="199"/>
      <c r="R483" s="200"/>
    </row>
    <row r="484" customFormat="false" ht="16.5" hidden="true" customHeight="false" outlineLevel="0" collapsed="false">
      <c r="D484" s="190"/>
      <c r="E484" s="191"/>
      <c r="F484" s="192"/>
      <c r="G484" s="193"/>
      <c r="H484" s="194"/>
      <c r="I484" s="195"/>
      <c r="J484" s="196"/>
      <c r="K484" s="197"/>
      <c r="L484" s="198"/>
      <c r="M484" s="196"/>
      <c r="N484" s="197"/>
      <c r="O484" s="198"/>
      <c r="P484" s="196"/>
      <c r="Q484" s="199"/>
      <c r="R484" s="200"/>
    </row>
    <row r="485" customFormat="false" ht="16.5" hidden="true" customHeight="false" outlineLevel="0" collapsed="false">
      <c r="D485" s="190"/>
      <c r="E485" s="191"/>
      <c r="F485" s="192"/>
      <c r="G485" s="193"/>
      <c r="H485" s="194"/>
      <c r="I485" s="195"/>
      <c r="J485" s="196"/>
      <c r="K485" s="197"/>
      <c r="L485" s="198"/>
      <c r="M485" s="196"/>
      <c r="N485" s="197"/>
      <c r="O485" s="198"/>
      <c r="P485" s="196"/>
      <c r="Q485" s="199"/>
      <c r="R485" s="200"/>
    </row>
    <row r="486" customFormat="false" ht="16.5" hidden="true" customHeight="false" outlineLevel="0" collapsed="false">
      <c r="D486" s="190"/>
      <c r="E486" s="191"/>
      <c r="F486" s="192"/>
      <c r="G486" s="193"/>
      <c r="H486" s="194"/>
      <c r="I486" s="195"/>
      <c r="J486" s="196"/>
      <c r="K486" s="197"/>
      <c r="L486" s="198"/>
      <c r="M486" s="196"/>
      <c r="N486" s="197"/>
      <c r="O486" s="198"/>
      <c r="P486" s="196"/>
      <c r="Q486" s="199"/>
      <c r="R486" s="200"/>
    </row>
    <row r="487" customFormat="false" ht="16.5" hidden="true" customHeight="false" outlineLevel="0" collapsed="false">
      <c r="D487" s="190"/>
      <c r="E487" s="191"/>
      <c r="F487" s="192"/>
      <c r="G487" s="193"/>
      <c r="H487" s="194"/>
      <c r="I487" s="195"/>
      <c r="J487" s="196"/>
      <c r="K487" s="197"/>
      <c r="L487" s="198"/>
      <c r="M487" s="196"/>
      <c r="N487" s="197"/>
      <c r="O487" s="198"/>
      <c r="P487" s="196"/>
      <c r="Q487" s="199"/>
      <c r="R487" s="200"/>
    </row>
    <row r="488" customFormat="false" ht="16.5" hidden="true" customHeight="false" outlineLevel="0" collapsed="false">
      <c r="D488" s="190"/>
      <c r="E488" s="191"/>
      <c r="F488" s="192"/>
      <c r="G488" s="193"/>
      <c r="H488" s="194"/>
      <c r="I488" s="195"/>
      <c r="J488" s="196"/>
      <c r="K488" s="197"/>
      <c r="L488" s="198"/>
      <c r="M488" s="196"/>
      <c r="N488" s="197"/>
      <c r="O488" s="198"/>
      <c r="P488" s="196"/>
      <c r="Q488" s="199"/>
      <c r="R488" s="200"/>
    </row>
    <row r="489" customFormat="false" ht="16.5" hidden="true" customHeight="false" outlineLevel="0" collapsed="false">
      <c r="D489" s="190"/>
      <c r="E489" s="191"/>
      <c r="F489" s="192"/>
      <c r="G489" s="193"/>
      <c r="H489" s="194"/>
      <c r="I489" s="195"/>
      <c r="J489" s="196"/>
      <c r="K489" s="197"/>
      <c r="L489" s="198"/>
      <c r="M489" s="196"/>
      <c r="N489" s="197"/>
      <c r="O489" s="198"/>
      <c r="P489" s="196"/>
      <c r="Q489" s="199"/>
      <c r="R489" s="200"/>
    </row>
    <row r="490" customFormat="false" ht="16.5" hidden="true" customHeight="false" outlineLevel="0" collapsed="false">
      <c r="D490" s="190"/>
      <c r="E490" s="191"/>
      <c r="F490" s="192"/>
      <c r="G490" s="193"/>
      <c r="H490" s="194"/>
      <c r="I490" s="195"/>
      <c r="J490" s="196"/>
      <c r="K490" s="197"/>
      <c r="L490" s="198"/>
      <c r="M490" s="196"/>
      <c r="N490" s="197"/>
      <c r="O490" s="198"/>
      <c r="P490" s="196"/>
      <c r="Q490" s="199"/>
      <c r="R490" s="200"/>
    </row>
    <row r="491" customFormat="false" ht="16.5" hidden="true" customHeight="false" outlineLevel="0" collapsed="false">
      <c r="D491" s="190"/>
      <c r="E491" s="191"/>
      <c r="F491" s="192"/>
      <c r="G491" s="193"/>
      <c r="H491" s="194"/>
      <c r="I491" s="195"/>
      <c r="J491" s="196"/>
      <c r="K491" s="197"/>
      <c r="L491" s="198"/>
      <c r="M491" s="196"/>
      <c r="N491" s="197"/>
      <c r="O491" s="198"/>
      <c r="P491" s="196"/>
      <c r="Q491" s="199"/>
      <c r="R491" s="200"/>
    </row>
    <row r="492" customFormat="false" ht="16.5" hidden="true" customHeight="false" outlineLevel="0" collapsed="false">
      <c r="D492" s="190"/>
      <c r="E492" s="191"/>
      <c r="F492" s="192"/>
      <c r="G492" s="193"/>
      <c r="H492" s="194"/>
      <c r="I492" s="195"/>
      <c r="J492" s="196"/>
      <c r="K492" s="197"/>
      <c r="L492" s="198"/>
      <c r="M492" s="196"/>
      <c r="N492" s="197"/>
      <c r="O492" s="198"/>
      <c r="P492" s="196"/>
      <c r="Q492" s="199"/>
      <c r="R492" s="200"/>
    </row>
    <row r="493" customFormat="false" ht="16.5" hidden="true" customHeight="false" outlineLevel="0" collapsed="false">
      <c r="D493" s="190"/>
      <c r="E493" s="191"/>
      <c r="F493" s="192"/>
      <c r="G493" s="193"/>
      <c r="H493" s="194"/>
      <c r="I493" s="195"/>
      <c r="J493" s="196"/>
      <c r="K493" s="197"/>
      <c r="L493" s="198"/>
      <c r="M493" s="196"/>
      <c r="N493" s="197"/>
      <c r="O493" s="198"/>
      <c r="P493" s="196"/>
      <c r="Q493" s="199"/>
      <c r="R493" s="200"/>
    </row>
    <row r="494" customFormat="false" ht="16.5" hidden="true" customHeight="false" outlineLevel="0" collapsed="false">
      <c r="D494" s="210"/>
      <c r="E494" s="191"/>
      <c r="F494" s="192"/>
      <c r="G494" s="193"/>
      <c r="H494" s="194"/>
      <c r="I494" s="195"/>
      <c r="J494" s="196"/>
      <c r="K494" s="197"/>
      <c r="L494" s="198"/>
      <c r="M494" s="196"/>
      <c r="N494" s="197"/>
      <c r="O494" s="198"/>
      <c r="P494" s="196"/>
      <c r="Q494" s="199"/>
      <c r="R494" s="200"/>
    </row>
    <row r="495" customFormat="false" ht="16.5" hidden="true" customHeight="false" outlineLevel="0" collapsed="false">
      <c r="D495" s="190"/>
      <c r="E495" s="191"/>
      <c r="F495" s="192"/>
      <c r="G495" s="193"/>
      <c r="H495" s="194"/>
      <c r="I495" s="195"/>
      <c r="J495" s="196"/>
      <c r="K495" s="197"/>
      <c r="L495" s="198"/>
      <c r="M495" s="196"/>
      <c r="N495" s="197"/>
      <c r="O495" s="198"/>
      <c r="P495" s="196"/>
      <c r="Q495" s="199"/>
      <c r="R495" s="200"/>
    </row>
    <row r="496" customFormat="false" ht="16.5" hidden="true" customHeight="false" outlineLevel="0" collapsed="false">
      <c r="D496" s="190"/>
      <c r="E496" s="191"/>
      <c r="F496" s="192"/>
      <c r="G496" s="193"/>
      <c r="H496" s="194"/>
      <c r="I496" s="195"/>
      <c r="J496" s="196"/>
      <c r="K496" s="197"/>
      <c r="L496" s="198"/>
      <c r="M496" s="196"/>
      <c r="N496" s="197"/>
      <c r="O496" s="198"/>
      <c r="P496" s="196"/>
      <c r="Q496" s="199"/>
      <c r="R496" s="200"/>
    </row>
    <row r="497" customFormat="false" ht="16.5" hidden="true" customHeight="false" outlineLevel="0" collapsed="false">
      <c r="D497" s="190"/>
      <c r="E497" s="191"/>
      <c r="F497" s="192"/>
      <c r="G497" s="193"/>
      <c r="H497" s="194"/>
      <c r="I497" s="195"/>
      <c r="J497" s="196"/>
      <c r="K497" s="197"/>
      <c r="L497" s="198"/>
      <c r="M497" s="196"/>
      <c r="N497" s="197"/>
      <c r="O497" s="198"/>
      <c r="P497" s="196"/>
      <c r="Q497" s="199"/>
      <c r="R497" s="200"/>
    </row>
    <row r="498" customFormat="false" ht="16.5" hidden="false" customHeight="false" outlineLevel="0" collapsed="false">
      <c r="D498" s="190"/>
      <c r="E498" s="191"/>
      <c r="F498" s="192"/>
      <c r="G498" s="193"/>
      <c r="H498" s="194"/>
      <c r="I498" s="195"/>
      <c r="J498" s="196"/>
      <c r="K498" s="197"/>
      <c r="L498" s="198"/>
      <c r="M498" s="196"/>
      <c r="N498" s="197"/>
      <c r="O498" s="198"/>
      <c r="P498" s="211"/>
      <c r="Q498" s="199"/>
      <c r="R498" s="200"/>
    </row>
    <row r="499" customFormat="false" ht="16.5" hidden="true" customHeight="false" outlineLevel="0" collapsed="false">
      <c r="D499" s="190"/>
      <c r="E499" s="191"/>
      <c r="F499" s="192"/>
      <c r="G499" s="193"/>
      <c r="H499" s="194"/>
      <c r="I499" s="195"/>
      <c r="J499" s="196"/>
      <c r="K499" s="197"/>
      <c r="L499" s="198"/>
      <c r="M499" s="196"/>
      <c r="N499" s="197"/>
      <c r="O499" s="198"/>
      <c r="P499" s="196"/>
      <c r="Q499" s="199"/>
      <c r="R499" s="200"/>
    </row>
    <row r="500" customFormat="false" ht="16.5" hidden="true" customHeight="false" outlineLevel="0" collapsed="false">
      <c r="D500" s="190"/>
      <c r="E500" s="191"/>
      <c r="F500" s="192"/>
      <c r="G500" s="193"/>
      <c r="H500" s="194"/>
      <c r="I500" s="195"/>
      <c r="J500" s="196"/>
      <c r="K500" s="197"/>
      <c r="L500" s="198"/>
      <c r="M500" s="196"/>
      <c r="N500" s="197"/>
      <c r="O500" s="198"/>
      <c r="P500" s="196"/>
      <c r="Q500" s="199"/>
      <c r="R500" s="200"/>
    </row>
    <row r="501" customFormat="false" ht="16.5" hidden="true" customHeight="false" outlineLevel="0" collapsed="false">
      <c r="D501" s="190"/>
      <c r="E501" s="191"/>
      <c r="F501" s="192"/>
      <c r="G501" s="193"/>
      <c r="H501" s="194"/>
      <c r="I501" s="195"/>
      <c r="J501" s="196"/>
      <c r="K501" s="197"/>
      <c r="L501" s="198"/>
      <c r="M501" s="196"/>
      <c r="N501" s="197"/>
      <c r="O501" s="198"/>
      <c r="P501" s="196"/>
      <c r="Q501" s="199"/>
      <c r="R501" s="200"/>
    </row>
    <row r="502" customFormat="false" ht="16.5" hidden="true" customHeight="false" outlineLevel="0" collapsed="false">
      <c r="D502" s="190"/>
      <c r="E502" s="191"/>
      <c r="F502" s="192"/>
      <c r="G502" s="193"/>
      <c r="H502" s="194"/>
      <c r="I502" s="195"/>
      <c r="J502" s="196"/>
      <c r="K502" s="197"/>
      <c r="L502" s="198"/>
      <c r="M502" s="196"/>
      <c r="N502" s="197"/>
      <c r="O502" s="198"/>
      <c r="P502" s="196"/>
      <c r="Q502" s="199"/>
      <c r="R502" s="200"/>
    </row>
    <row r="503" customFormat="false" ht="16.5" hidden="true" customHeight="false" outlineLevel="0" collapsed="false">
      <c r="D503" s="190"/>
      <c r="E503" s="191"/>
      <c r="F503" s="192"/>
      <c r="G503" s="193"/>
      <c r="H503" s="194"/>
      <c r="I503" s="195"/>
      <c r="J503" s="196"/>
      <c r="K503" s="197"/>
      <c r="L503" s="198"/>
      <c r="M503" s="196"/>
      <c r="N503" s="197"/>
      <c r="O503" s="198"/>
      <c r="P503" s="196"/>
      <c r="Q503" s="199"/>
      <c r="R503" s="200"/>
    </row>
    <row r="504" customFormat="false" ht="16.5" hidden="true" customHeight="false" outlineLevel="0" collapsed="false">
      <c r="D504" s="190"/>
      <c r="E504" s="191"/>
      <c r="F504" s="192"/>
      <c r="G504" s="193"/>
      <c r="H504" s="194"/>
      <c r="I504" s="195"/>
      <c r="J504" s="196"/>
      <c r="K504" s="197"/>
      <c r="L504" s="198"/>
      <c r="M504" s="196"/>
      <c r="N504" s="197"/>
      <c r="O504" s="198"/>
      <c r="P504" s="196"/>
      <c r="Q504" s="199"/>
      <c r="R504" s="200"/>
    </row>
    <row r="505" customFormat="false" ht="16.5" hidden="true" customHeight="false" outlineLevel="0" collapsed="false">
      <c r="D505" s="190"/>
      <c r="E505" s="191"/>
      <c r="F505" s="192"/>
      <c r="G505" s="193"/>
      <c r="H505" s="194"/>
      <c r="I505" s="195"/>
      <c r="J505" s="196"/>
      <c r="K505" s="197"/>
      <c r="L505" s="198"/>
      <c r="M505" s="196"/>
      <c r="N505" s="197"/>
      <c r="O505" s="198"/>
      <c r="P505" s="196"/>
      <c r="Q505" s="199"/>
      <c r="R505" s="200"/>
    </row>
    <row r="506" customFormat="false" ht="16.5" hidden="true" customHeight="false" outlineLevel="0" collapsed="false">
      <c r="D506" s="190"/>
      <c r="E506" s="191"/>
      <c r="F506" s="192"/>
      <c r="G506" s="193"/>
      <c r="H506" s="194"/>
      <c r="I506" s="195"/>
      <c r="J506" s="196"/>
      <c r="K506" s="197"/>
      <c r="L506" s="198"/>
      <c r="M506" s="196"/>
      <c r="N506" s="197"/>
      <c r="O506" s="198"/>
      <c r="P506" s="196"/>
      <c r="Q506" s="199"/>
      <c r="R506" s="200"/>
    </row>
    <row r="507" customFormat="false" ht="16.5" hidden="true" customHeight="false" outlineLevel="0" collapsed="false">
      <c r="D507" s="190"/>
      <c r="E507" s="191"/>
      <c r="F507" s="192"/>
      <c r="G507" s="193"/>
      <c r="H507" s="194"/>
      <c r="I507" s="195"/>
      <c r="J507" s="196"/>
      <c r="K507" s="197"/>
      <c r="L507" s="198"/>
      <c r="M507" s="196"/>
      <c r="N507" s="197"/>
      <c r="O507" s="198"/>
      <c r="P507" s="196"/>
      <c r="Q507" s="199"/>
      <c r="R507" s="200"/>
    </row>
    <row r="508" customFormat="false" ht="16.5" hidden="true" customHeight="false" outlineLevel="0" collapsed="false">
      <c r="D508" s="190"/>
      <c r="E508" s="191"/>
      <c r="F508" s="192"/>
      <c r="G508" s="193"/>
      <c r="H508" s="194"/>
      <c r="I508" s="195"/>
      <c r="J508" s="196"/>
      <c r="K508" s="197"/>
      <c r="L508" s="198"/>
      <c r="M508" s="196"/>
      <c r="N508" s="197"/>
      <c r="O508" s="198"/>
      <c r="P508" s="196"/>
      <c r="Q508" s="199"/>
      <c r="R508" s="200"/>
    </row>
    <row r="509" customFormat="false" ht="16.5" hidden="true" customHeight="false" outlineLevel="0" collapsed="false">
      <c r="D509" s="190"/>
      <c r="E509" s="191"/>
      <c r="F509" s="192"/>
      <c r="G509" s="193"/>
      <c r="H509" s="194"/>
      <c r="I509" s="195"/>
      <c r="J509" s="196"/>
      <c r="K509" s="197"/>
      <c r="L509" s="198"/>
      <c r="M509" s="196"/>
      <c r="N509" s="197"/>
      <c r="O509" s="198"/>
      <c r="P509" s="196"/>
      <c r="Q509" s="199"/>
      <c r="R509" s="200"/>
    </row>
    <row r="510" customFormat="false" ht="16.5" hidden="true" customHeight="false" outlineLevel="0" collapsed="false">
      <c r="D510" s="190"/>
      <c r="E510" s="191"/>
      <c r="F510" s="192"/>
      <c r="G510" s="193"/>
      <c r="H510" s="194"/>
      <c r="I510" s="195"/>
      <c r="J510" s="196"/>
      <c r="K510" s="197"/>
      <c r="L510" s="198"/>
      <c r="M510" s="196"/>
      <c r="N510" s="197"/>
      <c r="O510" s="198"/>
      <c r="P510" s="196"/>
      <c r="Q510" s="199"/>
      <c r="R510" s="200"/>
    </row>
    <row r="511" customFormat="false" ht="16.5" hidden="true" customHeight="false" outlineLevel="0" collapsed="false">
      <c r="D511" s="190"/>
      <c r="E511" s="191"/>
      <c r="F511" s="192"/>
      <c r="G511" s="193"/>
      <c r="H511" s="194"/>
      <c r="I511" s="195"/>
      <c r="J511" s="196"/>
      <c r="K511" s="197"/>
      <c r="L511" s="198"/>
      <c r="M511" s="196"/>
      <c r="N511" s="197"/>
      <c r="O511" s="198"/>
      <c r="P511" s="196"/>
      <c r="Q511" s="199"/>
      <c r="R511" s="200"/>
    </row>
    <row r="512" customFormat="false" ht="16.5" hidden="true" customHeight="false" outlineLevel="0" collapsed="false">
      <c r="D512" s="190"/>
      <c r="E512" s="191"/>
      <c r="F512" s="192"/>
      <c r="G512" s="193"/>
      <c r="H512" s="194"/>
      <c r="I512" s="195"/>
      <c r="J512" s="196"/>
      <c r="K512" s="197"/>
      <c r="L512" s="198"/>
      <c r="M512" s="196"/>
      <c r="N512" s="197"/>
      <c r="O512" s="198"/>
      <c r="P512" s="196"/>
      <c r="Q512" s="199"/>
      <c r="R512" s="200"/>
    </row>
    <row r="513" customFormat="false" ht="16.5" hidden="true" customHeight="false" outlineLevel="0" collapsed="false">
      <c r="D513" s="190"/>
      <c r="E513" s="191"/>
      <c r="F513" s="192"/>
      <c r="G513" s="193"/>
      <c r="H513" s="194"/>
      <c r="I513" s="195"/>
      <c r="J513" s="196"/>
      <c r="K513" s="197"/>
      <c r="L513" s="198"/>
      <c r="M513" s="196"/>
      <c r="N513" s="197"/>
      <c r="O513" s="198"/>
      <c r="P513" s="196"/>
      <c r="Q513" s="199"/>
      <c r="R513" s="200"/>
    </row>
    <row r="514" customFormat="false" ht="16.5" hidden="true" customHeight="false" outlineLevel="0" collapsed="false">
      <c r="D514" s="190"/>
      <c r="E514" s="191"/>
      <c r="F514" s="192"/>
      <c r="G514" s="193"/>
      <c r="H514" s="194"/>
      <c r="I514" s="195"/>
      <c r="J514" s="196"/>
      <c r="K514" s="197"/>
      <c r="L514" s="198"/>
      <c r="M514" s="196"/>
      <c r="N514" s="197"/>
      <c r="O514" s="198"/>
      <c r="P514" s="196"/>
      <c r="Q514" s="199"/>
      <c r="R514" s="200"/>
    </row>
    <row r="515" customFormat="false" ht="16.5" hidden="true" customHeight="false" outlineLevel="0" collapsed="false">
      <c r="D515" s="190"/>
      <c r="E515" s="191"/>
      <c r="F515" s="192"/>
      <c r="G515" s="193"/>
      <c r="H515" s="194"/>
      <c r="I515" s="195"/>
      <c r="J515" s="196"/>
      <c r="K515" s="197"/>
      <c r="L515" s="198"/>
      <c r="M515" s="196"/>
      <c r="N515" s="197"/>
      <c r="O515" s="198"/>
      <c r="P515" s="196"/>
      <c r="Q515" s="199"/>
      <c r="R515" s="200"/>
    </row>
    <row r="516" customFormat="false" ht="16.5" hidden="true" customHeight="false" outlineLevel="0" collapsed="false">
      <c r="D516" s="190"/>
      <c r="E516" s="191"/>
      <c r="F516" s="192"/>
      <c r="G516" s="193"/>
      <c r="H516" s="194"/>
      <c r="I516" s="195"/>
      <c r="J516" s="196"/>
      <c r="K516" s="197"/>
      <c r="L516" s="198"/>
      <c r="M516" s="196"/>
      <c r="N516" s="197"/>
      <c r="O516" s="198"/>
      <c r="P516" s="196"/>
      <c r="Q516" s="199"/>
      <c r="R516" s="200"/>
    </row>
    <row r="517" customFormat="false" ht="16.5" hidden="true" customHeight="false" outlineLevel="0" collapsed="false">
      <c r="D517" s="190"/>
      <c r="E517" s="191"/>
      <c r="F517" s="192"/>
      <c r="G517" s="193"/>
      <c r="H517" s="194"/>
      <c r="I517" s="195"/>
      <c r="J517" s="196"/>
      <c r="K517" s="197"/>
      <c r="L517" s="198"/>
      <c r="M517" s="196"/>
      <c r="N517" s="197"/>
      <c r="O517" s="198"/>
      <c r="P517" s="196"/>
      <c r="Q517" s="199"/>
      <c r="R517" s="200"/>
    </row>
    <row r="518" customFormat="false" ht="16.5" hidden="true" customHeight="false" outlineLevel="0" collapsed="false">
      <c r="D518" s="190"/>
      <c r="E518" s="191"/>
      <c r="F518" s="192"/>
      <c r="G518" s="193"/>
      <c r="H518" s="194"/>
      <c r="I518" s="195"/>
      <c r="J518" s="196"/>
      <c r="K518" s="197"/>
      <c r="L518" s="198"/>
      <c r="M518" s="196"/>
      <c r="N518" s="197"/>
      <c r="O518" s="198"/>
      <c r="P518" s="196"/>
      <c r="Q518" s="199"/>
      <c r="R518" s="200"/>
    </row>
    <row r="519" customFormat="false" ht="16.5" hidden="true" customHeight="false" outlineLevel="0" collapsed="false">
      <c r="D519" s="190"/>
      <c r="E519" s="191"/>
      <c r="F519" s="192"/>
      <c r="G519" s="193"/>
      <c r="H519" s="194"/>
      <c r="I519" s="195"/>
      <c r="J519" s="196"/>
      <c r="K519" s="197"/>
      <c r="L519" s="198"/>
      <c r="M519" s="196"/>
      <c r="N519" s="197"/>
      <c r="O519" s="198"/>
      <c r="P519" s="196"/>
      <c r="Q519" s="199"/>
      <c r="R519" s="200"/>
    </row>
    <row r="520" customFormat="false" ht="16.5" hidden="true" customHeight="false" outlineLevel="0" collapsed="false">
      <c r="D520" s="190"/>
      <c r="E520" s="191"/>
      <c r="F520" s="192"/>
      <c r="G520" s="193"/>
      <c r="H520" s="194"/>
      <c r="I520" s="195"/>
      <c r="J520" s="196"/>
      <c r="K520" s="197"/>
      <c r="L520" s="198"/>
      <c r="M520" s="196"/>
      <c r="N520" s="197"/>
      <c r="O520" s="198"/>
      <c r="P520" s="196"/>
      <c r="Q520" s="199"/>
      <c r="R520" s="200"/>
    </row>
    <row r="521" customFormat="false" ht="16.5" hidden="true" customHeight="false" outlineLevel="0" collapsed="false">
      <c r="D521" s="190"/>
      <c r="E521" s="191"/>
      <c r="F521" s="192"/>
      <c r="G521" s="193"/>
      <c r="H521" s="194"/>
      <c r="I521" s="195"/>
      <c r="J521" s="196"/>
      <c r="K521" s="197"/>
      <c r="L521" s="198"/>
      <c r="M521" s="196"/>
      <c r="N521" s="197"/>
      <c r="O521" s="198"/>
      <c r="P521" s="196"/>
      <c r="Q521" s="199"/>
      <c r="R521" s="200"/>
    </row>
    <row r="522" customFormat="false" ht="16.5" hidden="true" customHeight="false" outlineLevel="0" collapsed="false">
      <c r="D522" s="190"/>
      <c r="E522" s="191"/>
      <c r="F522" s="192"/>
      <c r="G522" s="193"/>
      <c r="H522" s="194"/>
      <c r="I522" s="195"/>
      <c r="J522" s="196"/>
      <c r="K522" s="197"/>
      <c r="L522" s="198"/>
      <c r="M522" s="196"/>
      <c r="N522" s="197"/>
      <c r="O522" s="198"/>
      <c r="P522" s="196"/>
      <c r="Q522" s="199"/>
      <c r="R522" s="200"/>
    </row>
    <row r="523" customFormat="false" ht="16.5" hidden="true" customHeight="false" outlineLevel="0" collapsed="false">
      <c r="D523" s="190"/>
      <c r="E523" s="191"/>
      <c r="F523" s="192"/>
      <c r="G523" s="193"/>
      <c r="H523" s="194"/>
      <c r="I523" s="195"/>
      <c r="J523" s="196"/>
      <c r="K523" s="197"/>
      <c r="L523" s="198"/>
      <c r="M523" s="196"/>
      <c r="N523" s="197"/>
      <c r="O523" s="198"/>
      <c r="P523" s="196"/>
      <c r="Q523" s="199"/>
      <c r="R523" s="200"/>
    </row>
    <row r="524" customFormat="false" ht="16.5" hidden="true" customHeight="false" outlineLevel="0" collapsed="false">
      <c r="D524" s="190"/>
      <c r="E524" s="191"/>
      <c r="F524" s="192"/>
      <c r="G524" s="193"/>
      <c r="H524" s="194"/>
      <c r="I524" s="195"/>
      <c r="J524" s="196"/>
      <c r="K524" s="197"/>
      <c r="L524" s="198"/>
      <c r="M524" s="196"/>
      <c r="N524" s="197"/>
      <c r="O524" s="198"/>
      <c r="P524" s="196"/>
      <c r="Q524" s="199"/>
      <c r="R524" s="200"/>
    </row>
    <row r="525" customFormat="false" ht="16.5" hidden="true" customHeight="false" outlineLevel="0" collapsed="false">
      <c r="D525" s="190"/>
      <c r="E525" s="191"/>
      <c r="F525" s="192"/>
      <c r="G525" s="193"/>
      <c r="H525" s="194"/>
      <c r="I525" s="195"/>
      <c r="J525" s="196"/>
      <c r="K525" s="197"/>
      <c r="L525" s="198"/>
      <c r="M525" s="196"/>
      <c r="N525" s="197"/>
      <c r="O525" s="198"/>
      <c r="P525" s="196"/>
      <c r="Q525" s="199"/>
      <c r="R525" s="200"/>
    </row>
    <row r="526" customFormat="false" ht="16.5" hidden="true" customHeight="false" outlineLevel="0" collapsed="false">
      <c r="D526" s="190"/>
      <c r="E526" s="191"/>
      <c r="F526" s="192"/>
      <c r="G526" s="193"/>
      <c r="H526" s="194"/>
      <c r="I526" s="195"/>
      <c r="J526" s="196"/>
      <c r="K526" s="197"/>
      <c r="L526" s="198"/>
      <c r="M526" s="196"/>
      <c r="N526" s="197"/>
      <c r="O526" s="198"/>
      <c r="P526" s="196"/>
      <c r="Q526" s="199"/>
      <c r="R526" s="200"/>
    </row>
    <row r="527" customFormat="false" ht="16.5" hidden="true" customHeight="false" outlineLevel="0" collapsed="false">
      <c r="D527" s="190"/>
      <c r="E527" s="191"/>
      <c r="F527" s="192"/>
      <c r="G527" s="193"/>
      <c r="H527" s="194"/>
      <c r="I527" s="195"/>
      <c r="J527" s="196"/>
      <c r="K527" s="197"/>
      <c r="L527" s="198"/>
      <c r="M527" s="196"/>
      <c r="N527" s="197"/>
      <c r="O527" s="198"/>
      <c r="P527" s="196"/>
      <c r="Q527" s="199"/>
      <c r="R527" s="200"/>
    </row>
    <row r="528" customFormat="false" ht="16.5" hidden="true" customHeight="false" outlineLevel="0" collapsed="false">
      <c r="D528" s="190"/>
      <c r="E528" s="191"/>
      <c r="F528" s="192"/>
      <c r="G528" s="193"/>
      <c r="H528" s="194"/>
      <c r="I528" s="195"/>
      <c r="J528" s="196"/>
      <c r="K528" s="197"/>
      <c r="L528" s="198"/>
      <c r="M528" s="196"/>
      <c r="N528" s="197"/>
      <c r="O528" s="198"/>
      <c r="P528" s="196"/>
      <c r="Q528" s="199"/>
      <c r="R528" s="200"/>
    </row>
    <row r="529" customFormat="false" ht="16.5" hidden="true" customHeight="false" outlineLevel="0" collapsed="false">
      <c r="D529" s="190"/>
      <c r="E529" s="191"/>
      <c r="F529" s="192"/>
      <c r="G529" s="193"/>
      <c r="H529" s="194"/>
      <c r="I529" s="195"/>
      <c r="J529" s="196"/>
      <c r="K529" s="197"/>
      <c r="L529" s="198"/>
      <c r="M529" s="196"/>
      <c r="N529" s="197"/>
      <c r="O529" s="198"/>
      <c r="P529" s="196"/>
      <c r="Q529" s="199"/>
      <c r="R529" s="200"/>
    </row>
    <row r="530" customFormat="false" ht="16.5" hidden="true" customHeight="false" outlineLevel="0" collapsed="false">
      <c r="D530" s="190"/>
      <c r="E530" s="191"/>
      <c r="F530" s="192"/>
      <c r="G530" s="193"/>
      <c r="H530" s="194"/>
      <c r="I530" s="195"/>
      <c r="J530" s="196"/>
      <c r="K530" s="197"/>
      <c r="L530" s="198"/>
      <c r="M530" s="196"/>
      <c r="N530" s="197"/>
      <c r="O530" s="198"/>
      <c r="P530" s="196"/>
      <c r="Q530" s="199"/>
      <c r="R530" s="200"/>
    </row>
    <row r="531" customFormat="false" ht="16.5" hidden="true" customHeight="false" outlineLevel="0" collapsed="false">
      <c r="D531" s="190"/>
      <c r="E531" s="191"/>
      <c r="F531" s="192"/>
      <c r="G531" s="193"/>
      <c r="H531" s="194"/>
      <c r="I531" s="195"/>
      <c r="J531" s="196"/>
      <c r="K531" s="197"/>
      <c r="L531" s="198"/>
      <c r="M531" s="196"/>
      <c r="N531" s="197"/>
      <c r="O531" s="198"/>
      <c r="P531" s="196"/>
      <c r="Q531" s="199"/>
      <c r="R531" s="200"/>
    </row>
    <row r="532" customFormat="false" ht="16.5" hidden="true" customHeight="false" outlineLevel="0" collapsed="false">
      <c r="D532" s="190"/>
      <c r="E532" s="191"/>
      <c r="F532" s="192"/>
      <c r="G532" s="193"/>
      <c r="H532" s="194"/>
      <c r="I532" s="195"/>
      <c r="J532" s="196"/>
      <c r="K532" s="197"/>
      <c r="L532" s="198"/>
      <c r="M532" s="196"/>
      <c r="N532" s="197"/>
      <c r="O532" s="198"/>
      <c r="P532" s="196"/>
      <c r="Q532" s="199"/>
      <c r="R532" s="200"/>
    </row>
    <row r="533" customFormat="false" ht="16.5" hidden="true" customHeight="false" outlineLevel="0" collapsed="false">
      <c r="D533" s="190"/>
      <c r="E533" s="191"/>
      <c r="F533" s="192"/>
      <c r="G533" s="193"/>
      <c r="H533" s="194"/>
      <c r="I533" s="195"/>
      <c r="J533" s="196"/>
      <c r="K533" s="197"/>
      <c r="L533" s="198"/>
      <c r="M533" s="196"/>
      <c r="N533" s="197"/>
      <c r="O533" s="198"/>
      <c r="P533" s="196"/>
      <c r="Q533" s="199"/>
      <c r="R533" s="200"/>
    </row>
    <row r="534" customFormat="false" ht="16.5" hidden="true" customHeight="false" outlineLevel="0" collapsed="false">
      <c r="D534" s="190"/>
      <c r="E534" s="191"/>
      <c r="F534" s="192"/>
      <c r="G534" s="193"/>
      <c r="H534" s="194"/>
      <c r="I534" s="195"/>
      <c r="J534" s="196"/>
      <c r="K534" s="197"/>
      <c r="L534" s="198"/>
      <c r="M534" s="196"/>
      <c r="N534" s="197"/>
      <c r="O534" s="198"/>
      <c r="P534" s="196"/>
      <c r="Q534" s="199"/>
      <c r="R534" s="200"/>
    </row>
    <row r="535" customFormat="false" ht="16.5" hidden="true" customHeight="false" outlineLevel="0" collapsed="false">
      <c r="D535" s="190"/>
      <c r="E535" s="191"/>
      <c r="F535" s="192"/>
      <c r="G535" s="193"/>
      <c r="H535" s="194"/>
      <c r="I535" s="195"/>
      <c r="J535" s="196"/>
      <c r="K535" s="197"/>
      <c r="L535" s="198"/>
      <c r="M535" s="196"/>
      <c r="N535" s="197"/>
      <c r="O535" s="198"/>
      <c r="P535" s="196"/>
      <c r="Q535" s="199"/>
      <c r="R535" s="200"/>
    </row>
    <row r="536" customFormat="false" ht="16.5" hidden="true" customHeight="false" outlineLevel="0" collapsed="false">
      <c r="D536" s="190"/>
      <c r="E536" s="191"/>
      <c r="F536" s="192"/>
      <c r="G536" s="193"/>
      <c r="H536" s="194"/>
      <c r="I536" s="195"/>
      <c r="J536" s="196"/>
      <c r="K536" s="197"/>
      <c r="L536" s="198"/>
      <c r="M536" s="196"/>
      <c r="N536" s="197"/>
      <c r="O536" s="198"/>
      <c r="P536" s="196"/>
      <c r="Q536" s="199"/>
      <c r="R536" s="200"/>
    </row>
    <row r="537" customFormat="false" ht="16.5" hidden="true" customHeight="false" outlineLevel="0" collapsed="false">
      <c r="D537" s="190"/>
      <c r="E537" s="191"/>
      <c r="F537" s="192"/>
      <c r="G537" s="193"/>
      <c r="H537" s="194"/>
      <c r="I537" s="195"/>
      <c r="J537" s="196"/>
      <c r="K537" s="197"/>
      <c r="L537" s="198"/>
      <c r="M537" s="196"/>
      <c r="N537" s="197"/>
      <c r="O537" s="198"/>
      <c r="P537" s="196"/>
      <c r="Q537" s="199"/>
      <c r="R537" s="200"/>
    </row>
    <row r="538" customFormat="false" ht="16.5" hidden="true" customHeight="false" outlineLevel="0" collapsed="false">
      <c r="D538" s="190"/>
      <c r="E538" s="191"/>
      <c r="F538" s="192"/>
      <c r="G538" s="193"/>
      <c r="H538" s="194"/>
      <c r="I538" s="195"/>
      <c r="J538" s="196"/>
      <c r="K538" s="197"/>
      <c r="L538" s="198"/>
      <c r="M538" s="196"/>
      <c r="N538" s="197"/>
      <c r="O538" s="198"/>
      <c r="P538" s="196"/>
      <c r="Q538" s="199"/>
      <c r="R538" s="200"/>
    </row>
    <row r="539" customFormat="false" ht="16.5" hidden="true" customHeight="false" outlineLevel="0" collapsed="false">
      <c r="D539" s="190"/>
      <c r="E539" s="191"/>
      <c r="F539" s="192"/>
      <c r="G539" s="193"/>
      <c r="H539" s="194"/>
      <c r="I539" s="195"/>
      <c r="J539" s="196"/>
      <c r="K539" s="197"/>
      <c r="L539" s="198"/>
      <c r="M539" s="196"/>
      <c r="N539" s="197"/>
      <c r="O539" s="198"/>
      <c r="P539" s="196"/>
      <c r="Q539" s="199"/>
      <c r="R539" s="200"/>
    </row>
    <row r="540" customFormat="false" ht="16.5" hidden="true" customHeight="false" outlineLevel="0" collapsed="false">
      <c r="D540" s="190"/>
      <c r="E540" s="191"/>
      <c r="F540" s="192"/>
      <c r="G540" s="193"/>
      <c r="H540" s="194"/>
      <c r="I540" s="195"/>
      <c r="J540" s="196"/>
      <c r="K540" s="197"/>
      <c r="L540" s="198"/>
      <c r="M540" s="196"/>
      <c r="N540" s="197"/>
      <c r="O540" s="198"/>
      <c r="P540" s="196"/>
      <c r="Q540" s="199"/>
      <c r="R540" s="200"/>
    </row>
    <row r="541" customFormat="false" ht="16.5" hidden="true" customHeight="false" outlineLevel="0" collapsed="false">
      <c r="D541" s="190"/>
      <c r="E541" s="191"/>
      <c r="F541" s="192"/>
      <c r="G541" s="193"/>
      <c r="H541" s="194"/>
      <c r="I541" s="195"/>
      <c r="J541" s="196"/>
      <c r="K541" s="197"/>
      <c r="L541" s="198"/>
      <c r="M541" s="196"/>
      <c r="N541" s="197"/>
      <c r="O541" s="198"/>
      <c r="P541" s="196"/>
      <c r="Q541" s="199"/>
      <c r="R541" s="200"/>
    </row>
    <row r="542" customFormat="false" ht="16.5" hidden="true" customHeight="false" outlineLevel="0" collapsed="false">
      <c r="D542" s="190"/>
      <c r="E542" s="191"/>
      <c r="F542" s="192"/>
      <c r="G542" s="193"/>
      <c r="H542" s="194"/>
      <c r="I542" s="195"/>
      <c r="J542" s="196"/>
      <c r="K542" s="197"/>
      <c r="L542" s="198"/>
      <c r="M542" s="196"/>
      <c r="N542" s="197"/>
      <c r="O542" s="198"/>
      <c r="P542" s="196"/>
      <c r="Q542" s="199"/>
      <c r="R542" s="200"/>
    </row>
    <row r="543" customFormat="false" ht="16.5" hidden="true" customHeight="false" outlineLevel="0" collapsed="false">
      <c r="D543" s="190"/>
      <c r="E543" s="191"/>
      <c r="F543" s="192"/>
      <c r="G543" s="193"/>
      <c r="H543" s="194"/>
      <c r="I543" s="195"/>
      <c r="J543" s="196"/>
      <c r="K543" s="197"/>
      <c r="L543" s="198"/>
      <c r="M543" s="196"/>
      <c r="N543" s="197"/>
      <c r="O543" s="198"/>
      <c r="P543" s="196"/>
      <c r="Q543" s="199"/>
      <c r="R543" s="200"/>
    </row>
    <row r="544" customFormat="false" ht="16.5" hidden="true" customHeight="false" outlineLevel="0" collapsed="false">
      <c r="D544" s="190"/>
      <c r="E544" s="191"/>
      <c r="F544" s="192"/>
      <c r="G544" s="193"/>
      <c r="H544" s="194"/>
      <c r="I544" s="195"/>
      <c r="J544" s="196"/>
      <c r="K544" s="197"/>
      <c r="L544" s="198"/>
      <c r="M544" s="196"/>
      <c r="N544" s="197"/>
      <c r="O544" s="198"/>
      <c r="P544" s="196"/>
      <c r="Q544" s="199"/>
      <c r="R544" s="200"/>
    </row>
    <row r="545" customFormat="false" ht="16.5" hidden="true" customHeight="false" outlineLevel="0" collapsed="false">
      <c r="D545" s="190"/>
      <c r="E545" s="191"/>
      <c r="F545" s="192"/>
      <c r="G545" s="193"/>
      <c r="H545" s="194"/>
      <c r="I545" s="195"/>
      <c r="J545" s="196"/>
      <c r="K545" s="197"/>
      <c r="L545" s="198"/>
      <c r="M545" s="196"/>
      <c r="N545" s="197"/>
      <c r="O545" s="198"/>
      <c r="P545" s="196"/>
      <c r="Q545" s="199"/>
      <c r="R545" s="200"/>
    </row>
    <row r="546" customFormat="false" ht="16.5" hidden="true" customHeight="false" outlineLevel="0" collapsed="false">
      <c r="D546" s="190"/>
      <c r="E546" s="191"/>
      <c r="F546" s="192"/>
      <c r="G546" s="193"/>
      <c r="H546" s="194"/>
      <c r="I546" s="195"/>
      <c r="J546" s="196"/>
      <c r="K546" s="197"/>
      <c r="L546" s="198"/>
      <c r="M546" s="196"/>
      <c r="N546" s="197"/>
      <c r="O546" s="198"/>
      <c r="P546" s="196"/>
      <c r="Q546" s="199"/>
      <c r="R546" s="200"/>
    </row>
    <row r="547" customFormat="false" ht="16.5" hidden="true" customHeight="false" outlineLevel="0" collapsed="false">
      <c r="D547" s="190"/>
      <c r="E547" s="191"/>
      <c r="F547" s="192"/>
      <c r="G547" s="193"/>
      <c r="H547" s="194"/>
      <c r="I547" s="195"/>
      <c r="J547" s="196"/>
      <c r="K547" s="197"/>
      <c r="L547" s="198"/>
      <c r="M547" s="196"/>
      <c r="N547" s="197"/>
      <c r="O547" s="198"/>
      <c r="P547" s="196"/>
      <c r="Q547" s="199"/>
      <c r="R547" s="200"/>
    </row>
    <row r="548" customFormat="false" ht="16.5" hidden="true" customHeight="false" outlineLevel="0" collapsed="false">
      <c r="D548" s="190"/>
      <c r="E548" s="191"/>
      <c r="F548" s="192"/>
      <c r="G548" s="193"/>
      <c r="H548" s="194"/>
      <c r="I548" s="195"/>
      <c r="J548" s="196"/>
      <c r="K548" s="197"/>
      <c r="L548" s="198"/>
      <c r="M548" s="196"/>
      <c r="N548" s="197"/>
      <c r="O548" s="198"/>
      <c r="P548" s="196"/>
      <c r="Q548" s="199"/>
      <c r="R548" s="200"/>
    </row>
    <row r="549" customFormat="false" ht="16.5" hidden="true" customHeight="false" outlineLevel="0" collapsed="false">
      <c r="D549" s="190"/>
      <c r="E549" s="191"/>
      <c r="F549" s="192"/>
      <c r="G549" s="193"/>
      <c r="H549" s="194"/>
      <c r="I549" s="195"/>
      <c r="J549" s="196"/>
      <c r="K549" s="197"/>
      <c r="L549" s="198"/>
      <c r="M549" s="196"/>
      <c r="N549" s="197"/>
      <c r="O549" s="198"/>
      <c r="P549" s="196"/>
      <c r="Q549" s="199"/>
      <c r="R549" s="200"/>
    </row>
    <row r="550" customFormat="false" ht="16.5" hidden="true" customHeight="false" outlineLevel="0" collapsed="false">
      <c r="D550" s="190"/>
      <c r="E550" s="191"/>
      <c r="F550" s="192"/>
      <c r="G550" s="193"/>
      <c r="H550" s="194"/>
      <c r="I550" s="195"/>
      <c r="J550" s="196"/>
      <c r="K550" s="197"/>
      <c r="L550" s="198"/>
      <c r="M550" s="196"/>
      <c r="N550" s="197"/>
      <c r="O550" s="198"/>
      <c r="P550" s="196"/>
      <c r="Q550" s="199"/>
      <c r="R550" s="200"/>
    </row>
    <row r="551" customFormat="false" ht="16.5" hidden="true" customHeight="false" outlineLevel="0" collapsed="false">
      <c r="D551" s="190"/>
      <c r="E551" s="191"/>
      <c r="F551" s="192"/>
      <c r="G551" s="193"/>
      <c r="H551" s="194"/>
      <c r="I551" s="195"/>
      <c r="J551" s="196"/>
      <c r="K551" s="197"/>
      <c r="L551" s="198"/>
      <c r="M551" s="196"/>
      <c r="N551" s="197"/>
      <c r="O551" s="198"/>
      <c r="P551" s="196"/>
      <c r="Q551" s="199"/>
      <c r="R551" s="200"/>
    </row>
    <row r="552" customFormat="false" ht="16.5" hidden="true" customHeight="false" outlineLevel="0" collapsed="false">
      <c r="D552" s="190"/>
      <c r="E552" s="191"/>
      <c r="F552" s="192"/>
      <c r="G552" s="193"/>
      <c r="H552" s="194"/>
      <c r="I552" s="195"/>
      <c r="J552" s="196"/>
      <c r="K552" s="197"/>
      <c r="L552" s="198"/>
      <c r="M552" s="196"/>
      <c r="N552" s="197"/>
      <c r="O552" s="198"/>
      <c r="P552" s="196"/>
      <c r="Q552" s="199"/>
      <c r="R552" s="200"/>
    </row>
    <row r="553" customFormat="false" ht="16.5" hidden="true" customHeight="false" outlineLevel="0" collapsed="false">
      <c r="D553" s="190"/>
      <c r="E553" s="191"/>
      <c r="F553" s="192"/>
      <c r="G553" s="193"/>
      <c r="H553" s="194"/>
      <c r="I553" s="195"/>
      <c r="J553" s="196"/>
      <c r="K553" s="197"/>
      <c r="L553" s="198"/>
      <c r="M553" s="196"/>
      <c r="N553" s="197"/>
      <c r="O553" s="198"/>
      <c r="P553" s="196"/>
      <c r="Q553" s="199"/>
      <c r="R553" s="200"/>
    </row>
    <row r="554" customFormat="false" ht="16.5" hidden="true" customHeight="false" outlineLevel="0" collapsed="false">
      <c r="D554" s="190"/>
      <c r="E554" s="191"/>
      <c r="F554" s="192"/>
      <c r="G554" s="193"/>
      <c r="H554" s="194"/>
      <c r="I554" s="195"/>
      <c r="J554" s="196"/>
      <c r="K554" s="197"/>
      <c r="L554" s="198"/>
      <c r="M554" s="196"/>
      <c r="N554" s="197"/>
      <c r="O554" s="198"/>
      <c r="P554" s="196"/>
      <c r="Q554" s="199"/>
      <c r="R554" s="200"/>
    </row>
    <row r="555" customFormat="false" ht="16.5" hidden="true" customHeight="false" outlineLevel="0" collapsed="false">
      <c r="D555" s="190"/>
      <c r="E555" s="191"/>
      <c r="F555" s="192"/>
      <c r="G555" s="193"/>
      <c r="H555" s="194"/>
      <c r="I555" s="195"/>
      <c r="J555" s="196"/>
      <c r="K555" s="197"/>
      <c r="L555" s="198"/>
      <c r="M555" s="196"/>
      <c r="N555" s="197"/>
      <c r="O555" s="198"/>
      <c r="P555" s="196"/>
      <c r="Q555" s="199"/>
      <c r="R555" s="200"/>
    </row>
    <row r="556" customFormat="false" ht="16.5" hidden="true" customHeight="false" outlineLevel="0" collapsed="false">
      <c r="D556" s="190"/>
      <c r="E556" s="191"/>
      <c r="F556" s="192"/>
      <c r="G556" s="193"/>
      <c r="H556" s="194"/>
      <c r="I556" s="195"/>
      <c r="J556" s="196"/>
      <c r="K556" s="197"/>
      <c r="L556" s="198"/>
      <c r="M556" s="196"/>
      <c r="N556" s="197"/>
      <c r="O556" s="198"/>
      <c r="P556" s="196"/>
      <c r="Q556" s="199"/>
      <c r="R556" s="200"/>
    </row>
    <row r="557" customFormat="false" ht="16.5" hidden="true" customHeight="false" outlineLevel="0" collapsed="false">
      <c r="D557" s="190"/>
      <c r="E557" s="191"/>
      <c r="F557" s="192"/>
      <c r="G557" s="193"/>
      <c r="H557" s="194"/>
      <c r="I557" s="195"/>
      <c r="J557" s="196"/>
      <c r="K557" s="197"/>
      <c r="L557" s="198"/>
      <c r="M557" s="196"/>
      <c r="N557" s="197"/>
      <c r="O557" s="198"/>
      <c r="P557" s="196"/>
      <c r="Q557" s="199"/>
      <c r="R557" s="200"/>
    </row>
    <row r="558" customFormat="false" ht="16.5" hidden="true" customHeight="false" outlineLevel="0" collapsed="false">
      <c r="D558" s="190"/>
      <c r="E558" s="191"/>
      <c r="F558" s="192"/>
      <c r="G558" s="193"/>
      <c r="H558" s="194"/>
      <c r="I558" s="195"/>
      <c r="J558" s="196"/>
      <c r="K558" s="197"/>
      <c r="L558" s="198"/>
      <c r="M558" s="196"/>
      <c r="N558" s="197"/>
      <c r="O558" s="198"/>
      <c r="P558" s="196"/>
      <c r="Q558" s="199"/>
      <c r="R558" s="200"/>
    </row>
    <row r="559" customFormat="false" ht="16.5" hidden="true" customHeight="false" outlineLevel="0" collapsed="false">
      <c r="D559" s="190"/>
      <c r="E559" s="191"/>
      <c r="F559" s="192"/>
      <c r="G559" s="193"/>
      <c r="H559" s="194"/>
      <c r="I559" s="195"/>
      <c r="J559" s="196"/>
      <c r="K559" s="197"/>
      <c r="L559" s="198"/>
      <c r="M559" s="196"/>
      <c r="N559" s="197"/>
      <c r="O559" s="198"/>
      <c r="P559" s="196"/>
      <c r="Q559" s="199"/>
      <c r="R559" s="200"/>
    </row>
    <row r="560" customFormat="false" ht="16.5" hidden="true" customHeight="false" outlineLevel="0" collapsed="false">
      <c r="D560" s="190"/>
      <c r="E560" s="191"/>
      <c r="F560" s="192"/>
      <c r="G560" s="193"/>
      <c r="H560" s="194"/>
      <c r="I560" s="195"/>
      <c r="J560" s="196"/>
      <c r="K560" s="197"/>
      <c r="L560" s="198"/>
      <c r="M560" s="196"/>
      <c r="N560" s="197"/>
      <c r="O560" s="198"/>
      <c r="P560" s="196"/>
      <c r="Q560" s="199"/>
      <c r="R560" s="200"/>
    </row>
    <row r="561" customFormat="false" ht="16.5" hidden="true" customHeight="false" outlineLevel="0" collapsed="false">
      <c r="D561" s="190"/>
      <c r="E561" s="191"/>
      <c r="F561" s="192"/>
      <c r="G561" s="193"/>
      <c r="H561" s="194"/>
      <c r="I561" s="195"/>
      <c r="J561" s="196"/>
      <c r="K561" s="197"/>
      <c r="L561" s="198"/>
      <c r="M561" s="196"/>
      <c r="N561" s="197"/>
      <c r="O561" s="198"/>
      <c r="P561" s="196"/>
      <c r="Q561" s="199"/>
      <c r="R561" s="200"/>
    </row>
    <row r="562" customFormat="false" ht="16.5" hidden="true" customHeight="false" outlineLevel="0" collapsed="false">
      <c r="D562" s="190"/>
      <c r="E562" s="191"/>
      <c r="F562" s="192"/>
      <c r="G562" s="193"/>
      <c r="H562" s="194"/>
      <c r="I562" s="195"/>
      <c r="J562" s="196"/>
      <c r="K562" s="197"/>
      <c r="L562" s="198"/>
      <c r="M562" s="196"/>
      <c r="N562" s="197"/>
      <c r="O562" s="198"/>
      <c r="P562" s="196"/>
      <c r="Q562" s="199"/>
      <c r="R562" s="200"/>
    </row>
    <row r="563" customFormat="false" ht="16.5" hidden="true" customHeight="false" outlineLevel="0" collapsed="false">
      <c r="D563" s="190"/>
      <c r="E563" s="191"/>
      <c r="F563" s="192"/>
      <c r="G563" s="193"/>
      <c r="H563" s="194"/>
      <c r="I563" s="195"/>
      <c r="J563" s="196"/>
      <c r="K563" s="197"/>
      <c r="L563" s="198"/>
      <c r="M563" s="196"/>
      <c r="N563" s="197"/>
      <c r="O563" s="198"/>
      <c r="P563" s="196"/>
      <c r="Q563" s="199"/>
      <c r="R563" s="200"/>
    </row>
    <row r="564" customFormat="false" ht="16.5" hidden="true" customHeight="false" outlineLevel="0" collapsed="false">
      <c r="D564" s="190"/>
      <c r="E564" s="191"/>
      <c r="F564" s="192"/>
      <c r="G564" s="193"/>
      <c r="H564" s="194"/>
      <c r="I564" s="195"/>
      <c r="J564" s="196"/>
      <c r="K564" s="197"/>
      <c r="L564" s="198"/>
      <c r="M564" s="196"/>
      <c r="N564" s="197"/>
      <c r="O564" s="198"/>
      <c r="P564" s="196"/>
      <c r="Q564" s="199"/>
      <c r="R564" s="200"/>
    </row>
    <row r="565" customFormat="false" ht="16.5" hidden="true" customHeight="false" outlineLevel="0" collapsed="false">
      <c r="D565" s="190"/>
      <c r="E565" s="191"/>
      <c r="F565" s="192"/>
      <c r="G565" s="193"/>
      <c r="H565" s="194"/>
      <c r="I565" s="195"/>
      <c r="J565" s="196"/>
      <c r="K565" s="197"/>
      <c r="L565" s="198"/>
      <c r="M565" s="196"/>
      <c r="N565" s="197"/>
      <c r="O565" s="198"/>
      <c r="P565" s="196"/>
      <c r="Q565" s="199"/>
      <c r="R565" s="200"/>
    </row>
    <row r="566" customFormat="false" ht="16.5" hidden="true" customHeight="false" outlineLevel="0" collapsed="false">
      <c r="D566" s="190"/>
      <c r="E566" s="191"/>
      <c r="F566" s="192"/>
      <c r="G566" s="193"/>
      <c r="H566" s="194"/>
      <c r="I566" s="195"/>
      <c r="J566" s="196"/>
      <c r="K566" s="197"/>
      <c r="L566" s="198"/>
      <c r="M566" s="196"/>
      <c r="N566" s="197"/>
      <c r="O566" s="198"/>
      <c r="P566" s="196"/>
      <c r="Q566" s="199"/>
      <c r="R566" s="200"/>
    </row>
    <row r="567" customFormat="false" ht="16.5" hidden="true" customHeight="false" outlineLevel="0" collapsed="false">
      <c r="D567" s="190"/>
      <c r="E567" s="191"/>
      <c r="F567" s="192"/>
      <c r="G567" s="193"/>
      <c r="H567" s="194"/>
      <c r="I567" s="195"/>
      <c r="J567" s="196"/>
      <c r="K567" s="197"/>
      <c r="L567" s="198"/>
      <c r="M567" s="196"/>
      <c r="N567" s="197"/>
      <c r="O567" s="198"/>
      <c r="P567" s="196"/>
      <c r="Q567" s="199"/>
      <c r="R567" s="200"/>
    </row>
    <row r="568" customFormat="false" ht="16.5" hidden="true" customHeight="false" outlineLevel="0" collapsed="false">
      <c r="D568" s="190"/>
      <c r="E568" s="191"/>
      <c r="F568" s="192"/>
      <c r="G568" s="193"/>
      <c r="H568" s="194"/>
      <c r="I568" s="195"/>
      <c r="J568" s="196"/>
      <c r="K568" s="197"/>
      <c r="L568" s="198"/>
      <c r="M568" s="196"/>
      <c r="N568" s="197"/>
      <c r="O568" s="198"/>
      <c r="P568" s="196"/>
      <c r="Q568" s="199"/>
      <c r="R568" s="200"/>
    </row>
    <row r="569" customFormat="false" ht="16.5" hidden="true" customHeight="false" outlineLevel="0" collapsed="false">
      <c r="D569" s="190"/>
      <c r="E569" s="191"/>
      <c r="F569" s="192"/>
      <c r="G569" s="193"/>
      <c r="H569" s="194"/>
      <c r="I569" s="195"/>
      <c r="J569" s="196"/>
      <c r="K569" s="197"/>
      <c r="L569" s="198"/>
      <c r="M569" s="196"/>
      <c r="N569" s="197"/>
      <c r="O569" s="198"/>
      <c r="P569" s="196"/>
      <c r="Q569" s="199"/>
      <c r="R569" s="200"/>
    </row>
    <row r="570" customFormat="false" ht="16.5" hidden="true" customHeight="false" outlineLevel="0" collapsed="false">
      <c r="D570" s="190"/>
      <c r="E570" s="191"/>
      <c r="F570" s="192"/>
      <c r="G570" s="193"/>
      <c r="H570" s="194"/>
      <c r="I570" s="195"/>
      <c r="J570" s="196"/>
      <c r="K570" s="197"/>
      <c r="L570" s="198"/>
      <c r="M570" s="196"/>
      <c r="N570" s="197"/>
      <c r="O570" s="198"/>
      <c r="P570" s="196"/>
      <c r="Q570" s="199"/>
      <c r="R570" s="200"/>
    </row>
    <row r="571" customFormat="false" ht="16.5" hidden="true" customHeight="false" outlineLevel="0" collapsed="false">
      <c r="D571" s="190"/>
      <c r="E571" s="191"/>
      <c r="F571" s="192"/>
      <c r="G571" s="193"/>
      <c r="H571" s="194"/>
      <c r="I571" s="195"/>
      <c r="J571" s="196"/>
      <c r="K571" s="197"/>
      <c r="L571" s="198"/>
      <c r="M571" s="196"/>
      <c r="N571" s="197"/>
      <c r="O571" s="198"/>
      <c r="P571" s="196"/>
      <c r="Q571" s="199"/>
      <c r="R571" s="200"/>
    </row>
    <row r="572" customFormat="false" ht="16.5" hidden="true" customHeight="false" outlineLevel="0" collapsed="false">
      <c r="D572" s="190"/>
      <c r="E572" s="191"/>
      <c r="F572" s="192"/>
      <c r="G572" s="193"/>
      <c r="H572" s="194"/>
      <c r="I572" s="195"/>
      <c r="J572" s="196"/>
      <c r="K572" s="197"/>
      <c r="L572" s="198"/>
      <c r="M572" s="196"/>
      <c r="N572" s="197"/>
      <c r="O572" s="198"/>
      <c r="P572" s="196"/>
      <c r="Q572" s="199"/>
      <c r="R572" s="200"/>
    </row>
    <row r="573" customFormat="false" ht="16.5" hidden="true" customHeight="false" outlineLevel="0" collapsed="false">
      <c r="D573" s="190"/>
      <c r="E573" s="191"/>
      <c r="F573" s="192"/>
      <c r="G573" s="193"/>
      <c r="H573" s="194"/>
      <c r="I573" s="195"/>
      <c r="J573" s="196"/>
      <c r="K573" s="197"/>
      <c r="L573" s="198"/>
      <c r="M573" s="196"/>
      <c r="N573" s="197"/>
      <c r="O573" s="198"/>
      <c r="P573" s="196"/>
      <c r="Q573" s="199"/>
      <c r="R573" s="200"/>
    </row>
    <row r="574" customFormat="false" ht="16.5" hidden="true" customHeight="false" outlineLevel="0" collapsed="false">
      <c r="D574" s="190"/>
      <c r="E574" s="191"/>
      <c r="F574" s="192"/>
      <c r="G574" s="193"/>
      <c r="H574" s="194"/>
      <c r="I574" s="195"/>
      <c r="J574" s="196"/>
      <c r="K574" s="197"/>
      <c r="L574" s="198"/>
      <c r="M574" s="196"/>
      <c r="N574" s="197"/>
      <c r="O574" s="198"/>
      <c r="P574" s="196"/>
      <c r="Q574" s="199"/>
      <c r="R574" s="200"/>
    </row>
    <row r="575" customFormat="false" ht="16.5" hidden="true" customHeight="false" outlineLevel="0" collapsed="false">
      <c r="D575" s="190"/>
      <c r="E575" s="191"/>
      <c r="F575" s="192"/>
      <c r="G575" s="193"/>
      <c r="H575" s="194"/>
      <c r="I575" s="195"/>
      <c r="J575" s="196"/>
      <c r="K575" s="197"/>
      <c r="L575" s="198"/>
      <c r="M575" s="196"/>
      <c r="N575" s="197"/>
      <c r="O575" s="198"/>
      <c r="P575" s="196"/>
      <c r="Q575" s="199"/>
      <c r="R575" s="200"/>
    </row>
    <row r="576" customFormat="false" ht="16.5" hidden="true" customHeight="false" outlineLevel="0" collapsed="false">
      <c r="D576" s="190"/>
      <c r="E576" s="191"/>
      <c r="F576" s="192"/>
      <c r="G576" s="193"/>
      <c r="H576" s="194"/>
      <c r="I576" s="195"/>
      <c r="J576" s="196"/>
      <c r="K576" s="197"/>
      <c r="L576" s="198"/>
      <c r="M576" s="196"/>
      <c r="N576" s="197"/>
      <c r="O576" s="198"/>
      <c r="P576" s="196"/>
      <c r="Q576" s="199"/>
      <c r="R576" s="200"/>
    </row>
    <row r="577" customFormat="false" ht="16.5" hidden="true" customHeight="false" outlineLevel="0" collapsed="false">
      <c r="D577" s="190"/>
      <c r="E577" s="191"/>
      <c r="F577" s="192"/>
      <c r="G577" s="193"/>
      <c r="H577" s="194"/>
      <c r="I577" s="195"/>
      <c r="J577" s="196"/>
      <c r="K577" s="197"/>
      <c r="L577" s="198"/>
      <c r="M577" s="196"/>
      <c r="N577" s="197"/>
      <c r="O577" s="198"/>
      <c r="P577" s="196"/>
      <c r="Q577" s="199"/>
      <c r="R577" s="200"/>
    </row>
    <row r="578" customFormat="false" ht="16.5" hidden="true" customHeight="false" outlineLevel="0" collapsed="false">
      <c r="D578" s="190"/>
      <c r="E578" s="191"/>
      <c r="F578" s="192"/>
      <c r="G578" s="193"/>
      <c r="H578" s="194"/>
      <c r="I578" s="195"/>
      <c r="J578" s="196"/>
      <c r="K578" s="197"/>
      <c r="L578" s="198"/>
      <c r="M578" s="196"/>
      <c r="N578" s="197"/>
      <c r="O578" s="198"/>
      <c r="P578" s="196"/>
      <c r="Q578" s="199"/>
      <c r="R578" s="200"/>
    </row>
    <row r="579" customFormat="false" ht="16.5" hidden="true" customHeight="false" outlineLevel="0" collapsed="false">
      <c r="D579" s="190"/>
      <c r="E579" s="191"/>
      <c r="F579" s="192"/>
      <c r="G579" s="193"/>
      <c r="H579" s="194"/>
      <c r="I579" s="195"/>
      <c r="J579" s="196"/>
      <c r="K579" s="197"/>
      <c r="L579" s="198"/>
      <c r="M579" s="196"/>
      <c r="N579" s="197"/>
      <c r="O579" s="198"/>
      <c r="P579" s="196"/>
      <c r="Q579" s="199"/>
      <c r="R579" s="200"/>
    </row>
    <row r="580" customFormat="false" ht="16.5" hidden="true" customHeight="false" outlineLevel="0" collapsed="false">
      <c r="D580" s="190"/>
      <c r="E580" s="191"/>
      <c r="F580" s="192"/>
      <c r="G580" s="193"/>
      <c r="H580" s="194"/>
      <c r="I580" s="195"/>
      <c r="J580" s="196"/>
      <c r="K580" s="197"/>
      <c r="L580" s="198"/>
      <c r="M580" s="196"/>
      <c r="N580" s="197"/>
      <c r="O580" s="198"/>
      <c r="P580" s="196"/>
      <c r="Q580" s="199"/>
      <c r="R580" s="200"/>
    </row>
    <row r="581" customFormat="false" ht="16.5" hidden="true" customHeight="false" outlineLevel="0" collapsed="false">
      <c r="D581" s="190"/>
      <c r="E581" s="191"/>
      <c r="F581" s="192"/>
      <c r="G581" s="193"/>
      <c r="H581" s="194"/>
      <c r="I581" s="195"/>
      <c r="J581" s="196"/>
      <c r="K581" s="197"/>
      <c r="L581" s="198"/>
      <c r="M581" s="196"/>
      <c r="N581" s="197"/>
      <c r="O581" s="198"/>
      <c r="P581" s="196"/>
      <c r="Q581" s="199"/>
      <c r="R581" s="200"/>
    </row>
    <row r="582" customFormat="false" ht="16.5" hidden="true" customHeight="false" outlineLevel="0" collapsed="false">
      <c r="D582" s="190"/>
      <c r="E582" s="191"/>
      <c r="F582" s="192"/>
      <c r="G582" s="193"/>
      <c r="H582" s="194"/>
      <c r="I582" s="195"/>
      <c r="J582" s="196"/>
      <c r="K582" s="197"/>
      <c r="L582" s="198"/>
      <c r="M582" s="196"/>
      <c r="N582" s="197"/>
      <c r="O582" s="198"/>
      <c r="P582" s="196"/>
      <c r="Q582" s="199"/>
      <c r="R582" s="200"/>
    </row>
    <row r="583" customFormat="false" ht="16.5" hidden="true" customHeight="false" outlineLevel="0" collapsed="false">
      <c r="D583" s="190"/>
      <c r="E583" s="191"/>
      <c r="F583" s="192"/>
      <c r="G583" s="193"/>
      <c r="H583" s="194"/>
      <c r="I583" s="195"/>
      <c r="J583" s="196"/>
      <c r="K583" s="197"/>
      <c r="L583" s="198"/>
      <c r="M583" s="196"/>
      <c r="N583" s="197"/>
      <c r="O583" s="198"/>
      <c r="P583" s="196"/>
      <c r="Q583" s="199"/>
      <c r="R583" s="200"/>
    </row>
    <row r="584" customFormat="false" ht="16.5" hidden="true" customHeight="false" outlineLevel="0" collapsed="false">
      <c r="D584" s="190"/>
      <c r="E584" s="191"/>
      <c r="F584" s="192"/>
      <c r="G584" s="193"/>
      <c r="H584" s="194"/>
      <c r="I584" s="195"/>
      <c r="J584" s="196"/>
      <c r="K584" s="197"/>
      <c r="L584" s="198"/>
      <c r="M584" s="196"/>
      <c r="N584" s="197"/>
      <c r="O584" s="198"/>
      <c r="P584" s="196"/>
      <c r="Q584" s="199"/>
      <c r="R584" s="200"/>
    </row>
    <row r="585" customFormat="false" ht="16.5" hidden="true" customHeight="false" outlineLevel="0" collapsed="false">
      <c r="D585" s="190"/>
      <c r="E585" s="191"/>
      <c r="F585" s="192"/>
      <c r="G585" s="193"/>
      <c r="H585" s="194"/>
      <c r="I585" s="195"/>
      <c r="J585" s="196"/>
      <c r="K585" s="197"/>
      <c r="L585" s="198"/>
      <c r="M585" s="196"/>
      <c r="N585" s="197"/>
      <c r="O585" s="198"/>
      <c r="P585" s="196"/>
      <c r="Q585" s="199"/>
      <c r="R585" s="200"/>
    </row>
    <row r="586" customFormat="false" ht="16.5" hidden="true" customHeight="false" outlineLevel="0" collapsed="false">
      <c r="D586" s="190"/>
      <c r="E586" s="191"/>
      <c r="F586" s="192"/>
      <c r="G586" s="193"/>
      <c r="H586" s="194"/>
      <c r="I586" s="195"/>
      <c r="J586" s="196"/>
      <c r="K586" s="197"/>
      <c r="L586" s="198"/>
      <c r="M586" s="196"/>
      <c r="N586" s="197"/>
      <c r="O586" s="198"/>
      <c r="P586" s="196"/>
      <c r="Q586" s="199"/>
      <c r="R586" s="200"/>
    </row>
    <row r="587" customFormat="false" ht="16.5" hidden="true" customHeight="false" outlineLevel="0" collapsed="false">
      <c r="D587" s="190"/>
      <c r="E587" s="191"/>
      <c r="F587" s="192"/>
      <c r="G587" s="193"/>
      <c r="H587" s="194"/>
      <c r="I587" s="195"/>
      <c r="J587" s="196"/>
      <c r="K587" s="197"/>
      <c r="L587" s="198"/>
      <c r="M587" s="196"/>
      <c r="N587" s="197"/>
      <c r="O587" s="198"/>
      <c r="P587" s="196"/>
      <c r="Q587" s="199"/>
      <c r="R587" s="200"/>
    </row>
    <row r="588" customFormat="false" ht="16.5" hidden="true" customHeight="false" outlineLevel="0" collapsed="false">
      <c r="D588" s="190"/>
      <c r="E588" s="191"/>
      <c r="F588" s="192"/>
      <c r="G588" s="193"/>
      <c r="H588" s="194"/>
      <c r="I588" s="195"/>
      <c r="J588" s="196"/>
      <c r="K588" s="197"/>
      <c r="L588" s="198"/>
      <c r="M588" s="196"/>
      <c r="N588" s="197"/>
      <c r="O588" s="198"/>
      <c r="P588" s="196"/>
      <c r="Q588" s="199"/>
      <c r="R588" s="200"/>
    </row>
    <row r="589" customFormat="false" ht="16.5" hidden="true" customHeight="false" outlineLevel="0" collapsed="false">
      <c r="D589" s="190"/>
      <c r="E589" s="191"/>
      <c r="F589" s="192"/>
      <c r="G589" s="193"/>
      <c r="H589" s="194"/>
      <c r="I589" s="195"/>
      <c r="J589" s="196"/>
      <c r="K589" s="197"/>
      <c r="L589" s="198"/>
      <c r="M589" s="196"/>
      <c r="N589" s="197"/>
      <c r="O589" s="198"/>
      <c r="P589" s="196"/>
      <c r="Q589" s="199"/>
      <c r="R589" s="200"/>
    </row>
    <row r="590" customFormat="false" ht="16.5" hidden="true" customHeight="false" outlineLevel="0" collapsed="false">
      <c r="D590" s="190"/>
      <c r="E590" s="191"/>
      <c r="F590" s="192"/>
      <c r="G590" s="193"/>
      <c r="H590" s="194"/>
      <c r="I590" s="195"/>
      <c r="J590" s="196"/>
      <c r="K590" s="197"/>
      <c r="L590" s="198"/>
      <c r="M590" s="196"/>
      <c r="N590" s="197"/>
      <c r="O590" s="198"/>
      <c r="P590" s="196"/>
      <c r="Q590" s="199"/>
      <c r="R590" s="200"/>
    </row>
    <row r="591" customFormat="false" ht="16.5" hidden="true" customHeight="false" outlineLevel="0" collapsed="false">
      <c r="D591" s="190"/>
      <c r="E591" s="191"/>
      <c r="F591" s="192"/>
      <c r="G591" s="193"/>
      <c r="H591" s="194"/>
      <c r="I591" s="195"/>
      <c r="J591" s="196"/>
      <c r="K591" s="197"/>
      <c r="L591" s="198"/>
      <c r="M591" s="196"/>
      <c r="N591" s="197"/>
      <c r="O591" s="198"/>
      <c r="P591" s="196"/>
      <c r="Q591" s="199"/>
      <c r="R591" s="200"/>
    </row>
    <row r="592" customFormat="false" ht="16.5" hidden="true" customHeight="false" outlineLevel="0" collapsed="false">
      <c r="D592" s="190"/>
      <c r="E592" s="191"/>
      <c r="F592" s="192"/>
      <c r="G592" s="193"/>
      <c r="H592" s="194"/>
      <c r="I592" s="195"/>
      <c r="J592" s="196"/>
      <c r="K592" s="197"/>
      <c r="L592" s="198"/>
      <c r="M592" s="196"/>
      <c r="N592" s="197"/>
      <c r="O592" s="198"/>
      <c r="P592" s="196"/>
      <c r="Q592" s="199"/>
      <c r="R592" s="200"/>
    </row>
    <row r="593" customFormat="false" ht="16.5" hidden="true" customHeight="false" outlineLevel="0" collapsed="false">
      <c r="D593" s="190"/>
      <c r="E593" s="191"/>
      <c r="F593" s="192"/>
      <c r="G593" s="193"/>
      <c r="H593" s="194"/>
      <c r="I593" s="195"/>
      <c r="J593" s="196"/>
      <c r="K593" s="197"/>
      <c r="L593" s="198"/>
      <c r="M593" s="196"/>
      <c r="N593" s="197"/>
      <c r="O593" s="198"/>
      <c r="P593" s="196"/>
      <c r="Q593" s="199"/>
      <c r="R593" s="200"/>
    </row>
    <row r="594" customFormat="false" ht="16.5" hidden="true" customHeight="false" outlineLevel="0" collapsed="false">
      <c r="D594" s="190"/>
      <c r="E594" s="191"/>
      <c r="F594" s="192"/>
      <c r="G594" s="193"/>
      <c r="H594" s="194"/>
      <c r="I594" s="195"/>
      <c r="J594" s="196"/>
      <c r="K594" s="197"/>
      <c r="L594" s="198"/>
      <c r="M594" s="196"/>
      <c r="N594" s="197"/>
      <c r="O594" s="198"/>
      <c r="P594" s="196"/>
      <c r="Q594" s="199"/>
      <c r="R594" s="200"/>
    </row>
    <row r="595" customFormat="false" ht="16.5" hidden="true" customHeight="false" outlineLevel="0" collapsed="false">
      <c r="D595" s="190"/>
      <c r="E595" s="191"/>
      <c r="F595" s="192"/>
      <c r="G595" s="193"/>
      <c r="H595" s="194"/>
      <c r="I595" s="195"/>
      <c r="J595" s="196"/>
      <c r="K595" s="197"/>
      <c r="L595" s="198"/>
      <c r="M595" s="196"/>
      <c r="N595" s="197"/>
      <c r="O595" s="198"/>
      <c r="P595" s="196"/>
      <c r="Q595" s="199"/>
      <c r="R595" s="200"/>
    </row>
    <row r="596" customFormat="false" ht="16.5" hidden="true" customHeight="false" outlineLevel="0" collapsed="false">
      <c r="D596" s="190"/>
      <c r="E596" s="191"/>
      <c r="F596" s="192"/>
      <c r="G596" s="193"/>
      <c r="H596" s="194"/>
      <c r="I596" s="195"/>
      <c r="J596" s="196"/>
      <c r="K596" s="197"/>
      <c r="L596" s="198"/>
      <c r="M596" s="196"/>
      <c r="N596" s="197"/>
      <c r="O596" s="198"/>
      <c r="P596" s="196"/>
      <c r="Q596" s="199"/>
      <c r="R596" s="200"/>
    </row>
    <row r="597" customFormat="false" ht="16.5" hidden="true" customHeight="false" outlineLevel="0" collapsed="false">
      <c r="D597" s="190"/>
      <c r="E597" s="191"/>
      <c r="F597" s="192"/>
      <c r="G597" s="193"/>
      <c r="H597" s="194"/>
      <c r="I597" s="195"/>
      <c r="J597" s="196"/>
      <c r="K597" s="197"/>
      <c r="L597" s="198"/>
      <c r="M597" s="196"/>
      <c r="N597" s="197"/>
      <c r="O597" s="198"/>
      <c r="P597" s="196"/>
      <c r="Q597" s="199"/>
      <c r="R597" s="200"/>
    </row>
    <row r="598" customFormat="false" ht="16.5" hidden="true" customHeight="false" outlineLevel="0" collapsed="false">
      <c r="D598" s="190"/>
      <c r="E598" s="191"/>
      <c r="F598" s="192"/>
      <c r="G598" s="193"/>
      <c r="H598" s="194"/>
      <c r="I598" s="195"/>
      <c r="J598" s="196"/>
      <c r="K598" s="197"/>
      <c r="L598" s="198"/>
      <c r="M598" s="196"/>
      <c r="N598" s="197"/>
      <c r="O598" s="198"/>
      <c r="P598" s="196"/>
      <c r="Q598" s="199"/>
      <c r="R598" s="200"/>
    </row>
    <row r="599" customFormat="false" ht="16.5" hidden="true" customHeight="false" outlineLevel="0" collapsed="false">
      <c r="D599" s="190"/>
      <c r="E599" s="191"/>
      <c r="F599" s="192"/>
      <c r="G599" s="193"/>
      <c r="H599" s="194"/>
      <c r="I599" s="195"/>
      <c r="J599" s="196"/>
      <c r="K599" s="197"/>
      <c r="L599" s="198"/>
      <c r="M599" s="196"/>
      <c r="N599" s="197"/>
      <c r="O599" s="198"/>
      <c r="P599" s="196"/>
      <c r="Q599" s="199"/>
      <c r="R599" s="200"/>
    </row>
    <row r="600" customFormat="false" ht="16.5" hidden="true" customHeight="false" outlineLevel="0" collapsed="false">
      <c r="D600" s="190"/>
      <c r="E600" s="191"/>
      <c r="F600" s="192"/>
      <c r="G600" s="193"/>
      <c r="H600" s="194"/>
      <c r="I600" s="195"/>
      <c r="J600" s="196"/>
      <c r="K600" s="197"/>
      <c r="L600" s="198"/>
      <c r="M600" s="196"/>
      <c r="N600" s="197"/>
      <c r="O600" s="198"/>
      <c r="P600" s="196"/>
      <c r="Q600" s="199"/>
      <c r="R600" s="200"/>
    </row>
    <row r="601" customFormat="false" ht="16.5" hidden="true" customHeight="false" outlineLevel="0" collapsed="false">
      <c r="D601" s="190"/>
      <c r="E601" s="191"/>
      <c r="F601" s="192"/>
      <c r="G601" s="193"/>
      <c r="H601" s="194"/>
      <c r="I601" s="195"/>
      <c r="J601" s="196"/>
      <c r="K601" s="197"/>
      <c r="L601" s="198"/>
      <c r="M601" s="196"/>
      <c r="N601" s="197"/>
      <c r="O601" s="198"/>
      <c r="P601" s="196"/>
      <c r="Q601" s="199"/>
      <c r="R601" s="200"/>
    </row>
    <row r="602" customFormat="false" ht="16.5" hidden="true" customHeight="false" outlineLevel="0" collapsed="false">
      <c r="D602" s="190"/>
      <c r="E602" s="191"/>
      <c r="F602" s="192"/>
      <c r="G602" s="193"/>
      <c r="H602" s="194"/>
      <c r="I602" s="195"/>
      <c r="J602" s="196"/>
      <c r="K602" s="197"/>
      <c r="L602" s="198"/>
      <c r="M602" s="196"/>
      <c r="N602" s="197"/>
      <c r="O602" s="198"/>
      <c r="P602" s="196"/>
      <c r="Q602" s="199"/>
      <c r="R602" s="200"/>
    </row>
    <row r="603" customFormat="false" ht="16.5" hidden="true" customHeight="false" outlineLevel="0" collapsed="false">
      <c r="D603" s="190"/>
      <c r="E603" s="191"/>
      <c r="F603" s="192"/>
      <c r="G603" s="193"/>
      <c r="H603" s="194"/>
      <c r="I603" s="195"/>
      <c r="J603" s="196"/>
      <c r="K603" s="197"/>
      <c r="L603" s="198"/>
      <c r="M603" s="196"/>
      <c r="N603" s="197"/>
      <c r="O603" s="198"/>
      <c r="P603" s="196"/>
      <c r="Q603" s="199"/>
      <c r="R603" s="200"/>
    </row>
    <row r="604" customFormat="false" ht="16.5" hidden="true" customHeight="false" outlineLevel="0" collapsed="false">
      <c r="D604" s="190"/>
      <c r="E604" s="191"/>
      <c r="F604" s="192"/>
      <c r="G604" s="193"/>
      <c r="H604" s="194"/>
      <c r="I604" s="195"/>
      <c r="J604" s="196"/>
      <c r="K604" s="197"/>
      <c r="L604" s="198"/>
      <c r="M604" s="196"/>
      <c r="N604" s="197"/>
      <c r="O604" s="198"/>
      <c r="P604" s="196"/>
      <c r="Q604" s="199"/>
      <c r="R604" s="200"/>
    </row>
    <row r="605" customFormat="false" ht="16.5" hidden="true" customHeight="false" outlineLevel="0" collapsed="false">
      <c r="D605" s="190"/>
      <c r="E605" s="191"/>
      <c r="F605" s="192"/>
      <c r="G605" s="193"/>
      <c r="H605" s="194"/>
      <c r="I605" s="195"/>
      <c r="J605" s="196"/>
      <c r="K605" s="197"/>
      <c r="L605" s="198"/>
      <c r="M605" s="196"/>
      <c r="N605" s="197"/>
      <c r="O605" s="198"/>
      <c r="P605" s="196"/>
      <c r="Q605" s="199"/>
      <c r="R605" s="200"/>
    </row>
    <row r="606" customFormat="false" ht="16.5" hidden="true" customHeight="false" outlineLevel="0" collapsed="false">
      <c r="D606" s="190"/>
      <c r="E606" s="191"/>
      <c r="F606" s="192"/>
      <c r="G606" s="193"/>
      <c r="H606" s="194"/>
      <c r="I606" s="195"/>
      <c r="J606" s="196"/>
      <c r="K606" s="197"/>
      <c r="L606" s="198"/>
      <c r="M606" s="196"/>
      <c r="N606" s="197"/>
      <c r="O606" s="198"/>
      <c r="P606" s="196"/>
      <c r="Q606" s="199"/>
      <c r="R606" s="200"/>
    </row>
    <row r="607" customFormat="false" ht="16.5" hidden="true" customHeight="false" outlineLevel="0" collapsed="false">
      <c r="D607" s="190"/>
      <c r="E607" s="191"/>
      <c r="F607" s="192"/>
      <c r="G607" s="193"/>
      <c r="H607" s="194"/>
      <c r="I607" s="195"/>
      <c r="J607" s="196"/>
      <c r="K607" s="197"/>
      <c r="L607" s="198"/>
      <c r="M607" s="196"/>
      <c r="N607" s="197"/>
      <c r="O607" s="198"/>
      <c r="P607" s="196"/>
      <c r="Q607" s="199"/>
      <c r="R607" s="200"/>
    </row>
    <row r="608" customFormat="false" ht="16.5" hidden="true" customHeight="false" outlineLevel="0" collapsed="false">
      <c r="D608" s="190"/>
      <c r="E608" s="191"/>
      <c r="F608" s="192"/>
      <c r="G608" s="193"/>
      <c r="H608" s="194"/>
      <c r="I608" s="195"/>
      <c r="J608" s="196"/>
      <c r="K608" s="197"/>
      <c r="L608" s="198"/>
      <c r="M608" s="196"/>
      <c r="N608" s="197"/>
      <c r="O608" s="198"/>
      <c r="P608" s="196"/>
      <c r="Q608" s="199"/>
      <c r="R608" s="200"/>
    </row>
    <row r="609" customFormat="false" ht="16.5" hidden="true" customHeight="false" outlineLevel="0" collapsed="false">
      <c r="D609" s="190"/>
      <c r="E609" s="191"/>
      <c r="F609" s="192"/>
      <c r="G609" s="193"/>
      <c r="H609" s="194"/>
      <c r="I609" s="195"/>
      <c r="J609" s="196"/>
      <c r="K609" s="197"/>
      <c r="L609" s="198"/>
      <c r="M609" s="196"/>
      <c r="N609" s="197"/>
      <c r="O609" s="198"/>
      <c r="P609" s="196"/>
      <c r="Q609" s="199"/>
      <c r="R609" s="200"/>
    </row>
    <row r="610" customFormat="false" ht="16.5" hidden="true" customHeight="false" outlineLevel="0" collapsed="false">
      <c r="D610" s="190"/>
      <c r="E610" s="191"/>
      <c r="F610" s="192"/>
      <c r="G610" s="193"/>
      <c r="H610" s="194"/>
      <c r="I610" s="195"/>
      <c r="J610" s="196"/>
      <c r="K610" s="197"/>
      <c r="L610" s="198"/>
      <c r="M610" s="196"/>
      <c r="N610" s="197"/>
      <c r="O610" s="198"/>
      <c r="P610" s="196"/>
      <c r="Q610" s="199"/>
      <c r="R610" s="200"/>
    </row>
    <row r="611" customFormat="false" ht="16.5" hidden="true" customHeight="false" outlineLevel="0" collapsed="false">
      <c r="D611" s="190"/>
      <c r="E611" s="191"/>
      <c r="F611" s="192"/>
      <c r="G611" s="193"/>
      <c r="H611" s="194"/>
      <c r="I611" s="195"/>
      <c r="J611" s="196"/>
      <c r="K611" s="197"/>
      <c r="L611" s="198"/>
      <c r="M611" s="196"/>
      <c r="N611" s="197"/>
      <c r="O611" s="198"/>
      <c r="P611" s="196"/>
      <c r="Q611" s="199"/>
      <c r="R611" s="200"/>
    </row>
    <row r="612" customFormat="false" ht="16.5" hidden="true" customHeight="false" outlineLevel="0" collapsed="false">
      <c r="D612" s="190"/>
      <c r="E612" s="191"/>
      <c r="F612" s="192"/>
      <c r="G612" s="193"/>
      <c r="H612" s="194"/>
      <c r="I612" s="195"/>
      <c r="J612" s="196"/>
      <c r="K612" s="197"/>
      <c r="L612" s="198"/>
      <c r="M612" s="196"/>
      <c r="N612" s="197"/>
      <c r="O612" s="198"/>
      <c r="P612" s="196"/>
      <c r="Q612" s="199"/>
      <c r="R612" s="200"/>
    </row>
    <row r="613" customFormat="false" ht="16.5" hidden="true" customHeight="false" outlineLevel="0" collapsed="false">
      <c r="D613" s="190"/>
      <c r="E613" s="191"/>
      <c r="F613" s="192"/>
      <c r="G613" s="193"/>
      <c r="H613" s="194"/>
      <c r="I613" s="195"/>
      <c r="J613" s="196"/>
      <c r="K613" s="197"/>
      <c r="L613" s="198"/>
      <c r="M613" s="196"/>
      <c r="N613" s="197"/>
      <c r="O613" s="198"/>
      <c r="P613" s="196"/>
      <c r="Q613" s="199"/>
      <c r="R613" s="200"/>
    </row>
    <row r="614" customFormat="false" ht="16.5" hidden="true" customHeight="false" outlineLevel="0" collapsed="false">
      <c r="D614" s="190"/>
      <c r="E614" s="191"/>
      <c r="F614" s="192"/>
      <c r="G614" s="193"/>
      <c r="H614" s="194"/>
      <c r="I614" s="195"/>
      <c r="J614" s="196"/>
      <c r="K614" s="197"/>
      <c r="L614" s="198"/>
      <c r="M614" s="196"/>
      <c r="N614" s="197"/>
      <c r="O614" s="198"/>
      <c r="P614" s="196"/>
      <c r="Q614" s="199"/>
      <c r="R614" s="200"/>
    </row>
    <row r="615" customFormat="false" ht="16.5" hidden="true" customHeight="false" outlineLevel="0" collapsed="false">
      <c r="D615" s="190"/>
      <c r="E615" s="191"/>
      <c r="F615" s="192"/>
      <c r="G615" s="193"/>
      <c r="H615" s="194"/>
      <c r="I615" s="195"/>
      <c r="J615" s="196"/>
      <c r="K615" s="197"/>
      <c r="L615" s="198"/>
      <c r="M615" s="196"/>
      <c r="N615" s="197"/>
      <c r="O615" s="198"/>
      <c r="P615" s="196"/>
      <c r="Q615" s="199"/>
      <c r="R615" s="200"/>
    </row>
    <row r="616" customFormat="false" ht="16.5" hidden="true" customHeight="false" outlineLevel="0" collapsed="false">
      <c r="D616" s="190"/>
      <c r="E616" s="191"/>
      <c r="F616" s="192"/>
      <c r="G616" s="193"/>
      <c r="H616" s="194"/>
      <c r="I616" s="195"/>
      <c r="J616" s="196"/>
      <c r="K616" s="197"/>
      <c r="L616" s="198"/>
      <c r="M616" s="196"/>
      <c r="N616" s="197"/>
      <c r="O616" s="198"/>
      <c r="P616" s="196"/>
      <c r="Q616" s="199"/>
      <c r="R616" s="200"/>
    </row>
    <row r="617" customFormat="false" ht="16.5" hidden="true" customHeight="false" outlineLevel="0" collapsed="false">
      <c r="D617" s="190"/>
      <c r="E617" s="191"/>
      <c r="F617" s="192"/>
      <c r="G617" s="193"/>
      <c r="H617" s="194"/>
      <c r="I617" s="195"/>
      <c r="J617" s="196"/>
      <c r="K617" s="197"/>
      <c r="L617" s="198"/>
      <c r="M617" s="196"/>
      <c r="N617" s="197"/>
      <c r="O617" s="198"/>
      <c r="P617" s="196"/>
      <c r="Q617" s="199"/>
      <c r="R617" s="200"/>
    </row>
    <row r="618" customFormat="false" ht="16.5" hidden="true" customHeight="false" outlineLevel="0" collapsed="false">
      <c r="D618" s="190"/>
      <c r="E618" s="191"/>
      <c r="F618" s="192"/>
      <c r="G618" s="193"/>
      <c r="H618" s="194"/>
      <c r="I618" s="195"/>
      <c r="J618" s="196"/>
      <c r="K618" s="197"/>
      <c r="L618" s="198"/>
      <c r="M618" s="196"/>
      <c r="N618" s="197"/>
      <c r="O618" s="198"/>
      <c r="P618" s="196"/>
      <c r="Q618" s="199"/>
      <c r="R618" s="200"/>
    </row>
    <row r="619" customFormat="false" ht="16.5" hidden="true" customHeight="false" outlineLevel="0" collapsed="false">
      <c r="D619" s="190"/>
      <c r="E619" s="191"/>
      <c r="F619" s="192"/>
      <c r="G619" s="193"/>
      <c r="H619" s="194"/>
      <c r="I619" s="195"/>
      <c r="J619" s="196"/>
      <c r="K619" s="197"/>
      <c r="L619" s="198"/>
      <c r="M619" s="196"/>
      <c r="N619" s="197"/>
      <c r="O619" s="198"/>
      <c r="P619" s="196"/>
      <c r="Q619" s="199"/>
      <c r="R619" s="200"/>
    </row>
    <row r="620" customFormat="false" ht="16.5" hidden="true" customHeight="false" outlineLevel="0" collapsed="false">
      <c r="D620" s="190"/>
      <c r="E620" s="191"/>
      <c r="F620" s="192"/>
      <c r="G620" s="193"/>
      <c r="H620" s="194"/>
      <c r="I620" s="195"/>
      <c r="J620" s="196"/>
      <c r="K620" s="197"/>
      <c r="L620" s="198"/>
      <c r="M620" s="196"/>
      <c r="N620" s="197"/>
      <c r="O620" s="198"/>
      <c r="P620" s="196"/>
      <c r="Q620" s="199"/>
      <c r="R620" s="200"/>
    </row>
    <row r="621" customFormat="false" ht="16.5" hidden="true" customHeight="false" outlineLevel="0" collapsed="false">
      <c r="D621" s="190"/>
      <c r="E621" s="191"/>
      <c r="F621" s="192"/>
      <c r="G621" s="193"/>
      <c r="H621" s="194"/>
      <c r="I621" s="195"/>
      <c r="J621" s="196"/>
      <c r="K621" s="197"/>
      <c r="L621" s="198"/>
      <c r="M621" s="196"/>
      <c r="N621" s="197"/>
      <c r="O621" s="198"/>
      <c r="P621" s="196"/>
      <c r="Q621" s="199"/>
      <c r="R621" s="200"/>
    </row>
    <row r="622" customFormat="false" ht="16.5" hidden="true" customHeight="false" outlineLevel="0" collapsed="false">
      <c r="D622" s="190"/>
      <c r="E622" s="191"/>
      <c r="F622" s="192"/>
      <c r="G622" s="193"/>
      <c r="H622" s="194"/>
      <c r="I622" s="195"/>
      <c r="J622" s="196"/>
      <c r="K622" s="197"/>
      <c r="L622" s="198"/>
      <c r="M622" s="196"/>
      <c r="N622" s="197"/>
      <c r="O622" s="198"/>
      <c r="P622" s="196"/>
      <c r="Q622" s="199"/>
      <c r="R622" s="200"/>
    </row>
    <row r="623" customFormat="false" ht="16.5" hidden="true" customHeight="false" outlineLevel="0" collapsed="false">
      <c r="D623" s="190"/>
      <c r="E623" s="191"/>
      <c r="F623" s="192"/>
      <c r="G623" s="193"/>
      <c r="H623" s="194"/>
      <c r="I623" s="195"/>
      <c r="J623" s="196"/>
      <c r="K623" s="197"/>
      <c r="L623" s="198"/>
      <c r="M623" s="196"/>
      <c r="N623" s="197"/>
      <c r="O623" s="198"/>
      <c r="P623" s="196"/>
      <c r="Q623" s="199"/>
      <c r="R623" s="200"/>
    </row>
    <row r="624" customFormat="false" ht="16.5" hidden="true" customHeight="false" outlineLevel="0" collapsed="false">
      <c r="D624" s="190"/>
      <c r="E624" s="191"/>
      <c r="F624" s="192"/>
      <c r="G624" s="193"/>
      <c r="H624" s="194"/>
      <c r="I624" s="195"/>
      <c r="J624" s="196"/>
      <c r="K624" s="197"/>
      <c r="L624" s="198"/>
      <c r="M624" s="196"/>
      <c r="N624" s="197"/>
      <c r="O624" s="198"/>
      <c r="P624" s="196"/>
      <c r="Q624" s="199"/>
      <c r="R624" s="200"/>
    </row>
    <row r="625" customFormat="false" ht="16.5" hidden="true" customHeight="false" outlineLevel="0" collapsed="false">
      <c r="D625" s="190"/>
      <c r="E625" s="191"/>
      <c r="F625" s="192"/>
      <c r="G625" s="193"/>
      <c r="H625" s="194"/>
      <c r="I625" s="195"/>
      <c r="J625" s="196"/>
      <c r="K625" s="197"/>
      <c r="L625" s="198"/>
      <c r="M625" s="196"/>
      <c r="N625" s="197"/>
      <c r="O625" s="198"/>
      <c r="P625" s="196"/>
      <c r="Q625" s="199"/>
      <c r="R625" s="200"/>
    </row>
    <row r="626" customFormat="false" ht="16.5" hidden="true" customHeight="false" outlineLevel="0" collapsed="false">
      <c r="D626" s="190"/>
      <c r="E626" s="191"/>
      <c r="F626" s="192"/>
      <c r="G626" s="193"/>
      <c r="H626" s="194"/>
      <c r="I626" s="195"/>
      <c r="J626" s="196"/>
      <c r="K626" s="197"/>
      <c r="L626" s="198"/>
      <c r="M626" s="196"/>
      <c r="N626" s="197"/>
      <c r="O626" s="198"/>
      <c r="P626" s="196"/>
      <c r="Q626" s="199"/>
      <c r="R626" s="200"/>
    </row>
    <row r="627" customFormat="false" ht="16.5" hidden="true" customHeight="false" outlineLevel="0" collapsed="false">
      <c r="D627" s="190"/>
      <c r="E627" s="191"/>
      <c r="F627" s="192"/>
      <c r="G627" s="193"/>
      <c r="H627" s="194"/>
      <c r="I627" s="195"/>
      <c r="J627" s="196"/>
      <c r="K627" s="197"/>
      <c r="L627" s="198"/>
      <c r="M627" s="196"/>
      <c r="N627" s="197"/>
      <c r="O627" s="198"/>
      <c r="P627" s="196"/>
      <c r="Q627" s="199"/>
      <c r="R627" s="200"/>
    </row>
    <row r="628" customFormat="false" ht="16.5" hidden="true" customHeight="false" outlineLevel="0" collapsed="false">
      <c r="D628" s="190"/>
      <c r="E628" s="191"/>
      <c r="F628" s="192"/>
      <c r="G628" s="193"/>
      <c r="H628" s="194"/>
      <c r="I628" s="195"/>
      <c r="J628" s="196"/>
      <c r="K628" s="197"/>
      <c r="L628" s="198"/>
      <c r="M628" s="196"/>
      <c r="N628" s="197"/>
      <c r="O628" s="198"/>
      <c r="P628" s="196"/>
      <c r="Q628" s="199"/>
      <c r="R628" s="200"/>
    </row>
    <row r="629" customFormat="false" ht="16.5" hidden="true" customHeight="false" outlineLevel="0" collapsed="false">
      <c r="D629" s="190"/>
      <c r="E629" s="191"/>
      <c r="F629" s="192"/>
      <c r="G629" s="193"/>
      <c r="H629" s="194"/>
      <c r="I629" s="195"/>
      <c r="J629" s="196"/>
      <c r="K629" s="197"/>
      <c r="L629" s="198"/>
      <c r="M629" s="196"/>
      <c r="N629" s="197"/>
      <c r="O629" s="198"/>
      <c r="P629" s="196"/>
      <c r="Q629" s="199"/>
      <c r="R629" s="200"/>
    </row>
    <row r="630" customFormat="false" ht="16.5" hidden="true" customHeight="false" outlineLevel="0" collapsed="false">
      <c r="D630" s="190"/>
      <c r="E630" s="191"/>
      <c r="F630" s="192"/>
      <c r="G630" s="193"/>
      <c r="H630" s="194"/>
      <c r="I630" s="195"/>
      <c r="J630" s="196"/>
      <c r="K630" s="197"/>
      <c r="L630" s="198"/>
      <c r="M630" s="196"/>
      <c r="N630" s="197"/>
      <c r="O630" s="198"/>
      <c r="P630" s="196"/>
      <c r="Q630" s="199"/>
      <c r="R630" s="200"/>
    </row>
    <row r="631" customFormat="false" ht="16.5" hidden="true" customHeight="false" outlineLevel="0" collapsed="false">
      <c r="D631" s="190"/>
      <c r="E631" s="191"/>
      <c r="F631" s="192"/>
      <c r="G631" s="193"/>
      <c r="H631" s="194"/>
      <c r="I631" s="195"/>
      <c r="J631" s="196"/>
      <c r="K631" s="197"/>
      <c r="L631" s="198"/>
      <c r="M631" s="196"/>
      <c r="N631" s="197"/>
      <c r="O631" s="198"/>
      <c r="P631" s="196"/>
      <c r="Q631" s="199"/>
      <c r="R631" s="200"/>
    </row>
    <row r="632" customFormat="false" ht="16.5" hidden="true" customHeight="false" outlineLevel="0" collapsed="false">
      <c r="D632" s="190"/>
      <c r="E632" s="191"/>
      <c r="F632" s="192"/>
      <c r="G632" s="193"/>
      <c r="H632" s="194"/>
      <c r="I632" s="195"/>
      <c r="J632" s="196"/>
      <c r="K632" s="197"/>
      <c r="L632" s="198"/>
      <c r="M632" s="196"/>
      <c r="N632" s="197"/>
      <c r="O632" s="198"/>
      <c r="P632" s="196"/>
      <c r="Q632" s="199"/>
      <c r="R632" s="200"/>
    </row>
    <row r="633" customFormat="false" ht="16.5" hidden="true" customHeight="false" outlineLevel="0" collapsed="false">
      <c r="D633" s="190"/>
      <c r="E633" s="191"/>
      <c r="F633" s="192"/>
      <c r="G633" s="193"/>
      <c r="H633" s="194"/>
      <c r="I633" s="195"/>
      <c r="J633" s="196"/>
      <c r="K633" s="197"/>
      <c r="L633" s="198"/>
      <c r="M633" s="196"/>
      <c r="N633" s="197"/>
      <c r="O633" s="198"/>
      <c r="P633" s="196"/>
      <c r="Q633" s="199"/>
      <c r="R633" s="200"/>
    </row>
    <row r="634" customFormat="false" ht="16.5" hidden="true" customHeight="false" outlineLevel="0" collapsed="false">
      <c r="D634" s="190"/>
      <c r="E634" s="191"/>
      <c r="F634" s="192"/>
      <c r="G634" s="193"/>
      <c r="H634" s="194"/>
      <c r="I634" s="195"/>
      <c r="J634" s="196"/>
      <c r="K634" s="197"/>
      <c r="L634" s="198"/>
      <c r="M634" s="196"/>
      <c r="N634" s="197"/>
      <c r="O634" s="198"/>
      <c r="P634" s="196"/>
      <c r="Q634" s="199"/>
      <c r="R634" s="200"/>
    </row>
    <row r="635" customFormat="false" ht="16.5" hidden="true" customHeight="false" outlineLevel="0" collapsed="false">
      <c r="D635" s="190"/>
      <c r="E635" s="191"/>
      <c r="F635" s="192"/>
      <c r="G635" s="193"/>
      <c r="H635" s="194"/>
      <c r="I635" s="195"/>
      <c r="J635" s="196"/>
      <c r="K635" s="197"/>
      <c r="L635" s="198"/>
      <c r="M635" s="196"/>
      <c r="N635" s="197"/>
      <c r="O635" s="198"/>
      <c r="P635" s="196"/>
      <c r="Q635" s="199"/>
      <c r="R635" s="200"/>
    </row>
    <row r="636" customFormat="false" ht="16.5" hidden="true" customHeight="false" outlineLevel="0" collapsed="false">
      <c r="D636" s="190"/>
      <c r="E636" s="191"/>
      <c r="F636" s="192"/>
      <c r="G636" s="193"/>
      <c r="H636" s="194"/>
      <c r="I636" s="195"/>
      <c r="J636" s="196"/>
      <c r="K636" s="197"/>
      <c r="L636" s="198"/>
      <c r="M636" s="196"/>
      <c r="N636" s="197"/>
      <c r="O636" s="198"/>
      <c r="P636" s="196"/>
      <c r="Q636" s="199"/>
      <c r="R636" s="200"/>
    </row>
    <row r="637" customFormat="false" ht="16.5" hidden="true" customHeight="false" outlineLevel="0" collapsed="false">
      <c r="D637" s="190"/>
      <c r="E637" s="191"/>
      <c r="F637" s="192"/>
      <c r="G637" s="193"/>
      <c r="H637" s="194"/>
      <c r="I637" s="195"/>
      <c r="J637" s="196"/>
      <c r="K637" s="197"/>
      <c r="L637" s="198"/>
      <c r="M637" s="196"/>
      <c r="N637" s="197"/>
      <c r="O637" s="198"/>
      <c r="P637" s="196"/>
      <c r="Q637" s="199"/>
      <c r="R637" s="200"/>
    </row>
    <row r="638" customFormat="false" ht="16.5" hidden="true" customHeight="false" outlineLevel="0" collapsed="false">
      <c r="D638" s="190"/>
      <c r="E638" s="191"/>
      <c r="F638" s="192"/>
      <c r="G638" s="193"/>
      <c r="H638" s="194"/>
      <c r="I638" s="195"/>
      <c r="J638" s="196"/>
      <c r="K638" s="197"/>
      <c r="L638" s="198"/>
      <c r="M638" s="196"/>
      <c r="N638" s="197"/>
      <c r="O638" s="198"/>
      <c r="P638" s="196"/>
      <c r="Q638" s="199"/>
      <c r="R638" s="200"/>
    </row>
    <row r="639" customFormat="false" ht="16.5" hidden="true" customHeight="false" outlineLevel="0" collapsed="false">
      <c r="D639" s="190"/>
      <c r="E639" s="191"/>
      <c r="F639" s="192"/>
      <c r="G639" s="193"/>
      <c r="H639" s="194"/>
      <c r="I639" s="195"/>
      <c r="J639" s="196"/>
      <c r="K639" s="197"/>
      <c r="L639" s="198"/>
      <c r="M639" s="196"/>
      <c r="N639" s="197"/>
      <c r="O639" s="198"/>
      <c r="P639" s="196"/>
      <c r="Q639" s="199"/>
      <c r="R639" s="200"/>
    </row>
    <row r="640" customFormat="false" ht="16.5" hidden="true" customHeight="false" outlineLevel="0" collapsed="false">
      <c r="D640" s="190"/>
      <c r="E640" s="191"/>
      <c r="F640" s="192"/>
      <c r="G640" s="193"/>
      <c r="H640" s="194"/>
      <c r="I640" s="195"/>
      <c r="J640" s="196"/>
      <c r="K640" s="197"/>
      <c r="L640" s="198"/>
      <c r="M640" s="196"/>
      <c r="N640" s="197"/>
      <c r="O640" s="198"/>
      <c r="P640" s="196"/>
      <c r="Q640" s="199"/>
      <c r="R640" s="200"/>
    </row>
    <row r="641" customFormat="false" ht="16.5" hidden="true" customHeight="false" outlineLevel="0" collapsed="false">
      <c r="D641" s="190"/>
      <c r="E641" s="191"/>
      <c r="F641" s="192"/>
      <c r="G641" s="193"/>
      <c r="H641" s="194"/>
      <c r="I641" s="195"/>
      <c r="J641" s="196"/>
      <c r="K641" s="197"/>
      <c r="L641" s="198"/>
      <c r="M641" s="196"/>
      <c r="N641" s="197"/>
      <c r="O641" s="198"/>
      <c r="P641" s="196"/>
      <c r="Q641" s="199"/>
      <c r="R641" s="200"/>
    </row>
    <row r="642" customFormat="false" ht="16.5" hidden="true" customHeight="false" outlineLevel="0" collapsed="false">
      <c r="D642" s="190"/>
      <c r="E642" s="191"/>
      <c r="F642" s="192"/>
      <c r="G642" s="193"/>
      <c r="H642" s="194"/>
      <c r="I642" s="195"/>
      <c r="J642" s="196"/>
      <c r="K642" s="197"/>
      <c r="L642" s="198"/>
      <c r="M642" s="196"/>
      <c r="N642" s="197"/>
      <c r="O642" s="198"/>
      <c r="P642" s="196"/>
      <c r="Q642" s="199"/>
      <c r="R642" s="200"/>
    </row>
    <row r="643" customFormat="false" ht="16.5" hidden="true" customHeight="false" outlineLevel="0" collapsed="false">
      <c r="D643" s="190"/>
      <c r="E643" s="191"/>
      <c r="F643" s="192"/>
      <c r="G643" s="193"/>
      <c r="H643" s="194"/>
      <c r="I643" s="195"/>
      <c r="J643" s="196"/>
      <c r="K643" s="197"/>
      <c r="L643" s="198"/>
      <c r="M643" s="196"/>
      <c r="N643" s="197"/>
      <c r="O643" s="198"/>
      <c r="P643" s="196"/>
      <c r="Q643" s="199"/>
      <c r="R643" s="200"/>
    </row>
    <row r="644" customFormat="false" ht="16.5" hidden="true" customHeight="false" outlineLevel="0" collapsed="false">
      <c r="D644" s="190"/>
      <c r="E644" s="191"/>
      <c r="F644" s="192"/>
      <c r="G644" s="193"/>
      <c r="H644" s="194"/>
      <c r="I644" s="195"/>
      <c r="J644" s="196"/>
      <c r="K644" s="197"/>
      <c r="L644" s="198"/>
      <c r="M644" s="196"/>
      <c r="N644" s="197"/>
      <c r="O644" s="198"/>
      <c r="P644" s="196"/>
      <c r="Q644" s="199"/>
      <c r="R644" s="200"/>
    </row>
    <row r="645" customFormat="false" ht="16.5" hidden="true" customHeight="false" outlineLevel="0" collapsed="false">
      <c r="D645" s="190"/>
      <c r="E645" s="191"/>
      <c r="F645" s="192"/>
      <c r="G645" s="193"/>
      <c r="H645" s="194"/>
      <c r="I645" s="195"/>
      <c r="J645" s="196"/>
      <c r="K645" s="197"/>
      <c r="L645" s="198"/>
      <c r="M645" s="196"/>
      <c r="N645" s="197"/>
      <c r="O645" s="198"/>
      <c r="P645" s="196"/>
      <c r="Q645" s="199"/>
      <c r="R645" s="200"/>
    </row>
    <row r="646" customFormat="false" ht="16.5" hidden="true" customHeight="false" outlineLevel="0" collapsed="false">
      <c r="D646" s="190"/>
      <c r="E646" s="191"/>
      <c r="F646" s="192"/>
      <c r="G646" s="193"/>
      <c r="H646" s="194"/>
      <c r="I646" s="195"/>
      <c r="J646" s="196"/>
      <c r="K646" s="197"/>
      <c r="L646" s="198"/>
      <c r="M646" s="196"/>
      <c r="N646" s="197"/>
      <c r="O646" s="198"/>
      <c r="P646" s="196"/>
      <c r="Q646" s="199"/>
      <c r="R646" s="200"/>
    </row>
    <row r="647" customFormat="false" ht="16.5" hidden="true" customHeight="false" outlineLevel="0" collapsed="false">
      <c r="D647" s="190"/>
      <c r="E647" s="191"/>
      <c r="F647" s="192"/>
      <c r="G647" s="193"/>
      <c r="H647" s="194"/>
      <c r="I647" s="195"/>
      <c r="J647" s="196"/>
      <c r="K647" s="197"/>
      <c r="L647" s="198"/>
      <c r="M647" s="196"/>
      <c r="N647" s="197"/>
      <c r="O647" s="198"/>
      <c r="P647" s="196"/>
      <c r="Q647" s="199"/>
      <c r="R647" s="200"/>
    </row>
    <row r="648" customFormat="false" ht="16.5" hidden="true" customHeight="false" outlineLevel="0" collapsed="false">
      <c r="D648" s="190"/>
      <c r="E648" s="191"/>
      <c r="F648" s="192"/>
      <c r="G648" s="193"/>
      <c r="H648" s="194"/>
      <c r="I648" s="195"/>
      <c r="J648" s="196"/>
      <c r="K648" s="197"/>
      <c r="L648" s="198"/>
      <c r="M648" s="196"/>
      <c r="N648" s="197"/>
      <c r="O648" s="198"/>
      <c r="P648" s="196"/>
      <c r="Q648" s="199"/>
      <c r="R648" s="200"/>
    </row>
    <row r="649" customFormat="false" ht="16.5" hidden="true" customHeight="false" outlineLevel="0" collapsed="false">
      <c r="D649" s="190"/>
      <c r="E649" s="191"/>
      <c r="F649" s="192"/>
      <c r="G649" s="193"/>
      <c r="H649" s="194"/>
      <c r="I649" s="195"/>
      <c r="J649" s="196"/>
      <c r="K649" s="197"/>
      <c r="L649" s="198"/>
      <c r="M649" s="196"/>
      <c r="N649" s="197"/>
      <c r="O649" s="198"/>
      <c r="P649" s="196"/>
      <c r="Q649" s="199"/>
      <c r="R649" s="200"/>
    </row>
    <row r="650" customFormat="false" ht="16.5" hidden="true" customHeight="false" outlineLevel="0" collapsed="false">
      <c r="D650" s="190"/>
      <c r="E650" s="191"/>
      <c r="F650" s="192"/>
      <c r="G650" s="193"/>
      <c r="H650" s="194"/>
      <c r="I650" s="195"/>
      <c r="J650" s="196"/>
      <c r="K650" s="197"/>
      <c r="L650" s="198"/>
      <c r="M650" s="196"/>
      <c r="N650" s="197"/>
      <c r="O650" s="198"/>
      <c r="P650" s="196"/>
      <c r="Q650" s="199"/>
      <c r="R650" s="200"/>
    </row>
    <row r="651" customFormat="false" ht="16.5" hidden="true" customHeight="false" outlineLevel="0" collapsed="false">
      <c r="D651" s="190"/>
      <c r="E651" s="191"/>
      <c r="F651" s="192"/>
      <c r="G651" s="193"/>
      <c r="H651" s="194"/>
      <c r="I651" s="195"/>
      <c r="J651" s="196"/>
      <c r="K651" s="197"/>
      <c r="L651" s="198"/>
      <c r="M651" s="196"/>
      <c r="N651" s="197"/>
      <c r="O651" s="198"/>
      <c r="P651" s="196"/>
      <c r="Q651" s="199"/>
      <c r="R651" s="200"/>
    </row>
    <row r="652" customFormat="false" ht="16.5" hidden="true" customHeight="false" outlineLevel="0" collapsed="false">
      <c r="D652" s="190"/>
      <c r="E652" s="191"/>
      <c r="F652" s="192"/>
      <c r="G652" s="193"/>
      <c r="H652" s="194"/>
      <c r="I652" s="195"/>
      <c r="J652" s="196"/>
      <c r="K652" s="197"/>
      <c r="L652" s="198"/>
      <c r="M652" s="196"/>
      <c r="N652" s="197"/>
      <c r="O652" s="198"/>
      <c r="P652" s="196"/>
      <c r="Q652" s="199"/>
      <c r="R652" s="200"/>
    </row>
    <row r="653" customFormat="false" ht="16.5" hidden="true" customHeight="false" outlineLevel="0" collapsed="false">
      <c r="D653" s="190"/>
      <c r="E653" s="191"/>
      <c r="F653" s="192"/>
      <c r="G653" s="193"/>
      <c r="H653" s="194"/>
      <c r="I653" s="195"/>
      <c r="J653" s="196"/>
      <c r="K653" s="197"/>
      <c r="L653" s="198"/>
      <c r="M653" s="196"/>
      <c r="N653" s="197"/>
      <c r="O653" s="198"/>
      <c r="P653" s="196"/>
      <c r="Q653" s="199"/>
      <c r="R653" s="200"/>
    </row>
    <row r="654" customFormat="false" ht="16.5" hidden="true" customHeight="false" outlineLevel="0" collapsed="false">
      <c r="D654" s="190"/>
      <c r="E654" s="191"/>
      <c r="F654" s="192"/>
      <c r="G654" s="193"/>
      <c r="H654" s="194"/>
      <c r="I654" s="195"/>
      <c r="J654" s="196"/>
      <c r="K654" s="197"/>
      <c r="L654" s="198"/>
      <c r="M654" s="196"/>
      <c r="N654" s="197"/>
      <c r="O654" s="198"/>
      <c r="P654" s="196"/>
      <c r="Q654" s="199"/>
      <c r="R654" s="200"/>
    </row>
    <row r="655" customFormat="false" ht="16.5" hidden="true" customHeight="false" outlineLevel="0" collapsed="false">
      <c r="D655" s="190"/>
      <c r="E655" s="191"/>
      <c r="F655" s="192"/>
      <c r="G655" s="193"/>
      <c r="H655" s="194"/>
      <c r="I655" s="195"/>
      <c r="J655" s="196"/>
      <c r="K655" s="197"/>
      <c r="L655" s="198"/>
      <c r="M655" s="196"/>
      <c r="N655" s="197"/>
      <c r="O655" s="198"/>
      <c r="P655" s="196"/>
      <c r="Q655" s="199"/>
      <c r="R655" s="200"/>
    </row>
    <row r="656" customFormat="false" ht="16.5" hidden="true" customHeight="false" outlineLevel="0" collapsed="false">
      <c r="D656" s="190"/>
      <c r="E656" s="191"/>
      <c r="F656" s="192"/>
      <c r="G656" s="193"/>
      <c r="H656" s="194"/>
      <c r="I656" s="195"/>
      <c r="J656" s="196"/>
      <c r="K656" s="197"/>
      <c r="L656" s="198"/>
      <c r="M656" s="196"/>
      <c r="N656" s="197"/>
      <c r="O656" s="198"/>
      <c r="P656" s="196"/>
      <c r="Q656" s="199"/>
      <c r="R656" s="200"/>
    </row>
    <row r="657" customFormat="false" ht="16.5" hidden="true" customHeight="false" outlineLevel="0" collapsed="false">
      <c r="D657" s="190"/>
      <c r="E657" s="191"/>
      <c r="F657" s="192"/>
      <c r="G657" s="193"/>
      <c r="H657" s="194"/>
      <c r="I657" s="195"/>
      <c r="J657" s="196"/>
      <c r="K657" s="197"/>
      <c r="L657" s="198"/>
      <c r="M657" s="196"/>
      <c r="N657" s="197"/>
      <c r="O657" s="198"/>
      <c r="P657" s="196"/>
      <c r="Q657" s="199"/>
      <c r="R657" s="200"/>
    </row>
    <row r="658" customFormat="false" ht="16.5" hidden="true" customHeight="false" outlineLevel="0" collapsed="false">
      <c r="D658" s="190"/>
      <c r="E658" s="191"/>
      <c r="F658" s="192"/>
      <c r="G658" s="193"/>
      <c r="H658" s="194"/>
      <c r="I658" s="195"/>
      <c r="J658" s="196"/>
      <c r="K658" s="197"/>
      <c r="L658" s="198"/>
      <c r="M658" s="196"/>
      <c r="N658" s="197"/>
      <c r="O658" s="198"/>
      <c r="P658" s="196"/>
      <c r="Q658" s="199"/>
      <c r="R658" s="200"/>
    </row>
    <row r="659" customFormat="false" ht="16.5" hidden="true" customHeight="false" outlineLevel="0" collapsed="false">
      <c r="D659" s="190"/>
      <c r="E659" s="191"/>
      <c r="F659" s="192"/>
      <c r="G659" s="193"/>
      <c r="H659" s="194"/>
      <c r="I659" s="195"/>
      <c r="J659" s="196"/>
      <c r="K659" s="197"/>
      <c r="L659" s="198"/>
      <c r="M659" s="196"/>
      <c r="N659" s="197"/>
      <c r="O659" s="198"/>
      <c r="P659" s="196"/>
      <c r="Q659" s="199"/>
      <c r="R659" s="200"/>
    </row>
    <row r="660" customFormat="false" ht="16.5" hidden="true" customHeight="false" outlineLevel="0" collapsed="false">
      <c r="D660" s="190"/>
      <c r="E660" s="191"/>
      <c r="F660" s="192"/>
      <c r="G660" s="193"/>
      <c r="H660" s="194"/>
      <c r="I660" s="195"/>
      <c r="J660" s="196"/>
      <c r="K660" s="197"/>
      <c r="L660" s="198"/>
      <c r="M660" s="196"/>
      <c r="N660" s="197"/>
      <c r="O660" s="198"/>
      <c r="P660" s="196"/>
      <c r="Q660" s="199"/>
      <c r="R660" s="200"/>
    </row>
    <row r="661" customFormat="false" ht="16.5" hidden="true" customHeight="false" outlineLevel="0" collapsed="false">
      <c r="D661" s="190"/>
      <c r="E661" s="191"/>
      <c r="F661" s="192"/>
      <c r="G661" s="193"/>
      <c r="H661" s="194"/>
      <c r="I661" s="195"/>
      <c r="J661" s="196"/>
      <c r="K661" s="197"/>
      <c r="L661" s="198"/>
      <c r="M661" s="196"/>
      <c r="N661" s="197"/>
      <c r="O661" s="198"/>
      <c r="P661" s="196"/>
      <c r="Q661" s="199"/>
      <c r="R661" s="200"/>
    </row>
    <row r="662" customFormat="false" ht="16.5" hidden="true" customHeight="false" outlineLevel="0" collapsed="false">
      <c r="D662" s="190"/>
      <c r="E662" s="191"/>
      <c r="F662" s="192"/>
      <c r="G662" s="193"/>
      <c r="H662" s="194"/>
      <c r="I662" s="195"/>
      <c r="J662" s="196"/>
      <c r="K662" s="197"/>
      <c r="L662" s="198"/>
      <c r="M662" s="196"/>
      <c r="N662" s="197"/>
      <c r="O662" s="198"/>
      <c r="P662" s="196"/>
      <c r="Q662" s="199"/>
      <c r="R662" s="200"/>
    </row>
    <row r="663" customFormat="false" ht="16.5" hidden="true" customHeight="false" outlineLevel="0" collapsed="false">
      <c r="D663" s="190"/>
      <c r="E663" s="191"/>
      <c r="F663" s="192"/>
      <c r="G663" s="193"/>
      <c r="H663" s="194"/>
      <c r="I663" s="195"/>
      <c r="J663" s="196"/>
      <c r="K663" s="197"/>
      <c r="L663" s="198"/>
      <c r="M663" s="196"/>
      <c r="N663" s="197"/>
      <c r="O663" s="198"/>
      <c r="P663" s="196"/>
      <c r="Q663" s="199"/>
      <c r="R663" s="200"/>
    </row>
    <row r="664" customFormat="false" ht="16.5" hidden="true" customHeight="false" outlineLevel="0" collapsed="false">
      <c r="D664" s="190"/>
      <c r="E664" s="191"/>
      <c r="F664" s="192"/>
      <c r="G664" s="193"/>
      <c r="H664" s="194"/>
      <c r="I664" s="195"/>
      <c r="J664" s="196"/>
      <c r="K664" s="197"/>
      <c r="L664" s="198"/>
      <c r="M664" s="196"/>
      <c r="N664" s="197"/>
      <c r="O664" s="198"/>
      <c r="P664" s="196"/>
      <c r="Q664" s="199"/>
      <c r="R664" s="200"/>
    </row>
    <row r="665" customFormat="false" ht="16.5" hidden="true" customHeight="false" outlineLevel="0" collapsed="false">
      <c r="D665" s="190"/>
      <c r="E665" s="191"/>
      <c r="F665" s="192"/>
      <c r="G665" s="193"/>
      <c r="H665" s="194"/>
      <c r="I665" s="195"/>
      <c r="J665" s="196"/>
      <c r="K665" s="197"/>
      <c r="L665" s="198"/>
      <c r="M665" s="196"/>
      <c r="N665" s="197"/>
      <c r="O665" s="198"/>
      <c r="P665" s="196"/>
      <c r="Q665" s="199"/>
      <c r="R665" s="200"/>
    </row>
    <row r="666" customFormat="false" ht="16.5" hidden="true" customHeight="false" outlineLevel="0" collapsed="false">
      <c r="D666" s="190"/>
      <c r="E666" s="191"/>
      <c r="F666" s="192"/>
      <c r="G666" s="193"/>
      <c r="H666" s="194"/>
      <c r="I666" s="195"/>
      <c r="J666" s="196"/>
      <c r="K666" s="197"/>
      <c r="L666" s="198"/>
      <c r="M666" s="196"/>
      <c r="N666" s="197"/>
      <c r="O666" s="198"/>
      <c r="P666" s="196"/>
      <c r="Q666" s="199"/>
      <c r="R666" s="200"/>
    </row>
    <row r="667" customFormat="false" ht="16.5" hidden="true" customHeight="false" outlineLevel="0" collapsed="false">
      <c r="D667" s="190"/>
      <c r="E667" s="191"/>
      <c r="F667" s="192"/>
      <c r="G667" s="193"/>
      <c r="H667" s="194"/>
      <c r="I667" s="195"/>
      <c r="J667" s="196"/>
      <c r="K667" s="197"/>
      <c r="L667" s="198"/>
      <c r="M667" s="196"/>
      <c r="N667" s="197"/>
      <c r="O667" s="198"/>
      <c r="P667" s="196"/>
      <c r="Q667" s="199"/>
      <c r="R667" s="200"/>
    </row>
    <row r="668" customFormat="false" ht="16.5" hidden="true" customHeight="false" outlineLevel="0" collapsed="false">
      <c r="D668" s="190"/>
      <c r="E668" s="191"/>
      <c r="F668" s="192"/>
      <c r="G668" s="193"/>
      <c r="H668" s="194"/>
      <c r="I668" s="195"/>
      <c r="J668" s="196"/>
      <c r="K668" s="197"/>
      <c r="L668" s="198"/>
      <c r="M668" s="196"/>
      <c r="N668" s="197"/>
      <c r="O668" s="198"/>
      <c r="P668" s="196"/>
      <c r="Q668" s="199"/>
      <c r="R668" s="200"/>
    </row>
    <row r="669" customFormat="false" ht="16.5" hidden="true" customHeight="false" outlineLevel="0" collapsed="false">
      <c r="D669" s="190"/>
      <c r="E669" s="191"/>
      <c r="F669" s="192"/>
      <c r="G669" s="193"/>
      <c r="H669" s="194"/>
      <c r="I669" s="195"/>
      <c r="J669" s="196"/>
      <c r="K669" s="197"/>
      <c r="L669" s="198"/>
      <c r="M669" s="196"/>
      <c r="N669" s="197"/>
      <c r="O669" s="198"/>
      <c r="P669" s="196"/>
      <c r="Q669" s="199"/>
      <c r="R669" s="200"/>
    </row>
    <row r="670" customFormat="false" ht="16.5" hidden="true" customHeight="false" outlineLevel="0" collapsed="false">
      <c r="D670" s="190"/>
      <c r="E670" s="191"/>
      <c r="F670" s="192"/>
      <c r="G670" s="193"/>
      <c r="H670" s="194"/>
      <c r="I670" s="195"/>
      <c r="J670" s="196"/>
      <c r="K670" s="197"/>
      <c r="L670" s="198"/>
      <c r="M670" s="196"/>
      <c r="N670" s="197"/>
      <c r="O670" s="198"/>
      <c r="P670" s="196"/>
      <c r="Q670" s="199"/>
      <c r="R670" s="200"/>
    </row>
    <row r="671" customFormat="false" ht="16.5" hidden="true" customHeight="false" outlineLevel="0" collapsed="false">
      <c r="D671" s="190"/>
      <c r="E671" s="191"/>
      <c r="F671" s="192"/>
      <c r="G671" s="193"/>
      <c r="H671" s="194"/>
      <c r="I671" s="195"/>
      <c r="J671" s="196"/>
      <c r="K671" s="197"/>
      <c r="L671" s="198"/>
      <c r="M671" s="196"/>
      <c r="N671" s="197"/>
      <c r="O671" s="198"/>
      <c r="P671" s="196"/>
      <c r="Q671" s="199"/>
      <c r="R671" s="200"/>
    </row>
    <row r="672" customFormat="false" ht="16.5" hidden="true" customHeight="false" outlineLevel="0" collapsed="false">
      <c r="D672" s="190"/>
      <c r="E672" s="191"/>
      <c r="F672" s="192"/>
      <c r="G672" s="193"/>
      <c r="H672" s="194"/>
      <c r="I672" s="195"/>
      <c r="J672" s="196"/>
      <c r="K672" s="197"/>
      <c r="L672" s="198"/>
      <c r="M672" s="196"/>
      <c r="N672" s="197"/>
      <c r="O672" s="198"/>
      <c r="P672" s="196"/>
      <c r="Q672" s="199"/>
      <c r="R672" s="200"/>
    </row>
    <row r="673" customFormat="false" ht="16.5" hidden="true" customHeight="false" outlineLevel="0" collapsed="false">
      <c r="D673" s="190"/>
      <c r="E673" s="191"/>
      <c r="F673" s="192"/>
      <c r="G673" s="193"/>
      <c r="H673" s="194"/>
      <c r="I673" s="195"/>
      <c r="J673" s="196"/>
      <c r="K673" s="197"/>
      <c r="L673" s="198"/>
      <c r="M673" s="196"/>
      <c r="N673" s="197"/>
      <c r="O673" s="198"/>
      <c r="P673" s="196"/>
      <c r="Q673" s="199"/>
      <c r="R673" s="200"/>
    </row>
    <row r="674" customFormat="false" ht="16.5" hidden="true" customHeight="false" outlineLevel="0" collapsed="false">
      <c r="D674" s="190"/>
      <c r="E674" s="191"/>
      <c r="F674" s="192"/>
      <c r="G674" s="193"/>
      <c r="H674" s="194"/>
      <c r="I674" s="195"/>
      <c r="J674" s="196"/>
      <c r="K674" s="197"/>
      <c r="L674" s="198"/>
      <c r="M674" s="196"/>
      <c r="N674" s="197"/>
      <c r="O674" s="198"/>
      <c r="P674" s="196"/>
      <c r="Q674" s="199"/>
      <c r="R674" s="200"/>
    </row>
    <row r="675" customFormat="false" ht="16.5" hidden="true" customHeight="false" outlineLevel="0" collapsed="false">
      <c r="D675" s="190"/>
      <c r="E675" s="191"/>
      <c r="F675" s="192"/>
      <c r="G675" s="193"/>
      <c r="H675" s="194"/>
      <c r="I675" s="195"/>
      <c r="J675" s="196"/>
      <c r="K675" s="197"/>
      <c r="L675" s="198"/>
      <c r="M675" s="196"/>
      <c r="N675" s="197"/>
      <c r="O675" s="198"/>
      <c r="P675" s="196"/>
      <c r="Q675" s="199"/>
      <c r="R675" s="200"/>
    </row>
    <row r="676" customFormat="false" ht="16.5" hidden="true" customHeight="false" outlineLevel="0" collapsed="false">
      <c r="D676" s="190"/>
      <c r="E676" s="191"/>
      <c r="F676" s="192"/>
      <c r="G676" s="193"/>
      <c r="H676" s="194"/>
      <c r="I676" s="195"/>
      <c r="J676" s="196"/>
      <c r="K676" s="197"/>
      <c r="L676" s="198"/>
      <c r="M676" s="196"/>
      <c r="N676" s="197"/>
      <c r="O676" s="198"/>
      <c r="P676" s="196"/>
      <c r="Q676" s="199"/>
      <c r="R676" s="200"/>
    </row>
    <row r="677" customFormat="false" ht="16.5" hidden="true" customHeight="false" outlineLevel="0" collapsed="false">
      <c r="D677" s="190"/>
      <c r="E677" s="191"/>
      <c r="F677" s="192"/>
      <c r="G677" s="193"/>
      <c r="H677" s="194"/>
      <c r="I677" s="195"/>
      <c r="J677" s="196"/>
      <c r="K677" s="197"/>
      <c r="L677" s="198"/>
      <c r="M677" s="196"/>
      <c r="N677" s="197"/>
      <c r="O677" s="198"/>
      <c r="P677" s="196"/>
      <c r="Q677" s="199"/>
      <c r="R677" s="200"/>
    </row>
    <row r="678" customFormat="false" ht="16.5" hidden="true" customHeight="false" outlineLevel="0" collapsed="false">
      <c r="D678" s="190"/>
      <c r="E678" s="191"/>
      <c r="F678" s="192"/>
      <c r="G678" s="193"/>
      <c r="H678" s="194"/>
      <c r="I678" s="195"/>
      <c r="J678" s="196"/>
      <c r="K678" s="197"/>
      <c r="L678" s="198"/>
      <c r="M678" s="196"/>
      <c r="N678" s="197"/>
      <c r="O678" s="198"/>
      <c r="P678" s="196"/>
      <c r="Q678" s="199"/>
      <c r="R678" s="200"/>
    </row>
    <row r="679" customFormat="false" ht="16.5" hidden="true" customHeight="false" outlineLevel="0" collapsed="false">
      <c r="D679" s="190"/>
      <c r="E679" s="191"/>
      <c r="F679" s="192"/>
      <c r="G679" s="193"/>
      <c r="H679" s="194"/>
      <c r="I679" s="195"/>
      <c r="J679" s="196"/>
      <c r="K679" s="197"/>
      <c r="L679" s="198"/>
      <c r="M679" s="196"/>
      <c r="N679" s="197"/>
      <c r="O679" s="198"/>
      <c r="P679" s="196"/>
      <c r="Q679" s="199"/>
      <c r="R679" s="200"/>
    </row>
    <row r="680" customFormat="false" ht="16.5" hidden="true" customHeight="false" outlineLevel="0" collapsed="false">
      <c r="D680" s="190"/>
      <c r="E680" s="191"/>
      <c r="F680" s="192"/>
      <c r="G680" s="193"/>
      <c r="H680" s="194"/>
      <c r="I680" s="195"/>
      <c r="J680" s="196"/>
      <c r="K680" s="197"/>
      <c r="L680" s="198"/>
      <c r="M680" s="196"/>
      <c r="N680" s="197"/>
      <c r="O680" s="198"/>
      <c r="P680" s="196"/>
      <c r="Q680" s="199"/>
      <c r="R680" s="200"/>
    </row>
    <row r="681" customFormat="false" ht="16.5" hidden="true" customHeight="false" outlineLevel="0" collapsed="false">
      <c r="D681" s="190"/>
      <c r="E681" s="191"/>
      <c r="F681" s="192"/>
      <c r="G681" s="193"/>
      <c r="H681" s="194"/>
      <c r="I681" s="195"/>
      <c r="J681" s="196"/>
      <c r="K681" s="197"/>
      <c r="L681" s="198"/>
      <c r="M681" s="196"/>
      <c r="N681" s="197"/>
      <c r="O681" s="198"/>
      <c r="P681" s="196"/>
      <c r="Q681" s="199"/>
      <c r="R681" s="200"/>
    </row>
    <row r="682" customFormat="false" ht="16.5" hidden="true" customHeight="false" outlineLevel="0" collapsed="false">
      <c r="D682" s="190"/>
      <c r="E682" s="191"/>
      <c r="F682" s="192"/>
      <c r="G682" s="193"/>
      <c r="H682" s="194"/>
      <c r="I682" s="195"/>
      <c r="J682" s="196"/>
      <c r="K682" s="197"/>
      <c r="L682" s="198"/>
      <c r="M682" s="196"/>
      <c r="N682" s="197"/>
      <c r="O682" s="198"/>
      <c r="P682" s="196"/>
      <c r="Q682" s="199"/>
      <c r="R682" s="200"/>
    </row>
    <row r="683" customFormat="false" ht="16.5" hidden="true" customHeight="false" outlineLevel="0" collapsed="false">
      <c r="D683" s="190"/>
      <c r="E683" s="191"/>
      <c r="F683" s="192"/>
      <c r="G683" s="193"/>
      <c r="H683" s="194"/>
      <c r="I683" s="195"/>
      <c r="J683" s="196"/>
      <c r="K683" s="197"/>
      <c r="L683" s="198"/>
      <c r="M683" s="196"/>
      <c r="N683" s="197"/>
      <c r="O683" s="198"/>
      <c r="P683" s="196"/>
      <c r="Q683" s="199"/>
      <c r="R683" s="200"/>
    </row>
    <row r="684" customFormat="false" ht="16.5" hidden="true" customHeight="false" outlineLevel="0" collapsed="false">
      <c r="D684" s="190"/>
      <c r="E684" s="191"/>
      <c r="F684" s="192"/>
      <c r="G684" s="193"/>
      <c r="H684" s="194"/>
      <c r="I684" s="195"/>
      <c r="J684" s="196"/>
      <c r="K684" s="197"/>
      <c r="L684" s="198"/>
      <c r="M684" s="196"/>
      <c r="N684" s="197"/>
      <c r="O684" s="198"/>
      <c r="P684" s="196"/>
      <c r="Q684" s="199"/>
      <c r="R684" s="200"/>
    </row>
    <row r="685" customFormat="false" ht="16.5" hidden="true" customHeight="false" outlineLevel="0" collapsed="false">
      <c r="D685" s="190"/>
      <c r="E685" s="191"/>
      <c r="F685" s="192"/>
      <c r="G685" s="193"/>
      <c r="H685" s="194"/>
      <c r="I685" s="195"/>
      <c r="J685" s="196"/>
      <c r="K685" s="197"/>
      <c r="L685" s="198"/>
      <c r="M685" s="196"/>
      <c r="N685" s="197"/>
      <c r="O685" s="198"/>
      <c r="P685" s="211"/>
      <c r="Q685" s="212"/>
      <c r="R685" s="200"/>
    </row>
    <row r="686" customFormat="false" ht="16.5" hidden="true" customHeight="false" outlineLevel="0" collapsed="false">
      <c r="D686" s="190"/>
      <c r="E686" s="191"/>
      <c r="F686" s="192"/>
      <c r="G686" s="193"/>
      <c r="H686" s="194"/>
      <c r="I686" s="195"/>
      <c r="J686" s="196"/>
      <c r="K686" s="197"/>
      <c r="L686" s="198"/>
      <c r="M686" s="196"/>
      <c r="N686" s="197"/>
      <c r="O686" s="198"/>
      <c r="P686" s="196"/>
      <c r="Q686" s="199"/>
      <c r="R686" s="200"/>
    </row>
    <row r="687" customFormat="false" ht="16.5" hidden="true" customHeight="false" outlineLevel="0" collapsed="false">
      <c r="D687" s="190"/>
      <c r="E687" s="191"/>
      <c r="F687" s="192"/>
      <c r="G687" s="193"/>
      <c r="H687" s="194"/>
      <c r="I687" s="195"/>
      <c r="J687" s="196"/>
      <c r="K687" s="197"/>
      <c r="L687" s="198"/>
      <c r="M687" s="196"/>
      <c r="N687" s="197"/>
      <c r="O687" s="198"/>
      <c r="P687" s="196"/>
      <c r="Q687" s="199"/>
      <c r="R687" s="200"/>
    </row>
    <row r="688" customFormat="false" ht="16.5" hidden="true" customHeight="false" outlineLevel="0" collapsed="false">
      <c r="D688" s="190"/>
      <c r="E688" s="191"/>
      <c r="F688" s="192"/>
      <c r="G688" s="193"/>
      <c r="H688" s="194"/>
      <c r="I688" s="195"/>
      <c r="J688" s="196"/>
      <c r="K688" s="197"/>
      <c r="L688" s="198"/>
      <c r="M688" s="196"/>
      <c r="N688" s="197"/>
      <c r="O688" s="198"/>
      <c r="P688" s="196"/>
      <c r="Q688" s="199"/>
      <c r="R688" s="200"/>
    </row>
    <row r="689" customFormat="false" ht="16.5" hidden="true" customHeight="false" outlineLevel="0" collapsed="false">
      <c r="D689" s="190"/>
      <c r="E689" s="191"/>
      <c r="F689" s="192"/>
      <c r="G689" s="193"/>
      <c r="H689" s="194"/>
      <c r="I689" s="195"/>
      <c r="J689" s="196"/>
      <c r="K689" s="197"/>
      <c r="L689" s="198"/>
      <c r="M689" s="196"/>
      <c r="N689" s="197"/>
      <c r="O689" s="198"/>
      <c r="P689" s="196"/>
      <c r="Q689" s="199"/>
      <c r="R689" s="200"/>
    </row>
    <row r="690" customFormat="false" ht="16.5" hidden="true" customHeight="false" outlineLevel="0" collapsed="false">
      <c r="D690" s="190"/>
      <c r="E690" s="191"/>
      <c r="F690" s="192"/>
      <c r="G690" s="193"/>
      <c r="H690" s="194"/>
      <c r="I690" s="195"/>
      <c r="J690" s="196"/>
      <c r="K690" s="197"/>
      <c r="L690" s="198"/>
      <c r="M690" s="196"/>
      <c r="N690" s="197"/>
      <c r="O690" s="198"/>
      <c r="P690" s="196"/>
      <c r="Q690" s="199"/>
      <c r="R690" s="200"/>
    </row>
    <row r="691" customFormat="false" ht="16.5" hidden="true" customHeight="false" outlineLevel="0" collapsed="false">
      <c r="D691" s="190"/>
      <c r="E691" s="191"/>
      <c r="F691" s="192"/>
      <c r="G691" s="193"/>
      <c r="H691" s="194"/>
      <c r="I691" s="195"/>
      <c r="J691" s="196"/>
      <c r="K691" s="197"/>
      <c r="L691" s="198"/>
      <c r="M691" s="196"/>
      <c r="N691" s="197"/>
      <c r="O691" s="198"/>
      <c r="P691" s="196"/>
      <c r="Q691" s="199"/>
      <c r="R691" s="200"/>
    </row>
    <row r="692" customFormat="false" ht="16.5" hidden="true" customHeight="false" outlineLevel="0" collapsed="false">
      <c r="D692" s="190"/>
      <c r="E692" s="191"/>
      <c r="F692" s="192"/>
      <c r="G692" s="193"/>
      <c r="H692" s="194"/>
      <c r="I692" s="195"/>
      <c r="J692" s="196"/>
      <c r="K692" s="197"/>
      <c r="L692" s="198"/>
      <c r="M692" s="196"/>
      <c r="N692" s="197"/>
      <c r="O692" s="198"/>
      <c r="P692" s="196"/>
      <c r="Q692" s="199"/>
      <c r="R692" s="200"/>
    </row>
    <row r="693" customFormat="false" ht="16.5" hidden="true" customHeight="false" outlineLevel="0" collapsed="false">
      <c r="D693" s="190"/>
      <c r="E693" s="191"/>
      <c r="F693" s="192"/>
      <c r="G693" s="193"/>
      <c r="H693" s="194"/>
      <c r="I693" s="195"/>
      <c r="J693" s="196"/>
      <c r="K693" s="197"/>
      <c r="L693" s="198"/>
      <c r="M693" s="196"/>
      <c r="N693" s="197"/>
      <c r="O693" s="198"/>
      <c r="P693" s="196"/>
      <c r="Q693" s="199"/>
      <c r="R693" s="200"/>
    </row>
    <row r="694" customFormat="false" ht="16.5" hidden="true" customHeight="false" outlineLevel="0" collapsed="false">
      <c r="D694" s="190"/>
      <c r="E694" s="191"/>
      <c r="F694" s="192"/>
      <c r="G694" s="193"/>
      <c r="H694" s="194"/>
      <c r="I694" s="195"/>
      <c r="J694" s="196"/>
      <c r="K694" s="197"/>
      <c r="L694" s="198"/>
      <c r="M694" s="196"/>
      <c r="N694" s="197"/>
      <c r="O694" s="198"/>
      <c r="P694" s="196"/>
      <c r="Q694" s="199"/>
      <c r="R694" s="200"/>
    </row>
    <row r="695" customFormat="false" ht="16.5" hidden="true" customHeight="false" outlineLevel="0" collapsed="false">
      <c r="D695" s="190"/>
      <c r="E695" s="191"/>
      <c r="F695" s="192"/>
      <c r="G695" s="193"/>
      <c r="H695" s="194"/>
      <c r="I695" s="195"/>
      <c r="J695" s="196"/>
      <c r="K695" s="197"/>
      <c r="L695" s="198"/>
      <c r="M695" s="196"/>
      <c r="N695" s="197"/>
      <c r="O695" s="198"/>
      <c r="P695" s="196"/>
      <c r="Q695" s="199"/>
      <c r="R695" s="200"/>
    </row>
    <row r="696" customFormat="false" ht="16.5" hidden="true" customHeight="false" outlineLevel="0" collapsed="false">
      <c r="D696" s="190"/>
      <c r="E696" s="191"/>
      <c r="F696" s="192"/>
      <c r="G696" s="193"/>
      <c r="H696" s="194"/>
      <c r="I696" s="195"/>
      <c r="J696" s="196"/>
      <c r="K696" s="197"/>
      <c r="L696" s="198"/>
      <c r="M696" s="196"/>
      <c r="N696" s="197"/>
      <c r="O696" s="198"/>
      <c r="P696" s="196"/>
      <c r="Q696" s="199"/>
      <c r="R696" s="200"/>
    </row>
    <row r="697" customFormat="false" ht="16.5" hidden="true" customHeight="false" outlineLevel="0" collapsed="false">
      <c r="D697" s="190"/>
      <c r="E697" s="191"/>
      <c r="F697" s="192"/>
      <c r="G697" s="193"/>
      <c r="H697" s="194"/>
      <c r="I697" s="195"/>
      <c r="J697" s="196"/>
      <c r="K697" s="197"/>
      <c r="L697" s="198"/>
      <c r="M697" s="196"/>
      <c r="N697" s="197"/>
      <c r="O697" s="198"/>
      <c r="P697" s="196"/>
      <c r="Q697" s="199"/>
      <c r="R697" s="200"/>
    </row>
    <row r="698" customFormat="false" ht="16.5" hidden="true" customHeight="false" outlineLevel="0" collapsed="false">
      <c r="D698" s="190"/>
      <c r="E698" s="191"/>
      <c r="F698" s="192"/>
      <c r="G698" s="193"/>
      <c r="H698" s="194"/>
      <c r="I698" s="195"/>
      <c r="J698" s="196"/>
      <c r="K698" s="197"/>
      <c r="L698" s="198"/>
      <c r="M698" s="196"/>
      <c r="N698" s="197"/>
      <c r="O698" s="198"/>
      <c r="P698" s="196"/>
      <c r="Q698" s="199"/>
      <c r="R698" s="200"/>
    </row>
    <row r="699" customFormat="false" ht="16.5" hidden="true" customHeight="false" outlineLevel="0" collapsed="false">
      <c r="D699" s="190"/>
      <c r="E699" s="191"/>
      <c r="F699" s="192"/>
      <c r="G699" s="193"/>
      <c r="H699" s="194"/>
      <c r="I699" s="195"/>
      <c r="J699" s="196"/>
      <c r="K699" s="197"/>
      <c r="L699" s="198"/>
      <c r="M699" s="196"/>
      <c r="N699" s="197"/>
      <c r="O699" s="198"/>
      <c r="P699" s="196"/>
      <c r="Q699" s="199"/>
      <c r="R699" s="200"/>
    </row>
    <row r="700" customFormat="false" ht="16.5" hidden="true" customHeight="false" outlineLevel="0" collapsed="false">
      <c r="D700" s="190"/>
      <c r="E700" s="191"/>
      <c r="F700" s="192"/>
      <c r="G700" s="193"/>
      <c r="H700" s="194"/>
      <c r="I700" s="195"/>
      <c r="J700" s="196"/>
      <c r="K700" s="197"/>
      <c r="L700" s="198"/>
      <c r="M700" s="196"/>
      <c r="N700" s="197"/>
      <c r="O700" s="198"/>
      <c r="P700" s="196"/>
      <c r="Q700" s="199"/>
      <c r="R700" s="200"/>
    </row>
    <row r="701" customFormat="false" ht="16.5" hidden="true" customHeight="false" outlineLevel="0" collapsed="false">
      <c r="D701" s="190"/>
      <c r="E701" s="191"/>
      <c r="F701" s="192"/>
      <c r="G701" s="193"/>
      <c r="H701" s="194"/>
      <c r="I701" s="195"/>
      <c r="J701" s="196"/>
      <c r="K701" s="197"/>
      <c r="L701" s="198"/>
      <c r="M701" s="196"/>
      <c r="N701" s="197"/>
      <c r="O701" s="198"/>
      <c r="P701" s="196"/>
      <c r="Q701" s="199"/>
      <c r="R701" s="200"/>
    </row>
    <row r="702" customFormat="false" ht="16.5" hidden="true" customHeight="false" outlineLevel="0" collapsed="false">
      <c r="D702" s="190"/>
      <c r="E702" s="191"/>
      <c r="F702" s="192"/>
      <c r="G702" s="193"/>
      <c r="H702" s="194"/>
      <c r="I702" s="195"/>
      <c r="J702" s="196"/>
      <c r="K702" s="197"/>
      <c r="L702" s="198"/>
      <c r="M702" s="196"/>
      <c r="N702" s="197"/>
      <c r="O702" s="198"/>
      <c r="P702" s="196"/>
      <c r="Q702" s="199"/>
      <c r="R702" s="200"/>
    </row>
    <row r="703" customFormat="false" ht="16.5" hidden="true" customHeight="false" outlineLevel="0" collapsed="false">
      <c r="D703" s="190"/>
      <c r="E703" s="191"/>
      <c r="F703" s="192"/>
      <c r="G703" s="193"/>
      <c r="H703" s="194"/>
      <c r="I703" s="195"/>
      <c r="J703" s="196"/>
      <c r="K703" s="197"/>
      <c r="L703" s="198"/>
      <c r="M703" s="196"/>
      <c r="N703" s="197"/>
      <c r="O703" s="198"/>
      <c r="P703" s="196"/>
      <c r="Q703" s="199"/>
      <c r="R703" s="200"/>
    </row>
    <row r="704" customFormat="false" ht="16.5" hidden="true" customHeight="false" outlineLevel="0" collapsed="false">
      <c r="D704" s="190"/>
      <c r="E704" s="191"/>
      <c r="F704" s="192"/>
      <c r="G704" s="193"/>
      <c r="H704" s="194"/>
      <c r="I704" s="195"/>
      <c r="J704" s="196"/>
      <c r="K704" s="197"/>
      <c r="L704" s="198"/>
      <c r="M704" s="196"/>
      <c r="N704" s="197"/>
      <c r="O704" s="198"/>
      <c r="P704" s="196"/>
      <c r="Q704" s="199"/>
      <c r="R704" s="200"/>
    </row>
    <row r="705" customFormat="false" ht="16.5" hidden="true" customHeight="false" outlineLevel="0" collapsed="false">
      <c r="D705" s="190"/>
      <c r="E705" s="191"/>
      <c r="F705" s="192"/>
      <c r="G705" s="193"/>
      <c r="H705" s="194"/>
      <c r="I705" s="195"/>
      <c r="J705" s="196"/>
      <c r="K705" s="197"/>
      <c r="L705" s="198"/>
      <c r="M705" s="196"/>
      <c r="N705" s="197"/>
      <c r="O705" s="198"/>
      <c r="P705" s="196"/>
      <c r="Q705" s="199"/>
      <c r="R705" s="200"/>
    </row>
    <row r="706" customFormat="false" ht="16.5" hidden="true" customHeight="false" outlineLevel="0" collapsed="false">
      <c r="D706" s="190"/>
      <c r="E706" s="191"/>
      <c r="F706" s="192"/>
      <c r="G706" s="193"/>
      <c r="H706" s="194"/>
      <c r="I706" s="195"/>
      <c r="J706" s="196"/>
      <c r="K706" s="197"/>
      <c r="L706" s="198"/>
      <c r="M706" s="196"/>
      <c r="N706" s="197"/>
      <c r="O706" s="198"/>
      <c r="P706" s="196"/>
      <c r="Q706" s="199"/>
      <c r="R706" s="200"/>
    </row>
    <row r="707" customFormat="false" ht="16.5" hidden="true" customHeight="false" outlineLevel="0" collapsed="false">
      <c r="D707" s="190"/>
      <c r="E707" s="191"/>
      <c r="F707" s="192"/>
      <c r="G707" s="193"/>
      <c r="H707" s="194"/>
      <c r="I707" s="195"/>
      <c r="J707" s="196"/>
      <c r="K707" s="197"/>
      <c r="L707" s="198"/>
      <c r="M707" s="196"/>
      <c r="N707" s="197"/>
      <c r="O707" s="198"/>
      <c r="P707" s="196"/>
      <c r="Q707" s="199"/>
      <c r="R707" s="200"/>
    </row>
    <row r="708" customFormat="false" ht="16.5" hidden="true" customHeight="false" outlineLevel="0" collapsed="false">
      <c r="D708" s="190"/>
      <c r="E708" s="191"/>
      <c r="F708" s="192"/>
      <c r="G708" s="193"/>
      <c r="H708" s="194"/>
      <c r="I708" s="195"/>
      <c r="J708" s="196"/>
      <c r="K708" s="197"/>
      <c r="L708" s="198"/>
      <c r="M708" s="196"/>
      <c r="N708" s="197"/>
      <c r="O708" s="198"/>
      <c r="P708" s="196"/>
      <c r="Q708" s="199"/>
      <c r="R708" s="200"/>
    </row>
    <row r="709" customFormat="false" ht="16.5" hidden="true" customHeight="false" outlineLevel="0" collapsed="false">
      <c r="D709" s="190"/>
      <c r="E709" s="191"/>
      <c r="F709" s="192"/>
      <c r="G709" s="193"/>
      <c r="H709" s="194"/>
      <c r="I709" s="195"/>
      <c r="J709" s="196"/>
      <c r="K709" s="197"/>
      <c r="L709" s="198"/>
      <c r="M709" s="196"/>
      <c r="N709" s="197"/>
      <c r="O709" s="198"/>
      <c r="P709" s="196"/>
      <c r="Q709" s="199"/>
      <c r="R709" s="200"/>
    </row>
    <row r="710" customFormat="false" ht="16.5" hidden="true" customHeight="false" outlineLevel="0" collapsed="false">
      <c r="D710" s="190"/>
      <c r="E710" s="191"/>
      <c r="F710" s="192"/>
      <c r="G710" s="193"/>
      <c r="H710" s="194"/>
      <c r="I710" s="195"/>
      <c r="J710" s="196"/>
      <c r="K710" s="197"/>
      <c r="L710" s="198"/>
      <c r="M710" s="196"/>
      <c r="N710" s="197"/>
      <c r="O710" s="198"/>
      <c r="P710" s="196"/>
      <c r="Q710" s="199"/>
      <c r="R710" s="200"/>
    </row>
    <row r="711" customFormat="false" ht="16.5" hidden="true" customHeight="false" outlineLevel="0" collapsed="false">
      <c r="D711" s="190"/>
      <c r="E711" s="191"/>
      <c r="F711" s="192"/>
      <c r="G711" s="193"/>
      <c r="H711" s="194"/>
      <c r="I711" s="195"/>
      <c r="J711" s="196"/>
      <c r="K711" s="197"/>
      <c r="L711" s="198"/>
      <c r="M711" s="196"/>
      <c r="N711" s="197"/>
      <c r="O711" s="198"/>
      <c r="P711" s="196"/>
      <c r="Q711" s="199"/>
      <c r="R711" s="200"/>
    </row>
    <row r="712" customFormat="false" ht="16.5" hidden="true" customHeight="false" outlineLevel="0" collapsed="false">
      <c r="D712" s="190"/>
      <c r="E712" s="191"/>
      <c r="F712" s="192"/>
      <c r="G712" s="193"/>
      <c r="H712" s="194"/>
      <c r="I712" s="195"/>
      <c r="J712" s="196"/>
      <c r="K712" s="197"/>
      <c r="L712" s="198"/>
      <c r="M712" s="196"/>
      <c r="N712" s="197"/>
      <c r="O712" s="198"/>
      <c r="P712" s="196"/>
      <c r="Q712" s="199"/>
      <c r="R712" s="200"/>
    </row>
    <row r="713" customFormat="false" ht="16.5" hidden="true" customHeight="false" outlineLevel="0" collapsed="false">
      <c r="D713" s="213"/>
      <c r="E713" s="214"/>
      <c r="F713" s="215"/>
      <c r="G713" s="216"/>
      <c r="H713" s="217"/>
      <c r="I713" s="218"/>
      <c r="J713" s="219"/>
      <c r="K713" s="220"/>
      <c r="L713" s="221"/>
      <c r="M713" s="219"/>
      <c r="N713" s="197"/>
      <c r="O713" s="198"/>
      <c r="P713" s="219"/>
      <c r="Q713" s="199"/>
      <c r="R713" s="200"/>
    </row>
    <row r="714" customFormat="false" ht="16.5" hidden="true" customHeight="false" outlineLevel="0" collapsed="false">
      <c r="D714" s="213"/>
      <c r="E714" s="214"/>
      <c r="F714" s="215"/>
      <c r="G714" s="216"/>
      <c r="H714" s="217"/>
      <c r="I714" s="218"/>
      <c r="J714" s="219"/>
      <c r="K714" s="220"/>
      <c r="L714" s="221"/>
      <c r="M714" s="219"/>
      <c r="N714" s="197"/>
      <c r="O714" s="198"/>
      <c r="P714" s="219"/>
      <c r="Q714" s="199"/>
      <c r="R714" s="200"/>
    </row>
    <row r="715" customFormat="false" ht="16.5" hidden="true" customHeight="false" outlineLevel="0" collapsed="false">
      <c r="D715" s="213"/>
      <c r="E715" s="214"/>
      <c r="F715" s="215"/>
      <c r="G715" s="216"/>
      <c r="H715" s="217"/>
      <c r="I715" s="218"/>
      <c r="J715" s="219"/>
      <c r="K715" s="220"/>
      <c r="L715" s="221"/>
      <c r="M715" s="219"/>
      <c r="N715" s="197"/>
      <c r="O715" s="198"/>
      <c r="P715" s="219"/>
      <c r="Q715" s="199"/>
      <c r="R715" s="200"/>
    </row>
    <row r="716" customFormat="false" ht="16.5" hidden="true" customHeight="false" outlineLevel="0" collapsed="false">
      <c r="D716" s="213"/>
      <c r="E716" s="214"/>
      <c r="F716" s="215"/>
      <c r="G716" s="216"/>
      <c r="H716" s="217"/>
      <c r="I716" s="218"/>
      <c r="J716" s="219"/>
      <c r="K716" s="220"/>
      <c r="L716" s="221"/>
      <c r="M716" s="219"/>
      <c r="N716" s="197"/>
      <c r="O716" s="198"/>
      <c r="P716" s="219"/>
      <c r="Q716" s="199"/>
      <c r="R716" s="200"/>
    </row>
    <row r="717" customFormat="false" ht="16.5" hidden="true" customHeight="false" outlineLevel="0" collapsed="false">
      <c r="D717" s="213"/>
      <c r="E717" s="214"/>
      <c r="F717" s="215"/>
      <c r="G717" s="216"/>
      <c r="H717" s="217"/>
      <c r="I717" s="218"/>
      <c r="J717" s="219"/>
      <c r="K717" s="220"/>
      <c r="L717" s="221"/>
      <c r="M717" s="219"/>
      <c r="N717" s="197"/>
      <c r="O717" s="198"/>
      <c r="P717" s="219"/>
      <c r="Q717" s="199"/>
      <c r="R717" s="200"/>
    </row>
    <row r="718" customFormat="false" ht="16.5" hidden="true" customHeight="false" outlineLevel="0" collapsed="false">
      <c r="D718" s="213"/>
      <c r="E718" s="214"/>
      <c r="F718" s="215"/>
      <c r="G718" s="216"/>
      <c r="H718" s="217"/>
      <c r="I718" s="218"/>
      <c r="J718" s="219"/>
      <c r="K718" s="220"/>
      <c r="L718" s="221"/>
      <c r="M718" s="219"/>
      <c r="N718" s="197"/>
      <c r="O718" s="198"/>
      <c r="P718" s="219"/>
      <c r="Q718" s="199"/>
      <c r="R718" s="200"/>
    </row>
    <row r="719" customFormat="false" ht="16.5" hidden="true" customHeight="false" outlineLevel="0" collapsed="false">
      <c r="D719" s="213"/>
      <c r="E719" s="214"/>
      <c r="F719" s="215"/>
      <c r="G719" s="216"/>
      <c r="H719" s="217"/>
      <c r="I719" s="218"/>
      <c r="J719" s="219"/>
      <c r="K719" s="220"/>
      <c r="L719" s="221"/>
      <c r="M719" s="219"/>
      <c r="N719" s="197"/>
      <c r="O719" s="198"/>
      <c r="P719" s="219"/>
      <c r="Q719" s="199"/>
      <c r="R719" s="200"/>
    </row>
    <row r="720" customFormat="false" ht="16.5" hidden="true" customHeight="false" outlineLevel="0" collapsed="false">
      <c r="D720" s="213"/>
      <c r="E720" s="214"/>
      <c r="F720" s="215"/>
      <c r="G720" s="216"/>
      <c r="H720" s="217"/>
      <c r="I720" s="218"/>
      <c r="J720" s="219"/>
      <c r="K720" s="220"/>
      <c r="L720" s="221"/>
      <c r="M720" s="219"/>
      <c r="N720" s="197"/>
      <c r="O720" s="198"/>
      <c r="P720" s="219"/>
      <c r="Q720" s="199"/>
      <c r="R720" s="200"/>
    </row>
    <row r="721" customFormat="false" ht="16.5" hidden="true" customHeight="false" outlineLevel="0" collapsed="false">
      <c r="D721" s="213"/>
      <c r="E721" s="214"/>
      <c r="F721" s="215"/>
      <c r="G721" s="216"/>
      <c r="H721" s="217"/>
      <c r="I721" s="218"/>
      <c r="J721" s="219"/>
      <c r="K721" s="220"/>
      <c r="L721" s="221"/>
      <c r="M721" s="219"/>
      <c r="N721" s="197"/>
      <c r="O721" s="198"/>
      <c r="P721" s="219"/>
      <c r="Q721" s="199"/>
      <c r="R721" s="200"/>
    </row>
    <row r="722" customFormat="false" ht="16.5" hidden="true" customHeight="false" outlineLevel="0" collapsed="false">
      <c r="D722" s="213"/>
      <c r="E722" s="214"/>
      <c r="F722" s="215"/>
      <c r="G722" s="216"/>
      <c r="H722" s="217"/>
      <c r="I722" s="218"/>
      <c r="J722" s="219"/>
      <c r="K722" s="220"/>
      <c r="L722" s="221"/>
      <c r="M722" s="219"/>
      <c r="N722" s="197"/>
      <c r="O722" s="198"/>
      <c r="P722" s="219"/>
      <c r="Q722" s="199"/>
      <c r="R722" s="200"/>
    </row>
    <row r="723" customFormat="false" ht="16.5" hidden="true" customHeight="false" outlineLevel="0" collapsed="false">
      <c r="D723" s="213"/>
      <c r="E723" s="214"/>
      <c r="F723" s="215"/>
      <c r="G723" s="216"/>
      <c r="H723" s="217"/>
      <c r="I723" s="218"/>
      <c r="J723" s="219"/>
      <c r="K723" s="220"/>
      <c r="L723" s="221"/>
      <c r="M723" s="219"/>
      <c r="N723" s="197"/>
      <c r="O723" s="198"/>
      <c r="P723" s="219"/>
      <c r="Q723" s="199"/>
      <c r="R723" s="200"/>
    </row>
    <row r="724" customFormat="false" ht="16.5" hidden="false" customHeight="false" outlineLevel="0" collapsed="false">
      <c r="D724" s="213"/>
      <c r="E724" s="214"/>
      <c r="F724" s="215"/>
      <c r="G724" s="216"/>
      <c r="H724" s="217"/>
      <c r="I724" s="218"/>
      <c r="J724" s="219"/>
      <c r="K724" s="220"/>
      <c r="L724" s="221"/>
      <c r="M724" s="219"/>
      <c r="N724" s="197"/>
      <c r="O724" s="198"/>
      <c r="P724" s="219"/>
      <c r="Q724" s="199"/>
      <c r="R724" s="200"/>
    </row>
    <row r="725" customFormat="false" ht="16.5" hidden="true" customHeight="false" outlineLevel="0" collapsed="false">
      <c r="D725" s="213"/>
      <c r="E725" s="214"/>
      <c r="F725" s="215"/>
      <c r="G725" s="216"/>
      <c r="H725" s="217"/>
      <c r="I725" s="218"/>
      <c r="J725" s="219"/>
      <c r="K725" s="220"/>
      <c r="L725" s="221"/>
      <c r="M725" s="219"/>
      <c r="N725" s="197"/>
      <c r="O725" s="198"/>
      <c r="P725" s="219"/>
      <c r="Q725" s="199"/>
      <c r="R725" s="200"/>
    </row>
    <row r="726" customFormat="false" ht="16.5" hidden="true" customHeight="false" outlineLevel="0" collapsed="false">
      <c r="D726" s="213"/>
      <c r="E726" s="214"/>
      <c r="F726" s="215"/>
      <c r="G726" s="216"/>
      <c r="H726" s="217"/>
      <c r="I726" s="218"/>
      <c r="J726" s="219"/>
      <c r="K726" s="220"/>
      <c r="L726" s="221"/>
      <c r="M726" s="219"/>
      <c r="N726" s="197"/>
      <c r="O726" s="198"/>
      <c r="P726" s="219"/>
      <c r="Q726" s="199"/>
      <c r="R726" s="200"/>
    </row>
    <row r="727" customFormat="false" ht="16.5" hidden="true" customHeight="false" outlineLevel="0" collapsed="false">
      <c r="D727" s="213"/>
      <c r="E727" s="214"/>
      <c r="F727" s="215"/>
      <c r="G727" s="216"/>
      <c r="H727" s="217"/>
      <c r="I727" s="218"/>
      <c r="J727" s="219"/>
      <c r="K727" s="220"/>
      <c r="L727" s="221"/>
      <c r="M727" s="219"/>
      <c r="N727" s="197"/>
      <c r="O727" s="198"/>
      <c r="P727" s="219"/>
      <c r="Q727" s="199"/>
      <c r="R727" s="200"/>
    </row>
    <row r="728" customFormat="false" ht="16.5" hidden="true" customHeight="false" outlineLevel="0" collapsed="false">
      <c r="D728" s="213"/>
      <c r="E728" s="214"/>
      <c r="F728" s="215"/>
      <c r="G728" s="216"/>
      <c r="H728" s="217"/>
      <c r="I728" s="218"/>
      <c r="J728" s="219"/>
      <c r="K728" s="220"/>
      <c r="L728" s="221"/>
      <c r="M728" s="219"/>
      <c r="N728" s="197"/>
      <c r="O728" s="198"/>
      <c r="P728" s="219"/>
      <c r="Q728" s="199"/>
      <c r="R728" s="200"/>
    </row>
    <row r="729" customFormat="false" ht="16.5" hidden="true" customHeight="false" outlineLevel="0" collapsed="false">
      <c r="D729" s="213"/>
      <c r="E729" s="214"/>
      <c r="F729" s="215"/>
      <c r="G729" s="216"/>
      <c r="H729" s="217"/>
      <c r="I729" s="218"/>
      <c r="J729" s="219"/>
      <c r="K729" s="220"/>
      <c r="L729" s="221"/>
      <c r="M729" s="219"/>
      <c r="N729" s="197"/>
      <c r="O729" s="198"/>
      <c r="P729" s="219"/>
      <c r="Q729" s="199"/>
      <c r="R729" s="200"/>
    </row>
    <row r="730" customFormat="false" ht="16.5" hidden="true" customHeight="false" outlineLevel="0" collapsed="false">
      <c r="D730" s="213"/>
      <c r="E730" s="214"/>
      <c r="F730" s="215"/>
      <c r="G730" s="216"/>
      <c r="H730" s="217"/>
      <c r="I730" s="218"/>
      <c r="J730" s="219"/>
      <c r="K730" s="220"/>
      <c r="L730" s="221"/>
      <c r="M730" s="219"/>
      <c r="N730" s="197"/>
      <c r="O730" s="198"/>
      <c r="P730" s="219"/>
      <c r="Q730" s="199"/>
      <c r="R730" s="200"/>
    </row>
    <row r="731" customFormat="false" ht="16.5" hidden="true" customHeight="false" outlineLevel="0" collapsed="false">
      <c r="D731" s="213"/>
      <c r="E731" s="214"/>
      <c r="F731" s="215"/>
      <c r="G731" s="216"/>
      <c r="H731" s="217"/>
      <c r="I731" s="218"/>
      <c r="J731" s="219"/>
      <c r="K731" s="220"/>
      <c r="L731" s="221"/>
      <c r="M731" s="219"/>
      <c r="N731" s="197"/>
      <c r="O731" s="198"/>
      <c r="P731" s="219"/>
      <c r="Q731" s="199"/>
      <c r="R731" s="200"/>
    </row>
    <row r="732" customFormat="false" ht="16.5" hidden="true" customHeight="false" outlineLevel="0" collapsed="false">
      <c r="D732" s="213"/>
      <c r="E732" s="214"/>
      <c r="F732" s="215"/>
      <c r="G732" s="216"/>
      <c r="H732" s="217"/>
      <c r="I732" s="218"/>
      <c r="J732" s="219"/>
      <c r="K732" s="220"/>
      <c r="L732" s="221"/>
      <c r="M732" s="219"/>
      <c r="N732" s="197"/>
      <c r="O732" s="198"/>
      <c r="P732" s="219"/>
      <c r="Q732" s="199"/>
      <c r="R732" s="200"/>
    </row>
    <row r="733" customFormat="false" ht="16.5" hidden="true" customHeight="false" outlineLevel="0" collapsed="false">
      <c r="D733" s="213"/>
      <c r="E733" s="214"/>
      <c r="F733" s="215"/>
      <c r="G733" s="216"/>
      <c r="H733" s="217"/>
      <c r="I733" s="218"/>
      <c r="J733" s="219"/>
      <c r="K733" s="220"/>
      <c r="L733" s="221"/>
      <c r="M733" s="219"/>
      <c r="N733" s="197"/>
      <c r="O733" s="198"/>
      <c r="P733" s="219"/>
      <c r="Q733" s="199"/>
      <c r="R733" s="200"/>
    </row>
    <row r="734" customFormat="false" ht="16.5" hidden="true" customHeight="false" outlineLevel="0" collapsed="false">
      <c r="D734" s="213"/>
      <c r="E734" s="214"/>
      <c r="F734" s="215"/>
      <c r="G734" s="216"/>
      <c r="H734" s="217"/>
      <c r="I734" s="218"/>
      <c r="J734" s="219"/>
      <c r="K734" s="220"/>
      <c r="L734" s="221"/>
      <c r="M734" s="219"/>
      <c r="N734" s="197"/>
      <c r="O734" s="198"/>
      <c r="P734" s="219"/>
      <c r="Q734" s="199"/>
      <c r="R734" s="200"/>
    </row>
    <row r="735" customFormat="false" ht="16.5" hidden="true" customHeight="false" outlineLevel="0" collapsed="false">
      <c r="D735" s="213"/>
      <c r="E735" s="214"/>
      <c r="F735" s="215"/>
      <c r="G735" s="216"/>
      <c r="H735" s="217"/>
      <c r="I735" s="218"/>
      <c r="J735" s="219"/>
      <c r="K735" s="220"/>
      <c r="L735" s="221"/>
      <c r="M735" s="219"/>
      <c r="N735" s="197"/>
      <c r="O735" s="198"/>
      <c r="P735" s="219"/>
      <c r="Q735" s="199"/>
      <c r="R735" s="200"/>
    </row>
    <row r="736" customFormat="false" ht="16.5" hidden="true" customHeight="false" outlineLevel="0" collapsed="false">
      <c r="D736" s="213"/>
      <c r="E736" s="214"/>
      <c r="F736" s="215"/>
      <c r="G736" s="216"/>
      <c r="H736" s="217"/>
      <c r="I736" s="218"/>
      <c r="J736" s="219"/>
      <c r="K736" s="220"/>
      <c r="L736" s="221"/>
      <c r="M736" s="219"/>
      <c r="N736" s="197"/>
      <c r="O736" s="198"/>
      <c r="P736" s="219"/>
      <c r="Q736" s="199"/>
      <c r="R736" s="200"/>
    </row>
    <row r="737" customFormat="false" ht="16.5" hidden="true" customHeight="false" outlineLevel="0" collapsed="false">
      <c r="D737" s="213"/>
      <c r="E737" s="214"/>
      <c r="F737" s="215"/>
      <c r="G737" s="216"/>
      <c r="H737" s="217"/>
      <c r="I737" s="218"/>
      <c r="J737" s="219"/>
      <c r="K737" s="220"/>
      <c r="L737" s="221"/>
      <c r="M737" s="219"/>
      <c r="N737" s="197"/>
      <c r="O737" s="198"/>
      <c r="P737" s="219"/>
      <c r="Q737" s="199"/>
      <c r="R737" s="200"/>
    </row>
    <row r="738" customFormat="false" ht="16.5" hidden="true" customHeight="false" outlineLevel="0" collapsed="false">
      <c r="D738" s="213"/>
      <c r="E738" s="214"/>
      <c r="F738" s="215"/>
      <c r="G738" s="216"/>
      <c r="H738" s="217"/>
      <c r="I738" s="218"/>
      <c r="J738" s="219"/>
      <c r="K738" s="220"/>
      <c r="L738" s="221"/>
      <c r="M738" s="219"/>
      <c r="N738" s="197"/>
      <c r="O738" s="198"/>
      <c r="P738" s="219"/>
      <c r="Q738" s="199"/>
      <c r="R738" s="200"/>
    </row>
    <row r="739" customFormat="false" ht="16.5" hidden="true" customHeight="false" outlineLevel="0" collapsed="false">
      <c r="D739" s="213"/>
      <c r="E739" s="214"/>
      <c r="F739" s="215"/>
      <c r="G739" s="216"/>
      <c r="H739" s="217"/>
      <c r="I739" s="218"/>
      <c r="J739" s="219"/>
      <c r="K739" s="220"/>
      <c r="L739" s="221"/>
      <c r="M739" s="219"/>
      <c r="N739" s="197"/>
      <c r="O739" s="198"/>
      <c r="P739" s="219"/>
      <c r="Q739" s="199"/>
      <c r="R739" s="200"/>
    </row>
    <row r="740" customFormat="false" ht="16.5" hidden="true" customHeight="false" outlineLevel="0" collapsed="false">
      <c r="D740" s="213"/>
      <c r="E740" s="214"/>
      <c r="F740" s="215"/>
      <c r="G740" s="216"/>
      <c r="H740" s="217"/>
      <c r="I740" s="218"/>
      <c r="J740" s="219"/>
      <c r="K740" s="220"/>
      <c r="L740" s="221"/>
      <c r="M740" s="219"/>
      <c r="N740" s="197"/>
      <c r="O740" s="198"/>
      <c r="P740" s="219"/>
      <c r="Q740" s="199"/>
      <c r="R740" s="200"/>
    </row>
    <row r="741" customFormat="false" ht="16.5" hidden="true" customHeight="false" outlineLevel="0" collapsed="false">
      <c r="D741" s="213"/>
      <c r="E741" s="214"/>
      <c r="F741" s="215"/>
      <c r="G741" s="216"/>
      <c r="H741" s="217"/>
      <c r="I741" s="218"/>
      <c r="J741" s="219"/>
      <c r="K741" s="220"/>
      <c r="L741" s="221"/>
      <c r="M741" s="219"/>
      <c r="N741" s="197"/>
      <c r="O741" s="198"/>
      <c r="P741" s="219"/>
      <c r="Q741" s="199"/>
      <c r="R741" s="200"/>
    </row>
    <row r="742" customFormat="false" ht="16.5" hidden="true" customHeight="false" outlineLevel="0" collapsed="false">
      <c r="D742" s="213"/>
      <c r="E742" s="214"/>
      <c r="F742" s="215"/>
      <c r="G742" s="216"/>
      <c r="H742" s="217"/>
      <c r="I742" s="218"/>
      <c r="J742" s="219"/>
      <c r="K742" s="220"/>
      <c r="L742" s="221"/>
      <c r="M742" s="219"/>
      <c r="N742" s="197"/>
      <c r="O742" s="198"/>
      <c r="P742" s="219"/>
      <c r="Q742" s="199"/>
      <c r="R742" s="200"/>
    </row>
    <row r="743" customFormat="false" ht="16.5" hidden="true" customHeight="false" outlineLevel="0" collapsed="false">
      <c r="D743" s="213"/>
      <c r="E743" s="214"/>
      <c r="F743" s="215"/>
      <c r="G743" s="216"/>
      <c r="H743" s="217"/>
      <c r="I743" s="218"/>
      <c r="J743" s="219"/>
      <c r="K743" s="220"/>
      <c r="L743" s="221"/>
      <c r="M743" s="219"/>
      <c r="N743" s="197"/>
      <c r="O743" s="198"/>
      <c r="P743" s="219"/>
      <c r="Q743" s="199"/>
      <c r="R743" s="200"/>
    </row>
    <row r="744" customFormat="false" ht="16.5" hidden="true" customHeight="false" outlineLevel="0" collapsed="false">
      <c r="D744" s="213"/>
      <c r="E744" s="214"/>
      <c r="F744" s="215"/>
      <c r="G744" s="216"/>
      <c r="H744" s="217"/>
      <c r="I744" s="218"/>
      <c r="J744" s="219"/>
      <c r="K744" s="220"/>
      <c r="L744" s="221"/>
      <c r="M744" s="219"/>
      <c r="N744" s="197"/>
      <c r="O744" s="198"/>
      <c r="P744" s="222"/>
      <c r="Q744" s="199"/>
      <c r="R744" s="200"/>
    </row>
    <row r="745" customFormat="false" ht="16.5" hidden="true" customHeight="false" outlineLevel="0" collapsed="false">
      <c r="D745" s="213"/>
      <c r="E745" s="214"/>
      <c r="F745" s="215"/>
      <c r="G745" s="216"/>
      <c r="H745" s="217"/>
      <c r="I745" s="218"/>
      <c r="J745" s="219"/>
      <c r="K745" s="220"/>
      <c r="L745" s="221"/>
      <c r="M745" s="219"/>
      <c r="N745" s="197"/>
      <c r="O745" s="198"/>
      <c r="P745" s="219"/>
      <c r="Q745" s="199"/>
      <c r="R745" s="200"/>
    </row>
    <row r="746" customFormat="false" ht="16.5" hidden="true" customHeight="false" outlineLevel="0" collapsed="false">
      <c r="D746" s="213"/>
      <c r="E746" s="214"/>
      <c r="F746" s="215"/>
      <c r="G746" s="216"/>
      <c r="H746" s="217"/>
      <c r="I746" s="218"/>
      <c r="J746" s="219"/>
      <c r="K746" s="220"/>
      <c r="L746" s="221"/>
      <c r="M746" s="219"/>
      <c r="N746" s="197"/>
      <c r="O746" s="198"/>
      <c r="P746" s="219"/>
      <c r="Q746" s="199"/>
      <c r="R746" s="200"/>
    </row>
    <row r="747" customFormat="false" ht="16.5" hidden="true" customHeight="false" outlineLevel="0" collapsed="false">
      <c r="D747" s="213"/>
      <c r="E747" s="214"/>
      <c r="F747" s="215"/>
      <c r="G747" s="216"/>
      <c r="H747" s="217"/>
      <c r="I747" s="218"/>
      <c r="J747" s="219"/>
      <c r="K747" s="220"/>
      <c r="L747" s="221"/>
      <c r="M747" s="219"/>
      <c r="N747" s="197"/>
      <c r="O747" s="198"/>
      <c r="P747" s="219"/>
      <c r="Q747" s="199"/>
      <c r="R747" s="200"/>
    </row>
    <row r="748" customFormat="false" ht="16.5" hidden="true" customHeight="false" outlineLevel="0" collapsed="false">
      <c r="D748" s="213"/>
      <c r="E748" s="214"/>
      <c r="F748" s="215"/>
      <c r="G748" s="216"/>
      <c r="H748" s="217"/>
      <c r="I748" s="218"/>
      <c r="J748" s="219"/>
      <c r="K748" s="220"/>
      <c r="L748" s="221"/>
      <c r="M748" s="219"/>
      <c r="N748" s="197"/>
      <c r="O748" s="198"/>
      <c r="P748" s="219"/>
      <c r="Q748" s="199"/>
      <c r="R748" s="200"/>
    </row>
    <row r="749" customFormat="false" ht="16.5" hidden="true" customHeight="false" outlineLevel="0" collapsed="false">
      <c r="D749" s="213"/>
      <c r="E749" s="214"/>
      <c r="F749" s="215"/>
      <c r="G749" s="216"/>
      <c r="H749" s="217"/>
      <c r="I749" s="218"/>
      <c r="J749" s="219"/>
      <c r="K749" s="220"/>
      <c r="L749" s="221"/>
      <c r="M749" s="219"/>
      <c r="N749" s="197"/>
      <c r="O749" s="198"/>
      <c r="P749" s="219"/>
      <c r="Q749" s="199"/>
      <c r="R749" s="200"/>
    </row>
    <row r="750" customFormat="false" ht="16.5" hidden="true" customHeight="false" outlineLevel="0" collapsed="false">
      <c r="D750" s="213"/>
      <c r="E750" s="214"/>
      <c r="F750" s="215"/>
      <c r="G750" s="216"/>
      <c r="H750" s="217"/>
      <c r="I750" s="218"/>
      <c r="J750" s="219"/>
      <c r="K750" s="220"/>
      <c r="L750" s="221"/>
      <c r="M750" s="219"/>
      <c r="N750" s="197"/>
      <c r="O750" s="198"/>
      <c r="P750" s="219"/>
      <c r="Q750" s="199"/>
      <c r="R750" s="200"/>
    </row>
    <row r="751" customFormat="false" ht="16.5" hidden="true" customHeight="false" outlineLevel="0" collapsed="false">
      <c r="D751" s="213"/>
      <c r="E751" s="214"/>
      <c r="F751" s="215"/>
      <c r="G751" s="216"/>
      <c r="H751" s="217"/>
      <c r="I751" s="218"/>
      <c r="J751" s="219"/>
      <c r="K751" s="220"/>
      <c r="L751" s="221"/>
      <c r="M751" s="219"/>
      <c r="N751" s="197"/>
      <c r="O751" s="198"/>
      <c r="P751" s="219"/>
      <c r="Q751" s="199"/>
      <c r="R751" s="200"/>
    </row>
    <row r="752" customFormat="false" ht="16.5" hidden="true" customHeight="false" outlineLevel="0" collapsed="false">
      <c r="D752" s="213"/>
      <c r="E752" s="214"/>
      <c r="F752" s="215"/>
      <c r="G752" s="216"/>
      <c r="H752" s="217"/>
      <c r="I752" s="218"/>
      <c r="J752" s="219"/>
      <c r="K752" s="220"/>
      <c r="L752" s="221"/>
      <c r="M752" s="219"/>
      <c r="N752" s="197"/>
      <c r="O752" s="198"/>
      <c r="P752" s="219"/>
      <c r="Q752" s="199"/>
      <c r="R752" s="200"/>
    </row>
    <row r="753" customFormat="false" ht="16.5" hidden="true" customHeight="false" outlineLevel="0" collapsed="false">
      <c r="D753" s="213"/>
      <c r="E753" s="214"/>
      <c r="F753" s="215"/>
      <c r="G753" s="216"/>
      <c r="H753" s="217"/>
      <c r="I753" s="218"/>
      <c r="J753" s="219"/>
      <c r="K753" s="220"/>
      <c r="L753" s="221"/>
      <c r="M753" s="219"/>
      <c r="N753" s="197"/>
      <c r="O753" s="198"/>
      <c r="P753" s="219"/>
      <c r="Q753" s="199"/>
      <c r="R753" s="200"/>
    </row>
    <row r="754" customFormat="false" ht="16.5" hidden="true" customHeight="false" outlineLevel="0" collapsed="false">
      <c r="D754" s="213"/>
      <c r="E754" s="214"/>
      <c r="F754" s="215"/>
      <c r="G754" s="216"/>
      <c r="H754" s="217"/>
      <c r="I754" s="218"/>
      <c r="J754" s="219"/>
      <c r="K754" s="220"/>
      <c r="L754" s="221"/>
      <c r="M754" s="219"/>
      <c r="N754" s="197"/>
      <c r="O754" s="198"/>
      <c r="P754" s="219"/>
      <c r="Q754" s="199"/>
      <c r="R754" s="200"/>
    </row>
    <row r="755" customFormat="false" ht="16.5" hidden="true" customHeight="false" outlineLevel="0" collapsed="false">
      <c r="D755" s="213"/>
      <c r="E755" s="214"/>
      <c r="F755" s="215"/>
      <c r="G755" s="216"/>
      <c r="H755" s="217"/>
      <c r="I755" s="218"/>
      <c r="J755" s="219"/>
      <c r="K755" s="220"/>
      <c r="L755" s="221"/>
      <c r="M755" s="219"/>
      <c r="N755" s="197"/>
      <c r="O755" s="198"/>
      <c r="P755" s="219"/>
      <c r="Q755" s="199"/>
      <c r="R755" s="200"/>
    </row>
    <row r="756" customFormat="false" ht="16.5" hidden="true" customHeight="false" outlineLevel="0" collapsed="false">
      <c r="D756" s="213"/>
      <c r="E756" s="214"/>
      <c r="F756" s="215"/>
      <c r="G756" s="216"/>
      <c r="H756" s="217"/>
      <c r="I756" s="218"/>
      <c r="J756" s="219"/>
      <c r="K756" s="220"/>
      <c r="L756" s="221"/>
      <c r="M756" s="219"/>
      <c r="N756" s="197"/>
      <c r="O756" s="198"/>
      <c r="P756" s="219"/>
      <c r="Q756" s="199"/>
      <c r="R756" s="200"/>
    </row>
    <row r="757" customFormat="false" ht="16.5" hidden="true" customHeight="false" outlineLevel="0" collapsed="false">
      <c r="D757" s="213"/>
      <c r="E757" s="214"/>
      <c r="F757" s="215"/>
      <c r="G757" s="216"/>
      <c r="H757" s="217"/>
      <c r="I757" s="218"/>
      <c r="J757" s="219"/>
      <c r="K757" s="220"/>
      <c r="L757" s="221"/>
      <c r="M757" s="219"/>
      <c r="N757" s="197"/>
      <c r="O757" s="198"/>
      <c r="P757" s="219"/>
      <c r="Q757" s="199"/>
      <c r="R757" s="200"/>
    </row>
    <row r="758" customFormat="false" ht="16.5" hidden="true" customHeight="false" outlineLevel="0" collapsed="false">
      <c r="D758" s="213"/>
      <c r="E758" s="214"/>
      <c r="F758" s="215"/>
      <c r="G758" s="216"/>
      <c r="H758" s="217"/>
      <c r="I758" s="218"/>
      <c r="J758" s="219"/>
      <c r="K758" s="220"/>
      <c r="L758" s="221"/>
      <c r="M758" s="219"/>
      <c r="N758" s="197"/>
      <c r="O758" s="198"/>
      <c r="P758" s="219"/>
      <c r="Q758" s="199"/>
      <c r="R758" s="200"/>
    </row>
    <row r="759" customFormat="false" ht="16.5" hidden="true" customHeight="false" outlineLevel="0" collapsed="false">
      <c r="D759" s="213"/>
      <c r="E759" s="214"/>
      <c r="F759" s="215"/>
      <c r="G759" s="216"/>
      <c r="H759" s="217"/>
      <c r="I759" s="218"/>
      <c r="J759" s="219"/>
      <c r="K759" s="220"/>
      <c r="L759" s="221"/>
      <c r="M759" s="219"/>
      <c r="N759" s="197"/>
      <c r="O759" s="198"/>
      <c r="P759" s="219"/>
      <c r="Q759" s="199"/>
      <c r="R759" s="200"/>
    </row>
    <row r="760" customFormat="false" ht="16.5" hidden="true" customHeight="false" outlineLevel="0" collapsed="false">
      <c r="D760" s="213"/>
      <c r="E760" s="214"/>
      <c r="F760" s="215"/>
      <c r="G760" s="216"/>
      <c r="H760" s="217"/>
      <c r="I760" s="218"/>
      <c r="J760" s="219"/>
      <c r="K760" s="220"/>
      <c r="L760" s="221"/>
      <c r="M760" s="219"/>
      <c r="N760" s="197"/>
      <c r="O760" s="198"/>
      <c r="P760" s="219"/>
      <c r="Q760" s="199"/>
      <c r="R760" s="200"/>
    </row>
    <row r="761" customFormat="false" ht="16.5" hidden="true" customHeight="false" outlineLevel="0" collapsed="false">
      <c r="D761" s="213"/>
      <c r="E761" s="214"/>
      <c r="F761" s="215"/>
      <c r="G761" s="216"/>
      <c r="H761" s="217"/>
      <c r="I761" s="218"/>
      <c r="J761" s="219"/>
      <c r="K761" s="220"/>
      <c r="L761" s="221"/>
      <c r="M761" s="219"/>
      <c r="N761" s="197"/>
      <c r="O761" s="198"/>
      <c r="P761" s="219"/>
      <c r="Q761" s="199"/>
      <c r="R761" s="200"/>
    </row>
    <row r="762" customFormat="false" ht="16.5" hidden="true" customHeight="false" outlineLevel="0" collapsed="false">
      <c r="D762" s="213"/>
      <c r="E762" s="214"/>
      <c r="F762" s="215"/>
      <c r="G762" s="216"/>
      <c r="H762" s="217"/>
      <c r="I762" s="218"/>
      <c r="J762" s="219"/>
      <c r="K762" s="220"/>
      <c r="L762" s="221"/>
      <c r="M762" s="219"/>
      <c r="N762" s="197"/>
      <c r="O762" s="198"/>
      <c r="P762" s="219"/>
      <c r="Q762" s="199"/>
      <c r="R762" s="200"/>
    </row>
    <row r="763" customFormat="false" ht="16.5" hidden="true" customHeight="false" outlineLevel="0" collapsed="false">
      <c r="D763" s="213"/>
      <c r="E763" s="214"/>
      <c r="F763" s="215"/>
      <c r="G763" s="216"/>
      <c r="H763" s="217"/>
      <c r="I763" s="218"/>
      <c r="J763" s="219"/>
      <c r="K763" s="220"/>
      <c r="L763" s="221"/>
      <c r="M763" s="219"/>
      <c r="N763" s="197"/>
      <c r="O763" s="198"/>
      <c r="P763" s="219"/>
      <c r="Q763" s="199"/>
      <c r="R763" s="200"/>
    </row>
    <row r="764" customFormat="false" ht="16.5" hidden="true" customHeight="false" outlineLevel="0" collapsed="false">
      <c r="D764" s="213"/>
      <c r="E764" s="214"/>
      <c r="F764" s="215"/>
      <c r="G764" s="216"/>
      <c r="H764" s="217"/>
      <c r="I764" s="218"/>
      <c r="J764" s="219"/>
      <c r="K764" s="220"/>
      <c r="L764" s="221"/>
      <c r="M764" s="219"/>
      <c r="N764" s="197"/>
      <c r="O764" s="198"/>
      <c r="P764" s="219"/>
      <c r="Q764" s="199"/>
      <c r="R764" s="200"/>
    </row>
    <row r="765" customFormat="false" ht="16.5" hidden="true" customHeight="false" outlineLevel="0" collapsed="false">
      <c r="D765" s="213"/>
      <c r="E765" s="214"/>
      <c r="F765" s="215"/>
      <c r="G765" s="216"/>
      <c r="H765" s="217"/>
      <c r="I765" s="218"/>
      <c r="J765" s="219"/>
      <c r="K765" s="220"/>
      <c r="L765" s="221"/>
      <c r="M765" s="219"/>
      <c r="N765" s="197"/>
      <c r="O765" s="198"/>
      <c r="P765" s="219"/>
      <c r="Q765" s="199"/>
      <c r="R765" s="200"/>
    </row>
    <row r="766" customFormat="false" ht="16.5" hidden="true" customHeight="false" outlineLevel="0" collapsed="false">
      <c r="D766" s="213"/>
      <c r="E766" s="214"/>
      <c r="F766" s="215"/>
      <c r="G766" s="216"/>
      <c r="H766" s="217"/>
      <c r="I766" s="218"/>
      <c r="J766" s="219"/>
      <c r="K766" s="220"/>
      <c r="L766" s="221"/>
      <c r="M766" s="219"/>
      <c r="N766" s="197"/>
      <c r="O766" s="198"/>
      <c r="P766" s="219"/>
      <c r="Q766" s="199"/>
      <c r="R766" s="200"/>
    </row>
    <row r="767" customFormat="false" ht="16.5" hidden="true" customHeight="false" outlineLevel="0" collapsed="false">
      <c r="D767" s="213"/>
      <c r="E767" s="214"/>
      <c r="F767" s="215"/>
      <c r="G767" s="216"/>
      <c r="H767" s="217"/>
      <c r="I767" s="218"/>
      <c r="J767" s="219"/>
      <c r="K767" s="220"/>
      <c r="L767" s="221"/>
      <c r="M767" s="219"/>
      <c r="N767" s="197"/>
      <c r="O767" s="198"/>
      <c r="P767" s="219"/>
      <c r="Q767" s="199"/>
      <c r="R767" s="200"/>
    </row>
    <row r="768" customFormat="false" ht="16.5" hidden="true" customHeight="false" outlineLevel="0" collapsed="false">
      <c r="D768" s="213"/>
      <c r="E768" s="214"/>
      <c r="F768" s="215"/>
      <c r="G768" s="216"/>
      <c r="H768" s="217"/>
      <c r="I768" s="218"/>
      <c r="J768" s="219"/>
      <c r="K768" s="220"/>
      <c r="L768" s="221"/>
      <c r="M768" s="219"/>
      <c r="N768" s="197"/>
      <c r="O768" s="198"/>
      <c r="P768" s="219"/>
      <c r="Q768" s="199"/>
      <c r="R768" s="200"/>
    </row>
    <row r="769" customFormat="false" ht="16.5" hidden="true" customHeight="false" outlineLevel="0" collapsed="false">
      <c r="D769" s="213"/>
      <c r="E769" s="214"/>
      <c r="F769" s="215"/>
      <c r="G769" s="216"/>
      <c r="H769" s="217"/>
      <c r="I769" s="218"/>
      <c r="J769" s="219"/>
      <c r="K769" s="220"/>
      <c r="L769" s="221"/>
      <c r="M769" s="219"/>
      <c r="N769" s="197"/>
      <c r="O769" s="198"/>
      <c r="P769" s="219"/>
      <c r="Q769" s="199"/>
      <c r="R769" s="200"/>
    </row>
    <row r="770" customFormat="false" ht="16.5" hidden="true" customHeight="false" outlineLevel="0" collapsed="false">
      <c r="D770" s="213"/>
      <c r="E770" s="214"/>
      <c r="F770" s="215"/>
      <c r="G770" s="216"/>
      <c r="H770" s="217"/>
      <c r="I770" s="218"/>
      <c r="J770" s="219"/>
      <c r="K770" s="220"/>
      <c r="L770" s="221"/>
      <c r="M770" s="219"/>
      <c r="N770" s="197"/>
      <c r="O770" s="198"/>
      <c r="P770" s="219"/>
      <c r="Q770" s="199"/>
      <c r="R770" s="200"/>
    </row>
    <row r="771" customFormat="false" ht="16.5" hidden="true" customHeight="false" outlineLevel="0" collapsed="false">
      <c r="D771" s="213"/>
      <c r="E771" s="214"/>
      <c r="F771" s="215"/>
      <c r="G771" s="216"/>
      <c r="H771" s="217"/>
      <c r="I771" s="218"/>
      <c r="J771" s="219"/>
      <c r="K771" s="220"/>
      <c r="L771" s="221"/>
      <c r="M771" s="219"/>
      <c r="N771" s="197"/>
      <c r="O771" s="198"/>
      <c r="P771" s="219"/>
      <c r="Q771" s="199"/>
      <c r="R771" s="200"/>
    </row>
    <row r="772" customFormat="false" ht="16.5" hidden="true" customHeight="false" outlineLevel="0" collapsed="false">
      <c r="D772" s="213"/>
      <c r="E772" s="214"/>
      <c r="F772" s="215"/>
      <c r="G772" s="216"/>
      <c r="H772" s="217"/>
      <c r="I772" s="218"/>
      <c r="J772" s="219"/>
      <c r="K772" s="220"/>
      <c r="L772" s="221"/>
      <c r="M772" s="219"/>
      <c r="N772" s="197"/>
      <c r="O772" s="198"/>
      <c r="P772" s="219"/>
      <c r="Q772" s="199"/>
      <c r="R772" s="200"/>
    </row>
    <row r="773" customFormat="false" ht="16.5" hidden="true" customHeight="false" outlineLevel="0" collapsed="false">
      <c r="D773" s="213"/>
      <c r="E773" s="214"/>
      <c r="F773" s="215"/>
      <c r="G773" s="216"/>
      <c r="H773" s="217"/>
      <c r="I773" s="218"/>
      <c r="J773" s="219"/>
      <c r="K773" s="220"/>
      <c r="L773" s="221"/>
      <c r="M773" s="219"/>
      <c r="N773" s="197"/>
      <c r="O773" s="198"/>
      <c r="P773" s="219"/>
      <c r="Q773" s="199"/>
      <c r="R773" s="200"/>
    </row>
    <row r="774" customFormat="false" ht="16.5" hidden="true" customHeight="false" outlineLevel="0" collapsed="false">
      <c r="D774" s="213"/>
      <c r="E774" s="214"/>
      <c r="F774" s="215"/>
      <c r="G774" s="216"/>
      <c r="H774" s="217"/>
      <c r="I774" s="218"/>
      <c r="J774" s="219"/>
      <c r="K774" s="220"/>
      <c r="L774" s="221"/>
      <c r="M774" s="219"/>
      <c r="N774" s="197"/>
      <c r="O774" s="198"/>
      <c r="P774" s="219"/>
      <c r="Q774" s="199"/>
      <c r="R774" s="200"/>
    </row>
    <row r="775" customFormat="false" ht="16.5" hidden="true" customHeight="false" outlineLevel="0" collapsed="false">
      <c r="D775" s="213"/>
      <c r="E775" s="214"/>
      <c r="F775" s="215"/>
      <c r="G775" s="216"/>
      <c r="H775" s="217"/>
      <c r="I775" s="218"/>
      <c r="J775" s="219"/>
      <c r="K775" s="220"/>
      <c r="L775" s="221"/>
      <c r="M775" s="219"/>
      <c r="N775" s="197"/>
      <c r="O775" s="198"/>
      <c r="P775" s="219"/>
      <c r="Q775" s="199"/>
      <c r="R775" s="200"/>
    </row>
    <row r="776" customFormat="false" ht="16.5" hidden="true" customHeight="false" outlineLevel="0" collapsed="false">
      <c r="D776" s="213"/>
      <c r="E776" s="214"/>
      <c r="F776" s="215"/>
      <c r="G776" s="216"/>
      <c r="H776" s="217"/>
      <c r="I776" s="218"/>
      <c r="J776" s="219"/>
      <c r="K776" s="220"/>
      <c r="L776" s="221"/>
      <c r="M776" s="219"/>
      <c r="N776" s="197"/>
      <c r="O776" s="198"/>
      <c r="P776" s="219"/>
      <c r="Q776" s="199"/>
      <c r="R776" s="200"/>
    </row>
    <row r="777" customFormat="false" ht="16.5" hidden="true" customHeight="false" outlineLevel="0" collapsed="false">
      <c r="D777" s="213"/>
      <c r="E777" s="214"/>
      <c r="F777" s="215"/>
      <c r="G777" s="216"/>
      <c r="H777" s="217"/>
      <c r="I777" s="218"/>
      <c r="J777" s="219"/>
      <c r="K777" s="220"/>
      <c r="L777" s="221"/>
      <c r="M777" s="219"/>
      <c r="N777" s="197"/>
      <c r="O777" s="198"/>
      <c r="P777" s="219"/>
      <c r="Q777" s="199"/>
      <c r="R777" s="200"/>
    </row>
    <row r="778" customFormat="false" ht="16.5" hidden="true" customHeight="false" outlineLevel="0" collapsed="false">
      <c r="D778" s="213"/>
      <c r="E778" s="214"/>
      <c r="F778" s="215"/>
      <c r="G778" s="216"/>
      <c r="H778" s="217"/>
      <c r="I778" s="218"/>
      <c r="J778" s="219"/>
      <c r="K778" s="220"/>
      <c r="L778" s="221"/>
      <c r="M778" s="219"/>
      <c r="N778" s="197"/>
      <c r="O778" s="198"/>
      <c r="P778" s="223"/>
      <c r="Q778" s="199"/>
      <c r="R778" s="200"/>
    </row>
    <row r="779" customFormat="false" ht="16.5" hidden="true" customHeight="false" outlineLevel="0" collapsed="false">
      <c r="D779" s="213"/>
      <c r="E779" s="214"/>
      <c r="F779" s="215"/>
      <c r="G779" s="216"/>
      <c r="H779" s="217"/>
      <c r="I779" s="218"/>
      <c r="J779" s="219"/>
      <c r="K779" s="220"/>
      <c r="L779" s="221"/>
      <c r="M779" s="219"/>
      <c r="N779" s="197"/>
      <c r="O779" s="198"/>
      <c r="P779" s="223"/>
      <c r="Q779" s="199"/>
      <c r="R779" s="200"/>
    </row>
    <row r="780" customFormat="false" ht="16.5" hidden="true" customHeight="false" outlineLevel="0" collapsed="false">
      <c r="D780" s="213"/>
      <c r="E780" s="214"/>
      <c r="F780" s="215"/>
      <c r="G780" s="216"/>
      <c r="H780" s="217"/>
      <c r="I780" s="218"/>
      <c r="J780" s="219"/>
      <c r="K780" s="220"/>
      <c r="L780" s="221"/>
      <c r="M780" s="219"/>
      <c r="N780" s="197"/>
      <c r="O780" s="198"/>
      <c r="P780" s="223"/>
      <c r="Q780" s="199"/>
      <c r="R780" s="200"/>
    </row>
    <row r="781" customFormat="false" ht="16.5" hidden="true" customHeight="false" outlineLevel="0" collapsed="false">
      <c r="D781" s="213"/>
      <c r="E781" s="214"/>
      <c r="F781" s="215"/>
      <c r="G781" s="216"/>
      <c r="H781" s="217"/>
      <c r="I781" s="218"/>
      <c r="J781" s="219"/>
      <c r="K781" s="220"/>
      <c r="L781" s="221"/>
      <c r="M781" s="219"/>
      <c r="N781" s="197"/>
      <c r="O781" s="198"/>
      <c r="P781" s="223"/>
      <c r="Q781" s="199"/>
      <c r="R781" s="200"/>
    </row>
    <row r="782" customFormat="false" ht="16.5" hidden="true" customHeight="false" outlineLevel="0" collapsed="false">
      <c r="D782" s="213"/>
      <c r="E782" s="214"/>
      <c r="F782" s="215"/>
      <c r="G782" s="216"/>
      <c r="H782" s="217"/>
      <c r="I782" s="218"/>
      <c r="J782" s="219"/>
      <c r="K782" s="220"/>
      <c r="L782" s="221"/>
      <c r="M782" s="219"/>
      <c r="N782" s="197"/>
      <c r="O782" s="198"/>
      <c r="P782" s="223"/>
      <c r="Q782" s="199"/>
      <c r="R782" s="200"/>
    </row>
    <row r="783" customFormat="false" ht="16.5" hidden="true" customHeight="false" outlineLevel="0" collapsed="false">
      <c r="D783" s="213"/>
      <c r="E783" s="214"/>
      <c r="F783" s="215"/>
      <c r="G783" s="216"/>
      <c r="H783" s="217"/>
      <c r="I783" s="218"/>
      <c r="J783" s="219"/>
      <c r="K783" s="220"/>
      <c r="L783" s="221"/>
      <c r="M783" s="219"/>
      <c r="N783" s="197"/>
      <c r="O783" s="198"/>
      <c r="P783" s="223"/>
      <c r="Q783" s="199"/>
      <c r="R783" s="200"/>
    </row>
    <row r="784" customFormat="false" ht="16.5" hidden="true" customHeight="false" outlineLevel="0" collapsed="false">
      <c r="D784" s="213"/>
      <c r="E784" s="214"/>
      <c r="F784" s="215"/>
      <c r="G784" s="216"/>
      <c r="H784" s="217"/>
      <c r="I784" s="218"/>
      <c r="J784" s="219"/>
      <c r="K784" s="220"/>
      <c r="L784" s="221"/>
      <c r="M784" s="219"/>
      <c r="N784" s="197"/>
      <c r="O784" s="198"/>
      <c r="P784" s="223"/>
      <c r="Q784" s="199"/>
      <c r="R784" s="200"/>
    </row>
    <row r="785" customFormat="false" ht="16.5" hidden="true" customHeight="false" outlineLevel="0" collapsed="false">
      <c r="D785" s="213"/>
      <c r="E785" s="214"/>
      <c r="F785" s="215"/>
      <c r="G785" s="216"/>
      <c r="H785" s="217"/>
      <c r="I785" s="218"/>
      <c r="J785" s="219"/>
      <c r="K785" s="220"/>
      <c r="L785" s="221"/>
      <c r="M785" s="219"/>
      <c r="N785" s="197"/>
      <c r="O785" s="198"/>
      <c r="P785" s="223"/>
      <c r="Q785" s="199"/>
      <c r="R785" s="200"/>
    </row>
    <row r="786" customFormat="false" ht="16.5" hidden="true" customHeight="false" outlineLevel="0" collapsed="false">
      <c r="D786" s="213"/>
      <c r="E786" s="214"/>
      <c r="F786" s="215"/>
      <c r="G786" s="216"/>
      <c r="H786" s="217"/>
      <c r="I786" s="218"/>
      <c r="J786" s="219"/>
      <c r="K786" s="220"/>
      <c r="L786" s="221"/>
      <c r="M786" s="219"/>
      <c r="N786" s="197"/>
      <c r="O786" s="198"/>
      <c r="P786" s="219"/>
      <c r="Q786" s="199"/>
      <c r="R786" s="200"/>
    </row>
    <row r="787" customFormat="false" ht="16.5" hidden="true" customHeight="false" outlineLevel="0" collapsed="false">
      <c r="D787" s="213"/>
      <c r="E787" s="214"/>
      <c r="F787" s="215"/>
      <c r="G787" s="216"/>
      <c r="H787" s="217"/>
      <c r="I787" s="218"/>
      <c r="J787" s="219"/>
      <c r="K787" s="220"/>
      <c r="L787" s="221"/>
      <c r="M787" s="219"/>
      <c r="N787" s="197"/>
      <c r="O787" s="198"/>
      <c r="P787" s="219"/>
      <c r="Q787" s="199"/>
      <c r="R787" s="200"/>
    </row>
    <row r="788" customFormat="false" ht="16.5" hidden="true" customHeight="false" outlineLevel="0" collapsed="false">
      <c r="D788" s="213"/>
      <c r="E788" s="214"/>
      <c r="F788" s="215"/>
      <c r="G788" s="216"/>
      <c r="H788" s="217"/>
      <c r="I788" s="218"/>
      <c r="J788" s="219"/>
      <c r="K788" s="220"/>
      <c r="L788" s="221"/>
      <c r="M788" s="219"/>
      <c r="N788" s="197"/>
      <c r="O788" s="198"/>
      <c r="P788" s="219"/>
      <c r="Q788" s="199"/>
      <c r="R788" s="200"/>
    </row>
    <row r="789" customFormat="false" ht="16.5" hidden="true" customHeight="false" outlineLevel="0" collapsed="false">
      <c r="D789" s="213"/>
      <c r="E789" s="214"/>
      <c r="F789" s="215"/>
      <c r="G789" s="216"/>
      <c r="H789" s="217"/>
      <c r="I789" s="218"/>
      <c r="J789" s="219"/>
      <c r="K789" s="220"/>
      <c r="L789" s="221"/>
      <c r="M789" s="219"/>
      <c r="N789" s="197"/>
      <c r="O789" s="198"/>
      <c r="P789" s="219"/>
      <c r="Q789" s="199"/>
      <c r="R789" s="200"/>
    </row>
    <row r="790" customFormat="false" ht="16.5" hidden="true" customHeight="false" outlineLevel="0" collapsed="false">
      <c r="D790" s="213"/>
      <c r="E790" s="214"/>
      <c r="F790" s="215"/>
      <c r="G790" s="216"/>
      <c r="H790" s="217"/>
      <c r="I790" s="218"/>
      <c r="J790" s="219"/>
      <c r="K790" s="220"/>
      <c r="L790" s="221"/>
      <c r="M790" s="219"/>
      <c r="N790" s="197"/>
      <c r="O790" s="198"/>
      <c r="P790" s="219"/>
      <c r="Q790" s="199"/>
      <c r="R790" s="200"/>
    </row>
    <row r="791" customFormat="false" ht="16.5" hidden="true" customHeight="false" outlineLevel="0" collapsed="false">
      <c r="D791" s="213"/>
      <c r="E791" s="214"/>
      <c r="F791" s="215"/>
      <c r="G791" s="216"/>
      <c r="H791" s="217"/>
      <c r="I791" s="218"/>
      <c r="J791" s="219"/>
      <c r="K791" s="220"/>
      <c r="L791" s="221"/>
      <c r="M791" s="219"/>
      <c r="N791" s="197"/>
      <c r="O791" s="198"/>
      <c r="P791" s="219"/>
      <c r="Q791" s="199"/>
      <c r="R791" s="200"/>
    </row>
    <row r="792" customFormat="false" ht="16.5" hidden="true" customHeight="false" outlineLevel="0" collapsed="false">
      <c r="D792" s="213"/>
      <c r="E792" s="214"/>
      <c r="F792" s="215"/>
      <c r="G792" s="216"/>
      <c r="H792" s="217"/>
      <c r="I792" s="218"/>
      <c r="J792" s="219"/>
      <c r="K792" s="220"/>
      <c r="L792" s="221"/>
      <c r="M792" s="219"/>
      <c r="N792" s="197"/>
      <c r="O792" s="198"/>
      <c r="P792" s="219"/>
      <c r="Q792" s="199"/>
      <c r="R792" s="200"/>
    </row>
    <row r="793" customFormat="false" ht="16.5" hidden="false" customHeight="false" outlineLevel="0" collapsed="false">
      <c r="D793" s="213"/>
      <c r="E793" s="214"/>
      <c r="F793" s="215"/>
      <c r="G793" s="216"/>
      <c r="H793" s="217"/>
      <c r="I793" s="218"/>
      <c r="J793" s="219"/>
      <c r="K793" s="220"/>
      <c r="L793" s="221"/>
      <c r="M793" s="219"/>
      <c r="N793" s="197"/>
      <c r="O793" s="198"/>
      <c r="P793" s="219"/>
      <c r="Q793" s="199"/>
      <c r="R793" s="200"/>
    </row>
    <row r="794" customFormat="false" ht="16.5" hidden="true" customHeight="false" outlineLevel="0" collapsed="false">
      <c r="D794" s="213"/>
      <c r="E794" s="214"/>
      <c r="F794" s="215"/>
      <c r="G794" s="216"/>
      <c r="H794" s="217"/>
      <c r="I794" s="218"/>
      <c r="J794" s="219"/>
      <c r="K794" s="220"/>
      <c r="L794" s="221"/>
      <c r="M794" s="219"/>
      <c r="N794" s="197"/>
      <c r="O794" s="198"/>
      <c r="P794" s="219"/>
      <c r="Q794" s="199"/>
      <c r="R794" s="200"/>
    </row>
    <row r="795" customFormat="false" ht="16.5" hidden="true" customHeight="false" outlineLevel="0" collapsed="false">
      <c r="D795" s="213"/>
      <c r="E795" s="214"/>
      <c r="F795" s="215"/>
      <c r="G795" s="216"/>
      <c r="H795" s="217"/>
      <c r="I795" s="218"/>
      <c r="J795" s="219"/>
      <c r="K795" s="220"/>
      <c r="L795" s="221"/>
      <c r="M795" s="219"/>
      <c r="N795" s="197"/>
      <c r="O795" s="198"/>
      <c r="P795" s="219"/>
      <c r="Q795" s="199"/>
      <c r="R795" s="200"/>
    </row>
    <row r="796" customFormat="false" ht="16.5" hidden="true" customHeight="false" outlineLevel="0" collapsed="false">
      <c r="D796" s="213"/>
      <c r="E796" s="214"/>
      <c r="F796" s="215"/>
      <c r="G796" s="216"/>
      <c r="H796" s="217"/>
      <c r="I796" s="218"/>
      <c r="J796" s="219"/>
      <c r="K796" s="220"/>
      <c r="L796" s="221"/>
      <c r="M796" s="219"/>
      <c r="N796" s="197"/>
      <c r="O796" s="198"/>
      <c r="P796" s="219"/>
      <c r="Q796" s="199"/>
      <c r="R796" s="200"/>
    </row>
    <row r="797" customFormat="false" ht="16.5" hidden="false" customHeight="false" outlineLevel="0" collapsed="false">
      <c r="D797" s="224"/>
      <c r="E797" s="191"/>
      <c r="F797" s="192"/>
      <c r="G797" s="193"/>
      <c r="H797" s="194"/>
      <c r="I797" s="195"/>
      <c r="J797" s="196"/>
      <c r="K797" s="197"/>
      <c r="L797" s="198"/>
      <c r="M797" s="196"/>
      <c r="N797" s="197"/>
      <c r="O797" s="198"/>
      <c r="P797" s="219"/>
      <c r="Q797" s="199"/>
    </row>
    <row r="798" customFormat="false" ht="16.5" hidden="true" customHeight="false" outlineLevel="0" collapsed="false">
      <c r="D798" s="224"/>
      <c r="E798" s="191"/>
      <c r="F798" s="192"/>
      <c r="G798" s="193"/>
      <c r="H798" s="194"/>
      <c r="I798" s="195"/>
      <c r="J798" s="196"/>
      <c r="K798" s="197"/>
      <c r="L798" s="198"/>
      <c r="M798" s="196"/>
      <c r="N798" s="197"/>
      <c r="O798" s="198"/>
      <c r="P798" s="219"/>
      <c r="Q798" s="199"/>
    </row>
    <row r="799" customFormat="false" ht="16.5" hidden="true" customHeight="false" outlineLevel="0" collapsed="false">
      <c r="D799" s="224"/>
      <c r="E799" s="191"/>
      <c r="F799" s="192"/>
      <c r="G799" s="193"/>
      <c r="H799" s="194"/>
      <c r="I799" s="195"/>
      <c r="J799" s="196"/>
      <c r="K799" s="197"/>
      <c r="L799" s="198"/>
      <c r="M799" s="196"/>
      <c r="N799" s="197"/>
      <c r="O799" s="198"/>
      <c r="P799" s="219"/>
      <c r="Q799" s="199"/>
    </row>
    <row r="800" customFormat="false" ht="16.5" hidden="true" customHeight="false" outlineLevel="0" collapsed="false">
      <c r="D800" s="225"/>
      <c r="E800" s="226"/>
      <c r="F800" s="192"/>
      <c r="G800" s="193"/>
      <c r="H800" s="191"/>
      <c r="I800" s="195"/>
      <c r="J800" s="196"/>
      <c r="K800" s="197"/>
      <c r="L800" s="198"/>
      <c r="M800" s="196"/>
      <c r="N800" s="197"/>
      <c r="O800" s="198"/>
      <c r="P800" s="219"/>
      <c r="Q800" s="199"/>
    </row>
    <row r="801" customFormat="false" ht="16.5" hidden="true" customHeight="false" outlineLevel="0" collapsed="false">
      <c r="D801" s="225"/>
      <c r="E801" s="226"/>
      <c r="F801" s="192"/>
      <c r="G801" s="193"/>
      <c r="H801" s="194"/>
      <c r="I801" s="195"/>
      <c r="J801" s="196"/>
      <c r="K801" s="197"/>
      <c r="L801" s="198"/>
      <c r="M801" s="196"/>
      <c r="N801" s="197"/>
      <c r="O801" s="198"/>
      <c r="P801" s="219"/>
      <c r="Q801" s="199"/>
    </row>
    <row r="802" customFormat="false" ht="16.5" hidden="true" customHeight="false" outlineLevel="0" collapsed="false">
      <c r="D802" s="225"/>
      <c r="E802" s="226"/>
      <c r="F802" s="192"/>
      <c r="G802" s="193"/>
      <c r="H802" s="194"/>
      <c r="I802" s="195"/>
      <c r="J802" s="196"/>
      <c r="K802" s="197"/>
      <c r="L802" s="198"/>
      <c r="M802" s="196"/>
      <c r="N802" s="197"/>
      <c r="O802" s="198"/>
      <c r="P802" s="219"/>
      <c r="Q802" s="199"/>
    </row>
    <row r="803" customFormat="false" ht="16.5" hidden="true" customHeight="false" outlineLevel="0" collapsed="false">
      <c r="D803" s="225"/>
      <c r="E803" s="226"/>
      <c r="F803" s="192"/>
      <c r="G803" s="193"/>
      <c r="H803" s="194"/>
      <c r="I803" s="195"/>
      <c r="J803" s="196"/>
      <c r="K803" s="197"/>
      <c r="L803" s="198"/>
      <c r="M803" s="196"/>
      <c r="N803" s="197"/>
      <c r="O803" s="198"/>
      <c r="P803" s="219"/>
      <c r="Q803" s="199"/>
    </row>
    <row r="804" customFormat="false" ht="16.5" hidden="true" customHeight="false" outlineLevel="0" collapsed="false">
      <c r="D804" s="225"/>
      <c r="E804" s="226"/>
      <c r="F804" s="192"/>
      <c r="G804" s="193"/>
      <c r="H804" s="194"/>
      <c r="I804" s="195"/>
      <c r="J804" s="196"/>
      <c r="K804" s="197"/>
      <c r="L804" s="198"/>
      <c r="M804" s="196"/>
      <c r="N804" s="197"/>
      <c r="O804" s="198"/>
      <c r="P804" s="219"/>
      <c r="Q804" s="199"/>
    </row>
    <row r="805" customFormat="false" ht="16.5" hidden="true" customHeight="false" outlineLevel="0" collapsed="false">
      <c r="D805" s="225"/>
      <c r="E805" s="226"/>
      <c r="F805" s="192"/>
      <c r="G805" s="193"/>
      <c r="H805" s="194"/>
      <c r="I805" s="195"/>
      <c r="J805" s="196"/>
      <c r="K805" s="197"/>
      <c r="L805" s="198"/>
      <c r="M805" s="196"/>
      <c r="N805" s="197"/>
      <c r="O805" s="198"/>
      <c r="P805" s="219"/>
      <c r="Q805" s="199"/>
    </row>
    <row r="806" customFormat="false" ht="16.5" hidden="true" customHeight="false" outlineLevel="0" collapsed="false">
      <c r="D806" s="225"/>
      <c r="E806" s="226"/>
      <c r="F806" s="192"/>
      <c r="G806" s="193"/>
      <c r="H806" s="194"/>
      <c r="I806" s="195"/>
      <c r="J806" s="196"/>
      <c r="K806" s="197"/>
      <c r="L806" s="198"/>
      <c r="M806" s="196"/>
      <c r="N806" s="197"/>
      <c r="O806" s="198"/>
      <c r="P806" s="219"/>
      <c r="Q806" s="199"/>
    </row>
    <row r="807" customFormat="false" ht="16.5" hidden="true" customHeight="false" outlineLevel="0" collapsed="false">
      <c r="D807" s="225"/>
      <c r="E807" s="226"/>
      <c r="F807" s="227"/>
      <c r="G807" s="228"/>
      <c r="H807" s="229"/>
      <c r="I807" s="230"/>
      <c r="J807" s="196"/>
      <c r="K807" s="231"/>
      <c r="L807" s="232"/>
      <c r="M807" s="233"/>
      <c r="N807" s="197"/>
      <c r="O807" s="198"/>
      <c r="P807" s="219"/>
      <c r="Q807" s="199"/>
    </row>
    <row r="808" customFormat="false" ht="16.5" hidden="true" customHeight="false" outlineLevel="0" collapsed="false">
      <c r="D808" s="234"/>
      <c r="E808" s="235"/>
      <c r="F808" s="236"/>
      <c r="G808" s="237"/>
      <c r="H808" s="238"/>
      <c r="I808" s="239"/>
      <c r="J808" s="196"/>
      <c r="K808" s="231"/>
      <c r="L808" s="232"/>
      <c r="M808" s="233"/>
      <c r="N808" s="197"/>
      <c r="O808" s="198"/>
      <c r="P808" s="219"/>
      <c r="Q808" s="199"/>
    </row>
    <row r="809" customFormat="false" ht="18" hidden="true" customHeight="true" outlineLevel="0" collapsed="false">
      <c r="D809" s="240"/>
      <c r="E809" s="241"/>
      <c r="F809" s="241"/>
      <c r="G809" s="242"/>
      <c r="H809" s="241"/>
      <c r="I809" s="243"/>
      <c r="J809" s="244"/>
      <c r="K809" s="244"/>
      <c r="L809" s="244"/>
      <c r="M809" s="244"/>
      <c r="N809" s="244"/>
      <c r="O809" s="244"/>
      <c r="P809" s="244"/>
      <c r="Q809" s="199"/>
    </row>
    <row r="810" customFormat="false" ht="16.5" hidden="true" customHeight="false" outlineLevel="0" collapsed="false">
      <c r="N810" s="199"/>
      <c r="O810" s="199"/>
      <c r="P810" s="199"/>
      <c r="Q810" s="199"/>
    </row>
    <row r="812" customFormat="false" ht="16.5" hidden="false" customHeight="false" outlineLevel="0" collapsed="false">
      <c r="I812" s="245"/>
      <c r="J812" s="199"/>
      <c r="O812" s="245"/>
      <c r="P812" s="199"/>
      <c r="Q812" s="199"/>
    </row>
    <row r="813" customFormat="false" ht="16.5" hidden="false" customHeight="false" outlineLevel="0" collapsed="false">
      <c r="I813" s="245"/>
      <c r="J813" s="199"/>
      <c r="O813" s="245"/>
      <c r="P813" s="199"/>
      <c r="Q813" s="199"/>
    </row>
    <row r="814" customFormat="false" ht="16.5" hidden="false" customHeight="false" outlineLevel="0" collapsed="false">
      <c r="I814" s="245"/>
      <c r="J814" s="199"/>
      <c r="O814" s="245"/>
      <c r="P814" s="199"/>
      <c r="Q814" s="199"/>
    </row>
    <row r="815" customFormat="false" ht="16.5" hidden="false" customHeight="false" outlineLevel="0" collapsed="false">
      <c r="I815" s="245"/>
      <c r="J815" s="199"/>
      <c r="O815" s="245"/>
      <c r="P815" s="199"/>
      <c r="Q815" s="199"/>
    </row>
  </sheetData>
  <autoFilter ref="D2:T444">
    <filterColumn colId="4">
      <filters>
        <filter val="상품매출원가"/>
      </filters>
    </filterColumn>
  </autoFilter>
  <mergeCells count="1">
    <mergeCell ref="K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V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11"/>
    <col collapsed="false" customWidth="true" hidden="false" outlineLevel="0" max="2" min="2" style="162" width="7.73"/>
    <col collapsed="false" customWidth="true" hidden="false" outlineLevel="0" max="3" min="3" style="162" width="3.63"/>
    <col collapsed="false" customWidth="true" hidden="false" outlineLevel="0" max="4" min="4" style="162" width="17"/>
    <col collapsed="false" customWidth="true" hidden="false" outlineLevel="0" max="5" min="5" style="162" width="29.45"/>
    <col collapsed="false" customWidth="true" hidden="false" outlineLevel="0" max="6" min="6" style="162" width="4.73"/>
    <col collapsed="false" customWidth="true" hidden="false" outlineLevel="0" max="7" min="7" style="162" width="9.91"/>
    <col collapsed="false" customWidth="true" hidden="false" outlineLevel="0" max="8" min="8" style="162" width="8.45"/>
    <col collapsed="false" customWidth="true" hidden="false" outlineLevel="0" max="9" min="9" style="162" width="17"/>
    <col collapsed="false" customWidth="true" hidden="false" outlineLevel="0" max="10" min="10" style="162" width="18.63"/>
    <col collapsed="false" customWidth="true" hidden="false" outlineLevel="0" max="11" min="11" style="162" width="16.09"/>
    <col collapsed="false" customWidth="true" hidden="false" outlineLevel="0" max="12" min="12" style="162" width="17"/>
    <col collapsed="false" customWidth="true" hidden="false" outlineLevel="0" max="13" min="13" style="162" width="12.45"/>
    <col collapsed="false" customWidth="true" hidden="false" outlineLevel="0" max="14" min="14" style="162" width="13.63"/>
    <col collapsed="false" customWidth="true" hidden="false" outlineLevel="0" max="15" min="15" style="162" width="9.09"/>
    <col collapsed="false" customWidth="true" hidden="false" outlineLevel="0" max="16" min="16" style="162" width="14"/>
    <col collapsed="false" customWidth="true" hidden="false" outlineLevel="0" max="17" min="17" style="162" width="15.73"/>
    <col collapsed="false" customWidth="true" hidden="false" outlineLevel="0" max="18" min="18" style="162" width="23.45"/>
    <col collapsed="false" customWidth="true" hidden="false" outlineLevel="0" max="19" min="19" style="162" width="16"/>
    <col collapsed="false" customWidth="true" hidden="false" outlineLevel="0" max="20" min="20" style="162" width="48"/>
    <col collapsed="false" customWidth="true" hidden="false" outlineLevel="0" max="21" min="21" style="162" width="22.73"/>
    <col collapsed="false" customWidth="true" hidden="false" outlineLevel="0" max="22" min="22" style="162" width="11.27"/>
    <col collapsed="false" customWidth="true" hidden="false" outlineLevel="0" max="23" min="23" style="162" width="8.72"/>
  </cols>
  <sheetData>
    <row r="1" customFormat="false" ht="15" hidden="false" customHeight="false" outlineLevel="0" collapsed="false">
      <c r="Q1" s="246" t="s">
        <v>1428</v>
      </c>
    </row>
    <row r="2" customFormat="false" ht="16.5" hidden="false" customHeight="true" outlineLevel="0" collapsed="false">
      <c r="C2" s="247"/>
      <c r="D2" s="248"/>
      <c r="E2" s="248"/>
      <c r="F2" s="248"/>
      <c r="G2" s="247"/>
      <c r="H2" s="248"/>
      <c r="I2" s="247" t="s">
        <v>1429</v>
      </c>
      <c r="J2" s="247"/>
      <c r="K2" s="248"/>
      <c r="L2" s="248"/>
      <c r="M2" s="248"/>
      <c r="N2" s="248"/>
      <c r="O2" s="248"/>
      <c r="P2" s="248"/>
      <c r="Q2" s="249"/>
    </row>
    <row r="3" customFormat="false" ht="15" hidden="false" customHeight="false" outlineLevel="0" collapsed="false"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50" t="s">
        <v>1430</v>
      </c>
      <c r="Q3" s="249"/>
    </row>
    <row r="4" customFormat="false" ht="15" hidden="false" customHeight="false" outlineLevel="0" collapsed="false">
      <c r="C4" s="251"/>
      <c r="D4" s="251"/>
      <c r="E4" s="251"/>
      <c r="F4" s="251"/>
      <c r="G4" s="252"/>
      <c r="H4" s="251"/>
      <c r="I4" s="251"/>
      <c r="J4" s="251"/>
      <c r="K4" s="251"/>
      <c r="L4" s="251"/>
      <c r="M4" s="251"/>
      <c r="N4" s="251"/>
      <c r="O4" s="251"/>
      <c r="P4" s="251"/>
      <c r="Q4" s="251"/>
    </row>
    <row r="5" customFormat="false" ht="13.5" hidden="false" customHeight="true" outlineLevel="0" collapsed="false">
      <c r="C5" s="253" t="s">
        <v>1431</v>
      </c>
      <c r="D5" s="254"/>
      <c r="E5" s="254"/>
      <c r="F5" s="255"/>
      <c r="G5" s="255"/>
      <c r="H5" s="256" t="s">
        <v>1432</v>
      </c>
      <c r="I5" s="255"/>
      <c r="J5" s="255"/>
      <c r="K5" s="255"/>
      <c r="L5" s="255"/>
      <c r="M5" s="255"/>
      <c r="N5" s="255"/>
      <c r="O5" s="255"/>
      <c r="P5" s="255"/>
      <c r="Q5" s="251"/>
    </row>
    <row r="6" customFormat="false" ht="13.5" hidden="false" customHeight="true" outlineLevel="0" collapsed="false">
      <c r="A6" s="257" t="s">
        <v>1433</v>
      </c>
      <c r="B6" s="257" t="s">
        <v>1434</v>
      </c>
      <c r="C6" s="258"/>
      <c r="D6" s="259"/>
      <c r="E6" s="259"/>
      <c r="F6" s="259" t="s">
        <v>1435</v>
      </c>
      <c r="G6" s="260" t="s">
        <v>1436</v>
      </c>
      <c r="H6" s="261" t="s">
        <v>1436</v>
      </c>
      <c r="I6" s="260"/>
      <c r="J6" s="260"/>
      <c r="K6" s="262" t="s">
        <v>1437</v>
      </c>
      <c r="L6" s="263" t="s">
        <v>1438</v>
      </c>
      <c r="M6" s="264" t="s">
        <v>1439</v>
      </c>
      <c r="N6" s="265" t="s">
        <v>1440</v>
      </c>
      <c r="O6" s="265" t="s">
        <v>1441</v>
      </c>
      <c r="P6" s="266" t="s">
        <v>1442</v>
      </c>
      <c r="Q6" s="251"/>
      <c r="S6" s="267" t="s">
        <v>1443</v>
      </c>
      <c r="T6" s="268" t="s">
        <v>1444</v>
      </c>
    </row>
    <row r="7" customFormat="false" ht="10.5" hidden="false" customHeight="true" outlineLevel="0" collapsed="false">
      <c r="C7" s="269" t="n">
        <v>1</v>
      </c>
      <c r="D7" s="270" t="s">
        <v>1445</v>
      </c>
      <c r="E7" s="270"/>
      <c r="F7" s="271" t="s">
        <v>493</v>
      </c>
      <c r="G7" s="272" t="n">
        <v>15800870</v>
      </c>
      <c r="H7" s="273" t="n">
        <v>86158008</v>
      </c>
      <c r="I7" s="274" t="s">
        <v>1446</v>
      </c>
      <c r="J7" s="274"/>
      <c r="K7" s="275" t="n">
        <v>30000000</v>
      </c>
      <c r="L7" s="276"/>
      <c r="M7" s="270" t="n">
        <f aca="false">++K7</f>
        <v>30000000</v>
      </c>
      <c r="N7" s="270"/>
      <c r="O7" s="270"/>
      <c r="P7" s="270"/>
      <c r="Q7" s="277"/>
      <c r="S7" s="173" t="str">
        <f aca="false">IF(ISNUMBER(MATCH(G7&amp;"",FS_map!$D:$D,0)),G7&amp;"",IF(H7="","",H7&amp;""))</f>
        <v>86158008</v>
      </c>
      <c r="T7" s="162" t="s">
        <v>1447</v>
      </c>
    </row>
    <row r="8" customFormat="false" ht="10.5" hidden="false" customHeight="true" outlineLevel="0" collapsed="false">
      <c r="C8" s="277"/>
      <c r="D8" s="270"/>
      <c r="E8" s="271"/>
      <c r="F8" s="271" t="s">
        <v>493</v>
      </c>
      <c r="G8" s="272" t="n">
        <v>15800853</v>
      </c>
      <c r="H8" s="273" t="n">
        <v>86260033</v>
      </c>
      <c r="I8" s="274"/>
      <c r="J8" s="274" t="s">
        <v>141</v>
      </c>
      <c r="K8" s="276"/>
      <c r="L8" s="278" t="n">
        <v>30000000</v>
      </c>
      <c r="M8" s="270" t="n">
        <f aca="false">++-L8</f>
        <v>-30000000</v>
      </c>
      <c r="N8" s="270"/>
      <c r="O8" s="270"/>
      <c r="P8" s="270"/>
      <c r="Q8" s="277"/>
      <c r="S8" s="173" t="str">
        <f aca="false">IF(ISNUMBER(MATCH(G8&amp;"",FS_map!$D:$D,0)),G8&amp;"",IF(H8="","",H8&amp;""))</f>
        <v>15800853</v>
      </c>
    </row>
    <row r="9" customFormat="false" ht="10.5" hidden="false" customHeight="true" outlineLevel="0" collapsed="false">
      <c r="C9" s="277"/>
      <c r="D9" s="270"/>
      <c r="E9" s="271"/>
      <c r="F9" s="271"/>
      <c r="G9" s="272"/>
      <c r="H9" s="273"/>
      <c r="I9" s="274"/>
      <c r="J9" s="274"/>
      <c r="K9" s="276"/>
      <c r="L9" s="279"/>
      <c r="M9" s="270"/>
      <c r="N9" s="270"/>
      <c r="O9" s="270"/>
      <c r="P9" s="270"/>
      <c r="Q9" s="277"/>
    </row>
    <row r="10" customFormat="false" ht="10.5" hidden="false" customHeight="true" outlineLevel="0" collapsed="false">
      <c r="F10" s="271"/>
      <c r="G10" s="272"/>
      <c r="H10" s="273"/>
      <c r="I10" s="274"/>
      <c r="J10" s="274"/>
      <c r="K10" s="280"/>
      <c r="L10" s="280"/>
      <c r="M10" s="270"/>
      <c r="N10" s="270"/>
      <c r="O10" s="270"/>
      <c r="P10" s="270"/>
    </row>
    <row r="11" customFormat="false" ht="10.5" hidden="false" customHeight="true" outlineLevel="0" collapsed="false">
      <c r="C11" s="281" t="n">
        <v>2</v>
      </c>
      <c r="D11" s="270" t="s">
        <v>1448</v>
      </c>
      <c r="E11" s="271"/>
      <c r="F11" s="271" t="s">
        <v>841</v>
      </c>
      <c r="G11" s="272" t="n">
        <v>74250001</v>
      </c>
      <c r="H11" s="282" t="n">
        <v>86200400</v>
      </c>
      <c r="I11" s="274" t="s">
        <v>339</v>
      </c>
      <c r="J11" s="274"/>
      <c r="K11" s="283" t="n">
        <v>20794942446</v>
      </c>
      <c r="L11" s="280"/>
      <c r="M11" s="270"/>
      <c r="N11" s="270"/>
      <c r="O11" s="270"/>
      <c r="P11" s="270" t="n">
        <f aca="false">++K11</f>
        <v>20794942446</v>
      </c>
      <c r="S11" s="173" t="str">
        <f aca="false">IF(ISNUMBER(MATCH(G11&amp;"",FS_map!$D:$D,0)),G11&amp;"",IF(H11="","",H11&amp;""))</f>
        <v>74250001</v>
      </c>
    </row>
    <row r="12" customFormat="false" ht="10.5" hidden="false" customHeight="true" outlineLevel="0" collapsed="false">
      <c r="D12" s="270"/>
      <c r="E12" s="271"/>
      <c r="F12" s="271" t="s">
        <v>841</v>
      </c>
      <c r="G12" s="272" t="n">
        <v>86000300</v>
      </c>
      <c r="H12" s="284" t="n">
        <v>86000300</v>
      </c>
      <c r="I12" s="274"/>
      <c r="J12" s="274" t="s">
        <v>282</v>
      </c>
      <c r="K12" s="276"/>
      <c r="L12" s="275" t="n">
        <v>2369648232</v>
      </c>
      <c r="M12" s="270"/>
      <c r="N12" s="270"/>
      <c r="O12" s="270"/>
      <c r="P12" s="270" t="n">
        <f aca="false">++-L12</f>
        <v>-2369648232</v>
      </c>
      <c r="S12" s="173" t="str">
        <f aca="false">IF(ISNUMBER(MATCH(G12&amp;"",FS_map!$D:$D,0)),G12&amp;"",IF(H12="","",H12&amp;""))</f>
        <v>86000300</v>
      </c>
    </row>
    <row r="13" customFormat="false" ht="10.5" hidden="false" customHeight="true" outlineLevel="0" collapsed="false">
      <c r="F13" s="271" t="s">
        <v>841</v>
      </c>
      <c r="G13" s="272" t="n">
        <v>86000004</v>
      </c>
      <c r="H13" s="273" t="n">
        <v>86000004</v>
      </c>
      <c r="I13" s="274"/>
      <c r="J13" s="274" t="s">
        <v>289</v>
      </c>
      <c r="K13" s="276"/>
      <c r="L13" s="275" t="n">
        <v>155357637</v>
      </c>
      <c r="M13" s="270"/>
      <c r="N13" s="270"/>
      <c r="O13" s="270"/>
      <c r="P13" s="270" t="n">
        <f aca="false">++-L13</f>
        <v>-155357637</v>
      </c>
      <c r="S13" s="173" t="str">
        <f aca="false">IF(ISNUMBER(MATCH(G13&amp;"",FS_map!$D:$D,0)),G13&amp;"",IF(H13="","",H13&amp;""))</f>
        <v>86000004</v>
      </c>
    </row>
    <row r="14" customFormat="false" ht="10.5" hidden="false" customHeight="true" outlineLevel="0" collapsed="false">
      <c r="D14" s="270"/>
      <c r="E14" s="271"/>
      <c r="F14" s="271" t="s">
        <v>841</v>
      </c>
      <c r="G14" s="272" t="n">
        <v>86400910</v>
      </c>
      <c r="H14" s="273" t="n">
        <v>86400910</v>
      </c>
      <c r="I14" s="274"/>
      <c r="J14" s="274" t="s">
        <v>284</v>
      </c>
      <c r="K14" s="276"/>
      <c r="L14" s="275" t="n">
        <v>333409964</v>
      </c>
      <c r="M14" s="270"/>
      <c r="N14" s="270"/>
      <c r="O14" s="270"/>
      <c r="P14" s="270" t="n">
        <f aca="false">++-L14</f>
        <v>-333409964</v>
      </c>
      <c r="S14" s="173" t="str">
        <f aca="false">IF(ISNUMBER(MATCH(G14&amp;"",FS_map!$D:$D,0)),G14&amp;"",IF(H14="","",H14&amp;""))</f>
        <v>86400910</v>
      </c>
    </row>
    <row r="15" customFormat="false" ht="10.5" hidden="false" customHeight="true" outlineLevel="0" collapsed="false">
      <c r="F15" s="271" t="s">
        <v>841</v>
      </c>
      <c r="G15" s="272" t="n">
        <v>86100747</v>
      </c>
      <c r="H15" s="282" t="n">
        <v>86100747</v>
      </c>
      <c r="I15" s="274"/>
      <c r="J15" s="274" t="s">
        <v>285</v>
      </c>
      <c r="K15" s="280"/>
      <c r="L15" s="275" t="n">
        <v>349405261</v>
      </c>
      <c r="M15" s="270"/>
      <c r="N15" s="270"/>
      <c r="O15" s="270"/>
      <c r="P15" s="270" t="n">
        <f aca="false">++-L15</f>
        <v>-349405261</v>
      </c>
      <c r="S15" s="173" t="str">
        <f aca="false">IF(ISNUMBER(MATCH(G15&amp;"",FS_map!$D:$D,0)),G15&amp;"",IF(H15="","",H15&amp;""))</f>
        <v>86100747</v>
      </c>
    </row>
    <row r="16" customFormat="false" ht="10.5" hidden="false" customHeight="true" outlineLevel="0" collapsed="false">
      <c r="F16" s="271" t="s">
        <v>841</v>
      </c>
      <c r="G16" s="272" t="n">
        <v>86000400</v>
      </c>
      <c r="H16" s="282" t="n">
        <v>86000400</v>
      </c>
      <c r="I16" s="274"/>
      <c r="J16" s="274" t="s">
        <v>313</v>
      </c>
      <c r="K16" s="276"/>
      <c r="L16" s="275" t="n">
        <v>6474004</v>
      </c>
      <c r="M16" s="270"/>
      <c r="N16" s="270"/>
      <c r="O16" s="270"/>
      <c r="P16" s="270" t="n">
        <f aca="false">++-L16</f>
        <v>-6474004</v>
      </c>
      <c r="S16" s="173" t="str">
        <f aca="false">IF(ISNUMBER(MATCH(G16&amp;"",FS_map!$D:$D,0)),G16&amp;"",IF(H16="","",H16&amp;""))</f>
        <v>86000400</v>
      </c>
    </row>
    <row r="17" customFormat="false" ht="10.5" hidden="false" customHeight="true" outlineLevel="0" collapsed="false">
      <c r="F17" s="271" t="s">
        <v>841</v>
      </c>
      <c r="G17" s="272" t="n">
        <v>86073501</v>
      </c>
      <c r="H17" s="282" t="n">
        <v>86073501</v>
      </c>
      <c r="I17" s="274"/>
      <c r="J17" s="274" t="s">
        <v>307</v>
      </c>
      <c r="K17" s="280"/>
      <c r="L17" s="275" t="n">
        <v>13314198758</v>
      </c>
      <c r="M17" s="270"/>
      <c r="N17" s="270"/>
      <c r="O17" s="270"/>
      <c r="P17" s="270" t="n">
        <f aca="false">++-L17</f>
        <v>-13314198758</v>
      </c>
      <c r="S17" s="173" t="str">
        <f aca="false">IF(ISNUMBER(MATCH(G17&amp;"",FS_map!$D:$D,0)),G17&amp;"",IF(H17="","",H17&amp;""))</f>
        <v>86073501</v>
      </c>
    </row>
    <row r="18" customFormat="false" ht="10.5" hidden="false" customHeight="true" outlineLevel="0" collapsed="false">
      <c r="E18" s="271"/>
      <c r="F18" s="271" t="s">
        <v>841</v>
      </c>
      <c r="G18" s="272" t="n">
        <v>86514001</v>
      </c>
      <c r="H18" s="273" t="n">
        <v>86514001</v>
      </c>
      <c r="I18" s="274"/>
      <c r="J18" s="274" t="s">
        <v>279</v>
      </c>
      <c r="K18" s="276"/>
      <c r="L18" s="275" t="n">
        <v>7481129</v>
      </c>
      <c r="M18" s="270"/>
      <c r="N18" s="270"/>
      <c r="O18" s="270"/>
      <c r="P18" s="270" t="n">
        <f aca="false">++-L18</f>
        <v>-7481129</v>
      </c>
      <c r="S18" s="173" t="str">
        <f aca="false">IF(ISNUMBER(MATCH(G18&amp;"",FS_map!$D:$D,0)),G18&amp;"",IF(H18="","",H18&amp;""))</f>
        <v>86514001</v>
      </c>
    </row>
    <row r="19" customFormat="false" ht="10.5" hidden="false" customHeight="true" outlineLevel="0" collapsed="false">
      <c r="F19" s="271" t="s">
        <v>841</v>
      </c>
      <c r="G19" s="272" t="n">
        <v>86000006</v>
      </c>
      <c r="H19" s="282" t="n">
        <v>86000006</v>
      </c>
      <c r="I19" s="274"/>
      <c r="J19" s="274" t="s">
        <v>290</v>
      </c>
      <c r="K19" s="280"/>
      <c r="L19" s="275" t="n">
        <v>128225390</v>
      </c>
      <c r="M19" s="270"/>
      <c r="N19" s="270"/>
      <c r="O19" s="270"/>
      <c r="P19" s="270" t="n">
        <f aca="false">++-L19</f>
        <v>-128225390</v>
      </c>
      <c r="S19" s="173" t="str">
        <f aca="false">IF(ISNUMBER(MATCH(G19&amp;"",FS_map!$D:$D,0)),G19&amp;"",IF(H19="","",H19&amp;""))</f>
        <v>86000006</v>
      </c>
    </row>
    <row r="20" customFormat="false" ht="10.5" hidden="false" customHeight="true" outlineLevel="0" collapsed="false">
      <c r="F20" s="271" t="s">
        <v>841</v>
      </c>
      <c r="G20" s="272" t="n">
        <v>86290000</v>
      </c>
      <c r="H20" s="282" t="n">
        <v>86290000</v>
      </c>
      <c r="I20" s="274"/>
      <c r="J20" s="274" t="s">
        <v>299</v>
      </c>
      <c r="K20" s="280"/>
      <c r="L20" s="275" t="n">
        <v>61682684</v>
      </c>
      <c r="M20" s="270"/>
      <c r="N20" s="270"/>
      <c r="O20" s="270"/>
      <c r="P20" s="270" t="n">
        <f aca="false">++-L20</f>
        <v>-61682684</v>
      </c>
      <c r="S20" s="173" t="str">
        <f aca="false">IF(ISNUMBER(MATCH(G20&amp;"",FS_map!$D:$D,0)),G20&amp;"",IF(H20="","",H20&amp;""))</f>
        <v>86290000</v>
      </c>
    </row>
    <row r="21" customFormat="false" ht="10.5" hidden="false" customHeight="true" outlineLevel="0" collapsed="false">
      <c r="F21" s="271" t="s">
        <v>841</v>
      </c>
      <c r="G21" s="272" t="n">
        <v>86100925</v>
      </c>
      <c r="H21" s="282" t="n">
        <v>86100925</v>
      </c>
      <c r="I21" s="274"/>
      <c r="J21" s="274" t="s">
        <v>311</v>
      </c>
      <c r="K21" s="280"/>
      <c r="L21" s="275" t="n">
        <v>3977948983</v>
      </c>
      <c r="M21" s="270"/>
      <c r="N21" s="270"/>
      <c r="O21" s="270"/>
      <c r="P21" s="270" t="n">
        <f aca="false">++-L21</f>
        <v>-3977948983</v>
      </c>
      <c r="S21" s="173" t="str">
        <f aca="false">IF(ISNUMBER(MATCH(G21&amp;"",FS_map!$D:$D,0)),G21&amp;"",IF(H21="","",H21&amp;""))</f>
        <v>86100925</v>
      </c>
    </row>
    <row r="22" customFormat="false" ht="10.5" hidden="false" customHeight="true" outlineLevel="0" collapsed="false">
      <c r="F22" s="271" t="s">
        <v>841</v>
      </c>
      <c r="G22" s="272" t="n">
        <v>86900000</v>
      </c>
      <c r="H22" s="282" t="n">
        <v>86900000</v>
      </c>
      <c r="I22" s="274"/>
      <c r="J22" s="274" t="s">
        <v>291</v>
      </c>
      <c r="K22" s="280"/>
      <c r="L22" s="275" t="n">
        <v>15020622</v>
      </c>
      <c r="M22" s="270"/>
      <c r="N22" s="270"/>
      <c r="O22" s="270"/>
      <c r="P22" s="270" t="n">
        <f aca="false">++-L22</f>
        <v>-15020622</v>
      </c>
      <c r="S22" s="173" t="str">
        <f aca="false">IF(ISNUMBER(MATCH(G22&amp;"",FS_map!$D:$D,0)),G22&amp;"",IF(H22="","",H22&amp;""))</f>
        <v>86900000</v>
      </c>
    </row>
    <row r="23" customFormat="false" ht="10.5" hidden="false" customHeight="true" outlineLevel="0" collapsed="false">
      <c r="F23" s="271" t="s">
        <v>841</v>
      </c>
      <c r="G23" s="272" t="n">
        <v>86300510</v>
      </c>
      <c r="H23" s="282" t="n">
        <v>86300510</v>
      </c>
      <c r="I23" s="274"/>
      <c r="J23" s="274" t="s">
        <v>292</v>
      </c>
      <c r="K23" s="280"/>
      <c r="L23" s="275" t="n">
        <v>17966376</v>
      </c>
      <c r="M23" s="270"/>
      <c r="N23" s="270"/>
      <c r="O23" s="270"/>
      <c r="P23" s="270" t="n">
        <f aca="false">++-L23</f>
        <v>-17966376</v>
      </c>
      <c r="S23" s="173" t="str">
        <f aca="false">IF(ISNUMBER(MATCH(G23&amp;"",FS_map!$D:$D,0)),G23&amp;"",IF(H23="","",H23&amp;""))</f>
        <v>86300510</v>
      </c>
    </row>
    <row r="24" customFormat="false" ht="10.5" hidden="false" customHeight="true" outlineLevel="0" collapsed="false">
      <c r="F24" s="271" t="s">
        <v>841</v>
      </c>
      <c r="G24" s="272" t="n">
        <v>86590050</v>
      </c>
      <c r="H24" s="282" t="n">
        <v>86590050</v>
      </c>
      <c r="I24" s="274"/>
      <c r="J24" s="274" t="s">
        <v>293</v>
      </c>
      <c r="K24" s="280"/>
      <c r="L24" s="275" t="n">
        <v>473087</v>
      </c>
      <c r="M24" s="270"/>
      <c r="N24" s="270"/>
      <c r="O24" s="270"/>
      <c r="P24" s="270" t="n">
        <f aca="false">++-L24</f>
        <v>-473087</v>
      </c>
      <c r="S24" s="173" t="str">
        <f aca="false">IF(ISNUMBER(MATCH(G24&amp;"",FS_map!$D:$D,0)),G24&amp;"",IF(H24="","",H24&amp;""))</f>
        <v>86590050</v>
      </c>
    </row>
    <row r="25" customFormat="false" ht="10.5" hidden="false" customHeight="true" outlineLevel="0" collapsed="false">
      <c r="F25" s="271" t="s">
        <v>841</v>
      </c>
      <c r="G25" s="272" t="n">
        <v>86591013</v>
      </c>
      <c r="H25" s="282" t="n">
        <v>86591013</v>
      </c>
      <c r="I25" s="274"/>
      <c r="J25" s="274" t="s">
        <v>301</v>
      </c>
      <c r="K25" s="280"/>
      <c r="L25" s="275" t="n">
        <v>7044189</v>
      </c>
      <c r="M25" s="270"/>
      <c r="N25" s="270"/>
      <c r="O25" s="270"/>
      <c r="P25" s="270" t="n">
        <f aca="false">++-L25</f>
        <v>-7044189</v>
      </c>
      <c r="S25" s="173" t="str">
        <f aca="false">IF(ISNUMBER(MATCH(G25&amp;"",FS_map!$D:$D,0)),G25&amp;"",IF(H25="","",H25&amp;""))</f>
        <v>86591013</v>
      </c>
    </row>
    <row r="26" customFormat="false" ht="10.5" hidden="false" customHeight="true" outlineLevel="0" collapsed="false">
      <c r="F26" s="271" t="s">
        <v>841</v>
      </c>
      <c r="G26" s="272" t="n">
        <v>86200400</v>
      </c>
      <c r="H26" s="282" t="n">
        <v>86200400</v>
      </c>
      <c r="I26" s="274"/>
      <c r="J26" s="274" t="s">
        <v>339</v>
      </c>
      <c r="K26" s="280"/>
      <c r="L26" s="275" t="n">
        <v>50606130</v>
      </c>
      <c r="M26" s="270"/>
      <c r="N26" s="270"/>
      <c r="O26" s="270"/>
      <c r="P26" s="270" t="n">
        <f aca="false">++-L26</f>
        <v>-50606130</v>
      </c>
      <c r="S26" s="173" t="str">
        <f aca="false">IF(ISNUMBER(MATCH(G26&amp;"",FS_map!$D:$D,0)),G26&amp;"",IF(H26="","",H26&amp;""))</f>
        <v>86200400</v>
      </c>
    </row>
    <row r="27" customFormat="false" ht="10.5" hidden="false" customHeight="true" outlineLevel="0" collapsed="false">
      <c r="F27" s="271"/>
      <c r="G27" s="272"/>
      <c r="H27" s="282"/>
      <c r="I27" s="274"/>
      <c r="J27" s="274"/>
      <c r="K27" s="280"/>
      <c r="L27" s="280"/>
      <c r="M27" s="270"/>
      <c r="N27" s="270"/>
      <c r="O27" s="270"/>
      <c r="P27" s="270"/>
    </row>
    <row r="28" customFormat="false" ht="10.5" hidden="false" customHeight="true" outlineLevel="0" collapsed="false">
      <c r="C28" s="281" t="n">
        <v>3</v>
      </c>
      <c r="D28" s="281" t="s">
        <v>1449</v>
      </c>
      <c r="F28" s="271" t="s">
        <v>493</v>
      </c>
      <c r="G28" s="272" t="n">
        <v>38010000</v>
      </c>
      <c r="H28" s="282" t="n">
        <v>86380100</v>
      </c>
      <c r="I28" s="274" t="s">
        <v>183</v>
      </c>
      <c r="J28" s="274"/>
      <c r="K28" s="283" t="n">
        <v>646256500</v>
      </c>
      <c r="L28" s="280"/>
      <c r="M28" s="270"/>
      <c r="N28" s="270" t="n">
        <f aca="false">++K28</f>
        <v>646256500</v>
      </c>
      <c r="O28" s="270"/>
      <c r="P28" s="270"/>
      <c r="S28" s="173" t="str">
        <f aca="false">IF(ISNUMBER(MATCH(G28&amp;"",FS_map!$D:$D,0)),G28&amp;"",IF(H28="","",H28&amp;""))</f>
        <v>38010000</v>
      </c>
    </row>
    <row r="29" customFormat="false" ht="10.5" hidden="false" customHeight="true" outlineLevel="0" collapsed="false">
      <c r="F29" s="271" t="s">
        <v>493</v>
      </c>
      <c r="G29" s="285" t="s">
        <v>1418</v>
      </c>
      <c r="H29" s="282" t="n">
        <v>86380100</v>
      </c>
      <c r="I29" s="274"/>
      <c r="J29" s="274" t="s">
        <v>1418</v>
      </c>
      <c r="K29" s="280"/>
      <c r="L29" s="283" t="n">
        <f aca="false">++K28</f>
        <v>646256500</v>
      </c>
      <c r="M29" s="270"/>
      <c r="N29" s="270" t="n">
        <f aca="false">++-L29</f>
        <v>-646256500</v>
      </c>
      <c r="O29" s="270"/>
      <c r="P29" s="270"/>
      <c r="S29" s="173" t="str">
        <f aca="false">IF(ISNUMBER(MATCH(G29&amp;"",FS_map!$D:$D,0)),G29&amp;"",IF(H29="","",H29&amp;""))</f>
        <v>반품충당금비유동</v>
      </c>
      <c r="T29" s="162" t="s">
        <v>1450</v>
      </c>
    </row>
    <row r="30" customFormat="false" ht="10.5" hidden="false" customHeight="true" outlineLevel="0" collapsed="false">
      <c r="F30" s="271"/>
      <c r="G30" s="272"/>
      <c r="H30" s="282"/>
      <c r="I30" s="274"/>
      <c r="J30" s="274"/>
      <c r="K30" s="280"/>
      <c r="L30" s="280"/>
      <c r="M30" s="270"/>
      <c r="N30" s="270"/>
      <c r="O30" s="270"/>
      <c r="P30" s="270"/>
    </row>
    <row r="31" customFormat="false" ht="10.5" hidden="false" customHeight="true" outlineLevel="0" collapsed="false">
      <c r="C31" s="281" t="n">
        <v>5</v>
      </c>
      <c r="D31" s="281" t="s">
        <v>1451</v>
      </c>
      <c r="F31" s="271" t="s">
        <v>493</v>
      </c>
      <c r="G31" s="272" t="n">
        <v>42910850</v>
      </c>
      <c r="H31" s="282" t="n">
        <v>86429108</v>
      </c>
      <c r="I31" s="274" t="s">
        <v>171</v>
      </c>
      <c r="J31" s="274"/>
      <c r="K31" s="286" t="n">
        <v>758423387</v>
      </c>
      <c r="L31" s="280"/>
      <c r="M31" s="270"/>
      <c r="N31" s="270" t="n">
        <f aca="false">++K31</f>
        <v>758423387</v>
      </c>
      <c r="O31" s="270"/>
      <c r="P31" s="270"/>
      <c r="Q31" s="274" t="s">
        <v>1452</v>
      </c>
      <c r="S31" s="173" t="str">
        <f aca="false">IF(ISNUMBER(MATCH(G31&amp;"",FS_map!$D:$D,0)),G31&amp;"",IF(H31="","",H31&amp;""))</f>
        <v>42910850</v>
      </c>
    </row>
    <row r="32" customFormat="false" ht="10.5" hidden="false" customHeight="true" outlineLevel="0" collapsed="false">
      <c r="F32" s="271" t="s">
        <v>493</v>
      </c>
      <c r="G32" s="272" t="n">
        <v>42910852</v>
      </c>
      <c r="H32" s="282" t="n">
        <v>86429108</v>
      </c>
      <c r="I32" s="274" t="s">
        <v>171</v>
      </c>
      <c r="J32" s="274"/>
      <c r="K32" s="286" t="n">
        <v>10532431629</v>
      </c>
      <c r="L32" s="280"/>
      <c r="M32" s="270"/>
      <c r="N32" s="270" t="n">
        <f aca="false">++K32</f>
        <v>10532431629</v>
      </c>
      <c r="O32" s="270"/>
      <c r="P32" s="270"/>
      <c r="Q32" s="274" t="s">
        <v>1452</v>
      </c>
      <c r="S32" s="173" t="str">
        <f aca="false">IF(ISNUMBER(MATCH(G32&amp;"",FS_map!$D:$D,0)),G32&amp;"",IF(H32="","",H32&amp;""))</f>
        <v>42910852</v>
      </c>
    </row>
    <row r="33" customFormat="false" ht="10.5" hidden="false" customHeight="true" outlineLevel="0" collapsed="false">
      <c r="F33" s="271" t="s">
        <v>493</v>
      </c>
      <c r="G33" s="272" t="n">
        <v>42910853</v>
      </c>
      <c r="H33" s="282" t="n">
        <v>86429108</v>
      </c>
      <c r="I33" s="274" t="s">
        <v>171</v>
      </c>
      <c r="J33" s="274"/>
      <c r="K33" s="286" t="n">
        <v>1124955108</v>
      </c>
      <c r="L33" s="280"/>
      <c r="M33" s="270"/>
      <c r="N33" s="270" t="n">
        <f aca="false">++K33</f>
        <v>1124955108</v>
      </c>
      <c r="O33" s="270"/>
      <c r="P33" s="270"/>
      <c r="Q33" s="274" t="s">
        <v>1452</v>
      </c>
      <c r="S33" s="173" t="str">
        <f aca="false">IF(ISNUMBER(MATCH(G33&amp;"",FS_map!$D:$D,0)),G33&amp;"",IF(H33="","",H33&amp;""))</f>
        <v>42910853</v>
      </c>
    </row>
    <row r="34" customFormat="false" ht="10.5" hidden="false" customHeight="true" outlineLevel="0" collapsed="false">
      <c r="F34" s="271" t="s">
        <v>493</v>
      </c>
      <c r="G34" s="272" t="n">
        <v>24000000</v>
      </c>
      <c r="H34" s="282" t="n">
        <v>86240007</v>
      </c>
      <c r="I34" s="274"/>
      <c r="J34" s="274" t="s">
        <v>30</v>
      </c>
      <c r="K34" s="280"/>
      <c r="L34" s="286" t="n">
        <f aca="false">++K31+K32+K33</f>
        <v>12415810124</v>
      </c>
      <c r="M34" s="270" t="n">
        <f aca="false">++-L34</f>
        <v>-12415810124</v>
      </c>
      <c r="N34" s="270"/>
      <c r="O34" s="270"/>
      <c r="P34" s="270"/>
      <c r="Q34" s="274" t="s">
        <v>1453</v>
      </c>
      <c r="S34" s="173" t="str">
        <f aca="false">IF(ISNUMBER(MATCH(G34&amp;"",FS_map!$D:$D,0)),G34&amp;"",IF(H34="","",H34&amp;""))</f>
        <v>24000000</v>
      </c>
    </row>
    <row r="35" customFormat="false" ht="10.5" hidden="false" customHeight="true" outlineLevel="0" collapsed="false">
      <c r="F35" s="271"/>
      <c r="G35" s="272"/>
      <c r="H35" s="282"/>
      <c r="I35" s="274"/>
      <c r="J35" s="274"/>
      <c r="K35" s="280"/>
      <c r="L35" s="280"/>
      <c r="M35" s="270"/>
      <c r="N35" s="270"/>
      <c r="O35" s="270"/>
      <c r="P35" s="270"/>
    </row>
    <row r="36" customFormat="false" ht="10.5" hidden="false" customHeight="true" outlineLevel="0" collapsed="false">
      <c r="C36" s="281" t="n">
        <v>6</v>
      </c>
      <c r="D36" s="281" t="s">
        <v>1454</v>
      </c>
      <c r="F36" s="271" t="s">
        <v>493</v>
      </c>
      <c r="G36" s="272" t="n">
        <v>26650000</v>
      </c>
      <c r="H36" s="282" t="n">
        <v>86260008</v>
      </c>
      <c r="I36" s="274" t="s">
        <v>45</v>
      </c>
      <c r="J36" s="274"/>
      <c r="K36" s="287" t="n">
        <v>0</v>
      </c>
      <c r="L36" s="280"/>
      <c r="M36" s="270" t="n">
        <f aca="false">++K36</f>
        <v>0</v>
      </c>
      <c r="N36" s="270"/>
      <c r="O36" s="270"/>
      <c r="P36" s="270"/>
      <c r="S36" s="173" t="str">
        <f aca="false">IF(ISNUMBER(MATCH(G36&amp;"",FS_map!$D:$D,0)),G36&amp;"",IF(H36="","",H36&amp;""))</f>
        <v>26650000</v>
      </c>
    </row>
    <row r="37" customFormat="false" ht="10.5" hidden="false" customHeight="true" outlineLevel="0" collapsed="false">
      <c r="F37" s="271" t="s">
        <v>493</v>
      </c>
      <c r="G37" s="272" t="n">
        <v>16350702</v>
      </c>
      <c r="H37" s="282" t="n">
        <v>86260033</v>
      </c>
      <c r="I37" s="274"/>
      <c r="J37" s="288" t="s">
        <v>570</v>
      </c>
      <c r="K37" s="280"/>
      <c r="L37" s="287" t="n">
        <f aca="false">++K36</f>
        <v>0</v>
      </c>
      <c r="M37" s="270"/>
      <c r="N37" s="270" t="n">
        <f aca="false">++-L37</f>
        <v>-0</v>
      </c>
      <c r="O37" s="270"/>
      <c r="P37" s="270"/>
      <c r="S37" s="173" t="str">
        <f aca="false">IF(ISNUMBER(MATCH(G37&amp;"",FS_map!$D:$D,0)),G37&amp;"",IF(H37="","",H37&amp;""))</f>
        <v>16350702</v>
      </c>
    </row>
    <row r="38" customFormat="false" ht="10.5" hidden="false" customHeight="true" outlineLevel="0" collapsed="false">
      <c r="F38" s="271"/>
      <c r="G38" s="272"/>
      <c r="H38" s="282"/>
      <c r="I38" s="288"/>
      <c r="J38" s="288"/>
      <c r="K38" s="280"/>
      <c r="L38" s="280"/>
      <c r="M38" s="270"/>
      <c r="N38" s="270"/>
      <c r="O38" s="270"/>
      <c r="P38" s="270"/>
    </row>
    <row r="39" customFormat="false" ht="10.5" hidden="false" customHeight="true" outlineLevel="0" collapsed="false">
      <c r="F39" s="271"/>
      <c r="G39" s="272"/>
      <c r="H39" s="282"/>
      <c r="I39" s="288"/>
      <c r="J39" s="288"/>
      <c r="K39" s="280"/>
      <c r="L39" s="280"/>
      <c r="M39" s="270"/>
      <c r="N39" s="270"/>
      <c r="O39" s="270"/>
      <c r="P39" s="270"/>
    </row>
    <row r="40" customFormat="false" ht="10.5" hidden="false" customHeight="true" outlineLevel="0" collapsed="false">
      <c r="C40" s="281" t="n">
        <v>7</v>
      </c>
      <c r="D40" s="289" t="s">
        <v>1455</v>
      </c>
      <c r="F40" s="271" t="s">
        <v>493</v>
      </c>
      <c r="G40" s="272" t="n">
        <v>10200000</v>
      </c>
      <c r="H40" s="282" t="n">
        <v>86102007</v>
      </c>
      <c r="I40" s="274" t="s">
        <v>107</v>
      </c>
      <c r="J40" s="288"/>
      <c r="K40" s="280"/>
      <c r="L40" s="286" t="n">
        <v>485029742</v>
      </c>
      <c r="M40" s="270" t="n">
        <f aca="false">++-L40</f>
        <v>-485029742</v>
      </c>
      <c r="N40" s="270"/>
      <c r="O40" s="270"/>
      <c r="P40" s="270"/>
      <c r="S40" s="173" t="str">
        <f aca="false">IF(ISNUMBER(MATCH(G40&amp;"",FS_map!$D:$D,0)),G40&amp;"",IF(H40="","",H40&amp;""))</f>
        <v>10200000</v>
      </c>
    </row>
    <row r="41" customFormat="false" ht="10.5" hidden="false" customHeight="true" outlineLevel="0" collapsed="false">
      <c r="F41" s="271" t="s">
        <v>493</v>
      </c>
      <c r="G41" s="272" t="n">
        <v>11200000</v>
      </c>
      <c r="H41" s="282" t="n">
        <v>86112007</v>
      </c>
      <c r="I41" s="274" t="s">
        <v>1456</v>
      </c>
      <c r="J41" s="288"/>
      <c r="K41" s="286" t="n">
        <v>422529742</v>
      </c>
      <c r="L41" s="286"/>
      <c r="M41" s="270" t="n">
        <f aca="false">++K41</f>
        <v>422529742</v>
      </c>
      <c r="N41" s="270"/>
      <c r="O41" s="270"/>
      <c r="P41" s="270"/>
      <c r="S41" s="173" t="str">
        <f aca="false">IF(ISNUMBER(MATCH(G41&amp;"",FS_map!$D:$D,0)),G41&amp;"",IF(H41="","",H41&amp;""))</f>
        <v>11200000</v>
      </c>
    </row>
    <row r="42" customFormat="false" ht="10.5" hidden="false" customHeight="true" outlineLevel="0" collapsed="false">
      <c r="F42" s="271" t="s">
        <v>493</v>
      </c>
      <c r="G42" s="272" t="n">
        <v>10300850</v>
      </c>
      <c r="H42" s="282" t="n">
        <v>86104100</v>
      </c>
      <c r="I42" s="274" t="s">
        <v>115</v>
      </c>
      <c r="J42" s="288"/>
      <c r="K42" s="286" t="n">
        <f aca="false">++L40</f>
        <v>485029742</v>
      </c>
      <c r="L42" s="286"/>
      <c r="M42" s="270" t="n">
        <f aca="false">++K42</f>
        <v>485029742</v>
      </c>
      <c r="N42" s="270"/>
      <c r="O42" s="270"/>
      <c r="P42" s="270"/>
      <c r="S42" s="173" t="str">
        <f aca="false">IF(ISNUMBER(MATCH(G42&amp;"",FS_map!$D:$D,0)),G42&amp;"",IF(H42="","",H42&amp;""))</f>
        <v>10300850</v>
      </c>
    </row>
    <row r="43" customFormat="false" ht="10.5" hidden="false" customHeight="true" outlineLevel="0" collapsed="false">
      <c r="F43" s="271" t="s">
        <v>493</v>
      </c>
      <c r="G43" s="272" t="n">
        <v>11300850</v>
      </c>
      <c r="H43" s="282" t="n">
        <v>86111500</v>
      </c>
      <c r="I43" s="274" t="s">
        <v>1457</v>
      </c>
      <c r="J43" s="288"/>
      <c r="K43" s="280"/>
      <c r="L43" s="286" t="n">
        <f aca="false">++K41</f>
        <v>422529742</v>
      </c>
      <c r="M43" s="270" t="n">
        <f aca="false">++-L43</f>
        <v>-422529742</v>
      </c>
      <c r="N43" s="270"/>
      <c r="O43" s="270"/>
      <c r="P43" s="270"/>
      <c r="S43" s="173" t="str">
        <f aca="false">IF(ISNUMBER(MATCH(G43&amp;"",FS_map!$D:$D,0)),G43&amp;"",IF(H43="","",H43&amp;""))</f>
        <v>11300850</v>
      </c>
    </row>
    <row r="44" customFormat="false" ht="10.5" hidden="false" customHeight="true" outlineLevel="0" collapsed="false">
      <c r="F44" s="271"/>
      <c r="G44" s="272"/>
      <c r="H44" s="282"/>
      <c r="I44" s="288"/>
      <c r="J44" s="288"/>
      <c r="K44" s="280"/>
      <c r="L44" s="280"/>
      <c r="M44" s="270"/>
      <c r="N44" s="270"/>
      <c r="O44" s="270"/>
      <c r="P44" s="270"/>
    </row>
    <row r="45" customFormat="false" ht="10.5" hidden="false" customHeight="true" outlineLevel="0" collapsed="false">
      <c r="C45" s="281" t="n">
        <v>8</v>
      </c>
      <c r="D45" s="281" t="s">
        <v>1458</v>
      </c>
      <c r="F45" s="271" t="s">
        <v>493</v>
      </c>
      <c r="G45" s="272" t="s">
        <v>791</v>
      </c>
      <c r="H45" s="282"/>
      <c r="I45" s="274" t="s">
        <v>171</v>
      </c>
      <c r="J45" s="288"/>
      <c r="K45" s="280"/>
      <c r="L45" s="286" t="n">
        <v>612260090</v>
      </c>
      <c r="M45" s="270"/>
      <c r="N45" s="270" t="n">
        <f aca="false">-L45</f>
        <v>-612260090</v>
      </c>
      <c r="O45" s="270"/>
      <c r="P45" s="270"/>
      <c r="S45" s="173" t="str">
        <f aca="false">IF(ISNUMBER(MATCH(G45&amp;"",FS_map!$D:$D,0)),G45&amp;"",IF(H45="","",H45&amp;""))</f>
        <v>42910000</v>
      </c>
    </row>
    <row r="46" customFormat="false" ht="10.5" hidden="false" customHeight="true" outlineLevel="0" collapsed="false">
      <c r="D46" s="281" t="s">
        <v>1459</v>
      </c>
      <c r="F46" s="271" t="s">
        <v>493</v>
      </c>
      <c r="G46" s="272" t="s">
        <v>714</v>
      </c>
      <c r="H46" s="282"/>
      <c r="I46" s="274" t="s">
        <v>165</v>
      </c>
      <c r="J46" s="288"/>
      <c r="K46" s="286" t="n">
        <f aca="false">L45</f>
        <v>612260090</v>
      </c>
      <c r="L46" s="280"/>
      <c r="M46" s="270"/>
      <c r="N46" s="270" t="n">
        <f aca="false">K46</f>
        <v>612260090</v>
      </c>
      <c r="O46" s="270"/>
      <c r="P46" s="270"/>
      <c r="S46" s="173" t="str">
        <f aca="false">IF(ISNUMBER(MATCH(G46&amp;"",FS_map!$D:$D,0)),G46&amp;"",IF(H46="","",H46&amp;""))</f>
        <v>40000012</v>
      </c>
    </row>
    <row r="47" customFormat="false" ht="10.5" hidden="false" customHeight="true" outlineLevel="0" collapsed="false">
      <c r="F47" s="271"/>
      <c r="G47" s="272"/>
      <c r="H47" s="282"/>
      <c r="I47" s="288"/>
      <c r="J47" s="288"/>
      <c r="K47" s="280"/>
      <c r="L47" s="280"/>
      <c r="M47" s="270"/>
      <c r="N47" s="270"/>
      <c r="O47" s="270"/>
      <c r="P47" s="270"/>
    </row>
    <row r="48" customFormat="false" ht="10.5" hidden="false" customHeight="true" outlineLevel="0" collapsed="false">
      <c r="F48" s="271"/>
      <c r="G48" s="272"/>
      <c r="H48" s="282"/>
      <c r="I48" s="288"/>
      <c r="J48" s="288"/>
      <c r="K48" s="280"/>
      <c r="L48" s="280"/>
      <c r="M48" s="270"/>
      <c r="N48" s="270"/>
      <c r="O48" s="270"/>
      <c r="P48" s="270"/>
    </row>
    <row r="49" customFormat="false" ht="10.5" hidden="false" customHeight="true" outlineLevel="0" collapsed="false">
      <c r="A49" s="290" t="s">
        <v>1460</v>
      </c>
      <c r="B49" s="290" t="n">
        <v>2026.02</v>
      </c>
      <c r="C49" s="290" t="n">
        <f aca="false">C45+1</f>
        <v>9</v>
      </c>
      <c r="D49" s="290" t="s">
        <v>1461</v>
      </c>
      <c r="F49" s="291" t="s">
        <v>841</v>
      </c>
      <c r="G49" s="292" t="n">
        <v>74250001</v>
      </c>
      <c r="H49" s="293" t="n">
        <v>86200400</v>
      </c>
      <c r="I49" s="294" t="s">
        <v>339</v>
      </c>
      <c r="J49" s="294"/>
      <c r="K49" s="295"/>
      <c r="L49" s="295" t="n">
        <v>0</v>
      </c>
      <c r="M49" s="296"/>
      <c r="N49" s="296"/>
      <c r="O49" s="296"/>
      <c r="P49" s="296" t="n">
        <f aca="false">++-L49</f>
        <v>-0</v>
      </c>
      <c r="S49" s="173" t="str">
        <f aca="false">IF(ISNUMBER(MATCH(G49&amp;"",FS_map!$D:$D,0)),G49&amp;"",IF(H49="","",H49&amp;""))</f>
        <v>74250001</v>
      </c>
    </row>
    <row r="50" customFormat="false" ht="10.5" hidden="false" customHeight="true" outlineLevel="0" collapsed="false">
      <c r="F50" s="291" t="s">
        <v>493</v>
      </c>
      <c r="G50" s="292" t="n">
        <v>26050000</v>
      </c>
      <c r="H50" s="293" t="n">
        <v>86260033</v>
      </c>
      <c r="I50" s="294"/>
      <c r="J50" s="294" t="s">
        <v>36</v>
      </c>
      <c r="K50" s="295" t="n">
        <f aca="false">++L49</f>
        <v>0</v>
      </c>
      <c r="M50" s="296"/>
      <c r="N50" s="296" t="n">
        <f aca="false">++K50</f>
        <v>0</v>
      </c>
      <c r="O50" s="296"/>
      <c r="P50" s="296"/>
      <c r="S50" s="173" t="str">
        <f aca="false">IF(ISNUMBER(MATCH(G50&amp;"",FS_map!$D:$D,0)),G50&amp;"",IF(H50="","",H50&amp;""))</f>
        <v>26050000</v>
      </c>
    </row>
    <row r="51" customFormat="false" ht="10.5" hidden="false" customHeight="true" outlineLevel="0" collapsed="false">
      <c r="F51" s="291"/>
      <c r="G51" s="292"/>
      <c r="H51" s="293"/>
      <c r="I51" s="294"/>
      <c r="J51" s="294"/>
      <c r="K51" s="295"/>
      <c r="L51" s="295"/>
      <c r="M51" s="296"/>
      <c r="N51" s="296"/>
      <c r="O51" s="296"/>
      <c r="P51" s="296"/>
    </row>
    <row r="52" customFormat="false" ht="10.5" hidden="false" customHeight="true" outlineLevel="0" collapsed="false">
      <c r="A52" s="290" t="s">
        <v>1460</v>
      </c>
      <c r="B52" s="290" t="n">
        <v>2026.02</v>
      </c>
      <c r="C52" s="290" t="n">
        <v>10</v>
      </c>
      <c r="D52" s="290" t="s">
        <v>1462</v>
      </c>
      <c r="F52" s="291" t="s">
        <v>841</v>
      </c>
      <c r="G52" s="292" t="n">
        <v>53000005</v>
      </c>
      <c r="H52" s="293" t="n">
        <v>86000800</v>
      </c>
      <c r="I52" s="294" t="s">
        <v>874</v>
      </c>
      <c r="J52" s="294"/>
      <c r="K52" s="295" t="n">
        <v>0</v>
      </c>
      <c r="L52" s="295"/>
      <c r="M52" s="296"/>
      <c r="N52" s="296"/>
      <c r="O52" s="296"/>
      <c r="P52" s="296" t="n">
        <f aca="false">++K52</f>
        <v>0</v>
      </c>
      <c r="Q52" s="290" t="s">
        <v>1463</v>
      </c>
      <c r="S52" s="173" t="str">
        <f aca="false">IF(ISNUMBER(MATCH(G52&amp;"",FS_map!$D:$D,0)),G52&amp;"",IF(H52="","",H52&amp;""))</f>
        <v>53000005</v>
      </c>
    </row>
    <row r="53" customFormat="false" ht="10.5" hidden="false" customHeight="true" outlineLevel="0" collapsed="false">
      <c r="D53" s="290" t="s">
        <v>1464</v>
      </c>
      <c r="F53" s="291" t="s">
        <v>493</v>
      </c>
      <c r="G53" s="292" t="n">
        <v>40100000</v>
      </c>
      <c r="H53" s="293" t="n">
        <v>86429100</v>
      </c>
      <c r="I53" s="294"/>
      <c r="J53" s="294" t="s">
        <v>161</v>
      </c>
      <c r="K53" s="295"/>
      <c r="L53" s="295" t="n">
        <f aca="false">++K52</f>
        <v>0</v>
      </c>
      <c r="M53" s="296"/>
      <c r="N53" s="296" t="n">
        <f aca="false">++-L53</f>
        <v>-0</v>
      </c>
      <c r="O53" s="296"/>
      <c r="P53" s="296"/>
      <c r="Q53" s="290" t="s">
        <v>1463</v>
      </c>
      <c r="S53" s="173" t="str">
        <f aca="false">IF(ISNUMBER(MATCH(G53&amp;"",FS_map!$D:$D,0)),G53&amp;"",IF(H53="","",H53&amp;""))</f>
        <v>40100000</v>
      </c>
    </row>
    <row r="54" customFormat="false" ht="10.5" hidden="false" customHeight="true" outlineLevel="0" collapsed="false">
      <c r="D54" s="290" t="s">
        <v>1465</v>
      </c>
      <c r="F54" s="291"/>
      <c r="G54" s="292"/>
      <c r="H54" s="293"/>
      <c r="I54" s="294"/>
      <c r="J54" s="294"/>
      <c r="K54" s="295"/>
      <c r="L54" s="295"/>
      <c r="M54" s="296"/>
      <c r="N54" s="296"/>
      <c r="O54" s="296"/>
      <c r="P54" s="296"/>
    </row>
    <row r="55" customFormat="false" ht="10.5" hidden="false" customHeight="true" outlineLevel="0" collapsed="false">
      <c r="F55" s="271"/>
      <c r="G55" s="272"/>
      <c r="H55" s="282"/>
      <c r="I55" s="288"/>
      <c r="J55" s="288"/>
      <c r="K55" s="280"/>
      <c r="L55" s="280"/>
      <c r="M55" s="270"/>
      <c r="N55" s="270"/>
      <c r="O55" s="270"/>
      <c r="P55" s="270"/>
    </row>
    <row r="56" customFormat="false" ht="11.25" hidden="false" customHeight="true" outlineLevel="0" collapsed="false">
      <c r="C56" s="281" t="n">
        <v>11</v>
      </c>
      <c r="D56" s="297" t="s">
        <v>1466</v>
      </c>
      <c r="F56" s="271" t="s">
        <v>493</v>
      </c>
      <c r="G56" s="272"/>
      <c r="H56" s="282"/>
      <c r="I56" s="288"/>
      <c r="J56" s="274" t="s">
        <v>39</v>
      </c>
      <c r="K56" s="280"/>
      <c r="L56" s="287" t="n">
        <v>9</v>
      </c>
      <c r="M56" s="270" t="n">
        <f aca="false">++-L56</f>
        <v>-9</v>
      </c>
      <c r="N56" s="270"/>
      <c r="O56" s="270"/>
      <c r="P56" s="270"/>
      <c r="T56" s="298" t="s">
        <v>1467</v>
      </c>
    </row>
    <row r="57" customFormat="false" ht="10.5" hidden="false" customHeight="true" outlineLevel="0" collapsed="false">
      <c r="F57" s="271" t="s">
        <v>493</v>
      </c>
      <c r="G57" s="272"/>
      <c r="H57" s="282"/>
      <c r="I57" s="274" t="s">
        <v>173</v>
      </c>
      <c r="J57" s="288"/>
      <c r="K57" s="287" t="n">
        <v>9</v>
      </c>
      <c r="L57" s="280"/>
      <c r="M57" s="270"/>
      <c r="N57" s="270" t="n">
        <f aca="false">++K57</f>
        <v>9</v>
      </c>
      <c r="O57" s="270"/>
      <c r="P57" s="270"/>
      <c r="T57" s="298" t="s">
        <v>1467</v>
      </c>
    </row>
    <row r="58" customFormat="false" ht="10.5" hidden="false" customHeight="true" outlineLevel="0" collapsed="false">
      <c r="F58" s="271"/>
      <c r="G58" s="272"/>
      <c r="H58" s="282"/>
      <c r="I58" s="288"/>
      <c r="J58" s="288"/>
      <c r="K58" s="280"/>
      <c r="L58" s="280"/>
      <c r="M58" s="270"/>
      <c r="N58" s="270"/>
      <c r="O58" s="270"/>
      <c r="P58" s="270"/>
    </row>
    <row r="59" customFormat="false" ht="10.5" hidden="false" customHeight="true" outlineLevel="0" collapsed="false">
      <c r="F59" s="271"/>
      <c r="G59" s="272"/>
      <c r="H59" s="282"/>
      <c r="I59" s="288"/>
      <c r="J59" s="288"/>
      <c r="K59" s="280"/>
      <c r="L59" s="280"/>
      <c r="M59" s="270"/>
      <c r="N59" s="270"/>
      <c r="O59" s="270"/>
      <c r="P59" s="270"/>
    </row>
    <row r="60" customFormat="false" ht="10.5" hidden="false" customHeight="true" outlineLevel="0" collapsed="false">
      <c r="C60" s="281" t="n">
        <v>12</v>
      </c>
      <c r="D60" s="281" t="s">
        <v>1468</v>
      </c>
      <c r="F60" s="271" t="s">
        <v>841</v>
      </c>
      <c r="G60" s="272"/>
      <c r="H60" s="282"/>
      <c r="I60" s="274" t="s">
        <v>332</v>
      </c>
      <c r="J60" s="288"/>
      <c r="K60" s="287" t="n">
        <v>0</v>
      </c>
      <c r="L60" s="280"/>
      <c r="M60" s="270"/>
      <c r="N60" s="270"/>
      <c r="O60" s="270"/>
      <c r="P60" s="270" t="n">
        <f aca="false">++K60</f>
        <v>0</v>
      </c>
    </row>
    <row r="61" customFormat="false" ht="10.5" hidden="false" customHeight="true" outlineLevel="0" collapsed="false">
      <c r="F61" s="271" t="s">
        <v>841</v>
      </c>
      <c r="G61" s="272"/>
      <c r="H61" s="282"/>
      <c r="I61" s="288"/>
      <c r="J61" s="274" t="s">
        <v>339</v>
      </c>
      <c r="K61" s="280"/>
      <c r="L61" s="287" t="n">
        <v>0</v>
      </c>
      <c r="M61" s="270"/>
      <c r="N61" s="270"/>
      <c r="O61" s="270"/>
      <c r="P61" s="270" t="n">
        <f aca="false">++-L61</f>
        <v>-0</v>
      </c>
      <c r="Q61" s="281" t="s">
        <v>1469</v>
      </c>
    </row>
    <row r="62" customFormat="false" ht="10.5" hidden="false" customHeight="true" outlineLevel="0" collapsed="false">
      <c r="F62" s="271"/>
      <c r="G62" s="272"/>
      <c r="H62" s="282"/>
      <c r="I62" s="288"/>
      <c r="J62" s="288"/>
      <c r="K62" s="280"/>
      <c r="L62" s="280"/>
      <c r="M62" s="270"/>
      <c r="N62" s="270"/>
      <c r="O62" s="270"/>
      <c r="P62" s="270"/>
    </row>
    <row r="63" customFormat="false" ht="10.5" hidden="false" customHeight="true" outlineLevel="0" collapsed="false">
      <c r="A63" s="290" t="s">
        <v>1460</v>
      </c>
      <c r="B63" s="290" t="n">
        <v>2026.02</v>
      </c>
      <c r="C63" s="290" t="n">
        <v>13</v>
      </c>
      <c r="D63" s="299" t="s">
        <v>1470</v>
      </c>
      <c r="F63" s="291" t="s">
        <v>493</v>
      </c>
      <c r="G63" s="292" t="n">
        <v>40100000</v>
      </c>
      <c r="H63" s="293" t="n">
        <v>86429100</v>
      </c>
      <c r="I63" s="294" t="s">
        <v>161</v>
      </c>
      <c r="J63" s="294"/>
      <c r="K63" s="295" t="n">
        <v>0</v>
      </c>
      <c r="L63" s="295"/>
      <c r="M63" s="296"/>
      <c r="N63" s="296" t="n">
        <f aca="false">++K63</f>
        <v>0</v>
      </c>
      <c r="O63" s="296"/>
      <c r="P63" s="296"/>
      <c r="S63" s="173" t="str">
        <f aca="false">IF(ISNUMBER(MATCH(G63&amp;"",FS_map!$D:$D,0)),G63&amp;"",IF(H63="","",H63&amp;""))</f>
        <v>40100000</v>
      </c>
    </row>
    <row r="64" customFormat="false" ht="10.5" hidden="false" customHeight="true" outlineLevel="0" collapsed="false">
      <c r="D64" s="290" t="s">
        <v>1471</v>
      </c>
      <c r="F64" s="291" t="s">
        <v>841</v>
      </c>
      <c r="G64" s="292" t="n">
        <v>74250001</v>
      </c>
      <c r="H64" s="293" t="n">
        <v>86200400</v>
      </c>
      <c r="I64" s="294"/>
      <c r="J64" s="294" t="s">
        <v>339</v>
      </c>
      <c r="K64" s="295"/>
      <c r="L64" s="295" t="n">
        <v>0</v>
      </c>
      <c r="M64" s="296"/>
      <c r="N64" s="296"/>
      <c r="O64" s="296"/>
      <c r="P64" s="296" t="n">
        <f aca="false">++-L64</f>
        <v>-0</v>
      </c>
      <c r="S64" s="173" t="str">
        <f aca="false">IF(ISNUMBER(MATCH(G64&amp;"",FS_map!$D:$D,0)),G64&amp;"",IF(H64="","",H64&amp;""))</f>
        <v>74250001</v>
      </c>
    </row>
    <row r="65" customFormat="false" ht="10.5" hidden="false" customHeight="true" outlineLevel="0" collapsed="false">
      <c r="D65" s="290" t="s">
        <v>1472</v>
      </c>
      <c r="F65" s="291" t="s">
        <v>841</v>
      </c>
      <c r="G65" s="292" t="n">
        <v>74250001</v>
      </c>
      <c r="H65" s="293" t="n">
        <v>86200400</v>
      </c>
      <c r="I65" s="294"/>
      <c r="J65" s="294" t="s">
        <v>339</v>
      </c>
      <c r="K65" s="295"/>
      <c r="L65" s="295" t="n">
        <v>0</v>
      </c>
      <c r="M65" s="296"/>
      <c r="N65" s="296"/>
      <c r="O65" s="296"/>
      <c r="P65" s="296" t="n">
        <f aca="false">++-L65</f>
        <v>-0</v>
      </c>
      <c r="S65" s="173" t="str">
        <f aca="false">IF(ISNUMBER(MATCH(G65&amp;"",FS_map!$D:$D,0)),G65&amp;"",IF(H65="","",H65&amp;""))</f>
        <v>74250001</v>
      </c>
    </row>
    <row r="66" customFormat="false" ht="10.5" hidden="false" customHeight="true" outlineLevel="0" collapsed="false">
      <c r="F66" s="271"/>
      <c r="G66" s="272"/>
      <c r="H66" s="282"/>
      <c r="I66" s="288"/>
      <c r="J66" s="288"/>
      <c r="K66" s="280"/>
      <c r="L66" s="280"/>
      <c r="M66" s="270"/>
      <c r="N66" s="270"/>
      <c r="O66" s="270"/>
      <c r="P66" s="270"/>
    </row>
    <row r="67" customFormat="false" ht="10.5" hidden="false" customHeight="true" outlineLevel="0" collapsed="false">
      <c r="F67" s="271"/>
      <c r="G67" s="272"/>
      <c r="H67" s="282"/>
      <c r="I67" s="288"/>
      <c r="J67" s="288"/>
      <c r="K67" s="280"/>
      <c r="L67" s="280"/>
      <c r="M67" s="270"/>
      <c r="N67" s="270"/>
      <c r="O67" s="270"/>
      <c r="P67" s="270"/>
    </row>
    <row r="68" customFormat="false" ht="10.5" hidden="false" customHeight="true" outlineLevel="0" collapsed="false">
      <c r="F68" s="271"/>
      <c r="G68" s="272"/>
      <c r="H68" s="282"/>
      <c r="I68" s="288"/>
      <c r="J68" s="288"/>
      <c r="K68" s="280"/>
      <c r="L68" s="280"/>
      <c r="M68" s="270"/>
      <c r="N68" s="270"/>
      <c r="O68" s="270"/>
      <c r="P68" s="270"/>
    </row>
    <row r="69" customFormat="false" ht="10.5" hidden="false" customHeight="true" outlineLevel="0" collapsed="false">
      <c r="A69" s="290" t="s">
        <v>1460</v>
      </c>
      <c r="B69" s="290" t="n">
        <v>2026.03</v>
      </c>
      <c r="C69" s="290" t="n">
        <v>14</v>
      </c>
      <c r="D69" s="299" t="s">
        <v>1473</v>
      </c>
      <c r="F69" s="291" t="s">
        <v>493</v>
      </c>
      <c r="G69" s="292"/>
      <c r="H69" s="293" t="n">
        <v>86291000</v>
      </c>
      <c r="I69" s="294" t="s">
        <v>1474</v>
      </c>
      <c r="J69" s="294"/>
      <c r="K69" s="295" t="n">
        <v>0</v>
      </c>
      <c r="L69" s="295"/>
      <c r="M69" s="296" t="n">
        <f aca="false">K69</f>
        <v>0</v>
      </c>
      <c r="N69" s="296"/>
      <c r="O69" s="296"/>
      <c r="P69" s="296"/>
      <c r="S69" s="173" t="str">
        <f aca="false">IF(ISNUMBER(MATCH(G69&amp;"",FS_map!$D:$D,0)),G69&amp;"",IF(H69="","",H69&amp;""))</f>
        <v>86291000</v>
      </c>
    </row>
    <row r="70" customFormat="false" ht="10.5" hidden="false" customHeight="true" outlineLevel="0" collapsed="false">
      <c r="F70" s="291" t="s">
        <v>493</v>
      </c>
      <c r="G70" s="292"/>
      <c r="H70" s="293" t="n">
        <v>86429307</v>
      </c>
      <c r="I70" s="294" t="s">
        <v>175</v>
      </c>
      <c r="J70" s="294"/>
      <c r="K70" s="295" t="n">
        <v>0</v>
      </c>
      <c r="L70" s="295"/>
      <c r="M70" s="296"/>
      <c r="N70" s="296" t="n">
        <f aca="false">K70</f>
        <v>0</v>
      </c>
      <c r="O70" s="296"/>
      <c r="P70" s="296"/>
      <c r="S70" s="173" t="str">
        <f aca="false">IF(ISNUMBER(MATCH(G70&amp;"",FS_map!$D:$D,0)),G70&amp;"",IF(H70="","",H70&amp;""))</f>
        <v>86429307</v>
      </c>
    </row>
    <row r="71" customFormat="false" ht="10.5" hidden="false" customHeight="true" outlineLevel="0" collapsed="false">
      <c r="F71" s="291" t="s">
        <v>493</v>
      </c>
      <c r="G71" s="292"/>
      <c r="H71" s="293" t="n">
        <v>86291502</v>
      </c>
      <c r="I71" s="294" t="s">
        <v>1475</v>
      </c>
      <c r="J71" s="294"/>
      <c r="K71" s="295"/>
      <c r="L71" s="295" t="n">
        <v>0</v>
      </c>
      <c r="M71" s="296" t="n">
        <f aca="false">-L71</f>
        <v>-0</v>
      </c>
      <c r="N71" s="296"/>
      <c r="O71" s="296"/>
      <c r="P71" s="296"/>
      <c r="S71" s="173" t="str">
        <f aca="false">IF(ISNUMBER(MATCH(G71&amp;"",FS_map!$D:$D,0)),G71&amp;"",IF(H71="","",H71&amp;""))</f>
        <v>86291502</v>
      </c>
    </row>
    <row r="72" customFormat="false" ht="10.5" hidden="false" customHeight="true" outlineLevel="0" collapsed="false">
      <c r="F72" s="291" t="s">
        <v>493</v>
      </c>
      <c r="G72" s="292"/>
      <c r="H72" s="293" t="n">
        <v>86266003</v>
      </c>
      <c r="I72" s="294" t="s">
        <v>147</v>
      </c>
      <c r="J72" s="294"/>
      <c r="K72" s="295"/>
      <c r="L72" s="295" t="n">
        <v>0</v>
      </c>
      <c r="M72" s="296" t="n">
        <f aca="false">-L72</f>
        <v>-0</v>
      </c>
      <c r="N72" s="296"/>
      <c r="O72" s="296"/>
      <c r="P72" s="296"/>
      <c r="S72" s="173" t="str">
        <f aca="false">IF(ISNUMBER(MATCH(G72&amp;"",FS_map!$D:$D,0)),G72&amp;"",IF(H72="","",H72&amp;""))</f>
        <v>86266003</v>
      </c>
    </row>
    <row r="73" customFormat="false" ht="10.5" hidden="false" customHeight="true" outlineLevel="0" collapsed="false">
      <c r="F73" s="291" t="s">
        <v>841</v>
      </c>
      <c r="G73" s="292"/>
      <c r="H73" s="293" t="n">
        <v>86000000</v>
      </c>
      <c r="I73" s="294" t="s">
        <v>368</v>
      </c>
      <c r="J73" s="294"/>
      <c r="K73" s="295"/>
      <c r="L73" s="295" t="n">
        <v>0</v>
      </c>
      <c r="M73" s="296"/>
      <c r="N73" s="296"/>
      <c r="O73" s="296"/>
      <c r="P73" s="296" t="n">
        <f aca="false">-L73</f>
        <v>-0</v>
      </c>
      <c r="S73" s="173" t="str">
        <f aca="false">IF(ISNUMBER(MATCH(G73&amp;"",FS_map!$D:$D,0)),G73&amp;"",IF(H73="","",H73&amp;""))</f>
        <v>86000000</v>
      </c>
    </row>
    <row r="74" customFormat="false" ht="10.5" hidden="false" customHeight="true" outlineLevel="0" collapsed="false">
      <c r="F74" s="271"/>
      <c r="G74" s="272"/>
      <c r="H74" s="282"/>
      <c r="I74" s="288"/>
      <c r="J74" s="288"/>
      <c r="K74" s="280"/>
      <c r="L74" s="280"/>
      <c r="M74" s="270"/>
      <c r="N74" s="270"/>
      <c r="O74" s="270"/>
      <c r="P74" s="270"/>
    </row>
    <row r="75" customFormat="false" ht="10.5" hidden="false" customHeight="true" outlineLevel="0" collapsed="false">
      <c r="D75" s="281"/>
      <c r="E75" s="300"/>
      <c r="F75" s="300"/>
      <c r="G75" s="301" t="s">
        <v>1476</v>
      </c>
      <c r="H75" s="300"/>
      <c r="I75" s="302"/>
      <c r="J75" s="302"/>
      <c r="K75" s="302" t="n">
        <f aca="false">SUM(K7:K74)</f>
        <v>35406828653</v>
      </c>
      <c r="L75" s="302" t="n">
        <f aca="false">SUM(L7:L74)</f>
        <v>35406828653</v>
      </c>
      <c r="M75" s="302" t="n">
        <f aca="false">SUM(M7:M74)</f>
        <v>-12415810133</v>
      </c>
      <c r="N75" s="302" t="n">
        <f aca="false">SUM(N7:N74)</f>
        <v>12415810133</v>
      </c>
      <c r="O75" s="302" t="n">
        <f aca="false">SUM(O7:O74)</f>
        <v>0</v>
      </c>
      <c r="P75" s="302" t="n">
        <f aca="false">SUM(P7:P74)</f>
        <v>0</v>
      </c>
      <c r="Q75" s="303" t="n">
        <f aca="false">++M75+N75+O75+P75</f>
        <v>0</v>
      </c>
      <c r="V75" s="304"/>
    </row>
    <row r="76" customFormat="false" ht="10.5" hidden="false" customHeight="true" outlineLevel="0" collapsed="false">
      <c r="G76" s="305"/>
    </row>
    <row r="77" customFormat="false" ht="10.5" hidden="false" customHeight="true" outlineLevel="0" collapsed="false">
      <c r="G77" s="305"/>
    </row>
    <row r="78" customFormat="false" ht="10.5" hidden="false" customHeight="true" outlineLevel="0" collapsed="false">
      <c r="G78" s="305"/>
    </row>
    <row r="79" customFormat="false" ht="10.5" hidden="false" customHeight="true" outlineLevel="0" collapsed="false">
      <c r="G79" s="30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R46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8.72"/>
    <col collapsed="false" customWidth="true" hidden="false" outlineLevel="0" max="2" min="2" style="162" width="9.18"/>
    <col collapsed="false" customWidth="true" hidden="false" outlineLevel="0" max="3" min="3" style="162" width="31.19"/>
    <col collapsed="false" customWidth="true" hidden="false" outlineLevel="0" max="4" min="4" style="162" width="26.82"/>
    <col collapsed="false" customWidth="true" hidden="false" outlineLevel="0" max="5" min="5" style="162" width="18.18"/>
    <col collapsed="false" customWidth="true" hidden="false" outlineLevel="0" max="6" min="6" style="162" width="23.54"/>
    <col collapsed="false" customWidth="true" hidden="false" outlineLevel="0" max="8" min="8" style="162" width="8.91"/>
    <col collapsed="false" customWidth="true" hidden="false" outlineLevel="0" max="9" min="9" style="162" width="8"/>
    <col collapsed="false" customWidth="true" hidden="false" outlineLevel="0" max="10" min="10" style="162" width="7.45"/>
    <col collapsed="false" customWidth="true" hidden="false" outlineLevel="0" max="11" min="11" style="162" width="41.09"/>
    <col collapsed="false" customWidth="true" hidden="false" outlineLevel="0" max="12" min="12" style="162" width="13.09"/>
    <col collapsed="false" customWidth="true" hidden="false" outlineLevel="0" max="13" min="13" style="162" width="21.09"/>
    <col collapsed="false" customWidth="true" hidden="false" outlineLevel="0" max="14" min="14" style="162" width="14.36"/>
    <col collapsed="false" customWidth="true" hidden="false" outlineLevel="0" max="15" min="15" style="162" width="21.09"/>
    <col collapsed="false" customWidth="true" hidden="false" outlineLevel="0" max="17" min="17" style="162" width="17.18"/>
    <col collapsed="false" customWidth="true" hidden="true" outlineLevel="0" max="18" min="18" style="162" width="17.18"/>
    <col collapsed="false" customWidth="true" hidden="false" outlineLevel="0" max="26" min="26" style="162" width="17.18"/>
    <col collapsed="false" customWidth="true" hidden="true" outlineLevel="0" max="27" min="27" style="162" width="17.18"/>
    <col collapsed="false" customWidth="true" hidden="false" outlineLevel="0" max="31" min="31" style="162" width="16.45"/>
    <col collapsed="false" customWidth="true" hidden="false" outlineLevel="0" max="32" min="32" style="162" width="15.63"/>
    <col collapsed="false" customWidth="true" hidden="false" outlineLevel="0" max="33" min="33" style="162" width="16.45"/>
    <col collapsed="false" customWidth="true" hidden="false" outlineLevel="0" max="34" min="34" style="162" width="15.45"/>
    <col collapsed="false" customWidth="true" hidden="false" outlineLevel="0" max="36" min="36" style="162" width="16.45"/>
    <col collapsed="false" customWidth="true" hidden="false" outlineLevel="0" max="37" min="37" style="162" width="15.45"/>
    <col collapsed="false" customWidth="true" hidden="false" outlineLevel="0" max="38" min="38" style="162" width="16.45"/>
    <col collapsed="false" customWidth="true" hidden="true" outlineLevel="0" max="40" min="40" style="162" width="15.27"/>
    <col collapsed="false" customWidth="true" hidden="true" outlineLevel="0" max="42" min="42" style="162" width="16.63"/>
    <col collapsed="false" customWidth="true" hidden="false" outlineLevel="0" max="43" min="43" style="162" width="20.27"/>
    <col collapsed="false" customWidth="true" hidden="false" outlineLevel="0" max="44" min="44" style="162" width="8.72"/>
  </cols>
  <sheetData>
    <row r="1" customFormat="false" ht="15" hidden="false" customHeight="false" outlineLevel="0" collapsed="false">
      <c r="L1" s="306" t="s">
        <v>1477</v>
      </c>
      <c r="M1" s="306" t="s">
        <v>1477</v>
      </c>
      <c r="N1" s="307" t="s">
        <v>1478</v>
      </c>
      <c r="O1" s="307" t="s">
        <v>1478</v>
      </c>
      <c r="P1" s="307" t="s">
        <v>1478</v>
      </c>
      <c r="Q1" s="308" t="s">
        <v>1479</v>
      </c>
      <c r="R1" s="308" t="s">
        <v>1480</v>
      </c>
      <c r="S1" s="308" t="s">
        <v>1481</v>
      </c>
      <c r="T1" s="308" t="s">
        <v>1482</v>
      </c>
      <c r="U1" s="308" t="s">
        <v>1483</v>
      </c>
      <c r="V1" s="308" t="s">
        <v>1484</v>
      </c>
      <c r="W1" s="308" t="s">
        <v>1485</v>
      </c>
      <c r="X1" s="308" t="s">
        <v>1486</v>
      </c>
      <c r="Y1" s="308" t="s">
        <v>1487</v>
      </c>
      <c r="Z1" s="308" t="s">
        <v>1488</v>
      </c>
      <c r="AA1" s="308"/>
      <c r="AB1" s="308"/>
      <c r="AC1" s="308"/>
      <c r="AD1" s="308"/>
      <c r="AE1" s="309" t="s">
        <v>1480</v>
      </c>
      <c r="AF1" s="309" t="s">
        <v>1481</v>
      </c>
      <c r="AG1" s="309" t="n">
        <v>2025.03</v>
      </c>
      <c r="AH1" s="309" t="n">
        <v>2025.04</v>
      </c>
      <c r="AI1" s="309" t="n">
        <v>2025.05</v>
      </c>
      <c r="AJ1" s="309" t="n">
        <v>2025.06</v>
      </c>
      <c r="AK1" s="309" t="n">
        <v>2025.07</v>
      </c>
      <c r="AL1" s="309" t="n">
        <v>2025.08</v>
      </c>
      <c r="AM1" s="309" t="n">
        <v>2025.09</v>
      </c>
      <c r="AN1" s="309" t="s">
        <v>1489</v>
      </c>
      <c r="AO1" s="309" t="s">
        <v>1490</v>
      </c>
      <c r="AP1" s="309" t="s">
        <v>1479</v>
      </c>
    </row>
    <row r="2" customFormat="false" ht="45" hidden="false" customHeight="true" outlineLevel="0" collapsed="false">
      <c r="A2" s="310" t="s">
        <v>1491</v>
      </c>
      <c r="B2" s="311" t="s">
        <v>1492</v>
      </c>
      <c r="C2" s="312" t="s">
        <v>1493</v>
      </c>
      <c r="D2" s="312" t="s">
        <v>1494</v>
      </c>
      <c r="E2" s="312" t="s">
        <v>1495</v>
      </c>
      <c r="F2" s="312" t="s">
        <v>481</v>
      </c>
      <c r="G2" s="312" t="s">
        <v>1496</v>
      </c>
      <c r="H2" s="311" t="s">
        <v>1497</v>
      </c>
      <c r="I2" s="311" t="s">
        <v>1498</v>
      </c>
      <c r="J2" s="311" t="s">
        <v>1499</v>
      </c>
      <c r="K2" s="311" t="s">
        <v>1500</v>
      </c>
      <c r="L2" s="313" t="s">
        <v>1501</v>
      </c>
      <c r="M2" s="313" t="s">
        <v>1502</v>
      </c>
      <c r="N2" s="314" t="s">
        <v>1503</v>
      </c>
      <c r="O2" s="314" t="s">
        <v>1504</v>
      </c>
      <c r="P2" s="314" t="s">
        <v>1504</v>
      </c>
      <c r="Q2" s="315" t="s">
        <v>1505</v>
      </c>
      <c r="R2" s="315" t="s">
        <v>1506</v>
      </c>
      <c r="S2" s="315" t="s">
        <v>1507</v>
      </c>
      <c r="T2" s="315" t="s">
        <v>1508</v>
      </c>
      <c r="U2" s="315" t="s">
        <v>1509</v>
      </c>
      <c r="V2" s="315" t="s">
        <v>1510</v>
      </c>
      <c r="W2" s="315" t="s">
        <v>1511</v>
      </c>
      <c r="X2" s="315" t="s">
        <v>1512</v>
      </c>
      <c r="Y2" s="315" t="s">
        <v>1513</v>
      </c>
      <c r="Z2" s="315" t="s">
        <v>1514</v>
      </c>
      <c r="AA2" s="315" t="s">
        <v>1514</v>
      </c>
      <c r="AB2" s="315" t="s">
        <v>1515</v>
      </c>
      <c r="AC2" s="315" t="s">
        <v>1516</v>
      </c>
      <c r="AD2" s="315" t="s">
        <v>1517</v>
      </c>
      <c r="AE2" s="316" t="s">
        <v>1518</v>
      </c>
      <c r="AF2" s="316" t="s">
        <v>1519</v>
      </c>
      <c r="AG2" s="316" t="s">
        <v>1520</v>
      </c>
      <c r="AH2" s="316" t="s">
        <v>1521</v>
      </c>
      <c r="AI2" s="316" t="s">
        <v>1522</v>
      </c>
      <c r="AJ2" s="316" t="s">
        <v>1523</v>
      </c>
      <c r="AK2" s="316" t="s">
        <v>1524</v>
      </c>
      <c r="AL2" s="316" t="s">
        <v>1525</v>
      </c>
      <c r="AM2" s="316" t="s">
        <v>1526</v>
      </c>
      <c r="AN2" s="316" t="s">
        <v>1527</v>
      </c>
      <c r="AO2" s="316" t="s">
        <v>1528</v>
      </c>
      <c r="AP2" s="316" t="s">
        <v>1529</v>
      </c>
    </row>
    <row r="3" customFormat="false" ht="15" hidden="false" customHeight="false" outlineLevel="0" collapsed="false">
      <c r="A3" s="310" t="s">
        <v>1530</v>
      </c>
      <c r="B3" s="310" t="s">
        <v>1530</v>
      </c>
      <c r="C3" s="310" t="s">
        <v>1530</v>
      </c>
      <c r="D3" s="310" t="s">
        <v>1530</v>
      </c>
      <c r="E3" s="310" t="s">
        <v>1530</v>
      </c>
      <c r="F3" s="310" t="s">
        <v>1530</v>
      </c>
      <c r="G3" s="310" t="s">
        <v>1530</v>
      </c>
      <c r="H3" s="310" t="s">
        <v>1530</v>
      </c>
      <c r="I3" s="310" t="s">
        <v>1530</v>
      </c>
      <c r="J3" s="310" t="s">
        <v>1530</v>
      </c>
      <c r="K3" s="310" t="s">
        <v>1530</v>
      </c>
      <c r="L3" s="310" t="s">
        <v>1530</v>
      </c>
      <c r="M3" s="310" t="s">
        <v>1530</v>
      </c>
      <c r="N3" s="310"/>
      <c r="O3" s="310"/>
      <c r="P3" s="310"/>
      <c r="Q3" s="310" t="s">
        <v>1530</v>
      </c>
      <c r="R3" s="310" t="s">
        <v>1530</v>
      </c>
      <c r="S3" s="310" t="s">
        <v>1530</v>
      </c>
      <c r="T3" s="310" t="s">
        <v>1530</v>
      </c>
      <c r="U3" s="310" t="s">
        <v>1530</v>
      </c>
      <c r="V3" s="310" t="s">
        <v>1530</v>
      </c>
      <c r="W3" s="310" t="s">
        <v>1530</v>
      </c>
      <c r="X3" s="310" t="s">
        <v>1530</v>
      </c>
      <c r="Y3" s="310" t="s">
        <v>1530</v>
      </c>
      <c r="Z3" s="310" t="s">
        <v>1530</v>
      </c>
      <c r="AA3" s="310" t="s">
        <v>1530</v>
      </c>
      <c r="AB3" s="310" t="s">
        <v>1530</v>
      </c>
      <c r="AC3" s="310" t="s">
        <v>1530</v>
      </c>
      <c r="AD3" s="310" t="s">
        <v>1530</v>
      </c>
      <c r="AE3" s="310" t="s">
        <v>1530</v>
      </c>
      <c r="AF3" s="310" t="s">
        <v>1530</v>
      </c>
      <c r="AG3" s="310" t="s">
        <v>1530</v>
      </c>
      <c r="AH3" s="310" t="s">
        <v>1530</v>
      </c>
      <c r="AI3" s="310" t="s">
        <v>1530</v>
      </c>
      <c r="AJ3" s="310" t="s">
        <v>1530</v>
      </c>
      <c r="AK3" s="310" t="s">
        <v>1530</v>
      </c>
      <c r="AL3" s="310" t="s">
        <v>1530</v>
      </c>
      <c r="AM3" s="310" t="s">
        <v>1530</v>
      </c>
      <c r="AN3" s="310" t="s">
        <v>1530</v>
      </c>
      <c r="AO3" s="310" t="s">
        <v>1530</v>
      </c>
      <c r="AP3" s="310" t="s">
        <v>1530</v>
      </c>
      <c r="AQ3" s="310" t="s">
        <v>1530</v>
      </c>
    </row>
    <row r="4" customFormat="false" ht="15" hidden="false" customHeight="false" outlineLevel="0" collapsed="false">
      <c r="A4" s="310" t="s">
        <v>493</v>
      </c>
      <c r="B4" s="307" t="n">
        <v>10100082</v>
      </c>
      <c r="C4" s="307" t="s">
        <v>1531</v>
      </c>
      <c r="D4" s="307" t="s">
        <v>1532</v>
      </c>
      <c r="E4" s="307" t="s">
        <v>1533</v>
      </c>
      <c r="F4" s="307" t="s">
        <v>1534</v>
      </c>
      <c r="G4" s="307" t="s">
        <v>1535</v>
      </c>
      <c r="H4" s="307" t="s">
        <v>1536</v>
      </c>
      <c r="I4" s="307" t="s">
        <v>1537</v>
      </c>
      <c r="K4" s="307" t="s">
        <v>1538</v>
      </c>
      <c r="L4" s="317" t="s">
        <v>494</v>
      </c>
      <c r="M4" s="317" t="s">
        <v>103</v>
      </c>
      <c r="N4" s="317" t="s">
        <v>494</v>
      </c>
      <c r="O4" s="317" t="s">
        <v>1539</v>
      </c>
      <c r="P4" s="317" t="s">
        <v>103</v>
      </c>
      <c r="Q4" s="318" t="n">
        <v>12060074810</v>
      </c>
      <c r="R4" s="318" t="n">
        <v>12060074810</v>
      </c>
      <c r="S4" s="318" t="n">
        <v>12060074810</v>
      </c>
      <c r="T4" s="318" t="n">
        <v>12060074810</v>
      </c>
      <c r="U4" s="318" t="n">
        <v>12060074810</v>
      </c>
      <c r="V4" s="318" t="n">
        <v>12060074810</v>
      </c>
      <c r="W4" s="318" t="n">
        <v>12060074810</v>
      </c>
      <c r="X4" s="318" t="n">
        <v>12060074810</v>
      </c>
      <c r="Y4" s="318" t="n">
        <v>12060074810</v>
      </c>
      <c r="Z4" s="318" t="n">
        <v>12060074810</v>
      </c>
      <c r="AA4" s="318"/>
      <c r="AB4" s="318"/>
      <c r="AC4" s="318"/>
      <c r="AD4" s="318"/>
      <c r="AE4" s="318" t="n">
        <f aca="false">R4</f>
        <v>12060074810</v>
      </c>
      <c r="AF4" s="318" t="n">
        <f aca="false">S4-R4</f>
        <v>0</v>
      </c>
      <c r="AG4" s="318" t="n">
        <f aca="false">T4-S4</f>
        <v>0</v>
      </c>
      <c r="AH4" s="318" t="n">
        <f aca="false">U4-T4</f>
        <v>0</v>
      </c>
      <c r="AI4" s="318" t="n">
        <f aca="false">V4-U4</f>
        <v>0</v>
      </c>
      <c r="AJ4" s="318" t="n">
        <f aca="false">W4-V4</f>
        <v>0</v>
      </c>
      <c r="AK4" s="318" t="n">
        <f aca="false">X4-W4</f>
        <v>0</v>
      </c>
      <c r="AL4" s="318" t="n">
        <f aca="false">Y4-X4</f>
        <v>0</v>
      </c>
      <c r="AM4" s="318" t="n">
        <f aca="false">Z4-Y4</f>
        <v>0</v>
      </c>
      <c r="AN4" s="318"/>
      <c r="AO4" s="318"/>
      <c r="AP4" s="318"/>
    </row>
    <row r="5" customFormat="false" ht="15" hidden="false" customHeight="false" outlineLevel="0" collapsed="false">
      <c r="A5" s="310" t="s">
        <v>493</v>
      </c>
      <c r="B5" s="307" t="n">
        <v>10100083</v>
      </c>
      <c r="C5" s="307" t="s">
        <v>1540</v>
      </c>
      <c r="D5" s="307" t="s">
        <v>1532</v>
      </c>
      <c r="E5" s="307" t="s">
        <v>1533</v>
      </c>
      <c r="F5" s="307" t="s">
        <v>1541</v>
      </c>
      <c r="G5" s="307" t="s">
        <v>1535</v>
      </c>
      <c r="H5" s="307" t="s">
        <v>1536</v>
      </c>
      <c r="I5" s="307" t="s">
        <v>1542</v>
      </c>
      <c r="K5" s="307" t="s">
        <v>1543</v>
      </c>
      <c r="L5" s="317" t="s">
        <v>494</v>
      </c>
      <c r="M5" s="317" t="s">
        <v>1544</v>
      </c>
      <c r="N5" s="317" t="s">
        <v>494</v>
      </c>
      <c r="O5" s="317" t="s">
        <v>1539</v>
      </c>
      <c r="P5" s="317" t="s">
        <v>1544</v>
      </c>
      <c r="Q5" s="318" t="n">
        <v>-10865717938</v>
      </c>
      <c r="R5" s="318" t="n">
        <v>-10974295836</v>
      </c>
      <c r="S5" s="318" t="n">
        <v>-11082873734</v>
      </c>
      <c r="T5" s="318" t="n">
        <v>-11191451632</v>
      </c>
      <c r="U5" s="318" t="n">
        <v>-11300029530</v>
      </c>
      <c r="V5" s="318" t="n">
        <v>-11408607428</v>
      </c>
      <c r="W5" s="318" t="n">
        <v>-11517185326</v>
      </c>
      <c r="X5" s="318" t="n">
        <v>-11625763224</v>
      </c>
      <c r="Y5" s="318" t="n">
        <v>-11720034754</v>
      </c>
      <c r="Z5" s="318" t="n">
        <v>-11842919020</v>
      </c>
      <c r="AA5" s="318"/>
      <c r="AB5" s="318"/>
      <c r="AC5" s="318"/>
      <c r="AD5" s="318"/>
      <c r="AE5" s="318" t="n">
        <f aca="false">R5</f>
        <v>-10974295836</v>
      </c>
      <c r="AF5" s="318" t="n">
        <f aca="false">S5-R5</f>
        <v>-108577898</v>
      </c>
      <c r="AG5" s="318" t="n">
        <f aca="false">T5-S5</f>
        <v>-108577898</v>
      </c>
      <c r="AH5" s="318" t="n">
        <f aca="false">U5-T5</f>
        <v>-108577898</v>
      </c>
      <c r="AI5" s="318" t="n">
        <f aca="false">V5-U5</f>
        <v>-108577898</v>
      </c>
      <c r="AJ5" s="318" t="n">
        <f aca="false">W5-V5</f>
        <v>-108577898</v>
      </c>
      <c r="AK5" s="318" t="n">
        <f aca="false">X5-W5</f>
        <v>-108577898</v>
      </c>
      <c r="AL5" s="318" t="n">
        <f aca="false">Y5-X5</f>
        <v>-94271530</v>
      </c>
      <c r="AM5" s="318" t="n">
        <f aca="false">Z5-Y5</f>
        <v>-122884266</v>
      </c>
      <c r="AN5" s="318"/>
      <c r="AO5" s="318"/>
      <c r="AP5" s="318"/>
      <c r="AR5" s="307" t="str">
        <f aca="false">IFERROR(VLOOKUP(M5,'BS_DEC 2026'!$D$12:$D$109,1,FALSE()),"(미존재)")</f>
        <v>감가상각누계액-구축물</v>
      </c>
    </row>
    <row r="6" customFormat="false" ht="15" hidden="false" customHeight="false" outlineLevel="0" collapsed="false">
      <c r="A6" s="310" t="s">
        <v>493</v>
      </c>
      <c r="B6" s="307" t="n">
        <v>10100850</v>
      </c>
      <c r="C6" s="307" t="s">
        <v>1545</v>
      </c>
      <c r="D6" s="307" t="s">
        <v>1532</v>
      </c>
      <c r="E6" s="307" t="s">
        <v>1533</v>
      </c>
      <c r="F6" s="307" t="s">
        <v>1546</v>
      </c>
      <c r="G6" s="307" t="s">
        <v>1535</v>
      </c>
      <c r="H6" s="307" t="s">
        <v>1536</v>
      </c>
      <c r="I6" s="307" t="s">
        <v>1547</v>
      </c>
      <c r="K6" s="307" t="s">
        <v>1272</v>
      </c>
      <c r="L6" s="317" t="s">
        <v>494</v>
      </c>
      <c r="M6" s="317" t="s">
        <v>103</v>
      </c>
      <c r="N6" s="317" t="s">
        <v>494</v>
      </c>
      <c r="O6" s="317" t="s">
        <v>1539</v>
      </c>
      <c r="P6" s="317" t="s">
        <v>103</v>
      </c>
      <c r="Q6" s="318" t="n">
        <v>239169200</v>
      </c>
      <c r="R6" s="318" t="n">
        <v>239169200</v>
      </c>
      <c r="S6" s="318" t="n">
        <v>239169200</v>
      </c>
      <c r="T6" s="318" t="n">
        <v>239169200</v>
      </c>
      <c r="U6" s="318" t="n">
        <v>239169200</v>
      </c>
      <c r="V6" s="318" t="n">
        <v>239169200</v>
      </c>
      <c r="W6" s="318" t="n">
        <v>239169200</v>
      </c>
      <c r="X6" s="318" t="n">
        <v>239169200</v>
      </c>
      <c r="Y6" s="318" t="n">
        <v>239169200</v>
      </c>
      <c r="Z6" s="318" t="n">
        <v>239169200</v>
      </c>
      <c r="AA6" s="318"/>
      <c r="AB6" s="318"/>
      <c r="AC6" s="318"/>
      <c r="AD6" s="318"/>
      <c r="AE6" s="318" t="n">
        <f aca="false">R6</f>
        <v>239169200</v>
      </c>
      <c r="AF6" s="318" t="n">
        <f aca="false">S6-R6</f>
        <v>0</v>
      </c>
      <c r="AG6" s="318" t="n">
        <f aca="false">T6-S6</f>
        <v>0</v>
      </c>
      <c r="AH6" s="318" t="n">
        <f aca="false">U6-T6</f>
        <v>0</v>
      </c>
      <c r="AI6" s="318" t="n">
        <f aca="false">V6-U6</f>
        <v>0</v>
      </c>
      <c r="AJ6" s="318" t="n">
        <f aca="false">W6-V6</f>
        <v>0</v>
      </c>
      <c r="AK6" s="318" t="n">
        <f aca="false">X6-W6</f>
        <v>0</v>
      </c>
      <c r="AL6" s="318" t="n">
        <f aca="false">Y6-X6</f>
        <v>0</v>
      </c>
      <c r="AM6" s="318" t="n">
        <f aca="false">Z6-Y6</f>
        <v>0</v>
      </c>
      <c r="AN6" s="318"/>
      <c r="AO6" s="318"/>
      <c r="AP6" s="318"/>
      <c r="AR6" s="307" t="str">
        <f aca="false">IFERROR(VLOOKUP(M6,'BS_DEC 2026'!$D$12:$D$109,1,FALSE()),"(미존재)")</f>
        <v>구축물</v>
      </c>
    </row>
    <row r="7" customFormat="false" ht="15" hidden="false" customHeight="false" outlineLevel="0" collapsed="false">
      <c r="A7" s="310" t="s">
        <v>493</v>
      </c>
      <c r="B7" s="307" t="n">
        <v>10150000</v>
      </c>
      <c r="C7" s="307" t="s">
        <v>1548</v>
      </c>
      <c r="D7" s="307" t="s">
        <v>1532</v>
      </c>
      <c r="E7" s="307" t="s">
        <v>1533</v>
      </c>
      <c r="F7" s="307" t="s">
        <v>1546</v>
      </c>
      <c r="G7" s="307" t="s">
        <v>1535</v>
      </c>
      <c r="H7" s="307" t="s">
        <v>1536</v>
      </c>
      <c r="I7" s="307" t="s">
        <v>1547</v>
      </c>
      <c r="K7" s="307" t="s">
        <v>1272</v>
      </c>
      <c r="L7" s="317" t="s">
        <v>494</v>
      </c>
      <c r="M7" s="317" t="s">
        <v>103</v>
      </c>
      <c r="N7" s="317" t="s">
        <v>494</v>
      </c>
      <c r="O7" s="317" t="s">
        <v>1539</v>
      </c>
      <c r="P7" s="317" t="s">
        <v>103</v>
      </c>
      <c r="Q7" s="318" t="n">
        <v>1304901001</v>
      </c>
      <c r="R7" s="318" t="n">
        <v>1304901001</v>
      </c>
      <c r="S7" s="318" t="n">
        <v>1304901001</v>
      </c>
      <c r="T7" s="318" t="n">
        <v>1304901001</v>
      </c>
      <c r="U7" s="318" t="n">
        <v>1304901001</v>
      </c>
      <c r="V7" s="318" t="n">
        <v>1304901001</v>
      </c>
      <c r="W7" s="318" t="n">
        <v>1304901001</v>
      </c>
      <c r="X7" s="318" t="n">
        <v>1304901001</v>
      </c>
      <c r="Y7" s="318" t="n">
        <v>1304901001</v>
      </c>
      <c r="Z7" s="318" t="n">
        <v>1304901001</v>
      </c>
      <c r="AA7" s="318"/>
      <c r="AB7" s="318"/>
      <c r="AC7" s="318"/>
      <c r="AD7" s="318"/>
      <c r="AE7" s="318" t="n">
        <f aca="false">R7</f>
        <v>1304901001</v>
      </c>
      <c r="AF7" s="318" t="n">
        <f aca="false">S7-R7</f>
        <v>0</v>
      </c>
      <c r="AG7" s="318" t="n">
        <f aca="false">T7-S7</f>
        <v>0</v>
      </c>
      <c r="AH7" s="318" t="n">
        <f aca="false">U7-T7</f>
        <v>0</v>
      </c>
      <c r="AI7" s="318" t="n">
        <f aca="false">V7-U7</f>
        <v>0</v>
      </c>
      <c r="AJ7" s="318" t="n">
        <f aca="false">W7-V7</f>
        <v>0</v>
      </c>
      <c r="AK7" s="318" t="n">
        <f aca="false">X7-W7</f>
        <v>0</v>
      </c>
      <c r="AL7" s="318" t="n">
        <f aca="false">Y7-X7</f>
        <v>0</v>
      </c>
      <c r="AM7" s="318" t="n">
        <f aca="false">Z7-Y7</f>
        <v>0</v>
      </c>
      <c r="AN7" s="318"/>
      <c r="AO7" s="318"/>
      <c r="AP7" s="318"/>
      <c r="AR7" s="307" t="str">
        <f aca="false">IFERROR(VLOOKUP(M7,'BS_DEC 2026'!$D$12:$D$109,1,FALSE()),"(미존재)")</f>
        <v>구축물</v>
      </c>
    </row>
    <row r="8" customFormat="false" ht="15" hidden="false" customHeight="false" outlineLevel="0" collapsed="false">
      <c r="A8" s="310" t="s">
        <v>493</v>
      </c>
      <c r="B8" s="307" t="n">
        <v>10200000</v>
      </c>
      <c r="C8" s="307" t="s">
        <v>1549</v>
      </c>
      <c r="D8" s="307" t="s">
        <v>1532</v>
      </c>
      <c r="E8" s="307" t="s">
        <v>1533</v>
      </c>
      <c r="F8" s="307" t="s">
        <v>1550</v>
      </c>
      <c r="G8" s="307" t="s">
        <v>1535</v>
      </c>
      <c r="H8" s="307" t="s">
        <v>1536</v>
      </c>
      <c r="I8" s="307" t="s">
        <v>1551</v>
      </c>
      <c r="K8" s="307" t="s">
        <v>1552</v>
      </c>
      <c r="L8" s="317" t="s">
        <v>494</v>
      </c>
      <c r="M8" s="317" t="s">
        <v>107</v>
      </c>
      <c r="N8" s="317" t="s">
        <v>494</v>
      </c>
      <c r="O8" s="317" t="s">
        <v>1539</v>
      </c>
      <c r="P8" s="317" t="s">
        <v>107</v>
      </c>
      <c r="Q8" s="318" t="n">
        <v>1434004742</v>
      </c>
      <c r="R8" s="318" t="n">
        <v>1434004742</v>
      </c>
      <c r="S8" s="318" t="n">
        <v>1434004742</v>
      </c>
      <c r="T8" s="318" t="n">
        <v>1434004742</v>
      </c>
      <c r="U8" s="318" t="n">
        <v>1434004742</v>
      </c>
      <c r="V8" s="318" t="n">
        <v>1434004742</v>
      </c>
      <c r="W8" s="318" t="n">
        <v>1434004742</v>
      </c>
      <c r="X8" s="318" t="n">
        <v>1434004742</v>
      </c>
      <c r="Y8" s="318" t="n">
        <v>1434004742</v>
      </c>
      <c r="Z8" s="318" t="n">
        <v>1434004742</v>
      </c>
      <c r="AA8" s="318"/>
      <c r="AB8" s="318"/>
      <c r="AC8" s="318"/>
      <c r="AD8" s="318"/>
      <c r="AE8" s="318" t="n">
        <f aca="false">R8</f>
        <v>1434004742</v>
      </c>
      <c r="AF8" s="318" t="n">
        <f aca="false">S8-R8</f>
        <v>0</v>
      </c>
      <c r="AG8" s="318" t="n">
        <f aca="false">T8-S8</f>
        <v>0</v>
      </c>
      <c r="AH8" s="318" t="n">
        <f aca="false">U8-T8</f>
        <v>0</v>
      </c>
      <c r="AI8" s="318" t="n">
        <f aca="false">V8-U8</f>
        <v>0</v>
      </c>
      <c r="AJ8" s="318" t="n">
        <f aca="false">W8-V8</f>
        <v>0</v>
      </c>
      <c r="AK8" s="318" t="n">
        <f aca="false">X8-W8</f>
        <v>0</v>
      </c>
      <c r="AL8" s="318" t="n">
        <f aca="false">Y8-X8</f>
        <v>0</v>
      </c>
      <c r="AM8" s="318" t="n">
        <f aca="false">Z8-Y8</f>
        <v>0</v>
      </c>
      <c r="AN8" s="318"/>
      <c r="AO8" s="318"/>
      <c r="AP8" s="318"/>
      <c r="AR8" s="307" t="str">
        <f aca="false">IFERROR(VLOOKUP(M8,'BS_DEC 2026'!$D$12:$D$109,1,FALSE()),"(미존재)")</f>
        <v>기계장치</v>
      </c>
    </row>
    <row r="9" customFormat="false" ht="15" hidden="false" customHeight="false" outlineLevel="0" collapsed="false">
      <c r="A9" s="310" t="s">
        <v>493</v>
      </c>
      <c r="B9" s="307" t="n">
        <v>10200921</v>
      </c>
      <c r="C9" s="307" t="s">
        <v>1553</v>
      </c>
      <c r="D9" s="307" t="s">
        <v>1554</v>
      </c>
      <c r="E9" s="307" t="s">
        <v>1555</v>
      </c>
      <c r="F9" s="307" t="s">
        <v>1556</v>
      </c>
      <c r="G9" s="307" t="s">
        <v>1557</v>
      </c>
      <c r="H9" s="307" t="s">
        <v>1536</v>
      </c>
      <c r="I9" s="307" t="s">
        <v>1558</v>
      </c>
      <c r="K9" s="307" t="s">
        <v>1559</v>
      </c>
      <c r="L9" s="317" t="s">
        <v>494</v>
      </c>
      <c r="M9" s="317" t="s">
        <v>66</v>
      </c>
      <c r="N9" s="317" t="s">
        <v>494</v>
      </c>
      <c r="O9" s="317" t="s">
        <v>1560</v>
      </c>
      <c r="P9" s="317" t="s">
        <v>1561</v>
      </c>
      <c r="Q9" s="319" t="n">
        <v>0</v>
      </c>
      <c r="R9" s="318" t="n">
        <v>0</v>
      </c>
      <c r="S9" s="318" t="n">
        <v>0</v>
      </c>
      <c r="T9" s="318" t="n">
        <v>0</v>
      </c>
      <c r="U9" s="318" t="n">
        <v>0</v>
      </c>
      <c r="V9" s="318" t="n">
        <v>0</v>
      </c>
      <c r="W9" s="318" t="n">
        <v>0</v>
      </c>
      <c r="X9" s="318" t="n">
        <v>0</v>
      </c>
      <c r="Y9" s="318" t="n">
        <v>0</v>
      </c>
      <c r="Z9" s="318" t="n">
        <v>0</v>
      </c>
      <c r="AA9" s="318"/>
      <c r="AB9" s="318"/>
      <c r="AC9" s="318"/>
      <c r="AD9" s="318"/>
      <c r="AE9" s="318" t="n">
        <f aca="false">R9</f>
        <v>0</v>
      </c>
      <c r="AF9" s="318" t="n">
        <f aca="false">S9-R9</f>
        <v>0</v>
      </c>
      <c r="AG9" s="318" t="n">
        <f aca="false">T9-S9</f>
        <v>0</v>
      </c>
      <c r="AH9" s="318" t="n">
        <f aca="false">U9-T9</f>
        <v>0</v>
      </c>
      <c r="AI9" s="318" t="n">
        <f aca="false">V9-U9</f>
        <v>0</v>
      </c>
      <c r="AJ9" s="318" t="n">
        <f aca="false">W9-V9</f>
        <v>0</v>
      </c>
      <c r="AK9" s="318" t="n">
        <f aca="false">X9-W9</f>
        <v>0</v>
      </c>
      <c r="AL9" s="318" t="n">
        <f aca="false">Y9-X9</f>
        <v>0</v>
      </c>
      <c r="AM9" s="318" t="n">
        <f aca="false">Z9-Y9</f>
        <v>0</v>
      </c>
      <c r="AN9" s="318"/>
      <c r="AO9" s="318"/>
      <c r="AP9" s="318"/>
      <c r="AR9" s="307" t="str">
        <f aca="false">IFERROR(VLOOKUP(M9,'BS_DEC 2026'!$D$12:$D$109,1,FALSE()),"(미존재)")</f>
        <v>상품</v>
      </c>
    </row>
    <row r="10" customFormat="false" ht="15" hidden="false" customHeight="false" outlineLevel="0" collapsed="false">
      <c r="A10" s="310" t="s">
        <v>493</v>
      </c>
      <c r="B10" s="307" t="n">
        <v>10300000</v>
      </c>
      <c r="C10" s="307" t="s">
        <v>1562</v>
      </c>
      <c r="D10" s="307" t="s">
        <v>1532</v>
      </c>
      <c r="E10" s="307" t="s">
        <v>1533</v>
      </c>
      <c r="F10" s="307" t="s">
        <v>1563</v>
      </c>
      <c r="G10" s="307" t="s">
        <v>1535</v>
      </c>
      <c r="H10" s="307" t="s">
        <v>1536</v>
      </c>
      <c r="I10" s="307" t="s">
        <v>1564</v>
      </c>
      <c r="K10" s="307" t="s">
        <v>1565</v>
      </c>
      <c r="L10" s="317" t="s">
        <v>494</v>
      </c>
      <c r="M10" s="317" t="s">
        <v>119</v>
      </c>
      <c r="N10" s="317" t="s">
        <v>494</v>
      </c>
      <c r="O10" s="317" t="s">
        <v>1539</v>
      </c>
      <c r="P10" s="317" t="s">
        <v>119</v>
      </c>
      <c r="Q10" s="318" t="n">
        <v>350199634</v>
      </c>
      <c r="R10" s="318" t="n">
        <v>350199634</v>
      </c>
      <c r="S10" s="318" t="n">
        <v>350199634</v>
      </c>
      <c r="T10" s="318" t="n">
        <v>350199634</v>
      </c>
      <c r="U10" s="318" t="n">
        <v>350199634</v>
      </c>
      <c r="V10" s="318" t="n">
        <v>350199634</v>
      </c>
      <c r="W10" s="318" t="n">
        <v>350199634</v>
      </c>
      <c r="X10" s="318" t="n">
        <v>350199634</v>
      </c>
      <c r="Y10" s="318" t="n">
        <v>350199634</v>
      </c>
      <c r="Z10" s="318" t="n">
        <v>350199634</v>
      </c>
      <c r="AA10" s="318"/>
      <c r="AB10" s="318"/>
      <c r="AC10" s="318"/>
      <c r="AD10" s="318"/>
      <c r="AE10" s="318" t="n">
        <f aca="false">R10</f>
        <v>350199634</v>
      </c>
      <c r="AF10" s="318" t="n">
        <f aca="false">S10-R10</f>
        <v>0</v>
      </c>
      <c r="AG10" s="318" t="n">
        <f aca="false">T10-S10</f>
        <v>0</v>
      </c>
      <c r="AH10" s="318" t="n">
        <f aca="false">U10-T10</f>
        <v>0</v>
      </c>
      <c r="AI10" s="318" t="n">
        <f aca="false">V10-U10</f>
        <v>0</v>
      </c>
      <c r="AJ10" s="318" t="n">
        <f aca="false">W10-V10</f>
        <v>0</v>
      </c>
      <c r="AK10" s="318" t="n">
        <f aca="false">X10-W10</f>
        <v>0</v>
      </c>
      <c r="AL10" s="318" t="n">
        <f aca="false">Y10-X10</f>
        <v>0</v>
      </c>
      <c r="AM10" s="318" t="n">
        <f aca="false">Z10-Y10</f>
        <v>0</v>
      </c>
      <c r="AN10" s="318"/>
      <c r="AO10" s="318"/>
      <c r="AP10" s="318"/>
      <c r="AR10" s="307" t="str">
        <f aca="false">IFERROR(VLOOKUP(M10,'BS_DEC 2026'!$D$12:$D$109,1,FALSE()),"(미존재)")</f>
        <v>집기비품</v>
      </c>
    </row>
    <row r="11" customFormat="false" ht="15" hidden="false" customHeight="false" outlineLevel="0" collapsed="false">
      <c r="A11" s="310" t="s">
        <v>493</v>
      </c>
      <c r="B11" s="307" t="n">
        <v>10300850</v>
      </c>
      <c r="C11" s="307" t="s">
        <v>1566</v>
      </c>
      <c r="D11" s="307" t="s">
        <v>1532</v>
      </c>
      <c r="E11" s="307" t="s">
        <v>1533</v>
      </c>
      <c r="F11" s="307" t="s">
        <v>1563</v>
      </c>
      <c r="G11" s="307" t="s">
        <v>1535</v>
      </c>
      <c r="H11" s="307" t="s">
        <v>1536</v>
      </c>
      <c r="I11" s="307" t="s">
        <v>1564</v>
      </c>
      <c r="K11" s="307" t="s">
        <v>1565</v>
      </c>
      <c r="L11" s="317" t="s">
        <v>494</v>
      </c>
      <c r="M11" s="317" t="s">
        <v>115</v>
      </c>
      <c r="N11" s="317" t="s">
        <v>494</v>
      </c>
      <c r="O11" s="317" t="s">
        <v>1539</v>
      </c>
      <c r="P11" s="317" t="s">
        <v>115</v>
      </c>
      <c r="Q11" s="318" t="n">
        <v>42938000</v>
      </c>
      <c r="R11" s="318" t="n">
        <v>42938000</v>
      </c>
      <c r="S11" s="318" t="n">
        <v>42938000</v>
      </c>
      <c r="T11" s="318" t="n">
        <v>42938000</v>
      </c>
      <c r="U11" s="318" t="n">
        <v>42938000</v>
      </c>
      <c r="V11" s="318" t="n">
        <v>42938000</v>
      </c>
      <c r="W11" s="318" t="n">
        <v>42938000</v>
      </c>
      <c r="X11" s="318" t="n">
        <v>42938000</v>
      </c>
      <c r="Y11" s="318" t="n">
        <v>42938000</v>
      </c>
      <c r="Z11" s="318" t="n">
        <v>42938000</v>
      </c>
      <c r="AA11" s="318"/>
      <c r="AB11" s="318"/>
      <c r="AC11" s="318"/>
      <c r="AD11" s="318"/>
      <c r="AE11" s="318" t="n">
        <f aca="false">R11</f>
        <v>42938000</v>
      </c>
      <c r="AF11" s="318" t="n">
        <f aca="false">S11-R11</f>
        <v>0</v>
      </c>
      <c r="AG11" s="318" t="n">
        <f aca="false">T11-S11</f>
        <v>0</v>
      </c>
      <c r="AH11" s="318" t="n">
        <f aca="false">U11-T11</f>
        <v>0</v>
      </c>
      <c r="AI11" s="318" t="n">
        <f aca="false">V11-U11</f>
        <v>0</v>
      </c>
      <c r="AJ11" s="318" t="n">
        <f aca="false">W11-V11</f>
        <v>0</v>
      </c>
      <c r="AK11" s="318" t="n">
        <f aca="false">X11-W11</f>
        <v>0</v>
      </c>
      <c r="AL11" s="318" t="n">
        <f aca="false">Y11-X11</f>
        <v>0</v>
      </c>
      <c r="AM11" s="318" t="n">
        <f aca="false">Z11-Y11</f>
        <v>0</v>
      </c>
      <c r="AN11" s="318"/>
      <c r="AO11" s="318"/>
      <c r="AP11" s="318"/>
      <c r="AR11" s="307" t="str">
        <f aca="false">IFERROR(VLOOKUP(M11,'BS_DEC 2026'!$D$12:$D$109,1,FALSE()),"(미존재)")</f>
        <v>공구와기구</v>
      </c>
    </row>
    <row r="12" customFormat="false" ht="15" hidden="false" customHeight="false" outlineLevel="0" collapsed="false">
      <c r="A12" s="310" t="s">
        <v>493</v>
      </c>
      <c r="B12" s="307" t="n">
        <v>10350000</v>
      </c>
      <c r="C12" s="307" t="s">
        <v>1567</v>
      </c>
      <c r="D12" s="307" t="s">
        <v>1532</v>
      </c>
      <c r="E12" s="307" t="s">
        <v>1533</v>
      </c>
      <c r="F12" s="307" t="s">
        <v>1563</v>
      </c>
      <c r="G12" s="307" t="s">
        <v>1535</v>
      </c>
      <c r="H12" s="307" t="s">
        <v>1536</v>
      </c>
      <c r="I12" s="307" t="s">
        <v>1564</v>
      </c>
      <c r="K12" s="307" t="s">
        <v>1565</v>
      </c>
      <c r="L12" s="317" t="s">
        <v>494</v>
      </c>
      <c r="M12" s="317" t="s">
        <v>119</v>
      </c>
      <c r="N12" s="317" t="s">
        <v>494</v>
      </c>
      <c r="O12" s="317" t="s">
        <v>1539</v>
      </c>
      <c r="P12" s="317" t="s">
        <v>119</v>
      </c>
      <c r="Q12" s="318" t="n">
        <v>1282738705</v>
      </c>
      <c r="R12" s="318" t="n">
        <v>1282738705</v>
      </c>
      <c r="S12" s="318" t="n">
        <v>1282738705</v>
      </c>
      <c r="T12" s="318" t="n">
        <v>1282738705</v>
      </c>
      <c r="U12" s="318" t="n">
        <v>1282738705</v>
      </c>
      <c r="V12" s="318" t="n">
        <v>1282738705</v>
      </c>
      <c r="W12" s="318" t="n">
        <v>1369225145</v>
      </c>
      <c r="X12" s="318" t="n">
        <v>1369225145</v>
      </c>
      <c r="Y12" s="318" t="n">
        <v>1369225145</v>
      </c>
      <c r="Z12" s="318" t="n">
        <v>1369225145</v>
      </c>
      <c r="AA12" s="318"/>
      <c r="AB12" s="318"/>
      <c r="AC12" s="318"/>
      <c r="AD12" s="318"/>
      <c r="AE12" s="318" t="n">
        <f aca="false">R12</f>
        <v>1282738705</v>
      </c>
      <c r="AF12" s="318" t="n">
        <f aca="false">S12-R12</f>
        <v>0</v>
      </c>
      <c r="AG12" s="318" t="n">
        <f aca="false">T12-S12</f>
        <v>0</v>
      </c>
      <c r="AH12" s="318" t="n">
        <f aca="false">U12-T12</f>
        <v>0</v>
      </c>
      <c r="AI12" s="318" t="n">
        <f aca="false">V12-U12</f>
        <v>0</v>
      </c>
      <c r="AJ12" s="318" t="n">
        <f aca="false">W12-V12</f>
        <v>86486440</v>
      </c>
      <c r="AK12" s="318" t="n">
        <f aca="false">X12-W12</f>
        <v>0</v>
      </c>
      <c r="AL12" s="318" t="n">
        <f aca="false">Y12-X12</f>
        <v>0</v>
      </c>
      <c r="AM12" s="318" t="n">
        <f aca="false">Z12-Y12</f>
        <v>0</v>
      </c>
      <c r="AN12" s="318"/>
      <c r="AO12" s="318"/>
      <c r="AP12" s="318"/>
      <c r="AR12" s="307" t="str">
        <f aca="false">IFERROR(VLOOKUP(M12,'BS_DEC 2026'!$D$12:$D$109,1,FALSE()),"(미존재)")</f>
        <v>집기비품</v>
      </c>
    </row>
    <row r="13" customFormat="false" ht="15" hidden="false" customHeight="false" outlineLevel="0" collapsed="false">
      <c r="A13" s="310" t="s">
        <v>493</v>
      </c>
      <c r="B13" s="307" t="n">
        <v>10350303</v>
      </c>
      <c r="C13" s="307" t="s">
        <v>1568</v>
      </c>
      <c r="D13" s="307" t="s">
        <v>1532</v>
      </c>
      <c r="E13" s="307" t="s">
        <v>1533</v>
      </c>
      <c r="F13" s="307" t="s">
        <v>1563</v>
      </c>
      <c r="G13" s="307" t="s">
        <v>1535</v>
      </c>
      <c r="H13" s="307" t="s">
        <v>1536</v>
      </c>
      <c r="I13" s="307" t="s">
        <v>1564</v>
      </c>
      <c r="K13" s="307" t="s">
        <v>1565</v>
      </c>
      <c r="L13" s="317" t="s">
        <v>494</v>
      </c>
      <c r="M13" s="317" t="s">
        <v>115</v>
      </c>
      <c r="N13" s="317" t="s">
        <v>494</v>
      </c>
      <c r="O13" s="317" t="s">
        <v>1539</v>
      </c>
      <c r="P13" s="317" t="s">
        <v>115</v>
      </c>
      <c r="Q13" s="318" t="n">
        <v>34046016</v>
      </c>
      <c r="R13" s="318" t="n">
        <v>34046016</v>
      </c>
      <c r="S13" s="318" t="n">
        <v>34046016</v>
      </c>
      <c r="T13" s="318" t="n">
        <v>34046016</v>
      </c>
      <c r="U13" s="318" t="n">
        <v>34046016</v>
      </c>
      <c r="V13" s="318" t="n">
        <v>34046016</v>
      </c>
      <c r="W13" s="318" t="n">
        <v>34046016</v>
      </c>
      <c r="X13" s="318" t="n">
        <v>34046016</v>
      </c>
      <c r="Y13" s="318" t="n">
        <v>34046016</v>
      </c>
      <c r="Z13" s="318" t="n">
        <v>34046016</v>
      </c>
      <c r="AA13" s="318"/>
      <c r="AB13" s="318"/>
      <c r="AC13" s="318"/>
      <c r="AD13" s="318"/>
      <c r="AE13" s="318" t="n">
        <f aca="false">R13</f>
        <v>34046016</v>
      </c>
      <c r="AF13" s="318" t="n">
        <f aca="false">S13-R13</f>
        <v>0</v>
      </c>
      <c r="AG13" s="318" t="n">
        <f aca="false">T13-S13</f>
        <v>0</v>
      </c>
      <c r="AH13" s="318" t="n">
        <f aca="false">U13-T13</f>
        <v>0</v>
      </c>
      <c r="AI13" s="318" t="n">
        <f aca="false">V13-U13</f>
        <v>0</v>
      </c>
      <c r="AJ13" s="318" t="n">
        <f aca="false">W13-V13</f>
        <v>0</v>
      </c>
      <c r="AK13" s="318" t="n">
        <f aca="false">X13-W13</f>
        <v>0</v>
      </c>
      <c r="AL13" s="318" t="n">
        <f aca="false">Y13-X13</f>
        <v>0</v>
      </c>
      <c r="AM13" s="318" t="n">
        <f aca="false">Z13-Y13</f>
        <v>0</v>
      </c>
      <c r="AN13" s="318"/>
      <c r="AO13" s="318"/>
      <c r="AP13" s="318"/>
      <c r="AR13" s="307" t="str">
        <f aca="false">IFERROR(VLOOKUP(M13,'BS_DEC 2026'!$D$12:$D$109,1,FALSE()),"(미존재)")</f>
        <v>공구와기구</v>
      </c>
    </row>
    <row r="14" customFormat="false" ht="15" hidden="false" customHeight="false" outlineLevel="0" collapsed="false">
      <c r="A14" s="310" t="s">
        <v>493</v>
      </c>
      <c r="B14" s="307" t="n">
        <v>10550400</v>
      </c>
      <c r="C14" s="307" t="s">
        <v>1569</v>
      </c>
      <c r="D14" s="307" t="s">
        <v>1532</v>
      </c>
      <c r="E14" s="307" t="s">
        <v>1570</v>
      </c>
      <c r="F14" s="307" t="s">
        <v>1571</v>
      </c>
      <c r="G14" s="307" t="s">
        <v>1535</v>
      </c>
      <c r="H14" s="307" t="s">
        <v>1536</v>
      </c>
      <c r="I14" s="307" t="s">
        <v>1572</v>
      </c>
      <c r="K14" s="307" t="s">
        <v>1573</v>
      </c>
      <c r="L14" s="317" t="s">
        <v>494</v>
      </c>
      <c r="M14" s="317" t="s">
        <v>125</v>
      </c>
      <c r="N14" s="317" t="s">
        <v>494</v>
      </c>
      <c r="O14" s="317" t="s">
        <v>1539</v>
      </c>
      <c r="P14" s="317" t="s">
        <v>125</v>
      </c>
      <c r="Q14" s="318" t="n">
        <v>0</v>
      </c>
      <c r="R14" s="318" t="n">
        <v>0</v>
      </c>
      <c r="S14" s="318" t="n">
        <v>0</v>
      </c>
      <c r="T14" s="318" t="n">
        <v>0</v>
      </c>
      <c r="U14" s="318" t="n">
        <v>6010900</v>
      </c>
      <c r="V14" s="318" t="n">
        <v>9990900</v>
      </c>
      <c r="W14" s="318" t="n">
        <v>15351876</v>
      </c>
      <c r="X14" s="318" t="n">
        <v>18512609</v>
      </c>
      <c r="Y14" s="318" t="n">
        <v>18512609</v>
      </c>
      <c r="Z14" s="318" t="n">
        <v>22468609</v>
      </c>
      <c r="AA14" s="318"/>
      <c r="AB14" s="318"/>
      <c r="AC14" s="318"/>
      <c r="AD14" s="318"/>
      <c r="AE14" s="318" t="n">
        <f aca="false">R14</f>
        <v>0</v>
      </c>
      <c r="AF14" s="318" t="n">
        <f aca="false">S14-R14</f>
        <v>0</v>
      </c>
      <c r="AG14" s="318" t="n">
        <f aca="false">T14-S14</f>
        <v>0</v>
      </c>
      <c r="AH14" s="318" t="n">
        <f aca="false">U14-T14</f>
        <v>6010900</v>
      </c>
      <c r="AI14" s="318" t="n">
        <f aca="false">V14-U14</f>
        <v>3980000</v>
      </c>
      <c r="AJ14" s="318" t="n">
        <f aca="false">W14-V14</f>
        <v>5360976</v>
      </c>
      <c r="AK14" s="318" t="n">
        <f aca="false">X14-W14</f>
        <v>3160733</v>
      </c>
      <c r="AL14" s="318" t="n">
        <f aca="false">Y14-X14</f>
        <v>0</v>
      </c>
      <c r="AM14" s="318" t="n">
        <f aca="false">Z14-Y14</f>
        <v>3956000</v>
      </c>
      <c r="AN14" s="318"/>
      <c r="AO14" s="318"/>
      <c r="AP14" s="318"/>
      <c r="AR14" s="307" t="str">
        <f aca="false">IFERROR(VLOOKUP(M14,'BS_DEC 2026'!$D$12:$D$109,1,FALSE()),"(미존재)")</f>
        <v>소프트웨어</v>
      </c>
    </row>
    <row r="15" customFormat="false" ht="15" hidden="false" customHeight="false" outlineLevel="0" collapsed="false">
      <c r="A15" s="310" t="s">
        <v>493</v>
      </c>
      <c r="B15" s="307" t="n">
        <v>10550900</v>
      </c>
      <c r="C15" s="307" t="s">
        <v>1574</v>
      </c>
      <c r="D15" s="307" t="s">
        <v>1532</v>
      </c>
      <c r="E15" s="307" t="s">
        <v>1533</v>
      </c>
      <c r="F15" s="307" t="s">
        <v>1575</v>
      </c>
      <c r="G15" s="307" t="s">
        <v>1535</v>
      </c>
      <c r="H15" s="307" t="s">
        <v>1536</v>
      </c>
      <c r="I15" s="307" t="s">
        <v>1576</v>
      </c>
      <c r="K15" s="307" t="s">
        <v>1577</v>
      </c>
      <c r="L15" s="317" t="s">
        <v>494</v>
      </c>
      <c r="M15" s="317" t="s">
        <v>154</v>
      </c>
      <c r="N15" s="317" t="s">
        <v>494</v>
      </c>
      <c r="O15" s="317" t="s">
        <v>1539</v>
      </c>
      <c r="P15" s="317" t="s">
        <v>154</v>
      </c>
      <c r="Q15" s="318" t="n">
        <v>8237836</v>
      </c>
      <c r="R15" s="318" t="n">
        <v>8237836</v>
      </c>
      <c r="S15" s="318" t="n">
        <v>8237836</v>
      </c>
      <c r="T15" s="318" t="n">
        <v>8237836</v>
      </c>
      <c r="U15" s="318" t="n">
        <v>29237836</v>
      </c>
      <c r="V15" s="318" t="n">
        <v>29237836</v>
      </c>
      <c r="W15" s="318" t="n">
        <v>30287836</v>
      </c>
      <c r="X15" s="318" t="n">
        <v>30287836</v>
      </c>
      <c r="Y15" s="318" t="n">
        <v>30287836</v>
      </c>
      <c r="Z15" s="318" t="n">
        <v>51562836</v>
      </c>
      <c r="AA15" s="318"/>
      <c r="AB15" s="318"/>
      <c r="AC15" s="318"/>
      <c r="AD15" s="318"/>
      <c r="AE15" s="318" t="n">
        <f aca="false">R15</f>
        <v>8237836</v>
      </c>
      <c r="AF15" s="318" t="n">
        <f aca="false">S15-R15</f>
        <v>0</v>
      </c>
      <c r="AG15" s="318" t="n">
        <f aca="false">T15-S15</f>
        <v>0</v>
      </c>
      <c r="AH15" s="318" t="n">
        <f aca="false">U15-T15</f>
        <v>21000000</v>
      </c>
      <c r="AI15" s="318" t="n">
        <f aca="false">V15-U15</f>
        <v>0</v>
      </c>
      <c r="AJ15" s="318" t="n">
        <f aca="false">W15-V15</f>
        <v>1050000</v>
      </c>
      <c r="AK15" s="318" t="n">
        <f aca="false">X15-W15</f>
        <v>0</v>
      </c>
      <c r="AL15" s="318" t="n">
        <f aca="false">Y15-X15</f>
        <v>0</v>
      </c>
      <c r="AM15" s="318" t="n">
        <f aca="false">Z15-Y15</f>
        <v>21275000</v>
      </c>
      <c r="AN15" s="318"/>
      <c r="AO15" s="318"/>
      <c r="AP15" s="318"/>
      <c r="AR15" s="307" t="str">
        <f aca="false">IFERROR(VLOOKUP(M15,'BS_DEC 2026'!$D$12:$D$109,1,FALSE()),"(미존재)")</f>
        <v>건설중인자산</v>
      </c>
    </row>
    <row r="16" customFormat="false" ht="15" hidden="false" customHeight="false" outlineLevel="0" collapsed="false">
      <c r="A16" s="310" t="s">
        <v>493</v>
      </c>
      <c r="B16" s="307" t="n">
        <v>11100850</v>
      </c>
      <c r="C16" s="307" t="s">
        <v>1578</v>
      </c>
      <c r="D16" s="307" t="s">
        <v>1532</v>
      </c>
      <c r="E16" s="307" t="s">
        <v>1533</v>
      </c>
      <c r="F16" s="307" t="s">
        <v>1541</v>
      </c>
      <c r="G16" s="307" t="s">
        <v>1535</v>
      </c>
      <c r="H16" s="307" t="s">
        <v>1536</v>
      </c>
      <c r="I16" s="307" t="s">
        <v>1579</v>
      </c>
      <c r="K16" s="307" t="s">
        <v>1580</v>
      </c>
      <c r="L16" s="317" t="s">
        <v>494</v>
      </c>
      <c r="M16" s="317" t="s">
        <v>1544</v>
      </c>
      <c r="N16" s="317" t="s">
        <v>494</v>
      </c>
      <c r="O16" s="317" t="s">
        <v>1539</v>
      </c>
      <c r="P16" s="317" t="s">
        <v>1544</v>
      </c>
      <c r="Q16" s="318" t="n">
        <v>-168102710</v>
      </c>
      <c r="R16" s="318" t="n">
        <v>-174563301</v>
      </c>
      <c r="S16" s="318" t="n">
        <v>-181023889</v>
      </c>
      <c r="T16" s="318" t="n">
        <v>-187484480</v>
      </c>
      <c r="U16" s="318" t="n">
        <v>-193945070</v>
      </c>
      <c r="V16" s="318" t="n">
        <v>-200405661</v>
      </c>
      <c r="W16" s="318" t="n">
        <v>-206866249</v>
      </c>
      <c r="X16" s="318" t="n">
        <v>-213326840</v>
      </c>
      <c r="Y16" s="318" t="n">
        <v>-219787430</v>
      </c>
      <c r="Z16" s="318" t="n">
        <v>-226248021</v>
      </c>
      <c r="AA16" s="318"/>
      <c r="AB16" s="318"/>
      <c r="AC16" s="318"/>
      <c r="AD16" s="318"/>
      <c r="AE16" s="318" t="n">
        <f aca="false">R16</f>
        <v>-174563301</v>
      </c>
      <c r="AF16" s="318" t="n">
        <f aca="false">S16-R16</f>
        <v>-6460588</v>
      </c>
      <c r="AG16" s="318" t="n">
        <f aca="false">T16-S16</f>
        <v>-6460591</v>
      </c>
      <c r="AH16" s="318" t="n">
        <f aca="false">U16-T16</f>
        <v>-6460590</v>
      </c>
      <c r="AI16" s="318" t="n">
        <f aca="false">V16-U16</f>
        <v>-6460591</v>
      </c>
      <c r="AJ16" s="318" t="n">
        <f aca="false">W16-V16</f>
        <v>-6460588</v>
      </c>
      <c r="AK16" s="318" t="n">
        <f aca="false">X16-W16</f>
        <v>-6460591</v>
      </c>
      <c r="AL16" s="318" t="n">
        <f aca="false">Y16-X16</f>
        <v>-6460590</v>
      </c>
      <c r="AM16" s="318" t="n">
        <f aca="false">Z16-Y16</f>
        <v>-6460591</v>
      </c>
      <c r="AN16" s="318"/>
      <c r="AO16" s="318"/>
      <c r="AP16" s="318"/>
      <c r="AR16" s="307" t="str">
        <f aca="false">IFERROR(VLOOKUP(M16,'BS_DEC 2026'!$D$12:$D$109,1,FALSE()),"(미존재)")</f>
        <v>감가상각누계액-구축물</v>
      </c>
    </row>
    <row r="17" customFormat="false" ht="15" hidden="false" customHeight="false" outlineLevel="0" collapsed="false">
      <c r="A17" s="310" t="s">
        <v>493</v>
      </c>
      <c r="B17" s="307" t="n">
        <v>11150000</v>
      </c>
      <c r="C17" s="307" t="s">
        <v>1581</v>
      </c>
      <c r="D17" s="307" t="s">
        <v>1532</v>
      </c>
      <c r="E17" s="307" t="s">
        <v>1533</v>
      </c>
      <c r="F17" s="307" t="s">
        <v>1546</v>
      </c>
      <c r="G17" s="307" t="s">
        <v>1535</v>
      </c>
      <c r="H17" s="307" t="s">
        <v>1536</v>
      </c>
      <c r="I17" s="307" t="s">
        <v>1579</v>
      </c>
      <c r="K17" s="307" t="s">
        <v>1580</v>
      </c>
      <c r="L17" s="317" t="s">
        <v>494</v>
      </c>
      <c r="M17" s="317" t="s">
        <v>1544</v>
      </c>
      <c r="N17" s="317" t="s">
        <v>494</v>
      </c>
      <c r="O17" s="317" t="s">
        <v>1539</v>
      </c>
      <c r="P17" s="317" t="s">
        <v>1544</v>
      </c>
      <c r="Q17" s="318" t="n">
        <v>-888439305</v>
      </c>
      <c r="R17" s="318" t="n">
        <v>-926299459</v>
      </c>
      <c r="S17" s="318" t="n">
        <v>-964159613</v>
      </c>
      <c r="T17" s="318" t="n">
        <v>-1002019768</v>
      </c>
      <c r="U17" s="318" t="n">
        <v>-1039879922</v>
      </c>
      <c r="V17" s="318" t="n">
        <v>-1077740076</v>
      </c>
      <c r="W17" s="318" t="n">
        <v>-1115600230</v>
      </c>
      <c r="X17" s="318" t="n">
        <v>-1153460384</v>
      </c>
      <c r="Y17" s="318" t="n">
        <v>-1191320538</v>
      </c>
      <c r="Z17" s="318" t="n">
        <v>-1229180693</v>
      </c>
      <c r="AA17" s="318"/>
      <c r="AB17" s="318"/>
      <c r="AC17" s="318"/>
      <c r="AD17" s="318"/>
      <c r="AE17" s="318" t="n">
        <f aca="false">R17</f>
        <v>-926299459</v>
      </c>
      <c r="AF17" s="318" t="n">
        <f aca="false">S17-R17</f>
        <v>-37860154</v>
      </c>
      <c r="AG17" s="318" t="n">
        <f aca="false">T17-S17</f>
        <v>-37860155</v>
      </c>
      <c r="AH17" s="318" t="n">
        <f aca="false">U17-T17</f>
        <v>-37860154</v>
      </c>
      <c r="AI17" s="318" t="n">
        <f aca="false">V17-U17</f>
        <v>-37860154</v>
      </c>
      <c r="AJ17" s="318" t="n">
        <f aca="false">W17-V17</f>
        <v>-37860154</v>
      </c>
      <c r="AK17" s="318" t="n">
        <f aca="false">X17-W17</f>
        <v>-37860154</v>
      </c>
      <c r="AL17" s="318" t="n">
        <f aca="false">Y17-X17</f>
        <v>-37860154</v>
      </c>
      <c r="AM17" s="318" t="n">
        <f aca="false">Z17-Y17</f>
        <v>-37860155</v>
      </c>
      <c r="AN17" s="318"/>
      <c r="AO17" s="318"/>
      <c r="AP17" s="318"/>
      <c r="AR17" s="307" t="str">
        <f aca="false">IFERROR(VLOOKUP(M17,'BS_DEC 2026'!$D$12:$D$109,1,FALSE()),"(미존재)")</f>
        <v>감가상각누계액-구축물</v>
      </c>
    </row>
    <row r="18" customFormat="false" ht="15" hidden="false" customHeight="false" outlineLevel="0" collapsed="false">
      <c r="A18" s="310" t="s">
        <v>493</v>
      </c>
      <c r="B18" s="307" t="n">
        <v>11200000</v>
      </c>
      <c r="C18" s="307" t="s">
        <v>1582</v>
      </c>
      <c r="D18" s="307" t="s">
        <v>1532</v>
      </c>
      <c r="E18" s="307" t="s">
        <v>1533</v>
      </c>
      <c r="F18" s="307" t="s">
        <v>1541</v>
      </c>
      <c r="G18" s="307" t="s">
        <v>1535</v>
      </c>
      <c r="H18" s="307" t="s">
        <v>1536</v>
      </c>
      <c r="I18" s="307" t="s">
        <v>1583</v>
      </c>
      <c r="K18" s="307" t="s">
        <v>1584</v>
      </c>
      <c r="L18" s="317" t="s">
        <v>494</v>
      </c>
      <c r="M18" s="317" t="s">
        <v>1585</v>
      </c>
      <c r="N18" s="317" t="s">
        <v>494</v>
      </c>
      <c r="O18" s="317" t="s">
        <v>1539</v>
      </c>
      <c r="P18" s="317" t="s">
        <v>1585</v>
      </c>
      <c r="Q18" s="318" t="n">
        <v>-902488418</v>
      </c>
      <c r="R18" s="318" t="n">
        <v>-916041844</v>
      </c>
      <c r="S18" s="318" t="n">
        <v>-929595269</v>
      </c>
      <c r="T18" s="318" t="n">
        <v>-943148695</v>
      </c>
      <c r="U18" s="318" t="n">
        <v>-956702120</v>
      </c>
      <c r="V18" s="318" t="n">
        <v>-970255544</v>
      </c>
      <c r="W18" s="318" t="n">
        <v>-983808971</v>
      </c>
      <c r="X18" s="318" t="n">
        <v>-997362397</v>
      </c>
      <c r="Y18" s="318" t="n">
        <v>-1009480543</v>
      </c>
      <c r="Z18" s="318" t="n">
        <v>-1021598692</v>
      </c>
      <c r="AA18" s="318"/>
      <c r="AB18" s="318"/>
      <c r="AC18" s="318"/>
      <c r="AD18" s="318"/>
      <c r="AE18" s="318" t="n">
        <f aca="false">R18</f>
        <v>-916041844</v>
      </c>
      <c r="AF18" s="318" t="n">
        <f aca="false">S18-R18</f>
        <v>-13553425</v>
      </c>
      <c r="AG18" s="318" t="n">
        <f aca="false">T18-S18</f>
        <v>-13553426</v>
      </c>
      <c r="AH18" s="318" t="n">
        <f aca="false">U18-T18</f>
        <v>-13553425</v>
      </c>
      <c r="AI18" s="318" t="n">
        <f aca="false">V18-U18</f>
        <v>-13553424</v>
      </c>
      <c r="AJ18" s="318" t="n">
        <f aca="false">W18-V18</f>
        <v>-13553427</v>
      </c>
      <c r="AK18" s="318" t="n">
        <f aca="false">X18-W18</f>
        <v>-13553426</v>
      </c>
      <c r="AL18" s="318" t="n">
        <f aca="false">Y18-X18</f>
        <v>-12118146</v>
      </c>
      <c r="AM18" s="318" t="n">
        <f aca="false">Z18-Y18</f>
        <v>-12118149</v>
      </c>
      <c r="AN18" s="318"/>
      <c r="AO18" s="318"/>
      <c r="AP18" s="318"/>
      <c r="AR18" s="307" t="str">
        <f aca="false">IFERROR(VLOOKUP(M18,'BS_DEC 2026'!$D$12:$D$109,1,FALSE()),"(미존재)")</f>
        <v>감가상각누계액-기계장치</v>
      </c>
    </row>
    <row r="19" customFormat="false" ht="15" hidden="false" customHeight="false" outlineLevel="0" collapsed="false">
      <c r="A19" s="310" t="s">
        <v>493</v>
      </c>
      <c r="B19" s="307" t="n">
        <v>11300000</v>
      </c>
      <c r="C19" s="307" t="s">
        <v>1586</v>
      </c>
      <c r="D19" s="307" t="s">
        <v>1532</v>
      </c>
      <c r="E19" s="307" t="s">
        <v>1533</v>
      </c>
      <c r="F19" s="307" t="s">
        <v>1541</v>
      </c>
      <c r="G19" s="307" t="s">
        <v>1535</v>
      </c>
      <c r="H19" s="307" t="s">
        <v>1536</v>
      </c>
      <c r="I19" s="307" t="s">
        <v>1587</v>
      </c>
      <c r="K19" s="307" t="s">
        <v>1588</v>
      </c>
      <c r="L19" s="317" t="s">
        <v>494</v>
      </c>
      <c r="M19" s="317" t="s">
        <v>1589</v>
      </c>
      <c r="N19" s="317" t="s">
        <v>494</v>
      </c>
      <c r="O19" s="317" t="s">
        <v>1539</v>
      </c>
      <c r="P19" s="317" t="s">
        <v>1589</v>
      </c>
      <c r="Q19" s="318" t="n">
        <v>-212428145</v>
      </c>
      <c r="R19" s="318" t="n">
        <v>-216781816</v>
      </c>
      <c r="S19" s="318" t="n">
        <v>-220704693</v>
      </c>
      <c r="T19" s="318" t="n">
        <v>-224627549</v>
      </c>
      <c r="U19" s="318" t="n">
        <v>-228550409</v>
      </c>
      <c r="V19" s="318" t="n">
        <v>-232473270</v>
      </c>
      <c r="W19" s="318" t="n">
        <v>-236396152</v>
      </c>
      <c r="X19" s="318" t="n">
        <v>-240319003</v>
      </c>
      <c r="Y19" s="318" t="n">
        <v>-244241871</v>
      </c>
      <c r="Z19" s="318" t="n">
        <v>-248164738</v>
      </c>
      <c r="AA19" s="318"/>
      <c r="AB19" s="318"/>
      <c r="AC19" s="318"/>
      <c r="AD19" s="318"/>
      <c r="AE19" s="318" t="n">
        <f aca="false">R19</f>
        <v>-216781816</v>
      </c>
      <c r="AF19" s="318" t="n">
        <f aca="false">S19-R19</f>
        <v>-3922877</v>
      </c>
      <c r="AG19" s="318" t="n">
        <f aca="false">T19-S19</f>
        <v>-3922856</v>
      </c>
      <c r="AH19" s="318" t="n">
        <f aca="false">U19-T19</f>
        <v>-3922860</v>
      </c>
      <c r="AI19" s="318" t="n">
        <f aca="false">V19-U19</f>
        <v>-3922861</v>
      </c>
      <c r="AJ19" s="318" t="n">
        <f aca="false">W19-V19</f>
        <v>-3922882</v>
      </c>
      <c r="AK19" s="318" t="n">
        <f aca="false">X19-W19</f>
        <v>-3922851</v>
      </c>
      <c r="AL19" s="318" t="n">
        <f aca="false">Y19-X19</f>
        <v>-3922868</v>
      </c>
      <c r="AM19" s="318" t="n">
        <f aca="false">Z19-Y19</f>
        <v>-3922867</v>
      </c>
      <c r="AN19" s="318"/>
      <c r="AO19" s="318"/>
      <c r="AP19" s="318"/>
      <c r="AR19" s="307" t="str">
        <f aca="false">IFERROR(VLOOKUP(M19,'BS_DEC 2026'!$D$12:$D$109,1,FALSE()),"(미존재)")</f>
        <v>감가상각누계액-집기비품</v>
      </c>
    </row>
    <row r="20" customFormat="false" ht="15" hidden="false" customHeight="false" outlineLevel="0" collapsed="false">
      <c r="A20" s="310" t="s">
        <v>493</v>
      </c>
      <c r="B20" s="307" t="n">
        <v>11300850</v>
      </c>
      <c r="C20" s="307" t="s">
        <v>1590</v>
      </c>
      <c r="D20" s="307" t="s">
        <v>1532</v>
      </c>
      <c r="E20" s="307" t="s">
        <v>1533</v>
      </c>
      <c r="F20" s="307" t="s">
        <v>1541</v>
      </c>
      <c r="G20" s="307" t="s">
        <v>1535</v>
      </c>
      <c r="H20" s="307" t="s">
        <v>1536</v>
      </c>
      <c r="I20" s="307" t="s">
        <v>1587</v>
      </c>
      <c r="K20" s="307" t="s">
        <v>1588</v>
      </c>
      <c r="L20" s="317" t="s">
        <v>494</v>
      </c>
      <c r="M20" s="317" t="s">
        <v>1591</v>
      </c>
      <c r="N20" s="317" t="s">
        <v>494</v>
      </c>
      <c r="O20" s="317" t="s">
        <v>1539</v>
      </c>
      <c r="P20" s="317" t="s">
        <v>1591</v>
      </c>
      <c r="Q20" s="318" t="n">
        <v>-37304667</v>
      </c>
      <c r="R20" s="318" t="n">
        <v>-37738000</v>
      </c>
      <c r="S20" s="318" t="n">
        <v>-38171334</v>
      </c>
      <c r="T20" s="318" t="n">
        <v>-38604667</v>
      </c>
      <c r="U20" s="318" t="n">
        <v>-39038000</v>
      </c>
      <c r="V20" s="318" t="n">
        <v>-39471334</v>
      </c>
      <c r="W20" s="318" t="n">
        <v>-39904667</v>
      </c>
      <c r="X20" s="318" t="n">
        <v>-40338000</v>
      </c>
      <c r="Y20" s="318" t="n">
        <v>-40771333</v>
      </c>
      <c r="Z20" s="318" t="n">
        <v>-41204667</v>
      </c>
      <c r="AA20" s="318"/>
      <c r="AB20" s="318"/>
      <c r="AC20" s="318"/>
      <c r="AD20" s="318"/>
      <c r="AE20" s="318" t="n">
        <f aca="false">R20</f>
        <v>-37738000</v>
      </c>
      <c r="AF20" s="318" t="n">
        <f aca="false">S20-R20</f>
        <v>-433334</v>
      </c>
      <c r="AG20" s="318" t="n">
        <f aca="false">T20-S20</f>
        <v>-433333</v>
      </c>
      <c r="AH20" s="318" t="n">
        <f aca="false">U20-T20</f>
        <v>-433333</v>
      </c>
      <c r="AI20" s="318" t="n">
        <f aca="false">V20-U20</f>
        <v>-433334</v>
      </c>
      <c r="AJ20" s="318" t="n">
        <f aca="false">W20-V20</f>
        <v>-433333</v>
      </c>
      <c r="AK20" s="318" t="n">
        <f aca="false">X20-W20</f>
        <v>-433333</v>
      </c>
      <c r="AL20" s="318" t="n">
        <f aca="false">Y20-X20</f>
        <v>-433333</v>
      </c>
      <c r="AM20" s="318" t="n">
        <f aca="false">Z20-Y20</f>
        <v>-433334</v>
      </c>
      <c r="AN20" s="318"/>
      <c r="AO20" s="318"/>
      <c r="AP20" s="318"/>
      <c r="AR20" s="307" t="str">
        <f aca="false">IFERROR(VLOOKUP(M20,'BS_DEC 2026'!$D$12:$D$109,1,FALSE()),"(미존재)")</f>
        <v>감가상각누계액-공구와기구</v>
      </c>
    </row>
    <row r="21" customFormat="false" ht="15" hidden="false" customHeight="false" outlineLevel="0" collapsed="false">
      <c r="A21" s="310" t="s">
        <v>493</v>
      </c>
      <c r="B21" s="307" t="n">
        <v>11350000</v>
      </c>
      <c r="C21" s="307" t="s">
        <v>1592</v>
      </c>
      <c r="D21" s="307" t="s">
        <v>1532</v>
      </c>
      <c r="E21" s="307" t="s">
        <v>1533</v>
      </c>
      <c r="F21" s="307" t="s">
        <v>1541</v>
      </c>
      <c r="G21" s="307" t="s">
        <v>1535</v>
      </c>
      <c r="H21" s="307" t="s">
        <v>1536</v>
      </c>
      <c r="I21" s="307" t="s">
        <v>1587</v>
      </c>
      <c r="K21" s="307" t="s">
        <v>1588</v>
      </c>
      <c r="L21" s="317" t="s">
        <v>494</v>
      </c>
      <c r="M21" s="317" t="s">
        <v>1589</v>
      </c>
      <c r="N21" s="317" t="s">
        <v>494</v>
      </c>
      <c r="O21" s="317" t="s">
        <v>1539</v>
      </c>
      <c r="P21" s="317" t="s">
        <v>1589</v>
      </c>
      <c r="Q21" s="318" t="n">
        <v>-1076620389</v>
      </c>
      <c r="R21" s="318" t="n">
        <v>-1089371576</v>
      </c>
      <c r="S21" s="318" t="n">
        <v>-1101579034</v>
      </c>
      <c r="T21" s="318" t="n">
        <v>-1113786492</v>
      </c>
      <c r="U21" s="318" t="n">
        <v>-1123221517</v>
      </c>
      <c r="V21" s="318" t="n">
        <v>-1130917239</v>
      </c>
      <c r="W21" s="318" t="n">
        <v>-1140014929</v>
      </c>
      <c r="X21" s="318" t="n">
        <v>-1149112618</v>
      </c>
      <c r="Y21" s="318" t="n">
        <v>-1158210307</v>
      </c>
      <c r="Z21" s="318" t="n">
        <v>-1167307996</v>
      </c>
      <c r="AA21" s="318"/>
      <c r="AB21" s="318"/>
      <c r="AC21" s="318"/>
      <c r="AD21" s="318"/>
      <c r="AE21" s="318" t="n">
        <f aca="false">R21</f>
        <v>-1089371576</v>
      </c>
      <c r="AF21" s="318" t="n">
        <f aca="false">S21-R21</f>
        <v>-12207458</v>
      </c>
      <c r="AG21" s="318" t="n">
        <f aca="false">T21-S21</f>
        <v>-12207458</v>
      </c>
      <c r="AH21" s="318" t="n">
        <f aca="false">U21-T21</f>
        <v>-9435025</v>
      </c>
      <c r="AI21" s="318" t="n">
        <f aca="false">V21-U21</f>
        <v>-7695722</v>
      </c>
      <c r="AJ21" s="318" t="n">
        <f aca="false">W21-V21</f>
        <v>-9097690</v>
      </c>
      <c r="AK21" s="318" t="n">
        <f aca="false">X21-W21</f>
        <v>-9097689</v>
      </c>
      <c r="AL21" s="318" t="n">
        <f aca="false">Y21-X21</f>
        <v>-9097689</v>
      </c>
      <c r="AM21" s="318" t="n">
        <f aca="false">Z21-Y21</f>
        <v>-9097689</v>
      </c>
      <c r="AN21" s="318"/>
      <c r="AO21" s="318"/>
      <c r="AP21" s="318"/>
      <c r="AR21" s="307" t="str">
        <f aca="false">IFERROR(VLOOKUP(M21,'BS_DEC 2026'!$D$12:$D$109,1,FALSE()),"(미존재)")</f>
        <v>감가상각누계액-집기비품</v>
      </c>
    </row>
    <row r="22" customFormat="false" ht="15" hidden="false" customHeight="false" outlineLevel="0" collapsed="false">
      <c r="A22" s="310" t="s">
        <v>493</v>
      </c>
      <c r="B22" s="307" t="n">
        <v>11350303</v>
      </c>
      <c r="C22" s="307" t="s">
        <v>1593</v>
      </c>
      <c r="D22" s="307" t="s">
        <v>1532</v>
      </c>
      <c r="E22" s="307" t="s">
        <v>1533</v>
      </c>
      <c r="F22" s="307" t="s">
        <v>1541</v>
      </c>
      <c r="G22" s="307" t="s">
        <v>1535</v>
      </c>
      <c r="H22" s="307" t="s">
        <v>1536</v>
      </c>
      <c r="I22" s="307" t="s">
        <v>1587</v>
      </c>
      <c r="K22" s="307" t="s">
        <v>1588</v>
      </c>
      <c r="L22" s="317" t="s">
        <v>494</v>
      </c>
      <c r="M22" s="317" t="s">
        <v>1591</v>
      </c>
      <c r="N22" s="317" t="s">
        <v>494</v>
      </c>
      <c r="O22" s="317" t="s">
        <v>1539</v>
      </c>
      <c r="P22" s="317" t="s">
        <v>1591</v>
      </c>
      <c r="Q22" s="318" t="n">
        <v>-34046016</v>
      </c>
      <c r="R22" s="318" t="n">
        <v>-34046016</v>
      </c>
      <c r="S22" s="318" t="n">
        <v>-34046016</v>
      </c>
      <c r="T22" s="318" t="n">
        <v>-34046016</v>
      </c>
      <c r="U22" s="318" t="n">
        <v>-34046016</v>
      </c>
      <c r="V22" s="318" t="n">
        <v>-34046016</v>
      </c>
      <c r="W22" s="318" t="n">
        <v>-34046016</v>
      </c>
      <c r="X22" s="318" t="n">
        <v>-34046016</v>
      </c>
      <c r="Y22" s="318" t="n">
        <v>-34046016</v>
      </c>
      <c r="Z22" s="318" t="n">
        <v>-34046016</v>
      </c>
      <c r="AA22" s="318"/>
      <c r="AB22" s="318"/>
      <c r="AC22" s="318"/>
      <c r="AD22" s="318"/>
      <c r="AE22" s="318" t="n">
        <f aca="false">R22</f>
        <v>-34046016</v>
      </c>
      <c r="AF22" s="318" t="n">
        <f aca="false">S22-R22</f>
        <v>0</v>
      </c>
      <c r="AG22" s="318" t="n">
        <f aca="false">T22-S22</f>
        <v>0</v>
      </c>
      <c r="AH22" s="318" t="n">
        <f aca="false">U22-T22</f>
        <v>0</v>
      </c>
      <c r="AI22" s="318" t="n">
        <f aca="false">V22-U22</f>
        <v>0</v>
      </c>
      <c r="AJ22" s="318" t="n">
        <f aca="false">W22-V22</f>
        <v>0</v>
      </c>
      <c r="AK22" s="318" t="n">
        <f aca="false">X22-W22</f>
        <v>0</v>
      </c>
      <c r="AL22" s="318" t="n">
        <f aca="false">Y22-X22</f>
        <v>0</v>
      </c>
      <c r="AM22" s="318" t="n">
        <f aca="false">Z22-Y22</f>
        <v>0</v>
      </c>
      <c r="AN22" s="318"/>
      <c r="AO22" s="318"/>
      <c r="AP22" s="318"/>
      <c r="AR22" s="307" t="str">
        <f aca="false">IFERROR(VLOOKUP(M22,'BS_DEC 2026'!$D$12:$D$109,1,FALSE()),"(미존재)")</f>
        <v>감가상각누계액-공구와기구</v>
      </c>
    </row>
    <row r="23" customFormat="false" ht="15" hidden="false" customHeight="false" outlineLevel="0" collapsed="false">
      <c r="A23" s="310" t="s">
        <v>493</v>
      </c>
      <c r="B23" s="307" t="n">
        <v>13100000</v>
      </c>
      <c r="C23" s="307" t="s">
        <v>1594</v>
      </c>
      <c r="D23" s="307" t="s">
        <v>1532</v>
      </c>
      <c r="E23" s="307" t="s">
        <v>1570</v>
      </c>
      <c r="F23" s="307" t="s">
        <v>1571</v>
      </c>
      <c r="G23" s="307" t="s">
        <v>1535</v>
      </c>
      <c r="H23" s="307" t="s">
        <v>1536</v>
      </c>
      <c r="I23" s="307" t="s">
        <v>1572</v>
      </c>
      <c r="K23" s="307" t="s">
        <v>1573</v>
      </c>
      <c r="L23" s="317" t="s">
        <v>494</v>
      </c>
      <c r="M23" s="317" t="s">
        <v>125</v>
      </c>
      <c r="N23" s="317" t="s">
        <v>494</v>
      </c>
      <c r="O23" s="317" t="s">
        <v>1539</v>
      </c>
      <c r="P23" s="317" t="s">
        <v>125</v>
      </c>
      <c r="Q23" s="318" t="n">
        <v>355759457</v>
      </c>
      <c r="R23" s="318" t="n">
        <v>355759457</v>
      </c>
      <c r="S23" s="318" t="n">
        <v>355759457</v>
      </c>
      <c r="T23" s="318" t="n">
        <v>355759457</v>
      </c>
      <c r="U23" s="318" t="n">
        <v>355759457</v>
      </c>
      <c r="V23" s="318" t="n">
        <v>355759457</v>
      </c>
      <c r="W23" s="318" t="n">
        <v>355759457</v>
      </c>
      <c r="X23" s="318" t="n">
        <v>355759457</v>
      </c>
      <c r="Y23" s="318" t="n">
        <v>355759457</v>
      </c>
      <c r="Z23" s="318" t="n">
        <v>355759457</v>
      </c>
      <c r="AA23" s="318"/>
      <c r="AB23" s="318"/>
      <c r="AC23" s="318"/>
      <c r="AD23" s="318"/>
      <c r="AE23" s="318" t="n">
        <f aca="false">R23</f>
        <v>355759457</v>
      </c>
      <c r="AF23" s="318" t="n">
        <f aca="false">S23-R23</f>
        <v>0</v>
      </c>
      <c r="AG23" s="318" t="n">
        <f aca="false">T23-S23</f>
        <v>0</v>
      </c>
      <c r="AH23" s="318" t="n">
        <f aca="false">U23-T23</f>
        <v>0</v>
      </c>
      <c r="AI23" s="318" t="n">
        <f aca="false">V23-U23</f>
        <v>0</v>
      </c>
      <c r="AJ23" s="318" t="n">
        <f aca="false">W23-V23</f>
        <v>0</v>
      </c>
      <c r="AK23" s="318" t="n">
        <f aca="false">X23-W23</f>
        <v>0</v>
      </c>
      <c r="AL23" s="318" t="n">
        <f aca="false">Y23-X23</f>
        <v>0</v>
      </c>
      <c r="AM23" s="318" t="n">
        <f aca="false">Z23-Y23</f>
        <v>0</v>
      </c>
      <c r="AN23" s="318"/>
      <c r="AO23" s="318"/>
      <c r="AP23" s="318"/>
      <c r="AR23" s="307" t="str">
        <f aca="false">IFERROR(VLOOKUP(M23,'BS_DEC 2026'!$D$12:$D$109,1,FALSE()),"(미존재)")</f>
        <v>소프트웨어</v>
      </c>
    </row>
    <row r="24" customFormat="false" ht="15" hidden="false" customHeight="false" outlineLevel="0" collapsed="false">
      <c r="A24" s="310" t="s">
        <v>493</v>
      </c>
      <c r="B24" s="307" t="n">
        <v>13600000</v>
      </c>
      <c r="C24" s="307" t="s">
        <v>1595</v>
      </c>
      <c r="D24" s="307" t="s">
        <v>1532</v>
      </c>
      <c r="E24" s="307" t="s">
        <v>1570</v>
      </c>
      <c r="F24" s="307" t="s">
        <v>1596</v>
      </c>
      <c r="G24" s="307" t="s">
        <v>1535</v>
      </c>
      <c r="H24" s="307" t="s">
        <v>1536</v>
      </c>
      <c r="I24" s="307" t="s">
        <v>1597</v>
      </c>
      <c r="K24" s="307" t="s">
        <v>1598</v>
      </c>
      <c r="L24" s="317" t="s">
        <v>494</v>
      </c>
      <c r="M24" s="317" t="s">
        <v>129</v>
      </c>
      <c r="N24" s="317" t="s">
        <v>494</v>
      </c>
      <c r="O24" s="317" t="s">
        <v>1539</v>
      </c>
      <c r="P24" s="317" t="s">
        <v>129</v>
      </c>
      <c r="Q24" s="318" t="n">
        <v>3706860500</v>
      </c>
      <c r="R24" s="318" t="n">
        <v>3706860500</v>
      </c>
      <c r="S24" s="318" t="n">
        <v>3706860500</v>
      </c>
      <c r="T24" s="318" t="n">
        <v>3706860500</v>
      </c>
      <c r="U24" s="318" t="n">
        <v>3706860500</v>
      </c>
      <c r="V24" s="318" t="n">
        <v>3706860500</v>
      </c>
      <c r="W24" s="318" t="n">
        <v>2706860500</v>
      </c>
      <c r="X24" s="318" t="n">
        <v>2706860500</v>
      </c>
      <c r="Y24" s="318" t="n">
        <v>2706860500</v>
      </c>
      <c r="Z24" s="318" t="n">
        <v>2706860500</v>
      </c>
      <c r="AA24" s="318"/>
      <c r="AB24" s="318"/>
      <c r="AC24" s="318"/>
      <c r="AD24" s="318"/>
      <c r="AE24" s="318" t="n">
        <f aca="false">R24</f>
        <v>3706860500</v>
      </c>
      <c r="AF24" s="318" t="n">
        <f aca="false">S24-R24</f>
        <v>0</v>
      </c>
      <c r="AG24" s="318" t="n">
        <f aca="false">T24-S24</f>
        <v>0</v>
      </c>
      <c r="AH24" s="318" t="n">
        <f aca="false">U24-T24</f>
        <v>0</v>
      </c>
      <c r="AI24" s="318" t="n">
        <f aca="false">V24-U24</f>
        <v>0</v>
      </c>
      <c r="AJ24" s="318" t="n">
        <f aca="false">W24-V24</f>
        <v>-1000000000</v>
      </c>
      <c r="AK24" s="318" t="n">
        <f aca="false">X24-W24</f>
        <v>0</v>
      </c>
      <c r="AL24" s="318" t="n">
        <f aca="false">Y24-X24</f>
        <v>0</v>
      </c>
      <c r="AM24" s="318" t="n">
        <f aca="false">Z24-Y24</f>
        <v>0</v>
      </c>
      <c r="AN24" s="318"/>
      <c r="AO24" s="318"/>
      <c r="AP24" s="318"/>
      <c r="AR24" s="307" t="str">
        <f aca="false">IFERROR(VLOOKUP(M24,'BS_DEC 2026'!$D$12:$D$109,1,FALSE()),"(미존재)")</f>
        <v>상표권</v>
      </c>
    </row>
    <row r="25" customFormat="false" ht="15" hidden="false" customHeight="false" outlineLevel="0" collapsed="false">
      <c r="A25" s="310" t="s">
        <v>493</v>
      </c>
      <c r="B25" s="307" t="n">
        <v>14000000</v>
      </c>
      <c r="C25" s="307" t="s">
        <v>1599</v>
      </c>
      <c r="D25" s="307" t="s">
        <v>1532</v>
      </c>
      <c r="E25" s="307" t="s">
        <v>1570</v>
      </c>
      <c r="F25" s="307" t="s">
        <v>1571</v>
      </c>
      <c r="G25" s="307" t="s">
        <v>1535</v>
      </c>
      <c r="H25" s="307" t="s">
        <v>1536</v>
      </c>
      <c r="I25" s="307" t="s">
        <v>1600</v>
      </c>
      <c r="K25" s="307" t="s">
        <v>1601</v>
      </c>
      <c r="L25" s="317" t="s">
        <v>494</v>
      </c>
      <c r="M25" s="317" t="s">
        <v>1602</v>
      </c>
      <c r="N25" s="317" t="s">
        <v>494</v>
      </c>
      <c r="O25" s="317" t="s">
        <v>1539</v>
      </c>
      <c r="P25" s="317" t="s">
        <v>1602</v>
      </c>
      <c r="Q25" s="318" t="n">
        <v>-355759457</v>
      </c>
      <c r="R25" s="318" t="n">
        <v>-355759457</v>
      </c>
      <c r="S25" s="318" t="n">
        <v>-355759457</v>
      </c>
      <c r="T25" s="318" t="n">
        <v>-355759457</v>
      </c>
      <c r="U25" s="318" t="n">
        <v>-355759457</v>
      </c>
      <c r="V25" s="318" t="n">
        <v>-355759457</v>
      </c>
      <c r="W25" s="318" t="n">
        <v>-355759457</v>
      </c>
      <c r="X25" s="318" t="n">
        <v>-355759457</v>
      </c>
      <c r="Y25" s="318" t="n">
        <v>-355759457</v>
      </c>
      <c r="Z25" s="318" t="n">
        <v>-355759457</v>
      </c>
      <c r="AA25" s="318"/>
      <c r="AB25" s="318"/>
      <c r="AC25" s="318"/>
      <c r="AD25" s="318"/>
      <c r="AE25" s="318" t="n">
        <f aca="false">R25</f>
        <v>-355759457</v>
      </c>
      <c r="AF25" s="318" t="n">
        <f aca="false">S25-R25</f>
        <v>0</v>
      </c>
      <c r="AG25" s="318" t="n">
        <f aca="false">T25-S25</f>
        <v>0</v>
      </c>
      <c r="AH25" s="318" t="n">
        <f aca="false">U25-T25</f>
        <v>0</v>
      </c>
      <c r="AI25" s="318" t="n">
        <f aca="false">V25-U25</f>
        <v>0</v>
      </c>
      <c r="AJ25" s="318" t="n">
        <f aca="false">W25-V25</f>
        <v>0</v>
      </c>
      <c r="AK25" s="318" t="n">
        <f aca="false">X25-W25</f>
        <v>0</v>
      </c>
      <c r="AL25" s="318" t="n">
        <f aca="false">Y25-X25</f>
        <v>0</v>
      </c>
      <c r="AM25" s="318" t="n">
        <f aca="false">Z25-Y25</f>
        <v>0</v>
      </c>
      <c r="AN25" s="318"/>
      <c r="AO25" s="318"/>
      <c r="AP25" s="318"/>
      <c r="AR25" s="307" t="str">
        <f aca="false">IFERROR(VLOOKUP(M25,'BS_DEC 2026'!$D$12:$D$109,1,FALSE()),"(미존재)")</f>
        <v>감가상각누계액-소프트웨어</v>
      </c>
    </row>
    <row r="26" customFormat="false" ht="15" hidden="false" customHeight="false" outlineLevel="0" collapsed="false">
      <c r="A26" s="310" t="s">
        <v>493</v>
      </c>
      <c r="B26" s="307" t="n">
        <v>14300000</v>
      </c>
      <c r="C26" s="307" t="s">
        <v>1603</v>
      </c>
      <c r="D26" s="307" t="s">
        <v>1532</v>
      </c>
      <c r="E26" s="307" t="s">
        <v>1570</v>
      </c>
      <c r="F26" s="307" t="s">
        <v>1596</v>
      </c>
      <c r="G26" s="307" t="s">
        <v>1535</v>
      </c>
      <c r="H26" s="307" t="s">
        <v>1536</v>
      </c>
      <c r="I26" s="307" t="s">
        <v>1604</v>
      </c>
      <c r="K26" s="307" t="s">
        <v>1605</v>
      </c>
      <c r="L26" s="317" t="s">
        <v>494</v>
      </c>
      <c r="M26" s="317" t="s">
        <v>131</v>
      </c>
      <c r="N26" s="317" t="s">
        <v>494</v>
      </c>
      <c r="O26" s="317" t="s">
        <v>1539</v>
      </c>
      <c r="P26" s="317" t="s">
        <v>131</v>
      </c>
      <c r="Q26" s="318" t="n">
        <v>-3236598404</v>
      </c>
      <c r="R26" s="318" t="n">
        <v>-3236598404</v>
      </c>
      <c r="S26" s="318" t="n">
        <v>-3236598404</v>
      </c>
      <c r="T26" s="318" t="n">
        <v>-3236598404</v>
      </c>
      <c r="U26" s="318" t="n">
        <v>-3236598404</v>
      </c>
      <c r="V26" s="318" t="n">
        <v>-3236598404</v>
      </c>
      <c r="W26" s="318" t="n">
        <v>-2706860500</v>
      </c>
      <c r="X26" s="318" t="n">
        <v>-2706860500</v>
      </c>
      <c r="Y26" s="318" t="n">
        <v>-2706860500</v>
      </c>
      <c r="Z26" s="318" t="n">
        <v>-2706860500</v>
      </c>
      <c r="AA26" s="318"/>
      <c r="AB26" s="318"/>
      <c r="AC26" s="318"/>
      <c r="AD26" s="318"/>
      <c r="AE26" s="318" t="n">
        <f aca="false">R26</f>
        <v>-3236598404</v>
      </c>
      <c r="AF26" s="318" t="n">
        <f aca="false">S26-R26</f>
        <v>0</v>
      </c>
      <c r="AG26" s="318" t="n">
        <f aca="false">T26-S26</f>
        <v>0</v>
      </c>
      <c r="AH26" s="318" t="n">
        <f aca="false">U26-T26</f>
        <v>0</v>
      </c>
      <c r="AI26" s="318" t="n">
        <f aca="false">V26-U26</f>
        <v>0</v>
      </c>
      <c r="AJ26" s="318" t="n">
        <f aca="false">W26-V26</f>
        <v>529737904</v>
      </c>
      <c r="AK26" s="318" t="n">
        <f aca="false">X26-W26</f>
        <v>0</v>
      </c>
      <c r="AL26" s="318" t="n">
        <f aca="false">Y26-X26</f>
        <v>0</v>
      </c>
      <c r="AM26" s="318" t="n">
        <f aca="false">Z26-Y26</f>
        <v>0</v>
      </c>
      <c r="AN26" s="318"/>
      <c r="AO26" s="318"/>
      <c r="AP26" s="318"/>
      <c r="AR26" s="307" t="str">
        <f aca="false">IFERROR(VLOOKUP(M26,'BS_DEC 2026'!$D$12:$D$109,1,FALSE()),"(미존재)")</f>
        <v>상표권상각누계액</v>
      </c>
    </row>
    <row r="27" customFormat="false" ht="15" hidden="false" customHeight="false" outlineLevel="0" collapsed="false">
      <c r="A27" s="310" t="s">
        <v>493</v>
      </c>
      <c r="B27" s="307" t="n">
        <v>14300701</v>
      </c>
      <c r="C27" s="307" t="s">
        <v>1606</v>
      </c>
      <c r="D27" s="307" t="s">
        <v>1532</v>
      </c>
      <c r="E27" s="307" t="s">
        <v>1570</v>
      </c>
      <c r="F27" s="307" t="s">
        <v>1596</v>
      </c>
      <c r="G27" s="307" t="s">
        <v>1535</v>
      </c>
      <c r="H27" s="307" t="s">
        <v>1536</v>
      </c>
      <c r="I27" s="307" t="s">
        <v>1607</v>
      </c>
      <c r="K27" s="307" t="s">
        <v>1608</v>
      </c>
      <c r="L27" s="317" t="s">
        <v>494</v>
      </c>
      <c r="M27" s="317" t="s">
        <v>133</v>
      </c>
      <c r="N27" s="317" t="s">
        <v>494</v>
      </c>
      <c r="O27" s="317" t="s">
        <v>1539</v>
      </c>
      <c r="P27" s="317" t="s">
        <v>133</v>
      </c>
      <c r="Q27" s="318" t="n">
        <v>-595665322</v>
      </c>
      <c r="R27" s="318" t="n">
        <v>-595665322</v>
      </c>
      <c r="S27" s="318" t="n">
        <v>-595665322</v>
      </c>
      <c r="T27" s="318" t="n">
        <v>-595665322</v>
      </c>
      <c r="U27" s="318" t="n">
        <v>-595665322</v>
      </c>
      <c r="V27" s="318" t="n">
        <v>-595665322</v>
      </c>
      <c r="W27" s="318" t="n">
        <v>0</v>
      </c>
      <c r="X27" s="318" t="n">
        <v>0</v>
      </c>
      <c r="Y27" s="318" t="n">
        <v>0</v>
      </c>
      <c r="Z27" s="318" t="n">
        <v>0</v>
      </c>
      <c r="AA27" s="318"/>
      <c r="AB27" s="318"/>
      <c r="AC27" s="318"/>
      <c r="AD27" s="318"/>
      <c r="AE27" s="318" t="n">
        <f aca="false">R27</f>
        <v>-595665322</v>
      </c>
      <c r="AF27" s="318" t="n">
        <f aca="false">S27-R27</f>
        <v>0</v>
      </c>
      <c r="AG27" s="318" t="n">
        <f aca="false">T27-S27</f>
        <v>0</v>
      </c>
      <c r="AH27" s="318" t="n">
        <f aca="false">U27-T27</f>
        <v>0</v>
      </c>
      <c r="AI27" s="318" t="n">
        <f aca="false">V27-U27</f>
        <v>0</v>
      </c>
      <c r="AJ27" s="318" t="n">
        <f aca="false">W27-V27</f>
        <v>595665322</v>
      </c>
      <c r="AK27" s="318" t="n">
        <f aca="false">X27-W27</f>
        <v>0</v>
      </c>
      <c r="AL27" s="318" t="n">
        <f aca="false">Y27-X27</f>
        <v>0</v>
      </c>
      <c r="AM27" s="318" t="n">
        <f aca="false">Z27-Y27</f>
        <v>0</v>
      </c>
      <c r="AN27" s="318"/>
      <c r="AO27" s="318"/>
      <c r="AP27" s="318"/>
      <c r="AR27" s="307" t="str">
        <f aca="false">IFERROR(VLOOKUP(M27,'BS_DEC 2026'!$D$12:$D$109,1,FALSE()),"(미존재)")</f>
        <v>무형자산감액손실충당금</v>
      </c>
    </row>
    <row r="28" customFormat="false" ht="15" hidden="false" customHeight="false" outlineLevel="0" collapsed="false">
      <c r="A28" s="310" t="s">
        <v>493</v>
      </c>
      <c r="B28" s="307" t="n">
        <v>14400030</v>
      </c>
      <c r="C28" s="307" t="s">
        <v>1609</v>
      </c>
      <c r="D28" s="307" t="s">
        <v>1532</v>
      </c>
      <c r="E28" s="307" t="s">
        <v>1570</v>
      </c>
      <c r="F28" s="307" t="s">
        <v>1596</v>
      </c>
      <c r="G28" s="307" t="s">
        <v>1535</v>
      </c>
      <c r="H28" s="307" t="s">
        <v>1536</v>
      </c>
      <c r="I28" s="307" t="s">
        <v>1604</v>
      </c>
      <c r="K28" s="307" t="s">
        <v>1605</v>
      </c>
      <c r="L28" s="317" t="s">
        <v>494</v>
      </c>
      <c r="M28" s="317" t="s">
        <v>131</v>
      </c>
      <c r="N28" s="317" t="s">
        <v>494</v>
      </c>
      <c r="O28" s="317" t="s">
        <v>1539</v>
      </c>
      <c r="P28" s="317" t="s">
        <v>131</v>
      </c>
      <c r="Q28" s="318" t="n">
        <v>125403226</v>
      </c>
      <c r="R28" s="318" t="n">
        <v>125403226</v>
      </c>
      <c r="S28" s="318" t="n">
        <v>125403226</v>
      </c>
      <c r="T28" s="318" t="n">
        <v>125403226</v>
      </c>
      <c r="U28" s="318" t="n">
        <v>125403226</v>
      </c>
      <c r="V28" s="318" t="n">
        <v>125403226</v>
      </c>
      <c r="W28" s="318" t="n">
        <v>0</v>
      </c>
      <c r="X28" s="318" t="n">
        <v>0</v>
      </c>
      <c r="Y28" s="318" t="n">
        <v>0</v>
      </c>
      <c r="Z28" s="318" t="n">
        <v>0</v>
      </c>
      <c r="AA28" s="318"/>
      <c r="AB28" s="318"/>
      <c r="AC28" s="318"/>
      <c r="AD28" s="318"/>
      <c r="AE28" s="318" t="n">
        <f aca="false">R28</f>
        <v>125403226</v>
      </c>
      <c r="AF28" s="318" t="n">
        <f aca="false">S28-R28</f>
        <v>0</v>
      </c>
      <c r="AG28" s="318" t="n">
        <f aca="false">T28-S28</f>
        <v>0</v>
      </c>
      <c r="AH28" s="318" t="n">
        <f aca="false">U28-T28</f>
        <v>0</v>
      </c>
      <c r="AI28" s="318" t="n">
        <f aca="false">V28-U28</f>
        <v>0</v>
      </c>
      <c r="AJ28" s="318" t="n">
        <f aca="false">W28-V28</f>
        <v>-125403226</v>
      </c>
      <c r="AK28" s="318" t="n">
        <f aca="false">X28-W28</f>
        <v>0</v>
      </c>
      <c r="AL28" s="318" t="n">
        <f aca="false">Y28-X28</f>
        <v>0</v>
      </c>
      <c r="AM28" s="318" t="n">
        <f aca="false">Z28-Y28</f>
        <v>0</v>
      </c>
      <c r="AN28" s="318"/>
      <c r="AO28" s="318"/>
      <c r="AP28" s="318"/>
      <c r="AR28" s="307" t="str">
        <f aca="false">IFERROR(VLOOKUP(M28,'BS_DEC 2026'!$D$12:$D$109,1,FALSE()),"(미존재)")</f>
        <v>상표권상각누계액</v>
      </c>
    </row>
    <row r="29" customFormat="false" ht="15" hidden="false" customHeight="false" outlineLevel="0" collapsed="false">
      <c r="A29" s="310" t="s">
        <v>493</v>
      </c>
      <c r="B29" s="307" t="n">
        <v>15800853</v>
      </c>
      <c r="C29" s="307" t="s">
        <v>1610</v>
      </c>
      <c r="D29" s="307" t="s">
        <v>1532</v>
      </c>
      <c r="E29" s="307" t="s">
        <v>1611</v>
      </c>
      <c r="F29" s="307" t="s">
        <v>1612</v>
      </c>
      <c r="G29" s="307" t="s">
        <v>1535</v>
      </c>
      <c r="H29" s="307" t="s">
        <v>1536</v>
      </c>
      <c r="I29" s="307" t="s">
        <v>1613</v>
      </c>
      <c r="K29" s="307" t="s">
        <v>1614</v>
      </c>
      <c r="L29" s="317" t="s">
        <v>494</v>
      </c>
      <c r="M29" s="317" t="s">
        <v>141</v>
      </c>
      <c r="N29" s="317" t="s">
        <v>494</v>
      </c>
      <c r="O29" s="317" t="s">
        <v>1539</v>
      </c>
      <c r="P29" s="317" t="s">
        <v>141</v>
      </c>
      <c r="Q29" s="318" t="n">
        <v>1211134090</v>
      </c>
      <c r="R29" s="318" t="n">
        <v>1211134090</v>
      </c>
      <c r="S29" s="318" t="n">
        <v>1211134090</v>
      </c>
      <c r="T29" s="318" t="n">
        <v>1211134090</v>
      </c>
      <c r="U29" s="318" t="n">
        <v>1211134090</v>
      </c>
      <c r="V29" s="318" t="n">
        <v>1211134090</v>
      </c>
      <c r="W29" s="318" t="n">
        <v>1211134090</v>
      </c>
      <c r="X29" s="318" t="n">
        <v>1211134090</v>
      </c>
      <c r="Y29" s="318" t="n">
        <v>1931634850</v>
      </c>
      <c r="Z29" s="318" t="n">
        <v>1931634850</v>
      </c>
      <c r="AA29" s="318"/>
      <c r="AB29" s="318"/>
      <c r="AC29" s="318"/>
      <c r="AD29" s="318"/>
      <c r="AE29" s="318" t="n">
        <f aca="false">R29</f>
        <v>1211134090</v>
      </c>
      <c r="AF29" s="318" t="n">
        <f aca="false">S29-R29</f>
        <v>0</v>
      </c>
      <c r="AG29" s="318" t="n">
        <f aca="false">T29-S29</f>
        <v>0</v>
      </c>
      <c r="AH29" s="318" t="n">
        <f aca="false">U29-T29</f>
        <v>0</v>
      </c>
      <c r="AI29" s="318" t="n">
        <f aca="false">V29-U29</f>
        <v>0</v>
      </c>
      <c r="AJ29" s="318" t="n">
        <f aca="false">W29-V29</f>
        <v>0</v>
      </c>
      <c r="AK29" s="318" t="n">
        <f aca="false">X29-W29</f>
        <v>0</v>
      </c>
      <c r="AL29" s="318" t="n">
        <f aca="false">Y29-X29</f>
        <v>720500760</v>
      </c>
      <c r="AM29" s="318" t="n">
        <f aca="false">Z29-Y29</f>
        <v>0</v>
      </c>
      <c r="AN29" s="318"/>
      <c r="AO29" s="318"/>
      <c r="AP29" s="318"/>
      <c r="AR29" s="307" t="str">
        <f aca="false">IFERROR(VLOOKUP(M29,'BS_DEC 2026'!$D$12:$D$109,1,FALSE()),"(미존재)")</f>
        <v>보증금</v>
      </c>
    </row>
    <row r="30" customFormat="false" ht="15" hidden="false" customHeight="false" outlineLevel="0" collapsed="false">
      <c r="A30" s="310" t="s">
        <v>493</v>
      </c>
      <c r="B30" s="307" t="n">
        <v>16350702</v>
      </c>
      <c r="C30" s="307" t="s">
        <v>1615</v>
      </c>
      <c r="D30" s="307" t="s">
        <v>1616</v>
      </c>
      <c r="E30" s="307" t="s">
        <v>1617</v>
      </c>
      <c r="F30" s="307" t="s">
        <v>1618</v>
      </c>
      <c r="G30" s="307" t="s">
        <v>1535</v>
      </c>
      <c r="H30" s="307" t="s">
        <v>1536</v>
      </c>
      <c r="I30" s="307" t="s">
        <v>1619</v>
      </c>
      <c r="K30" s="307" t="s">
        <v>1620</v>
      </c>
      <c r="L30" s="317" t="s">
        <v>494</v>
      </c>
      <c r="M30" s="317" t="s">
        <v>191</v>
      </c>
      <c r="N30" s="317" t="s">
        <v>157</v>
      </c>
      <c r="O30" s="317" t="s">
        <v>1621</v>
      </c>
      <c r="P30" s="317" t="s">
        <v>191</v>
      </c>
      <c r="Q30" s="318" t="n">
        <v>26463700</v>
      </c>
      <c r="R30" s="318" t="n">
        <v>26463700</v>
      </c>
      <c r="S30" s="318" t="n">
        <v>26463700</v>
      </c>
      <c r="T30" s="318" t="n">
        <v>26463700</v>
      </c>
      <c r="U30" s="318" t="n">
        <v>0</v>
      </c>
      <c r="V30" s="318" t="n">
        <v>0</v>
      </c>
      <c r="W30" s="318" t="n">
        <v>0</v>
      </c>
      <c r="X30" s="318" t="n">
        <v>0</v>
      </c>
      <c r="Y30" s="318" t="n">
        <v>0</v>
      </c>
      <c r="Z30" s="318" t="n">
        <v>0</v>
      </c>
      <c r="AA30" s="318"/>
      <c r="AB30" s="318"/>
      <c r="AC30" s="318"/>
      <c r="AD30" s="318"/>
      <c r="AE30" s="318" t="n">
        <f aca="false">R30</f>
        <v>26463700</v>
      </c>
      <c r="AF30" s="318" t="n">
        <f aca="false">S30-R30</f>
        <v>0</v>
      </c>
      <c r="AG30" s="318" t="n">
        <f aca="false">T30-S30</f>
        <v>0</v>
      </c>
      <c r="AH30" s="318" t="n">
        <f aca="false">U30-T30</f>
        <v>-26463700</v>
      </c>
      <c r="AI30" s="318" t="n">
        <f aca="false">V30-U30</f>
        <v>0</v>
      </c>
      <c r="AJ30" s="318" t="n">
        <f aca="false">W30-V30</f>
        <v>0</v>
      </c>
      <c r="AK30" s="318" t="n">
        <f aca="false">X30-W30</f>
        <v>0</v>
      </c>
      <c r="AL30" s="318" t="n">
        <f aca="false">Y30-X30</f>
        <v>0</v>
      </c>
      <c r="AM30" s="318" t="n">
        <f aca="false">Z30-Y30</f>
        <v>0</v>
      </c>
      <c r="AN30" s="318"/>
      <c r="AO30" s="318"/>
      <c r="AP30" s="318"/>
      <c r="AR30" s="307" t="str">
        <f aca="false">IFERROR(VLOOKUP(M30,'BS_DEC 2026'!$D$12:$D$109,1,FALSE()),"(미존재)")</f>
        <v>국민연금전환금</v>
      </c>
    </row>
    <row r="31" customFormat="false" ht="15" hidden="false" customHeight="false" outlineLevel="0" collapsed="false">
      <c r="A31" s="310" t="s">
        <v>493</v>
      </c>
      <c r="B31" s="307" t="n">
        <v>16750000</v>
      </c>
      <c r="C31" s="307" t="s">
        <v>1622</v>
      </c>
      <c r="D31" s="307" t="s">
        <v>1532</v>
      </c>
      <c r="E31" s="307" t="s">
        <v>1611</v>
      </c>
      <c r="F31" s="307" t="s">
        <v>1612</v>
      </c>
      <c r="G31" s="307" t="s">
        <v>1535</v>
      </c>
      <c r="H31" s="307" t="s">
        <v>1536</v>
      </c>
      <c r="I31" s="307" t="s">
        <v>1619</v>
      </c>
      <c r="K31" s="307" t="s">
        <v>1614</v>
      </c>
      <c r="L31" s="317" t="s">
        <v>494</v>
      </c>
      <c r="M31" s="317" t="s">
        <v>141</v>
      </c>
      <c r="N31" s="317" t="s">
        <v>494</v>
      </c>
      <c r="O31" s="317" t="s">
        <v>1621</v>
      </c>
      <c r="P31" s="317" t="s">
        <v>141</v>
      </c>
      <c r="Q31" s="318" t="n">
        <v>0</v>
      </c>
      <c r="R31" s="318" t="n">
        <v>0</v>
      </c>
      <c r="S31" s="318" t="n">
        <v>0</v>
      </c>
      <c r="T31" s="318" t="n">
        <v>0</v>
      </c>
      <c r="U31" s="318" t="n">
        <v>0</v>
      </c>
      <c r="V31" s="318" t="n">
        <v>720500760</v>
      </c>
      <c r="W31" s="318" t="n">
        <v>0</v>
      </c>
      <c r="X31" s="318" t="n">
        <v>720500760</v>
      </c>
      <c r="Y31" s="318" t="n">
        <v>0</v>
      </c>
      <c r="Z31" s="318" t="n">
        <v>0</v>
      </c>
      <c r="AA31" s="318"/>
      <c r="AB31" s="318"/>
      <c r="AC31" s="318"/>
      <c r="AD31" s="318"/>
      <c r="AE31" s="318" t="n">
        <f aca="false">R31</f>
        <v>0</v>
      </c>
      <c r="AF31" s="318" t="n">
        <f aca="false">S31-R31</f>
        <v>0</v>
      </c>
      <c r="AG31" s="318" t="n">
        <f aca="false">T31-S31</f>
        <v>0</v>
      </c>
      <c r="AH31" s="318" t="n">
        <f aca="false">U31-T31</f>
        <v>0</v>
      </c>
      <c r="AI31" s="318" t="n">
        <f aca="false">V31-U31</f>
        <v>720500760</v>
      </c>
      <c r="AJ31" s="318" t="n">
        <f aca="false">W31-V31</f>
        <v>-720500760</v>
      </c>
      <c r="AK31" s="318" t="n">
        <f aca="false">X31-W31</f>
        <v>720500760</v>
      </c>
      <c r="AL31" s="318" t="n">
        <f aca="false">Y31-X31</f>
        <v>-720500760</v>
      </c>
      <c r="AM31" s="318" t="n">
        <f aca="false">Z31-Y31</f>
        <v>0</v>
      </c>
      <c r="AN31" s="318"/>
      <c r="AO31" s="318"/>
      <c r="AP31" s="318"/>
      <c r="AR31" s="307" t="str">
        <f aca="false">IFERROR(VLOOKUP(M31,'BS_DEC 2026'!$D$12:$D$109,1,FALSE()),"(미존재)")</f>
        <v>보증금</v>
      </c>
    </row>
    <row r="32" customFormat="false" ht="15" hidden="false" customHeight="false" outlineLevel="0" collapsed="false">
      <c r="A32" s="310" t="s">
        <v>493</v>
      </c>
      <c r="B32" s="307" t="n">
        <v>20000001</v>
      </c>
      <c r="C32" s="307" t="s">
        <v>1623</v>
      </c>
      <c r="D32" s="307" t="s">
        <v>1554</v>
      </c>
      <c r="E32" s="307" t="s">
        <v>1555</v>
      </c>
      <c r="F32" s="307" t="s">
        <v>1624</v>
      </c>
      <c r="G32" s="307" t="s">
        <v>1557</v>
      </c>
      <c r="H32" s="307" t="s">
        <v>1536</v>
      </c>
      <c r="I32" s="307" t="s">
        <v>1625</v>
      </c>
      <c r="K32" s="307" t="s">
        <v>1626</v>
      </c>
      <c r="L32" s="317" t="s">
        <v>494</v>
      </c>
      <c r="M32" s="317" t="s">
        <v>66</v>
      </c>
      <c r="N32" s="317" t="s">
        <v>494</v>
      </c>
      <c r="O32" s="317" t="s">
        <v>1560</v>
      </c>
      <c r="P32" s="317" t="s">
        <v>66</v>
      </c>
      <c r="Q32" s="319" t="n">
        <v>162184914584</v>
      </c>
      <c r="R32" s="318" t="n">
        <v>145873858195</v>
      </c>
      <c r="S32" s="318" t="n">
        <v>134636274753</v>
      </c>
      <c r="T32" s="318" t="n">
        <v>129722846676</v>
      </c>
      <c r="U32" s="318" t="n">
        <v>139146344671</v>
      </c>
      <c r="V32" s="318" t="n">
        <v>153277666166</v>
      </c>
      <c r="W32" s="318" t="n">
        <v>157700192026</v>
      </c>
      <c r="X32" s="318" t="n">
        <v>174468088999</v>
      </c>
      <c r="Y32" s="318" t="n">
        <v>219106967070</v>
      </c>
      <c r="Z32" s="318" t="n">
        <v>180937469538</v>
      </c>
      <c r="AA32" s="318"/>
      <c r="AB32" s="318"/>
      <c r="AC32" s="318"/>
      <c r="AD32" s="318"/>
      <c r="AE32" s="318" t="n">
        <f aca="false">R32</f>
        <v>145873858195</v>
      </c>
      <c r="AF32" s="318" t="n">
        <f aca="false">S32-R32</f>
        <v>-11237583442</v>
      </c>
      <c r="AG32" s="318" t="n">
        <f aca="false">T32-S32</f>
        <v>-4913428077</v>
      </c>
      <c r="AH32" s="318" t="n">
        <f aca="false">U32-T32</f>
        <v>9423497995</v>
      </c>
      <c r="AI32" s="318" t="n">
        <f aca="false">V32-U32</f>
        <v>14131321495</v>
      </c>
      <c r="AJ32" s="318" t="n">
        <f aca="false">W32-V32</f>
        <v>4422525860</v>
      </c>
      <c r="AK32" s="318" t="n">
        <f aca="false">X32-W32</f>
        <v>16767896973</v>
      </c>
      <c r="AL32" s="318" t="n">
        <f aca="false">Y32-X32</f>
        <v>44638878071</v>
      </c>
      <c r="AM32" s="318" t="n">
        <f aca="false">Z32-Y32</f>
        <v>-38169497532</v>
      </c>
      <c r="AN32" s="318"/>
      <c r="AO32" s="318"/>
      <c r="AP32" s="318"/>
      <c r="AR32" s="307" t="str">
        <f aca="false">IFERROR(VLOOKUP(M32,'BS_DEC 2026'!$D$12:$D$109,1,FALSE()),"(미존재)")</f>
        <v>상품</v>
      </c>
    </row>
    <row r="33" customFormat="false" ht="15" hidden="false" customHeight="false" outlineLevel="0" collapsed="false">
      <c r="A33" s="310" t="s">
        <v>493</v>
      </c>
      <c r="B33" s="307" t="n">
        <v>20000002</v>
      </c>
      <c r="C33" s="307" t="s">
        <v>1627</v>
      </c>
      <c r="D33" s="307" t="s">
        <v>1554</v>
      </c>
      <c r="E33" s="307" t="s">
        <v>1555</v>
      </c>
      <c r="F33" s="307" t="s">
        <v>1624</v>
      </c>
      <c r="G33" s="307" t="s">
        <v>1557</v>
      </c>
      <c r="H33" s="307" t="s">
        <v>1536</v>
      </c>
      <c r="I33" s="307" t="s">
        <v>1558</v>
      </c>
      <c r="K33" s="307" t="s">
        <v>1559</v>
      </c>
      <c r="L33" s="317" t="s">
        <v>494</v>
      </c>
      <c r="M33" s="317" t="s">
        <v>66</v>
      </c>
      <c r="N33" s="317" t="s">
        <v>494</v>
      </c>
      <c r="O33" s="317" t="s">
        <v>1560</v>
      </c>
      <c r="P33" s="317" t="s">
        <v>66</v>
      </c>
      <c r="Q33" s="319" t="n">
        <v>55265092</v>
      </c>
      <c r="R33" s="318" t="n">
        <v>55265092</v>
      </c>
      <c r="S33" s="318" t="n">
        <v>55265092</v>
      </c>
      <c r="T33" s="318" t="n">
        <v>54921515</v>
      </c>
      <c r="U33" s="318" t="n">
        <v>53155248</v>
      </c>
      <c r="V33" s="318" t="n">
        <v>53155248</v>
      </c>
      <c r="W33" s="318" t="n">
        <v>52777872</v>
      </c>
      <c r="X33" s="318" t="n">
        <v>52777872</v>
      </c>
      <c r="Y33" s="318" t="n">
        <v>52636776</v>
      </c>
      <c r="Z33" s="318" t="n">
        <v>52625609</v>
      </c>
      <c r="AA33" s="318"/>
      <c r="AB33" s="318"/>
      <c r="AC33" s="318"/>
      <c r="AD33" s="318"/>
      <c r="AE33" s="318" t="n">
        <f aca="false">R33</f>
        <v>55265092</v>
      </c>
      <c r="AF33" s="318" t="n">
        <f aca="false">S33-R33</f>
        <v>0</v>
      </c>
      <c r="AG33" s="318" t="n">
        <f aca="false">T33-S33</f>
        <v>-343577</v>
      </c>
      <c r="AH33" s="318" t="n">
        <f aca="false">U33-T33</f>
        <v>-1766267</v>
      </c>
      <c r="AI33" s="318" t="n">
        <f aca="false">V33-U33</f>
        <v>0</v>
      </c>
      <c r="AJ33" s="318" t="n">
        <f aca="false">W33-V33</f>
        <v>-377376</v>
      </c>
      <c r="AK33" s="318" t="n">
        <f aca="false">X33-W33</f>
        <v>0</v>
      </c>
      <c r="AL33" s="318" t="n">
        <f aca="false">Y33-X33</f>
        <v>-141096</v>
      </c>
      <c r="AM33" s="318" t="n">
        <f aca="false">Z33-Y33</f>
        <v>-11167</v>
      </c>
      <c r="AN33" s="318"/>
      <c r="AO33" s="318"/>
      <c r="AP33" s="318"/>
      <c r="AR33" s="307" t="str">
        <f aca="false">IFERROR(VLOOKUP(M33,'BS_DEC 2026'!$D$12:$D$109,1,FALSE()),"(미존재)")</f>
        <v>상품</v>
      </c>
    </row>
    <row r="34" customFormat="false" ht="15" hidden="false" customHeight="false" outlineLevel="0" collapsed="false">
      <c r="A34" s="310" t="s">
        <v>493</v>
      </c>
      <c r="B34" s="307" t="n">
        <v>20000030</v>
      </c>
      <c r="C34" s="307" t="s">
        <v>1628</v>
      </c>
      <c r="D34" s="307" t="s">
        <v>1554</v>
      </c>
      <c r="E34" s="307" t="s">
        <v>1555</v>
      </c>
      <c r="F34" s="307" t="s">
        <v>1624</v>
      </c>
      <c r="G34" s="307" t="s">
        <v>1557</v>
      </c>
      <c r="H34" s="307" t="s">
        <v>1536</v>
      </c>
      <c r="I34" s="307" t="s">
        <v>1629</v>
      </c>
      <c r="K34" s="307" t="s">
        <v>1630</v>
      </c>
      <c r="L34" s="317" t="s">
        <v>494</v>
      </c>
      <c r="M34" s="317" t="s">
        <v>66</v>
      </c>
      <c r="N34" s="317" t="s">
        <v>494</v>
      </c>
      <c r="O34" s="317" t="s">
        <v>1560</v>
      </c>
      <c r="P34" s="317" t="s">
        <v>66</v>
      </c>
      <c r="Q34" s="319" t="n">
        <v>-1672140386</v>
      </c>
      <c r="R34" s="318" t="n">
        <v>-1232257093</v>
      </c>
      <c r="S34" s="318" t="n">
        <v>-450082592</v>
      </c>
      <c r="T34" s="318" t="n">
        <v>-680128672</v>
      </c>
      <c r="U34" s="318" t="n">
        <v>-808160035</v>
      </c>
      <c r="V34" s="318" t="n">
        <v>-167112028</v>
      </c>
      <c r="W34" s="318" t="n">
        <v>585519079</v>
      </c>
      <c r="X34" s="318" t="n">
        <v>-322260893</v>
      </c>
      <c r="Y34" s="318" t="n">
        <v>-901264705</v>
      </c>
      <c r="Z34" s="318" t="n">
        <v>-926499683</v>
      </c>
      <c r="AA34" s="318"/>
      <c r="AB34" s="318"/>
      <c r="AC34" s="318"/>
      <c r="AD34" s="318"/>
      <c r="AE34" s="318" t="n">
        <f aca="false">R34</f>
        <v>-1232257093</v>
      </c>
      <c r="AF34" s="318" t="n">
        <f aca="false">S34-R34</f>
        <v>782174501</v>
      </c>
      <c r="AG34" s="318" t="n">
        <f aca="false">T34-S34</f>
        <v>-230046080</v>
      </c>
      <c r="AH34" s="318" t="n">
        <f aca="false">U34-T34</f>
        <v>-128031363</v>
      </c>
      <c r="AI34" s="318" t="n">
        <f aca="false">V34-U34</f>
        <v>641048007</v>
      </c>
      <c r="AJ34" s="318" t="n">
        <f aca="false">W34-V34</f>
        <v>752631107</v>
      </c>
      <c r="AK34" s="318" t="n">
        <f aca="false">X34-W34</f>
        <v>-907779972</v>
      </c>
      <c r="AL34" s="318" t="n">
        <f aca="false">Y34-X34</f>
        <v>-579003812</v>
      </c>
      <c r="AM34" s="318" t="n">
        <f aca="false">Z34-Y34</f>
        <v>-25234978</v>
      </c>
      <c r="AN34" s="318"/>
      <c r="AO34" s="318"/>
      <c r="AP34" s="318"/>
      <c r="AR34" s="307" t="str">
        <f aca="false">IFERROR(VLOOKUP(M34,'BS_DEC 2026'!$D$12:$D$109,1,FALSE()),"(미존재)")</f>
        <v>상품</v>
      </c>
    </row>
    <row r="35" customFormat="false" ht="15" hidden="false" customHeight="false" outlineLevel="0" collapsed="false">
      <c r="A35" s="310" t="s">
        <v>493</v>
      </c>
      <c r="B35" s="307" t="n">
        <v>20000851</v>
      </c>
      <c r="C35" s="307" t="s">
        <v>1631</v>
      </c>
      <c r="D35" s="307" t="s">
        <v>1554</v>
      </c>
      <c r="E35" s="307" t="s">
        <v>1555</v>
      </c>
      <c r="F35" s="307" t="s">
        <v>1624</v>
      </c>
      <c r="G35" s="307" t="s">
        <v>1557</v>
      </c>
      <c r="H35" s="307" t="s">
        <v>1536</v>
      </c>
      <c r="I35" s="307" t="s">
        <v>1629</v>
      </c>
      <c r="K35" s="307" t="s">
        <v>1630</v>
      </c>
      <c r="L35" s="317" t="s">
        <v>494</v>
      </c>
      <c r="M35" s="317" t="s">
        <v>66</v>
      </c>
      <c r="N35" s="317" t="s">
        <v>494</v>
      </c>
      <c r="O35" s="317" t="s">
        <v>1560</v>
      </c>
      <c r="P35" s="317" t="s">
        <v>66</v>
      </c>
      <c r="Q35" s="318" t="n">
        <v>0</v>
      </c>
      <c r="R35" s="318" t="n">
        <v>0</v>
      </c>
      <c r="S35" s="318" t="n">
        <v>0</v>
      </c>
      <c r="T35" s="318" t="n">
        <v>673342520</v>
      </c>
      <c r="U35" s="318" t="n">
        <v>0</v>
      </c>
      <c r="V35" s="318" t="n">
        <v>0</v>
      </c>
      <c r="W35" s="318" t="n">
        <v>0</v>
      </c>
      <c r="X35" s="318" t="n">
        <v>0</v>
      </c>
      <c r="Y35" s="318" t="n">
        <v>0</v>
      </c>
      <c r="Z35" s="318" t="n">
        <v>0</v>
      </c>
      <c r="AA35" s="318"/>
      <c r="AB35" s="318"/>
      <c r="AC35" s="318"/>
      <c r="AD35" s="318"/>
      <c r="AE35" s="318" t="n">
        <f aca="false">R35</f>
        <v>0</v>
      </c>
      <c r="AF35" s="318" t="n">
        <f aca="false">S35-R35</f>
        <v>0</v>
      </c>
      <c r="AG35" s="318" t="n">
        <f aca="false">T35-S35</f>
        <v>673342520</v>
      </c>
      <c r="AH35" s="318" t="n">
        <f aca="false">U35-T35</f>
        <v>-673342520</v>
      </c>
      <c r="AI35" s="318" t="n">
        <f aca="false">V35-U35</f>
        <v>0</v>
      </c>
      <c r="AJ35" s="318" t="n">
        <f aca="false">W35-V35</f>
        <v>0</v>
      </c>
      <c r="AK35" s="318" t="n">
        <f aca="false">X35-W35</f>
        <v>0</v>
      </c>
      <c r="AL35" s="318" t="n">
        <f aca="false">Y35-X35</f>
        <v>0</v>
      </c>
      <c r="AM35" s="318" t="n">
        <f aca="false">Z35-Y35</f>
        <v>0</v>
      </c>
      <c r="AN35" s="318"/>
      <c r="AO35" s="318"/>
      <c r="AP35" s="318"/>
      <c r="AR35" s="307" t="str">
        <f aca="false">IFERROR(VLOOKUP(M35,'BS_DEC 2026'!$D$12:$D$109,1,FALSE()),"(미존재)")</f>
        <v>상품</v>
      </c>
    </row>
    <row r="36" customFormat="false" ht="15" hidden="false" customHeight="false" outlineLevel="0" collapsed="false">
      <c r="A36" s="310" t="s">
        <v>493</v>
      </c>
      <c r="B36" s="307" t="n">
        <v>20100003</v>
      </c>
      <c r="C36" s="307" t="s">
        <v>1632</v>
      </c>
      <c r="D36" s="307" t="s">
        <v>1554</v>
      </c>
      <c r="E36" s="307" t="s">
        <v>1555</v>
      </c>
      <c r="F36" s="307" t="s">
        <v>1624</v>
      </c>
      <c r="G36" s="307" t="s">
        <v>1557</v>
      </c>
      <c r="H36" s="307" t="s">
        <v>1536</v>
      </c>
      <c r="I36" s="307" t="s">
        <v>1633</v>
      </c>
      <c r="K36" s="307" t="s">
        <v>1634</v>
      </c>
      <c r="L36" s="317" t="s">
        <v>494</v>
      </c>
      <c r="M36" s="317" t="s">
        <v>1635</v>
      </c>
      <c r="N36" s="317" t="s">
        <v>494</v>
      </c>
      <c r="O36" s="317" t="s">
        <v>1560</v>
      </c>
      <c r="P36" s="317" t="s">
        <v>1635</v>
      </c>
      <c r="Q36" s="319" t="n">
        <v>-4770617217</v>
      </c>
      <c r="R36" s="318" t="n">
        <v>-5096953935</v>
      </c>
      <c r="S36" s="318" t="n">
        <v>-5172659607</v>
      </c>
      <c r="T36" s="318" t="n">
        <v>-5711341347</v>
      </c>
      <c r="U36" s="318" t="n">
        <v>-5795379833</v>
      </c>
      <c r="V36" s="318" t="n">
        <v>-5504683968</v>
      </c>
      <c r="W36" s="318" t="n">
        <v>0</v>
      </c>
      <c r="X36" s="318" t="n">
        <v>-1982532942</v>
      </c>
      <c r="Y36" s="318" t="n">
        <v>-2364585244</v>
      </c>
      <c r="Z36" s="318" t="n">
        <v>-2370515021</v>
      </c>
      <c r="AA36" s="318"/>
      <c r="AB36" s="318"/>
      <c r="AC36" s="318"/>
      <c r="AD36" s="318"/>
      <c r="AE36" s="318" t="n">
        <f aca="false">R36</f>
        <v>-5096953935</v>
      </c>
      <c r="AF36" s="318" t="n">
        <f aca="false">S36-R36</f>
        <v>-75705672</v>
      </c>
      <c r="AG36" s="318" t="n">
        <f aca="false">T36-S36</f>
        <v>-538681740</v>
      </c>
      <c r="AH36" s="318" t="n">
        <f aca="false">U36-T36</f>
        <v>-84038486</v>
      </c>
      <c r="AI36" s="318" t="n">
        <f aca="false">V36-U36</f>
        <v>290695865</v>
      </c>
      <c r="AJ36" s="318" t="n">
        <f aca="false">W36-V36</f>
        <v>5504683968</v>
      </c>
      <c r="AK36" s="318" t="n">
        <f aca="false">X36-W36</f>
        <v>-1982532942</v>
      </c>
      <c r="AL36" s="318" t="n">
        <f aca="false">Y36-X36</f>
        <v>-382052302</v>
      </c>
      <c r="AM36" s="318" t="n">
        <f aca="false">Z36-Y36</f>
        <v>-5929777</v>
      </c>
      <c r="AN36" s="318"/>
      <c r="AO36" s="318"/>
      <c r="AP36" s="318"/>
      <c r="AR36" s="307" t="str">
        <f aca="false">IFERROR(VLOOKUP(M36,'BS_DEC 2026'!$D$12:$D$109,1,FALSE()),"(미존재)")</f>
        <v>평가충당금-상품</v>
      </c>
    </row>
    <row r="37" customFormat="false" ht="15" hidden="false" customHeight="false" outlineLevel="0" collapsed="false">
      <c r="A37" s="310" t="s">
        <v>493</v>
      </c>
      <c r="B37" s="307" t="n">
        <v>22150702</v>
      </c>
      <c r="C37" s="307" t="s">
        <v>1636</v>
      </c>
      <c r="D37" s="307" t="s">
        <v>1554</v>
      </c>
      <c r="E37" s="307" t="s">
        <v>1555</v>
      </c>
      <c r="F37" s="307" t="s">
        <v>1637</v>
      </c>
      <c r="G37" s="307" t="s">
        <v>1557</v>
      </c>
      <c r="H37" s="307" t="s">
        <v>1536</v>
      </c>
      <c r="I37" s="307" t="s">
        <v>1625</v>
      </c>
      <c r="K37" s="307" t="s">
        <v>1626</v>
      </c>
      <c r="L37" s="317" t="s">
        <v>494</v>
      </c>
      <c r="M37" s="317" t="s">
        <v>83</v>
      </c>
      <c r="N37" s="317" t="s">
        <v>494</v>
      </c>
      <c r="O37" s="317" t="s">
        <v>1560</v>
      </c>
      <c r="P37" s="317" t="s">
        <v>70</v>
      </c>
      <c r="Q37" s="318" t="n">
        <v>20959209037</v>
      </c>
      <c r="R37" s="318" t="n">
        <v>31380627949</v>
      </c>
      <c r="S37" s="318" t="n">
        <v>26415931111</v>
      </c>
      <c r="T37" s="318" t="n">
        <v>25028996467</v>
      </c>
      <c r="U37" s="318" t="n">
        <v>14167313182</v>
      </c>
      <c r="V37" s="318" t="n">
        <v>48405618812</v>
      </c>
      <c r="W37" s="318" t="n">
        <v>944645152</v>
      </c>
      <c r="X37" s="318" t="n">
        <v>51071961135</v>
      </c>
      <c r="Y37" s="318" t="n">
        <v>16969792314</v>
      </c>
      <c r="Z37" s="318" t="n">
        <v>18060397713</v>
      </c>
      <c r="AA37" s="318"/>
      <c r="AB37" s="318"/>
      <c r="AC37" s="318"/>
      <c r="AD37" s="318"/>
      <c r="AE37" s="318" t="n">
        <f aca="false">R37</f>
        <v>31380627949</v>
      </c>
      <c r="AF37" s="318" t="n">
        <f aca="false">S37-R37</f>
        <v>-4964696838</v>
      </c>
      <c r="AG37" s="318" t="n">
        <f aca="false">T37-S37</f>
        <v>-1386934644</v>
      </c>
      <c r="AH37" s="318" t="n">
        <f aca="false">U37-T37</f>
        <v>-10861683285</v>
      </c>
      <c r="AI37" s="318" t="n">
        <f aca="false">V37-U37</f>
        <v>34238305630</v>
      </c>
      <c r="AJ37" s="318" t="n">
        <f aca="false">W37-V37</f>
        <v>-47460973660</v>
      </c>
      <c r="AK37" s="318" t="n">
        <f aca="false">X37-W37</f>
        <v>50127315983</v>
      </c>
      <c r="AL37" s="318" t="n">
        <f aca="false">Y37-X37</f>
        <v>-34102168821</v>
      </c>
      <c r="AM37" s="318" t="n">
        <f aca="false">Z37-Y37</f>
        <v>1090605399</v>
      </c>
      <c r="AN37" s="318"/>
      <c r="AO37" s="318"/>
      <c r="AP37" s="318"/>
      <c r="AR37" s="307" t="str">
        <f aca="false">IFERROR(VLOOKUP(M37,'BS_DEC 2026'!$D$12:$D$109,1,FALSE()),"(미존재)")</f>
        <v>미착품</v>
      </c>
    </row>
    <row r="38" customFormat="false" ht="15" hidden="false" customHeight="false" outlineLevel="0" collapsed="false">
      <c r="A38" s="310" t="s">
        <v>493</v>
      </c>
      <c r="B38" s="307" t="n">
        <v>22500000</v>
      </c>
      <c r="C38" s="307" t="s">
        <v>1638</v>
      </c>
      <c r="D38" s="307" t="s">
        <v>1554</v>
      </c>
      <c r="E38" s="307" t="s">
        <v>1555</v>
      </c>
      <c r="F38" s="307" t="s">
        <v>1637</v>
      </c>
      <c r="G38" s="307" t="s">
        <v>1557</v>
      </c>
      <c r="H38" s="307" t="s">
        <v>1536</v>
      </c>
      <c r="I38" s="307" t="s">
        <v>1629</v>
      </c>
      <c r="K38" s="307" t="s">
        <v>1630</v>
      </c>
      <c r="L38" s="317" t="s">
        <v>494</v>
      </c>
      <c r="M38" s="317" t="s">
        <v>83</v>
      </c>
      <c r="N38" s="317" t="s">
        <v>494</v>
      </c>
      <c r="O38" s="317" t="s">
        <v>1560</v>
      </c>
      <c r="P38" s="317" t="s">
        <v>70</v>
      </c>
      <c r="Q38" s="318" t="n">
        <v>-267557873</v>
      </c>
      <c r="R38" s="318" t="n">
        <v>-946787242</v>
      </c>
      <c r="S38" s="318" t="n">
        <v>-909949258</v>
      </c>
      <c r="T38" s="318" t="n">
        <v>-874256783</v>
      </c>
      <c r="U38" s="318" t="n">
        <v>-204440300</v>
      </c>
      <c r="V38" s="318" t="n">
        <v>-914436514</v>
      </c>
      <c r="W38" s="318" t="n">
        <v>0</v>
      </c>
      <c r="X38" s="318" t="n">
        <v>-868080757</v>
      </c>
      <c r="Y38" s="318" t="n">
        <v>-184241880</v>
      </c>
      <c r="Z38" s="318" t="n">
        <v>-208060150</v>
      </c>
      <c r="AA38" s="318"/>
      <c r="AB38" s="318"/>
      <c r="AC38" s="318"/>
      <c r="AD38" s="318"/>
      <c r="AE38" s="318" t="n">
        <f aca="false">R38</f>
        <v>-946787242</v>
      </c>
      <c r="AF38" s="318" t="n">
        <f aca="false">S38-R38</f>
        <v>36837984</v>
      </c>
      <c r="AG38" s="318" t="n">
        <f aca="false">T38-S38</f>
        <v>35692475</v>
      </c>
      <c r="AH38" s="318" t="n">
        <f aca="false">U38-T38</f>
        <v>669816483</v>
      </c>
      <c r="AI38" s="318" t="n">
        <f aca="false">V38-U38</f>
        <v>-709996214</v>
      </c>
      <c r="AJ38" s="318" t="n">
        <f aca="false">W38-V38</f>
        <v>914436514</v>
      </c>
      <c r="AK38" s="318" t="n">
        <f aca="false">X38-W38</f>
        <v>-868080757</v>
      </c>
      <c r="AL38" s="318" t="n">
        <f aca="false">Y38-X38</f>
        <v>683838877</v>
      </c>
      <c r="AM38" s="318" t="n">
        <f aca="false">Z38-Y38</f>
        <v>-23818270</v>
      </c>
      <c r="AN38" s="318"/>
      <c r="AO38" s="318"/>
      <c r="AP38" s="318"/>
      <c r="AR38" s="307" t="str">
        <f aca="false">IFERROR(VLOOKUP(M38,'BS_DEC 2026'!$D$12:$D$109,1,FALSE()),"(미존재)")</f>
        <v>미착품</v>
      </c>
    </row>
    <row r="39" customFormat="false" ht="15" hidden="false" customHeight="false" outlineLevel="0" collapsed="false">
      <c r="A39" s="310" t="s">
        <v>493</v>
      </c>
      <c r="B39" s="307" t="n">
        <v>24000000</v>
      </c>
      <c r="C39" s="307" t="s">
        <v>1639</v>
      </c>
      <c r="D39" s="307" t="s">
        <v>1554</v>
      </c>
      <c r="E39" s="307" t="s">
        <v>1640</v>
      </c>
      <c r="F39" s="307" t="s">
        <v>1641</v>
      </c>
      <c r="G39" s="307" t="s">
        <v>1557</v>
      </c>
      <c r="H39" s="307" t="s">
        <v>1536</v>
      </c>
      <c r="I39" s="307" t="s">
        <v>1642</v>
      </c>
      <c r="K39" s="307" t="s">
        <v>1643</v>
      </c>
      <c r="L39" s="317" t="s">
        <v>494</v>
      </c>
      <c r="M39" s="317" t="s">
        <v>30</v>
      </c>
      <c r="N39" s="317" t="s">
        <v>494</v>
      </c>
      <c r="O39" s="317" t="s">
        <v>1560</v>
      </c>
      <c r="P39" s="317" t="s">
        <v>1644</v>
      </c>
      <c r="Q39" s="318" t="n">
        <v>173829604574</v>
      </c>
      <c r="R39" s="318" t="n">
        <v>183822251095</v>
      </c>
      <c r="S39" s="318" t="n">
        <v>189718637647</v>
      </c>
      <c r="T39" s="318" t="n">
        <v>181490690602</v>
      </c>
      <c r="U39" s="318" t="n">
        <v>177825982091</v>
      </c>
      <c r="V39" s="318" t="n">
        <v>175686704329</v>
      </c>
      <c r="W39" s="318" t="n">
        <v>176669416312</v>
      </c>
      <c r="X39" s="318" t="n">
        <v>184200026171</v>
      </c>
      <c r="Y39" s="318" t="n">
        <v>187574078993</v>
      </c>
      <c r="Z39" s="318" t="n">
        <v>227483307980</v>
      </c>
      <c r="AA39" s="318"/>
      <c r="AB39" s="318"/>
      <c r="AC39" s="318"/>
      <c r="AD39" s="318"/>
      <c r="AE39" s="318" t="n">
        <f aca="false">R39</f>
        <v>183822251095</v>
      </c>
      <c r="AF39" s="318" t="n">
        <f aca="false">S39-R39</f>
        <v>5896386552</v>
      </c>
      <c r="AG39" s="318" t="n">
        <f aca="false">T39-S39</f>
        <v>-8227947045</v>
      </c>
      <c r="AH39" s="318" t="n">
        <f aca="false">U39-T39</f>
        <v>-3664708511</v>
      </c>
      <c r="AI39" s="318" t="n">
        <f aca="false">V39-U39</f>
        <v>-2139277762</v>
      </c>
      <c r="AJ39" s="318" t="n">
        <f aca="false">W39-V39</f>
        <v>982711983</v>
      </c>
      <c r="AK39" s="318" t="n">
        <f aca="false">X39-W39</f>
        <v>7530609859</v>
      </c>
      <c r="AL39" s="318" t="n">
        <f aca="false">Y39-X39</f>
        <v>3374052822</v>
      </c>
      <c r="AM39" s="318" t="n">
        <f aca="false">Z39-Y39</f>
        <v>39909228987</v>
      </c>
      <c r="AN39" s="318"/>
      <c r="AO39" s="318"/>
      <c r="AP39" s="318"/>
      <c r="AR39" s="307" t="str">
        <f aca="false">IFERROR(VLOOKUP(M39,'BS_DEC 2026'!$D$12:$D$109,1,FALSE()),"(미존재)")</f>
        <v>매출채권</v>
      </c>
    </row>
    <row r="40" customFormat="false" ht="15" hidden="false" customHeight="false" outlineLevel="0" collapsed="false">
      <c r="A40" s="310" t="s">
        <v>493</v>
      </c>
      <c r="B40" s="307" t="n">
        <v>24000001</v>
      </c>
      <c r="C40" s="307" t="s">
        <v>1645</v>
      </c>
      <c r="D40" s="307" t="s">
        <v>1554</v>
      </c>
      <c r="E40" s="307" t="s">
        <v>1640</v>
      </c>
      <c r="F40" s="307" t="s">
        <v>1641</v>
      </c>
      <c r="G40" s="307" t="s">
        <v>1557</v>
      </c>
      <c r="H40" s="307" t="s">
        <v>1536</v>
      </c>
      <c r="I40" s="307" t="s">
        <v>1642</v>
      </c>
      <c r="K40" s="307" t="s">
        <v>1643</v>
      </c>
      <c r="L40" s="317" t="s">
        <v>494</v>
      </c>
      <c r="M40" s="317" t="s">
        <v>30</v>
      </c>
      <c r="N40" s="317" t="s">
        <v>494</v>
      </c>
      <c r="O40" s="317" t="s">
        <v>1560</v>
      </c>
      <c r="P40" s="317" t="s">
        <v>1644</v>
      </c>
      <c r="Q40" s="318" t="n">
        <v>0</v>
      </c>
      <c r="R40" s="318" t="n">
        <v>0</v>
      </c>
      <c r="S40" s="318" t="n">
        <v>0</v>
      </c>
      <c r="T40" s="318" t="n">
        <v>-2808</v>
      </c>
      <c r="U40" s="318" t="n">
        <v>-1667</v>
      </c>
      <c r="V40" s="318" t="n">
        <v>-4481</v>
      </c>
      <c r="W40" s="318" t="n">
        <v>0</v>
      </c>
      <c r="X40" s="318" t="n">
        <v>0</v>
      </c>
      <c r="Y40" s="318" t="n">
        <v>0</v>
      </c>
      <c r="Z40" s="318" t="n">
        <v>-2244</v>
      </c>
      <c r="AA40" s="318"/>
      <c r="AB40" s="318"/>
      <c r="AC40" s="318"/>
      <c r="AD40" s="318"/>
      <c r="AE40" s="318" t="n">
        <f aca="false">R40</f>
        <v>0</v>
      </c>
      <c r="AF40" s="318" t="n">
        <f aca="false">S40-R40</f>
        <v>0</v>
      </c>
      <c r="AG40" s="318" t="n">
        <f aca="false">T40-S40</f>
        <v>-2808</v>
      </c>
      <c r="AH40" s="318" t="n">
        <f aca="false">U40-T40</f>
        <v>1141</v>
      </c>
      <c r="AI40" s="318" t="n">
        <f aca="false">V40-U40</f>
        <v>-2814</v>
      </c>
      <c r="AJ40" s="318" t="n">
        <f aca="false">W40-V40</f>
        <v>4481</v>
      </c>
      <c r="AK40" s="318" t="n">
        <f aca="false">X40-W40</f>
        <v>0</v>
      </c>
      <c r="AL40" s="318" t="n">
        <f aca="false">Y40-X40</f>
        <v>0</v>
      </c>
      <c r="AM40" s="318" t="n">
        <f aca="false">Z40-Y40</f>
        <v>-2244</v>
      </c>
      <c r="AN40" s="318"/>
      <c r="AO40" s="318"/>
      <c r="AP40" s="318"/>
      <c r="AR40" s="307" t="str">
        <f aca="false">IFERROR(VLOOKUP(M40,'BS_DEC 2026'!$D$12:$D$109,1,FALSE()),"(미존재)")</f>
        <v>매출채권</v>
      </c>
    </row>
    <row r="41" customFormat="false" ht="15" hidden="false" customHeight="false" outlineLevel="0" collapsed="false">
      <c r="A41" s="310" t="s">
        <v>493</v>
      </c>
      <c r="B41" s="307" t="n">
        <v>24000004</v>
      </c>
      <c r="C41" s="307" t="s">
        <v>1646</v>
      </c>
      <c r="D41" s="307" t="s">
        <v>1554</v>
      </c>
      <c r="E41" s="307" t="s">
        <v>1640</v>
      </c>
      <c r="F41" s="307" t="s">
        <v>1641</v>
      </c>
      <c r="G41" s="307" t="s">
        <v>1557</v>
      </c>
      <c r="H41" s="307" t="s">
        <v>1536</v>
      </c>
      <c r="I41" s="307" t="s">
        <v>1642</v>
      </c>
      <c r="K41" s="307" t="s">
        <v>1643</v>
      </c>
      <c r="L41" s="317" t="s">
        <v>494</v>
      </c>
      <c r="M41" s="317" t="s">
        <v>30</v>
      </c>
      <c r="N41" s="317" t="s">
        <v>494</v>
      </c>
      <c r="O41" s="317" t="s">
        <v>1560</v>
      </c>
      <c r="P41" s="317" t="s">
        <v>1644</v>
      </c>
      <c r="Q41" s="318" t="n">
        <v>0</v>
      </c>
      <c r="R41" s="318" t="n">
        <v>0</v>
      </c>
      <c r="S41" s="318" t="n">
        <v>0</v>
      </c>
      <c r="T41" s="318" t="n">
        <v>0</v>
      </c>
      <c r="U41" s="318" t="n">
        <v>0</v>
      </c>
      <c r="V41" s="318" t="n">
        <v>0</v>
      </c>
      <c r="W41" s="318" t="n">
        <v>0</v>
      </c>
      <c r="X41" s="318" t="n">
        <v>0</v>
      </c>
      <c r="Y41" s="318" t="n">
        <v>0</v>
      </c>
      <c r="Z41" s="318" t="n">
        <v>0</v>
      </c>
      <c r="AA41" s="318"/>
      <c r="AB41" s="318"/>
      <c r="AC41" s="318"/>
      <c r="AD41" s="318"/>
      <c r="AE41" s="318" t="n">
        <f aca="false">R41</f>
        <v>0</v>
      </c>
      <c r="AF41" s="318" t="n">
        <f aca="false">S41-R41</f>
        <v>0</v>
      </c>
      <c r="AG41" s="318" t="n">
        <f aca="false">T41-S41</f>
        <v>0</v>
      </c>
      <c r="AH41" s="318" t="n">
        <f aca="false">U41-T41</f>
        <v>0</v>
      </c>
      <c r="AI41" s="318" t="n">
        <f aca="false">V41-U41</f>
        <v>0</v>
      </c>
      <c r="AJ41" s="318" t="n">
        <f aca="false">W41-V41</f>
        <v>0</v>
      </c>
      <c r="AK41" s="318" t="n">
        <f aca="false">X41-W41</f>
        <v>0</v>
      </c>
      <c r="AL41" s="318" t="n">
        <f aca="false">Y41-X41</f>
        <v>0</v>
      </c>
      <c r="AM41" s="318" t="n">
        <f aca="false">Z41-Y41</f>
        <v>0</v>
      </c>
      <c r="AN41" s="318"/>
      <c r="AO41" s="318"/>
      <c r="AP41" s="318"/>
      <c r="AR41" s="307" t="str">
        <f aca="false">IFERROR(VLOOKUP(M41,'BS_DEC 2026'!$D$12:$D$109,1,FALSE()),"(미존재)")</f>
        <v>매출채권</v>
      </c>
    </row>
    <row r="42" customFormat="false" ht="15" hidden="false" customHeight="false" outlineLevel="0" collapsed="false">
      <c r="A42" s="310" t="s">
        <v>493</v>
      </c>
      <c r="B42" s="307" t="n">
        <v>24000009</v>
      </c>
      <c r="C42" s="307" t="s">
        <v>1647</v>
      </c>
      <c r="D42" s="307" t="s">
        <v>1554</v>
      </c>
      <c r="E42" s="307" t="s">
        <v>1640</v>
      </c>
      <c r="F42" s="307" t="s">
        <v>1641</v>
      </c>
      <c r="G42" s="307" t="s">
        <v>1557</v>
      </c>
      <c r="H42" s="307" t="s">
        <v>1536</v>
      </c>
      <c r="I42" s="307" t="s">
        <v>1648</v>
      </c>
      <c r="K42" s="307" t="s">
        <v>1649</v>
      </c>
      <c r="L42" s="317" t="s">
        <v>494</v>
      </c>
      <c r="M42" s="317" t="s">
        <v>33</v>
      </c>
      <c r="N42" s="317" t="s">
        <v>494</v>
      </c>
      <c r="O42" s="317" t="s">
        <v>1560</v>
      </c>
      <c r="P42" s="317" t="s">
        <v>33</v>
      </c>
      <c r="Q42" s="318" t="n">
        <v>-122273991</v>
      </c>
      <c r="R42" s="318" t="n">
        <v>-122273991</v>
      </c>
      <c r="S42" s="318" t="n">
        <v>-122273991</v>
      </c>
      <c r="T42" s="318" t="n">
        <v>-118195216</v>
      </c>
      <c r="U42" s="318" t="n">
        <v>-118195216</v>
      </c>
      <c r="V42" s="318" t="n">
        <v>-118195216</v>
      </c>
      <c r="W42" s="318" t="n">
        <v>-118149382</v>
      </c>
      <c r="X42" s="318" t="n">
        <v>-118149382</v>
      </c>
      <c r="Y42" s="318" t="n">
        <v>-118149382</v>
      </c>
      <c r="Z42" s="318" t="n">
        <v>-118149382</v>
      </c>
      <c r="AA42" s="318"/>
      <c r="AB42" s="318"/>
      <c r="AC42" s="318"/>
      <c r="AD42" s="318"/>
      <c r="AE42" s="318" t="n">
        <f aca="false">R42</f>
        <v>-122273991</v>
      </c>
      <c r="AF42" s="318" t="n">
        <f aca="false">S42-R42</f>
        <v>0</v>
      </c>
      <c r="AG42" s="318" t="n">
        <f aca="false">T42-S42</f>
        <v>4078775</v>
      </c>
      <c r="AH42" s="318" t="n">
        <f aca="false">U42-T42</f>
        <v>0</v>
      </c>
      <c r="AI42" s="318" t="n">
        <f aca="false">V42-U42</f>
        <v>0</v>
      </c>
      <c r="AJ42" s="318" t="n">
        <f aca="false">W42-V42</f>
        <v>45834</v>
      </c>
      <c r="AK42" s="318" t="n">
        <f aca="false">X42-W42</f>
        <v>0</v>
      </c>
      <c r="AL42" s="318" t="n">
        <f aca="false">Y42-X42</f>
        <v>0</v>
      </c>
      <c r="AM42" s="318" t="n">
        <f aca="false">Z42-Y42</f>
        <v>0</v>
      </c>
      <c r="AN42" s="318"/>
      <c r="AO42" s="318"/>
      <c r="AP42" s="318"/>
      <c r="AR42" s="307" t="str">
        <f aca="false">IFERROR(VLOOKUP(M42,'BS_DEC 2026'!$D$12:$D$109,1,FALSE()),"(미존재)")</f>
        <v>대손충당금</v>
      </c>
    </row>
    <row r="43" customFormat="false" ht="15" hidden="false" customHeight="false" outlineLevel="0" collapsed="false">
      <c r="A43" s="310" t="s">
        <v>493</v>
      </c>
      <c r="B43" s="307" t="n">
        <v>24000030</v>
      </c>
      <c r="C43" s="307" t="s">
        <v>1650</v>
      </c>
      <c r="D43" s="307" t="s">
        <v>1554</v>
      </c>
      <c r="E43" s="307" t="s">
        <v>1640</v>
      </c>
      <c r="F43" s="307" t="s">
        <v>1641</v>
      </c>
      <c r="G43" s="307" t="s">
        <v>1557</v>
      </c>
      <c r="H43" s="307" t="s">
        <v>1536</v>
      </c>
      <c r="I43" s="307" t="s">
        <v>1642</v>
      </c>
      <c r="K43" s="307" t="s">
        <v>1643</v>
      </c>
      <c r="L43" s="317" t="s">
        <v>494</v>
      </c>
      <c r="M43" s="317" t="s">
        <v>30</v>
      </c>
      <c r="N43" s="317" t="s">
        <v>494</v>
      </c>
      <c r="O43" s="317" t="s">
        <v>1560</v>
      </c>
      <c r="P43" s="317" t="s">
        <v>1644</v>
      </c>
      <c r="Q43" s="318" t="n">
        <v>109350608</v>
      </c>
      <c r="R43" s="318" t="n">
        <v>109130408</v>
      </c>
      <c r="S43" s="318" t="n">
        <v>108780333</v>
      </c>
      <c r="T43" s="318" t="n">
        <v>111522107</v>
      </c>
      <c r="U43" s="318" t="n">
        <v>111522107</v>
      </c>
      <c r="V43" s="318" t="n">
        <v>111427453</v>
      </c>
      <c r="W43" s="318" t="n">
        <v>111427453</v>
      </c>
      <c r="X43" s="318" t="n">
        <v>111427453</v>
      </c>
      <c r="Y43" s="318" t="n">
        <v>111427453</v>
      </c>
      <c r="Z43" s="318" t="n">
        <v>111427453</v>
      </c>
      <c r="AA43" s="318"/>
      <c r="AB43" s="318"/>
      <c r="AC43" s="318"/>
      <c r="AD43" s="318"/>
      <c r="AE43" s="318" t="n">
        <f aca="false">R43</f>
        <v>109130408</v>
      </c>
      <c r="AF43" s="318" t="n">
        <f aca="false">S43-R43</f>
        <v>-350075</v>
      </c>
      <c r="AG43" s="318" t="n">
        <f aca="false">T43-S43</f>
        <v>2741774</v>
      </c>
      <c r="AH43" s="318" t="n">
        <f aca="false">U43-T43</f>
        <v>0</v>
      </c>
      <c r="AI43" s="318" t="n">
        <f aca="false">V43-U43</f>
        <v>-94654</v>
      </c>
      <c r="AJ43" s="318" t="n">
        <f aca="false">W43-V43</f>
        <v>0</v>
      </c>
      <c r="AK43" s="318" t="n">
        <f aca="false">X43-W43</f>
        <v>0</v>
      </c>
      <c r="AL43" s="318" t="n">
        <f aca="false">Y43-X43</f>
        <v>0</v>
      </c>
      <c r="AM43" s="318" t="n">
        <f aca="false">Z43-Y43</f>
        <v>0</v>
      </c>
      <c r="AN43" s="318"/>
      <c r="AO43" s="318"/>
      <c r="AP43" s="318"/>
      <c r="AR43" s="307" t="str">
        <f aca="false">IFERROR(VLOOKUP(M43,'BS_DEC 2026'!$D$12:$D$109,1,FALSE()),"(미존재)")</f>
        <v>매출채권</v>
      </c>
    </row>
    <row r="44" customFormat="false" ht="15" hidden="false" customHeight="false" outlineLevel="0" collapsed="false">
      <c r="A44" s="310" t="s">
        <v>493</v>
      </c>
      <c r="B44" s="307" t="n">
        <v>24000812</v>
      </c>
      <c r="C44" s="307" t="s">
        <v>1651</v>
      </c>
      <c r="D44" s="307" t="s">
        <v>1554</v>
      </c>
      <c r="E44" s="307" t="s">
        <v>1640</v>
      </c>
      <c r="F44" s="307" t="s">
        <v>1652</v>
      </c>
      <c r="G44" s="307" t="s">
        <v>1653</v>
      </c>
      <c r="H44" s="307" t="s">
        <v>1536</v>
      </c>
      <c r="I44" s="307" t="s">
        <v>1654</v>
      </c>
      <c r="K44" s="307" t="s">
        <v>1655</v>
      </c>
      <c r="L44" s="317" t="s">
        <v>494</v>
      </c>
      <c r="M44" s="317" t="s">
        <v>30</v>
      </c>
      <c r="N44" s="317" t="s">
        <v>494</v>
      </c>
      <c r="O44" s="317" t="s">
        <v>1560</v>
      </c>
      <c r="P44" s="317" t="s">
        <v>27</v>
      </c>
      <c r="Q44" s="318"/>
      <c r="R44" s="318"/>
      <c r="S44" s="318"/>
      <c r="T44" s="318"/>
      <c r="U44" s="318"/>
      <c r="V44" s="318"/>
      <c r="W44" s="318"/>
      <c r="X44" s="318"/>
      <c r="Y44" s="318"/>
      <c r="Z44" s="318" t="n">
        <v>17617</v>
      </c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 t="n">
        <f aca="false">Z44-Y44</f>
        <v>17617</v>
      </c>
      <c r="AN44" s="318"/>
      <c r="AO44" s="318"/>
      <c r="AP44" s="318"/>
      <c r="AR44" s="307" t="str">
        <f aca="false">IFERROR(VLOOKUP(M44,'BS_DEC 2026'!$D$12:$D$109,1,FALSE()),"(미존재)")</f>
        <v>매출채권</v>
      </c>
    </row>
    <row r="45" customFormat="false" ht="15" hidden="false" customHeight="false" outlineLevel="0" collapsed="false">
      <c r="A45" s="310" t="s">
        <v>493</v>
      </c>
      <c r="B45" s="307" t="n">
        <v>24050000</v>
      </c>
      <c r="C45" s="307" t="s">
        <v>1656</v>
      </c>
      <c r="D45" s="307" t="s">
        <v>1554</v>
      </c>
      <c r="E45" s="307" t="s">
        <v>1640</v>
      </c>
      <c r="F45" s="307" t="s">
        <v>1641</v>
      </c>
      <c r="G45" s="307" t="s">
        <v>1657</v>
      </c>
      <c r="H45" s="307" t="s">
        <v>1536</v>
      </c>
      <c r="I45" s="307" t="s">
        <v>1658</v>
      </c>
      <c r="K45" s="307" t="s">
        <v>1659</v>
      </c>
      <c r="L45" s="317" t="s">
        <v>494</v>
      </c>
      <c r="M45" s="317" t="s">
        <v>30</v>
      </c>
      <c r="N45" s="317" t="s">
        <v>494</v>
      </c>
      <c r="O45" s="317" t="s">
        <v>1560</v>
      </c>
      <c r="P45" s="317" t="s">
        <v>1644</v>
      </c>
      <c r="Q45" s="318" t="n">
        <v>8262841</v>
      </c>
      <c r="R45" s="318" t="n">
        <v>75497334</v>
      </c>
      <c r="S45" s="318" t="n">
        <v>75497334</v>
      </c>
      <c r="T45" s="318" t="n">
        <v>75497334</v>
      </c>
      <c r="U45" s="318" t="n">
        <v>8262841</v>
      </c>
      <c r="V45" s="318" t="n">
        <v>8262841</v>
      </c>
      <c r="W45" s="318" t="n">
        <v>10103</v>
      </c>
      <c r="X45" s="318" t="n">
        <v>10103</v>
      </c>
      <c r="Y45" s="318" t="n">
        <v>10103</v>
      </c>
      <c r="Z45" s="318" t="n">
        <v>10103</v>
      </c>
      <c r="AA45" s="318"/>
      <c r="AB45" s="318"/>
      <c r="AC45" s="318"/>
      <c r="AD45" s="318"/>
      <c r="AE45" s="318" t="n">
        <f aca="false">R45</f>
        <v>75497334</v>
      </c>
      <c r="AF45" s="318" t="n">
        <f aca="false">S45-R45</f>
        <v>0</v>
      </c>
      <c r="AG45" s="318" t="n">
        <f aca="false">T45-S45</f>
        <v>0</v>
      </c>
      <c r="AH45" s="318" t="n">
        <f aca="false">U45-T45</f>
        <v>-67234493</v>
      </c>
      <c r="AI45" s="318" t="n">
        <f aca="false">V45-U45</f>
        <v>0</v>
      </c>
      <c r="AJ45" s="318" t="n">
        <f aca="false">W45-V45</f>
        <v>-8252738</v>
      </c>
      <c r="AK45" s="318" t="n">
        <f aca="false">X45-W45</f>
        <v>0</v>
      </c>
      <c r="AL45" s="318" t="n">
        <f aca="false">Y45-X45</f>
        <v>0</v>
      </c>
      <c r="AM45" s="318" t="n">
        <f aca="false">Z45-Y45</f>
        <v>0</v>
      </c>
      <c r="AN45" s="318"/>
      <c r="AO45" s="318"/>
      <c r="AP45" s="318"/>
      <c r="AR45" s="307" t="str">
        <f aca="false">IFERROR(VLOOKUP(M45,'BS_DEC 2026'!$D$12:$D$109,1,FALSE()),"(미존재)")</f>
        <v>매출채권</v>
      </c>
    </row>
    <row r="46" customFormat="false" ht="15" hidden="false" customHeight="false" outlineLevel="0" collapsed="false">
      <c r="A46" s="310" t="s">
        <v>493</v>
      </c>
      <c r="B46" s="307" t="n">
        <v>24050051</v>
      </c>
      <c r="C46" s="307" t="s">
        <v>1660</v>
      </c>
      <c r="D46" s="307" t="s">
        <v>1554</v>
      </c>
      <c r="E46" s="307" t="s">
        <v>1640</v>
      </c>
      <c r="F46" s="307" t="s">
        <v>1641</v>
      </c>
      <c r="G46" s="307" t="s">
        <v>1657</v>
      </c>
      <c r="H46" s="307" t="s">
        <v>1536</v>
      </c>
      <c r="I46" s="307" t="s">
        <v>1658</v>
      </c>
      <c r="K46" s="307" t="s">
        <v>1659</v>
      </c>
      <c r="L46" s="317" t="s">
        <v>494</v>
      </c>
      <c r="M46" s="317" t="s">
        <v>30</v>
      </c>
      <c r="N46" s="317" t="s">
        <v>494</v>
      </c>
      <c r="O46" s="317" t="s">
        <v>1560</v>
      </c>
      <c r="P46" s="317" t="s">
        <v>1644</v>
      </c>
      <c r="Q46" s="318" t="n">
        <v>0</v>
      </c>
      <c r="R46" s="318" t="n">
        <v>0</v>
      </c>
      <c r="S46" s="318" t="n">
        <v>0</v>
      </c>
      <c r="T46" s="318" t="n">
        <v>6795422000</v>
      </c>
      <c r="U46" s="318" t="n">
        <v>6795422000</v>
      </c>
      <c r="V46" s="318" t="n">
        <v>6795422000</v>
      </c>
      <c r="W46" s="318" t="n">
        <v>0</v>
      </c>
      <c r="X46" s="318" t="n">
        <v>0</v>
      </c>
      <c r="Y46" s="318" t="n">
        <v>0</v>
      </c>
      <c r="Z46" s="318" t="n">
        <v>0</v>
      </c>
      <c r="AA46" s="318"/>
      <c r="AB46" s="318"/>
      <c r="AC46" s="318"/>
      <c r="AD46" s="318"/>
      <c r="AE46" s="318" t="n">
        <f aca="false">R46</f>
        <v>0</v>
      </c>
      <c r="AF46" s="318" t="n">
        <f aca="false">S46-R46</f>
        <v>0</v>
      </c>
      <c r="AG46" s="318" t="n">
        <f aca="false">T46-S46</f>
        <v>6795422000</v>
      </c>
      <c r="AH46" s="318" t="n">
        <f aca="false">U46-T46</f>
        <v>0</v>
      </c>
      <c r="AI46" s="318" t="n">
        <f aca="false">V46-U46</f>
        <v>0</v>
      </c>
      <c r="AJ46" s="318" t="n">
        <f aca="false">W46-V46</f>
        <v>-6795422000</v>
      </c>
      <c r="AK46" s="318" t="n">
        <f aca="false">X46-W46</f>
        <v>0</v>
      </c>
      <c r="AL46" s="318" t="n">
        <f aca="false">Y46-X46</f>
        <v>0</v>
      </c>
      <c r="AM46" s="318" t="n">
        <f aca="false">Z46-Y46</f>
        <v>0</v>
      </c>
      <c r="AN46" s="318"/>
      <c r="AO46" s="318"/>
      <c r="AP46" s="318"/>
      <c r="AR46" s="307" t="str">
        <f aca="false">IFERROR(VLOOKUP(M46,'BS_DEC 2026'!$D$12:$D$109,1,FALSE()),"(미존재)")</f>
        <v>매출채권</v>
      </c>
    </row>
    <row r="47" customFormat="false" ht="15" hidden="false" customHeight="false" outlineLevel="0" collapsed="false">
      <c r="A47" s="310" t="s">
        <v>493</v>
      </c>
      <c r="B47" s="307" t="n">
        <v>24100002</v>
      </c>
      <c r="C47" s="307" t="s">
        <v>1661</v>
      </c>
      <c r="D47" s="307" t="s">
        <v>1554</v>
      </c>
      <c r="E47" s="307" t="s">
        <v>1640</v>
      </c>
      <c r="F47" s="307" t="s">
        <v>1641</v>
      </c>
      <c r="G47" s="307" t="s">
        <v>1557</v>
      </c>
      <c r="H47" s="307" t="s">
        <v>1536</v>
      </c>
      <c r="I47" s="307" t="s">
        <v>1648</v>
      </c>
      <c r="K47" s="307" t="s">
        <v>1649</v>
      </c>
      <c r="L47" s="317" t="s">
        <v>494</v>
      </c>
      <c r="M47" s="317" t="s">
        <v>33</v>
      </c>
      <c r="N47" s="317" t="s">
        <v>494</v>
      </c>
      <c r="O47" s="317" t="s">
        <v>1560</v>
      </c>
      <c r="P47" s="317" t="s">
        <v>33</v>
      </c>
      <c r="Q47" s="318" t="n">
        <v>0</v>
      </c>
      <c r="R47" s="318" t="n">
        <v>0</v>
      </c>
      <c r="S47" s="318" t="n">
        <v>0</v>
      </c>
      <c r="T47" s="318" t="n">
        <v>0</v>
      </c>
      <c r="U47" s="318" t="n">
        <v>0</v>
      </c>
      <c r="V47" s="318" t="n">
        <v>0</v>
      </c>
      <c r="W47" s="318" t="n">
        <v>0</v>
      </c>
      <c r="X47" s="318" t="n">
        <v>0</v>
      </c>
      <c r="Y47" s="318" t="n">
        <v>0</v>
      </c>
      <c r="Z47" s="318" t="n">
        <v>0</v>
      </c>
      <c r="AA47" s="318"/>
      <c r="AB47" s="318"/>
      <c r="AC47" s="318"/>
      <c r="AD47" s="318"/>
      <c r="AE47" s="318" t="n">
        <f aca="false">R47</f>
        <v>0</v>
      </c>
      <c r="AF47" s="318" t="n">
        <f aca="false">S47-R47</f>
        <v>0</v>
      </c>
      <c r="AG47" s="318" t="n">
        <f aca="false">T47-S47</f>
        <v>0</v>
      </c>
      <c r="AH47" s="318" t="n">
        <f aca="false">U47-T47</f>
        <v>0</v>
      </c>
      <c r="AI47" s="318" t="n">
        <f aca="false">V47-U47</f>
        <v>0</v>
      </c>
      <c r="AJ47" s="318" t="n">
        <f aca="false">W47-V47</f>
        <v>0</v>
      </c>
      <c r="AK47" s="318" t="n">
        <f aca="false">X47-W47</f>
        <v>0</v>
      </c>
      <c r="AL47" s="318" t="n">
        <f aca="false">Y47-X47</f>
        <v>0</v>
      </c>
      <c r="AM47" s="318" t="n">
        <f aca="false">Z47-Y47</f>
        <v>0</v>
      </c>
      <c r="AN47" s="318"/>
      <c r="AO47" s="318"/>
      <c r="AP47" s="318"/>
      <c r="AR47" s="307" t="str">
        <f aca="false">IFERROR(VLOOKUP(M47,'BS_DEC 2026'!$D$12:$D$109,1,FALSE()),"(미존재)")</f>
        <v>대손충당금</v>
      </c>
    </row>
    <row r="48" customFormat="false" ht="15" hidden="false" customHeight="false" outlineLevel="0" collapsed="false">
      <c r="A48" s="310" t="s">
        <v>493</v>
      </c>
      <c r="B48" s="307" t="n">
        <v>26000000</v>
      </c>
      <c r="C48" s="307" t="s">
        <v>1662</v>
      </c>
      <c r="G48" s="307" t="s">
        <v>1557</v>
      </c>
      <c r="H48" s="307" t="s">
        <v>1536</v>
      </c>
      <c r="I48" s="307" t="s">
        <v>1663</v>
      </c>
      <c r="K48" s="307" t="s">
        <v>1664</v>
      </c>
      <c r="L48" s="317" t="s">
        <v>494</v>
      </c>
      <c r="M48" s="317" t="s">
        <v>36</v>
      </c>
      <c r="N48" s="317" t="s">
        <v>494</v>
      </c>
      <c r="O48" s="317" t="s">
        <v>1560</v>
      </c>
      <c r="P48" s="317" t="s">
        <v>36</v>
      </c>
      <c r="Q48" s="318" t="n">
        <v>-8851971</v>
      </c>
      <c r="R48" s="318" t="n">
        <v>-709221</v>
      </c>
      <c r="S48" s="318" t="n">
        <v>-9672517</v>
      </c>
      <c r="T48" s="318" t="n">
        <v>978472424</v>
      </c>
      <c r="U48" s="318" t="n">
        <v>-9335194</v>
      </c>
      <c r="V48" s="318" t="n">
        <v>-9049424</v>
      </c>
      <c r="W48" s="318" t="n">
        <v>1819980</v>
      </c>
      <c r="X48" s="318" t="n">
        <v>1819980</v>
      </c>
      <c r="Y48" s="318" t="n">
        <v>1819980</v>
      </c>
      <c r="Z48" s="318" t="n">
        <v>1002240</v>
      </c>
      <c r="AA48" s="318"/>
      <c r="AB48" s="318"/>
      <c r="AC48" s="318"/>
      <c r="AD48" s="318"/>
      <c r="AE48" s="318" t="n">
        <f aca="false">R48</f>
        <v>-709221</v>
      </c>
      <c r="AF48" s="318" t="n">
        <f aca="false">S48-R48</f>
        <v>-8963296</v>
      </c>
      <c r="AG48" s="318" t="n">
        <f aca="false">T48-S48</f>
        <v>988144941</v>
      </c>
      <c r="AH48" s="318" t="n">
        <f aca="false">U48-T48</f>
        <v>-987807618</v>
      </c>
      <c r="AI48" s="318" t="n">
        <f aca="false">V48-U48</f>
        <v>285770</v>
      </c>
      <c r="AJ48" s="318" t="n">
        <f aca="false">W48-V48</f>
        <v>10869404</v>
      </c>
      <c r="AK48" s="318" t="n">
        <f aca="false">X48-W48</f>
        <v>0</v>
      </c>
      <c r="AL48" s="318" t="n">
        <f aca="false">Y48-X48</f>
        <v>0</v>
      </c>
      <c r="AM48" s="318" t="n">
        <f aca="false">Z48-Y48</f>
        <v>-817740</v>
      </c>
      <c r="AN48" s="318"/>
      <c r="AO48" s="318"/>
      <c r="AP48" s="318"/>
      <c r="AR48" s="307" t="str">
        <f aca="false">IFERROR(VLOOKUP(M48,'BS_DEC 2026'!$D$12:$D$109,1,FALSE()),"(미존재)")</f>
        <v>미수금</v>
      </c>
    </row>
    <row r="49" customFormat="false" ht="15" hidden="false" customHeight="false" outlineLevel="0" collapsed="false">
      <c r="A49" s="310" t="s">
        <v>493</v>
      </c>
      <c r="B49" s="307" t="n">
        <v>26000015</v>
      </c>
      <c r="C49" s="307" t="s">
        <v>1665</v>
      </c>
      <c r="D49" s="307" t="s">
        <v>1554</v>
      </c>
      <c r="E49" s="307" t="s">
        <v>1640</v>
      </c>
      <c r="F49" s="307" t="s">
        <v>1666</v>
      </c>
      <c r="G49" s="307" t="s">
        <v>1557</v>
      </c>
      <c r="H49" s="307" t="s">
        <v>1536</v>
      </c>
      <c r="I49" s="307" t="s">
        <v>1663</v>
      </c>
      <c r="K49" s="307" t="s">
        <v>1664</v>
      </c>
      <c r="L49" s="317" t="s">
        <v>494</v>
      </c>
      <c r="M49" s="317" t="s">
        <v>42</v>
      </c>
      <c r="N49" s="317" t="s">
        <v>494</v>
      </c>
      <c r="O49" s="317" t="s">
        <v>1560</v>
      </c>
      <c r="P49" s="317" t="s">
        <v>42</v>
      </c>
      <c r="Q49" s="318" t="n">
        <v>979522379</v>
      </c>
      <c r="R49" s="318" t="n">
        <v>1077942840</v>
      </c>
      <c r="S49" s="318" t="n">
        <v>1125785792</v>
      </c>
      <c r="T49" s="318" t="n">
        <v>280033537</v>
      </c>
      <c r="U49" s="318" t="n">
        <v>392172650</v>
      </c>
      <c r="V49" s="318" t="n">
        <v>515379905</v>
      </c>
      <c r="W49" s="318" t="n">
        <v>627623527</v>
      </c>
      <c r="X49" s="318" t="n">
        <v>742453168</v>
      </c>
      <c r="Y49" s="318" t="n">
        <v>867874852</v>
      </c>
      <c r="Z49" s="318" t="n">
        <v>981690770</v>
      </c>
      <c r="AA49" s="318"/>
      <c r="AB49" s="318"/>
      <c r="AC49" s="318"/>
      <c r="AD49" s="318"/>
      <c r="AE49" s="318" t="n">
        <f aca="false">R49</f>
        <v>1077942840</v>
      </c>
      <c r="AF49" s="318" t="n">
        <f aca="false">S49-R49</f>
        <v>47842952</v>
      </c>
      <c r="AG49" s="318" t="n">
        <f aca="false">T49-S49</f>
        <v>-845752255</v>
      </c>
      <c r="AH49" s="318" t="n">
        <f aca="false">U49-T49</f>
        <v>112139113</v>
      </c>
      <c r="AI49" s="318" t="n">
        <f aca="false">V49-U49</f>
        <v>123207255</v>
      </c>
      <c r="AJ49" s="318" t="n">
        <f aca="false">W49-V49</f>
        <v>112243622</v>
      </c>
      <c r="AK49" s="318" t="n">
        <f aca="false">X49-W49</f>
        <v>114829641</v>
      </c>
      <c r="AL49" s="318" t="n">
        <f aca="false">Y49-X49</f>
        <v>125421684</v>
      </c>
      <c r="AM49" s="318" t="n">
        <f aca="false">Z49-Y49</f>
        <v>113815918</v>
      </c>
      <c r="AN49" s="318"/>
      <c r="AO49" s="318"/>
      <c r="AP49" s="318"/>
      <c r="AR49" s="307" t="str">
        <f aca="false">IFERROR(VLOOKUP(M49,'BS_DEC 2026'!$D$12:$D$109,1,FALSE()),"(미존재)")</f>
        <v>미수수익</v>
      </c>
    </row>
    <row r="50" customFormat="false" ht="15" hidden="false" customHeight="false" outlineLevel="0" collapsed="false">
      <c r="A50" s="310" t="s">
        <v>493</v>
      </c>
      <c r="B50" s="307" t="n">
        <v>26000033</v>
      </c>
      <c r="C50" s="307" t="s">
        <v>1667</v>
      </c>
      <c r="D50" s="307" t="s">
        <v>1554</v>
      </c>
      <c r="E50" s="307" t="s">
        <v>1640</v>
      </c>
      <c r="F50" s="307" t="s">
        <v>1668</v>
      </c>
      <c r="G50" s="307" t="s">
        <v>1557</v>
      </c>
      <c r="H50" s="307" t="s">
        <v>1536</v>
      </c>
      <c r="I50" s="307" t="s">
        <v>1669</v>
      </c>
      <c r="K50" s="307" t="s">
        <v>616</v>
      </c>
      <c r="L50" s="317" t="s">
        <v>494</v>
      </c>
      <c r="M50" s="317" t="s">
        <v>36</v>
      </c>
      <c r="N50" s="317" t="s">
        <v>494</v>
      </c>
      <c r="O50" s="317" t="s">
        <v>1560</v>
      </c>
      <c r="P50" s="317" t="s">
        <v>36</v>
      </c>
      <c r="Q50" s="318" t="n">
        <v>0</v>
      </c>
      <c r="R50" s="318" t="n">
        <v>0</v>
      </c>
      <c r="S50" s="318" t="n">
        <v>0</v>
      </c>
      <c r="T50" s="318" t="n">
        <v>0</v>
      </c>
      <c r="U50" s="318" t="n">
        <v>0</v>
      </c>
      <c r="V50" s="318" t="n">
        <v>0</v>
      </c>
      <c r="W50" s="318" t="n">
        <v>0</v>
      </c>
      <c r="X50" s="318" t="n">
        <v>0</v>
      </c>
      <c r="Y50" s="318" t="n">
        <v>0</v>
      </c>
      <c r="Z50" s="318" t="n">
        <v>0</v>
      </c>
      <c r="AA50" s="318"/>
      <c r="AB50" s="318"/>
      <c r="AC50" s="318"/>
      <c r="AD50" s="318"/>
      <c r="AE50" s="318" t="n">
        <f aca="false">R50</f>
        <v>0</v>
      </c>
      <c r="AF50" s="318" t="n">
        <f aca="false">S50-R50</f>
        <v>0</v>
      </c>
      <c r="AG50" s="318" t="n">
        <f aca="false">T50-S50</f>
        <v>0</v>
      </c>
      <c r="AH50" s="318" t="n">
        <f aca="false">U50-T50</f>
        <v>0</v>
      </c>
      <c r="AI50" s="318" t="n">
        <f aca="false">V50-U50</f>
        <v>0</v>
      </c>
      <c r="AJ50" s="318" t="n">
        <f aca="false">W50-V50</f>
        <v>0</v>
      </c>
      <c r="AK50" s="318" t="n">
        <f aca="false">X50-W50</f>
        <v>0</v>
      </c>
      <c r="AL50" s="318" t="n">
        <f aca="false">Y50-X50</f>
        <v>0</v>
      </c>
      <c r="AM50" s="318" t="n">
        <f aca="false">Z50-Y50</f>
        <v>0</v>
      </c>
      <c r="AN50" s="318"/>
      <c r="AO50" s="318"/>
      <c r="AP50" s="318"/>
      <c r="AR50" s="307" t="str">
        <f aca="false">IFERROR(VLOOKUP(M50,'BS_DEC 2026'!$D$12:$D$109,1,FALSE()),"(미존재)")</f>
        <v>미수금</v>
      </c>
    </row>
    <row r="51" customFormat="false" ht="15" hidden="false" customHeight="false" outlineLevel="0" collapsed="false">
      <c r="A51" s="310" t="s">
        <v>493</v>
      </c>
      <c r="B51" s="307" t="n">
        <v>26000200</v>
      </c>
      <c r="C51" s="307" t="s">
        <v>1670</v>
      </c>
      <c r="D51" s="307" t="s">
        <v>1554</v>
      </c>
      <c r="E51" s="307" t="s">
        <v>1640</v>
      </c>
      <c r="F51" s="307" t="s">
        <v>1671</v>
      </c>
      <c r="G51" s="307" t="s">
        <v>1557</v>
      </c>
      <c r="H51" s="307" t="s">
        <v>1536</v>
      </c>
      <c r="I51" s="307" t="s">
        <v>1672</v>
      </c>
      <c r="K51" s="307" t="s">
        <v>1673</v>
      </c>
      <c r="L51" s="317" t="s">
        <v>494</v>
      </c>
      <c r="M51" s="317" t="s">
        <v>54</v>
      </c>
      <c r="N51" s="317" t="s">
        <v>494</v>
      </c>
      <c r="O51" s="317" t="s">
        <v>1560</v>
      </c>
      <c r="P51" s="317" t="s">
        <v>54</v>
      </c>
      <c r="Q51" s="318"/>
      <c r="R51" s="318" t="n">
        <v>0</v>
      </c>
      <c r="S51" s="318"/>
      <c r="T51" s="318"/>
      <c r="U51" s="318"/>
      <c r="V51" s="318"/>
      <c r="W51" s="318"/>
      <c r="X51" s="318" t="n">
        <v>706023118</v>
      </c>
      <c r="Y51" s="318" t="n">
        <v>664962455</v>
      </c>
      <c r="Z51" s="318" t="n">
        <v>656604886</v>
      </c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 t="n">
        <f aca="false">X51-W51</f>
        <v>706023118</v>
      </c>
      <c r="AL51" s="318" t="n">
        <f aca="false">Y51-X51</f>
        <v>-41060663</v>
      </c>
      <c r="AM51" s="318" t="n">
        <f aca="false">Z51-Y51</f>
        <v>-8357569</v>
      </c>
      <c r="AN51" s="318"/>
      <c r="AO51" s="318"/>
      <c r="AP51" s="318"/>
      <c r="AR51" s="307" t="str">
        <f aca="false">IFERROR(VLOOKUP(M51,'BS_DEC 2026'!$D$12:$D$109,1,FALSE()),"(미존재)")</f>
        <v>선급비용</v>
      </c>
    </row>
    <row r="52" customFormat="false" ht="15" hidden="false" customHeight="false" outlineLevel="0" collapsed="false">
      <c r="A52" s="310" t="s">
        <v>493</v>
      </c>
      <c r="B52" s="307" t="n">
        <v>26000810</v>
      </c>
      <c r="C52" s="307" t="s">
        <v>1674</v>
      </c>
      <c r="D52" s="307" t="s">
        <v>1554</v>
      </c>
      <c r="E52" s="307" t="s">
        <v>1640</v>
      </c>
      <c r="F52" s="307" t="s">
        <v>1668</v>
      </c>
      <c r="G52" s="307" t="s">
        <v>1557</v>
      </c>
      <c r="H52" s="307" t="s">
        <v>1536</v>
      </c>
      <c r="I52" s="307" t="s">
        <v>1675</v>
      </c>
      <c r="K52" s="307" t="s">
        <v>1676</v>
      </c>
      <c r="L52" s="317" t="s">
        <v>494</v>
      </c>
      <c r="M52" s="317" t="s">
        <v>45</v>
      </c>
      <c r="N52" s="317" t="s">
        <v>494</v>
      </c>
      <c r="O52" s="317" t="s">
        <v>1560</v>
      </c>
      <c r="P52" s="317" t="s">
        <v>36</v>
      </c>
      <c r="Q52" s="318" t="n">
        <v>6858752</v>
      </c>
      <c r="R52" s="318" t="n">
        <v>5564992</v>
      </c>
      <c r="S52" s="318" t="n">
        <v>1797332242</v>
      </c>
      <c r="T52" s="318" t="n">
        <v>1370773380</v>
      </c>
      <c r="U52" s="318" t="n">
        <v>-5652220</v>
      </c>
      <c r="V52" s="318" t="n">
        <v>291870</v>
      </c>
      <c r="W52" s="318" t="n">
        <v>23161190</v>
      </c>
      <c r="X52" s="318" t="n">
        <v>8878580</v>
      </c>
      <c r="Y52" s="318" t="n">
        <v>808630</v>
      </c>
      <c r="Z52" s="318" t="n">
        <v>809597490</v>
      </c>
      <c r="AA52" s="318"/>
      <c r="AB52" s="318"/>
      <c r="AC52" s="318"/>
      <c r="AD52" s="318"/>
      <c r="AE52" s="318" t="n">
        <f aca="false">R52</f>
        <v>5564992</v>
      </c>
      <c r="AF52" s="318" t="n">
        <f aca="false">S52-R52</f>
        <v>1791767250</v>
      </c>
      <c r="AG52" s="318" t="n">
        <f aca="false">T52-S52</f>
        <v>-426558862</v>
      </c>
      <c r="AH52" s="318" t="n">
        <f aca="false">U52-T52</f>
        <v>-1376425600</v>
      </c>
      <c r="AI52" s="318" t="n">
        <f aca="false">V52-U52</f>
        <v>5944090</v>
      </c>
      <c r="AJ52" s="318" t="n">
        <f aca="false">W52-V52</f>
        <v>22869320</v>
      </c>
      <c r="AK52" s="318" t="n">
        <f aca="false">X52-W52</f>
        <v>-14282610</v>
      </c>
      <c r="AL52" s="318" t="n">
        <f aca="false">Y52-X52</f>
        <v>-8069950</v>
      </c>
      <c r="AM52" s="318" t="n">
        <f aca="false">Z52-Y52</f>
        <v>808788860</v>
      </c>
      <c r="AN52" s="318"/>
      <c r="AO52" s="318"/>
      <c r="AP52" s="318"/>
      <c r="AR52" s="307" t="str">
        <f aca="false">IFERROR(VLOOKUP(M52,'BS_DEC 2026'!$D$12:$D$109,1,FALSE()),"(미존재)")</f>
        <v>선급금</v>
      </c>
    </row>
    <row r="53" customFormat="false" ht="15" hidden="false" customHeight="false" outlineLevel="0" collapsed="false">
      <c r="A53" s="310" t="s">
        <v>493</v>
      </c>
      <c r="B53" s="307" t="n">
        <v>26030000</v>
      </c>
      <c r="C53" s="307" t="s">
        <v>1677</v>
      </c>
      <c r="D53" s="307" t="s">
        <v>1554</v>
      </c>
      <c r="E53" s="307" t="s">
        <v>1640</v>
      </c>
      <c r="F53" s="307" t="s">
        <v>1641</v>
      </c>
      <c r="G53" s="307" t="s">
        <v>1557</v>
      </c>
      <c r="H53" s="307" t="s">
        <v>1536</v>
      </c>
      <c r="I53" s="307" t="s">
        <v>1678</v>
      </c>
      <c r="K53" s="307" t="s">
        <v>1679</v>
      </c>
      <c r="L53" s="317" t="s">
        <v>494</v>
      </c>
      <c r="M53" s="317" t="s">
        <v>33</v>
      </c>
      <c r="N53" s="317" t="s">
        <v>494</v>
      </c>
      <c r="O53" s="317" t="s">
        <v>1560</v>
      </c>
      <c r="P53" s="317" t="s">
        <v>33</v>
      </c>
      <c r="Q53" s="318" t="n">
        <v>0</v>
      </c>
      <c r="R53" s="318" t="n">
        <v>0</v>
      </c>
      <c r="S53" s="318" t="n">
        <v>0</v>
      </c>
      <c r="T53" s="318" t="n">
        <v>0</v>
      </c>
      <c r="U53" s="318" t="n">
        <v>0</v>
      </c>
      <c r="V53" s="318" t="n">
        <v>0</v>
      </c>
      <c r="W53" s="318" t="n">
        <v>0</v>
      </c>
      <c r="X53" s="318" t="n">
        <v>0</v>
      </c>
      <c r="Y53" s="318" t="n">
        <v>0</v>
      </c>
      <c r="Z53" s="318" t="n">
        <v>0</v>
      </c>
      <c r="AA53" s="318"/>
      <c r="AB53" s="318"/>
      <c r="AC53" s="318"/>
      <c r="AD53" s="318"/>
      <c r="AE53" s="318" t="n">
        <f aca="false">R53</f>
        <v>0</v>
      </c>
      <c r="AF53" s="318" t="n">
        <f aca="false">S53-R53</f>
        <v>0</v>
      </c>
      <c r="AG53" s="318" t="n">
        <f aca="false">T53-S53</f>
        <v>0</v>
      </c>
      <c r="AH53" s="318" t="n">
        <f aca="false">U53-T53</f>
        <v>0</v>
      </c>
      <c r="AI53" s="318" t="n">
        <f aca="false">V53-U53</f>
        <v>0</v>
      </c>
      <c r="AJ53" s="318" t="n">
        <f aca="false">W53-V53</f>
        <v>0</v>
      </c>
      <c r="AK53" s="318" t="n">
        <f aca="false">X53-W53</f>
        <v>0</v>
      </c>
      <c r="AL53" s="318" t="n">
        <f aca="false">Y53-X53</f>
        <v>0</v>
      </c>
      <c r="AM53" s="318" t="n">
        <f aca="false">Z53-Y53</f>
        <v>0</v>
      </c>
      <c r="AN53" s="318"/>
      <c r="AO53" s="318"/>
      <c r="AP53" s="318"/>
      <c r="AR53" s="307" t="str">
        <f aca="false">IFERROR(VLOOKUP(M53,'BS_DEC 2026'!$D$12:$D$109,1,FALSE()),"(미존재)")</f>
        <v>대손충당금</v>
      </c>
    </row>
    <row r="54" customFormat="false" ht="15" hidden="false" customHeight="false" outlineLevel="0" collapsed="false">
      <c r="A54" s="310" t="s">
        <v>493</v>
      </c>
      <c r="B54" s="307" t="n">
        <v>26050000</v>
      </c>
      <c r="C54" s="307" t="s">
        <v>1680</v>
      </c>
      <c r="D54" s="307" t="s">
        <v>1554</v>
      </c>
      <c r="E54" s="307" t="s">
        <v>1640</v>
      </c>
      <c r="F54" s="307" t="s">
        <v>1668</v>
      </c>
      <c r="G54" s="307" t="s">
        <v>1657</v>
      </c>
      <c r="H54" s="307" t="s">
        <v>1536</v>
      </c>
      <c r="I54" s="307" t="s">
        <v>1658</v>
      </c>
      <c r="K54" s="307" t="s">
        <v>1659</v>
      </c>
      <c r="L54" s="317" t="s">
        <v>494</v>
      </c>
      <c r="M54" s="317" t="s">
        <v>36</v>
      </c>
      <c r="N54" s="317" t="s">
        <v>494</v>
      </c>
      <c r="O54" s="317" t="s">
        <v>1560</v>
      </c>
      <c r="P54" s="317" t="s">
        <v>36</v>
      </c>
      <c r="Q54" s="318" t="n">
        <v>16694851073</v>
      </c>
      <c r="R54" s="318" t="n">
        <v>7065437572</v>
      </c>
      <c r="S54" s="318" t="n">
        <v>3216733556</v>
      </c>
      <c r="T54" s="318" t="n">
        <v>6828696225</v>
      </c>
      <c r="U54" s="318" t="n">
        <v>3660460828</v>
      </c>
      <c r="V54" s="318" t="n">
        <v>11400</v>
      </c>
      <c r="W54" s="318" t="n">
        <v>5605566971</v>
      </c>
      <c r="X54" s="318" t="n">
        <v>5605555571</v>
      </c>
      <c r="Y54" s="318" t="n">
        <v>0</v>
      </c>
      <c r="Z54" s="318" t="n">
        <v>11576676956</v>
      </c>
      <c r="AA54" s="318"/>
      <c r="AB54" s="318"/>
      <c r="AC54" s="318"/>
      <c r="AD54" s="318"/>
      <c r="AE54" s="318" t="n">
        <f aca="false">R54</f>
        <v>7065437572</v>
      </c>
      <c r="AF54" s="318" t="n">
        <f aca="false">S54-R54</f>
        <v>-3848704016</v>
      </c>
      <c r="AG54" s="318" t="n">
        <f aca="false">T54-S54</f>
        <v>3611962669</v>
      </c>
      <c r="AH54" s="318" t="n">
        <f aca="false">U54-T54</f>
        <v>-3168235397</v>
      </c>
      <c r="AI54" s="318" t="n">
        <f aca="false">V54-U54</f>
        <v>-3660449428</v>
      </c>
      <c r="AJ54" s="318" t="n">
        <f aca="false">W54-V54</f>
        <v>5605555571</v>
      </c>
      <c r="AK54" s="318" t="n">
        <f aca="false">X54-W54</f>
        <v>-11400</v>
      </c>
      <c r="AL54" s="318" t="n">
        <f aca="false">Y54-X54</f>
        <v>-5605555571</v>
      </c>
      <c r="AM54" s="318" t="n">
        <f aca="false">Z54-Y54</f>
        <v>11576676956</v>
      </c>
      <c r="AN54" s="318"/>
      <c r="AO54" s="318"/>
      <c r="AP54" s="318"/>
      <c r="AR54" s="307" t="str">
        <f aca="false">IFERROR(VLOOKUP(M54,'BS_DEC 2026'!$D$12:$D$109,1,FALSE()),"(미존재)")</f>
        <v>미수금</v>
      </c>
    </row>
    <row r="55" customFormat="false" ht="15" hidden="false" customHeight="false" outlineLevel="0" collapsed="false">
      <c r="A55" s="310" t="s">
        <v>493</v>
      </c>
      <c r="B55" s="307" t="n">
        <v>26220000</v>
      </c>
      <c r="C55" s="307" t="s">
        <v>1681</v>
      </c>
      <c r="G55" s="307" t="s">
        <v>1657</v>
      </c>
      <c r="H55" s="307" t="s">
        <v>1536</v>
      </c>
      <c r="I55" s="307" t="s">
        <v>1658</v>
      </c>
      <c r="K55" s="307" t="s">
        <v>1659</v>
      </c>
      <c r="L55" s="307" t="s">
        <v>1682</v>
      </c>
      <c r="M55" s="307" t="s">
        <v>1682</v>
      </c>
      <c r="N55" s="307" t="s">
        <v>1682</v>
      </c>
      <c r="O55" s="307" t="s">
        <v>1682</v>
      </c>
      <c r="P55" s="307" t="s">
        <v>1682</v>
      </c>
      <c r="Q55" s="318" t="n">
        <v>0</v>
      </c>
      <c r="R55" s="318" t="n">
        <v>0</v>
      </c>
      <c r="S55" s="318" t="n">
        <v>0</v>
      </c>
      <c r="T55" s="318" t="n">
        <v>0</v>
      </c>
      <c r="U55" s="318" t="n">
        <v>0</v>
      </c>
      <c r="V55" s="318" t="n">
        <v>0</v>
      </c>
      <c r="W55" s="318" t="n">
        <v>0</v>
      </c>
      <c r="X55" s="318" t="n">
        <v>0</v>
      </c>
      <c r="Y55" s="318" t="n">
        <v>0</v>
      </c>
      <c r="Z55" s="318" t="n">
        <v>0</v>
      </c>
      <c r="AA55" s="318"/>
      <c r="AB55" s="318"/>
      <c r="AC55" s="318"/>
      <c r="AD55" s="318"/>
      <c r="AE55" s="318" t="n">
        <f aca="false">R55</f>
        <v>0</v>
      </c>
      <c r="AF55" s="318" t="n">
        <f aca="false">S55-R55</f>
        <v>0</v>
      </c>
      <c r="AG55" s="318" t="n">
        <f aca="false">T55-S55</f>
        <v>0</v>
      </c>
      <c r="AH55" s="318" t="n">
        <f aca="false">U55-T55</f>
        <v>0</v>
      </c>
      <c r="AI55" s="318" t="n">
        <f aca="false">V55-U55</f>
        <v>0</v>
      </c>
      <c r="AJ55" s="318" t="n">
        <f aca="false">W55-V55</f>
        <v>0</v>
      </c>
      <c r="AK55" s="318" t="n">
        <f aca="false">X55-W55</f>
        <v>0</v>
      </c>
      <c r="AL55" s="318" t="n">
        <f aca="false">Y55-X55</f>
        <v>0</v>
      </c>
      <c r="AM55" s="318" t="n">
        <f aca="false">Z55-Y55</f>
        <v>0</v>
      </c>
      <c r="AN55" s="318"/>
      <c r="AO55" s="318"/>
      <c r="AP55" s="318"/>
      <c r="AR55" s="307" t="str">
        <f aca="false">IFERROR(VLOOKUP(M55,'BS_DEC 2026'!$D$12:$D$109,1,FALSE()),"(미존재)")</f>
        <v>(미존재)</v>
      </c>
    </row>
    <row r="56" customFormat="false" ht="15" hidden="false" customHeight="false" outlineLevel="0" collapsed="false">
      <c r="A56" s="310" t="s">
        <v>493</v>
      </c>
      <c r="B56" s="307" t="n">
        <v>26220101</v>
      </c>
      <c r="C56" s="307" t="s">
        <v>1683</v>
      </c>
      <c r="D56" s="307" t="s">
        <v>1616</v>
      </c>
      <c r="E56" s="307" t="s">
        <v>1684</v>
      </c>
      <c r="F56" s="307" t="s">
        <v>1685</v>
      </c>
      <c r="G56" s="307" t="s">
        <v>1686</v>
      </c>
      <c r="H56" s="307" t="s">
        <v>1536</v>
      </c>
      <c r="I56" s="307" t="s">
        <v>1687</v>
      </c>
      <c r="K56" s="307" t="s">
        <v>1688</v>
      </c>
      <c r="L56" s="317" t="s">
        <v>157</v>
      </c>
      <c r="M56" s="317" t="s">
        <v>171</v>
      </c>
      <c r="N56" s="317" t="s">
        <v>157</v>
      </c>
      <c r="O56" s="317" t="s">
        <v>1689</v>
      </c>
      <c r="P56" s="317" t="s">
        <v>171</v>
      </c>
      <c r="Q56" s="318" t="n">
        <v>0</v>
      </c>
      <c r="R56" s="318" t="n">
        <v>0</v>
      </c>
      <c r="S56" s="318" t="n">
        <v>0</v>
      </c>
      <c r="T56" s="318" t="n">
        <v>-6795422000</v>
      </c>
      <c r="U56" s="318" t="n">
        <v>-6795422000</v>
      </c>
      <c r="V56" s="318" t="n">
        <v>-6795422000</v>
      </c>
      <c r="W56" s="318" t="n">
        <v>-944645152</v>
      </c>
      <c r="X56" s="318" t="n">
        <v>0</v>
      </c>
      <c r="Y56" s="318" t="n">
        <v>0</v>
      </c>
      <c r="Z56" s="318" t="n">
        <v>0</v>
      </c>
      <c r="AA56" s="318"/>
      <c r="AB56" s="318"/>
      <c r="AC56" s="318"/>
      <c r="AD56" s="318"/>
      <c r="AE56" s="318" t="n">
        <f aca="false">R56</f>
        <v>0</v>
      </c>
      <c r="AF56" s="318" t="n">
        <f aca="false">S56-R56</f>
        <v>0</v>
      </c>
      <c r="AG56" s="318" t="n">
        <f aca="false">T56-S56</f>
        <v>-6795422000</v>
      </c>
      <c r="AH56" s="318" t="n">
        <f aca="false">U56-T56</f>
        <v>0</v>
      </c>
      <c r="AI56" s="318" t="n">
        <f aca="false">V56-U56</f>
        <v>0</v>
      </c>
      <c r="AJ56" s="318" t="n">
        <f aca="false">W56-V56</f>
        <v>5850776848</v>
      </c>
      <c r="AK56" s="318" t="n">
        <f aca="false">X56-W56</f>
        <v>944645152</v>
      </c>
      <c r="AL56" s="318" t="n">
        <f aca="false">Y56-X56</f>
        <v>0</v>
      </c>
      <c r="AM56" s="318" t="n">
        <f aca="false">Z56-Y56</f>
        <v>0</v>
      </c>
      <c r="AN56" s="318"/>
      <c r="AO56" s="318"/>
      <c r="AP56" s="318"/>
      <c r="AR56" s="307" t="str">
        <f aca="false">IFERROR(VLOOKUP(M56,'BS_DEC 2026'!$D$12:$D$109,1,FALSE()),"(미존재)")</f>
        <v>미지급비용</v>
      </c>
    </row>
    <row r="57" customFormat="false" ht="15" hidden="false" customHeight="false" outlineLevel="0" collapsed="false">
      <c r="A57" s="310" t="s">
        <v>493</v>
      </c>
      <c r="B57" s="307" t="n">
        <v>26530000</v>
      </c>
      <c r="C57" s="307" t="s">
        <v>1690</v>
      </c>
      <c r="D57" s="307" t="s">
        <v>1616</v>
      </c>
      <c r="E57" s="307" t="s">
        <v>1684</v>
      </c>
      <c r="F57" s="307" t="s">
        <v>1691</v>
      </c>
      <c r="G57" s="307" t="s">
        <v>1557</v>
      </c>
      <c r="H57" s="307" t="s">
        <v>1536</v>
      </c>
      <c r="I57" s="307" t="s">
        <v>1692</v>
      </c>
      <c r="K57" s="307" t="s">
        <v>1693</v>
      </c>
      <c r="L57" s="317" t="s">
        <v>157</v>
      </c>
      <c r="M57" s="317" t="s">
        <v>173</v>
      </c>
      <c r="N57" s="317" t="s">
        <v>157</v>
      </c>
      <c r="O57" s="317" t="s">
        <v>1689</v>
      </c>
      <c r="P57" s="317" t="s">
        <v>169</v>
      </c>
      <c r="Q57" s="318" t="n">
        <v>13474110429</v>
      </c>
      <c r="R57" s="318" t="n">
        <v>2811582736</v>
      </c>
      <c r="S57" s="318" t="n">
        <v>6626665468</v>
      </c>
      <c r="T57" s="318" t="n">
        <v>9051617494</v>
      </c>
      <c r="U57" s="318" t="n">
        <v>5944970041</v>
      </c>
      <c r="V57" s="318" t="n">
        <v>12496740386</v>
      </c>
      <c r="W57" s="318" t="n">
        <v>16163569015</v>
      </c>
      <c r="X57" s="318" t="n">
        <v>6011487310</v>
      </c>
      <c r="Y57" s="318" t="n">
        <v>15682617357</v>
      </c>
      <c r="Z57" s="318" t="n">
        <v>18421587033</v>
      </c>
      <c r="AA57" s="318"/>
      <c r="AB57" s="318"/>
      <c r="AC57" s="318"/>
      <c r="AD57" s="318"/>
      <c r="AE57" s="318" t="n">
        <f aca="false">R57</f>
        <v>2811582736</v>
      </c>
      <c r="AF57" s="318" t="n">
        <f aca="false">S57-R57</f>
        <v>3815082732</v>
      </c>
      <c r="AG57" s="318" t="n">
        <f aca="false">T57-S57</f>
        <v>2424952026</v>
      </c>
      <c r="AH57" s="318" t="n">
        <f aca="false">U57-T57</f>
        <v>-3106647453</v>
      </c>
      <c r="AI57" s="318" t="n">
        <f aca="false">V57-U57</f>
        <v>6551770345</v>
      </c>
      <c r="AJ57" s="318" t="n">
        <f aca="false">W57-V57</f>
        <v>3666828629</v>
      </c>
      <c r="AK57" s="318" t="n">
        <f aca="false">X57-W57</f>
        <v>-10152081705</v>
      </c>
      <c r="AL57" s="318" t="n">
        <f aca="false">Y57-X57</f>
        <v>9671130047</v>
      </c>
      <c r="AM57" s="318" t="n">
        <f aca="false">Z57-Y57</f>
        <v>2738969676</v>
      </c>
      <c r="AN57" s="318"/>
      <c r="AO57" s="318"/>
      <c r="AP57" s="318"/>
      <c r="AQ57" s="317" t="s">
        <v>1694</v>
      </c>
      <c r="AR57" s="307" t="str">
        <f aca="false">IFERROR(VLOOKUP(M57,'BS_DEC 2026'!$D$12:$D$109,1,FALSE()),"(미존재)")</f>
        <v>부가가치세예수금</v>
      </c>
    </row>
    <row r="58" customFormat="false" ht="15" hidden="false" customHeight="false" outlineLevel="0" collapsed="false">
      <c r="A58" s="310" t="s">
        <v>493</v>
      </c>
      <c r="B58" s="307" t="n">
        <v>26550000</v>
      </c>
      <c r="C58" s="307" t="s">
        <v>1695</v>
      </c>
      <c r="D58" s="307" t="s">
        <v>1554</v>
      </c>
      <c r="E58" s="307" t="s">
        <v>1640</v>
      </c>
      <c r="F58" s="307" t="s">
        <v>1671</v>
      </c>
      <c r="G58" s="307" t="s">
        <v>1557</v>
      </c>
      <c r="H58" s="307" t="s">
        <v>1536</v>
      </c>
      <c r="I58" s="307" t="s">
        <v>1672</v>
      </c>
      <c r="K58" s="307" t="s">
        <v>1673</v>
      </c>
      <c r="L58" s="317" t="s">
        <v>494</v>
      </c>
      <c r="M58" s="317" t="s">
        <v>54</v>
      </c>
      <c r="N58" s="317" t="s">
        <v>494</v>
      </c>
      <c r="O58" s="317" t="s">
        <v>1560</v>
      </c>
      <c r="P58" s="317" t="s">
        <v>54</v>
      </c>
      <c r="Q58" s="318" t="n">
        <v>0</v>
      </c>
      <c r="R58" s="318" t="n">
        <v>328225333</v>
      </c>
      <c r="S58" s="318" t="n">
        <v>314386666</v>
      </c>
      <c r="T58" s="318" t="n">
        <v>282947999</v>
      </c>
      <c r="U58" s="318" t="n">
        <v>251509332</v>
      </c>
      <c r="V58" s="318" t="n">
        <v>220070665</v>
      </c>
      <c r="W58" s="318" t="n">
        <v>188631998</v>
      </c>
      <c r="X58" s="318" t="n">
        <v>157193331</v>
      </c>
      <c r="Y58" s="318" t="n">
        <v>125754664</v>
      </c>
      <c r="Z58" s="318" t="n">
        <v>96387997</v>
      </c>
      <c r="AA58" s="318"/>
      <c r="AB58" s="318"/>
      <c r="AC58" s="318"/>
      <c r="AD58" s="318"/>
      <c r="AE58" s="318" t="n">
        <f aca="false">R58</f>
        <v>328225333</v>
      </c>
      <c r="AF58" s="318" t="n">
        <f aca="false">S58-R58</f>
        <v>-13838667</v>
      </c>
      <c r="AG58" s="318" t="n">
        <f aca="false">T58-S58</f>
        <v>-31438667</v>
      </c>
      <c r="AH58" s="318" t="n">
        <f aca="false">U58-T58</f>
        <v>-31438667</v>
      </c>
      <c r="AI58" s="318" t="n">
        <f aca="false">V58-U58</f>
        <v>-31438667</v>
      </c>
      <c r="AJ58" s="318" t="n">
        <f aca="false">W58-V58</f>
        <v>-31438667</v>
      </c>
      <c r="AK58" s="318" t="n">
        <f aca="false">X58-W58</f>
        <v>-31438667</v>
      </c>
      <c r="AL58" s="318" t="n">
        <f aca="false">Y58-X58</f>
        <v>-31438667</v>
      </c>
      <c r="AM58" s="318" t="n">
        <f aca="false">Z58-Y58</f>
        <v>-29366667</v>
      </c>
      <c r="AN58" s="318"/>
      <c r="AO58" s="318"/>
      <c r="AP58" s="318"/>
      <c r="AR58" s="307" t="str">
        <f aca="false">IFERROR(VLOOKUP(M58,'BS_DEC 2026'!$D$12:$D$109,1,FALSE()),"(미존재)")</f>
        <v>선급비용</v>
      </c>
    </row>
    <row r="59" customFormat="false" ht="15" hidden="false" customHeight="false" outlineLevel="0" collapsed="false">
      <c r="A59" s="310" t="s">
        <v>493</v>
      </c>
      <c r="B59" s="307" t="n">
        <v>26550001</v>
      </c>
      <c r="C59" s="307" t="s">
        <v>1696</v>
      </c>
      <c r="D59" s="307" t="s">
        <v>1554</v>
      </c>
      <c r="E59" s="307" t="s">
        <v>1640</v>
      </c>
      <c r="F59" s="307" t="s">
        <v>1671</v>
      </c>
      <c r="G59" s="307" t="s">
        <v>1557</v>
      </c>
      <c r="H59" s="307" t="s">
        <v>1536</v>
      </c>
      <c r="I59" s="307" t="s">
        <v>1672</v>
      </c>
      <c r="K59" s="307" t="s">
        <v>1673</v>
      </c>
      <c r="L59" s="317" t="s">
        <v>494</v>
      </c>
      <c r="M59" s="317" t="s">
        <v>54</v>
      </c>
      <c r="N59" s="317" t="s">
        <v>494</v>
      </c>
      <c r="O59" s="317" t="s">
        <v>1560</v>
      </c>
      <c r="P59" s="317" t="s">
        <v>54</v>
      </c>
      <c r="Q59" s="318" t="n">
        <v>307501499</v>
      </c>
      <c r="R59" s="318" t="n">
        <v>265926124</v>
      </c>
      <c r="S59" s="318" t="n">
        <v>224350749</v>
      </c>
      <c r="T59" s="318" t="n">
        <v>182775374</v>
      </c>
      <c r="U59" s="318" t="n">
        <v>194467519</v>
      </c>
      <c r="V59" s="318" t="n">
        <v>153402724</v>
      </c>
      <c r="W59" s="318" t="n">
        <v>427151676</v>
      </c>
      <c r="X59" s="318" t="n">
        <v>383679702</v>
      </c>
      <c r="Y59" s="318" t="n">
        <v>340207728</v>
      </c>
      <c r="Z59" s="318" t="n">
        <v>296735751</v>
      </c>
      <c r="AA59" s="318"/>
      <c r="AB59" s="318"/>
      <c r="AC59" s="318"/>
      <c r="AD59" s="318"/>
      <c r="AE59" s="318" t="n">
        <f aca="false">R59</f>
        <v>265926124</v>
      </c>
      <c r="AF59" s="318" t="n">
        <f aca="false">S59-R59</f>
        <v>-41575375</v>
      </c>
      <c r="AG59" s="318" t="n">
        <f aca="false">T59-S59</f>
        <v>-41575375</v>
      </c>
      <c r="AH59" s="318" t="n">
        <f aca="false">U59-T59</f>
        <v>11692145</v>
      </c>
      <c r="AI59" s="318" t="n">
        <f aca="false">V59-U59</f>
        <v>-41064795</v>
      </c>
      <c r="AJ59" s="318" t="n">
        <f aca="false">W59-V59</f>
        <v>273748952</v>
      </c>
      <c r="AK59" s="318" t="n">
        <f aca="false">X59-W59</f>
        <v>-43471974</v>
      </c>
      <c r="AL59" s="318" t="n">
        <f aca="false">Y59-X59</f>
        <v>-43471974</v>
      </c>
      <c r="AM59" s="318" t="n">
        <f aca="false">Z59-Y59</f>
        <v>-43471977</v>
      </c>
      <c r="AN59" s="318"/>
      <c r="AO59" s="318"/>
      <c r="AP59" s="318"/>
      <c r="AR59" s="307" t="str">
        <f aca="false">IFERROR(VLOOKUP(M59,'BS_DEC 2026'!$D$12:$D$109,1,FALSE()),"(미존재)")</f>
        <v>선급비용</v>
      </c>
    </row>
    <row r="60" customFormat="false" ht="15" hidden="false" customHeight="false" outlineLevel="0" collapsed="false">
      <c r="A60" s="310" t="s">
        <v>493</v>
      </c>
      <c r="B60" s="307" t="n">
        <v>26550002</v>
      </c>
      <c r="C60" s="307" t="s">
        <v>1697</v>
      </c>
      <c r="G60" s="307" t="s">
        <v>1557</v>
      </c>
      <c r="H60" s="307" t="s">
        <v>1536</v>
      </c>
      <c r="I60" s="307" t="s">
        <v>1672</v>
      </c>
      <c r="K60" s="307" t="s">
        <v>1673</v>
      </c>
      <c r="L60" s="307" t="s">
        <v>1682</v>
      </c>
      <c r="M60" s="307" t="s">
        <v>1682</v>
      </c>
      <c r="N60" s="307" t="s">
        <v>1682</v>
      </c>
      <c r="O60" s="307" t="s">
        <v>1682</v>
      </c>
      <c r="P60" s="307" t="s">
        <v>1682</v>
      </c>
      <c r="Q60" s="318" t="n">
        <v>0</v>
      </c>
      <c r="R60" s="318" t="n">
        <v>0</v>
      </c>
      <c r="S60" s="318" t="n">
        <v>0</v>
      </c>
      <c r="T60" s="318" t="n">
        <v>0</v>
      </c>
      <c r="U60" s="318" t="n">
        <v>0</v>
      </c>
      <c r="V60" s="318" t="n">
        <v>0</v>
      </c>
      <c r="W60" s="318" t="n">
        <v>0</v>
      </c>
      <c r="X60" s="318" t="n">
        <v>0</v>
      </c>
      <c r="Y60" s="318" t="n">
        <v>0</v>
      </c>
      <c r="Z60" s="318" t="n">
        <v>0</v>
      </c>
      <c r="AA60" s="318"/>
      <c r="AB60" s="318"/>
      <c r="AC60" s="318"/>
      <c r="AD60" s="318"/>
      <c r="AE60" s="318" t="n">
        <f aca="false">R60</f>
        <v>0</v>
      </c>
      <c r="AF60" s="318" t="n">
        <f aca="false">S60-R60</f>
        <v>0</v>
      </c>
      <c r="AG60" s="318" t="n">
        <f aca="false">T60-S60</f>
        <v>0</v>
      </c>
      <c r="AH60" s="318" t="n">
        <f aca="false">U60-T60</f>
        <v>0</v>
      </c>
      <c r="AI60" s="318" t="n">
        <f aca="false">V60-U60</f>
        <v>0</v>
      </c>
      <c r="AJ60" s="318" t="n">
        <f aca="false">W60-V60</f>
        <v>0</v>
      </c>
      <c r="AK60" s="318" t="n">
        <f aca="false">X60-W60</f>
        <v>0</v>
      </c>
      <c r="AL60" s="318" t="n">
        <f aca="false">Y60-X60</f>
        <v>0</v>
      </c>
      <c r="AM60" s="318" t="n">
        <f aca="false">Z60-Y60</f>
        <v>0</v>
      </c>
      <c r="AN60" s="318"/>
      <c r="AO60" s="318"/>
      <c r="AP60" s="318"/>
      <c r="AR60" s="307" t="str">
        <f aca="false">IFERROR(VLOOKUP(M60,'BS_DEC 2026'!$D$12:$D$109,1,FALSE()),"(미존재)")</f>
        <v>(미존재)</v>
      </c>
    </row>
    <row r="61" customFormat="false" ht="15" hidden="false" customHeight="false" outlineLevel="0" collapsed="false">
      <c r="A61" s="310" t="s">
        <v>493</v>
      </c>
      <c r="B61" s="307" t="n">
        <v>26550303</v>
      </c>
      <c r="C61" s="307" t="s">
        <v>1698</v>
      </c>
      <c r="D61" s="307" t="s">
        <v>1554</v>
      </c>
      <c r="E61" s="307" t="s">
        <v>1640</v>
      </c>
      <c r="F61" s="307" t="s">
        <v>1671</v>
      </c>
      <c r="G61" s="307" t="s">
        <v>1557</v>
      </c>
      <c r="H61" s="307" t="s">
        <v>1536</v>
      </c>
      <c r="I61" s="307" t="s">
        <v>1672</v>
      </c>
      <c r="K61" s="307" t="s">
        <v>1673</v>
      </c>
      <c r="L61" s="317" t="s">
        <v>494</v>
      </c>
      <c r="M61" s="317" t="s">
        <v>54</v>
      </c>
      <c r="N61" s="317" t="s">
        <v>494</v>
      </c>
      <c r="O61" s="317" t="s">
        <v>1560</v>
      </c>
      <c r="P61" s="317" t="s">
        <v>54</v>
      </c>
      <c r="Q61" s="318" t="n">
        <v>0</v>
      </c>
      <c r="R61" s="318" t="n">
        <v>0</v>
      </c>
      <c r="S61" s="318" t="n">
        <v>0</v>
      </c>
      <c r="T61" s="318" t="n">
        <v>0</v>
      </c>
      <c r="U61" s="318" t="n">
        <v>830238594</v>
      </c>
      <c r="V61" s="318" t="n">
        <v>731318606</v>
      </c>
      <c r="W61" s="318" t="n">
        <v>1409937688</v>
      </c>
      <c r="X61" s="318" t="n">
        <v>0</v>
      </c>
      <c r="Y61" s="318" t="n">
        <v>0</v>
      </c>
      <c r="Z61" s="318" t="n">
        <v>0</v>
      </c>
      <c r="AA61" s="318"/>
      <c r="AB61" s="318"/>
      <c r="AC61" s="318"/>
      <c r="AD61" s="318"/>
      <c r="AE61" s="318" t="n">
        <f aca="false">R61</f>
        <v>0</v>
      </c>
      <c r="AF61" s="318" t="n">
        <f aca="false">S61-R61</f>
        <v>0</v>
      </c>
      <c r="AG61" s="318" t="n">
        <f aca="false">T61-S61</f>
        <v>0</v>
      </c>
      <c r="AH61" s="318" t="n">
        <f aca="false">U61-T61</f>
        <v>830238594</v>
      </c>
      <c r="AI61" s="318" t="n">
        <f aca="false">V61-U61</f>
        <v>-98919988</v>
      </c>
      <c r="AJ61" s="318" t="n">
        <f aca="false">W61-V61</f>
        <v>678619082</v>
      </c>
      <c r="AK61" s="318" t="n">
        <f aca="false">X61-W61</f>
        <v>-1409937688</v>
      </c>
      <c r="AL61" s="318" t="n">
        <f aca="false">Y61-X61</f>
        <v>0</v>
      </c>
      <c r="AM61" s="318" t="n">
        <f aca="false">Z61-Y61</f>
        <v>0</v>
      </c>
      <c r="AN61" s="318"/>
      <c r="AO61" s="318"/>
      <c r="AP61" s="318"/>
      <c r="AR61" s="307" t="str">
        <f aca="false">IFERROR(VLOOKUP(M61,'BS_DEC 2026'!$D$12:$D$109,1,FALSE()),"(미존재)")</f>
        <v>선급비용</v>
      </c>
    </row>
    <row r="62" customFormat="false" ht="15" hidden="false" customHeight="false" outlineLevel="0" collapsed="false">
      <c r="A62" s="310" t="s">
        <v>493</v>
      </c>
      <c r="B62" s="307" t="n">
        <v>26550450</v>
      </c>
      <c r="C62" s="307" t="s">
        <v>1699</v>
      </c>
      <c r="D62" s="307" t="s">
        <v>1554</v>
      </c>
      <c r="E62" s="307" t="s">
        <v>1640</v>
      </c>
      <c r="F62" s="307" t="s">
        <v>1668</v>
      </c>
      <c r="G62" s="307" t="s">
        <v>1557</v>
      </c>
      <c r="H62" s="307" t="s">
        <v>1536</v>
      </c>
      <c r="I62" s="307" t="s">
        <v>1700</v>
      </c>
      <c r="K62" s="307" t="s">
        <v>1701</v>
      </c>
      <c r="L62" s="317" t="s">
        <v>494</v>
      </c>
      <c r="M62" s="317" t="s">
        <v>36</v>
      </c>
      <c r="N62" s="317" t="s">
        <v>494</v>
      </c>
      <c r="O62" s="317" t="s">
        <v>1560</v>
      </c>
      <c r="P62" s="317" t="s">
        <v>36</v>
      </c>
      <c r="Q62" s="318" t="n">
        <v>311870229</v>
      </c>
      <c r="R62" s="318" t="n">
        <v>261437384</v>
      </c>
      <c r="S62" s="318" t="n">
        <v>211004539</v>
      </c>
      <c r="T62" s="318" t="n">
        <v>177558870</v>
      </c>
      <c r="U62" s="318" t="n">
        <v>132574612</v>
      </c>
      <c r="V62" s="318" t="n">
        <v>88355066</v>
      </c>
      <c r="W62" s="318" t="n">
        <v>43313453</v>
      </c>
      <c r="X62" s="318" t="n">
        <v>510408090</v>
      </c>
      <c r="Y62" s="318" t="n">
        <v>467695498</v>
      </c>
      <c r="Z62" s="318" t="n">
        <v>424982906</v>
      </c>
      <c r="AA62" s="318"/>
      <c r="AB62" s="318"/>
      <c r="AC62" s="318"/>
      <c r="AD62" s="318"/>
      <c r="AE62" s="318" t="n">
        <f aca="false">R62</f>
        <v>261437384</v>
      </c>
      <c r="AF62" s="318" t="n">
        <f aca="false">S62-R62</f>
        <v>-50432845</v>
      </c>
      <c r="AG62" s="318" t="n">
        <f aca="false">T62-S62</f>
        <v>-33445669</v>
      </c>
      <c r="AH62" s="318" t="n">
        <f aca="false">U62-T62</f>
        <v>-44984258</v>
      </c>
      <c r="AI62" s="318" t="n">
        <f aca="false">V62-U62</f>
        <v>-44219546</v>
      </c>
      <c r="AJ62" s="318" t="n">
        <f aca="false">W62-V62</f>
        <v>-45041613</v>
      </c>
      <c r="AK62" s="318" t="n">
        <f aca="false">X62-W62</f>
        <v>467094637</v>
      </c>
      <c r="AL62" s="318" t="n">
        <f aca="false">Y62-X62</f>
        <v>-42712592</v>
      </c>
      <c r="AM62" s="318" t="n">
        <f aca="false">Z62-Y62</f>
        <v>-42712592</v>
      </c>
      <c r="AN62" s="318"/>
      <c r="AO62" s="318"/>
      <c r="AP62" s="318"/>
      <c r="AR62" s="307" t="str">
        <f aca="false">IFERROR(VLOOKUP(M62,'BS_DEC 2026'!$D$12:$D$109,1,FALSE()),"(미존재)")</f>
        <v>미수금</v>
      </c>
    </row>
    <row r="63" customFormat="false" ht="15" hidden="false" customHeight="false" outlineLevel="0" collapsed="false">
      <c r="A63" s="310" t="s">
        <v>493</v>
      </c>
      <c r="B63" s="307" t="n">
        <v>26650000</v>
      </c>
      <c r="C63" s="307" t="s">
        <v>1702</v>
      </c>
      <c r="D63" s="307" t="s">
        <v>1554</v>
      </c>
      <c r="E63" s="307" t="s">
        <v>1640</v>
      </c>
      <c r="F63" s="307" t="s">
        <v>1703</v>
      </c>
      <c r="G63" s="307" t="s">
        <v>1557</v>
      </c>
      <c r="H63" s="307" t="s">
        <v>1536</v>
      </c>
      <c r="I63" s="307" t="s">
        <v>1704</v>
      </c>
      <c r="K63" s="307" t="s">
        <v>1705</v>
      </c>
      <c r="L63" s="317" t="s">
        <v>494</v>
      </c>
      <c r="M63" s="317" t="s">
        <v>45</v>
      </c>
      <c r="N63" s="317" t="s">
        <v>494</v>
      </c>
      <c r="O63" s="317" t="s">
        <v>1560</v>
      </c>
      <c r="P63" s="317" t="s">
        <v>45</v>
      </c>
      <c r="Q63" s="318" t="n">
        <v>14382500</v>
      </c>
      <c r="R63" s="318" t="n">
        <v>134916960</v>
      </c>
      <c r="S63" s="318" t="n">
        <v>60617995</v>
      </c>
      <c r="T63" s="318" t="n">
        <v>225440723</v>
      </c>
      <c r="U63" s="318" t="n">
        <v>380328349</v>
      </c>
      <c r="V63" s="318" t="n">
        <v>373074381</v>
      </c>
      <c r="W63" s="318" t="n">
        <v>285912800</v>
      </c>
      <c r="X63" s="318" t="n">
        <v>470895240</v>
      </c>
      <c r="Y63" s="318" t="n">
        <v>327256800</v>
      </c>
      <c r="Z63" s="318" t="n">
        <v>415218875</v>
      </c>
      <c r="AA63" s="318"/>
      <c r="AB63" s="318"/>
      <c r="AC63" s="318"/>
      <c r="AD63" s="318"/>
      <c r="AE63" s="318" t="n">
        <f aca="false">R63</f>
        <v>134916960</v>
      </c>
      <c r="AF63" s="318" t="n">
        <f aca="false">S63-R63</f>
        <v>-74298965</v>
      </c>
      <c r="AG63" s="318" t="n">
        <f aca="false">T63-S63</f>
        <v>164822728</v>
      </c>
      <c r="AH63" s="318" t="n">
        <f aca="false">U63-T63</f>
        <v>154887626</v>
      </c>
      <c r="AI63" s="318" t="n">
        <f aca="false">V63-U63</f>
        <v>-7253968</v>
      </c>
      <c r="AJ63" s="318" t="n">
        <f aca="false">W63-V63</f>
        <v>-87161581</v>
      </c>
      <c r="AK63" s="318" t="n">
        <f aca="false">X63-W63</f>
        <v>184982440</v>
      </c>
      <c r="AL63" s="318" t="n">
        <f aca="false">Y63-X63</f>
        <v>-143638440</v>
      </c>
      <c r="AM63" s="318" t="n">
        <f aca="false">Z63-Y63</f>
        <v>87962075</v>
      </c>
      <c r="AN63" s="318"/>
      <c r="AO63" s="318"/>
      <c r="AP63" s="318"/>
      <c r="AR63" s="307" t="str">
        <f aca="false">IFERROR(VLOOKUP(M63,'BS_DEC 2026'!$D$12:$D$109,1,FALSE()),"(미존재)")</f>
        <v>선급금</v>
      </c>
    </row>
    <row r="64" customFormat="false" ht="15" hidden="false" customHeight="false" outlineLevel="0" collapsed="false">
      <c r="A64" s="310" t="s">
        <v>493</v>
      </c>
      <c r="B64" s="307" t="n">
        <v>26650851</v>
      </c>
      <c r="C64" s="307" t="s">
        <v>1706</v>
      </c>
      <c r="G64" s="307" t="s">
        <v>1557</v>
      </c>
      <c r="H64" s="307" t="s">
        <v>1536</v>
      </c>
      <c r="I64" s="307" t="s">
        <v>1704</v>
      </c>
      <c r="K64" s="307" t="s">
        <v>1705</v>
      </c>
      <c r="L64" s="307" t="s">
        <v>1682</v>
      </c>
      <c r="M64" s="307" t="s">
        <v>1682</v>
      </c>
      <c r="N64" s="307" t="s">
        <v>1682</v>
      </c>
      <c r="O64" s="307" t="s">
        <v>1682</v>
      </c>
      <c r="P64" s="307" t="s">
        <v>1682</v>
      </c>
      <c r="Q64" s="318" t="n">
        <v>0</v>
      </c>
      <c r="R64" s="318" t="n">
        <v>0</v>
      </c>
      <c r="S64" s="318" t="n">
        <v>0</v>
      </c>
      <c r="T64" s="318" t="n">
        <v>0</v>
      </c>
      <c r="U64" s="318" t="n">
        <v>0</v>
      </c>
      <c r="V64" s="318" t="n">
        <v>0</v>
      </c>
      <c r="W64" s="318" t="n">
        <v>0</v>
      </c>
      <c r="X64" s="318" t="n">
        <v>0</v>
      </c>
      <c r="Y64" s="318" t="n">
        <v>0</v>
      </c>
      <c r="Z64" s="318" t="n">
        <v>0</v>
      </c>
      <c r="AA64" s="318"/>
      <c r="AB64" s="318"/>
      <c r="AC64" s="318"/>
      <c r="AD64" s="318"/>
      <c r="AE64" s="318" t="n">
        <f aca="false">R64</f>
        <v>0</v>
      </c>
      <c r="AF64" s="318" t="n">
        <f aca="false">S64-R64</f>
        <v>0</v>
      </c>
      <c r="AG64" s="318" t="n">
        <f aca="false">T64-S64</f>
        <v>0</v>
      </c>
      <c r="AH64" s="318" t="n">
        <f aca="false">U64-T64</f>
        <v>0</v>
      </c>
      <c r="AI64" s="318" t="n">
        <f aca="false">V64-U64</f>
        <v>0</v>
      </c>
      <c r="AJ64" s="318" t="n">
        <f aca="false">W64-V64</f>
        <v>0</v>
      </c>
      <c r="AK64" s="318" t="n">
        <f aca="false">X64-W64</f>
        <v>0</v>
      </c>
      <c r="AL64" s="318" t="n">
        <f aca="false">Y64-X64</f>
        <v>0</v>
      </c>
      <c r="AM64" s="318" t="n">
        <f aca="false">Z64-Y64</f>
        <v>0</v>
      </c>
      <c r="AN64" s="318"/>
      <c r="AO64" s="318"/>
      <c r="AP64" s="318"/>
      <c r="AR64" s="307" t="str">
        <f aca="false">IFERROR(VLOOKUP(M64,'BS_DEC 2026'!$D$12:$D$109,1,FALSE()),"(미존재)")</f>
        <v>(미존재)</v>
      </c>
    </row>
    <row r="65" customFormat="false" ht="15" hidden="false" customHeight="false" outlineLevel="0" collapsed="false">
      <c r="A65" s="310" t="s">
        <v>493</v>
      </c>
      <c r="B65" s="307" t="n">
        <v>26650852</v>
      </c>
      <c r="C65" s="307" t="s">
        <v>1707</v>
      </c>
      <c r="D65" s="307" t="s">
        <v>1554</v>
      </c>
      <c r="E65" s="307" t="s">
        <v>1640</v>
      </c>
      <c r="F65" s="307" t="s">
        <v>1703</v>
      </c>
      <c r="G65" s="307" t="s">
        <v>1557</v>
      </c>
      <c r="H65" s="307" t="s">
        <v>1536</v>
      </c>
      <c r="I65" s="307" t="s">
        <v>1663</v>
      </c>
      <c r="K65" s="307" t="s">
        <v>1664</v>
      </c>
      <c r="L65" s="317" t="s">
        <v>494</v>
      </c>
      <c r="M65" s="317" t="s">
        <v>45</v>
      </c>
      <c r="N65" s="317" t="s">
        <v>494</v>
      </c>
      <c r="O65" s="317" t="s">
        <v>1560</v>
      </c>
      <c r="P65" s="317" t="s">
        <v>45</v>
      </c>
      <c r="Q65" s="318" t="n">
        <v>0</v>
      </c>
      <c r="R65" s="318" t="n">
        <v>0</v>
      </c>
      <c r="S65" s="318" t="n">
        <v>0</v>
      </c>
      <c r="T65" s="318" t="n">
        <v>0</v>
      </c>
      <c r="U65" s="318" t="n">
        <v>0</v>
      </c>
      <c r="V65" s="318" t="n">
        <v>0</v>
      </c>
      <c r="W65" s="318" t="n">
        <v>0</v>
      </c>
      <c r="X65" s="318" t="n">
        <v>0</v>
      </c>
      <c r="Y65" s="318" t="n">
        <v>0</v>
      </c>
      <c r="Z65" s="318" t="n">
        <v>0</v>
      </c>
      <c r="AA65" s="318"/>
      <c r="AB65" s="318"/>
      <c r="AC65" s="318"/>
      <c r="AD65" s="318"/>
      <c r="AE65" s="318" t="n">
        <f aca="false">R65</f>
        <v>0</v>
      </c>
      <c r="AF65" s="318" t="n">
        <f aca="false">S65-R65</f>
        <v>0</v>
      </c>
      <c r="AG65" s="318" t="n">
        <f aca="false">T65-S65</f>
        <v>0</v>
      </c>
      <c r="AH65" s="318" t="n">
        <f aca="false">U65-T65</f>
        <v>0</v>
      </c>
      <c r="AI65" s="318" t="n">
        <f aca="false">V65-U65</f>
        <v>0</v>
      </c>
      <c r="AJ65" s="318" t="n">
        <f aca="false">W65-V65</f>
        <v>0</v>
      </c>
      <c r="AK65" s="318" t="n">
        <f aca="false">X65-W65</f>
        <v>0</v>
      </c>
      <c r="AL65" s="318" t="n">
        <f aca="false">Y65-X65</f>
        <v>0</v>
      </c>
      <c r="AM65" s="318" t="n">
        <f aca="false">Z65-Y65</f>
        <v>0</v>
      </c>
      <c r="AN65" s="318"/>
      <c r="AO65" s="318"/>
      <c r="AP65" s="318"/>
      <c r="AR65" s="307" t="str">
        <f aca="false">IFERROR(VLOOKUP(M65,'BS_DEC 2026'!$D$12:$D$109,1,FALSE()),"(미존재)")</f>
        <v>선급금</v>
      </c>
    </row>
    <row r="66" customFormat="false" ht="15" hidden="false" customHeight="false" outlineLevel="0" collapsed="false">
      <c r="A66" s="310" t="s">
        <v>493</v>
      </c>
      <c r="B66" s="307" t="n">
        <v>26650854</v>
      </c>
      <c r="C66" s="307" t="s">
        <v>1708</v>
      </c>
      <c r="D66" s="307" t="s">
        <v>1554</v>
      </c>
      <c r="E66" s="307" t="s">
        <v>1640</v>
      </c>
      <c r="F66" s="307" t="s">
        <v>1703</v>
      </c>
      <c r="G66" s="307" t="s">
        <v>1557</v>
      </c>
      <c r="H66" s="307" t="s">
        <v>1536</v>
      </c>
      <c r="I66" s="307" t="s">
        <v>1692</v>
      </c>
      <c r="K66" s="307" t="s">
        <v>1693</v>
      </c>
      <c r="L66" s="317" t="s">
        <v>494</v>
      </c>
      <c r="M66" s="317" t="s">
        <v>39</v>
      </c>
      <c r="N66" s="317" t="s">
        <v>494</v>
      </c>
      <c r="O66" s="317" t="s">
        <v>1560</v>
      </c>
      <c r="P66" s="317" t="s">
        <v>45</v>
      </c>
      <c r="Q66" s="318" t="n">
        <v>9</v>
      </c>
      <c r="R66" s="318" t="n">
        <v>9</v>
      </c>
      <c r="S66" s="318" t="n">
        <v>9</v>
      </c>
      <c r="T66" s="318" t="n">
        <v>9</v>
      </c>
      <c r="U66" s="318" t="n">
        <v>0</v>
      </c>
      <c r="V66" s="318" t="n">
        <v>0</v>
      </c>
      <c r="W66" s="318" t="n">
        <v>0</v>
      </c>
      <c r="X66" s="318" t="n">
        <v>0</v>
      </c>
      <c r="Y66" s="318" t="n">
        <v>0</v>
      </c>
      <c r="Z66" s="318" t="n">
        <v>0</v>
      </c>
      <c r="AA66" s="318"/>
      <c r="AB66" s="318"/>
      <c r="AC66" s="318"/>
      <c r="AD66" s="318"/>
      <c r="AE66" s="318" t="n">
        <f aca="false">R66</f>
        <v>9</v>
      </c>
      <c r="AF66" s="318" t="n">
        <f aca="false">S66-R66</f>
        <v>0</v>
      </c>
      <c r="AG66" s="318" t="n">
        <f aca="false">T66-S66</f>
        <v>0</v>
      </c>
      <c r="AH66" s="318" t="n">
        <f aca="false">U66-T66</f>
        <v>-9</v>
      </c>
      <c r="AI66" s="318" t="n">
        <f aca="false">V66-U66</f>
        <v>0</v>
      </c>
      <c r="AJ66" s="318" t="n">
        <f aca="false">W66-V66</f>
        <v>0</v>
      </c>
      <c r="AK66" s="318" t="n">
        <f aca="false">X66-W66</f>
        <v>0</v>
      </c>
      <c r="AL66" s="318" t="n">
        <f aca="false">Y66-X66</f>
        <v>0</v>
      </c>
      <c r="AM66" s="318" t="n">
        <f aca="false">Z66-Y66</f>
        <v>0</v>
      </c>
      <c r="AN66" s="318"/>
      <c r="AO66" s="318"/>
      <c r="AP66" s="318"/>
      <c r="AR66" s="307" t="str">
        <f aca="false">IFERROR(VLOOKUP(M66,'BS_DEC 2026'!$D$12:$D$109,1,FALSE()),"(미존재)")</f>
        <v>부가가치세미수금</v>
      </c>
    </row>
    <row r="67" customFormat="false" ht="15" hidden="false" customHeight="false" outlineLevel="0" collapsed="false">
      <c r="A67" s="310" t="s">
        <v>493</v>
      </c>
      <c r="B67" s="307" t="n">
        <v>28100821</v>
      </c>
      <c r="C67" s="307" t="s">
        <v>1709</v>
      </c>
      <c r="D67" s="307" t="s">
        <v>1554</v>
      </c>
      <c r="E67" s="307" t="s">
        <v>1640</v>
      </c>
      <c r="F67" s="307" t="s">
        <v>1652</v>
      </c>
      <c r="G67" s="307" t="s">
        <v>1653</v>
      </c>
      <c r="H67" s="307" t="s">
        <v>1536</v>
      </c>
      <c r="I67" s="307" t="s">
        <v>1710</v>
      </c>
      <c r="K67" s="307" t="s">
        <v>1711</v>
      </c>
      <c r="L67" s="317" t="s">
        <v>494</v>
      </c>
      <c r="M67" s="317" t="s">
        <v>27</v>
      </c>
      <c r="N67" s="317" t="s">
        <v>494</v>
      </c>
      <c r="O67" s="317" t="s">
        <v>1560</v>
      </c>
      <c r="P67" s="317" t="s">
        <v>27</v>
      </c>
      <c r="Q67" s="318" t="n">
        <v>0</v>
      </c>
      <c r="R67" s="318" t="n">
        <v>0</v>
      </c>
      <c r="S67" s="318" t="n">
        <v>0</v>
      </c>
      <c r="T67" s="318" t="n">
        <v>0</v>
      </c>
      <c r="U67" s="318" t="n">
        <v>0</v>
      </c>
      <c r="V67" s="318" t="n">
        <v>0</v>
      </c>
      <c r="W67" s="318" t="n">
        <v>0</v>
      </c>
      <c r="X67" s="318" t="n">
        <v>0</v>
      </c>
      <c r="Y67" s="318" t="n">
        <v>0</v>
      </c>
      <c r="Z67" s="318" t="n">
        <v>0</v>
      </c>
      <c r="AA67" s="318"/>
      <c r="AB67" s="318"/>
      <c r="AC67" s="318"/>
      <c r="AD67" s="318"/>
      <c r="AE67" s="318" t="n">
        <f aca="false">R67</f>
        <v>0</v>
      </c>
      <c r="AF67" s="318" t="n">
        <f aca="false">S67-R67</f>
        <v>0</v>
      </c>
      <c r="AG67" s="318" t="n">
        <f aca="false">T67-S67</f>
        <v>0</v>
      </c>
      <c r="AH67" s="318" t="n">
        <f aca="false">U67-T67</f>
        <v>0</v>
      </c>
      <c r="AI67" s="318" t="n">
        <f aca="false">V67-U67</f>
        <v>0</v>
      </c>
      <c r="AJ67" s="318" t="n">
        <f aca="false">W67-V67</f>
        <v>0</v>
      </c>
      <c r="AK67" s="318" t="n">
        <f aca="false">X67-W67</f>
        <v>0</v>
      </c>
      <c r="AL67" s="318" t="n">
        <f aca="false">Y67-X67</f>
        <v>0</v>
      </c>
      <c r="AM67" s="318" t="n">
        <f aca="false">Z67-Y67</f>
        <v>0</v>
      </c>
      <c r="AN67" s="318"/>
      <c r="AO67" s="318"/>
      <c r="AP67" s="318"/>
      <c r="AR67" s="307" t="str">
        <f aca="false">IFERROR(VLOOKUP(M67,'BS_DEC 2026'!$D$12:$D$109,1,FALSE()),"(미존재)")</f>
        <v>현금및현금등가물</v>
      </c>
    </row>
    <row r="68" customFormat="false" ht="15" hidden="false" customHeight="false" outlineLevel="0" collapsed="false">
      <c r="A68" s="310" t="s">
        <v>493</v>
      </c>
      <c r="B68" s="307" t="n">
        <v>28100861</v>
      </c>
      <c r="C68" s="307" t="s">
        <v>1712</v>
      </c>
      <c r="D68" s="307" t="s">
        <v>1554</v>
      </c>
      <c r="E68" s="307" t="s">
        <v>1640</v>
      </c>
      <c r="F68" s="307" t="s">
        <v>1652</v>
      </c>
      <c r="G68" s="307" t="s">
        <v>1653</v>
      </c>
      <c r="H68" s="307" t="s">
        <v>1536</v>
      </c>
      <c r="I68" s="307" t="s">
        <v>1654</v>
      </c>
      <c r="K68" s="307" t="s">
        <v>1655</v>
      </c>
      <c r="L68" s="317" t="s">
        <v>494</v>
      </c>
      <c r="M68" s="317" t="s">
        <v>27</v>
      </c>
      <c r="N68" s="317" t="s">
        <v>494</v>
      </c>
      <c r="O68" s="317" t="s">
        <v>1560</v>
      </c>
      <c r="P68" s="317" t="s">
        <v>27</v>
      </c>
      <c r="Q68" s="318" t="n">
        <v>0</v>
      </c>
      <c r="R68" s="318" t="n">
        <v>0</v>
      </c>
      <c r="S68" s="318" t="n">
        <v>0</v>
      </c>
      <c r="T68" s="318" t="n">
        <v>0</v>
      </c>
      <c r="U68" s="318" t="n">
        <v>0</v>
      </c>
      <c r="V68" s="318" t="n">
        <v>0</v>
      </c>
      <c r="W68" s="318" t="n">
        <v>0</v>
      </c>
      <c r="X68" s="318" t="n">
        <v>0</v>
      </c>
      <c r="Y68" s="318" t="n">
        <v>0</v>
      </c>
      <c r="Z68" s="318" t="n">
        <v>0</v>
      </c>
      <c r="AA68" s="318"/>
      <c r="AB68" s="318"/>
      <c r="AC68" s="318"/>
      <c r="AD68" s="318"/>
      <c r="AE68" s="318" t="n">
        <f aca="false">R68</f>
        <v>0</v>
      </c>
      <c r="AF68" s="318" t="n">
        <f aca="false">S68-R68</f>
        <v>0</v>
      </c>
      <c r="AG68" s="318" t="n">
        <f aca="false">T68-S68</f>
        <v>0</v>
      </c>
      <c r="AH68" s="318" t="n">
        <f aca="false">U68-T68</f>
        <v>0</v>
      </c>
      <c r="AI68" s="318" t="n">
        <f aca="false">V68-U68</f>
        <v>0</v>
      </c>
      <c r="AJ68" s="318" t="n">
        <f aca="false">W68-V68</f>
        <v>0</v>
      </c>
      <c r="AK68" s="318" t="n">
        <f aca="false">X68-W68</f>
        <v>0</v>
      </c>
      <c r="AL68" s="318" t="n">
        <f aca="false">Y68-X68</f>
        <v>0</v>
      </c>
      <c r="AM68" s="318" t="n">
        <f aca="false">Z68-Y68</f>
        <v>0</v>
      </c>
      <c r="AN68" s="318"/>
      <c r="AO68" s="318"/>
      <c r="AP68" s="318"/>
      <c r="AR68" s="307" t="str">
        <f aca="false">IFERROR(VLOOKUP(M68,'BS_DEC 2026'!$D$12:$D$109,1,FALSE()),"(미존재)")</f>
        <v>현금및현금등가물</v>
      </c>
    </row>
    <row r="69" customFormat="false" ht="15" hidden="false" customHeight="false" outlineLevel="0" collapsed="false">
      <c r="A69" s="310" t="s">
        <v>493</v>
      </c>
      <c r="B69" s="307" t="n">
        <v>28101193</v>
      </c>
      <c r="C69" s="307" t="s">
        <v>1713</v>
      </c>
      <c r="D69" s="307" t="s">
        <v>1554</v>
      </c>
      <c r="E69" s="307" t="s">
        <v>1640</v>
      </c>
      <c r="F69" s="307" t="s">
        <v>1652</v>
      </c>
      <c r="G69" s="307" t="s">
        <v>1653</v>
      </c>
      <c r="H69" s="307" t="s">
        <v>1536</v>
      </c>
      <c r="I69" s="307" t="s">
        <v>1710</v>
      </c>
      <c r="K69" s="307" t="s">
        <v>1711</v>
      </c>
      <c r="L69" s="317" t="s">
        <v>494</v>
      </c>
      <c r="M69" s="317" t="s">
        <v>27</v>
      </c>
      <c r="N69" s="317" t="s">
        <v>494</v>
      </c>
      <c r="O69" s="317" t="s">
        <v>1560</v>
      </c>
      <c r="P69" s="317" t="s">
        <v>27</v>
      </c>
      <c r="Q69" s="318" t="n">
        <v>0</v>
      </c>
      <c r="R69" s="318" t="n">
        <v>0</v>
      </c>
      <c r="S69" s="318" t="n">
        <v>0</v>
      </c>
      <c r="T69" s="318" t="n">
        <v>0</v>
      </c>
      <c r="U69" s="318" t="n">
        <v>0</v>
      </c>
      <c r="V69" s="318" t="n">
        <v>0</v>
      </c>
      <c r="W69" s="318" t="n">
        <v>0</v>
      </c>
      <c r="X69" s="318" t="n">
        <v>0</v>
      </c>
      <c r="Y69" s="318" t="n">
        <v>0</v>
      </c>
      <c r="Z69" s="318" t="n">
        <v>0</v>
      </c>
      <c r="AA69" s="318"/>
      <c r="AB69" s="318"/>
      <c r="AC69" s="318"/>
      <c r="AD69" s="318"/>
      <c r="AE69" s="318" t="n">
        <f aca="false">R69</f>
        <v>0</v>
      </c>
      <c r="AF69" s="318" t="n">
        <f aca="false">S69-R69</f>
        <v>0</v>
      </c>
      <c r="AG69" s="318" t="n">
        <f aca="false">T69-S69</f>
        <v>0</v>
      </c>
      <c r="AH69" s="318" t="n">
        <f aca="false">U69-T69</f>
        <v>0</v>
      </c>
      <c r="AI69" s="318" t="n">
        <f aca="false">V69-U69</f>
        <v>0</v>
      </c>
      <c r="AJ69" s="318" t="n">
        <f aca="false">W69-V69</f>
        <v>0</v>
      </c>
      <c r="AK69" s="318" t="n">
        <f aca="false">X69-W69</f>
        <v>0</v>
      </c>
      <c r="AL69" s="318" t="n">
        <f aca="false">Y69-X69</f>
        <v>0</v>
      </c>
      <c r="AM69" s="318" t="n">
        <f aca="false">Z69-Y69</f>
        <v>0</v>
      </c>
      <c r="AN69" s="318"/>
      <c r="AO69" s="318"/>
      <c r="AP69" s="318"/>
      <c r="AR69" s="307" t="str">
        <f aca="false">IFERROR(VLOOKUP(M69,'BS_DEC 2026'!$D$12:$D$109,1,FALSE()),"(미존재)")</f>
        <v>현금및현금등가물</v>
      </c>
    </row>
    <row r="70" customFormat="false" ht="15" hidden="false" customHeight="false" outlineLevel="0" collapsed="false">
      <c r="A70" s="310" t="s">
        <v>493</v>
      </c>
      <c r="B70" s="307" t="n">
        <v>28330000</v>
      </c>
      <c r="C70" s="306" t="s">
        <v>1714</v>
      </c>
      <c r="D70" s="307" t="s">
        <v>1554</v>
      </c>
      <c r="E70" s="307" t="s">
        <v>1640</v>
      </c>
      <c r="F70" s="307" t="s">
        <v>1652</v>
      </c>
      <c r="G70" s="307" t="s">
        <v>1653</v>
      </c>
      <c r="H70" s="307" t="s">
        <v>1536</v>
      </c>
      <c r="I70" s="307" t="s">
        <v>1715</v>
      </c>
      <c r="K70" s="307" t="s">
        <v>1716</v>
      </c>
      <c r="L70" s="317" t="s">
        <v>494</v>
      </c>
      <c r="M70" s="317" t="s">
        <v>27</v>
      </c>
      <c r="N70" s="317" t="s">
        <v>494</v>
      </c>
      <c r="O70" s="317" t="s">
        <v>1560</v>
      </c>
      <c r="P70" s="317" t="s">
        <v>27</v>
      </c>
      <c r="Q70" s="318" t="n">
        <v>135</v>
      </c>
      <c r="R70" s="318" t="n">
        <v>0</v>
      </c>
      <c r="S70" s="318" t="n">
        <v>0</v>
      </c>
      <c r="T70" s="318" t="n">
        <v>0</v>
      </c>
      <c r="U70" s="318" t="n">
        <v>0</v>
      </c>
      <c r="V70" s="318" t="n">
        <v>0</v>
      </c>
      <c r="W70" s="318" t="n">
        <v>84</v>
      </c>
      <c r="X70" s="318" t="n">
        <v>0</v>
      </c>
      <c r="Y70" s="318" t="n">
        <v>0</v>
      </c>
      <c r="Z70" s="318" t="n">
        <v>0</v>
      </c>
      <c r="AA70" s="318"/>
      <c r="AB70" s="318"/>
      <c r="AC70" s="318"/>
      <c r="AD70" s="318"/>
      <c r="AE70" s="318" t="n">
        <f aca="false">R70</f>
        <v>0</v>
      </c>
      <c r="AF70" s="318" t="n">
        <f aca="false">S70-R70</f>
        <v>0</v>
      </c>
      <c r="AG70" s="318" t="n">
        <f aca="false">T70-S70</f>
        <v>0</v>
      </c>
      <c r="AH70" s="318" t="n">
        <f aca="false">U70-T70</f>
        <v>0</v>
      </c>
      <c r="AI70" s="318" t="n">
        <f aca="false">V70-U70</f>
        <v>0</v>
      </c>
      <c r="AJ70" s="318" t="n">
        <f aca="false">W70-V70</f>
        <v>84</v>
      </c>
      <c r="AK70" s="318" t="n">
        <f aca="false">X70-W70</f>
        <v>-84</v>
      </c>
      <c r="AL70" s="318" t="n">
        <f aca="false">Y70-X70</f>
        <v>0</v>
      </c>
      <c r="AM70" s="318" t="n">
        <f aca="false">Z70-Y70</f>
        <v>0</v>
      </c>
      <c r="AN70" s="318"/>
      <c r="AO70" s="318"/>
      <c r="AP70" s="318"/>
      <c r="AR70" s="307" t="str">
        <f aca="false">IFERROR(VLOOKUP(M70,'BS_DEC 2026'!$D$12:$D$109,1,FALSE()),"(미존재)")</f>
        <v>현금및현금등가물</v>
      </c>
    </row>
    <row r="71" customFormat="false" ht="15" hidden="false" customHeight="false" outlineLevel="0" collapsed="false">
      <c r="A71" s="310" t="s">
        <v>493</v>
      </c>
      <c r="B71" s="307" t="n">
        <v>28330001</v>
      </c>
      <c r="C71" s="307" t="s">
        <v>1717</v>
      </c>
      <c r="D71" s="307" t="s">
        <v>1554</v>
      </c>
      <c r="E71" s="307" t="s">
        <v>1640</v>
      </c>
      <c r="F71" s="307" t="s">
        <v>1652</v>
      </c>
      <c r="G71" s="307" t="s">
        <v>1653</v>
      </c>
      <c r="H71" s="307" t="s">
        <v>1536</v>
      </c>
      <c r="I71" s="307" t="s">
        <v>1715</v>
      </c>
      <c r="K71" s="307" t="s">
        <v>1716</v>
      </c>
      <c r="L71" s="317" t="s">
        <v>494</v>
      </c>
      <c r="M71" s="317" t="s">
        <v>27</v>
      </c>
      <c r="N71" s="317" t="s">
        <v>494</v>
      </c>
      <c r="O71" s="317" t="s">
        <v>1560</v>
      </c>
      <c r="P71" s="317" t="s">
        <v>27</v>
      </c>
      <c r="Q71" s="318" t="n">
        <v>0</v>
      </c>
      <c r="R71" s="318" t="n">
        <v>0</v>
      </c>
      <c r="S71" s="318" t="n">
        <v>0</v>
      </c>
      <c r="T71" s="318" t="n">
        <v>0</v>
      </c>
      <c r="U71" s="318" t="n">
        <v>0</v>
      </c>
      <c r="V71" s="318" t="n">
        <v>0</v>
      </c>
      <c r="W71" s="318" t="n">
        <v>0</v>
      </c>
      <c r="X71" s="318" t="n">
        <v>0</v>
      </c>
      <c r="Y71" s="318" t="n">
        <v>0</v>
      </c>
      <c r="Z71" s="318" t="n">
        <v>0</v>
      </c>
      <c r="AA71" s="318"/>
      <c r="AB71" s="318"/>
      <c r="AC71" s="318"/>
      <c r="AD71" s="318"/>
      <c r="AE71" s="318" t="n">
        <f aca="false">R71</f>
        <v>0</v>
      </c>
      <c r="AF71" s="318" t="n">
        <f aca="false">S71-R71</f>
        <v>0</v>
      </c>
      <c r="AG71" s="318" t="n">
        <f aca="false">T71-S71</f>
        <v>0</v>
      </c>
      <c r="AH71" s="318" t="n">
        <f aca="false">U71-T71</f>
        <v>0</v>
      </c>
      <c r="AI71" s="318" t="n">
        <f aca="false">V71-U71</f>
        <v>0</v>
      </c>
      <c r="AJ71" s="318" t="n">
        <f aca="false">W71-V71</f>
        <v>0</v>
      </c>
      <c r="AK71" s="318" t="n">
        <f aca="false">X71-W71</f>
        <v>0</v>
      </c>
      <c r="AL71" s="318" t="n">
        <f aca="false">Y71-X71</f>
        <v>0</v>
      </c>
      <c r="AM71" s="318" t="n">
        <f aca="false">Z71-Y71</f>
        <v>0</v>
      </c>
      <c r="AN71" s="318"/>
      <c r="AO71" s="318"/>
      <c r="AP71" s="318"/>
      <c r="AR71" s="307" t="str">
        <f aca="false">IFERROR(VLOOKUP(M71,'BS_DEC 2026'!$D$12:$D$109,1,FALSE()),"(미존재)")</f>
        <v>현금및현금등가물</v>
      </c>
    </row>
    <row r="72" customFormat="false" ht="15" hidden="false" customHeight="false" outlineLevel="0" collapsed="false">
      <c r="A72" s="310" t="s">
        <v>493</v>
      </c>
      <c r="B72" s="307" t="n">
        <v>28330002</v>
      </c>
      <c r="C72" s="307" t="s">
        <v>1718</v>
      </c>
      <c r="D72" s="307" t="s">
        <v>1554</v>
      </c>
      <c r="E72" s="307" t="s">
        <v>1640</v>
      </c>
      <c r="F72" s="307" t="s">
        <v>1652</v>
      </c>
      <c r="G72" s="307" t="s">
        <v>1653</v>
      </c>
      <c r="H72" s="307" t="s">
        <v>1536</v>
      </c>
      <c r="I72" s="307" t="s">
        <v>1715</v>
      </c>
      <c r="K72" s="307" t="s">
        <v>1716</v>
      </c>
      <c r="L72" s="317" t="s">
        <v>494</v>
      </c>
      <c r="M72" s="317" t="s">
        <v>27</v>
      </c>
      <c r="N72" s="317" t="s">
        <v>494</v>
      </c>
      <c r="O72" s="317" t="s">
        <v>1560</v>
      </c>
      <c r="P72" s="317" t="s">
        <v>27</v>
      </c>
      <c r="Q72" s="318" t="n">
        <v>0</v>
      </c>
      <c r="R72" s="318" t="n">
        <v>0</v>
      </c>
      <c r="S72" s="318" t="n">
        <v>0</v>
      </c>
      <c r="T72" s="318" t="n">
        <v>0</v>
      </c>
      <c r="U72" s="318" t="n">
        <v>0</v>
      </c>
      <c r="V72" s="318" t="n">
        <v>0</v>
      </c>
      <c r="W72" s="318" t="n">
        <v>0</v>
      </c>
      <c r="X72" s="318" t="n">
        <v>0</v>
      </c>
      <c r="Y72" s="318" t="n">
        <v>0</v>
      </c>
      <c r="Z72" s="318" t="n">
        <v>0</v>
      </c>
      <c r="AA72" s="318"/>
      <c r="AB72" s="318"/>
      <c r="AC72" s="318"/>
      <c r="AD72" s="318"/>
      <c r="AE72" s="318" t="n">
        <f aca="false">R72</f>
        <v>0</v>
      </c>
      <c r="AF72" s="318" t="n">
        <f aca="false">S72-R72</f>
        <v>0</v>
      </c>
      <c r="AG72" s="318" t="n">
        <f aca="false">T72-S72</f>
        <v>0</v>
      </c>
      <c r="AH72" s="318" t="n">
        <f aca="false">U72-T72</f>
        <v>0</v>
      </c>
      <c r="AI72" s="318" t="n">
        <f aca="false">V72-U72</f>
        <v>0</v>
      </c>
      <c r="AJ72" s="318" t="n">
        <f aca="false">W72-V72</f>
        <v>0</v>
      </c>
      <c r="AK72" s="318" t="n">
        <f aca="false">X72-W72</f>
        <v>0</v>
      </c>
      <c r="AL72" s="318" t="n">
        <f aca="false">Y72-X72</f>
        <v>0</v>
      </c>
      <c r="AM72" s="318" t="n">
        <f aca="false">Z72-Y72</f>
        <v>0</v>
      </c>
      <c r="AN72" s="318"/>
      <c r="AO72" s="318"/>
      <c r="AP72" s="318"/>
      <c r="AR72" s="307" t="str">
        <f aca="false">IFERROR(VLOOKUP(M72,'BS_DEC 2026'!$D$12:$D$109,1,FALSE()),"(미존재)")</f>
        <v>현금및현금등가물</v>
      </c>
    </row>
    <row r="73" customFormat="false" ht="15" hidden="false" customHeight="false" outlineLevel="0" collapsed="false">
      <c r="A73" s="310" t="s">
        <v>493</v>
      </c>
      <c r="B73" s="307" t="n">
        <v>28330010</v>
      </c>
      <c r="C73" s="306" t="s">
        <v>1719</v>
      </c>
      <c r="D73" s="307" t="s">
        <v>1554</v>
      </c>
      <c r="E73" s="307" t="s">
        <v>1640</v>
      </c>
      <c r="F73" s="307" t="s">
        <v>1652</v>
      </c>
      <c r="G73" s="307" t="s">
        <v>1653</v>
      </c>
      <c r="H73" s="307" t="s">
        <v>1536</v>
      </c>
      <c r="I73" s="307" t="s">
        <v>1715</v>
      </c>
      <c r="K73" s="307" t="s">
        <v>1716</v>
      </c>
      <c r="L73" s="317" t="s">
        <v>494</v>
      </c>
      <c r="M73" s="317" t="s">
        <v>27</v>
      </c>
      <c r="N73" s="317" t="s">
        <v>494</v>
      </c>
      <c r="O73" s="317" t="s">
        <v>1560</v>
      </c>
      <c r="P73" s="317" t="s">
        <v>27</v>
      </c>
      <c r="Q73" s="318" t="n">
        <v>14</v>
      </c>
      <c r="R73" s="318" t="n">
        <v>0</v>
      </c>
      <c r="S73" s="318" t="n">
        <v>0</v>
      </c>
      <c r="T73" s="318" t="n">
        <v>0</v>
      </c>
      <c r="U73" s="318" t="n">
        <v>0</v>
      </c>
      <c r="V73" s="318" t="n">
        <v>0</v>
      </c>
      <c r="W73" s="318" t="n">
        <v>5430</v>
      </c>
      <c r="X73" s="318" t="n">
        <v>0</v>
      </c>
      <c r="Y73" s="318" t="n">
        <v>0</v>
      </c>
      <c r="Z73" s="318" t="n">
        <v>0</v>
      </c>
      <c r="AA73" s="318"/>
      <c r="AB73" s="318"/>
      <c r="AC73" s="318"/>
      <c r="AD73" s="318"/>
      <c r="AE73" s="318" t="n">
        <f aca="false">R73</f>
        <v>0</v>
      </c>
      <c r="AF73" s="318" t="n">
        <f aca="false">S73-R73</f>
        <v>0</v>
      </c>
      <c r="AG73" s="318" t="n">
        <f aca="false">T73-S73</f>
        <v>0</v>
      </c>
      <c r="AH73" s="318" t="n">
        <f aca="false">U73-T73</f>
        <v>0</v>
      </c>
      <c r="AI73" s="318" t="n">
        <f aca="false">V73-U73</f>
        <v>0</v>
      </c>
      <c r="AJ73" s="318" t="n">
        <f aca="false">W73-V73</f>
        <v>5430</v>
      </c>
      <c r="AK73" s="318" t="n">
        <f aca="false">X73-W73</f>
        <v>-5430</v>
      </c>
      <c r="AL73" s="318" t="n">
        <f aca="false">Y73-X73</f>
        <v>0</v>
      </c>
      <c r="AM73" s="318" t="n">
        <f aca="false">Z73-Y73</f>
        <v>0</v>
      </c>
      <c r="AN73" s="318"/>
      <c r="AO73" s="318"/>
      <c r="AP73" s="318"/>
      <c r="AR73" s="307" t="str">
        <f aca="false">IFERROR(VLOOKUP(M73,'BS_DEC 2026'!$D$12:$D$109,1,FALSE()),"(미존재)")</f>
        <v>현금및현금등가물</v>
      </c>
    </row>
    <row r="74" customFormat="false" ht="15" hidden="false" customHeight="false" outlineLevel="0" collapsed="false">
      <c r="A74" s="310" t="s">
        <v>493</v>
      </c>
      <c r="B74" s="307" t="n">
        <v>28330011</v>
      </c>
      <c r="C74" s="307" t="s">
        <v>1720</v>
      </c>
      <c r="D74" s="307" t="s">
        <v>1554</v>
      </c>
      <c r="E74" s="307" t="s">
        <v>1640</v>
      </c>
      <c r="F74" s="307" t="s">
        <v>1652</v>
      </c>
      <c r="G74" s="307" t="s">
        <v>1653</v>
      </c>
      <c r="H74" s="307" t="s">
        <v>1536</v>
      </c>
      <c r="I74" s="307" t="s">
        <v>1715</v>
      </c>
      <c r="K74" s="307" t="s">
        <v>1716</v>
      </c>
      <c r="L74" s="317" t="s">
        <v>494</v>
      </c>
      <c r="M74" s="317" t="s">
        <v>27</v>
      </c>
      <c r="N74" s="317" t="s">
        <v>494</v>
      </c>
      <c r="O74" s="317" t="s">
        <v>1560</v>
      </c>
      <c r="P74" s="317" t="s">
        <v>27</v>
      </c>
      <c r="Q74" s="318" t="n">
        <v>0</v>
      </c>
      <c r="R74" s="318" t="n">
        <v>0</v>
      </c>
      <c r="S74" s="318" t="n">
        <v>0</v>
      </c>
      <c r="T74" s="318" t="n">
        <v>0</v>
      </c>
      <c r="U74" s="318" t="n">
        <v>0</v>
      </c>
      <c r="V74" s="318" t="n">
        <v>0</v>
      </c>
      <c r="W74" s="318" t="n">
        <v>0</v>
      </c>
      <c r="X74" s="318" t="n">
        <v>0</v>
      </c>
      <c r="Y74" s="318" t="n">
        <v>0</v>
      </c>
      <c r="Z74" s="318" t="n">
        <v>0</v>
      </c>
      <c r="AA74" s="318"/>
      <c r="AB74" s="318"/>
      <c r="AC74" s="318"/>
      <c r="AD74" s="318"/>
      <c r="AE74" s="318" t="n">
        <f aca="false">R74</f>
        <v>0</v>
      </c>
      <c r="AF74" s="318" t="n">
        <f aca="false">S74-R74</f>
        <v>0</v>
      </c>
      <c r="AG74" s="318" t="n">
        <f aca="false">T74-S74</f>
        <v>0</v>
      </c>
      <c r="AH74" s="318" t="n">
        <f aca="false">U74-T74</f>
        <v>0</v>
      </c>
      <c r="AI74" s="318" t="n">
        <f aca="false">V74-U74</f>
        <v>0</v>
      </c>
      <c r="AJ74" s="318" t="n">
        <f aca="false">W74-V74</f>
        <v>0</v>
      </c>
      <c r="AK74" s="318" t="n">
        <f aca="false">X74-W74</f>
        <v>0</v>
      </c>
      <c r="AL74" s="318" t="n">
        <f aca="false">Y74-X74</f>
        <v>0</v>
      </c>
      <c r="AM74" s="318" t="n">
        <f aca="false">Z74-Y74</f>
        <v>0</v>
      </c>
      <c r="AN74" s="318"/>
      <c r="AO74" s="318"/>
      <c r="AP74" s="318"/>
      <c r="AR74" s="307" t="str">
        <f aca="false">IFERROR(VLOOKUP(M74,'BS_DEC 2026'!$D$12:$D$109,1,FALSE()),"(미존재)")</f>
        <v>현금및현금등가물</v>
      </c>
    </row>
    <row r="75" customFormat="false" ht="15" hidden="false" customHeight="false" outlineLevel="0" collapsed="false">
      <c r="A75" s="310" t="s">
        <v>493</v>
      </c>
      <c r="B75" s="307" t="n">
        <v>28330990</v>
      </c>
      <c r="C75" s="307" t="s">
        <v>1721</v>
      </c>
      <c r="D75" s="307" t="s">
        <v>1554</v>
      </c>
      <c r="E75" s="307" t="s">
        <v>1640</v>
      </c>
      <c r="F75" s="307" t="s">
        <v>1652</v>
      </c>
      <c r="G75" s="307" t="s">
        <v>1653</v>
      </c>
      <c r="H75" s="307" t="s">
        <v>1536</v>
      </c>
      <c r="I75" s="307" t="s">
        <v>1654</v>
      </c>
      <c r="K75" s="307" t="s">
        <v>1655</v>
      </c>
      <c r="L75" s="317" t="s">
        <v>494</v>
      </c>
      <c r="M75" s="317" t="s">
        <v>27</v>
      </c>
      <c r="N75" s="317" t="s">
        <v>494</v>
      </c>
      <c r="O75" s="317" t="s">
        <v>1560</v>
      </c>
      <c r="P75" s="317" t="s">
        <v>27</v>
      </c>
      <c r="Q75" s="318" t="n">
        <v>11105202195</v>
      </c>
      <c r="R75" s="318" t="n">
        <v>49471618364</v>
      </c>
      <c r="S75" s="318" t="n">
        <v>42980820239</v>
      </c>
      <c r="T75" s="318" t="n">
        <v>42437933542</v>
      </c>
      <c r="U75" s="318" t="n">
        <v>11228414742</v>
      </c>
      <c r="V75" s="318" t="n">
        <v>24908566662</v>
      </c>
      <c r="W75" s="318" t="n">
        <v>6624241878</v>
      </c>
      <c r="X75" s="318" t="n">
        <v>11103221799</v>
      </c>
      <c r="Y75" s="318" t="n">
        <v>6235120849</v>
      </c>
      <c r="Z75" s="318" t="n">
        <v>8328079411</v>
      </c>
      <c r="AA75" s="318"/>
      <c r="AB75" s="318"/>
      <c r="AC75" s="318"/>
      <c r="AD75" s="318"/>
      <c r="AE75" s="318" t="n">
        <f aca="false">R75</f>
        <v>49471618364</v>
      </c>
      <c r="AF75" s="318" t="n">
        <f aca="false">S75-R75</f>
        <v>-6490798125</v>
      </c>
      <c r="AG75" s="318" t="n">
        <f aca="false">T75-S75</f>
        <v>-542886697</v>
      </c>
      <c r="AH75" s="318" t="n">
        <f aca="false">U75-T75</f>
        <v>-31209518800</v>
      </c>
      <c r="AI75" s="318" t="n">
        <f aca="false">V75-U75</f>
        <v>13680151920</v>
      </c>
      <c r="AJ75" s="318" t="n">
        <f aca="false">W75-V75</f>
        <v>-18284324784</v>
      </c>
      <c r="AK75" s="318" t="n">
        <f aca="false">X75-W75</f>
        <v>4478979921</v>
      </c>
      <c r="AL75" s="318" t="n">
        <f aca="false">Y75-X75</f>
        <v>-4868100950</v>
      </c>
      <c r="AM75" s="318" t="n">
        <f aca="false">Z75-Y75</f>
        <v>2092958562</v>
      </c>
      <c r="AN75" s="318"/>
      <c r="AO75" s="318"/>
      <c r="AP75" s="318"/>
      <c r="AR75" s="307" t="str">
        <f aca="false">IFERROR(VLOOKUP(M75,'BS_DEC 2026'!$D$12:$D$109,1,FALSE()),"(미존재)")</f>
        <v>현금및현금등가물</v>
      </c>
    </row>
    <row r="76" customFormat="false" ht="15" hidden="false" customHeight="false" outlineLevel="0" collapsed="false">
      <c r="A76" s="310" t="s">
        <v>493</v>
      </c>
      <c r="B76" s="307" t="n">
        <v>29100000</v>
      </c>
      <c r="C76" s="307" t="s">
        <v>1722</v>
      </c>
      <c r="D76" s="307" t="s">
        <v>1554</v>
      </c>
      <c r="E76" s="307" t="s">
        <v>1640</v>
      </c>
      <c r="F76" s="307" t="s">
        <v>1723</v>
      </c>
      <c r="G76" s="307" t="s">
        <v>1535</v>
      </c>
      <c r="H76" s="307" t="s">
        <v>1536</v>
      </c>
      <c r="I76" s="307" t="s">
        <v>1724</v>
      </c>
      <c r="K76" s="307" t="s">
        <v>1725</v>
      </c>
      <c r="L76" s="317" t="s">
        <v>494</v>
      </c>
      <c r="M76" s="317" t="s">
        <v>57</v>
      </c>
      <c r="N76" s="317" t="s">
        <v>494</v>
      </c>
      <c r="O76" s="317" t="s">
        <v>1560</v>
      </c>
      <c r="P76" s="317" t="s">
        <v>57</v>
      </c>
      <c r="Q76" s="318" t="n">
        <v>24413452320</v>
      </c>
      <c r="R76" s="318" t="n">
        <v>24413452320</v>
      </c>
      <c r="S76" s="318" t="n">
        <v>24413452320</v>
      </c>
      <c r="T76" s="318" t="n">
        <v>20300794341</v>
      </c>
      <c r="U76" s="318" t="n">
        <v>20519643421</v>
      </c>
      <c r="V76" s="318" t="n">
        <v>20519643421</v>
      </c>
      <c r="W76" s="318" t="n">
        <v>20519643421</v>
      </c>
      <c r="X76" s="318" t="n">
        <v>19485272641</v>
      </c>
      <c r="Y76" s="318" t="n">
        <v>19485272641</v>
      </c>
      <c r="Z76" s="318" t="n">
        <v>19784758242</v>
      </c>
      <c r="AA76" s="318"/>
      <c r="AB76" s="318"/>
      <c r="AC76" s="318"/>
      <c r="AD76" s="318"/>
      <c r="AE76" s="318" t="n">
        <f aca="false">R76</f>
        <v>24413452320</v>
      </c>
      <c r="AF76" s="318" t="n">
        <f aca="false">S76-R76</f>
        <v>0</v>
      </c>
      <c r="AG76" s="318" t="n">
        <f aca="false">T76-S76</f>
        <v>-4112657979</v>
      </c>
      <c r="AH76" s="318" t="n">
        <f aca="false">U76-T76</f>
        <v>218849080</v>
      </c>
      <c r="AI76" s="318" t="n">
        <f aca="false">V76-U76</f>
        <v>0</v>
      </c>
      <c r="AJ76" s="318" t="n">
        <f aca="false">W76-V76</f>
        <v>0</v>
      </c>
      <c r="AK76" s="318" t="n">
        <f aca="false">X76-W76</f>
        <v>-1034370780</v>
      </c>
      <c r="AL76" s="318" t="n">
        <f aca="false">Y76-X76</f>
        <v>0</v>
      </c>
      <c r="AM76" s="318" t="n">
        <f aca="false">Z76-Y76</f>
        <v>299485601</v>
      </c>
      <c r="AN76" s="318" t="s">
        <v>1726</v>
      </c>
      <c r="AO76" s="318" t="n">
        <f aca="false">AB76-AA76</f>
        <v>0</v>
      </c>
      <c r="AP76" s="318" t="n">
        <f aca="false">AC76-AB76</f>
        <v>0</v>
      </c>
      <c r="AR76" s="307" t="str">
        <f aca="false">IFERROR(VLOOKUP(M76,'BS_DEC 2026'!$D$12:$D$109,1,FALSE()),"(미존재)")</f>
        <v>유동성이연법인세자산</v>
      </c>
    </row>
    <row r="77" customFormat="false" ht="15" hidden="false" customHeight="false" outlineLevel="0" collapsed="false">
      <c r="A77" s="310" t="s">
        <v>493</v>
      </c>
      <c r="B77" s="306" t="n">
        <v>29150000</v>
      </c>
      <c r="C77" s="306" t="s">
        <v>1727</v>
      </c>
      <c r="D77" s="307" t="s">
        <v>1554</v>
      </c>
      <c r="E77" s="307" t="s">
        <v>1640</v>
      </c>
      <c r="F77" s="307" t="s">
        <v>1723</v>
      </c>
      <c r="G77" s="307" t="s">
        <v>1535</v>
      </c>
      <c r="H77" s="307" t="s">
        <v>1536</v>
      </c>
      <c r="I77" s="307" t="s">
        <v>1724</v>
      </c>
      <c r="K77" s="307" t="s">
        <v>1725</v>
      </c>
      <c r="L77" s="317" t="s">
        <v>494</v>
      </c>
      <c r="M77" s="317" t="s">
        <v>57</v>
      </c>
      <c r="N77" s="317" t="s">
        <v>494</v>
      </c>
      <c r="O77" s="317" t="s">
        <v>1560</v>
      </c>
      <c r="P77" s="317" t="s">
        <v>57</v>
      </c>
      <c r="Q77" s="319" t="n">
        <v>0</v>
      </c>
      <c r="R77" s="318" t="n">
        <v>0</v>
      </c>
      <c r="S77" s="319" t="n">
        <v>0</v>
      </c>
      <c r="T77" s="319" t="n">
        <v>422237592</v>
      </c>
      <c r="U77" s="318" t="n">
        <v>0</v>
      </c>
      <c r="V77" s="318" t="n">
        <v>0</v>
      </c>
      <c r="W77" s="318" t="n">
        <v>0</v>
      </c>
      <c r="X77" s="318" t="n">
        <v>0</v>
      </c>
      <c r="Y77" s="318" t="n">
        <v>0</v>
      </c>
      <c r="Z77" s="318" t="n">
        <v>0</v>
      </c>
      <c r="AA77" s="318"/>
      <c r="AB77" s="318"/>
      <c r="AC77" s="318"/>
      <c r="AD77" s="318"/>
      <c r="AE77" s="318" t="n">
        <f aca="false">R77</f>
        <v>0</v>
      </c>
      <c r="AF77" s="318" t="n">
        <f aca="false">S77-R77</f>
        <v>0</v>
      </c>
      <c r="AG77" s="318" t="n">
        <f aca="false">T77-S77</f>
        <v>422237592</v>
      </c>
      <c r="AH77" s="318" t="n">
        <f aca="false">U77-T77</f>
        <v>-422237592</v>
      </c>
      <c r="AI77" s="318" t="n">
        <f aca="false">V77-U77</f>
        <v>0</v>
      </c>
      <c r="AJ77" s="318" t="n">
        <f aca="false">W77-V77</f>
        <v>0</v>
      </c>
      <c r="AK77" s="318" t="n">
        <f aca="false">X77-W77</f>
        <v>0</v>
      </c>
      <c r="AL77" s="318" t="n">
        <f aca="false">Y77-X77</f>
        <v>0</v>
      </c>
      <c r="AM77" s="318" t="n">
        <f aca="false">Z77-Y77</f>
        <v>0</v>
      </c>
      <c r="AN77" s="318" t="s">
        <v>1726</v>
      </c>
      <c r="AO77" s="318" t="n">
        <f aca="false">AB77-AA77</f>
        <v>0</v>
      </c>
      <c r="AP77" s="318" t="n">
        <f aca="false">AC77-AB77</f>
        <v>0</v>
      </c>
      <c r="AR77" s="307" t="str">
        <f aca="false">IFERROR(VLOOKUP(M77,'BS_DEC 2026'!$D$12:$D$109,1,FALSE()),"(미존재)")</f>
        <v>유동성이연법인세자산</v>
      </c>
    </row>
    <row r="78" customFormat="false" ht="15" hidden="false" customHeight="false" outlineLevel="0" collapsed="false">
      <c r="A78" s="310" t="s">
        <v>493</v>
      </c>
      <c r="B78" s="307" t="n">
        <v>30000000</v>
      </c>
      <c r="C78" s="307" t="s">
        <v>1728</v>
      </c>
      <c r="D78" s="307" t="s">
        <v>1729</v>
      </c>
      <c r="E78" s="307" t="s">
        <v>1730</v>
      </c>
      <c r="F78" s="307" t="n">
        <v>0</v>
      </c>
      <c r="G78" s="307" t="s">
        <v>1731</v>
      </c>
      <c r="H78" s="307" t="s">
        <v>1536</v>
      </c>
      <c r="I78" s="307" t="s">
        <v>1732</v>
      </c>
      <c r="K78" s="307" t="s">
        <v>1733</v>
      </c>
      <c r="L78" s="317" t="s">
        <v>200</v>
      </c>
      <c r="M78" s="317" t="s">
        <v>204</v>
      </c>
      <c r="N78" s="317" t="s">
        <v>200</v>
      </c>
      <c r="O78" s="317" t="s">
        <v>1734</v>
      </c>
      <c r="P78" s="317" t="s">
        <v>1734</v>
      </c>
      <c r="Q78" s="318" t="n">
        <v>-4287180000</v>
      </c>
      <c r="R78" s="318" t="n">
        <v>-4287180000</v>
      </c>
      <c r="S78" s="318" t="n">
        <v>-4287180000</v>
      </c>
      <c r="T78" s="318" t="n">
        <v>-4287180000</v>
      </c>
      <c r="U78" s="318" t="n">
        <v>-4287180000</v>
      </c>
      <c r="V78" s="318" t="n">
        <v>-4287180000</v>
      </c>
      <c r="W78" s="318" t="n">
        <v>-4287180000</v>
      </c>
      <c r="X78" s="318" t="n">
        <v>-4287180000</v>
      </c>
      <c r="Y78" s="318" t="n">
        <v>-4287180000</v>
      </c>
      <c r="Z78" s="318" t="n">
        <v>-4287180000</v>
      </c>
      <c r="AA78" s="318"/>
      <c r="AB78" s="318"/>
      <c r="AC78" s="318"/>
      <c r="AD78" s="318"/>
      <c r="AE78" s="318" t="n">
        <f aca="false">R78</f>
        <v>-4287180000</v>
      </c>
      <c r="AF78" s="318" t="n">
        <f aca="false">S78-R78</f>
        <v>0</v>
      </c>
      <c r="AG78" s="318" t="n">
        <f aca="false">T78-S78</f>
        <v>0</v>
      </c>
      <c r="AH78" s="318" t="n">
        <f aca="false">U78-T78</f>
        <v>0</v>
      </c>
      <c r="AI78" s="318" t="n">
        <f aca="false">V78-U78</f>
        <v>0</v>
      </c>
      <c r="AJ78" s="318" t="n">
        <f aca="false">W78-V78</f>
        <v>0</v>
      </c>
      <c r="AK78" s="318" t="n">
        <f aca="false">X78-W78</f>
        <v>0</v>
      </c>
      <c r="AL78" s="318" t="n">
        <f aca="false">Y78-X78</f>
        <v>0</v>
      </c>
      <c r="AM78" s="318" t="n">
        <f aca="false">Z78-Y78</f>
        <v>0</v>
      </c>
      <c r="AN78" s="318" t="s">
        <v>1726</v>
      </c>
      <c r="AO78" s="318" t="n">
        <f aca="false">AB78-AA78</f>
        <v>0</v>
      </c>
      <c r="AP78" s="318" t="n">
        <f aca="false">AC78-AB78</f>
        <v>0</v>
      </c>
      <c r="AR78" s="307" t="str">
        <f aca="false">IFERROR(VLOOKUP(M78,'BS_DEC 2026'!$D$12:$D$109,1,FALSE()),"(미존재)")</f>
        <v>보통주자본금</v>
      </c>
    </row>
    <row r="79" customFormat="false" ht="15" hidden="false" customHeight="false" outlineLevel="0" collapsed="false">
      <c r="A79" s="310" t="s">
        <v>493</v>
      </c>
      <c r="B79" s="307" t="n">
        <v>30000100</v>
      </c>
      <c r="C79" s="307" t="s">
        <v>1735</v>
      </c>
      <c r="D79" s="307" t="s">
        <v>1729</v>
      </c>
      <c r="E79" s="307" t="s">
        <v>1736</v>
      </c>
      <c r="F79" s="307" t="s">
        <v>1737</v>
      </c>
      <c r="G79" s="307" t="s">
        <v>1731</v>
      </c>
      <c r="H79" s="307" t="s">
        <v>1536</v>
      </c>
      <c r="I79" s="307" t="s">
        <v>1738</v>
      </c>
      <c r="K79" s="307" t="s">
        <v>1739</v>
      </c>
      <c r="L79" s="317" t="s">
        <v>200</v>
      </c>
      <c r="M79" s="317" t="s">
        <v>208</v>
      </c>
      <c r="N79" s="317" t="s">
        <v>200</v>
      </c>
      <c r="O79" s="317" t="s">
        <v>1740</v>
      </c>
      <c r="P79" s="317" t="s">
        <v>1740</v>
      </c>
      <c r="Q79" s="318" t="n">
        <v>-122441812567</v>
      </c>
      <c r="R79" s="318" t="n">
        <v>-122441812567</v>
      </c>
      <c r="S79" s="318" t="n">
        <v>-122441812567</v>
      </c>
      <c r="T79" s="318" t="n">
        <v>-122441812567</v>
      </c>
      <c r="U79" s="318" t="n">
        <v>-122441812567</v>
      </c>
      <c r="V79" s="318" t="n">
        <v>-122441812567</v>
      </c>
      <c r="W79" s="318" t="n">
        <v>-122441812567</v>
      </c>
      <c r="X79" s="318" t="n">
        <v>-122441812567</v>
      </c>
      <c r="Y79" s="318" t="n">
        <v>-122441812567</v>
      </c>
      <c r="Z79" s="318" t="n">
        <v>-122441812567</v>
      </c>
      <c r="AA79" s="318"/>
      <c r="AB79" s="318"/>
      <c r="AC79" s="318"/>
      <c r="AD79" s="318"/>
      <c r="AE79" s="318" t="n">
        <f aca="false">R79</f>
        <v>-122441812567</v>
      </c>
      <c r="AF79" s="318" t="n">
        <f aca="false">S79-R79</f>
        <v>0</v>
      </c>
      <c r="AG79" s="318" t="n">
        <f aca="false">T79-S79</f>
        <v>0</v>
      </c>
      <c r="AH79" s="318" t="n">
        <f aca="false">U79-T79</f>
        <v>0</v>
      </c>
      <c r="AI79" s="318" t="n">
        <f aca="false">V79-U79</f>
        <v>0</v>
      </c>
      <c r="AJ79" s="318" t="n">
        <f aca="false">W79-V79</f>
        <v>0</v>
      </c>
      <c r="AK79" s="318" t="n">
        <f aca="false">X79-W79</f>
        <v>0</v>
      </c>
      <c r="AL79" s="318" t="n">
        <f aca="false">Y79-X79</f>
        <v>0</v>
      </c>
      <c r="AM79" s="318" t="n">
        <f aca="false">Z79-Y79</f>
        <v>0</v>
      </c>
      <c r="AN79" s="318" t="s">
        <v>1726</v>
      </c>
      <c r="AO79" s="318" t="n">
        <f aca="false">AB79-AA79</f>
        <v>0</v>
      </c>
      <c r="AP79" s="318" t="n">
        <f aca="false">AC79-AB79</f>
        <v>0</v>
      </c>
      <c r="AR79" s="307" t="str">
        <f aca="false">IFERROR(VLOOKUP(M79,'BS_DEC 2026'!$D$12:$D$109,1,FALSE()),"(미존재)")</f>
        <v>주식발행초과금</v>
      </c>
    </row>
    <row r="80" customFormat="false" ht="15" hidden="false" customHeight="false" outlineLevel="0" collapsed="false">
      <c r="A80" s="310" t="s">
        <v>493</v>
      </c>
      <c r="B80" s="307" t="n">
        <v>31000001</v>
      </c>
      <c r="C80" s="307" t="s">
        <v>1741</v>
      </c>
      <c r="D80" s="307" t="s">
        <v>1729</v>
      </c>
      <c r="E80" s="307" t="s">
        <v>1736</v>
      </c>
      <c r="F80" s="307" t="s">
        <v>1737</v>
      </c>
      <c r="G80" s="307" t="s">
        <v>1731</v>
      </c>
      <c r="H80" s="307" t="s">
        <v>1536</v>
      </c>
      <c r="I80" s="307" t="s">
        <v>1738</v>
      </c>
      <c r="K80" s="307" t="s">
        <v>1739</v>
      </c>
      <c r="L80" s="317" t="s">
        <v>200</v>
      </c>
      <c r="M80" s="317" t="s">
        <v>210</v>
      </c>
      <c r="N80" s="317" t="s">
        <v>200</v>
      </c>
      <c r="O80" s="317" t="s">
        <v>1740</v>
      </c>
      <c r="P80" s="317" t="s">
        <v>1740</v>
      </c>
      <c r="Q80" s="318" t="n">
        <v>21035577720</v>
      </c>
      <c r="R80" s="318" t="n">
        <v>21035577720</v>
      </c>
      <c r="S80" s="318" t="n">
        <v>21035577720</v>
      </c>
      <c r="T80" s="318" t="n">
        <v>21035577720</v>
      </c>
      <c r="U80" s="318" t="n">
        <v>21035577720</v>
      </c>
      <c r="V80" s="318" t="n">
        <v>21035577720</v>
      </c>
      <c r="W80" s="318" t="n">
        <v>21035577720</v>
      </c>
      <c r="X80" s="318" t="n">
        <v>21035577720</v>
      </c>
      <c r="Y80" s="318" t="n">
        <v>21035577720</v>
      </c>
      <c r="Z80" s="318" t="n">
        <v>21035577720</v>
      </c>
      <c r="AA80" s="318"/>
      <c r="AB80" s="318"/>
      <c r="AC80" s="318"/>
      <c r="AD80" s="318"/>
      <c r="AE80" s="318" t="n">
        <f aca="false">R80</f>
        <v>21035577720</v>
      </c>
      <c r="AF80" s="318" t="n">
        <f aca="false">S80-R80</f>
        <v>0</v>
      </c>
      <c r="AG80" s="318" t="n">
        <f aca="false">T80-S80</f>
        <v>0</v>
      </c>
      <c r="AH80" s="318" t="n">
        <f aca="false">U80-T80</f>
        <v>0</v>
      </c>
      <c r="AI80" s="318" t="n">
        <f aca="false">V80-U80</f>
        <v>0</v>
      </c>
      <c r="AJ80" s="318" t="n">
        <f aca="false">W80-V80</f>
        <v>0</v>
      </c>
      <c r="AK80" s="318" t="n">
        <f aca="false">X80-W80</f>
        <v>0</v>
      </c>
      <c r="AL80" s="318" t="n">
        <f aca="false">Y80-X80</f>
        <v>0</v>
      </c>
      <c r="AM80" s="318" t="n">
        <f aca="false">Z80-Y80</f>
        <v>0</v>
      </c>
      <c r="AN80" s="318" t="s">
        <v>1726</v>
      </c>
      <c r="AO80" s="318" t="n">
        <f aca="false">AB80-AA80</f>
        <v>0</v>
      </c>
      <c r="AP80" s="318" t="n">
        <f aca="false">AC80-AB80</f>
        <v>0</v>
      </c>
      <c r="AR80" s="307" t="str">
        <f aca="false">IFERROR(VLOOKUP(M80,'BS_DEC 2026'!$D$12:$D$109,1,FALSE()),"(미존재)")</f>
        <v>기타자본잉여금</v>
      </c>
    </row>
    <row r="81" customFormat="false" ht="15" hidden="false" customHeight="false" outlineLevel="0" collapsed="false">
      <c r="A81" s="310" t="s">
        <v>493</v>
      </c>
      <c r="B81" s="307" t="n">
        <v>32100000</v>
      </c>
      <c r="C81" s="307" t="s">
        <v>1742</v>
      </c>
      <c r="D81" s="307" t="s">
        <v>1729</v>
      </c>
      <c r="E81" s="307" t="s">
        <v>1743</v>
      </c>
      <c r="F81" s="307" t="s">
        <v>1744</v>
      </c>
      <c r="G81" s="307" t="s">
        <v>1731</v>
      </c>
      <c r="H81" s="307" t="s">
        <v>1536</v>
      </c>
      <c r="I81" s="307" t="s">
        <v>1745</v>
      </c>
      <c r="K81" s="307" t="s">
        <v>1746</v>
      </c>
      <c r="L81" s="317" t="s">
        <v>200</v>
      </c>
      <c r="M81" s="317" t="s">
        <v>216</v>
      </c>
      <c r="N81" s="317" t="s">
        <v>200</v>
      </c>
      <c r="O81" s="317" t="s">
        <v>220</v>
      </c>
      <c r="P81" s="317" t="s">
        <v>216</v>
      </c>
      <c r="Q81" s="318" t="n">
        <v>-1886200000</v>
      </c>
      <c r="R81" s="318" t="n">
        <v>-1886200000</v>
      </c>
      <c r="S81" s="318" t="n">
        <v>-1886200000</v>
      </c>
      <c r="T81" s="318" t="n">
        <v>-2168590000</v>
      </c>
      <c r="U81" s="318" t="n">
        <v>-2168590000</v>
      </c>
      <c r="V81" s="318" t="n">
        <v>-2168590000</v>
      </c>
      <c r="W81" s="318" t="n">
        <v>-2168590000</v>
      </c>
      <c r="X81" s="318" t="n">
        <v>-2168590000</v>
      </c>
      <c r="Y81" s="318" t="n">
        <v>-2168590000</v>
      </c>
      <c r="Z81" s="318" t="n">
        <v>-2168590000</v>
      </c>
      <c r="AA81" s="318"/>
      <c r="AB81" s="318"/>
      <c r="AC81" s="318"/>
      <c r="AD81" s="318"/>
      <c r="AE81" s="318" t="n">
        <f aca="false">R81</f>
        <v>-1886200000</v>
      </c>
      <c r="AF81" s="318" t="n">
        <f aca="false">S81-R81</f>
        <v>0</v>
      </c>
      <c r="AG81" s="318" t="n">
        <f aca="false">T81-S81</f>
        <v>-282390000</v>
      </c>
      <c r="AH81" s="318" t="n">
        <f aca="false">U81-T81</f>
        <v>0</v>
      </c>
      <c r="AI81" s="318" t="n">
        <f aca="false">V81-U81</f>
        <v>0</v>
      </c>
      <c r="AJ81" s="318" t="n">
        <f aca="false">W81-V81</f>
        <v>0</v>
      </c>
      <c r="AK81" s="318" t="n">
        <f aca="false">X81-W81</f>
        <v>0</v>
      </c>
      <c r="AL81" s="318" t="n">
        <f aca="false">Y81-X81</f>
        <v>0</v>
      </c>
      <c r="AM81" s="318" t="n">
        <f aca="false">Z81-Y81</f>
        <v>0</v>
      </c>
      <c r="AN81" s="318" t="s">
        <v>1726</v>
      </c>
      <c r="AO81" s="318" t="n">
        <f aca="false">AB81-AA81</f>
        <v>0</v>
      </c>
      <c r="AP81" s="318" t="n">
        <f aca="false">AC81-AB81</f>
        <v>0</v>
      </c>
      <c r="AR81" s="307" t="str">
        <f aca="false">IFERROR(VLOOKUP(M81,'BS_DEC 2026'!$D$12:$D$109,1,FALSE()),"(미존재)")</f>
        <v>이익준비금</v>
      </c>
    </row>
    <row r="82" customFormat="false" ht="15" hidden="false" customHeight="false" outlineLevel="0" collapsed="false">
      <c r="A82" s="310" t="s">
        <v>493</v>
      </c>
      <c r="B82" s="307" t="n">
        <v>32200000</v>
      </c>
      <c r="C82" s="307" t="s">
        <v>1747</v>
      </c>
      <c r="D82" s="307" t="s">
        <v>1729</v>
      </c>
      <c r="E82" s="307" t="s">
        <v>1743</v>
      </c>
      <c r="F82" s="307" t="s">
        <v>1748</v>
      </c>
      <c r="G82" s="307" t="s">
        <v>1731</v>
      </c>
      <c r="H82" s="307" t="s">
        <v>1536</v>
      </c>
      <c r="I82" s="307" t="s">
        <v>1745</v>
      </c>
      <c r="K82" s="307" t="s">
        <v>1746</v>
      </c>
      <c r="L82" s="317" t="s">
        <v>200</v>
      </c>
      <c r="M82" s="317" t="s">
        <v>220</v>
      </c>
      <c r="N82" s="317" t="s">
        <v>200</v>
      </c>
      <c r="O82" s="317" t="s">
        <v>220</v>
      </c>
      <c r="P82" s="317" t="s">
        <v>1749</v>
      </c>
      <c r="Q82" s="318" t="n">
        <v>-113587447204</v>
      </c>
      <c r="R82" s="318" t="n">
        <v>-153446688682</v>
      </c>
      <c r="S82" s="318" t="n">
        <v>-153446688682</v>
      </c>
      <c r="T82" s="318" t="n">
        <v>-153164298682</v>
      </c>
      <c r="U82" s="318" t="n">
        <v>-153164298682</v>
      </c>
      <c r="V82" s="318" t="n">
        <v>-153164298682</v>
      </c>
      <c r="W82" s="318" t="n">
        <v>-153164298682</v>
      </c>
      <c r="X82" s="318" t="n">
        <v>-153164298682</v>
      </c>
      <c r="Y82" s="318" t="n">
        <v>-153164298682</v>
      </c>
      <c r="Z82" s="318" t="n">
        <v>-153164298682</v>
      </c>
      <c r="AA82" s="318"/>
      <c r="AB82" s="318"/>
      <c r="AC82" s="318"/>
      <c r="AD82" s="318"/>
      <c r="AE82" s="318" t="n">
        <f aca="false">R82</f>
        <v>-153446688682</v>
      </c>
      <c r="AF82" s="318" t="n">
        <f aca="false">S82-R82</f>
        <v>0</v>
      </c>
      <c r="AG82" s="318" t="n">
        <f aca="false">T82-S82</f>
        <v>282390000</v>
      </c>
      <c r="AH82" s="318" t="n">
        <f aca="false">U82-T82</f>
        <v>0</v>
      </c>
      <c r="AI82" s="318" t="n">
        <f aca="false">V82-U82</f>
        <v>0</v>
      </c>
      <c r="AJ82" s="318" t="n">
        <f aca="false">W82-V82</f>
        <v>0</v>
      </c>
      <c r="AK82" s="318" t="n">
        <f aca="false">X82-W82</f>
        <v>0</v>
      </c>
      <c r="AL82" s="318" t="n">
        <f aca="false">Y82-X82</f>
        <v>0</v>
      </c>
      <c r="AM82" s="318" t="n">
        <f aca="false">Z82-Y82</f>
        <v>0</v>
      </c>
      <c r="AN82" s="318" t="s">
        <v>1726</v>
      </c>
      <c r="AO82" s="318" t="n">
        <f aca="false">AB82-AA82</f>
        <v>0</v>
      </c>
      <c r="AP82" s="318" t="n">
        <f aca="false">AC82-AB82</f>
        <v>0</v>
      </c>
      <c r="AR82" s="307" t="str">
        <f aca="false">IFERROR(VLOOKUP(M82,'BS_DEC 2026'!$D$12:$D$109,1,FALSE()),"(미존재)")</f>
        <v>이익잉여금</v>
      </c>
    </row>
    <row r="83" customFormat="false" ht="15" hidden="false" customHeight="false" outlineLevel="0" collapsed="false">
      <c r="A83" s="310" t="s">
        <v>493</v>
      </c>
      <c r="B83" s="307" t="n">
        <v>32200001</v>
      </c>
      <c r="C83" s="307" t="s">
        <v>1750</v>
      </c>
      <c r="D83" s="307" t="s">
        <v>1729</v>
      </c>
      <c r="E83" s="307" t="s">
        <v>1743</v>
      </c>
      <c r="F83" s="307" t="s">
        <v>1748</v>
      </c>
      <c r="G83" s="307" t="s">
        <v>1731</v>
      </c>
      <c r="H83" s="307" t="s">
        <v>1536</v>
      </c>
      <c r="I83" s="307" t="s">
        <v>1745</v>
      </c>
      <c r="K83" s="307" t="s">
        <v>1746</v>
      </c>
      <c r="L83" s="317" t="s">
        <v>200</v>
      </c>
      <c r="M83" s="317" t="s">
        <v>220</v>
      </c>
      <c r="N83" s="317" t="s">
        <v>200</v>
      </c>
      <c r="O83" s="317" t="s">
        <v>220</v>
      </c>
      <c r="P83" s="317" t="s">
        <v>1749</v>
      </c>
      <c r="Q83" s="318" t="n">
        <v>6453000000</v>
      </c>
      <c r="R83" s="318" t="n">
        <v>6453000000</v>
      </c>
      <c r="S83" s="318" t="n">
        <v>6453000000</v>
      </c>
      <c r="T83" s="318" t="n">
        <v>58453000000</v>
      </c>
      <c r="U83" s="318" t="n">
        <v>58453000000</v>
      </c>
      <c r="V83" s="318" t="n">
        <v>58453000000</v>
      </c>
      <c r="W83" s="318" t="n">
        <v>58453000000</v>
      </c>
      <c r="X83" s="318" t="n">
        <v>58453000000</v>
      </c>
      <c r="Y83" s="318" t="n">
        <v>58453000000</v>
      </c>
      <c r="Z83" s="318" t="n">
        <v>58453000000</v>
      </c>
      <c r="AA83" s="318"/>
      <c r="AB83" s="318"/>
      <c r="AC83" s="318"/>
      <c r="AD83" s="318"/>
      <c r="AE83" s="318" t="n">
        <f aca="false">R83</f>
        <v>6453000000</v>
      </c>
      <c r="AF83" s="318" t="n">
        <f aca="false">S83-R83</f>
        <v>0</v>
      </c>
      <c r="AG83" s="318" t="n">
        <f aca="false">T83-S83</f>
        <v>52000000000</v>
      </c>
      <c r="AH83" s="318" t="n">
        <f aca="false">U83-T83</f>
        <v>0</v>
      </c>
      <c r="AI83" s="318" t="n">
        <f aca="false">V83-U83</f>
        <v>0</v>
      </c>
      <c r="AJ83" s="318" t="n">
        <f aca="false">W83-V83</f>
        <v>0</v>
      </c>
      <c r="AK83" s="318" t="n">
        <f aca="false">X83-W83</f>
        <v>0</v>
      </c>
      <c r="AL83" s="318" t="n">
        <f aca="false">Y83-X83</f>
        <v>0</v>
      </c>
      <c r="AM83" s="318" t="n">
        <f aca="false">Z83-Y83</f>
        <v>0</v>
      </c>
      <c r="AN83" s="318" t="s">
        <v>1726</v>
      </c>
      <c r="AO83" s="318" t="n">
        <f aca="false">AB83-AA83</f>
        <v>0</v>
      </c>
      <c r="AP83" s="318" t="n">
        <f aca="false">AC83-AB83</f>
        <v>0</v>
      </c>
      <c r="AR83" s="307" t="str">
        <f aca="false">IFERROR(VLOOKUP(M83,'BS_DEC 2026'!$D$12:$D$109,1,FALSE()),"(미존재)")</f>
        <v>이익잉여금</v>
      </c>
    </row>
    <row r="84" customFormat="false" ht="15" hidden="false" customHeight="false" outlineLevel="0" collapsed="false">
      <c r="A84" s="310" t="s">
        <v>493</v>
      </c>
      <c r="B84" s="307" t="n">
        <v>32300000</v>
      </c>
      <c r="C84" s="307" t="s">
        <v>1751</v>
      </c>
      <c r="D84" s="307" t="s">
        <v>1729</v>
      </c>
      <c r="E84" s="307" t="s">
        <v>1752</v>
      </c>
      <c r="F84" s="307" t="n">
        <v>0</v>
      </c>
      <c r="G84" s="307" t="s">
        <v>1731</v>
      </c>
      <c r="H84" s="307" t="s">
        <v>1536</v>
      </c>
      <c r="I84" s="307" t="s">
        <v>1745</v>
      </c>
      <c r="K84" s="307" t="s">
        <v>1746</v>
      </c>
      <c r="L84" s="317" t="s">
        <v>200</v>
      </c>
      <c r="M84" s="317" t="s">
        <v>220</v>
      </c>
      <c r="N84" s="317" t="s">
        <v>200</v>
      </c>
      <c r="O84" s="317" t="s">
        <v>1753</v>
      </c>
      <c r="P84" s="317" t="s">
        <v>220</v>
      </c>
      <c r="Q84" s="318" t="n">
        <v>-2041430576</v>
      </c>
      <c r="R84" s="318" t="n">
        <v>-2041430576</v>
      </c>
      <c r="S84" s="318" t="n">
        <v>-2041430576</v>
      </c>
      <c r="T84" s="318" t="n">
        <v>-2041430576</v>
      </c>
      <c r="U84" s="318" t="n">
        <v>-2041430576</v>
      </c>
      <c r="V84" s="318" t="n">
        <v>-2041430576</v>
      </c>
      <c r="W84" s="318" t="n">
        <v>-2041430576</v>
      </c>
      <c r="X84" s="318" t="n">
        <v>-2041430576</v>
      </c>
      <c r="Y84" s="318" t="n">
        <v>-2041430576</v>
      </c>
      <c r="Z84" s="318" t="n">
        <v>-2041430576</v>
      </c>
      <c r="AA84" s="318"/>
      <c r="AB84" s="318"/>
      <c r="AC84" s="318"/>
      <c r="AD84" s="318"/>
      <c r="AE84" s="318" t="n">
        <f aca="false">R84</f>
        <v>-2041430576</v>
      </c>
      <c r="AF84" s="318" t="n">
        <f aca="false">S84-R84</f>
        <v>0</v>
      </c>
      <c r="AG84" s="318" t="n">
        <f aca="false">T84-S84</f>
        <v>0</v>
      </c>
      <c r="AH84" s="318" t="n">
        <f aca="false">U84-T84</f>
        <v>0</v>
      </c>
      <c r="AI84" s="318" t="n">
        <f aca="false">V84-U84</f>
        <v>0</v>
      </c>
      <c r="AJ84" s="318" t="n">
        <f aca="false">W84-V84</f>
        <v>0</v>
      </c>
      <c r="AK84" s="318" t="n">
        <f aca="false">X84-W84</f>
        <v>0</v>
      </c>
      <c r="AL84" s="318" t="n">
        <f aca="false">Y84-X84</f>
        <v>0</v>
      </c>
      <c r="AM84" s="318" t="n">
        <f aca="false">Z84-Y84</f>
        <v>0</v>
      </c>
      <c r="AN84" s="318" t="s">
        <v>1726</v>
      </c>
      <c r="AO84" s="318" t="n">
        <f aca="false">AB84-AA84</f>
        <v>0</v>
      </c>
      <c r="AP84" s="318" t="n">
        <f aca="false">AC84-AB84</f>
        <v>0</v>
      </c>
      <c r="AR84" s="307" t="str">
        <f aca="false">IFERROR(VLOOKUP(M84,'BS_DEC 2026'!$D$12:$D$109,1,FALSE()),"(미존재)")</f>
        <v>이익잉여금</v>
      </c>
    </row>
    <row r="85" customFormat="false" ht="15" hidden="false" customHeight="false" outlineLevel="0" collapsed="false">
      <c r="A85" s="310" t="s">
        <v>493</v>
      </c>
      <c r="B85" s="307" t="n">
        <v>32900000</v>
      </c>
      <c r="C85" s="307" t="s">
        <v>1754</v>
      </c>
      <c r="D85" s="307" t="s">
        <v>1729</v>
      </c>
      <c r="E85" s="307" t="s">
        <v>1752</v>
      </c>
      <c r="F85" s="307" t="n">
        <v>0</v>
      </c>
      <c r="G85" s="307" t="s">
        <v>1731</v>
      </c>
      <c r="H85" s="307" t="s">
        <v>1536</v>
      </c>
      <c r="I85" s="307" t="s">
        <v>1755</v>
      </c>
      <c r="K85" s="307" t="s">
        <v>1756</v>
      </c>
      <c r="L85" s="317" t="s">
        <v>200</v>
      </c>
      <c r="M85" s="317" t="s">
        <v>220</v>
      </c>
      <c r="N85" s="317" t="s">
        <v>200</v>
      </c>
      <c r="O85" s="317" t="s">
        <v>1753</v>
      </c>
      <c r="P85" s="317" t="s">
        <v>220</v>
      </c>
      <c r="Q85" s="318" t="n">
        <v>-2187462000</v>
      </c>
      <c r="R85" s="318" t="n">
        <v>-2187462000</v>
      </c>
      <c r="S85" s="318" t="n">
        <v>-2187462000</v>
      </c>
      <c r="T85" s="318" t="n">
        <v>-2187462000</v>
      </c>
      <c r="U85" s="318" t="n">
        <v>-2187462000</v>
      </c>
      <c r="V85" s="318" t="n">
        <v>-2187462000</v>
      </c>
      <c r="W85" s="318" t="n">
        <v>-2187462000</v>
      </c>
      <c r="X85" s="318" t="n">
        <v>-2187462000</v>
      </c>
      <c r="Y85" s="318" t="n">
        <v>-2187462000</v>
      </c>
      <c r="Z85" s="318" t="n">
        <v>-2187462000</v>
      </c>
      <c r="AA85" s="318"/>
      <c r="AB85" s="318"/>
      <c r="AC85" s="318"/>
      <c r="AD85" s="318"/>
      <c r="AE85" s="318" t="n">
        <f aca="false">R85</f>
        <v>-2187462000</v>
      </c>
      <c r="AF85" s="318" t="n">
        <f aca="false">S85-R85</f>
        <v>0</v>
      </c>
      <c r="AG85" s="318" t="n">
        <f aca="false">T85-S85</f>
        <v>0</v>
      </c>
      <c r="AH85" s="318" t="n">
        <f aca="false">U85-T85</f>
        <v>0</v>
      </c>
      <c r="AI85" s="318" t="n">
        <f aca="false">V85-U85</f>
        <v>0</v>
      </c>
      <c r="AJ85" s="318" t="n">
        <f aca="false">W85-V85</f>
        <v>0</v>
      </c>
      <c r="AK85" s="318" t="n">
        <f aca="false">X85-W85</f>
        <v>0</v>
      </c>
      <c r="AL85" s="318" t="n">
        <f aca="false">Y85-X85</f>
        <v>0</v>
      </c>
      <c r="AM85" s="318" t="n">
        <f aca="false">Z85-Y85</f>
        <v>0</v>
      </c>
      <c r="AN85" s="318" t="s">
        <v>1726</v>
      </c>
      <c r="AO85" s="318" t="n">
        <f aca="false">AB85-AA85</f>
        <v>0</v>
      </c>
      <c r="AP85" s="318" t="n">
        <f aca="false">AC85-AB85</f>
        <v>0</v>
      </c>
      <c r="AR85" s="307" t="str">
        <f aca="false">IFERROR(VLOOKUP(M85,'BS_DEC 2026'!$D$12:$D$109,1,FALSE()),"(미존재)")</f>
        <v>이익잉여금</v>
      </c>
    </row>
    <row r="86" customFormat="false" ht="15" hidden="false" customHeight="false" outlineLevel="0" collapsed="false">
      <c r="A86" s="310" t="s">
        <v>493</v>
      </c>
      <c r="B86" s="307" t="n">
        <v>32910000</v>
      </c>
      <c r="C86" s="307" t="s">
        <v>1757</v>
      </c>
      <c r="D86" s="307" t="s">
        <v>1729</v>
      </c>
      <c r="E86" s="307" t="s">
        <v>1752</v>
      </c>
      <c r="F86" s="307" t="n">
        <v>0</v>
      </c>
      <c r="G86" s="307" t="s">
        <v>1731</v>
      </c>
      <c r="H86" s="307" t="s">
        <v>1536</v>
      </c>
      <c r="I86" s="307" t="s">
        <v>1758</v>
      </c>
      <c r="K86" s="307" t="s">
        <v>1759</v>
      </c>
      <c r="L86" s="317" t="s">
        <v>200</v>
      </c>
      <c r="M86" s="317" t="s">
        <v>220</v>
      </c>
      <c r="N86" s="317" t="s">
        <v>200</v>
      </c>
      <c r="O86" s="317" t="s">
        <v>1753</v>
      </c>
      <c r="P86" s="317" t="s">
        <v>220</v>
      </c>
      <c r="Q86" s="318" t="n">
        <v>1258532858</v>
      </c>
      <c r="R86" s="318" t="n">
        <v>1258532858</v>
      </c>
      <c r="S86" s="318" t="n">
        <v>1258532858</v>
      </c>
      <c r="T86" s="318" t="n">
        <v>1258532858</v>
      </c>
      <c r="U86" s="318" t="n">
        <v>1258532858</v>
      </c>
      <c r="V86" s="318" t="n">
        <v>1258532858</v>
      </c>
      <c r="W86" s="318" t="n">
        <v>1258532858</v>
      </c>
      <c r="X86" s="318" t="n">
        <v>1258532858</v>
      </c>
      <c r="Y86" s="318" t="n">
        <v>1258532858</v>
      </c>
      <c r="Z86" s="318" t="n">
        <v>1258532858</v>
      </c>
      <c r="AA86" s="318"/>
      <c r="AB86" s="318"/>
      <c r="AC86" s="318"/>
      <c r="AD86" s="318"/>
      <c r="AE86" s="318" t="n">
        <f aca="false">R86</f>
        <v>1258532858</v>
      </c>
      <c r="AF86" s="318" t="n">
        <f aca="false">S86-R86</f>
        <v>0</v>
      </c>
      <c r="AG86" s="318" t="n">
        <f aca="false">T86-S86</f>
        <v>0</v>
      </c>
      <c r="AH86" s="318" t="n">
        <f aca="false">U86-T86</f>
        <v>0</v>
      </c>
      <c r="AI86" s="318" t="n">
        <f aca="false">V86-U86</f>
        <v>0</v>
      </c>
      <c r="AJ86" s="318" t="n">
        <f aca="false">W86-V86</f>
        <v>0</v>
      </c>
      <c r="AK86" s="318" t="n">
        <f aca="false">X86-W86</f>
        <v>0</v>
      </c>
      <c r="AL86" s="318" t="n">
        <f aca="false">Y86-X86</f>
        <v>0</v>
      </c>
      <c r="AM86" s="318" t="n">
        <f aca="false">Z86-Y86</f>
        <v>0</v>
      </c>
      <c r="AN86" s="318" t="s">
        <v>1726</v>
      </c>
      <c r="AO86" s="318" t="n">
        <f aca="false">AB86-AA86</f>
        <v>0</v>
      </c>
      <c r="AP86" s="318" t="n">
        <f aca="false">AC86-AB86</f>
        <v>0</v>
      </c>
      <c r="AR86" s="307" t="str">
        <f aca="false">IFERROR(VLOOKUP(M86,'BS_DEC 2026'!$D$12:$D$109,1,FALSE()),"(미존재)")</f>
        <v>이익잉여금</v>
      </c>
    </row>
    <row r="87" customFormat="false" ht="15" hidden="false" customHeight="false" outlineLevel="0" collapsed="false">
      <c r="A87" s="310" t="s">
        <v>493</v>
      </c>
      <c r="B87" s="307" t="n">
        <v>38010000</v>
      </c>
      <c r="C87" s="307" t="s">
        <v>1760</v>
      </c>
      <c r="D87" s="307" t="s">
        <v>1616</v>
      </c>
      <c r="E87" s="307" t="s">
        <v>1684</v>
      </c>
      <c r="F87" s="307" t="s">
        <v>1761</v>
      </c>
      <c r="G87" s="307" t="s">
        <v>1686</v>
      </c>
      <c r="H87" s="307" t="s">
        <v>1536</v>
      </c>
      <c r="I87" s="307" t="s">
        <v>1762</v>
      </c>
      <c r="K87" s="307" t="s">
        <v>1763</v>
      </c>
      <c r="L87" s="317" t="s">
        <v>157</v>
      </c>
      <c r="M87" s="317" t="s">
        <v>183</v>
      </c>
      <c r="N87" s="317" t="s">
        <v>157</v>
      </c>
      <c r="O87" s="317" t="s">
        <v>1689</v>
      </c>
      <c r="P87" s="317" t="s">
        <v>183</v>
      </c>
      <c r="Q87" s="318" t="n">
        <v>-7662339101</v>
      </c>
      <c r="R87" s="318" t="n">
        <v>-7811126280</v>
      </c>
      <c r="S87" s="318" t="n">
        <v>-7894289713</v>
      </c>
      <c r="T87" s="318" t="n">
        <v>-8099635071</v>
      </c>
      <c r="U87" s="318" t="n">
        <v>-8129405443</v>
      </c>
      <c r="V87" s="318" t="n">
        <v>-7651614265</v>
      </c>
      <c r="W87" s="318" t="n">
        <v>-6405690581</v>
      </c>
      <c r="X87" s="318" t="n">
        <v>-6019476466</v>
      </c>
      <c r="Y87" s="318" t="n">
        <v>-5735385714</v>
      </c>
      <c r="Z87" s="318" t="n">
        <v>-6930294786</v>
      </c>
      <c r="AA87" s="318"/>
      <c r="AB87" s="318"/>
      <c r="AC87" s="318"/>
      <c r="AD87" s="318"/>
      <c r="AE87" s="318" t="n">
        <f aca="false">R87</f>
        <v>-7811126280</v>
      </c>
      <c r="AF87" s="318" t="n">
        <f aca="false">S87-R87</f>
        <v>-83163433</v>
      </c>
      <c r="AG87" s="318" t="n">
        <f aca="false">T87-S87</f>
        <v>-205345358</v>
      </c>
      <c r="AH87" s="318" t="n">
        <f aca="false">U87-T87</f>
        <v>-29770372</v>
      </c>
      <c r="AI87" s="318" t="n">
        <f aca="false">V87-U87</f>
        <v>477791178</v>
      </c>
      <c r="AJ87" s="318" t="n">
        <f aca="false">W87-V87</f>
        <v>1245923684</v>
      </c>
      <c r="AK87" s="318" t="n">
        <f aca="false">X87-W87</f>
        <v>386214115</v>
      </c>
      <c r="AL87" s="318" t="n">
        <f aca="false">Y87-X87</f>
        <v>284090752</v>
      </c>
      <c r="AM87" s="318" t="n">
        <f aca="false">Z87-Y87</f>
        <v>-1194909072</v>
      </c>
      <c r="AN87" s="318" t="s">
        <v>1726</v>
      </c>
      <c r="AO87" s="318" t="n">
        <f aca="false">AB87-AA87</f>
        <v>0</v>
      </c>
      <c r="AP87" s="318" t="n">
        <f aca="false">AC87-AB87</f>
        <v>0</v>
      </c>
      <c r="AR87" s="307" t="str">
        <f aca="false">IFERROR(VLOOKUP(M87,'BS_DEC 2026'!$D$12:$D$109,1,FALSE()),"(미존재)")</f>
        <v>반품충당금유동</v>
      </c>
    </row>
    <row r="88" customFormat="false" ht="15" hidden="false" customHeight="false" outlineLevel="0" collapsed="false">
      <c r="A88" s="310" t="s">
        <v>493</v>
      </c>
      <c r="B88" s="307" t="n">
        <v>38100001</v>
      </c>
      <c r="C88" s="307" t="s">
        <v>1764</v>
      </c>
      <c r="D88" s="307" t="s">
        <v>1616</v>
      </c>
      <c r="E88" s="307" t="s">
        <v>1684</v>
      </c>
      <c r="F88" s="307" t="s">
        <v>1685</v>
      </c>
      <c r="G88" s="307" t="s">
        <v>1765</v>
      </c>
      <c r="H88" s="307" t="s">
        <v>1536</v>
      </c>
      <c r="I88" s="307" t="s">
        <v>1766</v>
      </c>
      <c r="K88" s="307" t="s">
        <v>1767</v>
      </c>
      <c r="L88" s="317" t="s">
        <v>157</v>
      </c>
      <c r="M88" s="317" t="s">
        <v>171</v>
      </c>
      <c r="N88" s="317" t="s">
        <v>157</v>
      </c>
      <c r="O88" s="317" t="s">
        <v>1689</v>
      </c>
      <c r="P88" s="317" t="s">
        <v>171</v>
      </c>
      <c r="Q88" s="318" t="n">
        <v>0</v>
      </c>
      <c r="R88" s="318" t="n">
        <v>0</v>
      </c>
      <c r="S88" s="318" t="n">
        <v>0</v>
      </c>
      <c r="T88" s="318" t="n">
        <v>0</v>
      </c>
      <c r="U88" s="318" t="n">
        <v>0</v>
      </c>
      <c r="V88" s="318" t="n">
        <v>0</v>
      </c>
      <c r="W88" s="318" t="n">
        <v>0</v>
      </c>
      <c r="X88" s="318" t="n">
        <v>0</v>
      </c>
      <c r="Y88" s="318" t="n">
        <v>0</v>
      </c>
      <c r="Z88" s="318" t="n">
        <v>0</v>
      </c>
      <c r="AA88" s="318"/>
      <c r="AB88" s="318"/>
      <c r="AC88" s="318"/>
      <c r="AD88" s="318"/>
      <c r="AE88" s="318" t="n">
        <f aca="false">R88</f>
        <v>0</v>
      </c>
      <c r="AF88" s="318" t="n">
        <f aca="false">S88-R88</f>
        <v>0</v>
      </c>
      <c r="AG88" s="318" t="n">
        <f aca="false">T88-S88</f>
        <v>0</v>
      </c>
      <c r="AH88" s="318" t="n">
        <f aca="false">U88-T88</f>
        <v>0</v>
      </c>
      <c r="AI88" s="318" t="n">
        <f aca="false">V88-U88</f>
        <v>0</v>
      </c>
      <c r="AJ88" s="318" t="n">
        <f aca="false">W88-V88</f>
        <v>0</v>
      </c>
      <c r="AK88" s="318" t="n">
        <f aca="false">X88-W88</f>
        <v>0</v>
      </c>
      <c r="AL88" s="318" t="n">
        <f aca="false">Y88-X88</f>
        <v>0</v>
      </c>
      <c r="AM88" s="318" t="n">
        <f aca="false">Z88-Y88</f>
        <v>0</v>
      </c>
      <c r="AN88" s="318" t="s">
        <v>1726</v>
      </c>
      <c r="AO88" s="318" t="n">
        <f aca="false">AB88-AA88</f>
        <v>0</v>
      </c>
      <c r="AP88" s="318" t="n">
        <f aca="false">AC88-AB88</f>
        <v>0</v>
      </c>
      <c r="AR88" s="307" t="str">
        <f aca="false">IFERROR(VLOOKUP(M88,'BS_DEC 2026'!$D$12:$D$109,1,FALSE()),"(미존재)")</f>
        <v>미지급비용</v>
      </c>
    </row>
    <row r="89" customFormat="false" ht="15" hidden="false" customHeight="false" outlineLevel="0" collapsed="false">
      <c r="A89" s="310" t="s">
        <v>493</v>
      </c>
      <c r="B89" s="307" t="n">
        <v>38160000</v>
      </c>
      <c r="C89" s="307" t="s">
        <v>1768</v>
      </c>
      <c r="D89" s="307" t="s">
        <v>1616</v>
      </c>
      <c r="E89" s="307" t="s">
        <v>1684</v>
      </c>
      <c r="F89" s="307" t="s">
        <v>1685</v>
      </c>
      <c r="G89" s="307" t="s">
        <v>1686</v>
      </c>
      <c r="H89" s="307" t="s">
        <v>1536</v>
      </c>
      <c r="I89" s="307" t="s">
        <v>1769</v>
      </c>
      <c r="K89" s="307" t="s">
        <v>1770</v>
      </c>
      <c r="L89" s="317" t="s">
        <v>157</v>
      </c>
      <c r="M89" s="317" t="s">
        <v>171</v>
      </c>
      <c r="N89" s="317" t="s">
        <v>157</v>
      </c>
      <c r="O89" s="317" t="s">
        <v>1689</v>
      </c>
      <c r="P89" s="317" t="s">
        <v>171</v>
      </c>
      <c r="Q89" s="318" t="n">
        <v>-16873571611</v>
      </c>
      <c r="R89" s="318" t="n">
        <v>-7843692983</v>
      </c>
      <c r="S89" s="318" t="n">
        <v>-7079882252</v>
      </c>
      <c r="T89" s="318" t="n">
        <v>-4808530380</v>
      </c>
      <c r="U89" s="318" t="n">
        <v>-5262628149</v>
      </c>
      <c r="V89" s="318" t="n">
        <v>-5799086075</v>
      </c>
      <c r="W89" s="318" t="n">
        <v>-5799086075</v>
      </c>
      <c r="X89" s="318" t="n">
        <v>-5056586075</v>
      </c>
      <c r="Y89" s="318" t="n">
        <v>-5056586075</v>
      </c>
      <c r="Z89" s="318" t="n">
        <v>-4473184387</v>
      </c>
      <c r="AA89" s="318"/>
      <c r="AB89" s="318"/>
      <c r="AC89" s="318"/>
      <c r="AD89" s="318"/>
      <c r="AE89" s="318" t="n">
        <f aca="false">R89</f>
        <v>-7843692983</v>
      </c>
      <c r="AF89" s="318" t="n">
        <f aca="false">S89-R89</f>
        <v>763810731</v>
      </c>
      <c r="AG89" s="318" t="n">
        <f aca="false">T89-S89</f>
        <v>2271351872</v>
      </c>
      <c r="AH89" s="318" t="n">
        <f aca="false">U89-T89</f>
        <v>-454097769</v>
      </c>
      <c r="AI89" s="318" t="n">
        <f aca="false">V89-U89</f>
        <v>-536457926</v>
      </c>
      <c r="AJ89" s="318" t="n">
        <f aca="false">W89-V89</f>
        <v>0</v>
      </c>
      <c r="AK89" s="318" t="n">
        <f aca="false">X89-W89</f>
        <v>742500000</v>
      </c>
      <c r="AL89" s="318" t="n">
        <f aca="false">Y89-X89</f>
        <v>0</v>
      </c>
      <c r="AM89" s="318" t="n">
        <f aca="false">Z89-Y89</f>
        <v>583401688</v>
      </c>
      <c r="AN89" s="318" t="s">
        <v>1726</v>
      </c>
      <c r="AO89" s="318" t="n">
        <f aca="false">AB89-AA89</f>
        <v>0</v>
      </c>
      <c r="AP89" s="318" t="n">
        <f aca="false">AC89-AB89</f>
        <v>0</v>
      </c>
      <c r="AR89" s="307" t="str">
        <f aca="false">IFERROR(VLOOKUP(M89,'BS_DEC 2026'!$D$12:$D$109,1,FALSE()),"(미존재)")</f>
        <v>미지급비용</v>
      </c>
    </row>
    <row r="90" customFormat="false" ht="15" hidden="false" customHeight="false" outlineLevel="0" collapsed="false">
      <c r="A90" s="310" t="s">
        <v>493</v>
      </c>
      <c r="B90" s="307" t="n">
        <v>38170010</v>
      </c>
      <c r="C90" s="307" t="s">
        <v>1771</v>
      </c>
      <c r="D90" s="307" t="s">
        <v>1616</v>
      </c>
      <c r="E90" s="307" t="s">
        <v>1684</v>
      </c>
      <c r="F90" s="307" t="s">
        <v>1685</v>
      </c>
      <c r="G90" s="307" t="s">
        <v>1686</v>
      </c>
      <c r="H90" s="307" t="s">
        <v>1536</v>
      </c>
      <c r="I90" s="307" t="s">
        <v>1772</v>
      </c>
      <c r="K90" s="307" t="s">
        <v>1773</v>
      </c>
      <c r="L90" s="317" t="s">
        <v>157</v>
      </c>
      <c r="M90" s="317" t="s">
        <v>171</v>
      </c>
      <c r="N90" s="317" t="s">
        <v>157</v>
      </c>
      <c r="O90" s="317" t="s">
        <v>1689</v>
      </c>
      <c r="P90" s="317" t="s">
        <v>171</v>
      </c>
      <c r="Q90" s="318" t="n">
        <v>-1200612826</v>
      </c>
      <c r="R90" s="318" t="n">
        <v>-130733519</v>
      </c>
      <c r="S90" s="318" t="n">
        <v>-261467038</v>
      </c>
      <c r="T90" s="318" t="n">
        <v>-392200557</v>
      </c>
      <c r="U90" s="318" t="n">
        <v>-503939420</v>
      </c>
      <c r="V90" s="318" t="n">
        <v>-623621855</v>
      </c>
      <c r="W90" s="318" t="n">
        <v>-748346226</v>
      </c>
      <c r="X90" s="318" t="n">
        <v>-877267041</v>
      </c>
      <c r="Y90" s="318" t="n">
        <v>-1002590904</v>
      </c>
      <c r="Z90" s="318" t="n">
        <v>-1127914767</v>
      </c>
      <c r="AA90" s="318"/>
      <c r="AB90" s="318"/>
      <c r="AC90" s="318"/>
      <c r="AD90" s="318"/>
      <c r="AE90" s="318" t="n">
        <f aca="false">R90</f>
        <v>-130733519</v>
      </c>
      <c r="AF90" s="318" t="n">
        <f aca="false">S90-R90</f>
        <v>-130733519</v>
      </c>
      <c r="AG90" s="318" t="n">
        <f aca="false">T90-S90</f>
        <v>-130733519</v>
      </c>
      <c r="AH90" s="318" t="n">
        <f aca="false">U90-T90</f>
        <v>-111738863</v>
      </c>
      <c r="AI90" s="318" t="n">
        <f aca="false">V90-U90</f>
        <v>-119682435</v>
      </c>
      <c r="AJ90" s="318" t="n">
        <f aca="false">W90-V90</f>
        <v>-124724371</v>
      </c>
      <c r="AK90" s="318" t="n">
        <f aca="false">X90-W90</f>
        <v>-128920815</v>
      </c>
      <c r="AL90" s="318" t="n">
        <f aca="false">Y90-X90</f>
        <v>-125323863</v>
      </c>
      <c r="AM90" s="318" t="n">
        <f aca="false">Z90-Y90</f>
        <v>-125323863</v>
      </c>
      <c r="AN90" s="318" t="s">
        <v>1726</v>
      </c>
      <c r="AO90" s="318" t="n">
        <f aca="false">AB90-AA90</f>
        <v>0</v>
      </c>
      <c r="AP90" s="318" t="n">
        <f aca="false">AC90-AB90</f>
        <v>0</v>
      </c>
      <c r="AR90" s="307" t="str">
        <f aca="false">IFERROR(VLOOKUP(M90,'BS_DEC 2026'!$D$12:$D$109,1,FALSE()),"(미존재)")</f>
        <v>미지급비용</v>
      </c>
    </row>
    <row r="91" customFormat="false" ht="15" hidden="false" customHeight="false" outlineLevel="0" collapsed="false">
      <c r="A91" s="310" t="s">
        <v>493</v>
      </c>
      <c r="B91" s="307" t="n">
        <v>39070851</v>
      </c>
      <c r="C91" s="307" t="s">
        <v>1774</v>
      </c>
      <c r="D91" s="307" t="s">
        <v>1616</v>
      </c>
      <c r="E91" s="307" t="s">
        <v>1617</v>
      </c>
      <c r="F91" s="307" t="s">
        <v>1775</v>
      </c>
      <c r="G91" s="307" t="s">
        <v>1765</v>
      </c>
      <c r="H91" s="307" t="s">
        <v>1536</v>
      </c>
      <c r="I91" s="307" t="s">
        <v>1776</v>
      </c>
      <c r="K91" s="307" t="s">
        <v>1777</v>
      </c>
      <c r="L91" s="317" t="s">
        <v>157</v>
      </c>
      <c r="M91" s="317" t="s">
        <v>181</v>
      </c>
      <c r="N91" s="317" t="s">
        <v>157</v>
      </c>
      <c r="O91" s="317" t="s">
        <v>1621</v>
      </c>
      <c r="P91" s="317" t="s">
        <v>181</v>
      </c>
      <c r="Q91" s="318" t="n">
        <v>0</v>
      </c>
      <c r="R91" s="318" t="n">
        <v>0</v>
      </c>
      <c r="S91" s="318" t="n">
        <v>0</v>
      </c>
      <c r="T91" s="318" t="n">
        <v>0</v>
      </c>
      <c r="U91" s="318" t="n">
        <v>0</v>
      </c>
      <c r="V91" s="318" t="n">
        <v>0</v>
      </c>
      <c r="W91" s="318" t="n">
        <v>0</v>
      </c>
      <c r="X91" s="318" t="n">
        <v>0</v>
      </c>
      <c r="Y91" s="318" t="n">
        <v>0</v>
      </c>
      <c r="Z91" s="318" t="n">
        <v>0</v>
      </c>
      <c r="AA91" s="318"/>
      <c r="AB91" s="318"/>
      <c r="AC91" s="318"/>
      <c r="AD91" s="318"/>
      <c r="AE91" s="318" t="n">
        <f aca="false">R91</f>
        <v>0</v>
      </c>
      <c r="AF91" s="318" t="n">
        <f aca="false">S91-R91</f>
        <v>0</v>
      </c>
      <c r="AG91" s="318" t="n">
        <f aca="false">T91-S91</f>
        <v>0</v>
      </c>
      <c r="AH91" s="318" t="n">
        <f aca="false">U91-T91</f>
        <v>0</v>
      </c>
      <c r="AI91" s="318" t="n">
        <f aca="false">V91-U91</f>
        <v>0</v>
      </c>
      <c r="AJ91" s="318" t="n">
        <f aca="false">W91-V91</f>
        <v>0</v>
      </c>
      <c r="AK91" s="318" t="n">
        <f aca="false">X91-W91</f>
        <v>0</v>
      </c>
      <c r="AL91" s="318" t="n">
        <f aca="false">Y91-X91</f>
        <v>0</v>
      </c>
      <c r="AM91" s="318" t="n">
        <f aca="false">Z91-Y91</f>
        <v>0</v>
      </c>
      <c r="AN91" s="318" t="s">
        <v>1726</v>
      </c>
      <c r="AO91" s="318" t="n">
        <f aca="false">AB91-AA91</f>
        <v>0</v>
      </c>
      <c r="AP91" s="318" t="n">
        <f aca="false">AC91-AB91</f>
        <v>0</v>
      </c>
      <c r="AR91" s="307" t="str">
        <f aca="false">IFERROR(VLOOKUP(M91,'BS_DEC 2026'!$D$12:$D$109,1,FALSE()),"(미존재)")</f>
        <v>임대보증금</v>
      </c>
    </row>
    <row r="92" customFormat="false" ht="15" hidden="false" customHeight="false" outlineLevel="0" collapsed="false">
      <c r="A92" s="310" t="s">
        <v>493</v>
      </c>
      <c r="B92" s="307" t="n">
        <v>39200800</v>
      </c>
      <c r="C92" s="307" t="s">
        <v>1778</v>
      </c>
      <c r="D92" s="307" t="s">
        <v>1616</v>
      </c>
      <c r="E92" s="307" t="s">
        <v>1684</v>
      </c>
      <c r="F92" s="307" t="s">
        <v>1685</v>
      </c>
      <c r="G92" s="307" t="s">
        <v>1765</v>
      </c>
      <c r="H92" s="307" t="s">
        <v>1536</v>
      </c>
      <c r="I92" s="307" t="s">
        <v>1779</v>
      </c>
      <c r="K92" s="307" t="s">
        <v>1298</v>
      </c>
      <c r="L92" s="317" t="s">
        <v>157</v>
      </c>
      <c r="M92" s="317" t="s">
        <v>171</v>
      </c>
      <c r="N92" s="317" t="s">
        <v>157</v>
      </c>
      <c r="O92" s="317" t="s">
        <v>1689</v>
      </c>
      <c r="P92" s="317" t="s">
        <v>171</v>
      </c>
      <c r="Q92" s="318" t="n">
        <v>4</v>
      </c>
      <c r="R92" s="318" t="n">
        <v>4</v>
      </c>
      <c r="S92" s="318" t="n">
        <v>4</v>
      </c>
      <c r="T92" s="318" t="n">
        <v>0</v>
      </c>
      <c r="U92" s="318" t="n">
        <v>0</v>
      </c>
      <c r="V92" s="318" t="n">
        <v>0</v>
      </c>
      <c r="W92" s="318" t="n">
        <v>0</v>
      </c>
      <c r="X92" s="318" t="n">
        <v>0</v>
      </c>
      <c r="Y92" s="318" t="n">
        <v>0</v>
      </c>
      <c r="Z92" s="318" t="n">
        <v>0</v>
      </c>
      <c r="AA92" s="318"/>
      <c r="AB92" s="318"/>
      <c r="AC92" s="318"/>
      <c r="AD92" s="318"/>
      <c r="AE92" s="318" t="n">
        <f aca="false">R92</f>
        <v>4</v>
      </c>
      <c r="AF92" s="318" t="n">
        <f aca="false">S92-R92</f>
        <v>0</v>
      </c>
      <c r="AG92" s="318" t="n">
        <f aca="false">T92-S92</f>
        <v>-4</v>
      </c>
      <c r="AH92" s="318" t="n">
        <f aca="false">U92-T92</f>
        <v>0</v>
      </c>
      <c r="AI92" s="318" t="n">
        <f aca="false">V92-U92</f>
        <v>0</v>
      </c>
      <c r="AJ92" s="318" t="n">
        <f aca="false">W92-V92</f>
        <v>0</v>
      </c>
      <c r="AK92" s="318" t="n">
        <f aca="false">X92-W92</f>
        <v>0</v>
      </c>
      <c r="AL92" s="318" t="n">
        <f aca="false">Y92-X92</f>
        <v>0</v>
      </c>
      <c r="AM92" s="318" t="n">
        <f aca="false">Z92-Y92</f>
        <v>0</v>
      </c>
      <c r="AN92" s="318" t="s">
        <v>1726</v>
      </c>
      <c r="AO92" s="318" t="n">
        <f aca="false">AB92-AA92</f>
        <v>0</v>
      </c>
      <c r="AP92" s="318" t="n">
        <f aca="false">AC92-AB92</f>
        <v>0</v>
      </c>
      <c r="AR92" s="307" t="str">
        <f aca="false">IFERROR(VLOOKUP(M92,'BS_DEC 2026'!$D$12:$D$109,1,FALSE()),"(미존재)")</f>
        <v>미지급비용</v>
      </c>
    </row>
    <row r="93" customFormat="false" ht="15" hidden="false" customHeight="false" outlineLevel="0" collapsed="false">
      <c r="A93" s="310" t="s">
        <v>493</v>
      </c>
      <c r="B93" s="307" t="n">
        <v>40000000</v>
      </c>
      <c r="C93" s="307" t="s">
        <v>1780</v>
      </c>
      <c r="D93" s="307" t="s">
        <v>1616</v>
      </c>
      <c r="E93" s="307" t="s">
        <v>1684</v>
      </c>
      <c r="F93" s="307" t="s">
        <v>1781</v>
      </c>
      <c r="G93" s="307" t="s">
        <v>1686</v>
      </c>
      <c r="H93" s="307" t="s">
        <v>1536</v>
      </c>
      <c r="I93" s="307" t="s">
        <v>1782</v>
      </c>
      <c r="K93" s="307" t="s">
        <v>1783</v>
      </c>
      <c r="L93" s="317" t="s">
        <v>157</v>
      </c>
      <c r="M93" s="317" t="s">
        <v>161</v>
      </c>
      <c r="N93" s="317" t="s">
        <v>157</v>
      </c>
      <c r="O93" s="317" t="s">
        <v>1689</v>
      </c>
      <c r="P93" s="317" t="s">
        <v>1784</v>
      </c>
      <c r="Q93" s="318" t="n">
        <v>-13530627993</v>
      </c>
      <c r="R93" s="318" t="n">
        <v>-16054738733</v>
      </c>
      <c r="S93" s="318" t="n">
        <v>-13503626674</v>
      </c>
      <c r="T93" s="318" t="n">
        <v>-11382563929</v>
      </c>
      <c r="U93" s="318" t="n">
        <v>-18704621529</v>
      </c>
      <c r="V93" s="318" t="n">
        <v>-9999667134</v>
      </c>
      <c r="W93" s="318" t="n">
        <v>-11186700694</v>
      </c>
      <c r="X93" s="318" t="n">
        <v>-16411868331</v>
      </c>
      <c r="Y93" s="318" t="n">
        <v>-5472974326</v>
      </c>
      <c r="Z93" s="318" t="n">
        <v>-2711048610</v>
      </c>
      <c r="AA93" s="318"/>
      <c r="AB93" s="318"/>
      <c r="AC93" s="318"/>
      <c r="AD93" s="318"/>
      <c r="AE93" s="318" t="n">
        <f aca="false">R93</f>
        <v>-16054738733</v>
      </c>
      <c r="AF93" s="318" t="n">
        <f aca="false">S93-R93</f>
        <v>2551112059</v>
      </c>
      <c r="AG93" s="318" t="n">
        <f aca="false">T93-S93</f>
        <v>2121062745</v>
      </c>
      <c r="AH93" s="318" t="n">
        <f aca="false">U93-T93</f>
        <v>-7322057600</v>
      </c>
      <c r="AI93" s="318" t="n">
        <f aca="false">V93-U93</f>
        <v>8704954395</v>
      </c>
      <c r="AJ93" s="318" t="n">
        <f aca="false">W93-V93</f>
        <v>-1187033560</v>
      </c>
      <c r="AK93" s="318" t="n">
        <f aca="false">X93-W93</f>
        <v>-5225167637</v>
      </c>
      <c r="AL93" s="318" t="n">
        <f aca="false">Y93-X93</f>
        <v>10938894005</v>
      </c>
      <c r="AM93" s="318" t="n">
        <f aca="false">Z93-Y93</f>
        <v>2761925716</v>
      </c>
      <c r="AN93" s="318" t="s">
        <v>1726</v>
      </c>
      <c r="AO93" s="318" t="n">
        <f aca="false">AB93-AA93</f>
        <v>0</v>
      </c>
      <c r="AP93" s="318" t="n">
        <f aca="false">AC93-AB93</f>
        <v>0</v>
      </c>
      <c r="AR93" s="307" t="str">
        <f aca="false">IFERROR(VLOOKUP(M93,'BS_DEC 2026'!$D$12:$D$109,1,FALSE()),"(미존재)")</f>
        <v>매입채무</v>
      </c>
    </row>
    <row r="94" customFormat="false" ht="15" hidden="false" customHeight="false" outlineLevel="0" collapsed="false">
      <c r="A94" s="310" t="s">
        <v>493</v>
      </c>
      <c r="B94" s="307" t="n">
        <v>40000001</v>
      </c>
      <c r="C94" s="307" t="s">
        <v>1785</v>
      </c>
      <c r="D94" s="307" t="s">
        <v>1616</v>
      </c>
      <c r="E94" s="307" t="s">
        <v>1684</v>
      </c>
      <c r="F94" s="307" t="s">
        <v>1781</v>
      </c>
      <c r="G94" s="307" t="s">
        <v>1686</v>
      </c>
      <c r="H94" s="307" t="s">
        <v>1536</v>
      </c>
      <c r="I94" s="307" t="s">
        <v>1782</v>
      </c>
      <c r="K94" s="307" t="s">
        <v>1783</v>
      </c>
      <c r="L94" s="317" t="s">
        <v>157</v>
      </c>
      <c r="M94" s="317" t="s">
        <v>161</v>
      </c>
      <c r="N94" s="317" t="s">
        <v>157</v>
      </c>
      <c r="O94" s="317" t="s">
        <v>1689</v>
      </c>
      <c r="P94" s="317" t="s">
        <v>1784</v>
      </c>
      <c r="Q94" s="318" t="n">
        <v>2032298</v>
      </c>
      <c r="R94" s="318" t="n">
        <v>2032298</v>
      </c>
      <c r="S94" s="318" t="n">
        <v>2032298</v>
      </c>
      <c r="T94" s="318" t="n">
        <v>2032298</v>
      </c>
      <c r="U94" s="318" t="n">
        <v>0</v>
      </c>
      <c r="V94" s="318" t="n">
        <v>0</v>
      </c>
      <c r="W94" s="318" t="n">
        <v>0</v>
      </c>
      <c r="X94" s="318" t="n">
        <v>0</v>
      </c>
      <c r="Y94" s="318" t="n">
        <v>0</v>
      </c>
      <c r="Z94" s="318" t="n">
        <v>0</v>
      </c>
      <c r="AA94" s="318"/>
      <c r="AB94" s="318"/>
      <c r="AC94" s="318"/>
      <c r="AD94" s="318"/>
      <c r="AE94" s="318" t="n">
        <f aca="false">R94</f>
        <v>2032298</v>
      </c>
      <c r="AF94" s="318" t="n">
        <f aca="false">S94-R94</f>
        <v>0</v>
      </c>
      <c r="AG94" s="318" t="n">
        <f aca="false">T94-S94</f>
        <v>0</v>
      </c>
      <c r="AH94" s="318" t="n">
        <f aca="false">U94-T94</f>
        <v>-2032298</v>
      </c>
      <c r="AI94" s="318" t="n">
        <f aca="false">V94-U94</f>
        <v>0</v>
      </c>
      <c r="AJ94" s="318" t="n">
        <f aca="false">W94-V94</f>
        <v>0</v>
      </c>
      <c r="AK94" s="318" t="n">
        <f aca="false">X94-W94</f>
        <v>0</v>
      </c>
      <c r="AL94" s="318" t="n">
        <f aca="false">Y94-X94</f>
        <v>0</v>
      </c>
      <c r="AM94" s="318" t="n">
        <f aca="false">Z94-Y94</f>
        <v>0</v>
      </c>
      <c r="AN94" s="318" t="s">
        <v>1726</v>
      </c>
      <c r="AO94" s="318" t="n">
        <f aca="false">AB94-AA94</f>
        <v>0</v>
      </c>
      <c r="AP94" s="318" t="n">
        <f aca="false">AC94-AB94</f>
        <v>0</v>
      </c>
      <c r="AR94" s="307" t="str">
        <f aca="false">IFERROR(VLOOKUP(M94,'BS_DEC 2026'!$D$12:$D$109,1,FALSE()),"(미존재)")</f>
        <v>매입채무</v>
      </c>
    </row>
    <row r="95" customFormat="false" ht="15" hidden="false" customHeight="false" outlineLevel="0" collapsed="false">
      <c r="A95" s="310" t="s">
        <v>493</v>
      </c>
      <c r="B95" s="307" t="n">
        <v>40000003</v>
      </c>
      <c r="C95" s="307" t="s">
        <v>1786</v>
      </c>
      <c r="D95" s="307" t="s">
        <v>1616</v>
      </c>
      <c r="E95" s="307" t="s">
        <v>1684</v>
      </c>
      <c r="F95" s="307" t="s">
        <v>1781</v>
      </c>
      <c r="G95" s="307" t="s">
        <v>1686</v>
      </c>
      <c r="H95" s="307" t="s">
        <v>1536</v>
      </c>
      <c r="I95" s="307" t="s">
        <v>1782</v>
      </c>
      <c r="K95" s="307" t="s">
        <v>1783</v>
      </c>
      <c r="L95" s="317" t="s">
        <v>157</v>
      </c>
      <c r="M95" s="317" t="s">
        <v>165</v>
      </c>
      <c r="N95" s="317" t="s">
        <v>157</v>
      </c>
      <c r="O95" s="317" t="s">
        <v>1689</v>
      </c>
      <c r="P95" s="317" t="s">
        <v>1784</v>
      </c>
      <c r="Q95" s="318" t="n">
        <v>1051034</v>
      </c>
      <c r="R95" s="318" t="n">
        <v>3116783</v>
      </c>
      <c r="S95" s="318" t="n">
        <v>3113162</v>
      </c>
      <c r="T95" s="318" t="n">
        <v>-3674992</v>
      </c>
      <c r="U95" s="318" t="n">
        <v>6090852</v>
      </c>
      <c r="V95" s="318" t="n">
        <v>-80474126</v>
      </c>
      <c r="W95" s="318" t="n">
        <v>0</v>
      </c>
      <c r="X95" s="318" t="n">
        <v>119277272</v>
      </c>
      <c r="Y95" s="318" t="n">
        <v>20156623</v>
      </c>
      <c r="Z95" s="318" t="n">
        <v>5693788</v>
      </c>
      <c r="AA95" s="318"/>
      <c r="AB95" s="318"/>
      <c r="AC95" s="318"/>
      <c r="AD95" s="318"/>
      <c r="AE95" s="318" t="n">
        <f aca="false">R95</f>
        <v>3116783</v>
      </c>
      <c r="AF95" s="318" t="n">
        <f aca="false">S95-R95</f>
        <v>-3621</v>
      </c>
      <c r="AG95" s="318" t="n">
        <f aca="false">T95-S95</f>
        <v>-6788154</v>
      </c>
      <c r="AH95" s="318" t="n">
        <f aca="false">U95-T95</f>
        <v>9765844</v>
      </c>
      <c r="AI95" s="318" t="n">
        <f aca="false">V95-U95</f>
        <v>-86564978</v>
      </c>
      <c r="AJ95" s="318" t="n">
        <f aca="false">W95-V95</f>
        <v>80474126</v>
      </c>
      <c r="AK95" s="318" t="n">
        <f aca="false">X95-W95</f>
        <v>119277272</v>
      </c>
      <c r="AL95" s="318" t="n">
        <f aca="false">Y95-X95</f>
        <v>-99120649</v>
      </c>
      <c r="AM95" s="318" t="n">
        <f aca="false">Z95-Y95</f>
        <v>-14462835</v>
      </c>
      <c r="AN95" s="318" t="s">
        <v>1726</v>
      </c>
      <c r="AO95" s="318" t="n">
        <f aca="false">AB95-AA95</f>
        <v>0</v>
      </c>
      <c r="AP95" s="318" t="n">
        <f aca="false">AC95-AB95</f>
        <v>0</v>
      </c>
      <c r="AR95" s="307" t="str">
        <f aca="false">IFERROR(VLOOKUP(M95,'BS_DEC 2026'!$D$12:$D$109,1,FALSE()),"(미존재)")</f>
        <v>미지급금</v>
      </c>
    </row>
    <row r="96" customFormat="false" ht="15" hidden="false" customHeight="false" outlineLevel="0" collapsed="false">
      <c r="A96" s="310" t="s">
        <v>493</v>
      </c>
      <c r="B96" s="307" t="n">
        <v>40000004</v>
      </c>
      <c r="C96" s="307" t="s">
        <v>1787</v>
      </c>
      <c r="D96" s="307" t="s">
        <v>1616</v>
      </c>
      <c r="E96" s="307" t="s">
        <v>1684</v>
      </c>
      <c r="F96" s="307" t="s">
        <v>1781</v>
      </c>
      <c r="G96" s="307" t="s">
        <v>1686</v>
      </c>
      <c r="H96" s="307" t="s">
        <v>1536</v>
      </c>
      <c r="I96" s="307" t="s">
        <v>1687</v>
      </c>
      <c r="K96" s="307" t="s">
        <v>1688</v>
      </c>
      <c r="L96" s="317" t="s">
        <v>157</v>
      </c>
      <c r="M96" s="317" t="s">
        <v>165</v>
      </c>
      <c r="N96" s="317" t="s">
        <v>157</v>
      </c>
      <c r="O96" s="317" t="s">
        <v>1689</v>
      </c>
      <c r="P96" s="317" t="s">
        <v>1784</v>
      </c>
      <c r="Q96" s="318" t="n">
        <v>0</v>
      </c>
      <c r="R96" s="318" t="n">
        <v>0</v>
      </c>
      <c r="S96" s="318" t="n">
        <v>0</v>
      </c>
      <c r="T96" s="318" t="n">
        <v>0</v>
      </c>
      <c r="U96" s="318" t="n">
        <v>0</v>
      </c>
      <c r="V96" s="318" t="n">
        <v>0</v>
      </c>
      <c r="W96" s="318" t="n">
        <v>0</v>
      </c>
      <c r="X96" s="318" t="n">
        <v>0</v>
      </c>
      <c r="Y96" s="318" t="n">
        <v>0</v>
      </c>
      <c r="Z96" s="318" t="n">
        <v>8838853</v>
      </c>
      <c r="AA96" s="318"/>
      <c r="AB96" s="318"/>
      <c r="AC96" s="318"/>
      <c r="AD96" s="318"/>
      <c r="AE96" s="318" t="n">
        <f aca="false">R96</f>
        <v>0</v>
      </c>
      <c r="AF96" s="318" t="n">
        <f aca="false">S96-R96</f>
        <v>0</v>
      </c>
      <c r="AG96" s="318" t="n">
        <f aca="false">T96-S96</f>
        <v>0</v>
      </c>
      <c r="AH96" s="318" t="n">
        <f aca="false">U96-T96</f>
        <v>0</v>
      </c>
      <c r="AI96" s="318" t="n">
        <f aca="false">V96-U96</f>
        <v>0</v>
      </c>
      <c r="AJ96" s="318" t="n">
        <f aca="false">W96-V96</f>
        <v>0</v>
      </c>
      <c r="AK96" s="318" t="n">
        <f aca="false">X96-W96</f>
        <v>0</v>
      </c>
      <c r="AL96" s="318" t="n">
        <f aca="false">Y96-X96</f>
        <v>0</v>
      </c>
      <c r="AM96" s="318" t="n">
        <f aca="false">Z96-Y96</f>
        <v>8838853</v>
      </c>
      <c r="AN96" s="318" t="s">
        <v>1726</v>
      </c>
      <c r="AO96" s="318" t="n">
        <f aca="false">AB96-AA96</f>
        <v>0</v>
      </c>
      <c r="AP96" s="318" t="n">
        <f aca="false">AC96-AB96</f>
        <v>0</v>
      </c>
      <c r="AR96" s="307" t="str">
        <f aca="false">IFERROR(VLOOKUP(M96,'BS_DEC 2026'!$D$12:$D$109,1,FALSE()),"(미존재)")</f>
        <v>미지급금</v>
      </c>
    </row>
    <row r="97" customFormat="false" ht="15" hidden="false" customHeight="false" outlineLevel="0" collapsed="false">
      <c r="A97" s="310" t="s">
        <v>493</v>
      </c>
      <c r="B97" s="307" t="n">
        <v>40000005</v>
      </c>
      <c r="C97" s="307" t="s">
        <v>1788</v>
      </c>
      <c r="G97" s="307" t="s">
        <v>1686</v>
      </c>
      <c r="H97" s="307" t="s">
        <v>1536</v>
      </c>
      <c r="I97" s="307" t="s">
        <v>1687</v>
      </c>
      <c r="K97" s="307" t="s">
        <v>1688</v>
      </c>
      <c r="L97" s="317" t="s">
        <v>157</v>
      </c>
      <c r="M97" s="317" t="s">
        <v>165</v>
      </c>
      <c r="N97" s="317" t="s">
        <v>157</v>
      </c>
      <c r="O97" s="317" t="s">
        <v>1689</v>
      </c>
      <c r="P97" s="317" t="s">
        <v>1784</v>
      </c>
      <c r="Q97" s="318" t="n">
        <v>-21174</v>
      </c>
      <c r="R97" s="318" t="n">
        <v>745707</v>
      </c>
      <c r="S97" s="318" t="n">
        <v>1281245</v>
      </c>
      <c r="T97" s="318" t="n">
        <v>-1780678</v>
      </c>
      <c r="U97" s="318" t="n">
        <v>-761470</v>
      </c>
      <c r="V97" s="318" t="n">
        <v>0</v>
      </c>
      <c r="W97" s="318" t="n">
        <v>0</v>
      </c>
      <c r="X97" s="318" t="n">
        <v>0</v>
      </c>
      <c r="Y97" s="318" t="n">
        <v>0</v>
      </c>
      <c r="Z97" s="318" t="n">
        <v>0</v>
      </c>
      <c r="AA97" s="318"/>
      <c r="AB97" s="318"/>
      <c r="AC97" s="318"/>
      <c r="AD97" s="318"/>
      <c r="AE97" s="318" t="n">
        <f aca="false">R97</f>
        <v>745707</v>
      </c>
      <c r="AF97" s="318" t="n">
        <f aca="false">S97-R97</f>
        <v>535538</v>
      </c>
      <c r="AG97" s="318" t="n">
        <f aca="false">T97-S97</f>
        <v>-3061923</v>
      </c>
      <c r="AH97" s="318" t="n">
        <f aca="false">U97-T97</f>
        <v>1019208</v>
      </c>
      <c r="AI97" s="318" t="n">
        <f aca="false">V97-U97</f>
        <v>761470</v>
      </c>
      <c r="AJ97" s="318" t="n">
        <f aca="false">W97-V97</f>
        <v>0</v>
      </c>
      <c r="AK97" s="318" t="n">
        <f aca="false">X97-W97</f>
        <v>0</v>
      </c>
      <c r="AL97" s="318" t="n">
        <f aca="false">Y97-X97</f>
        <v>0</v>
      </c>
      <c r="AM97" s="318" t="n">
        <f aca="false">Z97-Y97</f>
        <v>0</v>
      </c>
      <c r="AN97" s="318" t="s">
        <v>1726</v>
      </c>
      <c r="AO97" s="318" t="n">
        <f aca="false">AB97-AA97</f>
        <v>0</v>
      </c>
      <c r="AP97" s="318" t="n">
        <f aca="false">AC97-AB97</f>
        <v>0</v>
      </c>
      <c r="AR97" s="307" t="str">
        <f aca="false">IFERROR(VLOOKUP(M97,'BS_DEC 2026'!$D$12:$D$109,1,FALSE()),"(미존재)")</f>
        <v>미지급금</v>
      </c>
    </row>
    <row r="98" customFormat="false" ht="15" hidden="false" customHeight="false" outlineLevel="0" collapsed="false">
      <c r="A98" s="310" t="s">
        <v>493</v>
      </c>
      <c r="B98" s="307" t="n">
        <v>40000012</v>
      </c>
      <c r="C98" s="307" t="s">
        <v>1789</v>
      </c>
      <c r="D98" s="307" t="s">
        <v>1616</v>
      </c>
      <c r="E98" s="307" t="s">
        <v>1684</v>
      </c>
      <c r="F98" s="307" t="s">
        <v>1790</v>
      </c>
      <c r="G98" s="307" t="s">
        <v>1686</v>
      </c>
      <c r="H98" s="307" t="s">
        <v>1536</v>
      </c>
      <c r="I98" s="307" t="s">
        <v>1782</v>
      </c>
      <c r="K98" s="307" t="s">
        <v>1783</v>
      </c>
      <c r="L98" s="317" t="s">
        <v>157</v>
      </c>
      <c r="M98" s="317" t="s">
        <v>165</v>
      </c>
      <c r="N98" s="317" t="s">
        <v>157</v>
      </c>
      <c r="O98" s="317" t="s">
        <v>1689</v>
      </c>
      <c r="P98" s="317" t="s">
        <v>165</v>
      </c>
      <c r="Q98" s="318" t="n">
        <v>-12776261877</v>
      </c>
      <c r="R98" s="318" t="n">
        <v>-12631555947</v>
      </c>
      <c r="S98" s="318" t="n">
        <v>-9672756719</v>
      </c>
      <c r="T98" s="318" t="n">
        <v>-10464382484</v>
      </c>
      <c r="U98" s="318" t="n">
        <v>-9319990558</v>
      </c>
      <c r="V98" s="318" t="n">
        <v>-21302520896</v>
      </c>
      <c r="W98" s="318" t="n">
        <v>-15356642892</v>
      </c>
      <c r="X98" s="318" t="n">
        <v>-10476178887</v>
      </c>
      <c r="Y98" s="318" t="n">
        <v>-14118573583</v>
      </c>
      <c r="Z98" s="318" t="n">
        <v>-7686947311</v>
      </c>
      <c r="AA98" s="318"/>
      <c r="AB98" s="318"/>
      <c r="AC98" s="318"/>
      <c r="AD98" s="318"/>
      <c r="AE98" s="318" t="n">
        <f aca="false">R98</f>
        <v>-12631555947</v>
      </c>
      <c r="AF98" s="318" t="n">
        <f aca="false">S98-R98</f>
        <v>2958799228</v>
      </c>
      <c r="AG98" s="318" t="n">
        <f aca="false">T98-S98</f>
        <v>-791625765</v>
      </c>
      <c r="AH98" s="318" t="n">
        <f aca="false">U98-T98</f>
        <v>1144391926</v>
      </c>
      <c r="AI98" s="318" t="n">
        <f aca="false">V98-U98</f>
        <v>-11982530338</v>
      </c>
      <c r="AJ98" s="318" t="n">
        <f aca="false">W98-V98</f>
        <v>5945878004</v>
      </c>
      <c r="AK98" s="318" t="n">
        <f aca="false">X98-W98</f>
        <v>4880464005</v>
      </c>
      <c r="AL98" s="318" t="n">
        <f aca="false">Y98-X98</f>
        <v>-3642394696</v>
      </c>
      <c r="AM98" s="318" t="n">
        <f aca="false">Z98-Y98</f>
        <v>6431626272</v>
      </c>
      <c r="AN98" s="318" t="s">
        <v>1726</v>
      </c>
      <c r="AO98" s="318" t="n">
        <f aca="false">AB98-AA98</f>
        <v>0</v>
      </c>
      <c r="AP98" s="318" t="n">
        <f aca="false">AC98-AB98</f>
        <v>0</v>
      </c>
      <c r="AR98" s="307" t="str">
        <f aca="false">IFERROR(VLOOKUP(M98,'BS_DEC 2026'!$D$12:$D$109,1,FALSE()),"(미존재)")</f>
        <v>미지급금</v>
      </c>
    </row>
    <row r="99" customFormat="false" ht="15" hidden="false" customHeight="false" outlineLevel="0" collapsed="false">
      <c r="A99" s="310" t="s">
        <v>493</v>
      </c>
      <c r="B99" s="307" t="n">
        <v>40000850</v>
      </c>
      <c r="C99" s="307" t="s">
        <v>1791</v>
      </c>
      <c r="E99" s="307" t="s">
        <v>1684</v>
      </c>
      <c r="G99" s="307" t="s">
        <v>1686</v>
      </c>
      <c r="H99" s="307" t="s">
        <v>1536</v>
      </c>
      <c r="I99" s="307" t="s">
        <v>1782</v>
      </c>
      <c r="L99" s="317" t="s">
        <v>157</v>
      </c>
      <c r="M99" s="317" t="s">
        <v>171</v>
      </c>
      <c r="Q99" s="318"/>
      <c r="R99" s="318" t="n">
        <v>0</v>
      </c>
      <c r="S99" s="318"/>
      <c r="T99" s="318"/>
      <c r="U99" s="318"/>
      <c r="V99" s="318"/>
      <c r="W99" s="318"/>
      <c r="X99" s="318" t="n">
        <v>-8588931019</v>
      </c>
      <c r="Y99" s="318" t="n">
        <v>-12751438695</v>
      </c>
      <c r="Z99" s="318" t="n">
        <v>-13141943761</v>
      </c>
      <c r="AA99" s="318"/>
      <c r="AB99" s="318"/>
      <c r="AC99" s="318"/>
      <c r="AD99" s="318"/>
      <c r="AE99" s="318" t="n">
        <f aca="false">R99</f>
        <v>0</v>
      </c>
      <c r="AF99" s="318" t="n">
        <f aca="false">S99-R99</f>
        <v>0</v>
      </c>
      <c r="AG99" s="318" t="n">
        <f aca="false">T99-S99</f>
        <v>0</v>
      </c>
      <c r="AH99" s="318" t="n">
        <f aca="false">U99-T99</f>
        <v>0</v>
      </c>
      <c r="AI99" s="318" t="n">
        <f aca="false">V99-U99</f>
        <v>0</v>
      </c>
      <c r="AJ99" s="318" t="n">
        <f aca="false">W99-V99</f>
        <v>0</v>
      </c>
      <c r="AK99" s="318" t="n">
        <f aca="false">X99-W99</f>
        <v>-8588931019</v>
      </c>
      <c r="AL99" s="318" t="n">
        <f aca="false">Y99-X99</f>
        <v>-4162507676</v>
      </c>
      <c r="AM99" s="318" t="n">
        <f aca="false">Z99-Y99</f>
        <v>-390505066</v>
      </c>
      <c r="AN99" s="318" t="s">
        <v>1726</v>
      </c>
      <c r="AO99" s="318" t="n">
        <f aca="false">AB99-AA99</f>
        <v>0</v>
      </c>
      <c r="AP99" s="318" t="n">
        <f aca="false">AC99-AB99</f>
        <v>0</v>
      </c>
      <c r="AR99" s="307" t="str">
        <f aca="false">IFERROR(VLOOKUP(M99,'BS_DEC 2026'!$D$12:$D$109,1,FALSE()),"(미존재)")</f>
        <v>미지급비용</v>
      </c>
    </row>
    <row r="100" customFormat="false" ht="15" hidden="false" customHeight="false" outlineLevel="0" collapsed="false">
      <c r="A100" s="310" t="s">
        <v>493</v>
      </c>
      <c r="B100" s="307" t="n">
        <v>40000851</v>
      </c>
      <c r="C100" s="307" t="s">
        <v>1792</v>
      </c>
      <c r="D100" s="307" t="s">
        <v>1616</v>
      </c>
      <c r="E100" s="307" t="s">
        <v>1684</v>
      </c>
      <c r="F100" s="307" t="s">
        <v>1781</v>
      </c>
      <c r="G100" s="307" t="s">
        <v>1793</v>
      </c>
      <c r="H100" s="307" t="s">
        <v>1536</v>
      </c>
      <c r="I100" s="307" t="s">
        <v>1782</v>
      </c>
      <c r="K100" s="307" t="s">
        <v>1783</v>
      </c>
      <c r="L100" s="317" t="s">
        <v>157</v>
      </c>
      <c r="M100" s="317" t="s">
        <v>171</v>
      </c>
      <c r="N100" s="317" t="s">
        <v>157</v>
      </c>
      <c r="O100" s="317" t="s">
        <v>1689</v>
      </c>
      <c r="P100" s="317" t="s">
        <v>1784</v>
      </c>
      <c r="Q100" s="318" t="n">
        <v>-210450356</v>
      </c>
      <c r="R100" s="318" t="n">
        <v>-153864109</v>
      </c>
      <c r="S100" s="318" t="n">
        <v>-155707347</v>
      </c>
      <c r="T100" s="318" t="n">
        <v>-369320590</v>
      </c>
      <c r="U100" s="318" t="n">
        <v>-100585538</v>
      </c>
      <c r="V100" s="318" t="n">
        <v>-399266002</v>
      </c>
      <c r="W100" s="318" t="n">
        <v>-707398378</v>
      </c>
      <c r="X100" s="318" t="n">
        <v>-1011749990</v>
      </c>
      <c r="Y100" s="318" t="n">
        <v>-1416291883</v>
      </c>
      <c r="Z100" s="318" t="n">
        <v>-1794368419</v>
      </c>
      <c r="AA100" s="318"/>
      <c r="AB100" s="318"/>
      <c r="AC100" s="318"/>
      <c r="AD100" s="318"/>
      <c r="AE100" s="318" t="n">
        <f aca="false">R100</f>
        <v>-153864109</v>
      </c>
      <c r="AF100" s="318" t="n">
        <f aca="false">S100-R100</f>
        <v>-1843238</v>
      </c>
      <c r="AG100" s="318" t="n">
        <f aca="false">T100-S100</f>
        <v>-213613243</v>
      </c>
      <c r="AH100" s="318" t="n">
        <f aca="false">U100-T100</f>
        <v>268735052</v>
      </c>
      <c r="AI100" s="318" t="n">
        <f aca="false">V100-U100</f>
        <v>-298680464</v>
      </c>
      <c r="AJ100" s="318" t="n">
        <f aca="false">W100-V100</f>
        <v>-308132376</v>
      </c>
      <c r="AK100" s="318" t="n">
        <f aca="false">X100-W100</f>
        <v>-304351612</v>
      </c>
      <c r="AL100" s="318" t="n">
        <f aca="false">Y100-X100</f>
        <v>-404541893</v>
      </c>
      <c r="AM100" s="318" t="n">
        <f aca="false">Z100-Y100</f>
        <v>-378076536</v>
      </c>
      <c r="AN100" s="318" t="s">
        <v>1726</v>
      </c>
      <c r="AO100" s="318" t="n">
        <f aca="false">AB100-AA100</f>
        <v>0</v>
      </c>
      <c r="AP100" s="318" t="n">
        <f aca="false">AC100-AB100</f>
        <v>0</v>
      </c>
      <c r="AR100" s="307" t="str">
        <f aca="false">IFERROR(VLOOKUP(M100,'BS_DEC 2026'!$D$12:$D$109,1,FALSE()),"(미존재)")</f>
        <v>미지급비용</v>
      </c>
    </row>
    <row r="101" customFormat="false" ht="15" hidden="false" customHeight="false" outlineLevel="0" collapsed="false">
      <c r="A101" s="310" t="s">
        <v>493</v>
      </c>
      <c r="B101" s="307" t="n">
        <v>40000852</v>
      </c>
      <c r="C101" s="307" t="s">
        <v>1794</v>
      </c>
      <c r="G101" s="307" t="s">
        <v>1686</v>
      </c>
      <c r="H101" s="307" t="s">
        <v>1536</v>
      </c>
      <c r="I101" s="307" t="s">
        <v>1782</v>
      </c>
      <c r="K101" s="307" t="s">
        <v>1783</v>
      </c>
      <c r="L101" s="317" t="s">
        <v>157</v>
      </c>
      <c r="M101" s="317" t="s">
        <v>161</v>
      </c>
      <c r="N101" s="317" t="s">
        <v>157</v>
      </c>
      <c r="O101" s="317" t="s">
        <v>1689</v>
      </c>
      <c r="P101" s="317" t="s">
        <v>1784</v>
      </c>
      <c r="Q101" s="318" t="n">
        <v>0</v>
      </c>
      <c r="R101" s="318" t="n">
        <v>0</v>
      </c>
      <c r="S101" s="318" t="n">
        <v>0</v>
      </c>
      <c r="T101" s="318" t="n">
        <v>0</v>
      </c>
      <c r="U101" s="318" t="n">
        <v>0</v>
      </c>
      <c r="V101" s="318" t="n">
        <v>0</v>
      </c>
      <c r="W101" s="318" t="n">
        <v>0</v>
      </c>
      <c r="X101" s="318" t="n">
        <v>0</v>
      </c>
      <c r="Y101" s="318" t="n">
        <v>0</v>
      </c>
      <c r="Z101" s="318" t="n">
        <v>-8609260</v>
      </c>
      <c r="AA101" s="318"/>
      <c r="AB101" s="318"/>
      <c r="AC101" s="318"/>
      <c r="AD101" s="318"/>
      <c r="AE101" s="318" t="n">
        <f aca="false">R101</f>
        <v>0</v>
      </c>
      <c r="AF101" s="318" t="n">
        <f aca="false">S101-R101</f>
        <v>0</v>
      </c>
      <c r="AG101" s="318" t="n">
        <f aca="false">T101-S101</f>
        <v>0</v>
      </c>
      <c r="AH101" s="318" t="n">
        <f aca="false">U101-T101</f>
        <v>0</v>
      </c>
      <c r="AI101" s="318" t="n">
        <f aca="false">V101-U101</f>
        <v>0</v>
      </c>
      <c r="AJ101" s="318" t="n">
        <f aca="false">W101-V101</f>
        <v>0</v>
      </c>
      <c r="AK101" s="318" t="n">
        <f aca="false">X101-W101</f>
        <v>0</v>
      </c>
      <c r="AL101" s="318" t="n">
        <f aca="false">Y101-X101</f>
        <v>0</v>
      </c>
      <c r="AM101" s="318" t="n">
        <f aca="false">Z101-Y101</f>
        <v>-8609260</v>
      </c>
      <c r="AN101" s="318" t="s">
        <v>1726</v>
      </c>
      <c r="AO101" s="318" t="n">
        <f aca="false">AB101-AA101</f>
        <v>0</v>
      </c>
      <c r="AP101" s="318" t="n">
        <f aca="false">AC101-AB101</f>
        <v>0</v>
      </c>
      <c r="AR101" s="307" t="str">
        <f aca="false">IFERROR(VLOOKUP(M101,'BS_DEC 2026'!$D$12:$D$109,1,FALSE()),"(미존재)")</f>
        <v>매입채무</v>
      </c>
    </row>
    <row r="102" customFormat="false" ht="15" hidden="false" customHeight="false" outlineLevel="0" collapsed="false">
      <c r="A102" s="310" t="s">
        <v>493</v>
      </c>
      <c r="B102" s="307" t="n">
        <v>40100000</v>
      </c>
      <c r="C102" s="307" t="s">
        <v>1795</v>
      </c>
      <c r="D102" s="307" t="s">
        <v>1616</v>
      </c>
      <c r="E102" s="307" t="s">
        <v>1684</v>
      </c>
      <c r="F102" s="307" t="s">
        <v>1781</v>
      </c>
      <c r="G102" s="307" t="s">
        <v>1686</v>
      </c>
      <c r="H102" s="307" t="s">
        <v>1536</v>
      </c>
      <c r="I102" s="307" t="s">
        <v>1687</v>
      </c>
      <c r="K102" s="307" t="s">
        <v>1688</v>
      </c>
      <c r="L102" s="317" t="s">
        <v>157</v>
      </c>
      <c r="M102" s="317" t="s">
        <v>161</v>
      </c>
      <c r="N102" s="317" t="s">
        <v>157</v>
      </c>
      <c r="O102" s="317" t="s">
        <v>1689</v>
      </c>
      <c r="P102" s="317" t="s">
        <v>1784</v>
      </c>
      <c r="Q102" s="318" t="n">
        <v>0</v>
      </c>
      <c r="R102" s="318" t="n">
        <v>-27872461883</v>
      </c>
      <c r="S102" s="318" t="n">
        <v>-9842716629</v>
      </c>
      <c r="T102" s="318" t="n">
        <v>-3722543090</v>
      </c>
      <c r="U102" s="318" t="n">
        <v>-8830333670</v>
      </c>
      <c r="V102" s="318" t="n">
        <v>-39592158887</v>
      </c>
      <c r="W102" s="318" t="n">
        <v>-32461766582</v>
      </c>
      <c r="X102" s="318" t="n">
        <v>-70187431824</v>
      </c>
      <c r="Y102" s="318" t="n">
        <v>-91046530749</v>
      </c>
      <c r="Z102" s="318" t="n">
        <v>-87544156013</v>
      </c>
      <c r="AA102" s="318"/>
      <c r="AB102" s="318"/>
      <c r="AC102" s="318"/>
      <c r="AD102" s="318"/>
      <c r="AE102" s="318" t="n">
        <f aca="false">R102</f>
        <v>-27872461883</v>
      </c>
      <c r="AF102" s="318" t="n">
        <f aca="false">S102-R102</f>
        <v>18029745254</v>
      </c>
      <c r="AG102" s="318" t="n">
        <f aca="false">T102-S102</f>
        <v>6120173539</v>
      </c>
      <c r="AH102" s="318" t="n">
        <f aca="false">U102-T102</f>
        <v>-5107790580</v>
      </c>
      <c r="AI102" s="318" t="n">
        <f aca="false">V102-U102</f>
        <v>-30761825217</v>
      </c>
      <c r="AJ102" s="318" t="n">
        <f aca="false">W102-V102</f>
        <v>7130392305</v>
      </c>
      <c r="AK102" s="318" t="n">
        <f aca="false">X102-W102</f>
        <v>-37725665242</v>
      </c>
      <c r="AL102" s="318" t="n">
        <f aca="false">Y102-X102</f>
        <v>-20859098925</v>
      </c>
      <c r="AM102" s="318" t="n">
        <f aca="false">Z102-Y102</f>
        <v>3502374736</v>
      </c>
      <c r="AN102" s="318" t="s">
        <v>1726</v>
      </c>
      <c r="AO102" s="318" t="n">
        <f aca="false">AB102-AA102</f>
        <v>0</v>
      </c>
      <c r="AP102" s="318" t="n">
        <f aca="false">AC102-AB102</f>
        <v>0</v>
      </c>
      <c r="AR102" s="307" t="str">
        <f aca="false">IFERROR(VLOOKUP(M102,'BS_DEC 2026'!$D$12:$D$109,1,FALSE()),"(미존재)")</f>
        <v>매입채무</v>
      </c>
    </row>
    <row r="103" customFormat="false" ht="15" hidden="false" customHeight="false" outlineLevel="0" collapsed="false">
      <c r="A103" s="310" t="s">
        <v>493</v>
      </c>
      <c r="B103" s="307" t="n">
        <v>40100856</v>
      </c>
      <c r="C103" s="307" t="s">
        <v>1796</v>
      </c>
      <c r="G103" s="307" t="s">
        <v>1686</v>
      </c>
      <c r="H103" s="307" t="s">
        <v>1536</v>
      </c>
      <c r="I103" s="307" t="s">
        <v>1687</v>
      </c>
      <c r="K103" s="307" t="s">
        <v>1688</v>
      </c>
      <c r="L103" s="317" t="s">
        <v>157</v>
      </c>
      <c r="M103" s="317" t="s">
        <v>161</v>
      </c>
      <c r="N103" s="317" t="s">
        <v>157</v>
      </c>
      <c r="O103" s="317" t="s">
        <v>1689</v>
      </c>
      <c r="P103" s="317" t="s">
        <v>1784</v>
      </c>
      <c r="Q103" s="318" t="n">
        <v>0</v>
      </c>
      <c r="R103" s="318" t="n">
        <v>0</v>
      </c>
      <c r="S103" s="318" t="n">
        <v>0</v>
      </c>
      <c r="T103" s="318" t="n">
        <v>0</v>
      </c>
      <c r="U103" s="318" t="n">
        <v>0</v>
      </c>
      <c r="V103" s="318" t="n">
        <v>0</v>
      </c>
      <c r="W103" s="318" t="n">
        <v>0</v>
      </c>
      <c r="X103" s="318" t="n">
        <v>0</v>
      </c>
      <c r="Y103" s="318" t="n">
        <v>0</v>
      </c>
      <c r="Z103" s="318" t="n">
        <v>0</v>
      </c>
      <c r="AA103" s="318"/>
      <c r="AB103" s="318"/>
      <c r="AC103" s="318"/>
      <c r="AD103" s="318"/>
      <c r="AE103" s="318" t="n">
        <f aca="false">R103</f>
        <v>0</v>
      </c>
      <c r="AF103" s="318" t="n">
        <f aca="false">S103-R103</f>
        <v>0</v>
      </c>
      <c r="AG103" s="318" t="n">
        <f aca="false">T103-S103</f>
        <v>0</v>
      </c>
      <c r="AH103" s="318" t="n">
        <f aca="false">U103-T103</f>
        <v>0</v>
      </c>
      <c r="AI103" s="318" t="n">
        <f aca="false">V103-U103</f>
        <v>0</v>
      </c>
      <c r="AJ103" s="318" t="n">
        <f aca="false">W103-V103</f>
        <v>0</v>
      </c>
      <c r="AK103" s="318" t="n">
        <f aca="false">X103-W103</f>
        <v>0</v>
      </c>
      <c r="AL103" s="318" t="n">
        <f aca="false">Y103-X103</f>
        <v>0</v>
      </c>
      <c r="AM103" s="318" t="n">
        <f aca="false">Z103-Y103</f>
        <v>0</v>
      </c>
      <c r="AN103" s="318" t="s">
        <v>1726</v>
      </c>
      <c r="AO103" s="318" t="n">
        <f aca="false">AB103-AA103</f>
        <v>0</v>
      </c>
      <c r="AP103" s="318" t="n">
        <f aca="false">AC103-AB103</f>
        <v>0</v>
      </c>
      <c r="AR103" s="307" t="str">
        <f aca="false">IFERROR(VLOOKUP(M103,'BS_DEC 2026'!$D$12:$D$109,1,FALSE()),"(미존재)")</f>
        <v>매입채무</v>
      </c>
    </row>
    <row r="104" customFormat="false" ht="15" hidden="false" customHeight="false" outlineLevel="0" collapsed="false">
      <c r="A104" s="310" t="s">
        <v>493</v>
      </c>
      <c r="B104" s="307" t="n">
        <v>40500000</v>
      </c>
      <c r="C104" s="307" t="s">
        <v>1797</v>
      </c>
      <c r="D104" s="307" t="s">
        <v>1554</v>
      </c>
      <c r="E104" s="307" t="s">
        <v>1555</v>
      </c>
      <c r="F104" s="307" t="s">
        <v>1798</v>
      </c>
      <c r="G104" s="307" t="s">
        <v>1686</v>
      </c>
      <c r="H104" s="307" t="s">
        <v>1536</v>
      </c>
      <c r="I104" s="307" t="s">
        <v>1782</v>
      </c>
      <c r="K104" s="307" t="s">
        <v>1783</v>
      </c>
      <c r="L104" s="317" t="s">
        <v>728</v>
      </c>
      <c r="M104" s="317" t="s">
        <v>728</v>
      </c>
      <c r="N104" s="317" t="s">
        <v>494</v>
      </c>
      <c r="O104" s="317" t="s">
        <v>1560</v>
      </c>
      <c r="P104" s="317" t="s">
        <v>83</v>
      </c>
      <c r="Q104" s="318" t="n">
        <v>20691651164</v>
      </c>
      <c r="R104" s="318" t="n">
        <v>30433840707</v>
      </c>
      <c r="S104" s="318" t="n">
        <v>25505981853</v>
      </c>
      <c r="T104" s="318" t="n">
        <v>24154739684</v>
      </c>
      <c r="U104" s="318" t="n">
        <v>13962872882</v>
      </c>
      <c r="V104" s="318" t="n">
        <v>47491182298</v>
      </c>
      <c r="W104" s="318" t="n">
        <v>53529456912</v>
      </c>
      <c r="X104" s="318" t="n">
        <v>50203880378</v>
      </c>
      <c r="Y104" s="318" t="n">
        <v>18886915434</v>
      </c>
      <c r="Z104" s="318" t="n">
        <v>17852337563</v>
      </c>
      <c r="AA104" s="318"/>
      <c r="AB104" s="318"/>
      <c r="AC104" s="318"/>
      <c r="AD104" s="318"/>
      <c r="AE104" s="318" t="n">
        <f aca="false">R104</f>
        <v>30433840707</v>
      </c>
      <c r="AF104" s="318" t="n">
        <f aca="false">S104-R104</f>
        <v>-4927858854</v>
      </c>
      <c r="AG104" s="318" t="n">
        <f aca="false">T104-S104</f>
        <v>-1351242169</v>
      </c>
      <c r="AH104" s="318" t="n">
        <f aca="false">U104-T104</f>
        <v>-10191866802</v>
      </c>
      <c r="AI104" s="318" t="n">
        <f aca="false">V104-U104</f>
        <v>33528309416</v>
      </c>
      <c r="AJ104" s="318" t="n">
        <f aca="false">W104-V104</f>
        <v>6038274614</v>
      </c>
      <c r="AK104" s="318" t="n">
        <f aca="false">X104-W104</f>
        <v>-3325576534</v>
      </c>
      <c r="AL104" s="318" t="n">
        <f aca="false">Y104-X104</f>
        <v>-31316964944</v>
      </c>
      <c r="AM104" s="318" t="n">
        <f aca="false">Z104-Y104</f>
        <v>-1034577871</v>
      </c>
      <c r="AN104" s="318" t="s">
        <v>1726</v>
      </c>
      <c r="AO104" s="318" t="n">
        <f aca="false">AB104-AA104</f>
        <v>0</v>
      </c>
      <c r="AP104" s="318" t="n">
        <f aca="false">AC104-AB104</f>
        <v>0</v>
      </c>
    </row>
    <row r="105" customFormat="false" ht="15" hidden="false" customHeight="false" outlineLevel="0" collapsed="false">
      <c r="A105" s="310" t="s">
        <v>493</v>
      </c>
      <c r="B105" s="307" t="n">
        <v>40500001</v>
      </c>
      <c r="C105" s="307" t="s">
        <v>1799</v>
      </c>
      <c r="D105" s="307" t="s">
        <v>1554</v>
      </c>
      <c r="E105" s="307" t="s">
        <v>1555</v>
      </c>
      <c r="F105" s="307" t="s">
        <v>1798</v>
      </c>
      <c r="G105" s="307" t="s">
        <v>1686</v>
      </c>
      <c r="H105" s="307" t="s">
        <v>1536</v>
      </c>
      <c r="I105" s="307" t="s">
        <v>1782</v>
      </c>
      <c r="K105" s="307" t="s">
        <v>1783</v>
      </c>
      <c r="L105" s="317" t="s">
        <v>494</v>
      </c>
      <c r="M105" s="317" t="s">
        <v>83</v>
      </c>
      <c r="N105" s="317" t="s">
        <v>494</v>
      </c>
      <c r="O105" s="317" t="s">
        <v>1560</v>
      </c>
      <c r="P105" s="317" t="s">
        <v>83</v>
      </c>
      <c r="Q105" s="318" t="n">
        <v>20691651164</v>
      </c>
      <c r="R105" s="318" t="n">
        <v>30433840707</v>
      </c>
      <c r="S105" s="318" t="n">
        <v>25505981853</v>
      </c>
      <c r="T105" s="318" t="n">
        <v>24154739684</v>
      </c>
      <c r="U105" s="318" t="n">
        <v>13962872882</v>
      </c>
      <c r="V105" s="318" t="n">
        <v>47491182298</v>
      </c>
      <c r="W105" s="318" t="n">
        <v>53529456912</v>
      </c>
      <c r="X105" s="318" t="n">
        <v>50203880378</v>
      </c>
      <c r="Y105" s="318" t="n">
        <v>18886915434</v>
      </c>
      <c r="Z105" s="318" t="n">
        <v>17852337563</v>
      </c>
      <c r="AA105" s="318"/>
      <c r="AB105" s="318"/>
      <c r="AC105" s="318"/>
      <c r="AD105" s="318"/>
      <c r="AE105" s="318" t="n">
        <f aca="false">R105</f>
        <v>30433840707</v>
      </c>
      <c r="AF105" s="318" t="n">
        <f aca="false">S105-R105</f>
        <v>-4927858854</v>
      </c>
      <c r="AG105" s="318" t="n">
        <f aca="false">T105-S105</f>
        <v>-1351242169</v>
      </c>
      <c r="AH105" s="318" t="n">
        <f aca="false">U105-T105</f>
        <v>-10191866802</v>
      </c>
      <c r="AI105" s="318" t="n">
        <f aca="false">V105-U105</f>
        <v>33528309416</v>
      </c>
      <c r="AJ105" s="318" t="n">
        <f aca="false">W105-V105</f>
        <v>6038274614</v>
      </c>
      <c r="AK105" s="318" t="n">
        <f aca="false">X105-W105</f>
        <v>-3325576534</v>
      </c>
      <c r="AL105" s="318" t="n">
        <f aca="false">Y105-X105</f>
        <v>-31316964944</v>
      </c>
      <c r="AM105" s="318" t="n">
        <f aca="false">Z105-Y105</f>
        <v>-1034577871</v>
      </c>
      <c r="AN105" s="318" t="s">
        <v>1726</v>
      </c>
      <c r="AO105" s="318" t="n">
        <f aca="false">AB105-AA105</f>
        <v>0</v>
      </c>
      <c r="AP105" s="318" t="n">
        <f aca="false">AC105-AB105</f>
        <v>0</v>
      </c>
    </row>
    <row r="106" customFormat="false" ht="15" hidden="false" customHeight="false" outlineLevel="0" collapsed="false">
      <c r="A106" s="310" t="s">
        <v>493</v>
      </c>
      <c r="B106" s="307" t="n">
        <v>40500002</v>
      </c>
      <c r="C106" s="307" t="s">
        <v>1800</v>
      </c>
      <c r="D106" s="307" t="s">
        <v>1616</v>
      </c>
      <c r="E106" s="307" t="s">
        <v>1684</v>
      </c>
      <c r="F106" s="307" t="s">
        <v>1781</v>
      </c>
      <c r="G106" s="307" t="s">
        <v>1686</v>
      </c>
      <c r="H106" s="307" t="s">
        <v>1536</v>
      </c>
      <c r="I106" s="307" t="s">
        <v>1782</v>
      </c>
      <c r="K106" s="307" t="s">
        <v>1783</v>
      </c>
      <c r="L106" s="317" t="s">
        <v>157</v>
      </c>
      <c r="M106" s="317" t="s">
        <v>161</v>
      </c>
      <c r="N106" s="317" t="s">
        <v>157</v>
      </c>
      <c r="O106" s="317" t="s">
        <v>1689</v>
      </c>
      <c r="P106" s="317" t="s">
        <v>161</v>
      </c>
      <c r="Q106" s="318" t="n">
        <v>-1386404</v>
      </c>
      <c r="R106" s="318" t="n">
        <v>-5652388</v>
      </c>
      <c r="S106" s="318" t="n">
        <v>-1386404</v>
      </c>
      <c r="T106" s="318" t="n">
        <v>-39737058</v>
      </c>
      <c r="U106" s="318" t="n">
        <v>-92248005</v>
      </c>
      <c r="V106" s="318" t="n">
        <v>-398087752</v>
      </c>
      <c r="W106" s="318" t="n">
        <v>-340397392</v>
      </c>
      <c r="X106" s="318" t="n">
        <v>-458314185</v>
      </c>
      <c r="Y106" s="318" t="n">
        <v>-459632895</v>
      </c>
      <c r="Z106" s="318" t="n">
        <v>-360236150</v>
      </c>
      <c r="AA106" s="318"/>
      <c r="AB106" s="318"/>
      <c r="AC106" s="318"/>
      <c r="AD106" s="318"/>
      <c r="AE106" s="318" t="n">
        <f aca="false">R106</f>
        <v>-5652388</v>
      </c>
      <c r="AF106" s="318" t="n">
        <f aca="false">S106-R106</f>
        <v>4265984</v>
      </c>
      <c r="AG106" s="318" t="n">
        <f aca="false">T106-S106</f>
        <v>-38350654</v>
      </c>
      <c r="AH106" s="318" t="n">
        <f aca="false">U106-T106</f>
        <v>-52510947</v>
      </c>
      <c r="AI106" s="318" t="n">
        <f aca="false">V106-U106</f>
        <v>-305839747</v>
      </c>
      <c r="AJ106" s="318" t="n">
        <f aca="false">W106-V106</f>
        <v>57690360</v>
      </c>
      <c r="AK106" s="318" t="n">
        <f aca="false">X106-W106</f>
        <v>-117916793</v>
      </c>
      <c r="AL106" s="318" t="n">
        <f aca="false">Y106-X106</f>
        <v>-1318710</v>
      </c>
      <c r="AM106" s="318" t="n">
        <f aca="false">Z106-Y106</f>
        <v>99396745</v>
      </c>
      <c r="AN106" s="318" t="s">
        <v>1726</v>
      </c>
      <c r="AO106" s="318" t="n">
        <f aca="false">AB106-AA106</f>
        <v>0</v>
      </c>
      <c r="AP106" s="318" t="n">
        <f aca="false">AC106-AB106</f>
        <v>0</v>
      </c>
    </row>
    <row r="107" customFormat="false" ht="15" hidden="false" customHeight="false" outlineLevel="0" collapsed="false">
      <c r="A107" s="310" t="s">
        <v>493</v>
      </c>
      <c r="B107" s="307" t="n">
        <v>40500003</v>
      </c>
      <c r="C107" s="307" t="s">
        <v>1801</v>
      </c>
      <c r="D107" s="307" t="s">
        <v>1554</v>
      </c>
      <c r="E107" s="307" t="s">
        <v>1555</v>
      </c>
      <c r="F107" s="307" t="s">
        <v>1798</v>
      </c>
      <c r="G107" s="307" t="s">
        <v>1686</v>
      </c>
      <c r="H107" s="307" t="s">
        <v>1536</v>
      </c>
      <c r="I107" s="307" t="s">
        <v>1782</v>
      </c>
      <c r="K107" s="307" t="s">
        <v>1783</v>
      </c>
      <c r="L107" s="317" t="s">
        <v>728</v>
      </c>
      <c r="M107" s="317" t="s">
        <v>728</v>
      </c>
      <c r="N107" s="317" t="s">
        <v>494</v>
      </c>
      <c r="O107" s="317" t="s">
        <v>1560</v>
      </c>
      <c r="P107" s="317" t="s">
        <v>83</v>
      </c>
      <c r="Q107" s="318" t="n">
        <v>-20690264760</v>
      </c>
      <c r="R107" s="318" t="n">
        <v>-30428188319</v>
      </c>
      <c r="S107" s="318" t="n">
        <v>-25504595449</v>
      </c>
      <c r="T107" s="318" t="n">
        <v>-24115002626</v>
      </c>
      <c r="U107" s="318" t="n">
        <v>-13870624877</v>
      </c>
      <c r="V107" s="318" t="n">
        <v>-47093094546</v>
      </c>
      <c r="W107" s="318" t="n">
        <v>-53189059520</v>
      </c>
      <c r="X107" s="318" t="n">
        <v>-49745566193</v>
      </c>
      <c r="Y107" s="318" t="n">
        <v>-18427282539</v>
      </c>
      <c r="Z107" s="318" t="n">
        <v>-17492101413</v>
      </c>
      <c r="AA107" s="318"/>
      <c r="AB107" s="318"/>
      <c r="AC107" s="318"/>
      <c r="AD107" s="318"/>
      <c r="AE107" s="318" t="n">
        <f aca="false">R107</f>
        <v>-30428188319</v>
      </c>
      <c r="AF107" s="318" t="n">
        <f aca="false">S107-R107</f>
        <v>4923592870</v>
      </c>
      <c r="AG107" s="318" t="n">
        <f aca="false">T107-S107</f>
        <v>1389592823</v>
      </c>
      <c r="AH107" s="318" t="n">
        <f aca="false">U107-T107</f>
        <v>10244377749</v>
      </c>
      <c r="AI107" s="318" t="n">
        <f aca="false">V107-U107</f>
        <v>-33222469669</v>
      </c>
      <c r="AJ107" s="318" t="n">
        <f aca="false">W107-V107</f>
        <v>-6095964974</v>
      </c>
      <c r="AK107" s="318" t="n">
        <f aca="false">X107-W107</f>
        <v>3443493327</v>
      </c>
      <c r="AL107" s="318" t="n">
        <f aca="false">Y107-X107</f>
        <v>31318283654</v>
      </c>
      <c r="AM107" s="318" t="n">
        <f aca="false">Z107-Y107</f>
        <v>935181126</v>
      </c>
      <c r="AN107" s="318" t="s">
        <v>1726</v>
      </c>
      <c r="AO107" s="318" t="n">
        <f aca="false">AB107-AA107</f>
        <v>0</v>
      </c>
      <c r="AP107" s="318" t="n">
        <f aca="false">AC107-AB107</f>
        <v>0</v>
      </c>
    </row>
    <row r="108" customFormat="false" ht="15" hidden="false" customHeight="false" outlineLevel="0" collapsed="false">
      <c r="A108" s="310" t="s">
        <v>493</v>
      </c>
      <c r="B108" s="307" t="n">
        <v>40500004</v>
      </c>
      <c r="C108" s="307" t="s">
        <v>1802</v>
      </c>
      <c r="D108" s="307" t="s">
        <v>1554</v>
      </c>
      <c r="E108" s="307" t="s">
        <v>1555</v>
      </c>
      <c r="F108" s="307" t="s">
        <v>1798</v>
      </c>
      <c r="G108" s="307" t="s">
        <v>1686</v>
      </c>
      <c r="H108" s="307" t="s">
        <v>1536</v>
      </c>
      <c r="I108" s="307" t="s">
        <v>1782</v>
      </c>
      <c r="K108" s="307" t="s">
        <v>1783</v>
      </c>
      <c r="L108" s="317" t="s">
        <v>728</v>
      </c>
      <c r="M108" s="317" t="s">
        <v>728</v>
      </c>
      <c r="N108" s="317" t="s">
        <v>494</v>
      </c>
      <c r="O108" s="317" t="s">
        <v>1560</v>
      </c>
      <c r="P108" s="317" t="s">
        <v>83</v>
      </c>
      <c r="Q108" s="318" t="n">
        <v>-1149824</v>
      </c>
      <c r="R108" s="318" t="n">
        <v>-1149824</v>
      </c>
      <c r="S108" s="318" t="n">
        <v>-1149824</v>
      </c>
      <c r="T108" s="318" t="n">
        <v>-31085767</v>
      </c>
      <c r="U108" s="318" t="n">
        <v>-92248005</v>
      </c>
      <c r="V108" s="318" t="n">
        <v>-398087752</v>
      </c>
      <c r="W108" s="318" t="n">
        <v>-340397392</v>
      </c>
      <c r="X108" s="318" t="n">
        <v>-458314185</v>
      </c>
      <c r="Y108" s="318" t="n">
        <v>-459632895</v>
      </c>
      <c r="Z108" s="318" t="n">
        <v>-360236150</v>
      </c>
      <c r="AA108" s="318"/>
      <c r="AB108" s="318"/>
      <c r="AC108" s="318"/>
      <c r="AD108" s="318"/>
      <c r="AE108" s="318" t="n">
        <f aca="false">R108</f>
        <v>-1149824</v>
      </c>
      <c r="AF108" s="318" t="n">
        <f aca="false">S108-R108</f>
        <v>0</v>
      </c>
      <c r="AG108" s="318" t="n">
        <f aca="false">T108-S108</f>
        <v>-29935943</v>
      </c>
      <c r="AH108" s="318" t="n">
        <f aca="false">U108-T108</f>
        <v>-61162238</v>
      </c>
      <c r="AI108" s="318" t="n">
        <f aca="false">V108-U108</f>
        <v>-305839747</v>
      </c>
      <c r="AJ108" s="318" t="n">
        <f aca="false">W108-V108</f>
        <v>57690360</v>
      </c>
      <c r="AK108" s="318" t="n">
        <f aca="false">X108-W108</f>
        <v>-117916793</v>
      </c>
      <c r="AL108" s="318" t="n">
        <f aca="false">Y108-X108</f>
        <v>-1318710</v>
      </c>
      <c r="AM108" s="318" t="n">
        <f aca="false">Z108-Y108</f>
        <v>99396745</v>
      </c>
      <c r="AN108" s="318" t="s">
        <v>1726</v>
      </c>
      <c r="AO108" s="318" t="n">
        <f aca="false">AB108-AA108</f>
        <v>0</v>
      </c>
      <c r="AP108" s="318" t="n">
        <f aca="false">AC108-AB108</f>
        <v>0</v>
      </c>
    </row>
    <row r="109" customFormat="false" ht="15" hidden="false" customHeight="false" outlineLevel="0" collapsed="false">
      <c r="A109" s="310" t="s">
        <v>493</v>
      </c>
      <c r="B109" s="307" t="n">
        <v>40500005</v>
      </c>
      <c r="C109" s="307" t="s">
        <v>1803</v>
      </c>
      <c r="D109" s="307" t="s">
        <v>1554</v>
      </c>
      <c r="E109" s="307" t="s">
        <v>1555</v>
      </c>
      <c r="F109" s="307" t="s">
        <v>1798</v>
      </c>
      <c r="G109" s="307" t="s">
        <v>1686</v>
      </c>
      <c r="H109" s="307" t="s">
        <v>1536</v>
      </c>
      <c r="I109" s="307" t="s">
        <v>1782</v>
      </c>
      <c r="K109" s="307" t="s">
        <v>1783</v>
      </c>
      <c r="L109" s="317" t="s">
        <v>728</v>
      </c>
      <c r="M109" s="317" t="s">
        <v>728</v>
      </c>
      <c r="N109" s="317" t="s">
        <v>494</v>
      </c>
      <c r="O109" s="317" t="s">
        <v>1560</v>
      </c>
      <c r="P109" s="317" t="s">
        <v>83</v>
      </c>
      <c r="Q109" s="318" t="n">
        <v>-1871052780</v>
      </c>
      <c r="R109" s="318" t="n">
        <v>-2793603966</v>
      </c>
      <c r="S109" s="318" t="n">
        <v>-2863924326</v>
      </c>
      <c r="T109" s="318" t="n">
        <v>-2355759888</v>
      </c>
      <c r="U109" s="318" t="n">
        <v>-1771064581</v>
      </c>
      <c r="V109" s="318" t="n">
        <v>-1575994011</v>
      </c>
      <c r="W109" s="318" t="n">
        <v>-1986781887</v>
      </c>
      <c r="X109" s="318" t="n">
        <v>-1704132566</v>
      </c>
      <c r="Y109" s="318" t="n">
        <v>-1665064635</v>
      </c>
      <c r="Z109" s="318" t="n">
        <v>-1864310651</v>
      </c>
      <c r="AA109" s="318"/>
      <c r="AB109" s="318"/>
      <c r="AC109" s="318"/>
      <c r="AD109" s="318"/>
      <c r="AE109" s="318" t="n">
        <f aca="false">R109</f>
        <v>-2793603966</v>
      </c>
      <c r="AF109" s="318" t="n">
        <f aca="false">S109-R109</f>
        <v>-70320360</v>
      </c>
      <c r="AG109" s="318" t="n">
        <f aca="false">T109-S109</f>
        <v>508164438</v>
      </c>
      <c r="AH109" s="318" t="n">
        <f aca="false">U109-T109</f>
        <v>584695307</v>
      </c>
      <c r="AI109" s="318" t="n">
        <f aca="false">V109-U109</f>
        <v>195070570</v>
      </c>
      <c r="AJ109" s="318" t="n">
        <f aca="false">W109-V109</f>
        <v>-410787876</v>
      </c>
      <c r="AK109" s="318" t="n">
        <f aca="false">X109-W109</f>
        <v>282649321</v>
      </c>
      <c r="AL109" s="318" t="n">
        <f aca="false">Y109-X109</f>
        <v>39067931</v>
      </c>
      <c r="AM109" s="318" t="n">
        <f aca="false">Z109-Y109</f>
        <v>-199246016</v>
      </c>
      <c r="AN109" s="318" t="s">
        <v>1726</v>
      </c>
      <c r="AO109" s="318" t="n">
        <f aca="false">AB109-AA109</f>
        <v>0</v>
      </c>
      <c r="AP109" s="318" t="n">
        <f aca="false">AC109-AB109</f>
        <v>0</v>
      </c>
    </row>
    <row r="110" customFormat="false" ht="15" hidden="false" customHeight="false" outlineLevel="0" collapsed="false">
      <c r="A110" s="310" t="s">
        <v>493</v>
      </c>
      <c r="B110" s="307" t="n">
        <v>40500006</v>
      </c>
      <c r="C110" s="307" t="s">
        <v>1804</v>
      </c>
      <c r="D110" s="307" t="s">
        <v>1554</v>
      </c>
      <c r="E110" s="307" t="s">
        <v>1555</v>
      </c>
      <c r="F110" s="307" t="s">
        <v>1798</v>
      </c>
      <c r="G110" s="307" t="s">
        <v>1686</v>
      </c>
      <c r="H110" s="307" t="s">
        <v>1536</v>
      </c>
      <c r="I110" s="307" t="s">
        <v>1782</v>
      </c>
      <c r="K110" s="307" t="s">
        <v>1783</v>
      </c>
      <c r="L110" s="317" t="s">
        <v>494</v>
      </c>
      <c r="M110" s="317" t="s">
        <v>45</v>
      </c>
      <c r="N110" s="317" t="s">
        <v>494</v>
      </c>
      <c r="O110" s="317" t="s">
        <v>1560</v>
      </c>
      <c r="P110" s="317" t="s">
        <v>83</v>
      </c>
      <c r="Q110" s="318" t="n">
        <v>46265404</v>
      </c>
      <c r="R110" s="318" t="n">
        <v>29171042</v>
      </c>
      <c r="S110" s="318" t="n">
        <v>-307368883</v>
      </c>
      <c r="T110" s="318" t="n">
        <v>-437897642</v>
      </c>
      <c r="U110" s="318" t="n">
        <v>-61444164</v>
      </c>
      <c r="V110" s="318" t="n">
        <v>20045920</v>
      </c>
      <c r="W110" s="318" t="n">
        <v>90481470</v>
      </c>
      <c r="X110" s="318" t="n">
        <v>35242607</v>
      </c>
      <c r="Y110" s="318" t="n">
        <v>-84151472</v>
      </c>
      <c r="Z110" s="318" t="n">
        <v>-65382929</v>
      </c>
      <c r="AA110" s="318"/>
      <c r="AB110" s="318"/>
      <c r="AC110" s="318"/>
      <c r="AD110" s="318"/>
      <c r="AE110" s="318" t="n">
        <f aca="false">R110</f>
        <v>29171042</v>
      </c>
      <c r="AF110" s="318" t="n">
        <f aca="false">S110-R110</f>
        <v>-336539925</v>
      </c>
      <c r="AG110" s="318" t="n">
        <f aca="false">T110-S110</f>
        <v>-130528759</v>
      </c>
      <c r="AH110" s="318" t="n">
        <f aca="false">U110-T110</f>
        <v>376453478</v>
      </c>
      <c r="AI110" s="318" t="n">
        <f aca="false">V110-U110</f>
        <v>81490084</v>
      </c>
      <c r="AJ110" s="318" t="n">
        <f aca="false">W110-V110</f>
        <v>70435550</v>
      </c>
      <c r="AK110" s="318" t="n">
        <f aca="false">X110-W110</f>
        <v>-55238863</v>
      </c>
      <c r="AL110" s="318" t="n">
        <f aca="false">Y110-X110</f>
        <v>-119394079</v>
      </c>
      <c r="AM110" s="318" t="n">
        <f aca="false">Z110-Y110</f>
        <v>18768543</v>
      </c>
      <c r="AN110" s="318" t="s">
        <v>1726</v>
      </c>
      <c r="AO110" s="318" t="n">
        <f aca="false">AB110-AA110</f>
        <v>0</v>
      </c>
      <c r="AP110" s="318" t="n">
        <f aca="false">AC110-AB110</f>
        <v>0</v>
      </c>
      <c r="AR110" s="307" t="str">
        <f aca="false">IFERROR(VLOOKUP(M110,'BS_DEC 2026'!$D$12:$D$109,1,FALSE()),"(미존재)")</f>
        <v>선급금</v>
      </c>
    </row>
    <row r="111" customFormat="false" ht="15" hidden="false" customHeight="false" outlineLevel="0" collapsed="false">
      <c r="A111" s="310" t="s">
        <v>493</v>
      </c>
      <c r="B111" s="307" t="n">
        <v>40500007</v>
      </c>
      <c r="C111" s="307" t="s">
        <v>1805</v>
      </c>
      <c r="D111" s="307" t="s">
        <v>1616</v>
      </c>
      <c r="E111" s="307" t="s">
        <v>1684</v>
      </c>
      <c r="F111" s="307" t="s">
        <v>1790</v>
      </c>
      <c r="G111" s="307" t="s">
        <v>1686</v>
      </c>
      <c r="H111" s="307" t="s">
        <v>1536</v>
      </c>
      <c r="I111" s="307" t="s">
        <v>1782</v>
      </c>
      <c r="K111" s="307" t="s">
        <v>1783</v>
      </c>
      <c r="L111" s="317" t="s">
        <v>157</v>
      </c>
      <c r="M111" s="317" t="s">
        <v>165</v>
      </c>
      <c r="N111" s="317" t="s">
        <v>157</v>
      </c>
      <c r="O111" s="317" t="s">
        <v>1689</v>
      </c>
      <c r="P111" s="317" t="s">
        <v>165</v>
      </c>
      <c r="Q111" s="318" t="n">
        <v>-1917318184</v>
      </c>
      <c r="R111" s="318" t="n">
        <v>-2822775008</v>
      </c>
      <c r="S111" s="318" t="n">
        <v>-2556555443</v>
      </c>
      <c r="T111" s="318" t="n">
        <v>-1917862246</v>
      </c>
      <c r="U111" s="318" t="n">
        <v>-1709620417</v>
      </c>
      <c r="V111" s="318" t="n">
        <v>-1596039931</v>
      </c>
      <c r="W111" s="318" t="n">
        <v>-2077263357</v>
      </c>
      <c r="X111" s="318" t="n">
        <v>-1739375173</v>
      </c>
      <c r="Y111" s="318" t="n">
        <v>-1580913163</v>
      </c>
      <c r="Z111" s="318" t="n">
        <v>-1798927722</v>
      </c>
      <c r="AA111" s="318"/>
      <c r="AB111" s="318"/>
      <c r="AC111" s="318"/>
      <c r="AD111" s="318"/>
      <c r="AE111" s="318" t="n">
        <f aca="false">R111</f>
        <v>-2822775008</v>
      </c>
      <c r="AF111" s="318" t="n">
        <f aca="false">S111-R111</f>
        <v>266219565</v>
      </c>
      <c r="AG111" s="318" t="n">
        <f aca="false">T111-S111</f>
        <v>638693197</v>
      </c>
      <c r="AH111" s="318" t="n">
        <f aca="false">U111-T111</f>
        <v>208241829</v>
      </c>
      <c r="AI111" s="318" t="n">
        <f aca="false">V111-U111</f>
        <v>113580486</v>
      </c>
      <c r="AJ111" s="318" t="n">
        <f aca="false">W111-V111</f>
        <v>-481223426</v>
      </c>
      <c r="AK111" s="318" t="n">
        <f aca="false">X111-W111</f>
        <v>337888184</v>
      </c>
      <c r="AL111" s="318" t="n">
        <f aca="false">Y111-X111</f>
        <v>158462010</v>
      </c>
      <c r="AM111" s="318" t="n">
        <f aca="false">Z111-Y111</f>
        <v>-218014559</v>
      </c>
      <c r="AN111" s="318" t="s">
        <v>1726</v>
      </c>
      <c r="AO111" s="318" t="n">
        <f aca="false">AB111-AA111</f>
        <v>0</v>
      </c>
      <c r="AP111" s="318" t="n">
        <f aca="false">AC111-AB111</f>
        <v>0</v>
      </c>
      <c r="AR111" s="307" t="str">
        <f aca="false">IFERROR(VLOOKUP(M111,'BS_DEC 2026'!$D$12:$D$109,1,FALSE()),"(미존재)")</f>
        <v>미지급금</v>
      </c>
    </row>
    <row r="112" customFormat="false" ht="15" hidden="false" customHeight="false" outlineLevel="0" collapsed="false">
      <c r="A112" s="310" t="s">
        <v>493</v>
      </c>
      <c r="B112" s="307" t="n">
        <v>40500008</v>
      </c>
      <c r="C112" s="307" t="s">
        <v>1806</v>
      </c>
      <c r="D112" s="307" t="s">
        <v>1554</v>
      </c>
      <c r="E112" s="307" t="s">
        <v>1555</v>
      </c>
      <c r="F112" s="307" t="s">
        <v>1798</v>
      </c>
      <c r="G112" s="307" t="s">
        <v>1686</v>
      </c>
      <c r="H112" s="307" t="s">
        <v>1536</v>
      </c>
      <c r="I112" s="307" t="s">
        <v>1782</v>
      </c>
      <c r="K112" s="307" t="s">
        <v>1783</v>
      </c>
      <c r="L112" s="317" t="s">
        <v>728</v>
      </c>
      <c r="M112" s="317" t="s">
        <v>728</v>
      </c>
      <c r="N112" s="317" t="s">
        <v>494</v>
      </c>
      <c r="O112" s="317" t="s">
        <v>1560</v>
      </c>
      <c r="P112" s="317" t="s">
        <v>83</v>
      </c>
      <c r="Q112" s="318" t="n">
        <v>1871052780</v>
      </c>
      <c r="R112" s="318" t="n">
        <v>2793603966</v>
      </c>
      <c r="S112" s="318" t="n">
        <v>2863924326</v>
      </c>
      <c r="T112" s="318" t="n">
        <v>2355759888</v>
      </c>
      <c r="U112" s="318" t="n">
        <v>1771064581</v>
      </c>
      <c r="V112" s="318" t="n">
        <v>1575994011</v>
      </c>
      <c r="W112" s="318" t="n">
        <v>1986781887</v>
      </c>
      <c r="X112" s="318" t="n">
        <v>1704132566</v>
      </c>
      <c r="Y112" s="318" t="n">
        <v>1665064635</v>
      </c>
      <c r="Z112" s="318" t="n">
        <v>1864310651</v>
      </c>
      <c r="AA112" s="318"/>
      <c r="AB112" s="318"/>
      <c r="AC112" s="318"/>
      <c r="AD112" s="318"/>
      <c r="AE112" s="318" t="n">
        <f aca="false">R112</f>
        <v>2793603966</v>
      </c>
      <c r="AF112" s="318" t="n">
        <f aca="false">S112-R112</f>
        <v>70320360</v>
      </c>
      <c r="AG112" s="318" t="n">
        <f aca="false">T112-S112</f>
        <v>-508164438</v>
      </c>
      <c r="AH112" s="318" t="n">
        <f aca="false">U112-T112</f>
        <v>-584695307</v>
      </c>
      <c r="AI112" s="318" t="n">
        <f aca="false">V112-U112</f>
        <v>-195070570</v>
      </c>
      <c r="AJ112" s="318" t="n">
        <f aca="false">W112-V112</f>
        <v>410787876</v>
      </c>
      <c r="AK112" s="318" t="n">
        <f aca="false">X112-W112</f>
        <v>-282649321</v>
      </c>
      <c r="AL112" s="318" t="n">
        <f aca="false">Y112-X112</f>
        <v>-39067931</v>
      </c>
      <c r="AM112" s="318" t="n">
        <f aca="false">Z112-Y112</f>
        <v>199246016</v>
      </c>
      <c r="AN112" s="318" t="s">
        <v>1726</v>
      </c>
      <c r="AO112" s="318" t="n">
        <f aca="false">AB112-AA112</f>
        <v>0</v>
      </c>
      <c r="AP112" s="318" t="n">
        <f aca="false">AC112-AB112</f>
        <v>0</v>
      </c>
    </row>
    <row r="113" customFormat="false" ht="15" hidden="false" customHeight="false" outlineLevel="0" collapsed="false">
      <c r="A113" s="310" t="s">
        <v>493</v>
      </c>
      <c r="B113" s="307" t="n">
        <v>40500009</v>
      </c>
      <c r="C113" s="307" t="s">
        <v>1807</v>
      </c>
      <c r="D113" s="307" t="s">
        <v>1554</v>
      </c>
      <c r="E113" s="307" t="s">
        <v>1555</v>
      </c>
      <c r="F113" s="307" t="s">
        <v>1798</v>
      </c>
      <c r="G113" s="307" t="s">
        <v>1686</v>
      </c>
      <c r="H113" s="307" t="s">
        <v>1536</v>
      </c>
      <c r="I113" s="307" t="s">
        <v>1782</v>
      </c>
      <c r="K113" s="307" t="s">
        <v>1783</v>
      </c>
      <c r="L113" s="317" t="s">
        <v>728</v>
      </c>
      <c r="M113" s="317" t="s">
        <v>728</v>
      </c>
      <c r="N113" s="317" t="s">
        <v>494</v>
      </c>
      <c r="O113" s="317" t="s">
        <v>1560</v>
      </c>
      <c r="P113" s="317" t="s">
        <v>83</v>
      </c>
      <c r="Q113" s="318" t="n">
        <v>-236580</v>
      </c>
      <c r="R113" s="318" t="n">
        <v>-4502564</v>
      </c>
      <c r="S113" s="318" t="n">
        <v>-236580</v>
      </c>
      <c r="T113" s="318" t="n">
        <v>-8651291</v>
      </c>
      <c r="U113" s="318" t="n">
        <v>0</v>
      </c>
      <c r="V113" s="318" t="n">
        <v>0</v>
      </c>
      <c r="W113" s="318" t="n">
        <v>0</v>
      </c>
      <c r="X113" s="318" t="n">
        <v>0</v>
      </c>
      <c r="Y113" s="318" t="n">
        <v>0</v>
      </c>
      <c r="Z113" s="318" t="n">
        <v>0</v>
      </c>
      <c r="AA113" s="318"/>
      <c r="AB113" s="318"/>
      <c r="AC113" s="318"/>
      <c r="AD113" s="318"/>
      <c r="AE113" s="318" t="n">
        <f aca="false">R113</f>
        <v>-4502564</v>
      </c>
      <c r="AF113" s="318" t="n">
        <f aca="false">S113-R113</f>
        <v>4265984</v>
      </c>
      <c r="AG113" s="318" t="n">
        <f aca="false">T113-S113</f>
        <v>-8414711</v>
      </c>
      <c r="AH113" s="318" t="n">
        <f aca="false">U113-T113</f>
        <v>8651291</v>
      </c>
      <c r="AI113" s="318" t="n">
        <f aca="false">V113-U113</f>
        <v>0</v>
      </c>
      <c r="AJ113" s="318" t="n">
        <f aca="false">W113-V113</f>
        <v>0</v>
      </c>
      <c r="AK113" s="318" t="n">
        <f aca="false">X113-W113</f>
        <v>0</v>
      </c>
      <c r="AL113" s="318" t="n">
        <f aca="false">Y113-X113</f>
        <v>0</v>
      </c>
      <c r="AM113" s="318" t="n">
        <f aca="false">Z113-Y113</f>
        <v>0</v>
      </c>
      <c r="AN113" s="318" t="s">
        <v>1726</v>
      </c>
      <c r="AO113" s="318" t="n">
        <f aca="false">AB113-AA113</f>
        <v>0</v>
      </c>
      <c r="AP113" s="318" t="n">
        <f aca="false">AC113-AB113</f>
        <v>0</v>
      </c>
      <c r="AR113" s="307" t="str">
        <f aca="false">IFERROR(VLOOKUP(M113,'BS_DEC 2026'!$D$12:$D$109,1,FALSE()),"(미존재)")</f>
        <v>(미존재)</v>
      </c>
    </row>
    <row r="114" customFormat="false" ht="15" hidden="false" customHeight="false" outlineLevel="0" collapsed="false">
      <c r="A114" s="310" t="s">
        <v>493</v>
      </c>
      <c r="B114" s="307" t="n">
        <v>40500017</v>
      </c>
      <c r="C114" s="307" t="s">
        <v>1808</v>
      </c>
      <c r="D114" s="307" t="s">
        <v>1554</v>
      </c>
      <c r="E114" s="307" t="s">
        <v>1555</v>
      </c>
      <c r="F114" s="307" t="s">
        <v>1798</v>
      </c>
      <c r="G114" s="307" t="s">
        <v>1682</v>
      </c>
      <c r="H114" s="307" t="s">
        <v>1536</v>
      </c>
      <c r="I114" s="307" t="s">
        <v>1782</v>
      </c>
      <c r="K114" s="307" t="s">
        <v>1783</v>
      </c>
      <c r="L114" s="317" t="s">
        <v>494</v>
      </c>
      <c r="M114" s="317" t="s">
        <v>83</v>
      </c>
      <c r="N114" s="317" t="s">
        <v>494</v>
      </c>
      <c r="O114" s="317" t="s">
        <v>1560</v>
      </c>
      <c r="P114" s="317" t="s">
        <v>83</v>
      </c>
      <c r="Q114" s="318" t="n">
        <v>-20691651164</v>
      </c>
      <c r="R114" s="318" t="n">
        <v>-30433840707</v>
      </c>
      <c r="S114" s="318" t="n">
        <v>-25505981853</v>
      </c>
      <c r="T114" s="318" t="n">
        <v>-24154739684</v>
      </c>
      <c r="U114" s="318" t="n">
        <v>-13962872882</v>
      </c>
      <c r="V114" s="318" t="n">
        <v>-47491182298</v>
      </c>
      <c r="W114" s="318" t="n">
        <v>0</v>
      </c>
      <c r="X114" s="318" t="n">
        <v>-50203880378</v>
      </c>
      <c r="Y114" s="318" t="n">
        <v>-16785550434</v>
      </c>
      <c r="Z114" s="318" t="n">
        <v>-17908151541</v>
      </c>
      <c r="AA114" s="318"/>
      <c r="AB114" s="318"/>
      <c r="AC114" s="318"/>
      <c r="AD114" s="318"/>
      <c r="AE114" s="318" t="n">
        <f aca="false">R114</f>
        <v>-30433840707</v>
      </c>
      <c r="AF114" s="318" t="n">
        <f aca="false">S114-R114</f>
        <v>4927858854</v>
      </c>
      <c r="AG114" s="318" t="n">
        <f aca="false">T114-S114</f>
        <v>1351242169</v>
      </c>
      <c r="AH114" s="318" t="n">
        <f aca="false">U114-T114</f>
        <v>10191866802</v>
      </c>
      <c r="AI114" s="318" t="n">
        <f aca="false">V114-U114</f>
        <v>-33528309416</v>
      </c>
      <c r="AJ114" s="318" t="n">
        <f aca="false">W114-V114</f>
        <v>47491182298</v>
      </c>
      <c r="AK114" s="318" t="n">
        <f aca="false">X114-W114</f>
        <v>-50203880378</v>
      </c>
      <c r="AL114" s="318" t="n">
        <f aca="false">Y114-X114</f>
        <v>33418329944</v>
      </c>
      <c r="AM114" s="318" t="n">
        <f aca="false">Z114-Y114</f>
        <v>-1122601107</v>
      </c>
      <c r="AN114" s="318" t="s">
        <v>1726</v>
      </c>
      <c r="AO114" s="318" t="n">
        <f aca="false">AB114-AA114</f>
        <v>0</v>
      </c>
      <c r="AP114" s="318" t="n">
        <f aca="false">AC114-AB114</f>
        <v>0</v>
      </c>
      <c r="AR114" s="307" t="str">
        <f aca="false">IFERROR(VLOOKUP(M114,'BS_DEC 2026'!$D$12:$D$109,1,FALSE()),"(미존재)")</f>
        <v>미착품</v>
      </c>
    </row>
    <row r="115" customFormat="false" ht="15" hidden="false" customHeight="false" outlineLevel="0" collapsed="false">
      <c r="A115" s="310" t="s">
        <v>493</v>
      </c>
      <c r="B115" s="307" t="n">
        <v>40500018</v>
      </c>
      <c r="C115" s="307" t="s">
        <v>1809</v>
      </c>
      <c r="G115" s="307" t="s">
        <v>1682</v>
      </c>
      <c r="H115" s="307" t="s">
        <v>1536</v>
      </c>
      <c r="I115" s="307" t="s">
        <v>1687</v>
      </c>
      <c r="K115" s="307" t="s">
        <v>1688</v>
      </c>
      <c r="L115" s="317" t="s">
        <v>494</v>
      </c>
      <c r="M115" s="317" t="s">
        <v>83</v>
      </c>
      <c r="N115" s="317" t="s">
        <v>494</v>
      </c>
      <c r="O115" s="317" t="s">
        <v>1560</v>
      </c>
      <c r="P115" s="317" t="s">
        <v>83</v>
      </c>
      <c r="Q115" s="318" t="n">
        <v>0</v>
      </c>
      <c r="R115" s="318" t="n">
        <v>0</v>
      </c>
      <c r="S115" s="318" t="n">
        <v>0</v>
      </c>
      <c r="T115" s="318" t="n">
        <v>0</v>
      </c>
      <c r="U115" s="318" t="n">
        <v>0</v>
      </c>
      <c r="V115" s="318" t="n">
        <v>0</v>
      </c>
      <c r="W115" s="318" t="n">
        <v>0</v>
      </c>
      <c r="X115" s="318" t="n">
        <v>0</v>
      </c>
      <c r="Y115" s="318" t="n">
        <v>0</v>
      </c>
      <c r="Z115" s="318" t="n">
        <v>0</v>
      </c>
      <c r="AA115" s="318"/>
      <c r="AB115" s="318"/>
      <c r="AC115" s="318"/>
      <c r="AD115" s="318"/>
      <c r="AE115" s="318" t="n">
        <f aca="false">R115</f>
        <v>0</v>
      </c>
      <c r="AF115" s="318" t="n">
        <f aca="false">S115-R115</f>
        <v>0</v>
      </c>
      <c r="AG115" s="318" t="n">
        <f aca="false">T115-S115</f>
        <v>0</v>
      </c>
      <c r="AH115" s="318" t="n">
        <f aca="false">U115-T115</f>
        <v>0</v>
      </c>
      <c r="AI115" s="318" t="n">
        <f aca="false">V115-U115</f>
        <v>0</v>
      </c>
      <c r="AJ115" s="318" t="n">
        <f aca="false">W115-V115</f>
        <v>0</v>
      </c>
      <c r="AK115" s="318" t="n">
        <f aca="false">X115-W115</f>
        <v>0</v>
      </c>
      <c r="AL115" s="318" t="n">
        <f aca="false">Y115-X115</f>
        <v>0</v>
      </c>
      <c r="AM115" s="318" t="n">
        <f aca="false">Z115-Y115</f>
        <v>0</v>
      </c>
      <c r="AN115" s="318" t="s">
        <v>1726</v>
      </c>
      <c r="AO115" s="318" t="n">
        <f aca="false">AB115-AA115</f>
        <v>0</v>
      </c>
      <c r="AP115" s="318" t="n">
        <f aca="false">AC115-AB115</f>
        <v>0</v>
      </c>
      <c r="AR115" s="307" t="str">
        <f aca="false">IFERROR(VLOOKUP(M115,'BS_DEC 2026'!$D$12:$D$109,1,FALSE()),"(미존재)")</f>
        <v>미착품</v>
      </c>
    </row>
    <row r="116" customFormat="false" ht="15" hidden="false" customHeight="false" outlineLevel="0" collapsed="false">
      <c r="A116" s="310" t="s">
        <v>493</v>
      </c>
      <c r="B116" s="307" t="n">
        <v>42000007</v>
      </c>
      <c r="C116" s="307" t="s">
        <v>1810</v>
      </c>
      <c r="D116" s="307" t="s">
        <v>1616</v>
      </c>
      <c r="E116" s="307" t="s">
        <v>1684</v>
      </c>
      <c r="F116" s="307" t="s">
        <v>1781</v>
      </c>
      <c r="G116" s="307" t="s">
        <v>1686</v>
      </c>
      <c r="H116" s="307" t="s">
        <v>1536</v>
      </c>
      <c r="I116" s="307" t="s">
        <v>1782</v>
      </c>
      <c r="K116" s="307" t="s">
        <v>1783</v>
      </c>
      <c r="L116" s="317" t="s">
        <v>157</v>
      </c>
      <c r="M116" s="317" t="s">
        <v>161</v>
      </c>
      <c r="N116" s="317" t="s">
        <v>157</v>
      </c>
      <c r="O116" s="317" t="s">
        <v>1689</v>
      </c>
      <c r="P116" s="317" t="s">
        <v>1784</v>
      </c>
      <c r="Q116" s="318" t="n">
        <v>0</v>
      </c>
      <c r="R116" s="318" t="n">
        <v>0</v>
      </c>
      <c r="S116" s="318" t="n">
        <v>0</v>
      </c>
      <c r="T116" s="318" t="n">
        <v>0</v>
      </c>
      <c r="U116" s="318" t="n">
        <v>0</v>
      </c>
      <c r="V116" s="318" t="n">
        <v>-6051696989</v>
      </c>
      <c r="W116" s="318" t="n">
        <v>-6051696989</v>
      </c>
      <c r="X116" s="318" t="n">
        <v>-6051696989</v>
      </c>
      <c r="Y116" s="318" t="n">
        <v>0</v>
      </c>
      <c r="Z116" s="318" t="n">
        <v>0</v>
      </c>
      <c r="AA116" s="318"/>
      <c r="AB116" s="318"/>
      <c r="AC116" s="318"/>
      <c r="AD116" s="318"/>
      <c r="AE116" s="318" t="n">
        <f aca="false">R116</f>
        <v>0</v>
      </c>
      <c r="AF116" s="318" t="n">
        <f aca="false">S116-R116</f>
        <v>0</v>
      </c>
      <c r="AG116" s="318" t="n">
        <f aca="false">T116-S116</f>
        <v>0</v>
      </c>
      <c r="AH116" s="318" t="n">
        <f aca="false">U116-T116</f>
        <v>0</v>
      </c>
      <c r="AI116" s="318" t="n">
        <f aca="false">V116-U116</f>
        <v>-6051696989</v>
      </c>
      <c r="AJ116" s="318" t="n">
        <f aca="false">W116-V116</f>
        <v>0</v>
      </c>
      <c r="AK116" s="318" t="n">
        <f aca="false">X116-W116</f>
        <v>0</v>
      </c>
      <c r="AL116" s="318" t="n">
        <f aca="false">Y116-X116</f>
        <v>6051696989</v>
      </c>
      <c r="AM116" s="318" t="n">
        <f aca="false">Z116-Y116</f>
        <v>0</v>
      </c>
      <c r="AN116" s="318" t="s">
        <v>1726</v>
      </c>
      <c r="AO116" s="318" t="n">
        <f aca="false">AB116-AA116</f>
        <v>0</v>
      </c>
      <c r="AP116" s="318" t="n">
        <f aca="false">AC116-AB116</f>
        <v>0</v>
      </c>
      <c r="AR116" s="307" t="str">
        <f aca="false">IFERROR(VLOOKUP(M116,'BS_DEC 2026'!$D$12:$D$109,1,FALSE()),"(미존재)")</f>
        <v>매입채무</v>
      </c>
    </row>
    <row r="117" customFormat="false" ht="15" hidden="false" customHeight="false" outlineLevel="0" collapsed="false">
      <c r="A117" s="310" t="s">
        <v>493</v>
      </c>
      <c r="B117" s="307" t="n">
        <v>42000705</v>
      </c>
      <c r="C117" s="307" t="s">
        <v>1811</v>
      </c>
      <c r="D117" s="307" t="s">
        <v>1616</v>
      </c>
      <c r="E117" s="307" t="s">
        <v>1684</v>
      </c>
      <c r="F117" s="307" t="s">
        <v>1790</v>
      </c>
      <c r="G117" s="307" t="s">
        <v>1686</v>
      </c>
      <c r="H117" s="307" t="s">
        <v>1536</v>
      </c>
      <c r="I117" s="307" t="s">
        <v>1782</v>
      </c>
      <c r="K117" s="307" t="s">
        <v>1783</v>
      </c>
      <c r="L117" s="317" t="s">
        <v>157</v>
      </c>
      <c r="M117" s="317" t="s">
        <v>171</v>
      </c>
      <c r="N117" s="317" t="s">
        <v>157</v>
      </c>
      <c r="O117" s="317" t="s">
        <v>1689</v>
      </c>
      <c r="P117" s="317" t="s">
        <v>165</v>
      </c>
      <c r="Q117" s="318" t="n">
        <v>-213282707</v>
      </c>
      <c r="R117" s="318" t="n">
        <v>-163144363</v>
      </c>
      <c r="S117" s="318" t="n">
        <v>-190836735</v>
      </c>
      <c r="T117" s="318" t="n">
        <v>-185262781</v>
      </c>
      <c r="U117" s="318" t="n">
        <v>-161088245</v>
      </c>
      <c r="V117" s="318" t="n">
        <v>-93696025</v>
      </c>
      <c r="W117" s="318" t="n">
        <v>-1540000</v>
      </c>
      <c r="X117" s="318" t="n">
        <v>-75277460</v>
      </c>
      <c r="Y117" s="318" t="n">
        <v>-194313608</v>
      </c>
      <c r="Z117" s="318" t="n">
        <v>0</v>
      </c>
      <c r="AA117" s="318"/>
      <c r="AB117" s="318"/>
      <c r="AC117" s="318"/>
      <c r="AD117" s="318"/>
      <c r="AE117" s="318" t="n">
        <f aca="false">R117</f>
        <v>-163144363</v>
      </c>
      <c r="AF117" s="318" t="n">
        <f aca="false">S117-R117</f>
        <v>-27692372</v>
      </c>
      <c r="AG117" s="318" t="n">
        <f aca="false">T117-S117</f>
        <v>5573954</v>
      </c>
      <c r="AH117" s="318" t="n">
        <f aca="false">U117-T117</f>
        <v>24174536</v>
      </c>
      <c r="AI117" s="318" t="n">
        <f aca="false">V117-U117</f>
        <v>67392220</v>
      </c>
      <c r="AJ117" s="318" t="n">
        <f aca="false">W117-V117</f>
        <v>92156025</v>
      </c>
      <c r="AK117" s="318" t="n">
        <f aca="false">X117-W117</f>
        <v>-73737460</v>
      </c>
      <c r="AL117" s="318" t="n">
        <f aca="false">Y117-X117</f>
        <v>-119036148</v>
      </c>
      <c r="AM117" s="318" t="n">
        <f aca="false">Z117-Y117</f>
        <v>194313608</v>
      </c>
      <c r="AN117" s="318" t="s">
        <v>1726</v>
      </c>
      <c r="AO117" s="318" t="n">
        <f aca="false">AB117-AA117</f>
        <v>0</v>
      </c>
      <c r="AP117" s="318" t="n">
        <f aca="false">AC117-AB117</f>
        <v>0</v>
      </c>
      <c r="AR117" s="307" t="str">
        <f aca="false">IFERROR(VLOOKUP(M117,'BS_DEC 2026'!$D$12:$D$109,1,FALSE()),"(미존재)")</f>
        <v>미지급비용</v>
      </c>
    </row>
    <row r="118" customFormat="false" ht="15" hidden="false" customHeight="false" outlineLevel="0" collapsed="false">
      <c r="A118" s="310" t="s">
        <v>493</v>
      </c>
      <c r="B118" s="307" t="n">
        <v>42000851</v>
      </c>
      <c r="C118" s="307" t="s">
        <v>1812</v>
      </c>
      <c r="G118" s="307" t="s">
        <v>1686</v>
      </c>
      <c r="H118" s="307" t="s">
        <v>1536</v>
      </c>
      <c r="I118" s="307" t="s">
        <v>1687</v>
      </c>
      <c r="K118" s="307" t="s">
        <v>1688</v>
      </c>
      <c r="L118" s="307" t="s">
        <v>1682</v>
      </c>
      <c r="M118" s="307" t="s">
        <v>1682</v>
      </c>
      <c r="N118" s="307" t="s">
        <v>1682</v>
      </c>
      <c r="O118" s="307" t="s">
        <v>1682</v>
      </c>
      <c r="P118" s="307" t="s">
        <v>1682</v>
      </c>
      <c r="Q118" s="318" t="n">
        <v>0</v>
      </c>
      <c r="R118" s="318" t="n">
        <v>0</v>
      </c>
      <c r="S118" s="318" t="n">
        <v>0</v>
      </c>
      <c r="T118" s="318" t="n">
        <v>0</v>
      </c>
      <c r="U118" s="318" t="n">
        <v>0</v>
      </c>
      <c r="V118" s="318" t="n">
        <v>0</v>
      </c>
      <c r="W118" s="318" t="n">
        <v>0</v>
      </c>
      <c r="X118" s="318" t="n">
        <v>0</v>
      </c>
      <c r="Y118" s="318" t="n">
        <v>0</v>
      </c>
      <c r="Z118" s="318" t="n">
        <v>0</v>
      </c>
      <c r="AA118" s="318"/>
      <c r="AB118" s="318"/>
      <c r="AC118" s="318"/>
      <c r="AD118" s="318"/>
      <c r="AE118" s="318" t="n">
        <f aca="false">R118</f>
        <v>0</v>
      </c>
      <c r="AF118" s="318" t="n">
        <f aca="false">S118-R118</f>
        <v>0</v>
      </c>
      <c r="AG118" s="318" t="n">
        <f aca="false">T118-S118</f>
        <v>0</v>
      </c>
      <c r="AH118" s="318" t="n">
        <f aca="false">U118-T118</f>
        <v>0</v>
      </c>
      <c r="AI118" s="318" t="n">
        <f aca="false">V118-U118</f>
        <v>0</v>
      </c>
      <c r="AJ118" s="318" t="n">
        <f aca="false">W118-V118</f>
        <v>0</v>
      </c>
      <c r="AK118" s="318" t="n">
        <f aca="false">X118-W118</f>
        <v>0</v>
      </c>
      <c r="AL118" s="318" t="n">
        <f aca="false">Y118-X118</f>
        <v>0</v>
      </c>
      <c r="AM118" s="318" t="n">
        <f aca="false">Z118-Y118</f>
        <v>0</v>
      </c>
      <c r="AN118" s="318" t="s">
        <v>1726</v>
      </c>
      <c r="AO118" s="318" t="n">
        <f aca="false">AB118-AA118</f>
        <v>0</v>
      </c>
      <c r="AP118" s="318" t="n">
        <f aca="false">AC118-AB118</f>
        <v>0</v>
      </c>
      <c r="AR118" s="307" t="str">
        <f aca="false">IFERROR(VLOOKUP(M118,'BS_DEC 2026'!$D$12:$D$109,1,FALSE()),"(미존재)")</f>
        <v>(미존재)</v>
      </c>
    </row>
    <row r="119" customFormat="false" ht="15" hidden="false" customHeight="false" outlineLevel="0" collapsed="false">
      <c r="A119" s="310" t="s">
        <v>493</v>
      </c>
      <c r="B119" s="307" t="n">
        <v>42000852</v>
      </c>
      <c r="C119" s="307" t="s">
        <v>1813</v>
      </c>
      <c r="D119" s="307" t="s">
        <v>1616</v>
      </c>
      <c r="E119" s="307" t="s">
        <v>1684</v>
      </c>
      <c r="F119" s="307" t="s">
        <v>1790</v>
      </c>
      <c r="G119" s="307" t="s">
        <v>1686</v>
      </c>
      <c r="H119" s="307" t="s">
        <v>1536</v>
      </c>
      <c r="I119" s="307" t="s">
        <v>1814</v>
      </c>
      <c r="K119" s="307" t="s">
        <v>1815</v>
      </c>
      <c r="L119" s="317" t="s">
        <v>157</v>
      </c>
      <c r="M119" s="317" t="s">
        <v>165</v>
      </c>
      <c r="N119" s="317" t="s">
        <v>157</v>
      </c>
      <c r="O119" s="317" t="s">
        <v>1689</v>
      </c>
      <c r="P119" s="317" t="s">
        <v>165</v>
      </c>
      <c r="Q119" s="318" t="n">
        <v>-26726065</v>
      </c>
      <c r="R119" s="318" t="n">
        <v>-25631906</v>
      </c>
      <c r="S119" s="318" t="n">
        <v>-75716701</v>
      </c>
      <c r="T119" s="318" t="n">
        <v>-58699521</v>
      </c>
      <c r="U119" s="318" t="n">
        <v>-11652691</v>
      </c>
      <c r="V119" s="318" t="n">
        <v>-88433592</v>
      </c>
      <c r="W119" s="318" t="n">
        <v>-107998754</v>
      </c>
      <c r="X119" s="318" t="n">
        <v>-23194933</v>
      </c>
      <c r="Y119" s="318" t="n">
        <v>-75699704</v>
      </c>
      <c r="Z119" s="318" t="n">
        <v>-17491972</v>
      </c>
      <c r="AA119" s="318"/>
      <c r="AB119" s="318"/>
      <c r="AC119" s="318"/>
      <c r="AD119" s="318"/>
      <c r="AE119" s="318" t="n">
        <f aca="false">R119</f>
        <v>-25631906</v>
      </c>
      <c r="AF119" s="318" t="n">
        <f aca="false">S119-R119</f>
        <v>-50084795</v>
      </c>
      <c r="AG119" s="318" t="n">
        <f aca="false">T119-S119</f>
        <v>17017180</v>
      </c>
      <c r="AH119" s="318" t="n">
        <f aca="false">U119-T119</f>
        <v>47046830</v>
      </c>
      <c r="AI119" s="318" t="n">
        <f aca="false">V119-U119</f>
        <v>-76780901</v>
      </c>
      <c r="AJ119" s="318" t="n">
        <f aca="false">W119-V119</f>
        <v>-19565162</v>
      </c>
      <c r="AK119" s="318" t="n">
        <f aca="false">X119-W119</f>
        <v>84803821</v>
      </c>
      <c r="AL119" s="318" t="n">
        <f aca="false">Y119-X119</f>
        <v>-52504771</v>
      </c>
      <c r="AM119" s="318" t="n">
        <f aca="false">Z119-Y119</f>
        <v>58207732</v>
      </c>
      <c r="AN119" s="318" t="s">
        <v>1726</v>
      </c>
      <c r="AO119" s="318" t="n">
        <f aca="false">AB119-AA119</f>
        <v>0</v>
      </c>
      <c r="AP119" s="318" t="n">
        <f aca="false">AC119-AB119</f>
        <v>0</v>
      </c>
      <c r="AR119" s="307" t="str">
        <f aca="false">IFERROR(VLOOKUP(M119,'BS_DEC 2026'!$D$12:$D$109,1,FALSE()),"(미존재)")</f>
        <v>미지급금</v>
      </c>
    </row>
    <row r="120" customFormat="false" ht="15" hidden="false" customHeight="false" outlineLevel="0" collapsed="false">
      <c r="A120" s="310" t="s">
        <v>493</v>
      </c>
      <c r="B120" s="307" t="n">
        <v>42000856</v>
      </c>
      <c r="C120" s="307" t="s">
        <v>1816</v>
      </c>
      <c r="G120" s="307" t="s">
        <v>1686</v>
      </c>
      <c r="H120" s="307" t="s">
        <v>1536</v>
      </c>
      <c r="I120" s="307" t="s">
        <v>1687</v>
      </c>
      <c r="K120" s="307" t="s">
        <v>1688</v>
      </c>
      <c r="L120" s="307" t="s">
        <v>1682</v>
      </c>
      <c r="M120" s="307" t="s">
        <v>1682</v>
      </c>
      <c r="N120" s="307" t="s">
        <v>1682</v>
      </c>
      <c r="O120" s="307" t="s">
        <v>1682</v>
      </c>
      <c r="P120" s="307" t="s">
        <v>1682</v>
      </c>
      <c r="Q120" s="318" t="n">
        <v>0</v>
      </c>
      <c r="R120" s="318" t="n">
        <v>0</v>
      </c>
      <c r="S120" s="318" t="n">
        <v>0</v>
      </c>
      <c r="T120" s="318" t="n">
        <v>0</v>
      </c>
      <c r="U120" s="318" t="n">
        <v>0</v>
      </c>
      <c r="V120" s="318" t="n">
        <v>0</v>
      </c>
      <c r="W120" s="318" t="n">
        <v>0</v>
      </c>
      <c r="X120" s="318" t="n">
        <v>0</v>
      </c>
      <c r="Y120" s="318" t="n">
        <v>0</v>
      </c>
      <c r="Z120" s="318" t="n">
        <v>0</v>
      </c>
      <c r="AA120" s="318"/>
      <c r="AB120" s="318"/>
      <c r="AC120" s="318"/>
      <c r="AD120" s="318"/>
      <c r="AE120" s="318" t="n">
        <f aca="false">R120</f>
        <v>0</v>
      </c>
      <c r="AF120" s="318" t="n">
        <f aca="false">S120-R120</f>
        <v>0</v>
      </c>
      <c r="AG120" s="318" t="n">
        <f aca="false">T120-S120</f>
        <v>0</v>
      </c>
      <c r="AH120" s="318" t="n">
        <f aca="false">U120-T120</f>
        <v>0</v>
      </c>
      <c r="AI120" s="318" t="n">
        <f aca="false">V120-U120</f>
        <v>0</v>
      </c>
      <c r="AJ120" s="318" t="n">
        <f aca="false">W120-V120</f>
        <v>0</v>
      </c>
      <c r="AK120" s="318" t="n">
        <f aca="false">X120-W120</f>
        <v>0</v>
      </c>
      <c r="AL120" s="318" t="n">
        <f aca="false">Y120-X120</f>
        <v>0</v>
      </c>
      <c r="AM120" s="318" t="n">
        <f aca="false">Z120-Y120</f>
        <v>0</v>
      </c>
      <c r="AN120" s="318" t="s">
        <v>1726</v>
      </c>
      <c r="AO120" s="318" t="n">
        <f aca="false">AB120-AA120</f>
        <v>0</v>
      </c>
      <c r="AP120" s="318" t="n">
        <f aca="false">AC120-AB120</f>
        <v>0</v>
      </c>
      <c r="AR120" s="307" t="str">
        <f aca="false">IFERROR(VLOOKUP(M120,'BS_DEC 2026'!$D$12:$D$109,1,FALSE()),"(미존재)")</f>
        <v>(미존재)</v>
      </c>
    </row>
    <row r="121" customFormat="false" ht="15" hidden="false" customHeight="false" outlineLevel="0" collapsed="false">
      <c r="A121" s="310" t="s">
        <v>493</v>
      </c>
      <c r="B121" s="307" t="n">
        <v>42050000</v>
      </c>
      <c r="C121" s="307" t="s">
        <v>1817</v>
      </c>
      <c r="D121" s="307" t="s">
        <v>1616</v>
      </c>
      <c r="E121" s="307" t="s">
        <v>1684</v>
      </c>
      <c r="F121" s="307" t="s">
        <v>1790</v>
      </c>
      <c r="G121" s="307" t="s">
        <v>1686</v>
      </c>
      <c r="H121" s="307" t="s">
        <v>1536</v>
      </c>
      <c r="I121" s="307" t="s">
        <v>1687</v>
      </c>
      <c r="K121" s="307" t="s">
        <v>1688</v>
      </c>
      <c r="L121" s="317" t="s">
        <v>157</v>
      </c>
      <c r="M121" s="317" t="s">
        <v>165</v>
      </c>
      <c r="N121" s="317" t="s">
        <v>157</v>
      </c>
      <c r="O121" s="317" t="s">
        <v>1689</v>
      </c>
      <c r="P121" s="317" t="s">
        <v>165</v>
      </c>
      <c r="Q121" s="318" t="n">
        <v>-410271</v>
      </c>
      <c r="R121" s="318" t="n">
        <v>-72135744</v>
      </c>
      <c r="S121" s="318" t="n">
        <v>6723286256</v>
      </c>
      <c r="T121" s="318" t="n">
        <v>-39946654739</v>
      </c>
      <c r="U121" s="318" t="n">
        <v>6752070472</v>
      </c>
      <c r="V121" s="318" t="n">
        <v>-12496342420</v>
      </c>
      <c r="W121" s="318" t="n">
        <v>-31106389140</v>
      </c>
      <c r="X121" s="318" t="n">
        <v>-13298216332</v>
      </c>
      <c r="Y121" s="318" t="n">
        <v>-1483591612</v>
      </c>
      <c r="Z121" s="318" t="n">
        <v>-2484939960</v>
      </c>
      <c r="AA121" s="318"/>
      <c r="AB121" s="318"/>
      <c r="AC121" s="318"/>
      <c r="AD121" s="318"/>
      <c r="AE121" s="318" t="n">
        <f aca="false">R121</f>
        <v>-72135744</v>
      </c>
      <c r="AF121" s="318" t="n">
        <f aca="false">S121-R121</f>
        <v>6795422000</v>
      </c>
      <c r="AG121" s="318" t="n">
        <f aca="false">T121-S121</f>
        <v>-46669940995</v>
      </c>
      <c r="AH121" s="318" t="n">
        <f aca="false">U121-T121</f>
        <v>46698725211</v>
      </c>
      <c r="AI121" s="318" t="n">
        <f aca="false">V121-U121</f>
        <v>-19248412892</v>
      </c>
      <c r="AJ121" s="318" t="n">
        <f aca="false">W121-V121</f>
        <v>-18610046720</v>
      </c>
      <c r="AK121" s="318" t="n">
        <f aca="false">X121-W121</f>
        <v>17808172808</v>
      </c>
      <c r="AL121" s="318" t="n">
        <f aca="false">Y121-X121</f>
        <v>11814624720</v>
      </c>
      <c r="AM121" s="318" t="n">
        <f aca="false">Z121-Y121</f>
        <v>-1001348348</v>
      </c>
      <c r="AN121" s="318" t="s">
        <v>1726</v>
      </c>
      <c r="AO121" s="318" t="n">
        <f aca="false">AB121-AA121</f>
        <v>0</v>
      </c>
      <c r="AP121" s="318" t="n">
        <f aca="false">AC121-AB121</f>
        <v>0</v>
      </c>
      <c r="AR121" s="307" t="str">
        <f aca="false">IFERROR(VLOOKUP(M121,'BS_DEC 2026'!$D$12:$D$109,1,FALSE()),"(미존재)")</f>
        <v>미지급금</v>
      </c>
    </row>
    <row r="122" customFormat="false" ht="15" hidden="false" customHeight="false" outlineLevel="0" collapsed="false">
      <c r="A122" s="310" t="s">
        <v>493</v>
      </c>
      <c r="B122" s="307" t="n">
        <v>42400000</v>
      </c>
      <c r="C122" s="307" t="s">
        <v>1818</v>
      </c>
      <c r="D122" s="307" t="s">
        <v>1616</v>
      </c>
      <c r="E122" s="307" t="s">
        <v>1684</v>
      </c>
      <c r="F122" s="307" t="s">
        <v>1685</v>
      </c>
      <c r="G122" s="307" t="s">
        <v>1686</v>
      </c>
      <c r="H122" s="307" t="s">
        <v>1536</v>
      </c>
      <c r="I122" s="307" t="s">
        <v>1772</v>
      </c>
      <c r="K122" s="307" t="s">
        <v>1773</v>
      </c>
      <c r="L122" s="317" t="s">
        <v>157</v>
      </c>
      <c r="M122" s="317" t="s">
        <v>171</v>
      </c>
      <c r="N122" s="317" t="s">
        <v>157</v>
      </c>
      <c r="O122" s="317" t="s">
        <v>1689</v>
      </c>
      <c r="P122" s="317" t="s">
        <v>171</v>
      </c>
      <c r="Q122" s="318" t="n">
        <v>0</v>
      </c>
      <c r="R122" s="318" t="n">
        <v>0</v>
      </c>
      <c r="S122" s="318" t="n">
        <v>0</v>
      </c>
      <c r="T122" s="318" t="n">
        <v>0</v>
      </c>
      <c r="U122" s="318" t="n">
        <v>0</v>
      </c>
      <c r="V122" s="318" t="n">
        <v>0</v>
      </c>
      <c r="W122" s="318" t="n">
        <v>0</v>
      </c>
      <c r="X122" s="318" t="n">
        <v>0</v>
      </c>
      <c r="Y122" s="318" t="n">
        <v>0</v>
      </c>
      <c r="Z122" s="318" t="n">
        <v>0</v>
      </c>
      <c r="AA122" s="318"/>
      <c r="AB122" s="318"/>
      <c r="AC122" s="318"/>
      <c r="AD122" s="318"/>
      <c r="AE122" s="318" t="n">
        <f aca="false">R122</f>
        <v>0</v>
      </c>
      <c r="AF122" s="318" t="n">
        <f aca="false">S122-R122</f>
        <v>0</v>
      </c>
      <c r="AG122" s="318" t="n">
        <f aca="false">T122-S122</f>
        <v>0</v>
      </c>
      <c r="AH122" s="318" t="n">
        <f aca="false">U122-T122</f>
        <v>0</v>
      </c>
      <c r="AI122" s="318" t="n">
        <f aca="false">V122-U122</f>
        <v>0</v>
      </c>
      <c r="AJ122" s="318" t="n">
        <f aca="false">W122-V122</f>
        <v>0</v>
      </c>
      <c r="AK122" s="318" t="n">
        <f aca="false">X122-W122</f>
        <v>0</v>
      </c>
      <c r="AL122" s="318" t="n">
        <f aca="false">Y122-X122</f>
        <v>0</v>
      </c>
      <c r="AM122" s="318" t="n">
        <f aca="false">Z122-Y122</f>
        <v>0</v>
      </c>
      <c r="AN122" s="318" t="s">
        <v>1726</v>
      </c>
      <c r="AO122" s="318" t="n">
        <f aca="false">AB122-AA122</f>
        <v>0</v>
      </c>
      <c r="AP122" s="318" t="n">
        <f aca="false">AC122-AB122</f>
        <v>0</v>
      </c>
      <c r="AR122" s="307" t="str">
        <f aca="false">IFERROR(VLOOKUP(M122,'BS_DEC 2026'!$D$12:$D$109,1,FALSE()),"(미존재)")</f>
        <v>미지급비용</v>
      </c>
    </row>
    <row r="123" customFormat="false" ht="15" hidden="false" customHeight="false" outlineLevel="0" collapsed="false">
      <c r="A123" s="310" t="s">
        <v>493</v>
      </c>
      <c r="B123" s="307" t="n">
        <v>42400700</v>
      </c>
      <c r="C123" s="307" t="s">
        <v>1819</v>
      </c>
      <c r="G123" s="307" t="s">
        <v>1686</v>
      </c>
      <c r="H123" s="307" t="s">
        <v>1536</v>
      </c>
      <c r="I123" s="307" t="s">
        <v>1772</v>
      </c>
      <c r="K123" s="307" t="s">
        <v>1773</v>
      </c>
      <c r="L123" s="317" t="s">
        <v>157</v>
      </c>
      <c r="M123" s="317" t="s">
        <v>171</v>
      </c>
      <c r="N123" s="317" t="s">
        <v>157</v>
      </c>
      <c r="O123" s="317" t="s">
        <v>1689</v>
      </c>
      <c r="P123" s="317" t="s">
        <v>171</v>
      </c>
      <c r="Q123" s="318" t="n">
        <v>0</v>
      </c>
      <c r="R123" s="318" t="n">
        <v>0</v>
      </c>
      <c r="S123" s="318" t="n">
        <v>0</v>
      </c>
      <c r="T123" s="318" t="n">
        <v>0</v>
      </c>
      <c r="U123" s="318" t="n">
        <v>0</v>
      </c>
      <c r="V123" s="318" t="n">
        <v>0</v>
      </c>
      <c r="W123" s="318" t="n">
        <v>0</v>
      </c>
      <c r="X123" s="318" t="n">
        <v>0</v>
      </c>
      <c r="Y123" s="318" t="n">
        <v>0</v>
      </c>
      <c r="Z123" s="318" t="n">
        <v>0</v>
      </c>
      <c r="AA123" s="318"/>
      <c r="AB123" s="318"/>
      <c r="AC123" s="318"/>
      <c r="AD123" s="318"/>
      <c r="AE123" s="318" t="n">
        <f aca="false">R123</f>
        <v>0</v>
      </c>
      <c r="AF123" s="318" t="n">
        <f aca="false">S123-R123</f>
        <v>0</v>
      </c>
      <c r="AG123" s="318" t="n">
        <f aca="false">T123-S123</f>
        <v>0</v>
      </c>
      <c r="AH123" s="318" t="n">
        <f aca="false">U123-T123</f>
        <v>0</v>
      </c>
      <c r="AI123" s="318" t="n">
        <f aca="false">V123-U123</f>
        <v>0</v>
      </c>
      <c r="AJ123" s="318" t="n">
        <f aca="false">W123-V123</f>
        <v>0</v>
      </c>
      <c r="AK123" s="318" t="n">
        <f aca="false">X123-W123</f>
        <v>0</v>
      </c>
      <c r="AL123" s="318" t="n">
        <f aca="false">Y123-X123</f>
        <v>0</v>
      </c>
      <c r="AM123" s="318" t="n">
        <f aca="false">Z123-Y123</f>
        <v>0</v>
      </c>
      <c r="AN123" s="318" t="s">
        <v>1726</v>
      </c>
      <c r="AO123" s="318" t="n">
        <f aca="false">AB123-AA123</f>
        <v>0</v>
      </c>
      <c r="AP123" s="318" t="n">
        <f aca="false">AC123-AB123</f>
        <v>0</v>
      </c>
      <c r="AR123" s="307" t="str">
        <f aca="false">IFERROR(VLOOKUP(M123,'BS_DEC 2026'!$D$12:$D$109,1,FALSE()),"(미존재)")</f>
        <v>미지급비용</v>
      </c>
    </row>
    <row r="124" customFormat="false" ht="15" hidden="false" customHeight="false" outlineLevel="0" collapsed="false">
      <c r="A124" s="310" t="s">
        <v>493</v>
      </c>
      <c r="B124" s="307" t="n">
        <v>42400702</v>
      </c>
      <c r="C124" s="307" t="s">
        <v>1820</v>
      </c>
      <c r="D124" s="307" t="s">
        <v>1616</v>
      </c>
      <c r="E124" s="307" t="s">
        <v>1684</v>
      </c>
      <c r="F124" s="307" t="s">
        <v>1821</v>
      </c>
      <c r="G124" s="307" t="s">
        <v>1686</v>
      </c>
      <c r="H124" s="307" t="s">
        <v>1536</v>
      </c>
      <c r="I124" s="307" t="s">
        <v>1772</v>
      </c>
      <c r="K124" s="307" t="s">
        <v>1773</v>
      </c>
      <c r="L124" s="317" t="s">
        <v>157</v>
      </c>
      <c r="M124" s="317" t="s">
        <v>171</v>
      </c>
      <c r="N124" s="317" t="s">
        <v>157</v>
      </c>
      <c r="O124" s="317" t="s">
        <v>1689</v>
      </c>
      <c r="P124" s="317" t="s">
        <v>1822</v>
      </c>
      <c r="Q124" s="318" t="n">
        <v>-5865973511</v>
      </c>
      <c r="R124" s="318" t="n">
        <v>-6304194413</v>
      </c>
      <c r="S124" s="318" t="n">
        <v>-6784735514</v>
      </c>
      <c r="T124" s="318" t="n">
        <v>-2263581444</v>
      </c>
      <c r="U124" s="318" t="n">
        <v>-2804149796</v>
      </c>
      <c r="V124" s="318" t="n">
        <v>-3229500469</v>
      </c>
      <c r="W124" s="318" t="n">
        <v>-3527531473</v>
      </c>
      <c r="X124" s="318" t="n">
        <v>-3741714912</v>
      </c>
      <c r="Y124" s="318" t="n">
        <v>-4233475899</v>
      </c>
      <c r="Z124" s="318" t="n">
        <v>-4573948770</v>
      </c>
      <c r="AA124" s="318"/>
      <c r="AB124" s="318"/>
      <c r="AC124" s="318"/>
      <c r="AD124" s="318"/>
      <c r="AE124" s="318" t="n">
        <f aca="false">R124</f>
        <v>-6304194413</v>
      </c>
      <c r="AF124" s="318" t="n">
        <f aca="false">S124-R124</f>
        <v>-480541101</v>
      </c>
      <c r="AG124" s="318" t="n">
        <f aca="false">T124-S124</f>
        <v>4521154070</v>
      </c>
      <c r="AH124" s="318" t="n">
        <f aca="false">U124-T124</f>
        <v>-540568352</v>
      </c>
      <c r="AI124" s="318" t="n">
        <f aca="false">V124-U124</f>
        <v>-425350673</v>
      </c>
      <c r="AJ124" s="318" t="n">
        <f aca="false">W124-V124</f>
        <v>-298031004</v>
      </c>
      <c r="AK124" s="318" t="n">
        <f aca="false">X124-W124</f>
        <v>-214183439</v>
      </c>
      <c r="AL124" s="318" t="n">
        <f aca="false">Y124-X124</f>
        <v>-491760987</v>
      </c>
      <c r="AM124" s="318" t="n">
        <f aca="false">Z124-Y124</f>
        <v>-340472871</v>
      </c>
      <c r="AN124" s="318" t="s">
        <v>1726</v>
      </c>
      <c r="AO124" s="318" t="n">
        <f aca="false">AB124-AA124</f>
        <v>0</v>
      </c>
      <c r="AP124" s="318" t="n">
        <f aca="false">AC124-AB124</f>
        <v>0</v>
      </c>
      <c r="AR124" s="307" t="str">
        <f aca="false">IFERROR(VLOOKUP(M124,'BS_DEC 2026'!$D$12:$D$109,1,FALSE()),"(미존재)")</f>
        <v>미지급비용</v>
      </c>
    </row>
    <row r="125" customFormat="false" ht="15" hidden="false" customHeight="false" outlineLevel="0" collapsed="false">
      <c r="A125" s="310" t="s">
        <v>493</v>
      </c>
      <c r="B125" s="307" t="n">
        <v>42400800</v>
      </c>
      <c r="C125" s="307" t="s">
        <v>1823</v>
      </c>
      <c r="D125" s="307" t="s">
        <v>1616</v>
      </c>
      <c r="E125" s="307" t="s">
        <v>1684</v>
      </c>
      <c r="F125" s="307" t="s">
        <v>1685</v>
      </c>
      <c r="G125" s="307" t="s">
        <v>1765</v>
      </c>
      <c r="H125" s="307" t="s">
        <v>1536</v>
      </c>
      <c r="I125" s="307" t="s">
        <v>1824</v>
      </c>
      <c r="K125" s="307" t="s">
        <v>1825</v>
      </c>
      <c r="L125" s="317" t="s">
        <v>157</v>
      </c>
      <c r="M125" s="317" t="s">
        <v>194</v>
      </c>
      <c r="N125" s="317" t="s">
        <v>157</v>
      </c>
      <c r="O125" s="317" t="s">
        <v>1689</v>
      </c>
      <c r="P125" s="317" t="s">
        <v>171</v>
      </c>
      <c r="Q125" s="318" t="n">
        <v>0</v>
      </c>
      <c r="R125" s="318" t="n">
        <v>0</v>
      </c>
      <c r="S125" s="318" t="n">
        <v>0</v>
      </c>
      <c r="T125" s="318" t="n">
        <v>0</v>
      </c>
      <c r="U125" s="318" t="n">
        <v>0</v>
      </c>
      <c r="V125" s="318" t="n">
        <v>0</v>
      </c>
      <c r="W125" s="318" t="n">
        <v>0</v>
      </c>
      <c r="X125" s="318" t="n">
        <v>0</v>
      </c>
      <c r="Y125" s="318" t="n">
        <v>0</v>
      </c>
      <c r="Z125" s="318" t="n">
        <v>0</v>
      </c>
      <c r="AA125" s="318"/>
      <c r="AB125" s="318"/>
      <c r="AC125" s="318"/>
      <c r="AD125" s="318"/>
      <c r="AE125" s="318" t="n">
        <f aca="false">R125</f>
        <v>0</v>
      </c>
      <c r="AF125" s="318" t="n">
        <f aca="false">S125-R125</f>
        <v>0</v>
      </c>
      <c r="AG125" s="318" t="n">
        <f aca="false">T125-S125</f>
        <v>0</v>
      </c>
      <c r="AH125" s="318" t="n">
        <f aca="false">U125-T125</f>
        <v>0</v>
      </c>
      <c r="AI125" s="318" t="n">
        <f aca="false">V125-U125</f>
        <v>0</v>
      </c>
      <c r="AJ125" s="318" t="n">
        <f aca="false">W125-V125</f>
        <v>0</v>
      </c>
      <c r="AK125" s="318" t="n">
        <f aca="false">X125-W125</f>
        <v>0</v>
      </c>
      <c r="AL125" s="318" t="n">
        <f aca="false">Y125-X125</f>
        <v>0</v>
      </c>
      <c r="AM125" s="318" t="n">
        <f aca="false">Z125-Y125</f>
        <v>0</v>
      </c>
      <c r="AN125" s="318" t="s">
        <v>1726</v>
      </c>
      <c r="AO125" s="318" t="n">
        <f aca="false">AB125-AA125</f>
        <v>0</v>
      </c>
      <c r="AP125" s="318" t="n">
        <f aca="false">AC125-AB125</f>
        <v>0</v>
      </c>
      <c r="AR125" s="307" t="str">
        <f aca="false">IFERROR(VLOOKUP(M125,'BS_DEC 2026'!$D$12:$D$109,1,FALSE()),"(미존재)")</f>
        <v>복구충당부채</v>
      </c>
    </row>
    <row r="126" customFormat="false" ht="15" hidden="false" customHeight="false" outlineLevel="0" collapsed="false">
      <c r="A126" s="310" t="s">
        <v>493</v>
      </c>
      <c r="B126" s="307" t="n">
        <v>42420000</v>
      </c>
      <c r="C126" s="307" t="s">
        <v>1826</v>
      </c>
      <c r="D126" s="307" t="s">
        <v>1616</v>
      </c>
      <c r="E126" s="307" t="s">
        <v>1684</v>
      </c>
      <c r="F126" s="307" t="s">
        <v>1691</v>
      </c>
      <c r="G126" s="307" t="s">
        <v>1686</v>
      </c>
      <c r="H126" s="307" t="s">
        <v>1536</v>
      </c>
      <c r="I126" s="307" t="s">
        <v>1827</v>
      </c>
      <c r="K126" s="307" t="s">
        <v>1828</v>
      </c>
      <c r="L126" s="317" t="s">
        <v>157</v>
      </c>
      <c r="M126" s="317" t="s">
        <v>169</v>
      </c>
      <c r="N126" s="317" t="s">
        <v>157</v>
      </c>
      <c r="O126" s="317" t="s">
        <v>1689</v>
      </c>
      <c r="P126" s="317" t="s">
        <v>169</v>
      </c>
      <c r="Q126" s="318" t="n">
        <v>-615989310</v>
      </c>
      <c r="R126" s="318" t="n">
        <v>-625289870</v>
      </c>
      <c r="S126" s="318" t="n">
        <v>-598053570</v>
      </c>
      <c r="T126" s="318" t="n">
        <v>-640952390</v>
      </c>
      <c r="U126" s="318" t="n">
        <v>-814996520</v>
      </c>
      <c r="V126" s="318" t="n">
        <v>-663272510</v>
      </c>
      <c r="W126" s="318" t="n">
        <v>-8873870</v>
      </c>
      <c r="X126" s="318" t="n">
        <v>-624590670</v>
      </c>
      <c r="Y126" s="318" t="n">
        <v>-478441140</v>
      </c>
      <c r="Z126" s="318" t="n">
        <v>-608855770</v>
      </c>
      <c r="AA126" s="318"/>
      <c r="AB126" s="318"/>
      <c r="AC126" s="318"/>
      <c r="AD126" s="318"/>
      <c r="AE126" s="318" t="n">
        <f aca="false">R126</f>
        <v>-625289870</v>
      </c>
      <c r="AF126" s="318" t="n">
        <f aca="false">S126-R126</f>
        <v>27236300</v>
      </c>
      <c r="AG126" s="318" t="n">
        <f aca="false">T126-S126</f>
        <v>-42898820</v>
      </c>
      <c r="AH126" s="318" t="n">
        <f aca="false">U126-T126</f>
        <v>-174044130</v>
      </c>
      <c r="AI126" s="318" t="n">
        <f aca="false">V126-U126</f>
        <v>151724010</v>
      </c>
      <c r="AJ126" s="318" t="n">
        <f aca="false">W126-V126</f>
        <v>654398640</v>
      </c>
      <c r="AK126" s="318" t="n">
        <f aca="false">X126-W126</f>
        <v>-615716800</v>
      </c>
      <c r="AL126" s="318" t="n">
        <f aca="false">Y126-X126</f>
        <v>146149530</v>
      </c>
      <c r="AM126" s="318" t="n">
        <f aca="false">Z126-Y126</f>
        <v>-130414630</v>
      </c>
      <c r="AN126" s="318" t="s">
        <v>1726</v>
      </c>
      <c r="AO126" s="318" t="n">
        <f aca="false">AB126-AA126</f>
        <v>0</v>
      </c>
      <c r="AP126" s="318" t="n">
        <f aca="false">AC126-AB126</f>
        <v>0</v>
      </c>
      <c r="AR126" s="307" t="str">
        <f aca="false">IFERROR(VLOOKUP(M126,'BS_DEC 2026'!$D$12:$D$109,1,FALSE()),"(미존재)")</f>
        <v>예수금</v>
      </c>
    </row>
    <row r="127" customFormat="false" ht="15" hidden="false" customHeight="false" outlineLevel="0" collapsed="false">
      <c r="A127" s="310" t="s">
        <v>493</v>
      </c>
      <c r="B127" s="307" t="n">
        <v>42420851</v>
      </c>
      <c r="C127" s="307" t="s">
        <v>1829</v>
      </c>
      <c r="G127" s="307" t="s">
        <v>1686</v>
      </c>
      <c r="H127" s="307" t="s">
        <v>1536</v>
      </c>
      <c r="I127" s="307" t="s">
        <v>1827</v>
      </c>
      <c r="K127" s="307" t="s">
        <v>1828</v>
      </c>
      <c r="L127" s="307" t="s">
        <v>1682</v>
      </c>
      <c r="M127" s="307" t="s">
        <v>1682</v>
      </c>
      <c r="N127" s="307" t="s">
        <v>1682</v>
      </c>
      <c r="O127" s="307" t="s">
        <v>1682</v>
      </c>
      <c r="P127" s="307" t="s">
        <v>1682</v>
      </c>
      <c r="Q127" s="318" t="n">
        <v>0</v>
      </c>
      <c r="R127" s="318" t="n">
        <v>0</v>
      </c>
      <c r="S127" s="318" t="n">
        <v>0</v>
      </c>
      <c r="T127" s="318" t="n">
        <v>0</v>
      </c>
      <c r="U127" s="318" t="n">
        <v>0</v>
      </c>
      <c r="V127" s="318" t="n">
        <v>0</v>
      </c>
      <c r="W127" s="318" t="n">
        <v>0</v>
      </c>
      <c r="X127" s="318" t="n">
        <v>0</v>
      </c>
      <c r="Y127" s="318" t="n">
        <v>0</v>
      </c>
      <c r="Z127" s="318" t="n">
        <v>0</v>
      </c>
      <c r="AA127" s="318"/>
      <c r="AB127" s="318"/>
      <c r="AC127" s="318"/>
      <c r="AD127" s="318"/>
      <c r="AE127" s="318" t="n">
        <f aca="false">R127</f>
        <v>0</v>
      </c>
      <c r="AF127" s="318" t="n">
        <f aca="false">S127-R127</f>
        <v>0</v>
      </c>
      <c r="AG127" s="318" t="n">
        <f aca="false">T127-S127</f>
        <v>0</v>
      </c>
      <c r="AH127" s="318" t="n">
        <f aca="false">U127-T127</f>
        <v>0</v>
      </c>
      <c r="AI127" s="318" t="n">
        <f aca="false">V127-U127</f>
        <v>0</v>
      </c>
      <c r="AJ127" s="318" t="n">
        <f aca="false">W127-V127</f>
        <v>0</v>
      </c>
      <c r="AK127" s="318" t="n">
        <f aca="false">X127-W127</f>
        <v>0</v>
      </c>
      <c r="AL127" s="318" t="n">
        <f aca="false">Y127-X127</f>
        <v>0</v>
      </c>
      <c r="AM127" s="318" t="n">
        <f aca="false">Z127-Y127</f>
        <v>0</v>
      </c>
      <c r="AN127" s="318" t="s">
        <v>1726</v>
      </c>
      <c r="AO127" s="318" t="n">
        <f aca="false">AB127-AA127</f>
        <v>0</v>
      </c>
      <c r="AP127" s="318" t="n">
        <f aca="false">AC127-AB127</f>
        <v>0</v>
      </c>
      <c r="AR127" s="307" t="str">
        <f aca="false">IFERROR(VLOOKUP(M127,'BS_DEC 2026'!$D$12:$D$109,1,FALSE()),"(미존재)")</f>
        <v>(미존재)</v>
      </c>
    </row>
    <row r="128" customFormat="false" ht="15" hidden="false" customHeight="false" outlineLevel="0" collapsed="false">
      <c r="A128" s="310" t="s">
        <v>493</v>
      </c>
      <c r="B128" s="307" t="n">
        <v>42420852</v>
      </c>
      <c r="C128" s="307" t="s">
        <v>1830</v>
      </c>
      <c r="G128" s="307" t="s">
        <v>1686</v>
      </c>
      <c r="H128" s="307" t="s">
        <v>1536</v>
      </c>
      <c r="I128" s="307" t="s">
        <v>1827</v>
      </c>
      <c r="K128" s="307" t="s">
        <v>1828</v>
      </c>
      <c r="L128" s="307" t="s">
        <v>1682</v>
      </c>
      <c r="M128" s="307" t="s">
        <v>1682</v>
      </c>
      <c r="N128" s="307" t="s">
        <v>1682</v>
      </c>
      <c r="O128" s="307" t="s">
        <v>1682</v>
      </c>
      <c r="P128" s="307" t="s">
        <v>1682</v>
      </c>
      <c r="Q128" s="318" t="n">
        <v>0</v>
      </c>
      <c r="R128" s="318" t="n">
        <v>0</v>
      </c>
      <c r="S128" s="318" t="n">
        <v>0</v>
      </c>
      <c r="T128" s="318" t="n">
        <v>0</v>
      </c>
      <c r="U128" s="318" t="n">
        <v>0</v>
      </c>
      <c r="V128" s="318" t="n">
        <v>0</v>
      </c>
      <c r="W128" s="318" t="n">
        <v>0</v>
      </c>
      <c r="X128" s="318" t="n">
        <v>0</v>
      </c>
      <c r="Y128" s="318" t="n">
        <v>0</v>
      </c>
      <c r="Z128" s="318" t="n">
        <v>0</v>
      </c>
      <c r="AA128" s="318"/>
      <c r="AB128" s="318"/>
      <c r="AC128" s="318"/>
      <c r="AD128" s="318"/>
      <c r="AE128" s="318" t="n">
        <f aca="false">R128</f>
        <v>0</v>
      </c>
      <c r="AF128" s="318" t="n">
        <f aca="false">S128-R128</f>
        <v>0</v>
      </c>
      <c r="AG128" s="318" t="n">
        <f aca="false">T128-S128</f>
        <v>0</v>
      </c>
      <c r="AH128" s="318" t="n">
        <f aca="false">U128-T128</f>
        <v>0</v>
      </c>
      <c r="AI128" s="318" t="n">
        <f aca="false">V128-U128</f>
        <v>0</v>
      </c>
      <c r="AJ128" s="318" t="n">
        <f aca="false">W128-V128</f>
        <v>0</v>
      </c>
      <c r="AK128" s="318" t="n">
        <f aca="false">X128-W128</f>
        <v>0</v>
      </c>
      <c r="AL128" s="318" t="n">
        <f aca="false">Y128-X128</f>
        <v>0</v>
      </c>
      <c r="AM128" s="318" t="n">
        <f aca="false">Z128-Y128</f>
        <v>0</v>
      </c>
      <c r="AN128" s="318" t="s">
        <v>1726</v>
      </c>
      <c r="AO128" s="318" t="n">
        <f aca="false">AB128-AA128</f>
        <v>0</v>
      </c>
      <c r="AP128" s="318" t="n">
        <f aca="false">AC128-AB128</f>
        <v>0</v>
      </c>
      <c r="AR128" s="307" t="str">
        <f aca="false">IFERROR(VLOOKUP(M128,'BS_DEC 2026'!$D$12:$D$109,1,FALSE()),"(미존재)")</f>
        <v>(미존재)</v>
      </c>
    </row>
    <row r="129" customFormat="false" ht="15" hidden="false" customHeight="false" outlineLevel="0" collapsed="false">
      <c r="A129" s="310" t="s">
        <v>493</v>
      </c>
      <c r="B129" s="307" t="n">
        <v>42440000</v>
      </c>
      <c r="C129" s="307" t="s">
        <v>1831</v>
      </c>
      <c r="G129" s="307" t="s">
        <v>1686</v>
      </c>
      <c r="H129" s="307" t="s">
        <v>1536</v>
      </c>
      <c r="I129" s="307" t="s">
        <v>1772</v>
      </c>
      <c r="K129" s="307" t="s">
        <v>1773</v>
      </c>
      <c r="L129" s="307" t="s">
        <v>1682</v>
      </c>
      <c r="M129" s="307" t="s">
        <v>1682</v>
      </c>
      <c r="N129" s="307" t="s">
        <v>1682</v>
      </c>
      <c r="O129" s="307" t="s">
        <v>1682</v>
      </c>
      <c r="P129" s="307" t="s">
        <v>1682</v>
      </c>
      <c r="Q129" s="318" t="n">
        <v>0</v>
      </c>
      <c r="R129" s="318" t="n">
        <v>0</v>
      </c>
      <c r="S129" s="318" t="n">
        <v>0</v>
      </c>
      <c r="T129" s="318" t="n">
        <v>0</v>
      </c>
      <c r="U129" s="318" t="n">
        <v>0</v>
      </c>
      <c r="V129" s="318" t="n">
        <v>0</v>
      </c>
      <c r="W129" s="318" t="n">
        <v>0</v>
      </c>
      <c r="X129" s="318" t="n">
        <v>0</v>
      </c>
      <c r="Y129" s="318" t="n">
        <v>0</v>
      </c>
      <c r="Z129" s="318" t="n">
        <v>0</v>
      </c>
      <c r="AA129" s="318"/>
      <c r="AB129" s="318"/>
      <c r="AC129" s="318"/>
      <c r="AD129" s="318"/>
      <c r="AE129" s="318" t="n">
        <f aca="false">R129</f>
        <v>0</v>
      </c>
      <c r="AF129" s="318" t="n">
        <f aca="false">S129-R129</f>
        <v>0</v>
      </c>
      <c r="AG129" s="318" t="n">
        <f aca="false">T129-S129</f>
        <v>0</v>
      </c>
      <c r="AH129" s="318" t="n">
        <f aca="false">U129-T129</f>
        <v>0</v>
      </c>
      <c r="AI129" s="318" t="n">
        <f aca="false">V129-U129</f>
        <v>0</v>
      </c>
      <c r="AJ129" s="318" t="n">
        <f aca="false">W129-V129</f>
        <v>0</v>
      </c>
      <c r="AK129" s="318" t="n">
        <f aca="false">X129-W129</f>
        <v>0</v>
      </c>
      <c r="AL129" s="318" t="n">
        <f aca="false">Y129-X129</f>
        <v>0</v>
      </c>
      <c r="AM129" s="318" t="n">
        <f aca="false">Z129-Y129</f>
        <v>0</v>
      </c>
      <c r="AN129" s="318" t="s">
        <v>1726</v>
      </c>
      <c r="AO129" s="318" t="n">
        <f aca="false">AB129-AA129</f>
        <v>0</v>
      </c>
      <c r="AP129" s="318" t="n">
        <f aca="false">AC129-AB129</f>
        <v>0</v>
      </c>
      <c r="AR129" s="307" t="str">
        <f aca="false">IFERROR(VLOOKUP(M129,'BS_DEC 2026'!$D$12:$D$109,1,FALSE()),"(미존재)")</f>
        <v>(미존재)</v>
      </c>
    </row>
    <row r="130" customFormat="false" ht="15" hidden="false" customHeight="false" outlineLevel="0" collapsed="false">
      <c r="A130" s="310" t="s">
        <v>493</v>
      </c>
      <c r="B130" s="307" t="n">
        <v>42490000</v>
      </c>
      <c r="C130" s="307" t="s">
        <v>1832</v>
      </c>
      <c r="G130" s="307" t="s">
        <v>1686</v>
      </c>
      <c r="H130" s="307" t="s">
        <v>1536</v>
      </c>
      <c r="I130" s="307" t="s">
        <v>1833</v>
      </c>
      <c r="K130" s="307" t="s">
        <v>1834</v>
      </c>
      <c r="L130" s="307" t="s">
        <v>1682</v>
      </c>
      <c r="M130" s="307" t="s">
        <v>1682</v>
      </c>
      <c r="N130" s="307" t="s">
        <v>1682</v>
      </c>
      <c r="O130" s="307" t="s">
        <v>1682</v>
      </c>
      <c r="P130" s="307" t="s">
        <v>1682</v>
      </c>
      <c r="Q130" s="318" t="n">
        <v>0</v>
      </c>
      <c r="R130" s="318" t="n">
        <v>0</v>
      </c>
      <c r="S130" s="318" t="n">
        <v>0</v>
      </c>
      <c r="T130" s="318" t="n">
        <v>0</v>
      </c>
      <c r="U130" s="318" t="n">
        <v>0</v>
      </c>
      <c r="V130" s="318" t="n">
        <v>0</v>
      </c>
      <c r="W130" s="318" t="n">
        <v>0</v>
      </c>
      <c r="X130" s="318" t="n">
        <v>0</v>
      </c>
      <c r="Y130" s="318" t="n">
        <v>0</v>
      </c>
      <c r="Z130" s="318" t="n">
        <v>0</v>
      </c>
      <c r="AA130" s="318"/>
      <c r="AB130" s="318"/>
      <c r="AC130" s="318"/>
      <c r="AD130" s="318"/>
      <c r="AE130" s="318" t="n">
        <f aca="false">R130</f>
        <v>0</v>
      </c>
      <c r="AF130" s="318" t="n">
        <f aca="false">S130-R130</f>
        <v>0</v>
      </c>
      <c r="AG130" s="318" t="n">
        <f aca="false">T130-S130</f>
        <v>0</v>
      </c>
      <c r="AH130" s="318" t="n">
        <f aca="false">U130-T130</f>
        <v>0</v>
      </c>
      <c r="AI130" s="318" t="n">
        <f aca="false">V130-U130</f>
        <v>0</v>
      </c>
      <c r="AJ130" s="318" t="n">
        <f aca="false">W130-V130</f>
        <v>0</v>
      </c>
      <c r="AK130" s="318" t="n">
        <f aca="false">X130-W130</f>
        <v>0</v>
      </c>
      <c r="AL130" s="318" t="n">
        <f aca="false">Y130-X130</f>
        <v>0</v>
      </c>
      <c r="AM130" s="318" t="n">
        <f aca="false">Z130-Y130</f>
        <v>0</v>
      </c>
      <c r="AN130" s="318" t="s">
        <v>1726</v>
      </c>
      <c r="AO130" s="318" t="n">
        <f aca="false">AB130-AA130</f>
        <v>0</v>
      </c>
      <c r="AP130" s="318" t="n">
        <f aca="false">AC130-AB130</f>
        <v>0</v>
      </c>
      <c r="AR130" s="307" t="str">
        <f aca="false">IFERROR(VLOOKUP(M130,'BS_DEC 2026'!$D$12:$D$109,1,FALSE()),"(미존재)")</f>
        <v>(미존재)</v>
      </c>
    </row>
    <row r="131" customFormat="false" ht="15" hidden="false" customHeight="false" outlineLevel="0" collapsed="false">
      <c r="A131" s="310" t="s">
        <v>493</v>
      </c>
      <c r="B131" s="307" t="n">
        <v>42490100</v>
      </c>
      <c r="C131" s="307" t="s">
        <v>1835</v>
      </c>
      <c r="G131" s="307" t="s">
        <v>1686</v>
      </c>
      <c r="H131" s="307" t="s">
        <v>1536</v>
      </c>
      <c r="I131" s="307" t="s">
        <v>1687</v>
      </c>
      <c r="K131" s="307" t="s">
        <v>1688</v>
      </c>
      <c r="L131" s="307" t="s">
        <v>1682</v>
      </c>
      <c r="M131" s="307" t="s">
        <v>1682</v>
      </c>
      <c r="N131" s="307" t="s">
        <v>1682</v>
      </c>
      <c r="O131" s="307" t="s">
        <v>1682</v>
      </c>
      <c r="P131" s="307" t="s">
        <v>1682</v>
      </c>
      <c r="Q131" s="318" t="n">
        <v>0</v>
      </c>
      <c r="R131" s="318" t="n">
        <v>0</v>
      </c>
      <c r="S131" s="318" t="n">
        <v>0</v>
      </c>
      <c r="T131" s="318" t="n">
        <v>0</v>
      </c>
      <c r="U131" s="318" t="n">
        <v>0</v>
      </c>
      <c r="V131" s="318" t="n">
        <v>0</v>
      </c>
      <c r="W131" s="318" t="n">
        <v>0</v>
      </c>
      <c r="X131" s="318" t="n">
        <v>0</v>
      </c>
      <c r="Y131" s="318" t="n">
        <v>0</v>
      </c>
      <c r="Z131" s="318" t="n">
        <v>0</v>
      </c>
      <c r="AA131" s="318"/>
      <c r="AB131" s="318"/>
      <c r="AC131" s="318"/>
      <c r="AD131" s="318"/>
      <c r="AE131" s="318" t="n">
        <f aca="false">R131</f>
        <v>0</v>
      </c>
      <c r="AF131" s="318" t="n">
        <f aca="false">S131-R131</f>
        <v>0</v>
      </c>
      <c r="AG131" s="318" t="n">
        <f aca="false">T131-S131</f>
        <v>0</v>
      </c>
      <c r="AH131" s="318" t="n">
        <f aca="false">U131-T131</f>
        <v>0</v>
      </c>
      <c r="AI131" s="318" t="n">
        <f aca="false">V131-U131</f>
        <v>0</v>
      </c>
      <c r="AJ131" s="318" t="n">
        <f aca="false">W131-V131</f>
        <v>0</v>
      </c>
      <c r="AK131" s="318" t="n">
        <f aca="false">X131-W131</f>
        <v>0</v>
      </c>
      <c r="AL131" s="318" t="n">
        <f aca="false">Y131-X131</f>
        <v>0</v>
      </c>
      <c r="AM131" s="318" t="n">
        <f aca="false">Z131-Y131</f>
        <v>0</v>
      </c>
      <c r="AN131" s="318" t="s">
        <v>1726</v>
      </c>
      <c r="AO131" s="318" t="n">
        <f aca="false">AB131-AA131</f>
        <v>0</v>
      </c>
      <c r="AP131" s="318" t="n">
        <f aca="false">AC131-AB131</f>
        <v>0</v>
      </c>
      <c r="AR131" s="307" t="str">
        <f aca="false">IFERROR(VLOOKUP(M131,'BS_DEC 2026'!$D$12:$D$109,1,FALSE()),"(미존재)")</f>
        <v>(미존재)</v>
      </c>
    </row>
    <row r="132" customFormat="false" ht="15" hidden="false" customHeight="false" outlineLevel="0" collapsed="false">
      <c r="A132" s="310" t="s">
        <v>493</v>
      </c>
      <c r="B132" s="307" t="n">
        <v>42490240</v>
      </c>
      <c r="C132" s="307" t="s">
        <v>1836</v>
      </c>
      <c r="D132" s="307" t="s">
        <v>1616</v>
      </c>
      <c r="E132" s="307" t="s">
        <v>1684</v>
      </c>
      <c r="F132" s="307" t="s">
        <v>1691</v>
      </c>
      <c r="G132" s="307" t="s">
        <v>1686</v>
      </c>
      <c r="H132" s="307" t="s">
        <v>1536</v>
      </c>
      <c r="I132" s="307" t="s">
        <v>1814</v>
      </c>
      <c r="K132" s="307" t="s">
        <v>1815</v>
      </c>
      <c r="L132" s="317" t="s">
        <v>157</v>
      </c>
      <c r="M132" s="317" t="s">
        <v>169</v>
      </c>
      <c r="N132" s="317" t="s">
        <v>157</v>
      </c>
      <c r="O132" s="317" t="s">
        <v>1689</v>
      </c>
      <c r="P132" s="317" t="s">
        <v>169</v>
      </c>
      <c r="Q132" s="318" t="n">
        <v>-560663980</v>
      </c>
      <c r="R132" s="318" t="n">
        <v>-902123270</v>
      </c>
      <c r="S132" s="318" t="n">
        <v>-467891860</v>
      </c>
      <c r="T132" s="318" t="n">
        <v>-2244732730</v>
      </c>
      <c r="U132" s="318" t="n">
        <v>-517269120</v>
      </c>
      <c r="V132" s="318" t="n">
        <v>-510618510</v>
      </c>
      <c r="W132" s="318" t="n">
        <v>-572766850</v>
      </c>
      <c r="X132" s="318" t="n">
        <v>-526460180</v>
      </c>
      <c r="Y132" s="318" t="n">
        <v>-507009600</v>
      </c>
      <c r="Z132" s="318" t="n">
        <v>-1404290230</v>
      </c>
      <c r="AA132" s="318"/>
      <c r="AB132" s="318"/>
      <c r="AC132" s="318"/>
      <c r="AD132" s="318"/>
      <c r="AE132" s="318" t="n">
        <f aca="false">R132</f>
        <v>-902123270</v>
      </c>
      <c r="AF132" s="318" t="n">
        <f aca="false">S132-R132</f>
        <v>434231410</v>
      </c>
      <c r="AG132" s="318" t="n">
        <f aca="false">T132-S132</f>
        <v>-1776840870</v>
      </c>
      <c r="AH132" s="318" t="n">
        <f aca="false">U132-T132</f>
        <v>1727463610</v>
      </c>
      <c r="AI132" s="318" t="n">
        <f aca="false">V132-U132</f>
        <v>6650610</v>
      </c>
      <c r="AJ132" s="318" t="n">
        <f aca="false">W132-V132</f>
        <v>-62148340</v>
      </c>
      <c r="AK132" s="318" t="n">
        <f aca="false">X132-W132</f>
        <v>46306670</v>
      </c>
      <c r="AL132" s="318" t="n">
        <f aca="false">Y132-X132</f>
        <v>19450580</v>
      </c>
      <c r="AM132" s="318" t="n">
        <f aca="false">Z132-Y132</f>
        <v>-897280630</v>
      </c>
      <c r="AN132" s="318" t="s">
        <v>1726</v>
      </c>
      <c r="AO132" s="318" t="n">
        <f aca="false">AB132-AA132</f>
        <v>0</v>
      </c>
      <c r="AP132" s="318" t="n">
        <f aca="false">AC132-AB132</f>
        <v>0</v>
      </c>
      <c r="AR132" s="307" t="str">
        <f aca="false">IFERROR(VLOOKUP(M132,'BS_DEC 2026'!$D$12:$D$109,1,FALSE()),"(미존재)")</f>
        <v>예수금</v>
      </c>
    </row>
    <row r="133" customFormat="false" ht="15" hidden="false" customHeight="false" outlineLevel="0" collapsed="false">
      <c r="A133" s="310" t="s">
        <v>493</v>
      </c>
      <c r="B133" s="307" t="n">
        <v>42490336</v>
      </c>
      <c r="C133" s="307" t="s">
        <v>1837</v>
      </c>
      <c r="G133" s="307" t="s">
        <v>1686</v>
      </c>
      <c r="H133" s="307" t="s">
        <v>1536</v>
      </c>
      <c r="I133" s="307" t="s">
        <v>1772</v>
      </c>
      <c r="K133" s="307" t="s">
        <v>1773</v>
      </c>
      <c r="L133" s="307" t="s">
        <v>1682</v>
      </c>
      <c r="M133" s="307" t="s">
        <v>1682</v>
      </c>
      <c r="N133" s="307" t="s">
        <v>1682</v>
      </c>
      <c r="O133" s="307" t="s">
        <v>1682</v>
      </c>
      <c r="P133" s="307" t="s">
        <v>1682</v>
      </c>
      <c r="Q133" s="318" t="n">
        <v>0</v>
      </c>
      <c r="R133" s="318" t="n">
        <v>0</v>
      </c>
      <c r="S133" s="318" t="n">
        <v>0</v>
      </c>
      <c r="T133" s="318" t="n">
        <v>0</v>
      </c>
      <c r="U133" s="318" t="n">
        <v>0</v>
      </c>
      <c r="V133" s="318" t="n">
        <v>0</v>
      </c>
      <c r="W133" s="318" t="n">
        <v>0</v>
      </c>
      <c r="X133" s="318" t="n">
        <v>0</v>
      </c>
      <c r="Y133" s="318" t="n">
        <v>0</v>
      </c>
      <c r="Z133" s="318" t="n">
        <v>0</v>
      </c>
      <c r="AA133" s="318"/>
      <c r="AB133" s="318"/>
      <c r="AC133" s="318"/>
      <c r="AD133" s="318"/>
      <c r="AE133" s="318" t="n">
        <f aca="false">R133</f>
        <v>0</v>
      </c>
      <c r="AF133" s="318" t="n">
        <f aca="false">S133-R133</f>
        <v>0</v>
      </c>
      <c r="AG133" s="318" t="n">
        <f aca="false">T133-S133</f>
        <v>0</v>
      </c>
      <c r="AH133" s="318" t="n">
        <f aca="false">U133-T133</f>
        <v>0</v>
      </c>
      <c r="AI133" s="318" t="n">
        <f aca="false">V133-U133</f>
        <v>0</v>
      </c>
      <c r="AJ133" s="318" t="n">
        <f aca="false">W133-V133</f>
        <v>0</v>
      </c>
      <c r="AK133" s="318" t="n">
        <f aca="false">X133-W133</f>
        <v>0</v>
      </c>
      <c r="AL133" s="318" t="n">
        <f aca="false">Y133-X133</f>
        <v>0</v>
      </c>
      <c r="AM133" s="318" t="n">
        <f aca="false">Z133-Y133</f>
        <v>0</v>
      </c>
      <c r="AN133" s="318" t="s">
        <v>1726</v>
      </c>
      <c r="AO133" s="318" t="n">
        <f aca="false">AB133-AA133</f>
        <v>0</v>
      </c>
      <c r="AP133" s="318" t="n">
        <f aca="false">AC133-AB133</f>
        <v>0</v>
      </c>
      <c r="AR133" s="307" t="str">
        <f aca="false">IFERROR(VLOOKUP(M133,'BS_DEC 2026'!$D$12:$D$109,1,FALSE()),"(미존재)")</f>
        <v>(미존재)</v>
      </c>
    </row>
    <row r="134" customFormat="false" ht="15" hidden="false" customHeight="false" outlineLevel="0" collapsed="false">
      <c r="A134" s="310" t="s">
        <v>493</v>
      </c>
      <c r="B134" s="307" t="n">
        <v>42570000</v>
      </c>
      <c r="C134" s="307" t="s">
        <v>1838</v>
      </c>
      <c r="G134" s="307" t="s">
        <v>1686</v>
      </c>
      <c r="H134" s="307" t="s">
        <v>1536</v>
      </c>
      <c r="I134" s="307" t="s">
        <v>1839</v>
      </c>
      <c r="K134" s="307" t="s">
        <v>1840</v>
      </c>
      <c r="L134" s="307" t="s">
        <v>1682</v>
      </c>
      <c r="M134" s="307" t="s">
        <v>1682</v>
      </c>
      <c r="N134" s="307" t="s">
        <v>1682</v>
      </c>
      <c r="O134" s="307" t="s">
        <v>1682</v>
      </c>
      <c r="P134" s="307" t="s">
        <v>1682</v>
      </c>
      <c r="Q134" s="318" t="n">
        <v>0</v>
      </c>
      <c r="R134" s="318" t="n">
        <v>0</v>
      </c>
      <c r="S134" s="318" t="n">
        <v>0</v>
      </c>
      <c r="T134" s="318" t="n">
        <v>0</v>
      </c>
      <c r="U134" s="318" t="n">
        <v>0</v>
      </c>
      <c r="V134" s="318" t="n">
        <v>0</v>
      </c>
      <c r="W134" s="318" t="n">
        <v>0</v>
      </c>
      <c r="X134" s="318" t="n">
        <v>0</v>
      </c>
      <c r="Y134" s="318" t="n">
        <v>0</v>
      </c>
      <c r="Z134" s="318" t="n">
        <v>0</v>
      </c>
      <c r="AA134" s="318"/>
      <c r="AB134" s="318"/>
      <c r="AC134" s="318"/>
      <c r="AD134" s="318"/>
      <c r="AE134" s="318" t="n">
        <f aca="false">R134</f>
        <v>0</v>
      </c>
      <c r="AF134" s="318" t="n">
        <f aca="false">S134-R134</f>
        <v>0</v>
      </c>
      <c r="AG134" s="318" t="n">
        <f aca="false">T134-S134</f>
        <v>0</v>
      </c>
      <c r="AH134" s="318" t="n">
        <f aca="false">U134-T134</f>
        <v>0</v>
      </c>
      <c r="AI134" s="318" t="n">
        <f aca="false">V134-U134</f>
        <v>0</v>
      </c>
      <c r="AJ134" s="318" t="n">
        <f aca="false">W134-V134</f>
        <v>0</v>
      </c>
      <c r="AK134" s="318" t="n">
        <f aca="false">X134-W134</f>
        <v>0</v>
      </c>
      <c r="AL134" s="318" t="n">
        <f aca="false">Y134-X134</f>
        <v>0</v>
      </c>
      <c r="AM134" s="318" t="n">
        <f aca="false">Z134-Y134</f>
        <v>0</v>
      </c>
      <c r="AN134" s="318" t="s">
        <v>1726</v>
      </c>
      <c r="AO134" s="318" t="n">
        <f aca="false">AB134-AA134</f>
        <v>0</v>
      </c>
      <c r="AP134" s="318" t="n">
        <f aca="false">AC134-AB134</f>
        <v>0</v>
      </c>
      <c r="AR134" s="307" t="str">
        <f aca="false">IFERROR(VLOOKUP(M134,'BS_DEC 2026'!$D$12:$D$109,1,FALSE()),"(미존재)")</f>
        <v>(미존재)</v>
      </c>
    </row>
    <row r="135" customFormat="false" ht="15" hidden="false" customHeight="false" outlineLevel="0" collapsed="false">
      <c r="A135" s="310" t="s">
        <v>493</v>
      </c>
      <c r="B135" s="307" t="n">
        <v>42910000</v>
      </c>
      <c r="C135" s="307" t="s">
        <v>1841</v>
      </c>
      <c r="D135" s="307" t="s">
        <v>1616</v>
      </c>
      <c r="E135" s="307" t="s">
        <v>1684</v>
      </c>
      <c r="F135" s="307" t="s">
        <v>1685</v>
      </c>
      <c r="G135" s="307" t="s">
        <v>1686</v>
      </c>
      <c r="H135" s="307" t="s">
        <v>1536</v>
      </c>
      <c r="I135" s="307" t="s">
        <v>1782</v>
      </c>
      <c r="K135" s="307" t="s">
        <v>1783</v>
      </c>
      <c r="L135" s="317" t="s">
        <v>157</v>
      </c>
      <c r="M135" s="317" t="s">
        <v>171</v>
      </c>
      <c r="N135" s="317" t="s">
        <v>157</v>
      </c>
      <c r="O135" s="317" t="s">
        <v>1689</v>
      </c>
      <c r="P135" s="317" t="s">
        <v>171</v>
      </c>
      <c r="Q135" s="318" t="n">
        <v>-11574162239</v>
      </c>
      <c r="R135" s="318" t="n">
        <v>-8614006018</v>
      </c>
      <c r="S135" s="318" t="n">
        <v>-8766112097</v>
      </c>
      <c r="T135" s="318" t="n">
        <v>-7803742869</v>
      </c>
      <c r="U135" s="318" t="n">
        <v>-11386594580</v>
      </c>
      <c r="V135" s="318" t="n">
        <v>-5825195027</v>
      </c>
      <c r="W135" s="318" t="n">
        <v>-5917982171</v>
      </c>
      <c r="X135" s="318" t="n">
        <v>4206529668</v>
      </c>
      <c r="Y135" s="318" t="n">
        <v>1257160025</v>
      </c>
      <c r="Z135" s="318" t="n">
        <v>-1472152548</v>
      </c>
      <c r="AA135" s="318"/>
      <c r="AB135" s="318"/>
      <c r="AC135" s="318"/>
      <c r="AD135" s="318"/>
      <c r="AE135" s="318" t="n">
        <f aca="false">R135</f>
        <v>-8614006018</v>
      </c>
      <c r="AF135" s="318" t="n">
        <f aca="false">S135-R135</f>
        <v>-152106079</v>
      </c>
      <c r="AG135" s="318" t="n">
        <f aca="false">T135-S135</f>
        <v>962369228</v>
      </c>
      <c r="AH135" s="318" t="n">
        <f aca="false">U135-T135</f>
        <v>-3582851711</v>
      </c>
      <c r="AI135" s="318" t="n">
        <f aca="false">V135-U135</f>
        <v>5561399553</v>
      </c>
      <c r="AJ135" s="318" t="n">
        <f aca="false">W135-V135</f>
        <v>-92787144</v>
      </c>
      <c r="AK135" s="318" t="n">
        <f aca="false">X135-W135</f>
        <v>10124511839</v>
      </c>
      <c r="AL135" s="318" t="n">
        <f aca="false">Y135-X135</f>
        <v>-2949369643</v>
      </c>
      <c r="AM135" s="318" t="n">
        <f aca="false">Z135-Y135</f>
        <v>-2729312573</v>
      </c>
      <c r="AN135" s="318" t="s">
        <v>1726</v>
      </c>
      <c r="AO135" s="318" t="n">
        <f aca="false">AB135-AA135</f>
        <v>0</v>
      </c>
      <c r="AP135" s="318" t="n">
        <f aca="false">AC135-AB135</f>
        <v>0</v>
      </c>
      <c r="AR135" s="307" t="str">
        <f aca="false">IFERROR(VLOOKUP(M135,'BS_DEC 2026'!$D$12:$D$109,1,FALSE()),"(미존재)")</f>
        <v>미지급비용</v>
      </c>
    </row>
    <row r="136" customFormat="false" ht="15" hidden="false" customHeight="false" outlineLevel="0" collapsed="false">
      <c r="A136" s="310" t="s">
        <v>493</v>
      </c>
      <c r="B136" s="307" t="n">
        <v>42910012</v>
      </c>
      <c r="C136" s="307" t="s">
        <v>1842</v>
      </c>
      <c r="D136" s="307" t="s">
        <v>1616</v>
      </c>
      <c r="E136" s="307" t="s">
        <v>1684</v>
      </c>
      <c r="F136" s="307" t="s">
        <v>1685</v>
      </c>
      <c r="G136" s="307" t="s">
        <v>1686</v>
      </c>
      <c r="H136" s="307" t="s">
        <v>1536</v>
      </c>
      <c r="I136" s="307" t="s">
        <v>1843</v>
      </c>
      <c r="K136" s="307" t="s">
        <v>1844</v>
      </c>
      <c r="L136" s="317" t="s">
        <v>157</v>
      </c>
      <c r="M136" s="317" t="s">
        <v>171</v>
      </c>
      <c r="N136" s="317" t="s">
        <v>157</v>
      </c>
      <c r="O136" s="317" t="s">
        <v>1689</v>
      </c>
      <c r="P136" s="317" t="s">
        <v>171</v>
      </c>
      <c r="Q136" s="318" t="n">
        <v>0</v>
      </c>
      <c r="R136" s="318" t="n">
        <v>0</v>
      </c>
      <c r="S136" s="318" t="n">
        <v>0</v>
      </c>
      <c r="T136" s="318" t="n">
        <v>0</v>
      </c>
      <c r="U136" s="318" t="n">
        <v>0</v>
      </c>
      <c r="V136" s="318" t="n">
        <v>0</v>
      </c>
      <c r="W136" s="318" t="n">
        <v>0</v>
      </c>
      <c r="X136" s="318" t="n">
        <v>0</v>
      </c>
      <c r="Y136" s="318" t="n">
        <v>0</v>
      </c>
      <c r="Z136" s="318" t="n">
        <v>0</v>
      </c>
      <c r="AA136" s="318"/>
      <c r="AB136" s="318"/>
      <c r="AC136" s="318"/>
      <c r="AD136" s="318"/>
      <c r="AE136" s="318" t="n">
        <f aca="false">R136</f>
        <v>0</v>
      </c>
      <c r="AF136" s="318" t="n">
        <f aca="false">S136-R136</f>
        <v>0</v>
      </c>
      <c r="AG136" s="318" t="n">
        <f aca="false">T136-S136</f>
        <v>0</v>
      </c>
      <c r="AH136" s="318" t="n">
        <f aca="false">U136-T136</f>
        <v>0</v>
      </c>
      <c r="AI136" s="318" t="n">
        <f aca="false">V136-U136</f>
        <v>0</v>
      </c>
      <c r="AJ136" s="318" t="n">
        <f aca="false">W136-V136</f>
        <v>0</v>
      </c>
      <c r="AK136" s="318" t="n">
        <f aca="false">X136-W136</f>
        <v>0</v>
      </c>
      <c r="AL136" s="318" t="n">
        <f aca="false">Y136-X136</f>
        <v>0</v>
      </c>
      <c r="AM136" s="318" t="n">
        <f aca="false">Z136-Y136</f>
        <v>0</v>
      </c>
      <c r="AN136" s="318" t="s">
        <v>1726</v>
      </c>
      <c r="AO136" s="318" t="n">
        <f aca="false">AB136-AA136</f>
        <v>0</v>
      </c>
      <c r="AP136" s="318" t="n">
        <f aca="false">AC136-AB136</f>
        <v>0</v>
      </c>
      <c r="AR136" s="307" t="str">
        <f aca="false">IFERROR(VLOOKUP(M136,'BS_DEC 2026'!$D$12:$D$109,1,FALSE()),"(미존재)")</f>
        <v>미지급비용</v>
      </c>
    </row>
    <row r="137" customFormat="false" ht="15" hidden="false" customHeight="false" outlineLevel="0" collapsed="false">
      <c r="A137" s="310" t="s">
        <v>493</v>
      </c>
      <c r="B137" s="307" t="n">
        <v>42910018</v>
      </c>
      <c r="C137" s="307" t="s">
        <v>1845</v>
      </c>
      <c r="G137" s="307" t="s">
        <v>1686</v>
      </c>
      <c r="H137" s="307" t="s">
        <v>1536</v>
      </c>
      <c r="I137" s="307" t="s">
        <v>1782</v>
      </c>
      <c r="K137" s="307" t="s">
        <v>1783</v>
      </c>
      <c r="L137" s="317" t="s">
        <v>157</v>
      </c>
      <c r="M137" s="317" t="s">
        <v>171</v>
      </c>
      <c r="N137" s="317" t="s">
        <v>157</v>
      </c>
      <c r="O137" s="317" t="s">
        <v>1689</v>
      </c>
      <c r="P137" s="317" t="s">
        <v>169</v>
      </c>
      <c r="Q137" s="318" t="n">
        <v>-25740</v>
      </c>
      <c r="R137" s="318" t="n">
        <v>-182490</v>
      </c>
      <c r="S137" s="318" t="n">
        <v>-156750</v>
      </c>
      <c r="T137" s="318" t="n">
        <v>0</v>
      </c>
      <c r="U137" s="318" t="n">
        <v>0</v>
      </c>
      <c r="V137" s="318" t="n">
        <v>0</v>
      </c>
      <c r="W137" s="318" t="n">
        <v>0</v>
      </c>
      <c r="X137" s="318" t="n">
        <v>0</v>
      </c>
      <c r="Y137" s="318" t="n">
        <v>0</v>
      </c>
      <c r="Z137" s="318" t="n">
        <v>-207900</v>
      </c>
      <c r="AA137" s="318"/>
      <c r="AB137" s="318"/>
      <c r="AC137" s="318"/>
      <c r="AD137" s="318"/>
      <c r="AE137" s="318" t="n">
        <f aca="false">R137</f>
        <v>-182490</v>
      </c>
      <c r="AF137" s="318" t="n">
        <f aca="false">S137-R137</f>
        <v>25740</v>
      </c>
      <c r="AG137" s="318" t="n">
        <f aca="false">T137-S137</f>
        <v>156750</v>
      </c>
      <c r="AH137" s="318" t="n">
        <f aca="false">U137-T137</f>
        <v>0</v>
      </c>
      <c r="AI137" s="318" t="n">
        <f aca="false">V137-U137</f>
        <v>0</v>
      </c>
      <c r="AJ137" s="318" t="n">
        <f aca="false">W137-V137</f>
        <v>0</v>
      </c>
      <c r="AK137" s="318" t="n">
        <f aca="false">X137-W137</f>
        <v>0</v>
      </c>
      <c r="AL137" s="318" t="n">
        <f aca="false">Y137-X137</f>
        <v>0</v>
      </c>
      <c r="AM137" s="318" t="n">
        <f aca="false">Z137-Y137</f>
        <v>-207900</v>
      </c>
      <c r="AN137" s="318" t="s">
        <v>1726</v>
      </c>
      <c r="AO137" s="318" t="n">
        <f aca="false">AB137-AA137</f>
        <v>0</v>
      </c>
      <c r="AP137" s="318" t="n">
        <f aca="false">AC137-AB137</f>
        <v>0</v>
      </c>
      <c r="AR137" s="307" t="str">
        <f aca="false">IFERROR(VLOOKUP(M137,'BS_DEC 2026'!$D$12:$D$109,1,FALSE()),"(미존재)")</f>
        <v>미지급비용</v>
      </c>
    </row>
    <row r="138" customFormat="false" ht="15" hidden="false" customHeight="false" outlineLevel="0" collapsed="false">
      <c r="A138" s="310" t="s">
        <v>493</v>
      </c>
      <c r="B138" s="307" t="n">
        <v>42910102</v>
      </c>
      <c r="C138" s="307" t="s">
        <v>1846</v>
      </c>
      <c r="D138" s="307" t="s">
        <v>1616</v>
      </c>
      <c r="E138" s="307" t="s">
        <v>1684</v>
      </c>
      <c r="F138" s="307" t="s">
        <v>1685</v>
      </c>
      <c r="G138" s="307" t="s">
        <v>1686</v>
      </c>
      <c r="H138" s="307" t="s">
        <v>1536</v>
      </c>
      <c r="I138" s="307" t="s">
        <v>1847</v>
      </c>
      <c r="K138" s="307" t="s">
        <v>1848</v>
      </c>
      <c r="L138" s="317" t="s">
        <v>157</v>
      </c>
      <c r="M138" s="317" t="s">
        <v>171</v>
      </c>
      <c r="N138" s="317" t="s">
        <v>157</v>
      </c>
      <c r="O138" s="317" t="s">
        <v>1689</v>
      </c>
      <c r="P138" s="317" t="s">
        <v>171</v>
      </c>
      <c r="Q138" s="318" t="n">
        <v>-52227560299</v>
      </c>
      <c r="R138" s="318" t="n">
        <v>-57016250594</v>
      </c>
      <c r="S138" s="318" t="n">
        <v>-62527363257</v>
      </c>
      <c r="T138" s="318" t="n">
        <v>-54543696892</v>
      </c>
      <c r="U138" s="318" t="n">
        <v>-59484075204</v>
      </c>
      <c r="V138" s="318" t="n">
        <v>-65036492188</v>
      </c>
      <c r="W138" s="318" t="n">
        <v>-46085730884</v>
      </c>
      <c r="X138" s="318" t="n">
        <v>-50978115219</v>
      </c>
      <c r="Y138" s="318" t="n">
        <v>-56329077858</v>
      </c>
      <c r="Z138" s="318" t="n">
        <v>-50044282649</v>
      </c>
      <c r="AA138" s="318"/>
      <c r="AB138" s="318"/>
      <c r="AC138" s="318"/>
      <c r="AD138" s="318"/>
      <c r="AE138" s="318" t="n">
        <f aca="false">R138</f>
        <v>-57016250594</v>
      </c>
      <c r="AF138" s="318" t="n">
        <f aca="false">S138-R138</f>
        <v>-5511112663</v>
      </c>
      <c r="AG138" s="318" t="n">
        <f aca="false">T138-S138</f>
        <v>7983666365</v>
      </c>
      <c r="AH138" s="318" t="n">
        <f aca="false">U138-T138</f>
        <v>-4940378312</v>
      </c>
      <c r="AI138" s="318" t="n">
        <f aca="false">V138-U138</f>
        <v>-5552416984</v>
      </c>
      <c r="AJ138" s="318" t="n">
        <f aca="false">W138-V138</f>
        <v>18950761304</v>
      </c>
      <c r="AK138" s="318" t="n">
        <f aca="false">X138-W138</f>
        <v>-4892384335</v>
      </c>
      <c r="AL138" s="318" t="n">
        <f aca="false">Y138-X138</f>
        <v>-5350962639</v>
      </c>
      <c r="AM138" s="318" t="n">
        <f aca="false">Z138-Y138</f>
        <v>6284795209</v>
      </c>
      <c r="AN138" s="318" t="s">
        <v>1726</v>
      </c>
      <c r="AO138" s="318" t="n">
        <f aca="false">AB138-AA138</f>
        <v>0</v>
      </c>
      <c r="AP138" s="318" t="n">
        <f aca="false">AC138-AB138</f>
        <v>0</v>
      </c>
      <c r="AR138" s="307" t="str">
        <f aca="false">IFERROR(VLOOKUP(M138,'BS_DEC 2026'!$D$12:$D$109,1,FALSE()),"(미존재)")</f>
        <v>미지급비용</v>
      </c>
    </row>
    <row r="139" customFormat="false" ht="15" hidden="false" customHeight="false" outlineLevel="0" collapsed="false">
      <c r="A139" s="310" t="s">
        <v>493</v>
      </c>
      <c r="B139" s="307" t="n">
        <v>42910311</v>
      </c>
      <c r="C139" s="307" t="s">
        <v>1849</v>
      </c>
      <c r="D139" s="307" t="s">
        <v>1616</v>
      </c>
      <c r="E139" s="307" t="s">
        <v>1684</v>
      </c>
      <c r="F139" s="307" t="s">
        <v>1685</v>
      </c>
      <c r="G139" s="307" t="s">
        <v>1686</v>
      </c>
      <c r="H139" s="307" t="s">
        <v>1536</v>
      </c>
      <c r="I139" s="307" t="s">
        <v>1850</v>
      </c>
      <c r="K139" s="307" t="s">
        <v>1851</v>
      </c>
      <c r="L139" s="317" t="s">
        <v>157</v>
      </c>
      <c r="M139" s="317" t="s">
        <v>171</v>
      </c>
      <c r="N139" s="317" t="s">
        <v>157</v>
      </c>
      <c r="O139" s="317" t="s">
        <v>1689</v>
      </c>
      <c r="P139" s="317" t="s">
        <v>171</v>
      </c>
      <c r="Q139" s="318" t="n">
        <v>-122500000</v>
      </c>
      <c r="R139" s="318" t="n">
        <v>-122500000</v>
      </c>
      <c r="S139" s="318" t="n">
        <v>-122500000</v>
      </c>
      <c r="T139" s="318" t="n">
        <v>-108500000</v>
      </c>
      <c r="U139" s="318" t="n">
        <v>-101500000</v>
      </c>
      <c r="V139" s="318" t="n">
        <v>-108500000</v>
      </c>
      <c r="W139" s="318" t="n">
        <v>-49000000</v>
      </c>
      <c r="X139" s="318" t="n">
        <v>-49000000</v>
      </c>
      <c r="Y139" s="318" t="n">
        <v>-49000000</v>
      </c>
      <c r="Z139" s="318" t="n">
        <v>-42000000</v>
      </c>
      <c r="AA139" s="318"/>
      <c r="AB139" s="318"/>
      <c r="AC139" s="318"/>
      <c r="AD139" s="318"/>
      <c r="AE139" s="318" t="n">
        <f aca="false">R139</f>
        <v>-122500000</v>
      </c>
      <c r="AF139" s="318" t="n">
        <f aca="false">S139-R139</f>
        <v>0</v>
      </c>
      <c r="AG139" s="318" t="n">
        <f aca="false">T139-S139</f>
        <v>14000000</v>
      </c>
      <c r="AH139" s="318" t="n">
        <f aca="false">U139-T139</f>
        <v>7000000</v>
      </c>
      <c r="AI139" s="318" t="n">
        <f aca="false">V139-U139</f>
        <v>-7000000</v>
      </c>
      <c r="AJ139" s="318" t="n">
        <f aca="false">W139-V139</f>
        <v>59500000</v>
      </c>
      <c r="AK139" s="318" t="n">
        <f aca="false">X139-W139</f>
        <v>0</v>
      </c>
      <c r="AL139" s="318" t="n">
        <f aca="false">Y139-X139</f>
        <v>0</v>
      </c>
      <c r="AM139" s="318" t="n">
        <f aca="false">Z139-Y139</f>
        <v>7000000</v>
      </c>
      <c r="AN139" s="318" t="s">
        <v>1726</v>
      </c>
      <c r="AO139" s="318" t="n">
        <f aca="false">AB139-AA139</f>
        <v>0</v>
      </c>
      <c r="AP139" s="318" t="n">
        <f aca="false">AC139-AB139</f>
        <v>0</v>
      </c>
      <c r="AR139" s="307" t="str">
        <f aca="false">IFERROR(VLOOKUP(M139,'BS_DEC 2026'!$D$12:$D$109,1,FALSE()),"(미존재)")</f>
        <v>미지급비용</v>
      </c>
    </row>
    <row r="140" customFormat="false" ht="15" hidden="false" customHeight="false" outlineLevel="0" collapsed="false">
      <c r="A140" s="310" t="s">
        <v>493</v>
      </c>
      <c r="B140" s="307" t="n">
        <v>42910850</v>
      </c>
      <c r="C140" s="307" t="s">
        <v>1852</v>
      </c>
      <c r="D140" s="307" t="s">
        <v>1616</v>
      </c>
      <c r="E140" s="307" t="s">
        <v>1684</v>
      </c>
      <c r="F140" s="307" t="s">
        <v>1685</v>
      </c>
      <c r="G140" s="307" t="s">
        <v>1686</v>
      </c>
      <c r="H140" s="307" t="s">
        <v>1536</v>
      </c>
      <c r="I140" s="307" t="s">
        <v>1847</v>
      </c>
      <c r="K140" s="307" t="s">
        <v>1848</v>
      </c>
      <c r="L140" s="317" t="s">
        <v>157</v>
      </c>
      <c r="M140" s="317" t="s">
        <v>171</v>
      </c>
      <c r="N140" s="317" t="s">
        <v>157</v>
      </c>
      <c r="O140" s="317" t="s">
        <v>1689</v>
      </c>
      <c r="P140" s="317" t="s">
        <v>171</v>
      </c>
      <c r="Q140" s="318" t="n">
        <v>-1003866748</v>
      </c>
      <c r="R140" s="318" t="n">
        <v>-865871412</v>
      </c>
      <c r="S140" s="318" t="n">
        <v>-735134999</v>
      </c>
      <c r="T140" s="318" t="n">
        <v>-737930784</v>
      </c>
      <c r="U140" s="318" t="n">
        <v>-734266941</v>
      </c>
      <c r="V140" s="318" t="n">
        <v>-709811321</v>
      </c>
      <c r="W140" s="318" t="n">
        <v>-670236662</v>
      </c>
      <c r="X140" s="318" t="n">
        <v>-686356100</v>
      </c>
      <c r="Y140" s="318" t="n">
        <v>-750938418</v>
      </c>
      <c r="Z140" s="318" t="n">
        <v>-758423387</v>
      </c>
      <c r="AA140" s="318"/>
      <c r="AB140" s="318"/>
      <c r="AC140" s="318"/>
      <c r="AD140" s="318"/>
      <c r="AE140" s="318" t="n">
        <f aca="false">R140</f>
        <v>-865871412</v>
      </c>
      <c r="AF140" s="318" t="n">
        <f aca="false">S140-R140</f>
        <v>130736413</v>
      </c>
      <c r="AG140" s="318" t="n">
        <f aca="false">T140-S140</f>
        <v>-2795785</v>
      </c>
      <c r="AH140" s="318" t="n">
        <f aca="false">U140-T140</f>
        <v>3663843</v>
      </c>
      <c r="AI140" s="318" t="n">
        <f aca="false">V140-U140</f>
        <v>24455620</v>
      </c>
      <c r="AJ140" s="318" t="n">
        <f aca="false">W140-V140</f>
        <v>39574659</v>
      </c>
      <c r="AK140" s="318" t="n">
        <f aca="false">X140-W140</f>
        <v>-16119438</v>
      </c>
      <c r="AL140" s="318" t="n">
        <f aca="false">Y140-X140</f>
        <v>-64582318</v>
      </c>
      <c r="AM140" s="318" t="n">
        <f aca="false">Z140-Y140</f>
        <v>-7484969</v>
      </c>
      <c r="AN140" s="318" t="s">
        <v>1726</v>
      </c>
      <c r="AO140" s="318" t="n">
        <f aca="false">AB140-AA140</f>
        <v>0</v>
      </c>
      <c r="AP140" s="318" t="n">
        <f aca="false">AC140-AB140</f>
        <v>0</v>
      </c>
      <c r="AR140" s="307" t="str">
        <f aca="false">IFERROR(VLOOKUP(M140,'BS_DEC 2026'!$D$12:$D$109,1,FALSE()),"(미존재)")</f>
        <v>미지급비용</v>
      </c>
    </row>
    <row r="141" customFormat="false" ht="15" hidden="false" customHeight="false" outlineLevel="0" collapsed="false">
      <c r="A141" s="310" t="s">
        <v>493</v>
      </c>
      <c r="B141" s="307" t="n">
        <v>42910851</v>
      </c>
      <c r="C141" s="307" t="s">
        <v>1853</v>
      </c>
      <c r="D141" s="307" t="s">
        <v>1616</v>
      </c>
      <c r="E141" s="307" t="s">
        <v>1684</v>
      </c>
      <c r="F141" s="307" t="s">
        <v>1685</v>
      </c>
      <c r="G141" s="307" t="s">
        <v>1686</v>
      </c>
      <c r="H141" s="307" t="s">
        <v>1536</v>
      </c>
      <c r="I141" s="307" t="s">
        <v>1854</v>
      </c>
      <c r="L141" s="317" t="s">
        <v>157</v>
      </c>
      <c r="M141" s="317" t="s">
        <v>171</v>
      </c>
      <c r="N141" s="317" t="s">
        <v>157</v>
      </c>
      <c r="O141" s="317" t="s">
        <v>1689</v>
      </c>
      <c r="P141" s="317" t="s">
        <v>171</v>
      </c>
      <c r="Q141" s="318"/>
      <c r="R141" s="318" t="n">
        <v>0</v>
      </c>
      <c r="S141" s="318"/>
      <c r="T141" s="318"/>
      <c r="U141" s="318"/>
      <c r="V141" s="318"/>
      <c r="W141" s="318"/>
      <c r="X141" s="318" t="n">
        <v>-738932000</v>
      </c>
      <c r="Y141" s="318" t="n">
        <v>-4741360545</v>
      </c>
      <c r="Z141" s="318" t="n">
        <v>-5015243935</v>
      </c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 t="n">
        <f aca="false">W141-V141</f>
        <v>0</v>
      </c>
      <c r="AK141" s="318" t="n">
        <f aca="false">X141-W141</f>
        <v>-738932000</v>
      </c>
      <c r="AL141" s="318" t="n">
        <f aca="false">Y141-X141</f>
        <v>-4002428545</v>
      </c>
      <c r="AM141" s="318" t="n">
        <f aca="false">Z141-Y141</f>
        <v>-273883390</v>
      </c>
      <c r="AN141" s="318" t="s">
        <v>1726</v>
      </c>
      <c r="AO141" s="318" t="n">
        <f aca="false">AB141-AA141</f>
        <v>0</v>
      </c>
      <c r="AP141" s="318" t="n">
        <f aca="false">AC141-AB141</f>
        <v>0</v>
      </c>
      <c r="AR141" s="307" t="str">
        <f aca="false">IFERROR(VLOOKUP(M141,'BS_DEC 2026'!$D$12:$D$109,1,FALSE()),"(미존재)")</f>
        <v>미지급비용</v>
      </c>
    </row>
    <row r="142" customFormat="false" ht="15" hidden="false" customHeight="false" outlineLevel="0" collapsed="false">
      <c r="A142" s="310" t="s">
        <v>493</v>
      </c>
      <c r="B142" s="307" t="n">
        <v>42910852</v>
      </c>
      <c r="C142" s="307" t="s">
        <v>1855</v>
      </c>
      <c r="D142" s="307" t="s">
        <v>1616</v>
      </c>
      <c r="E142" s="307" t="s">
        <v>1684</v>
      </c>
      <c r="F142" s="307" t="s">
        <v>1685</v>
      </c>
      <c r="G142" s="307" t="s">
        <v>1686</v>
      </c>
      <c r="H142" s="307" t="s">
        <v>1536</v>
      </c>
      <c r="I142" s="307" t="s">
        <v>1847</v>
      </c>
      <c r="K142" s="307" t="s">
        <v>1848</v>
      </c>
      <c r="L142" s="317" t="s">
        <v>157</v>
      </c>
      <c r="M142" s="317" t="s">
        <v>171</v>
      </c>
      <c r="N142" s="317" t="s">
        <v>157</v>
      </c>
      <c r="O142" s="317" t="s">
        <v>1689</v>
      </c>
      <c r="P142" s="317" t="s">
        <v>171</v>
      </c>
      <c r="Q142" s="318" t="n">
        <v>-5108547535</v>
      </c>
      <c r="R142" s="318" t="n">
        <v>-5827346736</v>
      </c>
      <c r="S142" s="318" t="n">
        <v>-5446879002</v>
      </c>
      <c r="T142" s="318" t="n">
        <v>-5387407897</v>
      </c>
      <c r="U142" s="318" t="n">
        <v>-5814953967</v>
      </c>
      <c r="V142" s="318" t="n">
        <v>-6409439038</v>
      </c>
      <c r="W142" s="318" t="n">
        <v>-7204100409</v>
      </c>
      <c r="X142" s="318" t="n">
        <v>-8061777394</v>
      </c>
      <c r="Y142" s="318" t="n">
        <v>-8548109455</v>
      </c>
      <c r="Z142" s="318" t="n">
        <v>-10532431629</v>
      </c>
      <c r="AA142" s="318"/>
      <c r="AB142" s="318"/>
      <c r="AC142" s="318"/>
      <c r="AD142" s="318"/>
      <c r="AE142" s="318" t="n">
        <f aca="false">R142</f>
        <v>-5827346736</v>
      </c>
      <c r="AF142" s="318" t="n">
        <f aca="false">S142-R142</f>
        <v>380467734</v>
      </c>
      <c r="AG142" s="318" t="n">
        <f aca="false">T142-S142</f>
        <v>59471105</v>
      </c>
      <c r="AH142" s="318" t="n">
        <f aca="false">U142-T142</f>
        <v>-427546070</v>
      </c>
      <c r="AI142" s="318" t="n">
        <f aca="false">V142-U142</f>
        <v>-594485071</v>
      </c>
      <c r="AJ142" s="318" t="n">
        <f aca="false">W142-V142</f>
        <v>-794661371</v>
      </c>
      <c r="AK142" s="318" t="n">
        <f aca="false">X142-W142</f>
        <v>-857676985</v>
      </c>
      <c r="AL142" s="318" t="n">
        <f aca="false">Y142-X142</f>
        <v>-486332061</v>
      </c>
      <c r="AM142" s="318" t="n">
        <f aca="false">Z142-Y142</f>
        <v>-1984322174</v>
      </c>
      <c r="AN142" s="318" t="s">
        <v>1726</v>
      </c>
      <c r="AO142" s="318" t="n">
        <f aca="false">AB142-AA142</f>
        <v>0</v>
      </c>
      <c r="AP142" s="318" t="n">
        <f aca="false">AC142-AB142</f>
        <v>0</v>
      </c>
      <c r="AR142" s="307" t="str">
        <f aca="false">IFERROR(VLOOKUP(M142,'BS_DEC 2026'!$D$12:$D$109,1,FALSE()),"(미존재)")</f>
        <v>미지급비용</v>
      </c>
    </row>
    <row r="143" customFormat="false" ht="15" hidden="false" customHeight="false" outlineLevel="0" collapsed="false">
      <c r="A143" s="310" t="s">
        <v>493</v>
      </c>
      <c r="B143" s="307" t="n">
        <v>42910853</v>
      </c>
      <c r="C143" s="307" t="s">
        <v>1856</v>
      </c>
      <c r="D143" s="307" t="s">
        <v>1616</v>
      </c>
      <c r="E143" s="307" t="s">
        <v>1684</v>
      </c>
      <c r="F143" s="307" t="s">
        <v>1685</v>
      </c>
      <c r="G143" s="307" t="s">
        <v>1686</v>
      </c>
      <c r="H143" s="307" t="s">
        <v>1536</v>
      </c>
      <c r="I143" s="307" t="s">
        <v>1847</v>
      </c>
      <c r="K143" s="307" t="s">
        <v>1848</v>
      </c>
      <c r="L143" s="317" t="s">
        <v>157</v>
      </c>
      <c r="M143" s="317" t="s">
        <v>171</v>
      </c>
      <c r="N143" s="317" t="s">
        <v>157</v>
      </c>
      <c r="O143" s="317" t="s">
        <v>1689</v>
      </c>
      <c r="P143" s="317" t="s">
        <v>171</v>
      </c>
      <c r="Q143" s="318" t="n">
        <v>-1080026241</v>
      </c>
      <c r="R143" s="318" t="n">
        <v>-1144787522</v>
      </c>
      <c r="S143" s="318" t="n">
        <v>-960830565</v>
      </c>
      <c r="T143" s="318" t="n">
        <v>-944111354</v>
      </c>
      <c r="U143" s="318" t="n">
        <v>-843549409</v>
      </c>
      <c r="V143" s="318" t="n">
        <v>-847748261</v>
      </c>
      <c r="W143" s="318" t="n">
        <v>-924553930</v>
      </c>
      <c r="X143" s="318" t="n">
        <v>-1000586402</v>
      </c>
      <c r="Y143" s="318" t="n">
        <v>-1062749409</v>
      </c>
      <c r="Z143" s="318" t="n">
        <v>-1124955108</v>
      </c>
      <c r="AA143" s="318"/>
      <c r="AB143" s="318"/>
      <c r="AC143" s="318"/>
      <c r="AD143" s="318"/>
      <c r="AE143" s="318" t="n">
        <f aca="false">R143</f>
        <v>-1144787522</v>
      </c>
      <c r="AF143" s="318" t="n">
        <f aca="false">S143-R143</f>
        <v>183956957</v>
      </c>
      <c r="AG143" s="318" t="n">
        <f aca="false">T143-S143</f>
        <v>16719211</v>
      </c>
      <c r="AH143" s="318" t="n">
        <f aca="false">U143-T143</f>
        <v>100561945</v>
      </c>
      <c r="AI143" s="318" t="n">
        <f aca="false">V143-U143</f>
        <v>-4198852</v>
      </c>
      <c r="AJ143" s="318" t="n">
        <f aca="false">W143-V143</f>
        <v>-76805669</v>
      </c>
      <c r="AK143" s="318" t="n">
        <f aca="false">X143-W143</f>
        <v>-76032472</v>
      </c>
      <c r="AL143" s="318" t="n">
        <f aca="false">Y143-X143</f>
        <v>-62163007</v>
      </c>
      <c r="AM143" s="318" t="n">
        <f aca="false">Z143-Y143</f>
        <v>-62205699</v>
      </c>
      <c r="AN143" s="318" t="s">
        <v>1726</v>
      </c>
      <c r="AO143" s="318" t="n">
        <f aca="false">AB143-AA143</f>
        <v>0</v>
      </c>
      <c r="AP143" s="318" t="n">
        <f aca="false">AC143-AB143</f>
        <v>0</v>
      </c>
      <c r="AR143" s="307" t="str">
        <f aca="false">IFERROR(VLOOKUP(M143,'BS_DEC 2026'!$D$12:$D$109,1,FALSE()),"(미존재)")</f>
        <v>미지급비용</v>
      </c>
    </row>
    <row r="144" customFormat="false" ht="15" hidden="false" customHeight="false" outlineLevel="0" collapsed="false">
      <c r="A144" s="310" t="s">
        <v>493</v>
      </c>
      <c r="B144" s="307" t="n">
        <v>42910854</v>
      </c>
      <c r="C144" s="307" t="s">
        <v>1857</v>
      </c>
      <c r="D144" s="307" t="s">
        <v>1616</v>
      </c>
      <c r="E144" s="307" t="s">
        <v>1684</v>
      </c>
      <c r="F144" s="307" t="s">
        <v>1685</v>
      </c>
      <c r="G144" s="307" t="s">
        <v>1686</v>
      </c>
      <c r="H144" s="307" t="s">
        <v>1536</v>
      </c>
      <c r="I144" s="307" t="s">
        <v>1847</v>
      </c>
      <c r="K144" s="307" t="s">
        <v>1848</v>
      </c>
      <c r="L144" s="317" t="s">
        <v>157</v>
      </c>
      <c r="M144" s="317" t="s">
        <v>171</v>
      </c>
      <c r="N144" s="317" t="s">
        <v>157</v>
      </c>
      <c r="O144" s="317" t="s">
        <v>1689</v>
      </c>
      <c r="P144" s="317" t="s">
        <v>171</v>
      </c>
      <c r="Q144" s="318" t="n">
        <v>-5006635526</v>
      </c>
      <c r="R144" s="318" t="n">
        <v>-5006635526</v>
      </c>
      <c r="S144" s="318" t="n">
        <v>-5006635526</v>
      </c>
      <c r="T144" s="318" t="n">
        <v>-3535193280</v>
      </c>
      <c r="U144" s="318" t="n">
        <v>-3339768436</v>
      </c>
      <c r="V144" s="318" t="n">
        <v>0</v>
      </c>
      <c r="W144" s="318" t="n">
        <v>-10152000</v>
      </c>
      <c r="X144" s="318" t="n">
        <v>0</v>
      </c>
      <c r="Y144" s="318" t="n">
        <v>0</v>
      </c>
      <c r="Z144" s="318" t="n">
        <v>0</v>
      </c>
      <c r="AA144" s="318"/>
      <c r="AB144" s="318"/>
      <c r="AC144" s="318"/>
      <c r="AD144" s="318"/>
      <c r="AE144" s="318" t="n">
        <f aca="false">R144</f>
        <v>-5006635526</v>
      </c>
      <c r="AF144" s="318" t="n">
        <f aca="false">S144-R144</f>
        <v>0</v>
      </c>
      <c r="AG144" s="318" t="n">
        <f aca="false">T144-S144</f>
        <v>1471442246</v>
      </c>
      <c r="AH144" s="318" t="n">
        <f aca="false">U144-T144</f>
        <v>195424844</v>
      </c>
      <c r="AI144" s="318" t="n">
        <f aca="false">V144-U144</f>
        <v>3339768436</v>
      </c>
      <c r="AJ144" s="318" t="n">
        <f aca="false">W144-V144</f>
        <v>-10152000</v>
      </c>
      <c r="AK144" s="318" t="n">
        <f aca="false">X144-W144</f>
        <v>10152000</v>
      </c>
      <c r="AL144" s="318" t="n">
        <f aca="false">Y144-X144</f>
        <v>0</v>
      </c>
      <c r="AM144" s="318" t="n">
        <f aca="false">Z144-Y144</f>
        <v>0</v>
      </c>
      <c r="AN144" s="318" t="s">
        <v>1726</v>
      </c>
      <c r="AO144" s="318" t="n">
        <f aca="false">AB144-AA144</f>
        <v>0</v>
      </c>
      <c r="AP144" s="318" t="n">
        <f aca="false">AC144-AB144</f>
        <v>0</v>
      </c>
      <c r="AR144" s="307" t="str">
        <f aca="false">IFERROR(VLOOKUP(M144,'BS_DEC 2026'!$D$12:$D$109,1,FALSE()),"(미존재)")</f>
        <v>미지급비용</v>
      </c>
    </row>
    <row r="145" customFormat="false" ht="15" hidden="false" customHeight="false" outlineLevel="0" collapsed="false">
      <c r="A145" s="310" t="s">
        <v>493</v>
      </c>
      <c r="B145" s="307" t="n">
        <v>42910909</v>
      </c>
      <c r="C145" s="307" t="s">
        <v>1858</v>
      </c>
      <c r="D145" s="307" t="s">
        <v>1616</v>
      </c>
      <c r="E145" s="307" t="s">
        <v>1684</v>
      </c>
      <c r="F145" s="307" t="s">
        <v>1859</v>
      </c>
      <c r="G145" s="307" t="s">
        <v>1686</v>
      </c>
      <c r="H145" s="307" t="s">
        <v>1536</v>
      </c>
      <c r="I145" s="307" t="s">
        <v>1860</v>
      </c>
      <c r="K145" s="307" t="s">
        <v>1861</v>
      </c>
      <c r="L145" s="317" t="s">
        <v>157</v>
      </c>
      <c r="M145" s="317" t="s">
        <v>167</v>
      </c>
      <c r="N145" s="317" t="s">
        <v>157</v>
      </c>
      <c r="O145" s="317" t="s">
        <v>1689</v>
      </c>
      <c r="P145" s="317" t="s">
        <v>1862</v>
      </c>
      <c r="Q145" s="318" t="n">
        <v>149468</v>
      </c>
      <c r="R145" s="318" t="n">
        <v>149468</v>
      </c>
      <c r="S145" s="318" t="n">
        <v>149468</v>
      </c>
      <c r="T145" s="318" t="n">
        <v>149468</v>
      </c>
      <c r="U145" s="318" t="n">
        <v>149468</v>
      </c>
      <c r="V145" s="318" t="n">
        <v>0</v>
      </c>
      <c r="W145" s="318" t="n">
        <v>0</v>
      </c>
      <c r="X145" s="318" t="n">
        <v>0</v>
      </c>
      <c r="Y145" s="318" t="n">
        <v>0</v>
      </c>
      <c r="Z145" s="318" t="n">
        <v>0</v>
      </c>
      <c r="AA145" s="318"/>
      <c r="AB145" s="318"/>
      <c r="AC145" s="318"/>
      <c r="AD145" s="318"/>
      <c r="AE145" s="318" t="n">
        <f aca="false">R145</f>
        <v>149468</v>
      </c>
      <c r="AF145" s="318" t="n">
        <f aca="false">S145-R145</f>
        <v>0</v>
      </c>
      <c r="AG145" s="318" t="n">
        <f aca="false">T145-S145</f>
        <v>0</v>
      </c>
      <c r="AH145" s="318" t="n">
        <f aca="false">U145-T145</f>
        <v>0</v>
      </c>
      <c r="AI145" s="318" t="n">
        <f aca="false">V145-U145</f>
        <v>-149468</v>
      </c>
      <c r="AJ145" s="318" t="n">
        <f aca="false">W145-V145</f>
        <v>0</v>
      </c>
      <c r="AK145" s="318" t="n">
        <f aca="false">X145-W145</f>
        <v>0</v>
      </c>
      <c r="AL145" s="318" t="n">
        <f aca="false">Y145-X145</f>
        <v>0</v>
      </c>
      <c r="AM145" s="318" t="n">
        <f aca="false">Z145-Y145</f>
        <v>0</v>
      </c>
      <c r="AN145" s="318" t="s">
        <v>1726</v>
      </c>
      <c r="AO145" s="318" t="n">
        <f aca="false">AB145-AA145</f>
        <v>0</v>
      </c>
      <c r="AP145" s="318" t="n">
        <f aca="false">AC145-AB145</f>
        <v>0</v>
      </c>
      <c r="AR145" s="307" t="str">
        <f aca="false">IFERROR(VLOOKUP(M145,'BS_DEC 2026'!$D$12:$D$109,1,FALSE()),"(미존재)")</f>
        <v>선수금</v>
      </c>
    </row>
    <row r="146" customFormat="false" ht="15" hidden="false" customHeight="false" outlineLevel="0" collapsed="false">
      <c r="A146" s="310" t="s">
        <v>493</v>
      </c>
      <c r="B146" s="307" t="n">
        <v>42911000</v>
      </c>
      <c r="C146" s="307" t="s">
        <v>1863</v>
      </c>
      <c r="D146" s="307" t="s">
        <v>1616</v>
      </c>
      <c r="E146" s="307" t="s">
        <v>1684</v>
      </c>
      <c r="F146" s="307" t="s">
        <v>1859</v>
      </c>
      <c r="G146" s="307" t="s">
        <v>1686</v>
      </c>
      <c r="H146" s="307" t="s">
        <v>1536</v>
      </c>
      <c r="I146" s="307" t="s">
        <v>1860</v>
      </c>
      <c r="K146" s="307" t="s">
        <v>1861</v>
      </c>
      <c r="L146" s="317" t="s">
        <v>157</v>
      </c>
      <c r="M146" s="317" t="s">
        <v>167</v>
      </c>
      <c r="N146" s="317" t="s">
        <v>157</v>
      </c>
      <c r="O146" s="317" t="s">
        <v>1689</v>
      </c>
      <c r="P146" s="317" t="s">
        <v>1862</v>
      </c>
      <c r="Q146" s="318" t="n">
        <v>-2887000</v>
      </c>
      <c r="R146" s="318" t="n">
        <v>-41237560</v>
      </c>
      <c r="S146" s="318" t="n">
        <v>-3070096</v>
      </c>
      <c r="T146" s="318" t="n">
        <v>-10256450</v>
      </c>
      <c r="U146" s="318" t="n">
        <v>0</v>
      </c>
      <c r="V146" s="318" t="n">
        <v>0</v>
      </c>
      <c r="W146" s="318" t="n">
        <v>-81667686</v>
      </c>
      <c r="X146" s="318" t="n">
        <v>-2148808</v>
      </c>
      <c r="Y146" s="318" t="n">
        <v>0</v>
      </c>
      <c r="Z146" s="318" t="n">
        <v>0</v>
      </c>
      <c r="AA146" s="318"/>
      <c r="AB146" s="318"/>
      <c r="AC146" s="318"/>
      <c r="AD146" s="318"/>
      <c r="AE146" s="318" t="n">
        <f aca="false">R146</f>
        <v>-41237560</v>
      </c>
      <c r="AF146" s="318" t="n">
        <f aca="false">S146-R146</f>
        <v>38167464</v>
      </c>
      <c r="AG146" s="318" t="n">
        <f aca="false">T146-S146</f>
        <v>-7186354</v>
      </c>
      <c r="AH146" s="318" t="n">
        <f aca="false">U146-T146</f>
        <v>10256450</v>
      </c>
      <c r="AI146" s="318" t="n">
        <f aca="false">V146-U146</f>
        <v>0</v>
      </c>
      <c r="AJ146" s="318" t="n">
        <f aca="false">W146-V146</f>
        <v>-81667686</v>
      </c>
      <c r="AK146" s="318" t="n">
        <f aca="false">X146-W146</f>
        <v>79518878</v>
      </c>
      <c r="AL146" s="318" t="n">
        <f aca="false">Y146-X146</f>
        <v>2148808</v>
      </c>
      <c r="AM146" s="318" t="n">
        <f aca="false">Z146-Y146</f>
        <v>0</v>
      </c>
      <c r="AN146" s="318" t="s">
        <v>1726</v>
      </c>
      <c r="AO146" s="318" t="n">
        <f aca="false">AB146-AA146</f>
        <v>0</v>
      </c>
      <c r="AP146" s="318" t="n">
        <f aca="false">AC146-AB146</f>
        <v>0</v>
      </c>
      <c r="AR146" s="307" t="str">
        <f aca="false">IFERROR(VLOOKUP(M146,'BS_DEC 2026'!$D$12:$D$109,1,FALSE()),"(미존재)")</f>
        <v>선수금</v>
      </c>
    </row>
    <row r="147" customFormat="false" ht="15" hidden="false" customHeight="false" outlineLevel="0" collapsed="false">
      <c r="A147" s="310" t="s">
        <v>493</v>
      </c>
      <c r="B147" s="307" t="n">
        <v>42911100</v>
      </c>
      <c r="C147" s="307" t="s">
        <v>1864</v>
      </c>
      <c r="D147" s="307" t="s">
        <v>1616</v>
      </c>
      <c r="E147" s="307" t="s">
        <v>1684</v>
      </c>
      <c r="F147" s="307" t="s">
        <v>1685</v>
      </c>
      <c r="G147" s="307" t="s">
        <v>1686</v>
      </c>
      <c r="H147" s="307" t="s">
        <v>1536</v>
      </c>
      <c r="I147" s="307" t="s">
        <v>1865</v>
      </c>
      <c r="K147" s="307" t="s">
        <v>1866</v>
      </c>
      <c r="L147" s="317" t="s">
        <v>157</v>
      </c>
      <c r="M147" s="317" t="s">
        <v>171</v>
      </c>
      <c r="N147" s="317" t="s">
        <v>157</v>
      </c>
      <c r="O147" s="317" t="s">
        <v>1689</v>
      </c>
      <c r="P147" s="317" t="s">
        <v>171</v>
      </c>
      <c r="Q147" s="318" t="n">
        <v>-1034568702</v>
      </c>
      <c r="R147" s="318" t="n">
        <v>-919978482</v>
      </c>
      <c r="S147" s="318" t="n">
        <v>-919978482</v>
      </c>
      <c r="T147" s="318" t="n">
        <v>-919978482</v>
      </c>
      <c r="U147" s="318" t="n">
        <v>-807861904</v>
      </c>
      <c r="V147" s="318" t="n">
        <v>-692947399</v>
      </c>
      <c r="W147" s="318" t="n">
        <v>-577868518</v>
      </c>
      <c r="X147" s="318" t="n">
        <v>-462625026</v>
      </c>
      <c r="Y147" s="318" t="n">
        <v>-347216688</v>
      </c>
      <c r="Z147" s="318" t="n">
        <v>-231643268</v>
      </c>
      <c r="AA147" s="318"/>
      <c r="AB147" s="318"/>
      <c r="AC147" s="318"/>
      <c r="AD147" s="318"/>
      <c r="AE147" s="318" t="n">
        <f aca="false">R147</f>
        <v>-919978482</v>
      </c>
      <c r="AF147" s="318" t="n">
        <f aca="false">S147-R147</f>
        <v>0</v>
      </c>
      <c r="AG147" s="318" t="n">
        <f aca="false">T147-S147</f>
        <v>0</v>
      </c>
      <c r="AH147" s="318" t="n">
        <f aca="false">U147-T147</f>
        <v>112116578</v>
      </c>
      <c r="AI147" s="318" t="n">
        <f aca="false">V147-U147</f>
        <v>114914505</v>
      </c>
      <c r="AJ147" s="318" t="n">
        <f aca="false">W147-V147</f>
        <v>115078881</v>
      </c>
      <c r="AK147" s="318" t="n">
        <f aca="false">X147-W147</f>
        <v>115243492</v>
      </c>
      <c r="AL147" s="318" t="n">
        <f aca="false">Y147-X147</f>
        <v>115408338</v>
      </c>
      <c r="AM147" s="318" t="n">
        <f aca="false">Z147-Y147</f>
        <v>115573420</v>
      </c>
      <c r="AN147" s="318" t="s">
        <v>1726</v>
      </c>
      <c r="AO147" s="318" t="n">
        <f aca="false">AB147-AA147</f>
        <v>0</v>
      </c>
      <c r="AP147" s="318" t="n">
        <f aca="false">AC147-AB147</f>
        <v>0</v>
      </c>
      <c r="AR147" s="307" t="str">
        <f aca="false">IFERROR(VLOOKUP(M147,'BS_DEC 2026'!$D$12:$D$109,1,FALSE()),"(미존재)")</f>
        <v>미지급비용</v>
      </c>
    </row>
    <row r="148" customFormat="false" ht="15" hidden="false" customHeight="false" outlineLevel="0" collapsed="false">
      <c r="A148" s="310" t="s">
        <v>493</v>
      </c>
      <c r="B148" s="307" t="n">
        <v>42911101</v>
      </c>
      <c r="C148" s="307" t="s">
        <v>1867</v>
      </c>
      <c r="D148" s="307" t="s">
        <v>1616</v>
      </c>
      <c r="E148" s="307" t="s">
        <v>1684</v>
      </c>
      <c r="F148" s="307" t="s">
        <v>1685</v>
      </c>
      <c r="G148" s="307" t="s">
        <v>1686</v>
      </c>
      <c r="H148" s="307" t="s">
        <v>1536</v>
      </c>
      <c r="I148" s="307" t="s">
        <v>1868</v>
      </c>
      <c r="K148" s="307" t="s">
        <v>816</v>
      </c>
      <c r="L148" s="317" t="s">
        <v>157</v>
      </c>
      <c r="M148" s="317" t="s">
        <v>171</v>
      </c>
      <c r="N148" s="317" t="s">
        <v>157</v>
      </c>
      <c r="O148" s="317" t="s">
        <v>1689</v>
      </c>
      <c r="P148" s="317" t="s">
        <v>171</v>
      </c>
      <c r="Q148" s="318" t="n">
        <v>-1479860</v>
      </c>
      <c r="R148" s="318" t="n">
        <v>-1315948</v>
      </c>
      <c r="S148" s="318" t="n">
        <v>-2633783</v>
      </c>
      <c r="T148" s="318" t="n">
        <v>-3953503</v>
      </c>
      <c r="U148" s="318" t="n">
        <v>-1155576</v>
      </c>
      <c r="V148" s="318" t="n">
        <v>-991200</v>
      </c>
      <c r="W148" s="318" t="n">
        <v>-826589</v>
      </c>
      <c r="X148" s="318" t="n">
        <v>-661743</v>
      </c>
      <c r="Y148" s="318" t="n">
        <v>-496661</v>
      </c>
      <c r="Z148" s="318" t="n">
        <v>-331343</v>
      </c>
      <c r="AA148" s="318"/>
      <c r="AB148" s="318"/>
      <c r="AC148" s="318"/>
      <c r="AD148" s="318"/>
      <c r="AE148" s="318" t="n">
        <f aca="false">R148</f>
        <v>-1315948</v>
      </c>
      <c r="AF148" s="318" t="n">
        <f aca="false">S148-R148</f>
        <v>-1317835</v>
      </c>
      <c r="AG148" s="318" t="n">
        <f aca="false">T148-S148</f>
        <v>-1319720</v>
      </c>
      <c r="AH148" s="318" t="n">
        <f aca="false">U148-T148</f>
        <v>2797927</v>
      </c>
      <c r="AI148" s="318" t="n">
        <f aca="false">V148-U148</f>
        <v>164376</v>
      </c>
      <c r="AJ148" s="318" t="n">
        <f aca="false">W148-V148</f>
        <v>164611</v>
      </c>
      <c r="AK148" s="318" t="n">
        <f aca="false">X148-W148</f>
        <v>164846</v>
      </c>
      <c r="AL148" s="318" t="n">
        <f aca="false">Y148-X148</f>
        <v>165082</v>
      </c>
      <c r="AM148" s="318" t="n">
        <f aca="false">Z148-Y148</f>
        <v>165318</v>
      </c>
      <c r="AN148" s="318" t="s">
        <v>1726</v>
      </c>
      <c r="AO148" s="318" t="n">
        <f aca="false">AB148-AA148</f>
        <v>0</v>
      </c>
      <c r="AP148" s="318" t="n">
        <f aca="false">AC148-AB148</f>
        <v>0</v>
      </c>
      <c r="AR148" s="307" t="str">
        <f aca="false">IFERROR(VLOOKUP(M148,'BS_DEC 2026'!$D$12:$D$109,1,FALSE()),"(미존재)")</f>
        <v>미지급비용</v>
      </c>
    </row>
    <row r="149" customFormat="false" ht="15" hidden="false" customHeight="false" outlineLevel="0" collapsed="false">
      <c r="A149" s="310" t="s">
        <v>493</v>
      </c>
      <c r="B149" s="307" t="n">
        <v>42920000</v>
      </c>
      <c r="C149" s="307" t="s">
        <v>1869</v>
      </c>
      <c r="D149" s="307" t="s">
        <v>1616</v>
      </c>
      <c r="E149" s="307" t="s">
        <v>1684</v>
      </c>
      <c r="F149" s="307" t="s">
        <v>1691</v>
      </c>
      <c r="G149" s="307" t="s">
        <v>1686</v>
      </c>
      <c r="H149" s="307" t="s">
        <v>1536</v>
      </c>
      <c r="I149" s="307" t="s">
        <v>1870</v>
      </c>
      <c r="K149" s="307" t="s">
        <v>1871</v>
      </c>
      <c r="L149" s="317" t="s">
        <v>157</v>
      </c>
      <c r="M149" s="317" t="s">
        <v>173</v>
      </c>
      <c r="N149" s="317" t="s">
        <v>157</v>
      </c>
      <c r="O149" s="317" t="s">
        <v>1689</v>
      </c>
      <c r="P149" s="317" t="s">
        <v>169</v>
      </c>
      <c r="Q149" s="318" t="n">
        <v>-17831350526</v>
      </c>
      <c r="R149" s="318" t="n">
        <v>-6906019014</v>
      </c>
      <c r="S149" s="318" t="n">
        <v>-12618703010</v>
      </c>
      <c r="T149" s="318" t="n">
        <v>-19074755351</v>
      </c>
      <c r="U149" s="318" t="n">
        <v>-5617541137</v>
      </c>
      <c r="V149" s="318" t="n">
        <v>-11715363611</v>
      </c>
      <c r="W149" s="318" t="n">
        <v>-17485720105</v>
      </c>
      <c r="X149" s="318" t="n">
        <v>-6164137525</v>
      </c>
      <c r="Y149" s="318" t="n">
        <v>-12381298391</v>
      </c>
      <c r="Z149" s="318" t="n">
        <v>-22255016822</v>
      </c>
      <c r="AA149" s="318"/>
      <c r="AB149" s="318"/>
      <c r="AC149" s="318"/>
      <c r="AD149" s="318"/>
      <c r="AE149" s="318" t="n">
        <f aca="false">R149</f>
        <v>-6906019014</v>
      </c>
      <c r="AF149" s="318" t="n">
        <f aca="false">S149-R149</f>
        <v>-5712683996</v>
      </c>
      <c r="AG149" s="318" t="n">
        <f aca="false">T149-S149</f>
        <v>-6456052341</v>
      </c>
      <c r="AH149" s="318" t="n">
        <f aca="false">U149-T149</f>
        <v>13457214214</v>
      </c>
      <c r="AI149" s="318" t="n">
        <f aca="false">V149-U149</f>
        <v>-6097822474</v>
      </c>
      <c r="AJ149" s="318" t="n">
        <f aca="false">W149-V149</f>
        <v>-5770356494</v>
      </c>
      <c r="AK149" s="318" t="n">
        <f aca="false">X149-W149</f>
        <v>11321582580</v>
      </c>
      <c r="AL149" s="318" t="n">
        <f aca="false">Y149-X149</f>
        <v>-6217160866</v>
      </c>
      <c r="AM149" s="318" t="n">
        <f aca="false">Z149-Y149</f>
        <v>-9873718431</v>
      </c>
      <c r="AN149" s="318" t="s">
        <v>1726</v>
      </c>
      <c r="AO149" s="318" t="n">
        <f aca="false">AB149-AA149</f>
        <v>0</v>
      </c>
      <c r="AP149" s="318" t="n">
        <f aca="false">AC149-AB149</f>
        <v>0</v>
      </c>
      <c r="AR149" s="307" t="str">
        <f aca="false">IFERROR(VLOOKUP(M149,'BS_DEC 2026'!$D$12:$D$109,1,FALSE()),"(미존재)")</f>
        <v>부가가치세예수금</v>
      </c>
    </row>
    <row r="150" customFormat="false" ht="15" hidden="false" customHeight="false" outlineLevel="0" collapsed="false">
      <c r="A150" s="310" t="s">
        <v>493</v>
      </c>
      <c r="B150" s="307" t="n">
        <v>42930000</v>
      </c>
      <c r="C150" s="307" t="s">
        <v>1872</v>
      </c>
      <c r="D150" s="307" t="s">
        <v>1616</v>
      </c>
      <c r="E150" s="307" t="s">
        <v>1684</v>
      </c>
      <c r="F150" s="307" t="s">
        <v>1873</v>
      </c>
      <c r="G150" s="307" t="s">
        <v>1686</v>
      </c>
      <c r="H150" s="307" t="s">
        <v>1536</v>
      </c>
      <c r="I150" s="307" t="s">
        <v>1874</v>
      </c>
      <c r="K150" s="307" t="s">
        <v>1875</v>
      </c>
      <c r="L150" s="317" t="s">
        <v>157</v>
      </c>
      <c r="M150" s="317" t="s">
        <v>175</v>
      </c>
      <c r="N150" s="317" t="s">
        <v>157</v>
      </c>
      <c r="O150" s="317" t="s">
        <v>1689</v>
      </c>
      <c r="P150" s="317" t="s">
        <v>175</v>
      </c>
      <c r="Q150" s="318" t="n">
        <v>-11006749505</v>
      </c>
      <c r="R150" s="318" t="n">
        <v>-11006749505</v>
      </c>
      <c r="S150" s="318" t="n">
        <v>-11006749505</v>
      </c>
      <c r="T150" s="318" t="n">
        <v>-5318446410</v>
      </c>
      <c r="U150" s="318" t="n">
        <v>-1499068730</v>
      </c>
      <c r="V150" s="318" t="n">
        <v>-1499068730</v>
      </c>
      <c r="W150" s="318" t="n">
        <v>-1013432663</v>
      </c>
      <c r="X150" s="318" t="n">
        <v>-2433129087</v>
      </c>
      <c r="Y150" s="318" t="n">
        <v>-5102411095</v>
      </c>
      <c r="Z150" s="318" t="n">
        <v>-3452659288</v>
      </c>
      <c r="AA150" s="318"/>
      <c r="AB150" s="318"/>
      <c r="AC150" s="318"/>
      <c r="AD150" s="318"/>
      <c r="AE150" s="318" t="n">
        <f aca="false">R150</f>
        <v>-11006749505</v>
      </c>
      <c r="AF150" s="318" t="n">
        <f aca="false">S150-R150</f>
        <v>0</v>
      </c>
      <c r="AG150" s="318" t="n">
        <f aca="false">T150-S150</f>
        <v>5688303095</v>
      </c>
      <c r="AH150" s="318" t="n">
        <f aca="false">U150-T150</f>
        <v>3819377680</v>
      </c>
      <c r="AI150" s="318" t="n">
        <f aca="false">V150-U150</f>
        <v>0</v>
      </c>
      <c r="AJ150" s="318" t="n">
        <f aca="false">W150-V150</f>
        <v>485636067</v>
      </c>
      <c r="AK150" s="318" t="n">
        <f aca="false">X150-W150</f>
        <v>-1419696424</v>
      </c>
      <c r="AL150" s="318" t="n">
        <f aca="false">Y150-X150</f>
        <v>-2669282008</v>
      </c>
      <c r="AM150" s="318" t="n">
        <f aca="false">Z150-Y150</f>
        <v>1649751807</v>
      </c>
      <c r="AN150" s="318" t="s">
        <v>1726</v>
      </c>
      <c r="AO150" s="318" t="n">
        <f aca="false">AB150-AA150</f>
        <v>0</v>
      </c>
      <c r="AP150" s="318" t="n">
        <f aca="false">AC150-AB150</f>
        <v>0</v>
      </c>
      <c r="AR150" s="307" t="str">
        <f aca="false">IFERROR(VLOOKUP(M150,'BS_DEC 2026'!$D$12:$D$109,1,FALSE()),"(미존재)")</f>
        <v>미지급법인세</v>
      </c>
    </row>
    <row r="151" customFormat="false" ht="15" hidden="false" customHeight="false" outlineLevel="0" collapsed="false">
      <c r="A151" s="310" t="s">
        <v>493</v>
      </c>
      <c r="B151" s="307" t="n">
        <v>42930850</v>
      </c>
      <c r="C151" s="307" t="s">
        <v>1876</v>
      </c>
      <c r="D151" s="307" t="s">
        <v>1554</v>
      </c>
      <c r="E151" s="307" t="s">
        <v>1640</v>
      </c>
      <c r="F151" s="307" t="s">
        <v>1877</v>
      </c>
      <c r="G151" s="307" t="s">
        <v>1557</v>
      </c>
      <c r="H151" s="307" t="s">
        <v>1536</v>
      </c>
      <c r="I151" s="307" t="s">
        <v>1878</v>
      </c>
      <c r="K151" s="307" t="s">
        <v>1879</v>
      </c>
      <c r="L151" s="317" t="s">
        <v>494</v>
      </c>
      <c r="M151" s="317" t="s">
        <v>147</v>
      </c>
      <c r="N151" s="317" t="s">
        <v>494</v>
      </c>
      <c r="O151" s="317" t="s">
        <v>1560</v>
      </c>
      <c r="P151" s="317" t="s">
        <v>147</v>
      </c>
      <c r="Q151" s="318" t="n">
        <v>4436894520</v>
      </c>
      <c r="R151" s="318" t="n">
        <v>4436894520</v>
      </c>
      <c r="S151" s="318" t="n">
        <v>4436894520</v>
      </c>
      <c r="T151" s="318" t="n">
        <v>0</v>
      </c>
      <c r="U151" s="318" t="n">
        <v>0</v>
      </c>
      <c r="V151" s="318" t="n">
        <v>0</v>
      </c>
      <c r="W151" s="318" t="n">
        <v>0</v>
      </c>
      <c r="X151" s="318" t="n">
        <v>0</v>
      </c>
      <c r="Y151" s="318" t="n">
        <v>5031520750</v>
      </c>
      <c r="Z151" s="318" t="n">
        <v>0</v>
      </c>
      <c r="AA151" s="318"/>
      <c r="AB151" s="318"/>
      <c r="AC151" s="318"/>
      <c r="AD151" s="318"/>
      <c r="AE151" s="318" t="n">
        <f aca="false">R151</f>
        <v>4436894520</v>
      </c>
      <c r="AF151" s="318" t="n">
        <f aca="false">S151-R151</f>
        <v>0</v>
      </c>
      <c r="AG151" s="318" t="n">
        <f aca="false">T151-S151</f>
        <v>-4436894520</v>
      </c>
      <c r="AH151" s="318" t="n">
        <f aca="false">U151-T151</f>
        <v>0</v>
      </c>
      <c r="AI151" s="318" t="n">
        <f aca="false">V151-U151</f>
        <v>0</v>
      </c>
      <c r="AJ151" s="318" t="n">
        <f aca="false">W151-V151</f>
        <v>0</v>
      </c>
      <c r="AK151" s="318" t="n">
        <f aca="false">X151-W151</f>
        <v>0</v>
      </c>
      <c r="AL151" s="318" t="n">
        <f aca="false">Y151-X151</f>
        <v>5031520750</v>
      </c>
      <c r="AM151" s="318" t="n">
        <f aca="false">Z151-Y151</f>
        <v>-5031520750</v>
      </c>
      <c r="AN151" s="318" t="s">
        <v>1726</v>
      </c>
      <c r="AO151" s="318" t="n">
        <f aca="false">AB151-AA151</f>
        <v>0</v>
      </c>
      <c r="AP151" s="318" t="n">
        <f aca="false">AC151-AB151</f>
        <v>0</v>
      </c>
      <c r="AR151" s="307" t="str">
        <f aca="false">IFERROR(VLOOKUP(M151,'BS_DEC 2026'!$D$12:$D$109,1,FALSE()),"(미존재)")</f>
        <v>선급법인세</v>
      </c>
    </row>
    <row r="152" customFormat="false" ht="15" hidden="false" customHeight="false" outlineLevel="0" collapsed="false">
      <c r="A152" s="310" t="s">
        <v>493</v>
      </c>
      <c r="B152" s="307" t="n">
        <v>42930851</v>
      </c>
      <c r="C152" s="307" t="s">
        <v>1880</v>
      </c>
      <c r="D152" s="307" t="s">
        <v>1554</v>
      </c>
      <c r="E152" s="307" t="s">
        <v>1640</v>
      </c>
      <c r="F152" s="307" t="s">
        <v>1877</v>
      </c>
      <c r="G152" s="307" t="s">
        <v>1557</v>
      </c>
      <c r="H152" s="307" t="s">
        <v>1536</v>
      </c>
      <c r="I152" s="307" t="s">
        <v>1878</v>
      </c>
      <c r="K152" s="307" t="s">
        <v>1879</v>
      </c>
      <c r="L152" s="317" t="s">
        <v>494</v>
      </c>
      <c r="M152" s="317" t="s">
        <v>147</v>
      </c>
      <c r="N152" s="317" t="s">
        <v>494</v>
      </c>
      <c r="O152" s="317" t="s">
        <v>1560</v>
      </c>
      <c r="P152" s="317" t="s">
        <v>147</v>
      </c>
      <c r="Q152" s="318" t="n">
        <v>33826420</v>
      </c>
      <c r="R152" s="318" t="n">
        <v>35092720</v>
      </c>
      <c r="S152" s="318" t="n">
        <v>41875080</v>
      </c>
      <c r="T152" s="318" t="n">
        <v>16870530</v>
      </c>
      <c r="U152" s="318" t="n">
        <v>21956960</v>
      </c>
      <c r="V152" s="318" t="n">
        <v>22991400</v>
      </c>
      <c r="W152" s="318" t="n">
        <v>26693390</v>
      </c>
      <c r="X152" s="318" t="n">
        <v>27221310</v>
      </c>
      <c r="Y152" s="318" t="n">
        <v>28384510</v>
      </c>
      <c r="Z152" s="318" t="n">
        <v>0</v>
      </c>
      <c r="AA152" s="318"/>
      <c r="AB152" s="318"/>
      <c r="AC152" s="318"/>
      <c r="AD152" s="318"/>
      <c r="AE152" s="318" t="n">
        <f aca="false">R152</f>
        <v>35092720</v>
      </c>
      <c r="AF152" s="318" t="n">
        <f aca="false">S152-R152</f>
        <v>6782360</v>
      </c>
      <c r="AG152" s="318" t="n">
        <f aca="false">T152-S152</f>
        <v>-25004550</v>
      </c>
      <c r="AH152" s="318" t="n">
        <f aca="false">U152-T152</f>
        <v>5086430</v>
      </c>
      <c r="AI152" s="318" t="n">
        <f aca="false">V152-U152</f>
        <v>1034440</v>
      </c>
      <c r="AJ152" s="318" t="n">
        <f aca="false">W152-V152</f>
        <v>3701990</v>
      </c>
      <c r="AK152" s="318" t="n">
        <f aca="false">X152-W152</f>
        <v>527920</v>
      </c>
      <c r="AL152" s="318" t="n">
        <f aca="false">Y152-X152</f>
        <v>1163200</v>
      </c>
      <c r="AM152" s="318" t="n">
        <f aca="false">Z152-Y152</f>
        <v>-28384510</v>
      </c>
      <c r="AN152" s="318" t="s">
        <v>1726</v>
      </c>
      <c r="AO152" s="318" t="n">
        <f aca="false">AB152-AA152</f>
        <v>0</v>
      </c>
      <c r="AP152" s="318" t="n">
        <f aca="false">AC152-AB152</f>
        <v>0</v>
      </c>
      <c r="AR152" s="307" t="str">
        <f aca="false">IFERROR(VLOOKUP(M152,'BS_DEC 2026'!$D$12:$D$109,1,FALSE()),"(미존재)")</f>
        <v>선급법인세</v>
      </c>
    </row>
    <row r="153" customFormat="false" ht="15" hidden="false" customHeight="false" outlineLevel="0" collapsed="false">
      <c r="A153" s="310" t="s">
        <v>493</v>
      </c>
      <c r="B153" s="307" t="n">
        <v>42940003</v>
      </c>
      <c r="C153" s="307" t="s">
        <v>1881</v>
      </c>
      <c r="D153" s="307" t="s">
        <v>1616</v>
      </c>
      <c r="E153" s="307" t="s">
        <v>1684</v>
      </c>
      <c r="F153" s="307" t="s">
        <v>1691</v>
      </c>
      <c r="G153" s="307" t="s">
        <v>1686</v>
      </c>
      <c r="H153" s="307" t="s">
        <v>1536</v>
      </c>
      <c r="I153" s="307" t="s">
        <v>1874</v>
      </c>
      <c r="K153" s="307" t="s">
        <v>1875</v>
      </c>
      <c r="L153" s="317" t="s">
        <v>157</v>
      </c>
      <c r="M153" s="317" t="s">
        <v>169</v>
      </c>
      <c r="N153" s="317" t="s">
        <v>157</v>
      </c>
      <c r="O153" s="317" t="s">
        <v>1689</v>
      </c>
      <c r="P153" s="317" t="s">
        <v>169</v>
      </c>
      <c r="Q153" s="318" t="n">
        <v>-42105600</v>
      </c>
      <c r="R153" s="318" t="n">
        <v>-48412297</v>
      </c>
      <c r="S153" s="318" t="n">
        <v>-74843171</v>
      </c>
      <c r="T153" s="318" t="n">
        <v>-98577976</v>
      </c>
      <c r="U153" s="318" t="n">
        <v>-109258274</v>
      </c>
      <c r="V153" s="318" t="n">
        <v>-122684292</v>
      </c>
      <c r="W153" s="318" t="n">
        <v>-156921223</v>
      </c>
      <c r="X153" s="318" t="n">
        <v>-126987629</v>
      </c>
      <c r="Y153" s="318" t="n">
        <v>-171936728</v>
      </c>
      <c r="Z153" s="318" t="n">
        <v>-213945232</v>
      </c>
      <c r="AA153" s="318"/>
      <c r="AB153" s="318"/>
      <c r="AC153" s="318"/>
      <c r="AD153" s="318"/>
      <c r="AE153" s="318" t="n">
        <f aca="false">R153</f>
        <v>-48412297</v>
      </c>
      <c r="AF153" s="318" t="n">
        <f aca="false">S153-R153</f>
        <v>-26430874</v>
      </c>
      <c r="AG153" s="318" t="n">
        <f aca="false">T153-S153</f>
        <v>-23734805</v>
      </c>
      <c r="AH153" s="318" t="n">
        <f aca="false">U153-T153</f>
        <v>-10680298</v>
      </c>
      <c r="AI153" s="318" t="n">
        <f aca="false">V153-U153</f>
        <v>-13426018</v>
      </c>
      <c r="AJ153" s="318" t="n">
        <f aca="false">W153-V153</f>
        <v>-34236931</v>
      </c>
      <c r="AK153" s="318" t="n">
        <f aca="false">X153-W153</f>
        <v>29933594</v>
      </c>
      <c r="AL153" s="318" t="n">
        <f aca="false">Y153-X153</f>
        <v>-44949099</v>
      </c>
      <c r="AM153" s="318" t="n">
        <f aca="false">Z153-Y153</f>
        <v>-42008504</v>
      </c>
      <c r="AN153" s="318" t="s">
        <v>1726</v>
      </c>
      <c r="AO153" s="318" t="n">
        <f aca="false">AB153-AA153</f>
        <v>0</v>
      </c>
      <c r="AP153" s="318" t="n">
        <f aca="false">AC153-AB153</f>
        <v>0</v>
      </c>
      <c r="AR153" s="307" t="str">
        <f aca="false">IFERROR(VLOOKUP(M153,'BS_DEC 2026'!$D$12:$D$109,1,FALSE()),"(미존재)")</f>
        <v>예수금</v>
      </c>
    </row>
    <row r="154" customFormat="false" ht="15" hidden="false" customHeight="false" outlineLevel="0" collapsed="false">
      <c r="A154" s="310" t="s">
        <v>493</v>
      </c>
      <c r="B154" s="307" t="n">
        <v>42940854</v>
      </c>
      <c r="C154" s="307" t="s">
        <v>1882</v>
      </c>
      <c r="D154" s="307" t="s">
        <v>1616</v>
      </c>
      <c r="E154" s="307" t="s">
        <v>1684</v>
      </c>
      <c r="F154" s="307" t="s">
        <v>1691</v>
      </c>
      <c r="G154" s="307" t="s">
        <v>1686</v>
      </c>
      <c r="H154" s="307" t="s">
        <v>1536</v>
      </c>
      <c r="I154" s="307" t="s">
        <v>1874</v>
      </c>
      <c r="K154" s="307" t="s">
        <v>1875</v>
      </c>
      <c r="L154" s="317" t="s">
        <v>157</v>
      </c>
      <c r="M154" s="317" t="s">
        <v>169</v>
      </c>
      <c r="N154" s="317" t="s">
        <v>157</v>
      </c>
      <c r="O154" s="317" t="s">
        <v>1689</v>
      </c>
      <c r="P154" s="317" t="s">
        <v>169</v>
      </c>
      <c r="Q154" s="318" t="n">
        <v>0</v>
      </c>
      <c r="R154" s="318" t="n">
        <v>0</v>
      </c>
      <c r="S154" s="318" t="n">
        <v>0</v>
      </c>
      <c r="T154" s="318" t="n">
        <v>-481971360</v>
      </c>
      <c r="U154" s="318" t="n">
        <v>-481971360</v>
      </c>
      <c r="V154" s="318" t="n">
        <v>0</v>
      </c>
      <c r="W154" s="318" t="n">
        <v>5795490</v>
      </c>
      <c r="X154" s="318" t="n">
        <v>0</v>
      </c>
      <c r="Y154" s="318" t="n">
        <v>0</v>
      </c>
      <c r="Z154" s="318" t="n">
        <v>0</v>
      </c>
      <c r="AA154" s="318"/>
      <c r="AB154" s="318"/>
      <c r="AC154" s="318"/>
      <c r="AD154" s="318"/>
      <c r="AE154" s="318" t="n">
        <f aca="false">R154</f>
        <v>0</v>
      </c>
      <c r="AF154" s="318" t="n">
        <f aca="false">S154-R154</f>
        <v>0</v>
      </c>
      <c r="AG154" s="318" t="n">
        <f aca="false">T154-S154</f>
        <v>-481971360</v>
      </c>
      <c r="AH154" s="318" t="n">
        <f aca="false">U154-T154</f>
        <v>0</v>
      </c>
      <c r="AI154" s="318" t="n">
        <f aca="false">V154-U154</f>
        <v>481971360</v>
      </c>
      <c r="AJ154" s="318" t="n">
        <f aca="false">W154-V154</f>
        <v>5795490</v>
      </c>
      <c r="AK154" s="318" t="n">
        <f aca="false">X154-W154</f>
        <v>-5795490</v>
      </c>
      <c r="AL154" s="318" t="n">
        <f aca="false">Y154-X154</f>
        <v>0</v>
      </c>
      <c r="AM154" s="318" t="n">
        <f aca="false">Z154-Y154</f>
        <v>0</v>
      </c>
      <c r="AN154" s="318" t="s">
        <v>1726</v>
      </c>
      <c r="AO154" s="318" t="n">
        <f aca="false">AB154-AA154</f>
        <v>0</v>
      </c>
      <c r="AP154" s="318" t="n">
        <f aca="false">AC154-AB154</f>
        <v>0</v>
      </c>
      <c r="AR154" s="307" t="str">
        <f aca="false">IFERROR(VLOOKUP(M154,'BS_DEC 2026'!$D$12:$D$109,1,FALSE()),"(미존재)")</f>
        <v>예수금</v>
      </c>
    </row>
    <row r="155" customFormat="false" ht="15" hidden="false" customHeight="false" outlineLevel="0" collapsed="false">
      <c r="A155" s="310" t="s">
        <v>493</v>
      </c>
      <c r="B155" s="307" t="n">
        <v>42940855</v>
      </c>
      <c r="C155" s="307" t="s">
        <v>1883</v>
      </c>
      <c r="G155" s="307" t="s">
        <v>1686</v>
      </c>
      <c r="H155" s="307" t="s">
        <v>1536</v>
      </c>
      <c r="I155" s="307" t="s">
        <v>1843</v>
      </c>
      <c r="K155" s="307" t="s">
        <v>1844</v>
      </c>
      <c r="L155" s="307" t="s">
        <v>1682</v>
      </c>
      <c r="M155" s="307" t="s">
        <v>1682</v>
      </c>
      <c r="N155" s="307" t="s">
        <v>1682</v>
      </c>
      <c r="O155" s="307" t="s">
        <v>1682</v>
      </c>
      <c r="P155" s="307" t="s">
        <v>1682</v>
      </c>
      <c r="Q155" s="318" t="n">
        <v>0</v>
      </c>
      <c r="R155" s="318" t="n">
        <v>0</v>
      </c>
      <c r="S155" s="318" t="n">
        <v>0</v>
      </c>
      <c r="T155" s="318" t="n">
        <v>0</v>
      </c>
      <c r="U155" s="318" t="n">
        <v>0</v>
      </c>
      <c r="V155" s="318" t="n">
        <v>0</v>
      </c>
      <c r="W155" s="318" t="n">
        <v>0</v>
      </c>
      <c r="X155" s="318" t="n">
        <v>0</v>
      </c>
      <c r="Y155" s="318" t="n">
        <v>0</v>
      </c>
      <c r="Z155" s="318" t="n">
        <v>0</v>
      </c>
      <c r="AA155" s="318"/>
      <c r="AB155" s="318"/>
      <c r="AC155" s="318"/>
      <c r="AD155" s="318"/>
      <c r="AE155" s="318" t="n">
        <f aca="false">R155</f>
        <v>0</v>
      </c>
      <c r="AF155" s="318" t="n">
        <f aca="false">S155-R155</f>
        <v>0</v>
      </c>
      <c r="AG155" s="318" t="n">
        <f aca="false">T155-S155</f>
        <v>0</v>
      </c>
      <c r="AH155" s="318" t="n">
        <f aca="false">U155-T155</f>
        <v>0</v>
      </c>
      <c r="AI155" s="318" t="n">
        <f aca="false">V155-U155</f>
        <v>0</v>
      </c>
      <c r="AJ155" s="318" t="n">
        <f aca="false">W155-V155</f>
        <v>0</v>
      </c>
      <c r="AK155" s="318" t="n">
        <f aca="false">X155-W155</f>
        <v>0</v>
      </c>
      <c r="AL155" s="318" t="n">
        <f aca="false">Y155-X155</f>
        <v>0</v>
      </c>
      <c r="AM155" s="318" t="n">
        <f aca="false">Z155-Y155</f>
        <v>0</v>
      </c>
      <c r="AN155" s="318" t="s">
        <v>1726</v>
      </c>
      <c r="AO155" s="318" t="n">
        <f aca="false">AB155-AA155</f>
        <v>0</v>
      </c>
      <c r="AP155" s="318" t="n">
        <f aca="false">AC155-AB155</f>
        <v>0</v>
      </c>
      <c r="AR155" s="307" t="str">
        <f aca="false">IFERROR(VLOOKUP(M155,'BS_DEC 2026'!$D$12:$D$109,1,FALSE()),"(미존재)")</f>
        <v>(미존재)</v>
      </c>
    </row>
    <row r="156" customFormat="false" ht="15" hidden="false" customHeight="false" outlineLevel="0" collapsed="false">
      <c r="A156" s="310" t="s">
        <v>493</v>
      </c>
      <c r="B156" s="307" t="n">
        <v>42940856</v>
      </c>
      <c r="C156" s="307" t="s">
        <v>1884</v>
      </c>
      <c r="D156" s="307" t="s">
        <v>1616</v>
      </c>
      <c r="E156" s="307" t="s">
        <v>1684</v>
      </c>
      <c r="F156" s="307" t="s">
        <v>1691</v>
      </c>
      <c r="G156" s="307" t="s">
        <v>1686</v>
      </c>
      <c r="H156" s="307" t="s">
        <v>1536</v>
      </c>
      <c r="I156" s="307" t="s">
        <v>1843</v>
      </c>
      <c r="K156" s="307" t="s">
        <v>1844</v>
      </c>
      <c r="L156" s="317" t="s">
        <v>157</v>
      </c>
      <c r="M156" s="317" t="s">
        <v>169</v>
      </c>
      <c r="N156" s="317" t="s">
        <v>157</v>
      </c>
      <c r="O156" s="317" t="s">
        <v>1689</v>
      </c>
      <c r="P156" s="317" t="s">
        <v>169</v>
      </c>
      <c r="Q156" s="318" t="n">
        <v>1028428</v>
      </c>
      <c r="R156" s="318" t="n">
        <v>1928428</v>
      </c>
      <c r="S156" s="318" t="n">
        <v>1520428</v>
      </c>
      <c r="T156" s="318" t="n">
        <v>-583572</v>
      </c>
      <c r="U156" s="318" t="n">
        <v>160428</v>
      </c>
      <c r="V156" s="318" t="n">
        <v>-903572</v>
      </c>
      <c r="W156" s="318" t="n">
        <v>-1847572</v>
      </c>
      <c r="X156" s="318" t="n">
        <v>-871572</v>
      </c>
      <c r="Y156" s="318" t="n">
        <v>352428</v>
      </c>
      <c r="Z156" s="318" t="n">
        <v>5715518</v>
      </c>
      <c r="AA156" s="318"/>
      <c r="AB156" s="318"/>
      <c r="AC156" s="318"/>
      <c r="AD156" s="318"/>
      <c r="AE156" s="318" t="n">
        <f aca="false">R156</f>
        <v>1928428</v>
      </c>
      <c r="AF156" s="318" t="n">
        <f aca="false">S156-R156</f>
        <v>-408000</v>
      </c>
      <c r="AG156" s="318" t="n">
        <f aca="false">T156-S156</f>
        <v>-2104000</v>
      </c>
      <c r="AH156" s="318" t="n">
        <f aca="false">U156-T156</f>
        <v>744000</v>
      </c>
      <c r="AI156" s="318" t="n">
        <f aca="false">V156-U156</f>
        <v>-1064000</v>
      </c>
      <c r="AJ156" s="318" t="n">
        <f aca="false">W156-V156</f>
        <v>-944000</v>
      </c>
      <c r="AK156" s="318" t="n">
        <f aca="false">X156-W156</f>
        <v>976000</v>
      </c>
      <c r="AL156" s="318" t="n">
        <f aca="false">Y156-X156</f>
        <v>1224000</v>
      </c>
      <c r="AM156" s="318" t="n">
        <f aca="false">Z156-Y156</f>
        <v>5363090</v>
      </c>
      <c r="AN156" s="318" t="s">
        <v>1726</v>
      </c>
      <c r="AO156" s="318" t="n">
        <f aca="false">AB156-AA156</f>
        <v>0</v>
      </c>
      <c r="AP156" s="318" t="n">
        <f aca="false">AC156-AB156</f>
        <v>0</v>
      </c>
      <c r="AR156" s="307" t="str">
        <f aca="false">IFERROR(VLOOKUP(M156,'BS_DEC 2026'!$D$12:$D$109,1,FALSE()),"(미존재)")</f>
        <v>예수금</v>
      </c>
    </row>
    <row r="157" customFormat="false" ht="15" hidden="false" customHeight="false" outlineLevel="0" collapsed="false">
      <c r="A157" s="310" t="s">
        <v>493</v>
      </c>
      <c r="B157" s="307" t="n">
        <v>42940857</v>
      </c>
      <c r="C157" s="307" t="s">
        <v>1885</v>
      </c>
      <c r="D157" s="307" t="s">
        <v>1616</v>
      </c>
      <c r="E157" s="307" t="s">
        <v>1684</v>
      </c>
      <c r="F157" s="307" t="s">
        <v>1691</v>
      </c>
      <c r="G157" s="307" t="s">
        <v>1686</v>
      </c>
      <c r="H157" s="307" t="s">
        <v>1536</v>
      </c>
      <c r="I157" s="307" t="s">
        <v>1843</v>
      </c>
      <c r="K157" s="307" t="s">
        <v>1844</v>
      </c>
      <c r="L157" s="317" t="s">
        <v>157</v>
      </c>
      <c r="M157" s="317" t="s">
        <v>169</v>
      </c>
      <c r="N157" s="317" t="s">
        <v>157</v>
      </c>
      <c r="O157" s="317" t="s">
        <v>1689</v>
      </c>
      <c r="P157" s="317" t="s">
        <v>169</v>
      </c>
      <c r="Q157" s="318" t="n">
        <v>0</v>
      </c>
      <c r="R157" s="318" t="n">
        <v>0</v>
      </c>
      <c r="S157" s="318" t="n">
        <v>0</v>
      </c>
      <c r="T157" s="318" t="n">
        <v>0</v>
      </c>
      <c r="U157" s="318" t="n">
        <v>0</v>
      </c>
      <c r="V157" s="318" t="n">
        <v>0</v>
      </c>
      <c r="W157" s="318" t="n">
        <v>0</v>
      </c>
      <c r="X157" s="318" t="n">
        <v>0</v>
      </c>
      <c r="Y157" s="318" t="n">
        <v>0</v>
      </c>
      <c r="Z157" s="318" t="n">
        <v>0</v>
      </c>
      <c r="AA157" s="318"/>
      <c r="AB157" s="318"/>
      <c r="AC157" s="318"/>
      <c r="AD157" s="318"/>
      <c r="AE157" s="318" t="n">
        <f aca="false">R157</f>
        <v>0</v>
      </c>
      <c r="AF157" s="318" t="n">
        <f aca="false">S157-R157</f>
        <v>0</v>
      </c>
      <c r="AG157" s="318" t="n">
        <f aca="false">T157-S157</f>
        <v>0</v>
      </c>
      <c r="AH157" s="318" t="n">
        <f aca="false">U157-T157</f>
        <v>0</v>
      </c>
      <c r="AI157" s="318" t="n">
        <f aca="false">V157-U157</f>
        <v>0</v>
      </c>
      <c r="AJ157" s="318" t="n">
        <f aca="false">W157-V157</f>
        <v>0</v>
      </c>
      <c r="AK157" s="318" t="n">
        <f aca="false">X157-W157</f>
        <v>0</v>
      </c>
      <c r="AL157" s="318" t="n">
        <f aca="false">Y157-X157</f>
        <v>0</v>
      </c>
      <c r="AM157" s="318" t="n">
        <f aca="false">Z157-Y157</f>
        <v>0</v>
      </c>
      <c r="AN157" s="318" t="s">
        <v>1726</v>
      </c>
      <c r="AO157" s="318" t="n">
        <f aca="false">AB157-AA157</f>
        <v>0</v>
      </c>
      <c r="AP157" s="318" t="n">
        <f aca="false">AC157-AB157</f>
        <v>0</v>
      </c>
      <c r="AR157" s="307" t="str">
        <f aca="false">IFERROR(VLOOKUP(M157,'BS_DEC 2026'!$D$12:$D$109,1,FALSE()),"(미존재)")</f>
        <v>예수금</v>
      </c>
    </row>
    <row r="158" customFormat="false" ht="15" hidden="false" customHeight="false" outlineLevel="0" collapsed="false">
      <c r="A158" s="310" t="s">
        <v>493</v>
      </c>
      <c r="B158" s="307" t="n">
        <v>42940861</v>
      </c>
      <c r="C158" s="307" t="s">
        <v>1886</v>
      </c>
      <c r="D158" s="307" t="s">
        <v>1616</v>
      </c>
      <c r="E158" s="307" t="s">
        <v>1684</v>
      </c>
      <c r="F158" s="307" t="s">
        <v>1691</v>
      </c>
      <c r="G158" s="307" t="s">
        <v>1686</v>
      </c>
      <c r="H158" s="307" t="s">
        <v>1536</v>
      </c>
      <c r="I158" s="307" t="s">
        <v>1843</v>
      </c>
      <c r="K158" s="307" t="s">
        <v>1844</v>
      </c>
      <c r="L158" s="317" t="s">
        <v>157</v>
      </c>
      <c r="M158" s="317" t="s">
        <v>169</v>
      </c>
      <c r="N158" s="317" t="s">
        <v>157</v>
      </c>
      <c r="O158" s="317" t="s">
        <v>1689</v>
      </c>
      <c r="P158" s="317" t="s">
        <v>169</v>
      </c>
      <c r="Q158" s="318" t="n">
        <v>102829</v>
      </c>
      <c r="R158" s="318" t="n">
        <v>192829</v>
      </c>
      <c r="S158" s="318" t="n">
        <v>152029</v>
      </c>
      <c r="T158" s="318" t="n">
        <v>-58371</v>
      </c>
      <c r="U158" s="318" t="n">
        <v>16029</v>
      </c>
      <c r="V158" s="318" t="n">
        <v>-90371</v>
      </c>
      <c r="W158" s="318" t="n">
        <v>-184771</v>
      </c>
      <c r="X158" s="318" t="n">
        <v>-87171</v>
      </c>
      <c r="Y158" s="318" t="n">
        <v>35229</v>
      </c>
      <c r="Z158" s="318" t="n">
        <v>-35571</v>
      </c>
      <c r="AA158" s="318"/>
      <c r="AB158" s="318"/>
      <c r="AC158" s="318"/>
      <c r="AD158" s="318"/>
      <c r="AE158" s="318" t="n">
        <f aca="false">R158</f>
        <v>192829</v>
      </c>
      <c r="AF158" s="318" t="n">
        <f aca="false">S158-R158</f>
        <v>-40800</v>
      </c>
      <c r="AG158" s="318" t="n">
        <f aca="false">T158-S158</f>
        <v>-210400</v>
      </c>
      <c r="AH158" s="318" t="n">
        <f aca="false">U158-T158</f>
        <v>74400</v>
      </c>
      <c r="AI158" s="318" t="n">
        <f aca="false">V158-U158</f>
        <v>-106400</v>
      </c>
      <c r="AJ158" s="318" t="n">
        <f aca="false">W158-V158</f>
        <v>-94400</v>
      </c>
      <c r="AK158" s="318" t="n">
        <f aca="false">X158-W158</f>
        <v>97600</v>
      </c>
      <c r="AL158" s="318" t="n">
        <f aca="false">Y158-X158</f>
        <v>122400</v>
      </c>
      <c r="AM158" s="318" t="n">
        <f aca="false">Z158-Y158</f>
        <v>-70800</v>
      </c>
      <c r="AN158" s="318" t="s">
        <v>1726</v>
      </c>
      <c r="AO158" s="318" t="n">
        <f aca="false">AB158-AA158</f>
        <v>0</v>
      </c>
      <c r="AP158" s="318" t="n">
        <f aca="false">AC158-AB158</f>
        <v>0</v>
      </c>
      <c r="AR158" s="307" t="str">
        <f aca="false">IFERROR(VLOOKUP(M158,'BS_DEC 2026'!$D$12:$D$109,1,FALSE()),"(미존재)")</f>
        <v>예수금</v>
      </c>
    </row>
    <row r="159" customFormat="false" ht="15" hidden="false" customHeight="false" outlineLevel="0" collapsed="false">
      <c r="A159" s="310" t="s">
        <v>493</v>
      </c>
      <c r="B159" s="307" t="n">
        <v>42940863</v>
      </c>
      <c r="C159" s="307" t="s">
        <v>1887</v>
      </c>
      <c r="D159" s="307" t="s">
        <v>1616</v>
      </c>
      <c r="E159" s="307" t="s">
        <v>1684</v>
      </c>
      <c r="F159" s="307" t="s">
        <v>1691</v>
      </c>
      <c r="G159" s="307" t="s">
        <v>1686</v>
      </c>
      <c r="H159" s="307" t="s">
        <v>1536</v>
      </c>
      <c r="I159" s="307" t="s">
        <v>1843</v>
      </c>
      <c r="K159" s="307" t="s">
        <v>1844</v>
      </c>
      <c r="L159" s="317" t="s">
        <v>157</v>
      </c>
      <c r="M159" s="317" t="s">
        <v>169</v>
      </c>
      <c r="N159" s="317" t="s">
        <v>157</v>
      </c>
      <c r="O159" s="317" t="s">
        <v>1689</v>
      </c>
      <c r="P159" s="317" t="s">
        <v>169</v>
      </c>
      <c r="Q159" s="318" t="n">
        <v>0</v>
      </c>
      <c r="R159" s="318" t="n">
        <v>0</v>
      </c>
      <c r="S159" s="318" t="n">
        <v>0</v>
      </c>
      <c r="T159" s="318" t="n">
        <v>-4819713700</v>
      </c>
      <c r="U159" s="318" t="n">
        <v>-4819713700</v>
      </c>
      <c r="V159" s="318" t="n">
        <v>0</v>
      </c>
      <c r="W159" s="318" t="n">
        <v>57954950</v>
      </c>
      <c r="X159" s="318" t="n">
        <v>0</v>
      </c>
      <c r="Y159" s="318" t="n">
        <v>0</v>
      </c>
      <c r="Z159" s="318" t="n">
        <v>0</v>
      </c>
      <c r="AA159" s="318"/>
      <c r="AB159" s="318"/>
      <c r="AC159" s="318"/>
      <c r="AD159" s="318"/>
      <c r="AE159" s="318" t="n">
        <f aca="false">R159</f>
        <v>0</v>
      </c>
      <c r="AF159" s="318" t="n">
        <f aca="false">S159-R159</f>
        <v>0</v>
      </c>
      <c r="AG159" s="318" t="n">
        <f aca="false">T159-S159</f>
        <v>-4819713700</v>
      </c>
      <c r="AH159" s="318" t="n">
        <f aca="false">U159-T159</f>
        <v>0</v>
      </c>
      <c r="AI159" s="318" t="n">
        <f aca="false">V159-U159</f>
        <v>4819713700</v>
      </c>
      <c r="AJ159" s="318" t="n">
        <f aca="false">W159-V159</f>
        <v>57954950</v>
      </c>
      <c r="AK159" s="318" t="n">
        <f aca="false">X159-W159</f>
        <v>-57954950</v>
      </c>
      <c r="AL159" s="318" t="n">
        <f aca="false">Y159-X159</f>
        <v>0</v>
      </c>
      <c r="AM159" s="318" t="n">
        <f aca="false">Z159-Y159</f>
        <v>0</v>
      </c>
      <c r="AN159" s="318" t="s">
        <v>1726</v>
      </c>
      <c r="AO159" s="318" t="n">
        <f aca="false">AB159-AA159</f>
        <v>0</v>
      </c>
      <c r="AP159" s="318" t="n">
        <f aca="false">AC159-AB159</f>
        <v>0</v>
      </c>
      <c r="AR159" s="307" t="str">
        <f aca="false">IFERROR(VLOOKUP(M159,'BS_DEC 2026'!$D$12:$D$109,1,FALSE()),"(미존재)")</f>
        <v>예수금</v>
      </c>
    </row>
    <row r="160" customFormat="false" ht="15" hidden="false" customHeight="false" outlineLevel="0" collapsed="false">
      <c r="A160" s="320" t="s">
        <v>493</v>
      </c>
      <c r="B160" s="321" t="n">
        <v>42980000</v>
      </c>
      <c r="C160" s="321" t="s">
        <v>1888</v>
      </c>
      <c r="D160" s="321" t="s">
        <v>1616</v>
      </c>
      <c r="E160" s="321" t="s">
        <v>1684</v>
      </c>
      <c r="F160" s="321" t="s">
        <v>1685</v>
      </c>
      <c r="G160" s="321" t="s">
        <v>1765</v>
      </c>
      <c r="H160" s="321" t="s">
        <v>1536</v>
      </c>
      <c r="I160" s="321" t="s">
        <v>1824</v>
      </c>
      <c r="K160" s="321" t="s">
        <v>1825</v>
      </c>
      <c r="L160" s="322" t="s">
        <v>157</v>
      </c>
      <c r="M160" s="322" t="s">
        <v>194</v>
      </c>
      <c r="N160" s="322" t="s">
        <v>157</v>
      </c>
      <c r="O160" s="322" t="s">
        <v>1689</v>
      </c>
      <c r="P160" s="322" t="s">
        <v>171</v>
      </c>
      <c r="Q160" s="323" t="n">
        <v>-901263243</v>
      </c>
      <c r="R160" s="323" t="n">
        <v>-902494969</v>
      </c>
      <c r="S160" s="323" t="n">
        <v>-903728379</v>
      </c>
      <c r="T160" s="323" t="n">
        <v>-904963474</v>
      </c>
      <c r="U160" s="323" t="n">
        <v>-906200257</v>
      </c>
      <c r="V160" s="323" t="n">
        <v>-907438731</v>
      </c>
      <c r="W160" s="323" t="n">
        <v>-908678897</v>
      </c>
      <c r="X160" s="323" t="n">
        <v>-909920758</v>
      </c>
      <c r="Y160" s="323" t="n">
        <v>-909920758</v>
      </c>
      <c r="Z160" s="318" t="n">
        <v>-912409574</v>
      </c>
      <c r="AA160" s="323"/>
      <c r="AB160" s="323"/>
      <c r="AC160" s="323"/>
      <c r="AD160" s="323"/>
      <c r="AE160" s="323" t="n">
        <f aca="false">R160</f>
        <v>-902494969</v>
      </c>
      <c r="AF160" s="323" t="n">
        <f aca="false">S160-R160</f>
        <v>-1233410</v>
      </c>
      <c r="AG160" s="323" t="n">
        <f aca="false">T160-S160</f>
        <v>-1235095</v>
      </c>
      <c r="AH160" s="323" t="n">
        <f aca="false">U160-T160</f>
        <v>-1236783</v>
      </c>
      <c r="AI160" s="323" t="n">
        <f aca="false">V160-U160</f>
        <v>-1238474</v>
      </c>
      <c r="AJ160" s="323" t="n">
        <f aca="false">W160-V160</f>
        <v>-1240166</v>
      </c>
      <c r="AK160" s="323" t="n">
        <f aca="false">X160-W160</f>
        <v>-1241861</v>
      </c>
      <c r="AL160" s="318" t="n">
        <f aca="false">Y160-X160</f>
        <v>0</v>
      </c>
      <c r="AM160" s="318" t="n">
        <f aca="false">Z160-Y160</f>
        <v>-2488816</v>
      </c>
      <c r="AN160" s="323" t="s">
        <v>1726</v>
      </c>
      <c r="AO160" s="323" t="n">
        <f aca="false">AB160-AA160</f>
        <v>0</v>
      </c>
      <c r="AP160" s="323" t="n">
        <f aca="false">AC160-AB160</f>
        <v>0</v>
      </c>
      <c r="AR160" s="307" t="str">
        <f aca="false">IFERROR(VLOOKUP(M160,'BS_DEC 2026'!$D$12:$D$109,1,FALSE()),"(미존재)")</f>
        <v>복구충당부채</v>
      </c>
    </row>
    <row r="161" customFormat="false" ht="15" hidden="false" customHeight="false" outlineLevel="0" collapsed="false">
      <c r="A161" s="310" t="s">
        <v>841</v>
      </c>
      <c r="B161" s="307" t="n">
        <v>50000000</v>
      </c>
      <c r="C161" s="307" t="s">
        <v>1889</v>
      </c>
      <c r="D161" s="307" t="s">
        <v>1890</v>
      </c>
      <c r="E161" s="307" t="s">
        <v>1891</v>
      </c>
      <c r="F161" s="307" t="s">
        <v>1892</v>
      </c>
      <c r="G161" s="307" t="s">
        <v>1893</v>
      </c>
      <c r="H161" s="307" t="s">
        <v>1536</v>
      </c>
      <c r="I161" s="307" t="s">
        <v>1894</v>
      </c>
      <c r="K161" s="307" t="s">
        <v>1895</v>
      </c>
      <c r="L161" s="317" t="s">
        <v>842</v>
      </c>
      <c r="M161" s="317" t="s">
        <v>235</v>
      </c>
      <c r="N161" s="317" t="s">
        <v>842</v>
      </c>
      <c r="O161" s="317" t="s">
        <v>235</v>
      </c>
      <c r="P161" s="317" t="s">
        <v>235</v>
      </c>
      <c r="Q161" s="318" t="n">
        <v>-3087000000</v>
      </c>
      <c r="R161" s="318" t="n">
        <v>-1571150000</v>
      </c>
      <c r="S161" s="318" t="n">
        <v>-4675126000</v>
      </c>
      <c r="T161" s="318" t="n">
        <v>-6196495000</v>
      </c>
      <c r="U161" s="318" t="n">
        <v>-6687136000</v>
      </c>
      <c r="V161" s="318" t="n">
        <v>-7097176000</v>
      </c>
      <c r="W161" s="318" t="n">
        <v>-7934676000</v>
      </c>
      <c r="X161" s="318" t="n">
        <v>-8236980000</v>
      </c>
      <c r="Y161" s="318" t="n">
        <v>-8471480000</v>
      </c>
      <c r="Z161" s="318" t="n">
        <v>-9221612000</v>
      </c>
      <c r="AA161" s="318"/>
      <c r="AB161" s="318"/>
      <c r="AC161" s="318"/>
      <c r="AD161" s="318"/>
      <c r="AE161" s="318" t="n">
        <f aca="false">R161</f>
        <v>-1571150000</v>
      </c>
      <c r="AF161" s="318" t="n">
        <f aca="false">S161-R161</f>
        <v>-3103976000</v>
      </c>
      <c r="AG161" s="318" t="n">
        <f aca="false">T161-S161</f>
        <v>-1521369000</v>
      </c>
      <c r="AH161" s="318" t="n">
        <f aca="false">U161-T161</f>
        <v>-490641000</v>
      </c>
      <c r="AI161" s="318" t="n">
        <f aca="false">V161-U161</f>
        <v>-410040000</v>
      </c>
      <c r="AJ161" s="318" t="n">
        <f aca="false">W161-V161</f>
        <v>-837500000</v>
      </c>
      <c r="AK161" s="318" t="n">
        <f aca="false">X161-W161</f>
        <v>-302304000</v>
      </c>
      <c r="AL161" s="318" t="n">
        <f aca="false">Y161-X161</f>
        <v>-234500000</v>
      </c>
      <c r="AM161" s="318" t="n">
        <f aca="false">Z161-Y161</f>
        <v>-750132000</v>
      </c>
      <c r="AN161" s="318" t="s">
        <v>1726</v>
      </c>
      <c r="AO161" s="318" t="n">
        <f aca="false">AB161-AA161</f>
        <v>0</v>
      </c>
      <c r="AP161" s="318" t="n">
        <f aca="false">AC161-AB161</f>
        <v>0</v>
      </c>
      <c r="AR161" s="307" t="str">
        <f aca="false">IFERROR(VLOOKUP(M161,'PL_DEC.2026'!$D$11:$D$99,1,FALSE()),"(미존재)")</f>
        <v>매출액</v>
      </c>
    </row>
    <row r="162" customFormat="false" ht="15" hidden="false" customHeight="false" outlineLevel="0" collapsed="false">
      <c r="A162" s="310" t="s">
        <v>841</v>
      </c>
      <c r="B162" s="306" t="n">
        <v>50000102</v>
      </c>
      <c r="C162" s="306" t="s">
        <v>1896</v>
      </c>
      <c r="D162" s="307" t="s">
        <v>1890</v>
      </c>
      <c r="E162" s="307" t="s">
        <v>1891</v>
      </c>
      <c r="F162" s="307" t="s">
        <v>1892</v>
      </c>
      <c r="G162" s="307" t="s">
        <v>1893</v>
      </c>
      <c r="H162" s="307" t="s">
        <v>1536</v>
      </c>
      <c r="I162" s="307" t="s">
        <v>1894</v>
      </c>
      <c r="K162" s="307" t="s">
        <v>1895</v>
      </c>
      <c r="L162" s="317" t="s">
        <v>842</v>
      </c>
      <c r="M162" s="317" t="s">
        <v>235</v>
      </c>
      <c r="N162" s="317" t="s">
        <v>842</v>
      </c>
      <c r="O162" s="317" t="s">
        <v>235</v>
      </c>
      <c r="P162" s="317" t="s">
        <v>235</v>
      </c>
      <c r="Q162" s="319" t="n">
        <v>0</v>
      </c>
      <c r="R162" s="318" t="n">
        <v>0</v>
      </c>
      <c r="S162" s="319" t="n">
        <v>0</v>
      </c>
      <c r="T162" s="319" t="n">
        <v>2405434000</v>
      </c>
      <c r="U162" s="318" t="n">
        <v>2405434000</v>
      </c>
      <c r="V162" s="318" t="n">
        <v>2405434000</v>
      </c>
      <c r="W162" s="318" t="n">
        <v>2405434000</v>
      </c>
      <c r="X162" s="318" t="n">
        <v>2405434000</v>
      </c>
      <c r="Y162" s="318" t="n">
        <v>2405434000</v>
      </c>
      <c r="Z162" s="318" t="n">
        <v>2405434000</v>
      </c>
      <c r="AA162" s="318"/>
      <c r="AB162" s="318"/>
      <c r="AC162" s="318"/>
      <c r="AD162" s="318"/>
      <c r="AE162" s="318" t="n">
        <f aca="false">R162</f>
        <v>0</v>
      </c>
      <c r="AF162" s="318" t="n">
        <f aca="false">S162-R162</f>
        <v>0</v>
      </c>
      <c r="AG162" s="318" t="n">
        <f aca="false">T162-S162</f>
        <v>2405434000</v>
      </c>
      <c r="AH162" s="318" t="n">
        <f aca="false">U162-T162</f>
        <v>0</v>
      </c>
      <c r="AI162" s="318" t="n">
        <f aca="false">V162-U162</f>
        <v>0</v>
      </c>
      <c r="AJ162" s="318" t="n">
        <f aca="false">W162-V162</f>
        <v>0</v>
      </c>
      <c r="AK162" s="318" t="n">
        <f aca="false">X162-W162</f>
        <v>0</v>
      </c>
      <c r="AL162" s="318" t="n">
        <f aca="false">Y162-X162</f>
        <v>0</v>
      </c>
      <c r="AM162" s="318" t="n">
        <f aca="false">Z162-Y162</f>
        <v>0</v>
      </c>
      <c r="AN162" s="318" t="s">
        <v>1726</v>
      </c>
      <c r="AO162" s="318" t="n">
        <f aca="false">AB162-AA162</f>
        <v>0</v>
      </c>
      <c r="AP162" s="318" t="n">
        <f aca="false">AC162-AB162</f>
        <v>0</v>
      </c>
      <c r="AR162" s="307" t="str">
        <f aca="false">IFERROR(VLOOKUP(M162,'PL_DEC.2026'!$D$11:$D$99,1,FALSE()),"(미존재)")</f>
        <v>매출액</v>
      </c>
    </row>
    <row r="163" customFormat="false" ht="15" hidden="false" customHeight="false" outlineLevel="0" collapsed="false">
      <c r="A163" s="310" t="s">
        <v>841</v>
      </c>
      <c r="B163" s="307" t="n">
        <v>50000851</v>
      </c>
      <c r="C163" s="307" t="s">
        <v>1897</v>
      </c>
      <c r="D163" s="307" t="s">
        <v>1890</v>
      </c>
      <c r="E163" s="307" t="s">
        <v>1898</v>
      </c>
      <c r="F163" s="307" t="s">
        <v>1899</v>
      </c>
      <c r="G163" s="307" t="s">
        <v>1893</v>
      </c>
      <c r="H163" s="307" t="s">
        <v>1536</v>
      </c>
      <c r="I163" s="307" t="s">
        <v>1894</v>
      </c>
      <c r="K163" s="307" t="s">
        <v>1895</v>
      </c>
      <c r="L163" s="317" t="s">
        <v>842</v>
      </c>
      <c r="M163" s="317" t="s">
        <v>235</v>
      </c>
      <c r="N163" s="317" t="s">
        <v>842</v>
      </c>
      <c r="O163" s="317" t="s">
        <v>235</v>
      </c>
      <c r="P163" s="317" t="s">
        <v>235</v>
      </c>
      <c r="Q163" s="318" t="n">
        <v>-814803906204</v>
      </c>
      <c r="R163" s="318" t="n">
        <v>-77136428122</v>
      </c>
      <c r="S163" s="318" t="n">
        <v>-141114842145</v>
      </c>
      <c r="T163" s="318" t="n">
        <v>-212973903792</v>
      </c>
      <c r="U163" s="318" t="n">
        <v>-275231754456</v>
      </c>
      <c r="V163" s="318" t="n">
        <v>-341029080415</v>
      </c>
      <c r="W163" s="318" t="n">
        <v>-405399790886</v>
      </c>
      <c r="X163" s="318" t="n">
        <v>-475795610237</v>
      </c>
      <c r="Y163" s="318" t="n">
        <v>-544938036842</v>
      </c>
      <c r="Z163" s="318" t="n">
        <v>-659560439833</v>
      </c>
      <c r="AA163" s="318"/>
      <c r="AB163" s="318"/>
      <c r="AC163" s="318"/>
      <c r="AD163" s="318"/>
      <c r="AE163" s="318" t="n">
        <f aca="false">R163</f>
        <v>-77136428122</v>
      </c>
      <c r="AF163" s="318" t="n">
        <f aca="false">S163-R163</f>
        <v>-63978414023</v>
      </c>
      <c r="AG163" s="318" t="n">
        <f aca="false">T163-S163</f>
        <v>-71859061647</v>
      </c>
      <c r="AH163" s="318" t="n">
        <f aca="false">U163-T163</f>
        <v>-62257850664</v>
      </c>
      <c r="AI163" s="318" t="n">
        <f aca="false">V163-U163</f>
        <v>-65797325959</v>
      </c>
      <c r="AJ163" s="318" t="n">
        <f aca="false">W163-V163</f>
        <v>-64370710471</v>
      </c>
      <c r="AK163" s="318" t="n">
        <f aca="false">X163-W163</f>
        <v>-70395819351</v>
      </c>
      <c r="AL163" s="318" t="n">
        <f aca="false">Y163-X163</f>
        <v>-69142426605</v>
      </c>
      <c r="AM163" s="318" t="n">
        <f aca="false">Z163-Y163</f>
        <v>-114622402991</v>
      </c>
      <c r="AN163" s="318" t="s">
        <v>1726</v>
      </c>
      <c r="AO163" s="318" t="n">
        <f aca="false">AB163-AA163</f>
        <v>0</v>
      </c>
      <c r="AP163" s="318" t="n">
        <f aca="false">AC163-AB163</f>
        <v>0</v>
      </c>
      <c r="AR163" s="307" t="str">
        <f aca="false">IFERROR(VLOOKUP(M163,'PL_DEC.2026'!$D$11:$D$99,1,FALSE()),"(미존재)")</f>
        <v>매출액</v>
      </c>
    </row>
    <row r="164" customFormat="false" ht="15" hidden="false" customHeight="false" outlineLevel="0" collapsed="false">
      <c r="A164" s="310" t="s">
        <v>841</v>
      </c>
      <c r="B164" s="307" t="n">
        <v>50000854</v>
      </c>
      <c r="C164" s="307" t="s">
        <v>1900</v>
      </c>
      <c r="D164" s="307" t="s">
        <v>1890</v>
      </c>
      <c r="E164" s="307" t="s">
        <v>1898</v>
      </c>
      <c r="F164" s="307" t="s">
        <v>1899</v>
      </c>
      <c r="G164" s="307" t="s">
        <v>1893</v>
      </c>
      <c r="H164" s="307" t="s">
        <v>1536</v>
      </c>
      <c r="I164" s="307" t="s">
        <v>1901</v>
      </c>
      <c r="K164" s="307" t="s">
        <v>1902</v>
      </c>
      <c r="L164" s="317" t="s">
        <v>842</v>
      </c>
      <c r="M164" s="317" t="s">
        <v>235</v>
      </c>
      <c r="N164" s="317" t="s">
        <v>842</v>
      </c>
      <c r="O164" s="317" t="s">
        <v>235</v>
      </c>
      <c r="P164" s="317" t="s">
        <v>235</v>
      </c>
      <c r="Q164" s="318" t="n">
        <v>2562762679</v>
      </c>
      <c r="R164" s="318" t="n">
        <v>0</v>
      </c>
      <c r="S164" s="318" t="n">
        <v>0</v>
      </c>
      <c r="T164" s="318" t="n">
        <v>185609</v>
      </c>
      <c r="U164" s="318" t="n">
        <v>185609</v>
      </c>
      <c r="V164" s="318" t="n">
        <v>185609</v>
      </c>
      <c r="W164" s="318" t="n">
        <v>185609</v>
      </c>
      <c r="X164" s="318" t="n">
        <v>278999</v>
      </c>
      <c r="Y164" s="318" t="n">
        <v>278999</v>
      </c>
      <c r="Z164" s="318" t="n">
        <v>278999</v>
      </c>
      <c r="AA164" s="318"/>
      <c r="AB164" s="318"/>
      <c r="AC164" s="318"/>
      <c r="AD164" s="318"/>
      <c r="AE164" s="318" t="n">
        <f aca="false">R164</f>
        <v>0</v>
      </c>
      <c r="AF164" s="318" t="n">
        <f aca="false">S164-R164</f>
        <v>0</v>
      </c>
      <c r="AG164" s="318" t="n">
        <f aca="false">T164-S164</f>
        <v>185609</v>
      </c>
      <c r="AH164" s="318" t="n">
        <f aca="false">U164-T164</f>
        <v>0</v>
      </c>
      <c r="AI164" s="318" t="n">
        <f aca="false">V164-U164</f>
        <v>0</v>
      </c>
      <c r="AJ164" s="318" t="n">
        <f aca="false">W164-V164</f>
        <v>0</v>
      </c>
      <c r="AK164" s="318" t="n">
        <f aca="false">X164-W164</f>
        <v>93390</v>
      </c>
      <c r="AL164" s="318" t="n">
        <f aca="false">Y164-X164</f>
        <v>0</v>
      </c>
      <c r="AM164" s="318" t="n">
        <f aca="false">Z164-Y164</f>
        <v>0</v>
      </c>
      <c r="AN164" s="318" t="s">
        <v>1726</v>
      </c>
      <c r="AO164" s="318" t="n">
        <f aca="false">AB164-AA164</f>
        <v>0</v>
      </c>
      <c r="AP164" s="318" t="n">
        <f aca="false">AC164-AB164</f>
        <v>0</v>
      </c>
      <c r="AR164" s="307" t="str">
        <f aca="false">IFERROR(VLOOKUP(M164,'PL_DEC.2026'!$D$11:$D$99,1,FALSE()),"(미존재)")</f>
        <v>매출액</v>
      </c>
    </row>
    <row r="165" customFormat="false" ht="15" hidden="false" customHeight="false" outlineLevel="0" collapsed="false">
      <c r="A165" s="310" t="s">
        <v>841</v>
      </c>
      <c r="B165" s="306" t="n">
        <v>50100799</v>
      </c>
      <c r="C165" s="306" t="s">
        <v>1903</v>
      </c>
      <c r="D165" s="307" t="s">
        <v>1890</v>
      </c>
      <c r="E165" s="307" t="s">
        <v>1898</v>
      </c>
      <c r="F165" s="307" t="s">
        <v>1899</v>
      </c>
      <c r="G165" s="307" t="s">
        <v>1893</v>
      </c>
      <c r="H165" s="307" t="s">
        <v>1536</v>
      </c>
      <c r="I165" s="307" t="s">
        <v>1901</v>
      </c>
      <c r="K165" s="307" t="s">
        <v>1902</v>
      </c>
      <c r="L165" s="317" t="s">
        <v>842</v>
      </c>
      <c r="M165" s="317" t="s">
        <v>235</v>
      </c>
      <c r="N165" s="317" t="s">
        <v>842</v>
      </c>
      <c r="O165" s="317" t="s">
        <v>235</v>
      </c>
      <c r="P165" s="317" t="s">
        <v>235</v>
      </c>
      <c r="Q165" s="306" t="n">
        <v>0</v>
      </c>
      <c r="R165" s="318" t="n">
        <v>0</v>
      </c>
      <c r="S165" s="319" t="n">
        <v>0</v>
      </c>
      <c r="T165" s="319" t="n">
        <v>-841471076</v>
      </c>
      <c r="U165" s="318" t="n">
        <v>-841471076</v>
      </c>
      <c r="V165" s="318" t="n">
        <v>-841471076</v>
      </c>
      <c r="W165" s="318" t="n">
        <v>-841471076</v>
      </c>
      <c r="X165" s="318" t="n">
        <v>-841471076</v>
      </c>
      <c r="Y165" s="307" t="n">
        <v>-841471076</v>
      </c>
      <c r="Z165" s="318" t="n">
        <v>-841471076</v>
      </c>
      <c r="AE165" s="318" t="n">
        <f aca="false">R165</f>
        <v>0</v>
      </c>
      <c r="AF165" s="318" t="n">
        <f aca="false">S165-R165</f>
        <v>0</v>
      </c>
      <c r="AG165" s="318" t="n">
        <f aca="false">T165-S165</f>
        <v>-841471076</v>
      </c>
      <c r="AH165" s="318" t="n">
        <f aca="false">U165-T165</f>
        <v>0</v>
      </c>
      <c r="AI165" s="318" t="n">
        <f aca="false">V165-U165</f>
        <v>0</v>
      </c>
      <c r="AJ165" s="318" t="n">
        <f aca="false">W165-V165</f>
        <v>0</v>
      </c>
      <c r="AK165" s="318" t="n">
        <f aca="false">X165-W165</f>
        <v>0</v>
      </c>
      <c r="AL165" s="318" t="n">
        <f aca="false">Y165-X165</f>
        <v>0</v>
      </c>
      <c r="AM165" s="318" t="n">
        <f aca="false">Z165-Y165</f>
        <v>0</v>
      </c>
      <c r="AN165" s="318" t="s">
        <v>1726</v>
      </c>
      <c r="AO165" s="318" t="n">
        <f aca="false">AB165-AA165</f>
        <v>0</v>
      </c>
      <c r="AP165" s="318" t="n">
        <f aca="false">AC165-AB165</f>
        <v>0</v>
      </c>
      <c r="AR165" s="307" t="str">
        <f aca="false">IFERROR(VLOOKUP(M165,'PL_DEC.2026'!$D$11:$D$99,1,FALSE()),"(미존재)")</f>
        <v>매출액</v>
      </c>
    </row>
    <row r="166" customFormat="false" ht="15" hidden="false" customHeight="false" outlineLevel="0" collapsed="false">
      <c r="A166" s="310" t="s">
        <v>841</v>
      </c>
      <c r="B166" s="307" t="n">
        <v>50200001</v>
      </c>
      <c r="C166" s="307" t="s">
        <v>1904</v>
      </c>
      <c r="D166" s="307" t="s">
        <v>1890</v>
      </c>
      <c r="E166" s="307" t="s">
        <v>1905</v>
      </c>
      <c r="F166" s="307" t="n">
        <v>0</v>
      </c>
      <c r="G166" s="307" t="s">
        <v>1893</v>
      </c>
      <c r="H166" s="307" t="s">
        <v>1536</v>
      </c>
      <c r="I166" s="307" t="s">
        <v>1906</v>
      </c>
      <c r="K166" s="307" t="s">
        <v>1907</v>
      </c>
      <c r="L166" s="317" t="s">
        <v>842</v>
      </c>
      <c r="M166" s="317" t="s">
        <v>235</v>
      </c>
      <c r="N166" s="317" t="s">
        <v>842</v>
      </c>
      <c r="O166" s="317" t="s">
        <v>235</v>
      </c>
      <c r="P166" s="317" t="s">
        <v>1908</v>
      </c>
      <c r="Q166" s="318" t="n">
        <v>117845810</v>
      </c>
      <c r="R166" s="318" t="n">
        <v>38596440</v>
      </c>
      <c r="S166" s="318" t="n">
        <v>38596440</v>
      </c>
      <c r="T166" s="318" t="n">
        <v>52696040</v>
      </c>
      <c r="U166" s="318" t="n">
        <v>52696040</v>
      </c>
      <c r="V166" s="318" t="n">
        <v>52696040</v>
      </c>
      <c r="W166" s="318" t="n">
        <v>52696040</v>
      </c>
      <c r="X166" s="318" t="n">
        <v>52696040</v>
      </c>
      <c r="Y166" s="318" t="n">
        <v>100647150</v>
      </c>
      <c r="Z166" s="318" t="n">
        <v>100647150</v>
      </c>
      <c r="AA166" s="318"/>
      <c r="AB166" s="318"/>
      <c r="AC166" s="318"/>
      <c r="AD166" s="318"/>
      <c r="AE166" s="318" t="n">
        <f aca="false">R166</f>
        <v>38596440</v>
      </c>
      <c r="AF166" s="318" t="n">
        <f aca="false">S166-R166</f>
        <v>0</v>
      </c>
      <c r="AG166" s="318" t="n">
        <f aca="false">T166-S166</f>
        <v>14099600</v>
      </c>
      <c r="AH166" s="318" t="n">
        <f aca="false">U166-T166</f>
        <v>0</v>
      </c>
      <c r="AI166" s="318" t="n">
        <f aca="false">V166-U166</f>
        <v>0</v>
      </c>
      <c r="AJ166" s="318" t="n">
        <f aca="false">W166-V166</f>
        <v>0</v>
      </c>
      <c r="AK166" s="318" t="n">
        <f aca="false">X166-W166</f>
        <v>0</v>
      </c>
      <c r="AL166" s="318" t="n">
        <f aca="false">Y166-X166</f>
        <v>47951110</v>
      </c>
      <c r="AM166" s="318" t="n">
        <f aca="false">Z166-Y166</f>
        <v>0</v>
      </c>
      <c r="AN166" s="318" t="s">
        <v>1726</v>
      </c>
      <c r="AO166" s="318" t="n">
        <f aca="false">AB166-AA166</f>
        <v>0</v>
      </c>
      <c r="AP166" s="318" t="n">
        <f aca="false">AC166-AB166</f>
        <v>0</v>
      </c>
      <c r="AR166" s="307" t="str">
        <f aca="false">IFERROR(VLOOKUP(M166,'PL_DEC.2026'!$D$11:$D$99,1,FALSE()),"(미존재)")</f>
        <v>매출액</v>
      </c>
    </row>
    <row r="167" customFormat="false" ht="15" hidden="false" customHeight="false" outlineLevel="0" collapsed="false">
      <c r="A167" s="310" t="s">
        <v>841</v>
      </c>
      <c r="B167" s="307" t="n">
        <v>51000850</v>
      </c>
      <c r="C167" s="307" t="s">
        <v>1909</v>
      </c>
      <c r="D167" s="307" t="s">
        <v>1890</v>
      </c>
      <c r="E167" s="307" t="s">
        <v>1898</v>
      </c>
      <c r="F167" s="307" t="s">
        <v>854</v>
      </c>
      <c r="G167" s="307" t="s">
        <v>1893</v>
      </c>
      <c r="H167" s="307" t="s">
        <v>1536</v>
      </c>
      <c r="I167" s="307" t="s">
        <v>1910</v>
      </c>
      <c r="K167" s="307" t="s">
        <v>1911</v>
      </c>
      <c r="L167" s="317" t="s">
        <v>842</v>
      </c>
      <c r="M167" s="317" t="s">
        <v>235</v>
      </c>
      <c r="N167" s="317" t="s">
        <v>842</v>
      </c>
      <c r="O167" s="317" t="s">
        <v>235</v>
      </c>
      <c r="P167" s="317" t="s">
        <v>235</v>
      </c>
      <c r="Q167" s="318" t="n">
        <v>2131290602</v>
      </c>
      <c r="R167" s="318" t="n">
        <v>142894500</v>
      </c>
      <c r="S167" s="318" t="n">
        <v>279007093</v>
      </c>
      <c r="T167" s="318" t="n">
        <v>1442930751</v>
      </c>
      <c r="U167" s="318" t="n">
        <v>1626427252</v>
      </c>
      <c r="V167" s="318" t="n">
        <v>2285356494</v>
      </c>
      <c r="W167" s="318" t="n">
        <v>2741161178</v>
      </c>
      <c r="X167" s="318" t="n">
        <v>3087054808</v>
      </c>
      <c r="Y167" s="318" t="n">
        <v>3562969454</v>
      </c>
      <c r="Z167" s="318" t="n">
        <v>3697749345</v>
      </c>
      <c r="AA167" s="318"/>
      <c r="AB167" s="318"/>
      <c r="AC167" s="318"/>
      <c r="AD167" s="318"/>
      <c r="AE167" s="318" t="n">
        <f aca="false">R167</f>
        <v>142894500</v>
      </c>
      <c r="AF167" s="318" t="n">
        <f aca="false">S167-R167</f>
        <v>136112593</v>
      </c>
      <c r="AG167" s="318" t="n">
        <f aca="false">T167-S167</f>
        <v>1163923658</v>
      </c>
      <c r="AH167" s="318" t="n">
        <f aca="false">U167-T167</f>
        <v>183496501</v>
      </c>
      <c r="AI167" s="318" t="n">
        <f aca="false">V167-U167</f>
        <v>658929242</v>
      </c>
      <c r="AJ167" s="318" t="n">
        <f aca="false">W167-V167</f>
        <v>455804684</v>
      </c>
      <c r="AK167" s="318" t="n">
        <f aca="false">X167-W167</f>
        <v>345893630</v>
      </c>
      <c r="AL167" s="318" t="n">
        <f aca="false">Y167-X167</f>
        <v>475914646</v>
      </c>
      <c r="AM167" s="318" t="n">
        <f aca="false">Z167-Y167</f>
        <v>134779891</v>
      </c>
      <c r="AN167" s="318" t="s">
        <v>1726</v>
      </c>
      <c r="AO167" s="318" t="n">
        <f aca="false">AB167-AA167</f>
        <v>0</v>
      </c>
      <c r="AP167" s="318" t="n">
        <f aca="false">AC167-AB167</f>
        <v>0</v>
      </c>
      <c r="AR167" s="307" t="str">
        <f aca="false">IFERROR(VLOOKUP(M167,'PL_DEC.2026'!$D$11:$D$99,1,FALSE()),"(미존재)")</f>
        <v>매출액</v>
      </c>
    </row>
    <row r="168" customFormat="false" ht="15" hidden="false" customHeight="false" outlineLevel="0" collapsed="false">
      <c r="A168" s="310" t="s">
        <v>841</v>
      </c>
      <c r="B168" s="307" t="n">
        <v>51300011</v>
      </c>
      <c r="C168" s="307" t="s">
        <v>1912</v>
      </c>
      <c r="D168" s="307" t="s">
        <v>1890</v>
      </c>
      <c r="E168" s="307" t="s">
        <v>1905</v>
      </c>
      <c r="F168" s="307" t="n">
        <v>0</v>
      </c>
      <c r="G168" s="307" t="s">
        <v>1893</v>
      </c>
      <c r="H168" s="307" t="s">
        <v>1536</v>
      </c>
      <c r="I168" s="307" t="s">
        <v>1901</v>
      </c>
      <c r="K168" s="307" t="s">
        <v>1902</v>
      </c>
      <c r="L168" s="317" t="s">
        <v>842</v>
      </c>
      <c r="M168" s="317" t="s">
        <v>235</v>
      </c>
      <c r="N168" s="317" t="s">
        <v>842</v>
      </c>
      <c r="O168" s="317" t="s">
        <v>235</v>
      </c>
      <c r="P168" s="317" t="s">
        <v>1908</v>
      </c>
      <c r="Q168" s="318" t="n">
        <v>-2726200000</v>
      </c>
      <c r="R168" s="318" t="n">
        <v>0</v>
      </c>
      <c r="S168" s="318" t="n">
        <v>0</v>
      </c>
      <c r="T168" s="318" t="n">
        <v>0</v>
      </c>
      <c r="U168" s="318" t="n">
        <v>0</v>
      </c>
      <c r="V168" s="318" t="n">
        <v>-950000000</v>
      </c>
      <c r="W168" s="318" t="n">
        <v>-950000000</v>
      </c>
      <c r="X168" s="318" t="n">
        <v>-950000000</v>
      </c>
      <c r="Y168" s="318" t="n">
        <v>-950000000</v>
      </c>
      <c r="Z168" s="318" t="n">
        <v>-950000000</v>
      </c>
      <c r="AA168" s="318"/>
      <c r="AB168" s="318"/>
      <c r="AC168" s="318"/>
      <c r="AD168" s="318"/>
      <c r="AE168" s="318" t="n">
        <f aca="false">R168</f>
        <v>0</v>
      </c>
      <c r="AF168" s="318" t="n">
        <f aca="false">S168-R168</f>
        <v>0</v>
      </c>
      <c r="AG168" s="318" t="n">
        <f aca="false">T168-S168</f>
        <v>0</v>
      </c>
      <c r="AH168" s="318" t="n">
        <f aca="false">U168-T168</f>
        <v>0</v>
      </c>
      <c r="AI168" s="318" t="n">
        <f aca="false">V168-U168</f>
        <v>-950000000</v>
      </c>
      <c r="AJ168" s="318" t="n">
        <f aca="false">W168-V168</f>
        <v>0</v>
      </c>
      <c r="AK168" s="318" t="n">
        <f aca="false">X168-W168</f>
        <v>0</v>
      </c>
      <c r="AL168" s="318" t="n">
        <f aca="false">Y168-X168</f>
        <v>0</v>
      </c>
      <c r="AM168" s="318" t="n">
        <f aca="false">Z168-Y168</f>
        <v>0</v>
      </c>
      <c r="AN168" s="318" t="s">
        <v>1726</v>
      </c>
      <c r="AO168" s="318" t="n">
        <f aca="false">AB168-AA168</f>
        <v>0</v>
      </c>
      <c r="AP168" s="318" t="n">
        <f aca="false">AC168-AB168</f>
        <v>0</v>
      </c>
      <c r="AR168" s="307" t="str">
        <f aca="false">IFERROR(VLOOKUP(M168,'PL_DEC.2026'!$D$11:$D$99,1,FALSE()),"(미존재)")</f>
        <v>매출액</v>
      </c>
    </row>
    <row r="169" customFormat="false" ht="15" hidden="false" customHeight="false" outlineLevel="0" collapsed="false">
      <c r="A169" s="310" t="s">
        <v>841</v>
      </c>
      <c r="B169" s="307" t="n">
        <v>51300015</v>
      </c>
      <c r="C169" s="307" t="s">
        <v>1913</v>
      </c>
      <c r="D169" s="307" t="s">
        <v>1890</v>
      </c>
      <c r="E169" s="307" t="s">
        <v>1905</v>
      </c>
      <c r="F169" s="307" t="n">
        <v>0</v>
      </c>
      <c r="G169" s="307" t="s">
        <v>1893</v>
      </c>
      <c r="H169" s="307" t="s">
        <v>1536</v>
      </c>
      <c r="I169" s="307" t="s">
        <v>1910</v>
      </c>
      <c r="K169" s="307" t="s">
        <v>1911</v>
      </c>
      <c r="L169" s="317" t="s">
        <v>842</v>
      </c>
      <c r="M169" s="317" t="s">
        <v>235</v>
      </c>
      <c r="N169" s="317" t="s">
        <v>842</v>
      </c>
      <c r="O169" s="317" t="s">
        <v>235</v>
      </c>
      <c r="P169" s="317" t="s">
        <v>1908</v>
      </c>
      <c r="Q169" s="318" t="n">
        <v>3307432009</v>
      </c>
      <c r="R169" s="318" t="n">
        <v>148787171</v>
      </c>
      <c r="S169" s="318" t="n">
        <v>231950604</v>
      </c>
      <c r="T169" s="318" t="n">
        <v>437295962</v>
      </c>
      <c r="U169" s="318" t="n">
        <v>467066334</v>
      </c>
      <c r="V169" s="318" t="n">
        <v>-10724844</v>
      </c>
      <c r="W169" s="318" t="n">
        <v>-1256648528</v>
      </c>
      <c r="X169" s="318" t="n">
        <v>-1642862643</v>
      </c>
      <c r="Y169" s="318" t="n">
        <v>-1926953395</v>
      </c>
      <c r="Z169" s="318" t="n">
        <v>-732044323</v>
      </c>
      <c r="AA169" s="318"/>
      <c r="AB169" s="318"/>
      <c r="AC169" s="318"/>
      <c r="AD169" s="318"/>
      <c r="AE169" s="318" t="n">
        <f aca="false">R169</f>
        <v>148787171</v>
      </c>
      <c r="AF169" s="318" t="n">
        <f aca="false">S169-R169</f>
        <v>83163433</v>
      </c>
      <c r="AG169" s="318" t="n">
        <f aca="false">T169-S169</f>
        <v>205345358</v>
      </c>
      <c r="AH169" s="318" t="n">
        <f aca="false">U169-T169</f>
        <v>29770372</v>
      </c>
      <c r="AI169" s="318" t="n">
        <f aca="false">V169-U169</f>
        <v>-477791178</v>
      </c>
      <c r="AJ169" s="318" t="n">
        <f aca="false">W169-V169</f>
        <v>-1245923684</v>
      </c>
      <c r="AK169" s="318" t="n">
        <f aca="false">X169-W169</f>
        <v>-386214115</v>
      </c>
      <c r="AL169" s="318" t="n">
        <f aca="false">Y169-X169</f>
        <v>-284090752</v>
      </c>
      <c r="AM169" s="318" t="n">
        <f aca="false">Z169-Y169</f>
        <v>1194909072</v>
      </c>
      <c r="AN169" s="318" t="s">
        <v>1726</v>
      </c>
      <c r="AO169" s="318" t="n">
        <f aca="false">AB169-AA169</f>
        <v>0</v>
      </c>
      <c r="AP169" s="318" t="n">
        <f aca="false">AC169-AB169</f>
        <v>0</v>
      </c>
      <c r="AR169" s="307" t="str">
        <f aca="false">IFERROR(VLOOKUP(M169,'PL_DEC.2026'!$D$11:$D$99,1,FALSE()),"(미존재)")</f>
        <v>매출액</v>
      </c>
    </row>
    <row r="170" customFormat="false" ht="15" hidden="false" customHeight="false" outlineLevel="0" collapsed="false">
      <c r="A170" s="310" t="s">
        <v>841</v>
      </c>
      <c r="B170" s="307" t="n">
        <v>51300026</v>
      </c>
      <c r="C170" s="307" t="s">
        <v>1914</v>
      </c>
      <c r="D170" s="307" t="s">
        <v>1890</v>
      </c>
      <c r="E170" s="307" t="s">
        <v>1905</v>
      </c>
      <c r="F170" s="307" t="n">
        <v>0</v>
      </c>
      <c r="G170" s="307" t="s">
        <v>1893</v>
      </c>
      <c r="H170" s="307" t="s">
        <v>1536</v>
      </c>
      <c r="I170" s="307" t="s">
        <v>1915</v>
      </c>
      <c r="K170" s="307" t="s">
        <v>1916</v>
      </c>
      <c r="L170" s="317" t="s">
        <v>842</v>
      </c>
      <c r="M170" s="317" t="s">
        <v>235</v>
      </c>
      <c r="N170" s="317" t="s">
        <v>842</v>
      </c>
      <c r="O170" s="317" t="s">
        <v>235</v>
      </c>
      <c r="P170" s="317" t="s">
        <v>1908</v>
      </c>
      <c r="Q170" s="318" t="n">
        <v>59356208234</v>
      </c>
      <c r="R170" s="318" t="n">
        <v>844860922</v>
      </c>
      <c r="S170" s="318" t="n">
        <v>844860922</v>
      </c>
      <c r="T170" s="318" t="n">
        <v>14604643554</v>
      </c>
      <c r="U170" s="318" t="n">
        <v>15096581702</v>
      </c>
      <c r="V170" s="318" t="n">
        <v>15549954935</v>
      </c>
      <c r="W170" s="318" t="n">
        <v>41706551603</v>
      </c>
      <c r="X170" s="318" t="n">
        <v>42235127744</v>
      </c>
      <c r="Y170" s="318" t="n">
        <v>42837586451</v>
      </c>
      <c r="Z170" s="318" t="n">
        <v>55603169388</v>
      </c>
      <c r="AA170" s="318"/>
      <c r="AB170" s="318"/>
      <c r="AC170" s="318"/>
      <c r="AD170" s="318"/>
      <c r="AE170" s="318" t="n">
        <f aca="false">R170</f>
        <v>844860922</v>
      </c>
      <c r="AF170" s="318" t="n">
        <f aca="false">S170-R170</f>
        <v>0</v>
      </c>
      <c r="AG170" s="318" t="n">
        <f aca="false">T170-S170</f>
        <v>13759782632</v>
      </c>
      <c r="AH170" s="318" t="n">
        <f aca="false">U170-T170</f>
        <v>491938148</v>
      </c>
      <c r="AI170" s="318" t="n">
        <f aca="false">V170-U170</f>
        <v>453373233</v>
      </c>
      <c r="AJ170" s="318" t="n">
        <f aca="false">W170-V170</f>
        <v>26156596668</v>
      </c>
      <c r="AK170" s="318" t="n">
        <f aca="false">X170-W170</f>
        <v>528576141</v>
      </c>
      <c r="AL170" s="318" t="n">
        <f aca="false">Y170-X170</f>
        <v>602458707</v>
      </c>
      <c r="AM170" s="318" t="n">
        <f aca="false">Z170-Y170</f>
        <v>12765582937</v>
      </c>
      <c r="AN170" s="318" t="s">
        <v>1726</v>
      </c>
      <c r="AO170" s="318" t="n">
        <f aca="false">AB170-AA170</f>
        <v>0</v>
      </c>
      <c r="AP170" s="318" t="n">
        <f aca="false">AC170-AB170</f>
        <v>0</v>
      </c>
      <c r="AR170" s="307" t="str">
        <f aca="false">IFERROR(VLOOKUP(M170,'PL_DEC.2026'!$D$11:$D$99,1,FALSE()),"(미존재)")</f>
        <v>매출액</v>
      </c>
    </row>
    <row r="171" customFormat="false" ht="15" hidden="false" customHeight="false" outlineLevel="0" collapsed="false">
      <c r="A171" s="310" t="s">
        <v>841</v>
      </c>
      <c r="B171" s="307" t="n">
        <v>51300450</v>
      </c>
      <c r="C171" s="307" t="s">
        <v>1917</v>
      </c>
      <c r="D171" s="307" t="s">
        <v>1890</v>
      </c>
      <c r="E171" s="307" t="s">
        <v>1905</v>
      </c>
      <c r="F171" s="307" t="n">
        <v>0</v>
      </c>
      <c r="G171" s="307" t="s">
        <v>1893</v>
      </c>
      <c r="H171" s="307" t="s">
        <v>1536</v>
      </c>
      <c r="I171" s="307" t="s">
        <v>1901</v>
      </c>
      <c r="K171" s="307" t="s">
        <v>1902</v>
      </c>
      <c r="L171" s="317" t="s">
        <v>842</v>
      </c>
      <c r="M171" s="317" t="s">
        <v>235</v>
      </c>
      <c r="N171" s="317" t="s">
        <v>842</v>
      </c>
      <c r="O171" s="317" t="s">
        <v>235</v>
      </c>
      <c r="P171" s="317" t="s">
        <v>1908</v>
      </c>
      <c r="Q171" s="318" t="n">
        <v>65934766601</v>
      </c>
      <c r="R171" s="318" t="n">
        <v>7658512333</v>
      </c>
      <c r="S171" s="318" t="n">
        <v>14826922898</v>
      </c>
      <c r="T171" s="318" t="n">
        <v>19685762384</v>
      </c>
      <c r="U171" s="318" t="n">
        <v>24924608560</v>
      </c>
      <c r="V171" s="318" t="n">
        <v>30634587850</v>
      </c>
      <c r="W171" s="318" t="n">
        <v>36286189457</v>
      </c>
      <c r="X171" s="318" t="n">
        <v>42911140420</v>
      </c>
      <c r="Y171" s="318" t="n">
        <v>48752734807</v>
      </c>
      <c r="Z171" s="318" t="n">
        <v>58814456189</v>
      </c>
      <c r="AA171" s="318"/>
      <c r="AB171" s="318"/>
      <c r="AC171" s="318"/>
      <c r="AD171" s="318"/>
      <c r="AE171" s="318" t="n">
        <f aca="false">R171</f>
        <v>7658512333</v>
      </c>
      <c r="AF171" s="318" t="n">
        <f aca="false">S171-R171</f>
        <v>7168410565</v>
      </c>
      <c r="AG171" s="318" t="n">
        <f aca="false">T171-S171</f>
        <v>4858839486</v>
      </c>
      <c r="AH171" s="318" t="n">
        <f aca="false">U171-T171</f>
        <v>5238846176</v>
      </c>
      <c r="AI171" s="318" t="n">
        <f aca="false">V171-U171</f>
        <v>5709979290</v>
      </c>
      <c r="AJ171" s="318" t="n">
        <f aca="false">W171-V171</f>
        <v>5651601607</v>
      </c>
      <c r="AK171" s="318" t="n">
        <f aca="false">X171-W171</f>
        <v>6624950963</v>
      </c>
      <c r="AL171" s="318" t="n">
        <f aca="false">Y171-X171</f>
        <v>5841594387</v>
      </c>
      <c r="AM171" s="318" t="n">
        <f aca="false">Z171-Y171</f>
        <v>10061721382</v>
      </c>
      <c r="AN171" s="318" t="s">
        <v>1726</v>
      </c>
      <c r="AO171" s="318" t="n">
        <f aca="false">AB171-AA171</f>
        <v>0</v>
      </c>
      <c r="AP171" s="318" t="n">
        <f aca="false">AC171-AB171</f>
        <v>0</v>
      </c>
      <c r="AR171" s="307" t="str">
        <f aca="false">IFERROR(VLOOKUP(M171,'PL_DEC.2026'!$D$11:$D$99,1,FALSE()),"(미존재)")</f>
        <v>매출액</v>
      </c>
    </row>
    <row r="172" customFormat="false" ht="15" hidden="false" customHeight="false" outlineLevel="0" collapsed="false">
      <c r="A172" s="310" t="s">
        <v>841</v>
      </c>
      <c r="B172" s="307" t="n">
        <v>51300502</v>
      </c>
      <c r="C172" s="307" t="s">
        <v>1918</v>
      </c>
      <c r="D172" s="307" t="s">
        <v>1890</v>
      </c>
      <c r="E172" s="307" t="s">
        <v>1905</v>
      </c>
      <c r="F172" s="307" t="n">
        <v>0</v>
      </c>
      <c r="G172" s="307" t="s">
        <v>1893</v>
      </c>
      <c r="H172" s="307" t="s">
        <v>1536</v>
      </c>
      <c r="I172" s="307" t="s">
        <v>1901</v>
      </c>
      <c r="K172" s="307" t="s">
        <v>1902</v>
      </c>
      <c r="L172" s="317" t="s">
        <v>842</v>
      </c>
      <c r="M172" s="317" t="s">
        <v>235</v>
      </c>
      <c r="N172" s="317" t="s">
        <v>842</v>
      </c>
      <c r="O172" s="317" t="s">
        <v>235</v>
      </c>
      <c r="P172" s="317" t="s">
        <v>1908</v>
      </c>
      <c r="Q172" s="318" t="n">
        <v>2731055417</v>
      </c>
      <c r="R172" s="318" t="n">
        <v>0</v>
      </c>
      <c r="S172" s="318" t="n">
        <v>0</v>
      </c>
      <c r="T172" s="318" t="n">
        <v>0</v>
      </c>
      <c r="U172" s="318" t="n">
        <v>-222677000</v>
      </c>
      <c r="V172" s="318" t="n">
        <v>-2454206545</v>
      </c>
      <c r="W172" s="318" t="n">
        <v>-2454206545</v>
      </c>
      <c r="X172" s="318" t="n">
        <v>-2094817541</v>
      </c>
      <c r="Y172" s="318" t="n">
        <v>-2094817541</v>
      </c>
      <c r="Z172" s="318" t="n">
        <v>-2094817541</v>
      </c>
      <c r="AA172" s="318"/>
      <c r="AB172" s="318"/>
      <c r="AC172" s="318"/>
      <c r="AD172" s="318"/>
      <c r="AE172" s="318" t="n">
        <f aca="false">R172</f>
        <v>0</v>
      </c>
      <c r="AF172" s="318" t="n">
        <f aca="false">S172-R172</f>
        <v>0</v>
      </c>
      <c r="AG172" s="318" t="n">
        <f aca="false">T172-S172</f>
        <v>0</v>
      </c>
      <c r="AH172" s="318" t="n">
        <f aca="false">U172-T172</f>
        <v>-222677000</v>
      </c>
      <c r="AI172" s="318" t="n">
        <f aca="false">V172-U172</f>
        <v>-2231529545</v>
      </c>
      <c r="AJ172" s="318" t="n">
        <f aca="false">W172-V172</f>
        <v>0</v>
      </c>
      <c r="AK172" s="318" t="n">
        <f aca="false">X172-W172</f>
        <v>359389004</v>
      </c>
      <c r="AL172" s="318" t="n">
        <f aca="false">Y172-X172</f>
        <v>0</v>
      </c>
      <c r="AM172" s="318" t="n">
        <f aca="false">Z172-Y172</f>
        <v>0</v>
      </c>
      <c r="AN172" s="318" t="s">
        <v>1726</v>
      </c>
      <c r="AO172" s="318" t="n">
        <f aca="false">AB172-AA172</f>
        <v>0</v>
      </c>
      <c r="AP172" s="318" t="n">
        <f aca="false">AC172-AB172</f>
        <v>0</v>
      </c>
      <c r="AR172" s="307" t="str">
        <f aca="false">IFERROR(VLOOKUP(M172,'PL_DEC.2026'!$D$11:$D$99,1,FALSE()),"(미존재)")</f>
        <v>매출액</v>
      </c>
    </row>
    <row r="173" customFormat="false" ht="15" hidden="false" customHeight="false" outlineLevel="0" collapsed="false">
      <c r="A173" s="310" t="s">
        <v>841</v>
      </c>
      <c r="B173" s="307" t="n">
        <v>51300799</v>
      </c>
      <c r="C173" s="307" t="s">
        <v>1919</v>
      </c>
      <c r="D173" s="307" t="s">
        <v>1890</v>
      </c>
      <c r="E173" s="307" t="s">
        <v>1905</v>
      </c>
      <c r="F173" s="307" t="n">
        <v>0</v>
      </c>
      <c r="G173" s="307" t="s">
        <v>1893</v>
      </c>
      <c r="H173" s="307" t="s">
        <v>1536</v>
      </c>
      <c r="I173" s="307" t="s">
        <v>1915</v>
      </c>
      <c r="K173" s="307" t="s">
        <v>1916</v>
      </c>
      <c r="L173" s="317" t="s">
        <v>842</v>
      </c>
      <c r="M173" s="317" t="s">
        <v>235</v>
      </c>
      <c r="N173" s="317" t="s">
        <v>842</v>
      </c>
      <c r="O173" s="317" t="s">
        <v>235</v>
      </c>
      <c r="P173" s="317" t="s">
        <v>1908</v>
      </c>
      <c r="Q173" s="318" t="n">
        <v>9577310118</v>
      </c>
      <c r="R173" s="318" t="n">
        <v>4868709295</v>
      </c>
      <c r="S173" s="318" t="n">
        <v>10461708068</v>
      </c>
      <c r="T173" s="318" t="n">
        <v>2987541985</v>
      </c>
      <c r="U173" s="318" t="n">
        <v>7927920297</v>
      </c>
      <c r="V173" s="318" t="n">
        <v>13480337281</v>
      </c>
      <c r="W173" s="318" t="n">
        <v>-5470424024</v>
      </c>
      <c r="X173" s="318" t="n">
        <v>-578039689</v>
      </c>
      <c r="Y173" s="318" t="n">
        <v>5241617538</v>
      </c>
      <c r="Z173" s="318" t="n">
        <v>-1043177671</v>
      </c>
      <c r="AA173" s="318"/>
      <c r="AB173" s="318"/>
      <c r="AC173" s="318"/>
      <c r="AD173" s="318"/>
      <c r="AE173" s="318" t="n">
        <f aca="false">R173</f>
        <v>4868709295</v>
      </c>
      <c r="AF173" s="318" t="n">
        <f aca="false">S173-R173</f>
        <v>5592998773</v>
      </c>
      <c r="AG173" s="318" t="n">
        <f aca="false">T173-S173</f>
        <v>-7474166083</v>
      </c>
      <c r="AH173" s="318" t="n">
        <f aca="false">U173-T173</f>
        <v>4940378312</v>
      </c>
      <c r="AI173" s="318" t="n">
        <f aca="false">V173-U173</f>
        <v>5552416984</v>
      </c>
      <c r="AJ173" s="318" t="n">
        <f aca="false">W173-V173</f>
        <v>-18950761305</v>
      </c>
      <c r="AK173" s="318" t="n">
        <f aca="false">X173-W173</f>
        <v>4892384335</v>
      </c>
      <c r="AL173" s="318" t="n">
        <f aca="false">Y173-X173</f>
        <v>5819657227</v>
      </c>
      <c r="AM173" s="318" t="n">
        <f aca="false">Z173-Y173</f>
        <v>-6284795209</v>
      </c>
      <c r="AN173" s="318" t="s">
        <v>1726</v>
      </c>
      <c r="AO173" s="318" t="n">
        <f aca="false">AB173-AA173</f>
        <v>0</v>
      </c>
      <c r="AP173" s="318" t="n">
        <f aca="false">AC173-AB173</f>
        <v>0</v>
      </c>
      <c r="AR173" s="307" t="str">
        <f aca="false">IFERROR(VLOOKUP(M173,'PL_DEC.2026'!$D$11:$D$99,1,FALSE()),"(미존재)")</f>
        <v>매출액</v>
      </c>
    </row>
    <row r="174" customFormat="false" ht="15" hidden="false" customHeight="false" outlineLevel="0" collapsed="false">
      <c r="A174" s="310" t="s">
        <v>841</v>
      </c>
      <c r="B174" s="307" t="n">
        <v>51650053</v>
      </c>
      <c r="C174" s="307" t="s">
        <v>1920</v>
      </c>
      <c r="D174" s="307" t="s">
        <v>1890</v>
      </c>
      <c r="E174" s="307" t="s">
        <v>1905</v>
      </c>
      <c r="F174" s="307" t="n">
        <v>0</v>
      </c>
      <c r="G174" s="307" t="s">
        <v>1893</v>
      </c>
      <c r="H174" s="307" t="s">
        <v>1536</v>
      </c>
      <c r="I174" s="307" t="s">
        <v>1921</v>
      </c>
      <c r="K174" s="307" t="s">
        <v>1922</v>
      </c>
      <c r="L174" s="317" t="s">
        <v>842</v>
      </c>
      <c r="M174" s="317" t="s">
        <v>235</v>
      </c>
      <c r="N174" s="317" t="s">
        <v>842</v>
      </c>
      <c r="O174" s="317" t="s">
        <v>235</v>
      </c>
      <c r="P174" s="317" t="s">
        <v>1908</v>
      </c>
      <c r="Q174" s="318" t="n">
        <v>21861009921</v>
      </c>
      <c r="R174" s="318" t="n">
        <v>954617786</v>
      </c>
      <c r="S174" s="318" t="n">
        <v>2099138897</v>
      </c>
      <c r="T174" s="318" t="n">
        <v>3365179077</v>
      </c>
      <c r="U174" s="318" t="n">
        <v>3970468902</v>
      </c>
      <c r="V174" s="318" t="n">
        <v>4500476348</v>
      </c>
      <c r="W174" s="318" t="n">
        <v>5415066071</v>
      </c>
      <c r="X174" s="318" t="n">
        <v>5723434186</v>
      </c>
      <c r="Y174" s="318" t="n">
        <v>6005138602</v>
      </c>
      <c r="Z174" s="318" t="n">
        <v>11739011327</v>
      </c>
      <c r="AA174" s="318"/>
      <c r="AB174" s="318"/>
      <c r="AC174" s="318"/>
      <c r="AD174" s="318"/>
      <c r="AE174" s="318" t="n">
        <f aca="false">R174</f>
        <v>954617786</v>
      </c>
      <c r="AF174" s="318" t="n">
        <f aca="false">S174-R174</f>
        <v>1144521111</v>
      </c>
      <c r="AG174" s="318" t="n">
        <f aca="false">T174-S174</f>
        <v>1266040180</v>
      </c>
      <c r="AH174" s="318" t="n">
        <f aca="false">U174-T174</f>
        <v>605289825</v>
      </c>
      <c r="AI174" s="318" t="n">
        <f aca="false">V174-U174</f>
        <v>530007446</v>
      </c>
      <c r="AJ174" s="318" t="n">
        <f aca="false">W174-V174</f>
        <v>914589723</v>
      </c>
      <c r="AK174" s="318" t="n">
        <f aca="false">X174-W174</f>
        <v>308368115</v>
      </c>
      <c r="AL174" s="318" t="n">
        <f aca="false">Y174-X174</f>
        <v>281704416</v>
      </c>
      <c r="AM174" s="318" t="n">
        <f aca="false">Z174-Y174</f>
        <v>5733872725</v>
      </c>
      <c r="AN174" s="318" t="s">
        <v>1726</v>
      </c>
      <c r="AO174" s="318" t="n">
        <f aca="false">AB174-AA174</f>
        <v>0</v>
      </c>
      <c r="AP174" s="318" t="n">
        <f aca="false">AC174-AB174</f>
        <v>0</v>
      </c>
      <c r="AR174" s="307" t="str">
        <f aca="false">IFERROR(VLOOKUP(M174,'PL_DEC.2026'!$D$11:$D$99,1,FALSE()),"(미존재)")</f>
        <v>매출액</v>
      </c>
    </row>
    <row r="175" customFormat="false" ht="15" hidden="false" customHeight="false" outlineLevel="0" collapsed="false">
      <c r="A175" s="310" t="s">
        <v>841</v>
      </c>
      <c r="B175" s="307" t="n">
        <v>51650102</v>
      </c>
      <c r="C175" s="307" t="s">
        <v>1923</v>
      </c>
      <c r="D175" s="307" t="s">
        <v>1890</v>
      </c>
      <c r="E175" s="307" t="s">
        <v>1905</v>
      </c>
      <c r="F175" s="307" t="n">
        <v>0</v>
      </c>
      <c r="G175" s="307" t="s">
        <v>1893</v>
      </c>
      <c r="H175" s="307" t="s">
        <v>1536</v>
      </c>
      <c r="I175" s="307" t="s">
        <v>1921</v>
      </c>
      <c r="K175" s="307" t="s">
        <v>1922</v>
      </c>
      <c r="L175" s="317" t="s">
        <v>842</v>
      </c>
      <c r="M175" s="317" t="s">
        <v>235</v>
      </c>
      <c r="N175" s="317" t="s">
        <v>842</v>
      </c>
      <c r="O175" s="317" t="s">
        <v>235</v>
      </c>
      <c r="P175" s="317" t="s">
        <v>1908</v>
      </c>
      <c r="Q175" s="318" t="n">
        <v>-39590985</v>
      </c>
      <c r="R175" s="318" t="n">
        <v>-137995336</v>
      </c>
      <c r="S175" s="318" t="n">
        <v>-268731749</v>
      </c>
      <c r="T175" s="318" t="n">
        <v>-265935964</v>
      </c>
      <c r="U175" s="318" t="n">
        <v>-269599807</v>
      </c>
      <c r="V175" s="318" t="n">
        <v>-294055427</v>
      </c>
      <c r="W175" s="318" t="n">
        <v>-333630086</v>
      </c>
      <c r="X175" s="318" t="n">
        <v>-317510648</v>
      </c>
      <c r="Y175" s="318" t="n">
        <v>-252928330</v>
      </c>
      <c r="Z175" s="318" t="n">
        <v>-245443361</v>
      </c>
      <c r="AA175" s="318"/>
      <c r="AB175" s="318"/>
      <c r="AC175" s="318"/>
      <c r="AD175" s="318"/>
      <c r="AE175" s="318" t="n">
        <f aca="false">R175</f>
        <v>-137995336</v>
      </c>
      <c r="AF175" s="318" t="n">
        <f aca="false">S175-R175</f>
        <v>-130736413</v>
      </c>
      <c r="AG175" s="318" t="n">
        <f aca="false">T175-S175</f>
        <v>2795785</v>
      </c>
      <c r="AH175" s="318" t="n">
        <f aca="false">U175-T175</f>
        <v>-3663843</v>
      </c>
      <c r="AI175" s="318" t="n">
        <f aca="false">V175-U175</f>
        <v>-24455620</v>
      </c>
      <c r="AJ175" s="318" t="n">
        <f aca="false">W175-V175</f>
        <v>-39574659</v>
      </c>
      <c r="AK175" s="318" t="n">
        <f aca="false">X175-W175</f>
        <v>16119438</v>
      </c>
      <c r="AL175" s="318" t="n">
        <f aca="false">Y175-X175</f>
        <v>64582318</v>
      </c>
      <c r="AM175" s="318" t="n">
        <f aca="false">Z175-Y175</f>
        <v>7484969</v>
      </c>
      <c r="AN175" s="318" t="s">
        <v>1726</v>
      </c>
      <c r="AO175" s="318" t="n">
        <f aca="false">AB175-AA175</f>
        <v>0</v>
      </c>
      <c r="AP175" s="318" t="n">
        <f aca="false">AC175-AB175</f>
        <v>0</v>
      </c>
      <c r="AR175" s="307" t="str">
        <f aca="false">IFERROR(VLOOKUP(M175,'PL_DEC.2026'!$D$11:$D$99,1,FALSE()),"(미존재)")</f>
        <v>매출액</v>
      </c>
    </row>
    <row r="176" customFormat="false" ht="15" hidden="false" customHeight="false" outlineLevel="0" collapsed="false">
      <c r="A176" s="310" t="s">
        <v>841</v>
      </c>
      <c r="B176" s="307" t="n">
        <v>51660001</v>
      </c>
      <c r="C176" s="307" t="s">
        <v>1924</v>
      </c>
      <c r="D176" s="307" t="s">
        <v>1890</v>
      </c>
      <c r="E176" s="307" t="s">
        <v>1905</v>
      </c>
      <c r="F176" s="307" t="n">
        <v>0</v>
      </c>
      <c r="G176" s="307" t="s">
        <v>1893</v>
      </c>
      <c r="H176" s="307" t="s">
        <v>1536</v>
      </c>
      <c r="I176" s="307" t="s">
        <v>1901</v>
      </c>
      <c r="K176" s="307" t="s">
        <v>1902</v>
      </c>
      <c r="L176" s="317" t="s">
        <v>842</v>
      </c>
      <c r="M176" s="317" t="s">
        <v>235</v>
      </c>
      <c r="N176" s="317" t="s">
        <v>842</v>
      </c>
      <c r="O176" s="317" t="s">
        <v>235</v>
      </c>
      <c r="P176" s="317" t="s">
        <v>1908</v>
      </c>
      <c r="Q176" s="318" t="n">
        <v>7322555127</v>
      </c>
      <c r="R176" s="318" t="n">
        <v>1115372186</v>
      </c>
      <c r="S176" s="318" t="n">
        <v>1818267734</v>
      </c>
      <c r="T176" s="318" t="n">
        <v>2284775697</v>
      </c>
      <c r="U176" s="318" t="n">
        <v>2943535046</v>
      </c>
      <c r="V176" s="318" t="n">
        <v>3832091111</v>
      </c>
      <c r="W176" s="318" t="n">
        <v>5227547928</v>
      </c>
      <c r="X176" s="318" t="n">
        <v>6519834241</v>
      </c>
      <c r="Y176" s="318" t="n">
        <v>7693788908</v>
      </c>
      <c r="Z176" s="318" t="n">
        <v>10006743243</v>
      </c>
      <c r="AA176" s="318"/>
      <c r="AB176" s="318"/>
      <c r="AC176" s="318"/>
      <c r="AD176" s="318"/>
      <c r="AE176" s="318" t="n">
        <f aca="false">R176</f>
        <v>1115372186</v>
      </c>
      <c r="AF176" s="318" t="n">
        <f aca="false">S176-R176</f>
        <v>702895548</v>
      </c>
      <c r="AG176" s="318" t="n">
        <f aca="false">T176-S176</f>
        <v>466507963</v>
      </c>
      <c r="AH176" s="318" t="n">
        <f aca="false">U176-T176</f>
        <v>658759349</v>
      </c>
      <c r="AI176" s="318" t="n">
        <f aca="false">V176-U176</f>
        <v>888556065</v>
      </c>
      <c r="AJ176" s="318" t="n">
        <f aca="false">W176-V176</f>
        <v>1395456817</v>
      </c>
      <c r="AK176" s="318" t="n">
        <f aca="false">X176-W176</f>
        <v>1292286313</v>
      </c>
      <c r="AL176" s="318" t="n">
        <f aca="false">Y176-X176</f>
        <v>1173954667</v>
      </c>
      <c r="AM176" s="318" t="n">
        <f aca="false">Z176-Y176</f>
        <v>2312954335</v>
      </c>
      <c r="AN176" s="318" t="s">
        <v>1726</v>
      </c>
      <c r="AO176" s="318" t="n">
        <f aca="false">AB176-AA176</f>
        <v>0</v>
      </c>
      <c r="AP176" s="318" t="n">
        <f aca="false">AC176-AB176</f>
        <v>0</v>
      </c>
      <c r="AR176" s="307" t="str">
        <f aca="false">IFERROR(VLOOKUP(M176,'PL_DEC.2026'!$D$11:$D$99,1,FALSE()),"(미존재)")</f>
        <v>매출액</v>
      </c>
    </row>
    <row r="177" customFormat="false" ht="15" hidden="false" customHeight="false" outlineLevel="0" collapsed="false">
      <c r="A177" s="310" t="s">
        <v>841</v>
      </c>
      <c r="B177" s="307" t="n">
        <v>53000005</v>
      </c>
      <c r="C177" s="307" t="s">
        <v>1925</v>
      </c>
      <c r="D177" s="307" t="s">
        <v>1926</v>
      </c>
      <c r="E177" s="307" t="s">
        <v>1927</v>
      </c>
      <c r="F177" s="307" t="s">
        <v>1928</v>
      </c>
      <c r="G177" s="307" t="s">
        <v>1929</v>
      </c>
      <c r="H177" s="307" t="s">
        <v>1536</v>
      </c>
      <c r="I177" s="307" t="s">
        <v>1930</v>
      </c>
      <c r="K177" s="307" t="s">
        <v>1931</v>
      </c>
      <c r="L177" s="317" t="s">
        <v>874</v>
      </c>
      <c r="M177" s="317" t="s">
        <v>240</v>
      </c>
      <c r="N177" s="317" t="s">
        <v>874</v>
      </c>
      <c r="O177" s="317" t="s">
        <v>874</v>
      </c>
      <c r="P177" s="317" t="s">
        <v>240</v>
      </c>
      <c r="Q177" s="318" t="n">
        <v>492779169233</v>
      </c>
      <c r="R177" s="318" t="n">
        <v>48749755594</v>
      </c>
      <c r="S177" s="318" t="n">
        <v>88385265946</v>
      </c>
      <c r="T177" s="318" t="n">
        <v>131295466917</v>
      </c>
      <c r="U177" s="318" t="n">
        <v>168563887098</v>
      </c>
      <c r="V177" s="318" t="n">
        <v>207122641731</v>
      </c>
      <c r="W177" s="318" t="n">
        <v>245233913162</v>
      </c>
      <c r="X177" s="318" t="n">
        <v>286890519475</v>
      </c>
      <c r="Y177" s="318" t="n">
        <v>328090433502</v>
      </c>
      <c r="Z177" s="318" t="n">
        <v>398083725574</v>
      </c>
      <c r="AA177" s="318"/>
      <c r="AB177" s="318"/>
      <c r="AC177" s="318"/>
      <c r="AD177" s="318"/>
      <c r="AE177" s="318" t="n">
        <f aca="false">R177</f>
        <v>48749755594</v>
      </c>
      <c r="AF177" s="318" t="n">
        <f aca="false">S177-R177</f>
        <v>39635510352</v>
      </c>
      <c r="AG177" s="318" t="n">
        <f aca="false">T177-S177</f>
        <v>42910200971</v>
      </c>
      <c r="AH177" s="318" t="n">
        <f aca="false">U177-T177</f>
        <v>37268420181</v>
      </c>
      <c r="AI177" s="318" t="n">
        <f aca="false">V177-U177</f>
        <v>38558754633</v>
      </c>
      <c r="AJ177" s="318" t="n">
        <f aca="false">W177-V177</f>
        <v>38111271431</v>
      </c>
      <c r="AK177" s="318" t="n">
        <f aca="false">X177-W177</f>
        <v>41656606313</v>
      </c>
      <c r="AL177" s="318" t="n">
        <f aca="false">Y177-X177</f>
        <v>41199914027</v>
      </c>
      <c r="AM177" s="318" t="n">
        <f aca="false">Z177-Y177</f>
        <v>69993292072</v>
      </c>
      <c r="AN177" s="318" t="s">
        <v>1726</v>
      </c>
      <c r="AO177" s="318" t="n">
        <f aca="false">AB177-AA177</f>
        <v>0</v>
      </c>
      <c r="AP177" s="318" t="n">
        <f aca="false">AC177-AB177</f>
        <v>0</v>
      </c>
      <c r="AR177" s="307" t="str">
        <f aca="false">IFERROR(VLOOKUP(M177,'PL_DEC.2026'!$D$11:$D$99,1,FALSE()),"(미존재)")</f>
        <v>상품매출원가</v>
      </c>
    </row>
    <row r="178" customFormat="false" ht="15" hidden="false" customHeight="false" outlineLevel="0" collapsed="false">
      <c r="A178" s="310" t="s">
        <v>841</v>
      </c>
      <c r="B178" s="307" t="n">
        <v>53000850</v>
      </c>
      <c r="C178" s="307" t="s">
        <v>1932</v>
      </c>
      <c r="D178" s="307" t="s">
        <v>1926</v>
      </c>
      <c r="E178" s="307" t="s">
        <v>1927</v>
      </c>
      <c r="F178" s="307" t="s">
        <v>1928</v>
      </c>
      <c r="G178" s="307" t="s">
        <v>1929</v>
      </c>
      <c r="H178" s="307" t="s">
        <v>1536</v>
      </c>
      <c r="I178" s="307" t="s">
        <v>1933</v>
      </c>
      <c r="K178" s="307" t="s">
        <v>1934</v>
      </c>
      <c r="L178" s="317" t="s">
        <v>874</v>
      </c>
      <c r="M178" s="317" t="s">
        <v>240</v>
      </c>
      <c r="N178" s="317" t="s">
        <v>874</v>
      </c>
      <c r="O178" s="317" t="s">
        <v>874</v>
      </c>
      <c r="P178" s="317" t="s">
        <v>240</v>
      </c>
      <c r="Q178" s="318" t="n">
        <v>-1381680</v>
      </c>
      <c r="R178" s="318" t="n">
        <v>0</v>
      </c>
      <c r="S178" s="318" t="n">
        <v>0</v>
      </c>
      <c r="T178" s="318" t="n">
        <v>0</v>
      </c>
      <c r="U178" s="318" t="n">
        <v>0</v>
      </c>
      <c r="V178" s="318" t="n">
        <v>0</v>
      </c>
      <c r="W178" s="318" t="n">
        <v>0</v>
      </c>
      <c r="X178" s="318" t="n">
        <v>0</v>
      </c>
      <c r="Y178" s="318" t="n">
        <v>0</v>
      </c>
      <c r="Z178" s="318" t="n">
        <v>0</v>
      </c>
      <c r="AA178" s="318"/>
      <c r="AB178" s="318"/>
      <c r="AC178" s="318"/>
      <c r="AD178" s="318"/>
      <c r="AE178" s="318" t="n">
        <f aca="false">R178</f>
        <v>0</v>
      </c>
      <c r="AF178" s="318" t="n">
        <f aca="false">S178-R178</f>
        <v>0</v>
      </c>
      <c r="AG178" s="318" t="n">
        <f aca="false">T178-S178</f>
        <v>0</v>
      </c>
      <c r="AH178" s="318" t="n">
        <f aca="false">U178-T178</f>
        <v>0</v>
      </c>
      <c r="AI178" s="318" t="n">
        <f aca="false">V178-U178</f>
        <v>0</v>
      </c>
      <c r="AJ178" s="318" t="n">
        <f aca="false">W178-V178</f>
        <v>0</v>
      </c>
      <c r="AK178" s="318" t="n">
        <f aca="false">X178-W178</f>
        <v>0</v>
      </c>
      <c r="AL178" s="318" t="n">
        <f aca="false">Y178-X178</f>
        <v>0</v>
      </c>
      <c r="AM178" s="318" t="n">
        <f aca="false">Z178-Y178</f>
        <v>0</v>
      </c>
      <c r="AN178" s="318" t="s">
        <v>1726</v>
      </c>
      <c r="AO178" s="318" t="n">
        <f aca="false">AB178-AA178</f>
        <v>0</v>
      </c>
      <c r="AP178" s="318" t="n">
        <f aca="false">AC178-AB178</f>
        <v>0</v>
      </c>
      <c r="AR178" s="307" t="str">
        <f aca="false">IFERROR(VLOOKUP(M178,'PL_DEC.2026'!$D$11:$D$99,1,FALSE()),"(미존재)")</f>
        <v>상품매출원가</v>
      </c>
    </row>
    <row r="179" customFormat="false" ht="15" hidden="false" customHeight="false" outlineLevel="0" collapsed="false">
      <c r="A179" s="310" t="s">
        <v>841</v>
      </c>
      <c r="B179" s="307" t="n">
        <v>53000853</v>
      </c>
      <c r="C179" s="307" t="s">
        <v>1935</v>
      </c>
      <c r="D179" s="307" t="s">
        <v>1926</v>
      </c>
      <c r="E179" s="307" t="s">
        <v>1927</v>
      </c>
      <c r="F179" s="307" t="s">
        <v>1928</v>
      </c>
      <c r="G179" s="307" t="s">
        <v>1929</v>
      </c>
      <c r="H179" s="307" t="s">
        <v>1536</v>
      </c>
      <c r="I179" s="307" t="s">
        <v>1936</v>
      </c>
      <c r="K179" s="307" t="s">
        <v>1937</v>
      </c>
      <c r="L179" s="317" t="s">
        <v>874</v>
      </c>
      <c r="M179" s="317" t="s">
        <v>240</v>
      </c>
      <c r="N179" s="317" t="s">
        <v>874</v>
      </c>
      <c r="O179" s="317" t="s">
        <v>874</v>
      </c>
      <c r="P179" s="317" t="s">
        <v>240</v>
      </c>
      <c r="Q179" s="318" t="n">
        <v>611922041</v>
      </c>
      <c r="R179" s="318" t="n">
        <v>-444992159</v>
      </c>
      <c r="S179" s="318" t="n">
        <v>-1227166660</v>
      </c>
      <c r="T179" s="318" t="n">
        <v>-997031972</v>
      </c>
      <c r="U179" s="318" t="n">
        <v>-868543229</v>
      </c>
      <c r="V179" s="318" t="n">
        <v>-45793541</v>
      </c>
      <c r="W179" s="318" t="n">
        <v>-936290834</v>
      </c>
      <c r="X179" s="318" t="n">
        <v>-599904788</v>
      </c>
      <c r="Y179" s="318" t="n">
        <v>-115140626</v>
      </c>
      <c r="Z179" s="318" t="n">
        <v>-184200745</v>
      </c>
      <c r="AA179" s="318"/>
      <c r="AB179" s="318"/>
      <c r="AC179" s="318"/>
      <c r="AD179" s="318"/>
      <c r="AE179" s="318" t="n">
        <f aca="false">R179</f>
        <v>-444992159</v>
      </c>
      <c r="AF179" s="318" t="n">
        <f aca="false">S179-R179</f>
        <v>-782174501</v>
      </c>
      <c r="AG179" s="318" t="n">
        <f aca="false">T179-S179</f>
        <v>230134688</v>
      </c>
      <c r="AH179" s="318" t="n">
        <f aca="false">U179-T179</f>
        <v>128488743</v>
      </c>
      <c r="AI179" s="318" t="n">
        <f aca="false">V179-U179</f>
        <v>822749688</v>
      </c>
      <c r="AJ179" s="318" t="n">
        <f aca="false">W179-V179</f>
        <v>-890497293</v>
      </c>
      <c r="AK179" s="318" t="n">
        <f aca="false">X179-W179</f>
        <v>336386046</v>
      </c>
      <c r="AL179" s="318" t="n">
        <f aca="false">Y179-X179</f>
        <v>484764162</v>
      </c>
      <c r="AM179" s="318" t="n">
        <f aca="false">Z179-Y179</f>
        <v>-69060119</v>
      </c>
      <c r="AN179" s="318" t="s">
        <v>1726</v>
      </c>
      <c r="AO179" s="318" t="n">
        <f aca="false">AB179-AA179</f>
        <v>0</v>
      </c>
      <c r="AP179" s="318" t="n">
        <f aca="false">AC179-AB179</f>
        <v>0</v>
      </c>
      <c r="AR179" s="307" t="str">
        <f aca="false">IFERROR(VLOOKUP(M179,'PL_DEC.2026'!$D$11:$D$99,1,FALSE()),"(미존재)")</f>
        <v>상품매출원가</v>
      </c>
    </row>
    <row r="180" customFormat="false" ht="15" hidden="false" customHeight="false" outlineLevel="0" collapsed="false">
      <c r="A180" s="310" t="s">
        <v>841</v>
      </c>
      <c r="B180" s="307" t="n">
        <v>53000858</v>
      </c>
      <c r="C180" s="307" t="s">
        <v>1938</v>
      </c>
      <c r="D180" s="307" t="s">
        <v>1926</v>
      </c>
      <c r="E180" s="307" t="s">
        <v>1927</v>
      </c>
      <c r="F180" s="307" t="s">
        <v>1928</v>
      </c>
      <c r="G180" s="307" t="s">
        <v>1929</v>
      </c>
      <c r="H180" s="307" t="s">
        <v>1536</v>
      </c>
      <c r="I180" s="307" t="s">
        <v>1939</v>
      </c>
      <c r="K180" s="307" t="s">
        <v>1940</v>
      </c>
      <c r="L180" s="317" t="s">
        <v>874</v>
      </c>
      <c r="M180" s="317" t="s">
        <v>240</v>
      </c>
      <c r="N180" s="317" t="s">
        <v>874</v>
      </c>
      <c r="O180" s="317" t="s">
        <v>874</v>
      </c>
      <c r="P180" s="317" t="s">
        <v>240</v>
      </c>
      <c r="Q180" s="318" t="n">
        <v>-355542315</v>
      </c>
      <c r="R180" s="318" t="n">
        <v>326336718</v>
      </c>
      <c r="S180" s="318" t="n">
        <v>402042390</v>
      </c>
      <c r="T180" s="318" t="n">
        <v>940724130</v>
      </c>
      <c r="U180" s="318" t="n">
        <v>1024762616</v>
      </c>
      <c r="V180" s="318" t="n">
        <v>734066751</v>
      </c>
      <c r="W180" s="318" t="n">
        <v>-4770617217</v>
      </c>
      <c r="X180" s="318" t="n">
        <v>-2788084275</v>
      </c>
      <c r="Y180" s="318" t="n">
        <v>-2406031973</v>
      </c>
      <c r="Z180" s="318" t="n">
        <v>-2400102196</v>
      </c>
      <c r="AA180" s="318"/>
      <c r="AB180" s="318"/>
      <c r="AC180" s="318"/>
      <c r="AD180" s="318"/>
      <c r="AE180" s="318" t="n">
        <f aca="false">R180</f>
        <v>326336718</v>
      </c>
      <c r="AF180" s="318" t="n">
        <f aca="false">S180-R180</f>
        <v>75705672</v>
      </c>
      <c r="AG180" s="318" t="n">
        <f aca="false">T180-S180</f>
        <v>538681740</v>
      </c>
      <c r="AH180" s="318" t="n">
        <f aca="false">U180-T180</f>
        <v>84038486</v>
      </c>
      <c r="AI180" s="318" t="n">
        <f aca="false">V180-U180</f>
        <v>-290695865</v>
      </c>
      <c r="AJ180" s="318" t="n">
        <f aca="false">W180-V180</f>
        <v>-5504683968</v>
      </c>
      <c r="AK180" s="318" t="n">
        <f aca="false">X180-W180</f>
        <v>1982532942</v>
      </c>
      <c r="AL180" s="318" t="n">
        <f aca="false">Y180-X180</f>
        <v>382052302</v>
      </c>
      <c r="AM180" s="318" t="n">
        <f aca="false">Z180-Y180</f>
        <v>5929777</v>
      </c>
      <c r="AN180" s="318" t="s">
        <v>1726</v>
      </c>
      <c r="AO180" s="318" t="n">
        <f aca="false">AB180-AA180</f>
        <v>0</v>
      </c>
      <c r="AP180" s="318" t="n">
        <f aca="false">AC180-AB180</f>
        <v>0</v>
      </c>
      <c r="AR180" s="307" t="str">
        <f aca="false">IFERROR(VLOOKUP(M180,'PL_DEC.2026'!$D$11:$D$99,1,FALSE()),"(미존재)")</f>
        <v>상품매출원가</v>
      </c>
    </row>
    <row r="181" customFormat="false" ht="15" hidden="false" customHeight="false" outlineLevel="0" collapsed="false">
      <c r="A181" s="310" t="s">
        <v>841</v>
      </c>
      <c r="B181" s="307" t="n">
        <v>54000008</v>
      </c>
      <c r="C181" s="307" t="s">
        <v>1941</v>
      </c>
      <c r="D181" s="307" t="s">
        <v>1926</v>
      </c>
      <c r="E181" s="307" t="s">
        <v>1927</v>
      </c>
      <c r="F181" s="307" t="s">
        <v>1928</v>
      </c>
      <c r="G181" s="307" t="s">
        <v>1929</v>
      </c>
      <c r="H181" s="307" t="s">
        <v>1536</v>
      </c>
      <c r="I181" s="307" t="s">
        <v>1936</v>
      </c>
      <c r="K181" s="307" t="s">
        <v>1937</v>
      </c>
      <c r="L181" s="317" t="s">
        <v>874</v>
      </c>
      <c r="M181" s="317" t="s">
        <v>240</v>
      </c>
      <c r="N181" s="317" t="s">
        <v>874</v>
      </c>
      <c r="O181" s="317" t="s">
        <v>874</v>
      </c>
      <c r="P181" s="317" t="s">
        <v>240</v>
      </c>
      <c r="Q181" s="318" t="n">
        <v>-4568891349</v>
      </c>
      <c r="R181" s="318" t="n">
        <v>0</v>
      </c>
      <c r="S181" s="318" t="n">
        <v>-3449568</v>
      </c>
      <c r="T181" s="318" t="n">
        <v>-6951073</v>
      </c>
      <c r="U181" s="318" t="n">
        <v>-14159279</v>
      </c>
      <c r="V181" s="318" t="n">
        <v>-15936068</v>
      </c>
      <c r="W181" s="318" t="n">
        <v>-195915300</v>
      </c>
      <c r="X181" s="318" t="n">
        <v>-315513963</v>
      </c>
      <c r="Y181" s="318" t="n">
        <v>-429736138</v>
      </c>
      <c r="Z181" s="318" t="n">
        <v>-452391346</v>
      </c>
      <c r="AA181" s="318"/>
      <c r="AB181" s="318"/>
      <c r="AC181" s="318"/>
      <c r="AD181" s="318"/>
      <c r="AE181" s="318" t="n">
        <f aca="false">R181</f>
        <v>0</v>
      </c>
      <c r="AF181" s="318" t="n">
        <f aca="false">S181-R181</f>
        <v>-3449568</v>
      </c>
      <c r="AG181" s="318" t="n">
        <f aca="false">T181-S181</f>
        <v>-3501505</v>
      </c>
      <c r="AH181" s="318" t="n">
        <f aca="false">U181-T181</f>
        <v>-7208206</v>
      </c>
      <c r="AI181" s="318" t="n">
        <f aca="false">V181-U181</f>
        <v>-1776789</v>
      </c>
      <c r="AJ181" s="318" t="n">
        <f aca="false">W181-V181</f>
        <v>-179979232</v>
      </c>
      <c r="AK181" s="318" t="n">
        <f aca="false">X181-W181</f>
        <v>-119598663</v>
      </c>
      <c r="AL181" s="318" t="n">
        <f aca="false">Y181-X181</f>
        <v>-114222175</v>
      </c>
      <c r="AM181" s="318" t="n">
        <f aca="false">Z181-Y181</f>
        <v>-22655208</v>
      </c>
      <c r="AN181" s="318" t="s">
        <v>1726</v>
      </c>
      <c r="AO181" s="318" t="n">
        <f aca="false">AB181-AA181</f>
        <v>0</v>
      </c>
      <c r="AP181" s="318" t="n">
        <f aca="false">AC181-AB181</f>
        <v>0</v>
      </c>
      <c r="AR181" s="307" t="str">
        <f aca="false">IFERROR(VLOOKUP(M181,'PL_DEC.2026'!$D$11:$D$99,1,FALSE()),"(미존재)")</f>
        <v>상품매출원가</v>
      </c>
    </row>
    <row r="182" customFormat="false" ht="15" hidden="false" customHeight="false" outlineLevel="0" collapsed="false">
      <c r="A182" s="310" t="s">
        <v>841</v>
      </c>
      <c r="B182" s="307" t="n">
        <v>54000033</v>
      </c>
      <c r="C182" s="307" t="s">
        <v>1942</v>
      </c>
      <c r="D182" s="307" t="s">
        <v>1926</v>
      </c>
      <c r="E182" s="307" t="s">
        <v>1927</v>
      </c>
      <c r="F182" s="307" t="s">
        <v>1928</v>
      </c>
      <c r="G182" s="307" t="s">
        <v>1929</v>
      </c>
      <c r="H182" s="307" t="s">
        <v>1536</v>
      </c>
      <c r="I182" s="307" t="s">
        <v>1943</v>
      </c>
      <c r="K182" s="307" t="s">
        <v>1944</v>
      </c>
      <c r="L182" s="317" t="s">
        <v>874</v>
      </c>
      <c r="M182" s="317" t="s">
        <v>240</v>
      </c>
      <c r="N182" s="317" t="s">
        <v>874</v>
      </c>
      <c r="O182" s="317" t="s">
        <v>874</v>
      </c>
      <c r="P182" s="317" t="s">
        <v>240</v>
      </c>
      <c r="Q182" s="318" t="n">
        <v>1035710</v>
      </c>
      <c r="R182" s="318" t="n">
        <v>0</v>
      </c>
      <c r="S182" s="318" t="n">
        <v>0</v>
      </c>
      <c r="T182" s="318" t="n">
        <v>0</v>
      </c>
      <c r="U182" s="318" t="n">
        <v>-1149824</v>
      </c>
      <c r="V182" s="318" t="n">
        <v>-1149824</v>
      </c>
      <c r="W182" s="318" t="n">
        <v>-1149824</v>
      </c>
      <c r="X182" s="318" t="n">
        <v>-1149824</v>
      </c>
      <c r="Y182" s="318" t="n">
        <v>-1149824</v>
      </c>
      <c r="Z182" s="318" t="n">
        <v>-1149824</v>
      </c>
      <c r="AA182" s="318"/>
      <c r="AB182" s="318"/>
      <c r="AC182" s="318"/>
      <c r="AD182" s="318"/>
      <c r="AE182" s="318" t="n">
        <f aca="false">R182</f>
        <v>0</v>
      </c>
      <c r="AF182" s="318" t="n">
        <f aca="false">S182-R182</f>
        <v>0</v>
      </c>
      <c r="AG182" s="318" t="n">
        <f aca="false">T182-S182</f>
        <v>0</v>
      </c>
      <c r="AH182" s="318" t="n">
        <f aca="false">U182-T182</f>
        <v>-1149824</v>
      </c>
      <c r="AI182" s="318" t="n">
        <f aca="false">V182-U182</f>
        <v>0</v>
      </c>
      <c r="AJ182" s="318" t="n">
        <f aca="false">W182-V182</f>
        <v>0</v>
      </c>
      <c r="AK182" s="318" t="n">
        <f aca="false">X182-W182</f>
        <v>0</v>
      </c>
      <c r="AL182" s="318" t="n">
        <f aca="false">Y182-X182</f>
        <v>0</v>
      </c>
      <c r="AM182" s="318" t="n">
        <f aca="false">Z182-Y182</f>
        <v>0</v>
      </c>
      <c r="AN182" s="318" t="s">
        <v>1726</v>
      </c>
      <c r="AO182" s="318" t="n">
        <f aca="false">AB182-AA182</f>
        <v>0</v>
      </c>
      <c r="AP182" s="318" t="n">
        <f aca="false">AC182-AB182</f>
        <v>0</v>
      </c>
      <c r="AR182" s="307" t="str">
        <f aca="false">IFERROR(VLOOKUP(M182,'PL_DEC.2026'!$D$11:$D$99,1,FALSE()),"(미존재)")</f>
        <v>상품매출원가</v>
      </c>
    </row>
    <row r="183" customFormat="false" ht="15" hidden="false" customHeight="false" outlineLevel="0" collapsed="false">
      <c r="A183" s="310" t="s">
        <v>841</v>
      </c>
      <c r="B183" s="307" t="n">
        <v>54200018</v>
      </c>
      <c r="C183" s="307" t="s">
        <v>1945</v>
      </c>
      <c r="D183" s="307" t="s">
        <v>1926</v>
      </c>
      <c r="E183" s="307" t="s">
        <v>1927</v>
      </c>
      <c r="F183" s="307" t="s">
        <v>1928</v>
      </c>
      <c r="G183" s="307" t="s">
        <v>1929</v>
      </c>
      <c r="H183" s="307" t="s">
        <v>1536</v>
      </c>
      <c r="I183" s="307" t="s">
        <v>1936</v>
      </c>
      <c r="K183" s="307" t="s">
        <v>1937</v>
      </c>
      <c r="L183" s="317" t="s">
        <v>874</v>
      </c>
      <c r="M183" s="317" t="s">
        <v>240</v>
      </c>
      <c r="N183" s="317" t="s">
        <v>874</v>
      </c>
      <c r="O183" s="317" t="s">
        <v>874</v>
      </c>
      <c r="P183" s="317" t="s">
        <v>240</v>
      </c>
      <c r="Q183" s="318"/>
      <c r="R183" s="318" t="n">
        <v>0</v>
      </c>
      <c r="S183" s="318"/>
      <c r="T183" s="318"/>
      <c r="U183" s="318"/>
      <c r="V183" s="318"/>
      <c r="W183" s="318" t="n">
        <v>6050000</v>
      </c>
      <c r="X183" s="318" t="n">
        <v>6294000</v>
      </c>
      <c r="Y183" s="318" t="n">
        <v>11484600</v>
      </c>
      <c r="Z183" s="318" t="n">
        <v>21339601</v>
      </c>
      <c r="AA183" s="318"/>
      <c r="AB183" s="318"/>
      <c r="AC183" s="318"/>
      <c r="AD183" s="318"/>
      <c r="AE183" s="318" t="n">
        <f aca="false">R183</f>
        <v>0</v>
      </c>
      <c r="AF183" s="318" t="n">
        <f aca="false">S183-R183</f>
        <v>0</v>
      </c>
      <c r="AG183" s="318" t="n">
        <f aca="false">T183-S183</f>
        <v>0</v>
      </c>
      <c r="AH183" s="318" t="n">
        <f aca="false">U183-T183</f>
        <v>0</v>
      </c>
      <c r="AI183" s="318" t="n">
        <f aca="false">V183-U183</f>
        <v>0</v>
      </c>
      <c r="AJ183" s="318" t="n">
        <f aca="false">W183-V183</f>
        <v>6050000</v>
      </c>
      <c r="AK183" s="318" t="n">
        <f aca="false">X183-W183</f>
        <v>244000</v>
      </c>
      <c r="AL183" s="318" t="n">
        <f aca="false">Y183-X183</f>
        <v>5190600</v>
      </c>
      <c r="AM183" s="318" t="n">
        <f aca="false">Z183-Y183</f>
        <v>9855001</v>
      </c>
      <c r="AN183" s="318" t="s">
        <v>1726</v>
      </c>
      <c r="AO183" s="318" t="n">
        <f aca="false">AB183-AA183</f>
        <v>0</v>
      </c>
      <c r="AP183" s="318" t="n">
        <f aca="false">AC183-AB183</f>
        <v>0</v>
      </c>
      <c r="AR183" s="307" t="str">
        <f aca="false">IFERROR(VLOOKUP(M183,'PL_DEC.2026'!$D$11:$D$99,1,FALSE()),"(미존재)")</f>
        <v>상품매출원가</v>
      </c>
    </row>
    <row r="184" customFormat="false" ht="15" hidden="false" customHeight="false" outlineLevel="0" collapsed="false">
      <c r="A184" s="310" t="s">
        <v>841</v>
      </c>
      <c r="B184" s="307" t="n">
        <v>54000070</v>
      </c>
      <c r="C184" s="307" t="s">
        <v>1946</v>
      </c>
      <c r="D184" s="307" t="s">
        <v>1926</v>
      </c>
      <c r="E184" s="307" t="s">
        <v>1927</v>
      </c>
      <c r="F184" s="307" t="s">
        <v>1928</v>
      </c>
      <c r="G184" s="307" t="s">
        <v>1929</v>
      </c>
      <c r="H184" s="307" t="s">
        <v>1536</v>
      </c>
      <c r="I184" s="307" t="s">
        <v>1936</v>
      </c>
      <c r="K184" s="307" t="s">
        <v>1937</v>
      </c>
      <c r="L184" s="317" t="s">
        <v>874</v>
      </c>
      <c r="M184" s="317" t="s">
        <v>240</v>
      </c>
      <c r="N184" s="317" t="s">
        <v>874</v>
      </c>
      <c r="O184" s="317" t="s">
        <v>874</v>
      </c>
      <c r="P184" s="317" t="s">
        <v>240</v>
      </c>
      <c r="Q184" s="318" t="n">
        <v>-2417467720</v>
      </c>
      <c r="R184" s="318" t="n">
        <v>-57541822</v>
      </c>
      <c r="S184" s="318" t="n">
        <v>-381604401</v>
      </c>
      <c r="T184" s="318" t="n">
        <v>-607460227</v>
      </c>
      <c r="U184" s="318" t="n">
        <v>-1345124387</v>
      </c>
      <c r="V184" s="318" t="n">
        <v>-1397450611</v>
      </c>
      <c r="W184" s="318" t="n">
        <v>-1432322678</v>
      </c>
      <c r="X184" s="318" t="n">
        <v>-1751791412</v>
      </c>
      <c r="Y184" s="318" t="n">
        <v>-1740948146</v>
      </c>
      <c r="Z184" s="318" t="n">
        <v>-1987252232</v>
      </c>
      <c r="AA184" s="318"/>
      <c r="AB184" s="318"/>
      <c r="AC184" s="318"/>
      <c r="AD184" s="318"/>
      <c r="AE184" s="318" t="n">
        <f aca="false">R184</f>
        <v>-57541822</v>
      </c>
      <c r="AF184" s="318" t="n">
        <f aca="false">S184-R184</f>
        <v>-324062579</v>
      </c>
      <c r="AG184" s="318" t="n">
        <f aca="false">T184-S184</f>
        <v>-225855826</v>
      </c>
      <c r="AH184" s="318" t="n">
        <f aca="false">U184-T184</f>
        <v>-737664160</v>
      </c>
      <c r="AI184" s="318" t="n">
        <f aca="false">V184-U184</f>
        <v>-52326224</v>
      </c>
      <c r="AJ184" s="318" t="n">
        <f aca="false">W184-V184</f>
        <v>-34872067</v>
      </c>
      <c r="AK184" s="318" t="n">
        <f aca="false">X184-W184</f>
        <v>-319468734</v>
      </c>
      <c r="AL184" s="318" t="n">
        <f aca="false">Y184-X184</f>
        <v>10843266</v>
      </c>
      <c r="AM184" s="318" t="n">
        <f aca="false">Z184-Y184</f>
        <v>-246304086</v>
      </c>
      <c r="AN184" s="318" t="s">
        <v>1726</v>
      </c>
      <c r="AO184" s="318" t="n">
        <f aca="false">AB184-AA184</f>
        <v>0</v>
      </c>
      <c r="AP184" s="318" t="n">
        <f aca="false">AC184-AB184</f>
        <v>0</v>
      </c>
      <c r="AR184" s="307" t="str">
        <f aca="false">IFERROR(VLOOKUP(M184,'PL_DEC.2026'!$D$11:$D$99,1,FALSE()),"(미존재)")</f>
        <v>상품매출원가</v>
      </c>
    </row>
    <row r="185" customFormat="false" ht="15" hidden="false" customHeight="false" outlineLevel="0" collapsed="false">
      <c r="A185" s="310" t="s">
        <v>841</v>
      </c>
      <c r="B185" s="307" t="n">
        <v>54000080</v>
      </c>
      <c r="C185" s="307" t="s">
        <v>1947</v>
      </c>
      <c r="D185" s="307" t="s">
        <v>1926</v>
      </c>
      <c r="E185" s="307" t="s">
        <v>1927</v>
      </c>
      <c r="F185" s="307" t="s">
        <v>1928</v>
      </c>
      <c r="G185" s="307" t="s">
        <v>1682</v>
      </c>
      <c r="H185" s="307" t="s">
        <v>1536</v>
      </c>
      <c r="I185" s="307" t="s">
        <v>1936</v>
      </c>
      <c r="K185" s="307" t="s">
        <v>1937</v>
      </c>
      <c r="L185" s="317" t="s">
        <v>874</v>
      </c>
      <c r="M185" s="317" t="s">
        <v>240</v>
      </c>
      <c r="N185" s="317" t="s">
        <v>874</v>
      </c>
      <c r="O185" s="317" t="s">
        <v>874</v>
      </c>
      <c r="P185" s="317" t="s">
        <v>240</v>
      </c>
      <c r="Q185" s="318" t="n">
        <v>1584677840</v>
      </c>
      <c r="R185" s="318" t="n">
        <v>48565675</v>
      </c>
      <c r="S185" s="318" t="n">
        <v>365815940</v>
      </c>
      <c r="T185" s="318" t="n">
        <v>590674268</v>
      </c>
      <c r="U185" s="318" t="n">
        <v>1324390592</v>
      </c>
      <c r="V185" s="318" t="n">
        <v>1375070373</v>
      </c>
      <c r="W185" s="318" t="n">
        <v>1407600918</v>
      </c>
      <c r="X185" s="318" t="n">
        <v>1714578220</v>
      </c>
      <c r="Y185" s="318" t="n">
        <v>1702832936</v>
      </c>
      <c r="Z185" s="318" t="n">
        <v>1948608791</v>
      </c>
      <c r="AA185" s="318"/>
      <c r="AB185" s="318"/>
      <c r="AC185" s="318"/>
      <c r="AD185" s="318"/>
      <c r="AE185" s="318" t="n">
        <f aca="false">R185</f>
        <v>48565675</v>
      </c>
      <c r="AF185" s="318" t="n">
        <f aca="false">S185-R185</f>
        <v>317250265</v>
      </c>
      <c r="AG185" s="318" t="n">
        <f aca="false">T185-S185</f>
        <v>224858328</v>
      </c>
      <c r="AH185" s="318" t="n">
        <f aca="false">U185-T185</f>
        <v>733716324</v>
      </c>
      <c r="AI185" s="318" t="n">
        <f aca="false">V185-U185</f>
        <v>50679781</v>
      </c>
      <c r="AJ185" s="318" t="n">
        <f aca="false">W185-V185</f>
        <v>32530545</v>
      </c>
      <c r="AK185" s="318" t="n">
        <f aca="false">X185-W185</f>
        <v>306977302</v>
      </c>
      <c r="AL185" s="318" t="n">
        <f aca="false">Y185-X185</f>
        <v>-11745284</v>
      </c>
      <c r="AM185" s="318" t="n">
        <f aca="false">Z185-Y185</f>
        <v>245775855</v>
      </c>
      <c r="AN185" s="318" t="s">
        <v>1726</v>
      </c>
      <c r="AO185" s="318" t="n">
        <f aca="false">AB185-AA185</f>
        <v>0</v>
      </c>
      <c r="AP185" s="318" t="n">
        <f aca="false">AC185-AB185</f>
        <v>0</v>
      </c>
      <c r="AR185" s="307" t="str">
        <f aca="false">IFERROR(VLOOKUP(M185,'PL_DEC.2026'!$D$11:$D$99,1,FALSE()),"(미존재)")</f>
        <v>상품매출원가</v>
      </c>
    </row>
    <row r="186" customFormat="false" ht="15" hidden="false" customHeight="false" outlineLevel="0" collapsed="false">
      <c r="A186" s="310" t="s">
        <v>841</v>
      </c>
      <c r="B186" s="307" t="n">
        <v>54000700</v>
      </c>
      <c r="C186" s="307" t="s">
        <v>1948</v>
      </c>
      <c r="D186" s="307" t="s">
        <v>1926</v>
      </c>
      <c r="E186" s="307" t="s">
        <v>1927</v>
      </c>
      <c r="F186" s="307" t="s">
        <v>1928</v>
      </c>
      <c r="G186" s="307" t="s">
        <v>1929</v>
      </c>
      <c r="H186" s="307" t="s">
        <v>1536</v>
      </c>
      <c r="I186" s="307" t="s">
        <v>1936</v>
      </c>
      <c r="K186" s="307" t="s">
        <v>1937</v>
      </c>
      <c r="L186" s="317" t="s">
        <v>874</v>
      </c>
      <c r="M186" s="317" t="s">
        <v>240</v>
      </c>
      <c r="N186" s="317" t="s">
        <v>874</v>
      </c>
      <c r="O186" s="317" t="s">
        <v>874</v>
      </c>
      <c r="P186" s="317" t="s">
        <v>240</v>
      </c>
      <c r="Q186" s="318" t="n">
        <v>4272917104</v>
      </c>
      <c r="R186" s="318" t="n">
        <v>302621853</v>
      </c>
      <c r="S186" s="318" t="n">
        <v>542795577</v>
      </c>
      <c r="T186" s="318" t="n">
        <v>717145867</v>
      </c>
      <c r="U186" s="318" t="n">
        <v>941590461</v>
      </c>
      <c r="V186" s="318" t="n">
        <v>1058753122</v>
      </c>
      <c r="W186" s="318" t="n">
        <v>1405859055</v>
      </c>
      <c r="X186" s="318" t="n">
        <v>1777853476</v>
      </c>
      <c r="Y186" s="318" t="n">
        <v>2021613965</v>
      </c>
      <c r="Z186" s="318" t="n">
        <v>2176465415</v>
      </c>
      <c r="AA186" s="318"/>
      <c r="AB186" s="318"/>
      <c r="AC186" s="318"/>
      <c r="AD186" s="318"/>
      <c r="AE186" s="318" t="n">
        <f aca="false">R186</f>
        <v>302621853</v>
      </c>
      <c r="AF186" s="318" t="n">
        <f aca="false">S186-R186</f>
        <v>240173724</v>
      </c>
      <c r="AG186" s="318" t="n">
        <f aca="false">T186-S186</f>
        <v>174350290</v>
      </c>
      <c r="AH186" s="318" t="n">
        <f aca="false">U186-T186</f>
        <v>224444594</v>
      </c>
      <c r="AI186" s="318" t="n">
        <f aca="false">V186-U186</f>
        <v>117162661</v>
      </c>
      <c r="AJ186" s="318" t="n">
        <f aca="false">W186-V186</f>
        <v>347105933</v>
      </c>
      <c r="AK186" s="318" t="n">
        <f aca="false">X186-W186</f>
        <v>371994421</v>
      </c>
      <c r="AL186" s="318" t="n">
        <f aca="false">Y186-X186</f>
        <v>243760489</v>
      </c>
      <c r="AM186" s="318" t="n">
        <f aca="false">Z186-Y186</f>
        <v>154851450</v>
      </c>
      <c r="AN186" s="318" t="s">
        <v>1726</v>
      </c>
      <c r="AO186" s="318" t="n">
        <f aca="false">AB186-AA186</f>
        <v>0</v>
      </c>
      <c r="AP186" s="318" t="n">
        <f aca="false">AC186-AB186</f>
        <v>0</v>
      </c>
      <c r="AR186" s="307" t="str">
        <f aca="false">IFERROR(VLOOKUP(M186,'PL_DEC.2026'!$D$11:$D$99,1,FALSE()),"(미존재)")</f>
        <v>상품매출원가</v>
      </c>
    </row>
    <row r="187" customFormat="false" ht="15" hidden="false" customHeight="false" outlineLevel="0" collapsed="false">
      <c r="A187" s="310" t="s">
        <v>841</v>
      </c>
      <c r="B187" s="307" t="n">
        <v>54000851</v>
      </c>
      <c r="C187" s="307" t="s">
        <v>1949</v>
      </c>
      <c r="D187" s="307" t="s">
        <v>1926</v>
      </c>
      <c r="E187" s="307" t="s">
        <v>1927</v>
      </c>
      <c r="F187" s="307" t="s">
        <v>1950</v>
      </c>
      <c r="G187" s="307" t="s">
        <v>1929</v>
      </c>
      <c r="H187" s="307" t="s">
        <v>1536</v>
      </c>
      <c r="I187" s="307" t="s">
        <v>1951</v>
      </c>
      <c r="K187" s="307" t="s">
        <v>1952</v>
      </c>
      <c r="L187" s="317" t="s">
        <v>874</v>
      </c>
      <c r="M187" s="317" t="s">
        <v>240</v>
      </c>
      <c r="N187" s="317" t="s">
        <v>874</v>
      </c>
      <c r="O187" s="317" t="s">
        <v>874</v>
      </c>
      <c r="P187" s="317" t="s">
        <v>240</v>
      </c>
      <c r="Q187" s="318" t="n">
        <v>485633263</v>
      </c>
      <c r="R187" s="318" t="n">
        <v>107433825</v>
      </c>
      <c r="S187" s="318" t="n">
        <v>791665967</v>
      </c>
      <c r="T187" s="318" t="n">
        <v>208696974</v>
      </c>
      <c r="U187" s="318" t="n">
        <v>915284561</v>
      </c>
      <c r="V187" s="318" t="n">
        <v>940919570</v>
      </c>
      <c r="W187" s="318" t="n">
        <v>1008228737</v>
      </c>
      <c r="X187" s="318" t="n">
        <v>1832542023</v>
      </c>
      <c r="Y187" s="318" t="n">
        <v>1866271422</v>
      </c>
      <c r="Z187" s="318" t="n">
        <v>1917769208</v>
      </c>
      <c r="AA187" s="318"/>
      <c r="AB187" s="318"/>
      <c r="AC187" s="318"/>
      <c r="AD187" s="318"/>
      <c r="AE187" s="318" t="n">
        <f aca="false">R187</f>
        <v>107433825</v>
      </c>
      <c r="AF187" s="318" t="n">
        <f aca="false">S187-R187</f>
        <v>684232142</v>
      </c>
      <c r="AG187" s="318" t="n">
        <f aca="false">T187-S187</f>
        <v>-582968993</v>
      </c>
      <c r="AH187" s="318" t="n">
        <f aca="false">U187-T187</f>
        <v>706587587</v>
      </c>
      <c r="AI187" s="318" t="n">
        <f aca="false">V187-U187</f>
        <v>25635009</v>
      </c>
      <c r="AJ187" s="318" t="n">
        <f aca="false">W187-V187</f>
        <v>67309167</v>
      </c>
      <c r="AK187" s="318" t="n">
        <f aca="false">X187-W187</f>
        <v>824313286</v>
      </c>
      <c r="AL187" s="318" t="n">
        <f aca="false">Y187-X187</f>
        <v>33729399</v>
      </c>
      <c r="AM187" s="318" t="n">
        <f aca="false">Z187-Y187</f>
        <v>51497786</v>
      </c>
      <c r="AN187" s="318" t="s">
        <v>1726</v>
      </c>
      <c r="AO187" s="318" t="n">
        <f aca="false">AB187-AA187</f>
        <v>0</v>
      </c>
      <c r="AP187" s="318" t="n">
        <f aca="false">AC187-AB187</f>
        <v>0</v>
      </c>
      <c r="AQ187" s="317" t="s">
        <v>1953</v>
      </c>
      <c r="AR187" s="307" t="str">
        <f aca="false">IFERROR(VLOOKUP(M187,'PL_DEC.2026'!$D$11:$D$99,1,FALSE()),"(미존재)")</f>
        <v>상품매출원가</v>
      </c>
    </row>
    <row r="188" customFormat="false" ht="15" hidden="false" customHeight="false" outlineLevel="0" collapsed="false">
      <c r="A188" s="310" t="s">
        <v>841</v>
      </c>
      <c r="B188" s="307" t="n">
        <v>54001201</v>
      </c>
      <c r="C188" s="307" t="s">
        <v>1954</v>
      </c>
      <c r="D188" s="307" t="s">
        <v>1926</v>
      </c>
      <c r="E188" s="307" t="s">
        <v>1927</v>
      </c>
      <c r="F188" s="307" t="s">
        <v>1928</v>
      </c>
      <c r="G188" s="307" t="s">
        <v>1929</v>
      </c>
      <c r="H188" s="307" t="s">
        <v>1536</v>
      </c>
      <c r="I188" s="307" t="s">
        <v>1943</v>
      </c>
      <c r="K188" s="307" t="s">
        <v>1944</v>
      </c>
      <c r="L188" s="317" t="s">
        <v>874</v>
      </c>
      <c r="M188" s="317" t="s">
        <v>240</v>
      </c>
      <c r="N188" s="317" t="s">
        <v>874</v>
      </c>
      <c r="O188" s="317" t="s">
        <v>874</v>
      </c>
      <c r="P188" s="317" t="s">
        <v>240</v>
      </c>
      <c r="Q188" s="318" t="n">
        <v>-3387201262</v>
      </c>
      <c r="R188" s="318" t="n">
        <v>-438776190</v>
      </c>
      <c r="S188" s="318" t="n">
        <v>-840397532</v>
      </c>
      <c r="T188" s="318" t="n">
        <v>-1156354378</v>
      </c>
      <c r="U188" s="318" t="n">
        <v>-1961735995</v>
      </c>
      <c r="V188" s="318" t="n">
        <v>-1988291133</v>
      </c>
      <c r="W188" s="318" t="n">
        <v>-2644449720</v>
      </c>
      <c r="X188" s="318" t="n">
        <v>-2916713888</v>
      </c>
      <c r="Y188" s="318" t="n">
        <v>-3650003551</v>
      </c>
      <c r="Z188" s="318" t="n">
        <v>-3921818424</v>
      </c>
      <c r="AA188" s="318"/>
      <c r="AB188" s="318"/>
      <c r="AC188" s="318"/>
      <c r="AD188" s="318"/>
      <c r="AE188" s="318" t="n">
        <f aca="false">R188</f>
        <v>-438776190</v>
      </c>
      <c r="AF188" s="318" t="n">
        <f aca="false">S188-R188</f>
        <v>-401621342</v>
      </c>
      <c r="AG188" s="318" t="n">
        <f aca="false">T188-S188</f>
        <v>-315956846</v>
      </c>
      <c r="AH188" s="318" t="n">
        <f aca="false">U188-T188</f>
        <v>-805381617</v>
      </c>
      <c r="AI188" s="318" t="n">
        <f aca="false">V188-U188</f>
        <v>-26555138</v>
      </c>
      <c r="AJ188" s="318" t="n">
        <f aca="false">W188-V188</f>
        <v>-656158587</v>
      </c>
      <c r="AK188" s="318" t="n">
        <f aca="false">X188-W188</f>
        <v>-272264168</v>
      </c>
      <c r="AL188" s="318" t="n">
        <f aca="false">Y188-X188</f>
        <v>-733289663</v>
      </c>
      <c r="AM188" s="318" t="n">
        <f aca="false">Z188-Y188</f>
        <v>-271814873</v>
      </c>
      <c r="AN188" s="318" t="s">
        <v>1726</v>
      </c>
      <c r="AO188" s="318" t="n">
        <f aca="false">AB188-AA188</f>
        <v>0</v>
      </c>
      <c r="AP188" s="318" t="n">
        <f aca="false">AC188-AB188</f>
        <v>0</v>
      </c>
      <c r="AR188" s="307" t="str">
        <f aca="false">IFERROR(VLOOKUP(M188,'PL_DEC.2026'!$D$11:$D$99,1,FALSE()),"(미존재)")</f>
        <v>상품매출원가</v>
      </c>
    </row>
    <row r="189" customFormat="false" ht="15" hidden="false" customHeight="false" outlineLevel="0" collapsed="false">
      <c r="A189" s="310" t="s">
        <v>841</v>
      </c>
      <c r="B189" s="307" t="n">
        <v>55010002</v>
      </c>
      <c r="C189" s="307" t="s">
        <v>1955</v>
      </c>
      <c r="D189" s="307" t="s">
        <v>1926</v>
      </c>
      <c r="E189" s="307" t="s">
        <v>1927</v>
      </c>
      <c r="F189" s="307" t="s">
        <v>1928</v>
      </c>
      <c r="G189" s="307" t="s">
        <v>1929</v>
      </c>
      <c r="H189" s="307" t="s">
        <v>1536</v>
      </c>
      <c r="I189" s="307" t="s">
        <v>1936</v>
      </c>
      <c r="K189" s="307" t="s">
        <v>1937</v>
      </c>
      <c r="L189" s="317" t="s">
        <v>874</v>
      </c>
      <c r="M189" s="317" t="s">
        <v>240</v>
      </c>
      <c r="N189" s="317" t="s">
        <v>874</v>
      </c>
      <c r="O189" s="317" t="s">
        <v>874</v>
      </c>
      <c r="P189" s="317" t="s">
        <v>240</v>
      </c>
      <c r="Q189" s="318" t="n">
        <v>-268905600</v>
      </c>
      <c r="R189" s="318" t="n">
        <v>-38444915</v>
      </c>
      <c r="S189" s="318" t="n">
        <v>-71181026</v>
      </c>
      <c r="T189" s="318" t="n">
        <v>-96661107</v>
      </c>
      <c r="U189" s="318" t="n">
        <v>-138549746</v>
      </c>
      <c r="V189" s="318" t="n">
        <v>-157439512</v>
      </c>
      <c r="W189" s="318" t="n">
        <v>-179897745</v>
      </c>
      <c r="X189" s="318" t="n">
        <v>-219157207</v>
      </c>
      <c r="Y189" s="318" t="n">
        <v>-230000473</v>
      </c>
      <c r="Z189" s="318" t="n">
        <v>-234396026</v>
      </c>
      <c r="AA189" s="318"/>
      <c r="AB189" s="318"/>
      <c r="AC189" s="318"/>
      <c r="AD189" s="318"/>
      <c r="AE189" s="318" t="n">
        <f aca="false">R189</f>
        <v>-38444915</v>
      </c>
      <c r="AF189" s="318" t="n">
        <f aca="false">S189-R189</f>
        <v>-32736111</v>
      </c>
      <c r="AG189" s="318" t="n">
        <f aca="false">T189-S189</f>
        <v>-25480081</v>
      </c>
      <c r="AH189" s="318" t="n">
        <f aca="false">U189-T189</f>
        <v>-41888639</v>
      </c>
      <c r="AI189" s="318" t="n">
        <f aca="false">V189-U189</f>
        <v>-18889766</v>
      </c>
      <c r="AJ189" s="318" t="n">
        <f aca="false">W189-V189</f>
        <v>-22458233</v>
      </c>
      <c r="AK189" s="318" t="n">
        <f aca="false">X189-W189</f>
        <v>-39259462</v>
      </c>
      <c r="AL189" s="318" t="n">
        <f aca="false">Y189-X189</f>
        <v>-10843266</v>
      </c>
      <c r="AM189" s="318" t="n">
        <f aca="false">Z189-Y189</f>
        <v>-4395553</v>
      </c>
      <c r="AN189" s="318" t="s">
        <v>1726</v>
      </c>
      <c r="AO189" s="318" t="n">
        <f aca="false">AB189-AA189</f>
        <v>0</v>
      </c>
      <c r="AP189" s="318" t="n">
        <f aca="false">AC189-AB189</f>
        <v>0</v>
      </c>
      <c r="AR189" s="307" t="str">
        <f aca="false">IFERROR(VLOOKUP(M189,'PL_DEC.2026'!$D$11:$D$99,1,FALSE()),"(미존재)")</f>
        <v>상품매출원가</v>
      </c>
    </row>
    <row r="190" customFormat="false" ht="15" hidden="false" customHeight="false" outlineLevel="0" collapsed="false">
      <c r="A190" s="310" t="s">
        <v>841</v>
      </c>
      <c r="B190" s="307" t="n">
        <v>55050000</v>
      </c>
      <c r="C190" s="307" t="s">
        <v>1956</v>
      </c>
      <c r="D190" s="307" t="s">
        <v>1926</v>
      </c>
      <c r="E190" s="307" t="s">
        <v>1927</v>
      </c>
      <c r="F190" s="307" t="s">
        <v>1950</v>
      </c>
      <c r="G190" s="307" t="s">
        <v>1929</v>
      </c>
      <c r="H190" s="307" t="s">
        <v>1536</v>
      </c>
      <c r="I190" s="307" t="s">
        <v>1957</v>
      </c>
      <c r="K190" s="307" t="s">
        <v>1958</v>
      </c>
      <c r="L190" s="317" t="s">
        <v>874</v>
      </c>
      <c r="M190" s="317" t="s">
        <v>240</v>
      </c>
      <c r="N190" s="317" t="s">
        <v>874</v>
      </c>
      <c r="O190" s="317" t="s">
        <v>874</v>
      </c>
      <c r="P190" s="317" t="s">
        <v>240</v>
      </c>
      <c r="Q190" s="318" t="n">
        <v>844936198</v>
      </c>
      <c r="R190" s="318" t="n">
        <v>-9985420</v>
      </c>
      <c r="S190" s="318" t="n">
        <v>23458323</v>
      </c>
      <c r="T190" s="318" t="n">
        <v>23526152</v>
      </c>
      <c r="U190" s="318" t="n">
        <v>23526152</v>
      </c>
      <c r="V190" s="318" t="n">
        <v>23526152</v>
      </c>
      <c r="W190" s="318" t="n">
        <v>23526152</v>
      </c>
      <c r="X190" s="318" t="n">
        <v>23526152</v>
      </c>
      <c r="Y190" s="318" t="n">
        <v>23526152</v>
      </c>
      <c r="Z190" s="318" t="n">
        <v>23526152</v>
      </c>
      <c r="AA190" s="318"/>
      <c r="AB190" s="318"/>
      <c r="AC190" s="318"/>
      <c r="AD190" s="318"/>
      <c r="AE190" s="318" t="n">
        <f aca="false">R190</f>
        <v>-9985420</v>
      </c>
      <c r="AF190" s="318" t="n">
        <f aca="false">S190-R190</f>
        <v>33443743</v>
      </c>
      <c r="AG190" s="318" t="n">
        <f aca="false">T190-S190</f>
        <v>67829</v>
      </c>
      <c r="AH190" s="318" t="n">
        <f aca="false">U190-T190</f>
        <v>0</v>
      </c>
      <c r="AI190" s="318" t="n">
        <f aca="false">V190-U190</f>
        <v>0</v>
      </c>
      <c r="AJ190" s="318" t="n">
        <f aca="false">W190-V190</f>
        <v>0</v>
      </c>
      <c r="AK190" s="318" t="n">
        <f aca="false">X190-W190</f>
        <v>0</v>
      </c>
      <c r="AL190" s="318" t="n">
        <f aca="false">Y190-X190</f>
        <v>0</v>
      </c>
      <c r="AM190" s="318" t="n">
        <f aca="false">Z190-Y190</f>
        <v>0</v>
      </c>
      <c r="AN190" s="318" t="s">
        <v>1726</v>
      </c>
      <c r="AO190" s="318" t="n">
        <f aca="false">AB190-AA190</f>
        <v>0</v>
      </c>
      <c r="AP190" s="318" t="n">
        <f aca="false">AC190-AB190</f>
        <v>0</v>
      </c>
      <c r="AR190" s="307" t="str">
        <f aca="false">IFERROR(VLOOKUP(M190,'PL_DEC.2026'!$D$11:$D$99,1,FALSE()),"(미존재)")</f>
        <v>상품매출원가</v>
      </c>
    </row>
    <row r="191" customFormat="false" ht="15" hidden="false" customHeight="false" outlineLevel="0" collapsed="false">
      <c r="A191" s="310" t="s">
        <v>841</v>
      </c>
      <c r="B191" s="307" t="n">
        <v>55050001</v>
      </c>
      <c r="C191" s="307" t="s">
        <v>1959</v>
      </c>
      <c r="D191" s="307" t="s">
        <v>1926</v>
      </c>
      <c r="E191" s="307" t="s">
        <v>1960</v>
      </c>
      <c r="F191" s="307" t="s">
        <v>1961</v>
      </c>
      <c r="G191" s="307" t="s">
        <v>1929</v>
      </c>
      <c r="H191" s="307" t="s">
        <v>1536</v>
      </c>
      <c r="I191" s="307" t="s">
        <v>1957</v>
      </c>
      <c r="K191" s="307" t="s">
        <v>1958</v>
      </c>
      <c r="L191" s="317" t="s">
        <v>874</v>
      </c>
      <c r="M191" s="317" t="s">
        <v>240</v>
      </c>
      <c r="N191" s="317" t="s">
        <v>874</v>
      </c>
      <c r="O191" s="317" t="s">
        <v>1962</v>
      </c>
      <c r="P191" s="317" t="s">
        <v>240</v>
      </c>
      <c r="Q191" s="318" t="n">
        <v>-5491708</v>
      </c>
      <c r="R191" s="318" t="n">
        <v>24341721</v>
      </c>
      <c r="S191" s="318" t="n">
        <v>52765660</v>
      </c>
      <c r="T191" s="318" t="n">
        <v>52765660</v>
      </c>
      <c r="U191" s="318" t="n">
        <v>52765660</v>
      </c>
      <c r="V191" s="318" t="n">
        <v>52765660</v>
      </c>
      <c r="W191" s="318" t="n">
        <v>57516703</v>
      </c>
      <c r="X191" s="318" t="n">
        <v>57516703</v>
      </c>
      <c r="Y191" s="318" t="n">
        <v>57516703</v>
      </c>
      <c r="Z191" s="318" t="n">
        <v>67274554</v>
      </c>
      <c r="AA191" s="318"/>
      <c r="AB191" s="318"/>
      <c r="AC191" s="318"/>
      <c r="AD191" s="318"/>
      <c r="AE191" s="318" t="n">
        <f aca="false">R191</f>
        <v>24341721</v>
      </c>
      <c r="AF191" s="318" t="n">
        <f aca="false">S191-R191</f>
        <v>28423939</v>
      </c>
      <c r="AG191" s="318" t="n">
        <f aca="false">T191-S191</f>
        <v>0</v>
      </c>
      <c r="AH191" s="318" t="n">
        <f aca="false">U191-T191</f>
        <v>0</v>
      </c>
      <c r="AI191" s="318" t="n">
        <f aca="false">V191-U191</f>
        <v>0</v>
      </c>
      <c r="AJ191" s="318" t="n">
        <f aca="false">W191-V191</f>
        <v>4751043</v>
      </c>
      <c r="AK191" s="318" t="n">
        <f aca="false">X191-W191</f>
        <v>0</v>
      </c>
      <c r="AL191" s="318" t="n">
        <f aca="false">Y191-X191</f>
        <v>0</v>
      </c>
      <c r="AM191" s="318" t="n">
        <f aca="false">Z191-Y191</f>
        <v>9757851</v>
      </c>
      <c r="AN191" s="318" t="s">
        <v>1726</v>
      </c>
      <c r="AO191" s="318" t="n">
        <f aca="false">AB191-AA191</f>
        <v>0</v>
      </c>
      <c r="AP191" s="318" t="n">
        <f aca="false">AC191-AB191</f>
        <v>0</v>
      </c>
      <c r="AR191" s="307" t="str">
        <f aca="false">IFERROR(VLOOKUP(M191,'PL_DEC.2026'!$D$11:$D$99,1,FALSE()),"(미존재)")</f>
        <v>상품매출원가</v>
      </c>
    </row>
    <row r="192" customFormat="false" ht="15" hidden="false" customHeight="false" outlineLevel="0" collapsed="false">
      <c r="A192" s="310" t="s">
        <v>841</v>
      </c>
      <c r="B192" s="307" t="n">
        <v>55050850</v>
      </c>
      <c r="C192" s="307" t="s">
        <v>1963</v>
      </c>
      <c r="D192" s="307" t="s">
        <v>1926</v>
      </c>
      <c r="E192" s="307" t="s">
        <v>1927</v>
      </c>
      <c r="F192" s="307" t="s">
        <v>1928</v>
      </c>
      <c r="G192" s="307" t="s">
        <v>1929</v>
      </c>
      <c r="H192" s="307" t="s">
        <v>1536</v>
      </c>
      <c r="I192" s="307" t="s">
        <v>1964</v>
      </c>
      <c r="K192" s="307" t="s">
        <v>1965</v>
      </c>
      <c r="L192" s="317" t="s">
        <v>874</v>
      </c>
      <c r="M192" s="317" t="s">
        <v>240</v>
      </c>
      <c r="N192" s="317" t="s">
        <v>874</v>
      </c>
      <c r="O192" s="317" t="s">
        <v>874</v>
      </c>
      <c r="P192" s="317" t="s">
        <v>240</v>
      </c>
      <c r="Q192" s="318" t="n">
        <v>-38721729</v>
      </c>
      <c r="R192" s="318" t="n">
        <v>-1856636</v>
      </c>
      <c r="S192" s="318" t="n">
        <v>23995824</v>
      </c>
      <c r="T192" s="318" t="n">
        <v>23995824</v>
      </c>
      <c r="U192" s="318" t="n">
        <v>23995824</v>
      </c>
      <c r="V192" s="318" t="n">
        <v>-707903024</v>
      </c>
      <c r="W192" s="318" t="n">
        <v>-561523255</v>
      </c>
      <c r="X192" s="318" t="n">
        <v>-258901301</v>
      </c>
      <c r="Y192" s="318" t="n">
        <v>-164602259</v>
      </c>
      <c r="Z192" s="318" t="n">
        <v>-70303217</v>
      </c>
      <c r="AA192" s="318"/>
      <c r="AB192" s="318"/>
      <c r="AC192" s="318"/>
      <c r="AD192" s="318"/>
      <c r="AE192" s="318" t="n">
        <f aca="false">R192</f>
        <v>-1856636</v>
      </c>
      <c r="AF192" s="318" t="n">
        <f aca="false">S192-R192</f>
        <v>25852460</v>
      </c>
      <c r="AG192" s="318" t="n">
        <f aca="false">T192-S192</f>
        <v>0</v>
      </c>
      <c r="AH192" s="318" t="n">
        <f aca="false">U192-T192</f>
        <v>0</v>
      </c>
      <c r="AI192" s="318" t="n">
        <f aca="false">V192-U192</f>
        <v>-731898848</v>
      </c>
      <c r="AJ192" s="318" t="n">
        <f aca="false">W192-V192</f>
        <v>146379769</v>
      </c>
      <c r="AK192" s="318" t="n">
        <f aca="false">X192-W192</f>
        <v>302621954</v>
      </c>
      <c r="AL192" s="318" t="n">
        <f aca="false">Y192-X192</f>
        <v>94299042</v>
      </c>
      <c r="AM192" s="318" t="n">
        <f aca="false">Z192-Y192</f>
        <v>94299042</v>
      </c>
      <c r="AN192" s="318" t="s">
        <v>1726</v>
      </c>
      <c r="AO192" s="318" t="n">
        <f aca="false">AB192-AA192</f>
        <v>0</v>
      </c>
      <c r="AP192" s="318" t="n">
        <f aca="false">AC192-AB192</f>
        <v>0</v>
      </c>
      <c r="AR192" s="307" t="str">
        <f aca="false">IFERROR(VLOOKUP(M192,'PL_DEC.2026'!$D$11:$D$99,1,FALSE()),"(미존재)")</f>
        <v>상품매출원가</v>
      </c>
    </row>
    <row r="193" customFormat="false" ht="15" hidden="false" customHeight="false" outlineLevel="0" collapsed="false">
      <c r="A193" s="310" t="s">
        <v>841</v>
      </c>
      <c r="B193" s="307" t="n">
        <v>55090002</v>
      </c>
      <c r="C193" s="307" t="s">
        <v>1966</v>
      </c>
      <c r="D193" s="307" t="s">
        <v>1926</v>
      </c>
      <c r="E193" s="307" t="s">
        <v>1927</v>
      </c>
      <c r="F193" s="307" t="s">
        <v>1928</v>
      </c>
      <c r="G193" s="307" t="s">
        <v>1929</v>
      </c>
      <c r="H193" s="307" t="s">
        <v>1536</v>
      </c>
      <c r="I193" s="307" t="s">
        <v>1967</v>
      </c>
      <c r="K193" s="307" t="s">
        <v>1968</v>
      </c>
      <c r="L193" s="317" t="s">
        <v>874</v>
      </c>
      <c r="M193" s="317" t="s">
        <v>240</v>
      </c>
      <c r="N193" s="317" t="s">
        <v>874</v>
      </c>
      <c r="O193" s="317" t="s">
        <v>874</v>
      </c>
      <c r="P193" s="317" t="s">
        <v>240</v>
      </c>
      <c r="Q193" s="318" t="n">
        <v>7678409124</v>
      </c>
      <c r="R193" s="318" t="n">
        <v>0</v>
      </c>
      <c r="S193" s="318" t="n">
        <v>0</v>
      </c>
      <c r="T193" s="318" t="n">
        <v>0</v>
      </c>
      <c r="U193" s="318" t="n">
        <v>0</v>
      </c>
      <c r="V193" s="318" t="n">
        <v>0</v>
      </c>
      <c r="W193" s="318" t="n">
        <v>0</v>
      </c>
      <c r="X193" s="318" t="n">
        <v>2996171935</v>
      </c>
      <c r="Y193" s="318" t="n">
        <v>2996171935</v>
      </c>
      <c r="Z193" s="318" t="n">
        <v>3178234946</v>
      </c>
      <c r="AA193" s="318"/>
      <c r="AB193" s="318"/>
      <c r="AC193" s="318"/>
      <c r="AD193" s="318"/>
      <c r="AE193" s="318" t="n">
        <f aca="false">R193</f>
        <v>0</v>
      </c>
      <c r="AF193" s="318" t="n">
        <f aca="false">S193-R193</f>
        <v>0</v>
      </c>
      <c r="AG193" s="318" t="n">
        <f aca="false">T193-S193</f>
        <v>0</v>
      </c>
      <c r="AH193" s="318" t="n">
        <f aca="false">U193-T193</f>
        <v>0</v>
      </c>
      <c r="AI193" s="318" t="n">
        <f aca="false">V193-U193</f>
        <v>0</v>
      </c>
      <c r="AJ193" s="318" t="n">
        <f aca="false">W193-V193</f>
        <v>0</v>
      </c>
      <c r="AK193" s="318" t="n">
        <f aca="false">X193-W193</f>
        <v>2996171935</v>
      </c>
      <c r="AL193" s="318" t="n">
        <f aca="false">Y193-X193</f>
        <v>0</v>
      </c>
      <c r="AM193" s="318" t="n">
        <f aca="false">Z193-Y193</f>
        <v>182063011</v>
      </c>
      <c r="AN193" s="318" t="s">
        <v>1726</v>
      </c>
      <c r="AO193" s="318" t="n">
        <f aca="false">AB193-AA193</f>
        <v>0</v>
      </c>
      <c r="AP193" s="318" t="n">
        <f aca="false">AC193-AB193</f>
        <v>0</v>
      </c>
      <c r="AR193" s="307" t="str">
        <f aca="false">IFERROR(VLOOKUP(M193,'PL_DEC.2026'!$D$11:$D$99,1,FALSE()),"(미존재)")</f>
        <v>상품매출원가</v>
      </c>
    </row>
    <row r="194" customFormat="false" ht="15" hidden="false" customHeight="false" outlineLevel="0" collapsed="false">
      <c r="A194" s="310" t="s">
        <v>841</v>
      </c>
      <c r="B194" s="307" t="n">
        <v>55100008</v>
      </c>
      <c r="C194" s="307" t="s">
        <v>1969</v>
      </c>
      <c r="D194" s="307" t="s">
        <v>1926</v>
      </c>
      <c r="E194" s="307" t="s">
        <v>1927</v>
      </c>
      <c r="F194" s="307" t="s">
        <v>1928</v>
      </c>
      <c r="G194" s="307" t="s">
        <v>1929</v>
      </c>
      <c r="H194" s="307" t="s">
        <v>1536</v>
      </c>
      <c r="I194" s="307" t="s">
        <v>1967</v>
      </c>
      <c r="K194" s="307" t="s">
        <v>1968</v>
      </c>
      <c r="L194" s="317" t="s">
        <v>874</v>
      </c>
      <c r="M194" s="317" t="s">
        <v>240</v>
      </c>
      <c r="N194" s="317" t="s">
        <v>874</v>
      </c>
      <c r="O194" s="317" t="s">
        <v>874</v>
      </c>
      <c r="P194" s="317" t="s">
        <v>240</v>
      </c>
      <c r="Q194" s="318" t="n">
        <v>27447908</v>
      </c>
      <c r="R194" s="318" t="n">
        <v>0</v>
      </c>
      <c r="S194" s="318" t="n">
        <v>0</v>
      </c>
      <c r="T194" s="318" t="n">
        <v>0</v>
      </c>
      <c r="U194" s="318" t="n">
        <v>0</v>
      </c>
      <c r="V194" s="318" t="n">
        <v>0</v>
      </c>
      <c r="W194" s="318" t="n">
        <v>0</v>
      </c>
      <c r="X194" s="318" t="n">
        <v>-38381</v>
      </c>
      <c r="Y194" s="318" t="n">
        <v>-38381</v>
      </c>
      <c r="Z194" s="318" t="n">
        <v>-21513</v>
      </c>
      <c r="AA194" s="318"/>
      <c r="AB194" s="318"/>
      <c r="AC194" s="318"/>
      <c r="AD194" s="318"/>
      <c r="AE194" s="318" t="n">
        <f aca="false">R194</f>
        <v>0</v>
      </c>
      <c r="AF194" s="318" t="n">
        <f aca="false">S194-R194</f>
        <v>0</v>
      </c>
      <c r="AG194" s="318" t="n">
        <f aca="false">T194-S194</f>
        <v>0</v>
      </c>
      <c r="AH194" s="318" t="n">
        <f aca="false">U194-T194</f>
        <v>0</v>
      </c>
      <c r="AI194" s="318" t="n">
        <f aca="false">V194-U194</f>
        <v>0</v>
      </c>
      <c r="AJ194" s="318" t="n">
        <f aca="false">W194-V194</f>
        <v>0</v>
      </c>
      <c r="AK194" s="318" t="n">
        <f aca="false">X194-W194</f>
        <v>-38381</v>
      </c>
      <c r="AL194" s="318" t="n">
        <f aca="false">Y194-X194</f>
        <v>0</v>
      </c>
      <c r="AM194" s="318" t="n">
        <f aca="false">Z194-Y194</f>
        <v>16868</v>
      </c>
      <c r="AN194" s="318" t="s">
        <v>1726</v>
      </c>
      <c r="AO194" s="318" t="n">
        <f aca="false">AB194-AA194</f>
        <v>0</v>
      </c>
      <c r="AP194" s="318" t="n">
        <f aca="false">AC194-AB194</f>
        <v>0</v>
      </c>
      <c r="AR194" s="307" t="str">
        <f aca="false">IFERROR(VLOOKUP(M194,'PL_DEC.2026'!$D$11:$D$99,1,FALSE()),"(미존재)")</f>
        <v>상품매출원가</v>
      </c>
    </row>
    <row r="195" customFormat="false" ht="15" hidden="false" customHeight="false" outlineLevel="0" collapsed="false">
      <c r="A195" s="310" t="s">
        <v>841</v>
      </c>
      <c r="B195" s="307" t="n">
        <v>55150000</v>
      </c>
      <c r="C195" s="307" t="s">
        <v>1970</v>
      </c>
      <c r="D195" s="307" t="s">
        <v>1926</v>
      </c>
      <c r="E195" s="307" t="s">
        <v>1971</v>
      </c>
      <c r="F195" s="307" t="s">
        <v>1972</v>
      </c>
      <c r="G195" s="307" t="s">
        <v>1973</v>
      </c>
      <c r="H195" s="307" t="s">
        <v>1536</v>
      </c>
      <c r="I195" s="307" t="s">
        <v>1974</v>
      </c>
      <c r="K195" s="307" t="s">
        <v>1975</v>
      </c>
      <c r="L195" s="317" t="s">
        <v>1976</v>
      </c>
      <c r="M195" s="317" t="s">
        <v>299</v>
      </c>
      <c r="N195" s="317" t="s">
        <v>1976</v>
      </c>
      <c r="O195" s="317" t="s">
        <v>299</v>
      </c>
      <c r="P195" s="317" t="s">
        <v>299</v>
      </c>
      <c r="Q195" s="318" t="n">
        <v>437758949</v>
      </c>
      <c r="R195" s="318" t="n">
        <v>63066967</v>
      </c>
      <c r="S195" s="318" t="n">
        <v>365483211</v>
      </c>
      <c r="T195" s="318" t="n">
        <v>602831259</v>
      </c>
      <c r="U195" s="318" t="n">
        <v>934698440</v>
      </c>
      <c r="V195" s="318" t="n">
        <v>1266565622</v>
      </c>
      <c r="W195" s="318" t="n">
        <v>1608934929</v>
      </c>
      <c r="X195" s="318" t="n">
        <v>1947103387</v>
      </c>
      <c r="Y195" s="318" t="n">
        <v>2396594379</v>
      </c>
      <c r="Z195" s="318" t="n">
        <v>2816679419</v>
      </c>
      <c r="AA195" s="318"/>
      <c r="AB195" s="318"/>
      <c r="AC195" s="318"/>
      <c r="AD195" s="318"/>
      <c r="AE195" s="318" t="n">
        <f aca="false">R195</f>
        <v>63066967</v>
      </c>
      <c r="AF195" s="318" t="n">
        <f aca="false">S195-R195</f>
        <v>302416244</v>
      </c>
      <c r="AG195" s="318" t="n">
        <f aca="false">T195-S195</f>
        <v>237348048</v>
      </c>
      <c r="AH195" s="318" t="n">
        <f aca="false">U195-T195</f>
        <v>331867181</v>
      </c>
      <c r="AI195" s="318" t="n">
        <f aca="false">V195-U195</f>
        <v>331867182</v>
      </c>
      <c r="AJ195" s="318" t="n">
        <f aca="false">W195-V195</f>
        <v>342369307</v>
      </c>
      <c r="AK195" s="318" t="n">
        <f aca="false">X195-W195</f>
        <v>338168458</v>
      </c>
      <c r="AL195" s="318" t="n">
        <f aca="false">Y195-X195</f>
        <v>449490992</v>
      </c>
      <c r="AM195" s="318" t="n">
        <f aca="false">Z195-Y195</f>
        <v>420085040</v>
      </c>
      <c r="AN195" s="318" t="s">
        <v>1726</v>
      </c>
      <c r="AO195" s="318" t="n">
        <f aca="false">AB195-AA195</f>
        <v>0</v>
      </c>
      <c r="AP195" s="318" t="n">
        <f aca="false">AC195-AB195</f>
        <v>0</v>
      </c>
      <c r="AR195" s="307" t="str">
        <f aca="false">IFERROR(VLOOKUP(M195,'PL_DEC.2026'!$D$11:$D$99,1,FALSE()),"(미존재)")</f>
        <v>지급수수료</v>
      </c>
    </row>
    <row r="196" customFormat="false" ht="15" hidden="false" customHeight="false" outlineLevel="0" collapsed="false">
      <c r="A196" s="310" t="s">
        <v>841</v>
      </c>
      <c r="B196" s="307" t="n">
        <v>55210003</v>
      </c>
      <c r="C196" s="307" t="s">
        <v>1977</v>
      </c>
      <c r="D196" s="307" t="s">
        <v>1926</v>
      </c>
      <c r="E196" s="307" t="s">
        <v>1971</v>
      </c>
      <c r="F196" s="307" t="s">
        <v>1978</v>
      </c>
      <c r="G196" s="307" t="s">
        <v>1929</v>
      </c>
      <c r="H196" s="307" t="s">
        <v>1536</v>
      </c>
      <c r="I196" s="307" t="s">
        <v>1936</v>
      </c>
      <c r="K196" s="307" t="s">
        <v>1937</v>
      </c>
      <c r="L196" s="317" t="s">
        <v>1976</v>
      </c>
      <c r="M196" s="317" t="s">
        <v>307</v>
      </c>
      <c r="N196" s="317" t="s">
        <v>1976</v>
      </c>
      <c r="O196" s="317" t="s">
        <v>1979</v>
      </c>
      <c r="P196" s="317" t="s">
        <v>1979</v>
      </c>
      <c r="Q196" s="318" t="n">
        <v>3879868</v>
      </c>
      <c r="R196" s="318" t="n">
        <v>-88000</v>
      </c>
      <c r="S196" s="318" t="n">
        <v>-88000</v>
      </c>
      <c r="T196" s="318" t="n">
        <v>83730226</v>
      </c>
      <c r="U196" s="318" t="n">
        <v>83730226</v>
      </c>
      <c r="V196" s="318" t="n">
        <v>83730226</v>
      </c>
      <c r="W196" s="318" t="n">
        <v>139360670</v>
      </c>
      <c r="X196" s="318" t="n">
        <v>140169400</v>
      </c>
      <c r="Y196" s="318" t="n">
        <v>140169400</v>
      </c>
      <c r="Z196" s="318" t="n">
        <v>140169400</v>
      </c>
      <c r="AA196" s="318"/>
      <c r="AB196" s="318"/>
      <c r="AC196" s="318"/>
      <c r="AD196" s="318"/>
      <c r="AE196" s="318" t="n">
        <f aca="false">R196</f>
        <v>-88000</v>
      </c>
      <c r="AF196" s="318" t="n">
        <f aca="false">S196-R196</f>
        <v>0</v>
      </c>
      <c r="AG196" s="318" t="n">
        <f aca="false">T196-S196</f>
        <v>83818226</v>
      </c>
      <c r="AH196" s="318" t="n">
        <f aca="false">U196-T196</f>
        <v>0</v>
      </c>
      <c r="AI196" s="318" t="n">
        <f aca="false">V196-U196</f>
        <v>0</v>
      </c>
      <c r="AJ196" s="318" t="n">
        <f aca="false">W196-V196</f>
        <v>55630444</v>
      </c>
      <c r="AK196" s="318" t="n">
        <f aca="false">X196-W196</f>
        <v>808730</v>
      </c>
      <c r="AL196" s="318" t="n">
        <f aca="false">Y196-X196</f>
        <v>0</v>
      </c>
      <c r="AM196" s="318" t="n">
        <f aca="false">Z196-Y196</f>
        <v>0</v>
      </c>
      <c r="AN196" s="318" t="s">
        <v>1726</v>
      </c>
      <c r="AO196" s="318" t="n">
        <f aca="false">AB196-AA196</f>
        <v>0</v>
      </c>
      <c r="AP196" s="318" t="n">
        <f aca="false">AC196-AB196</f>
        <v>0</v>
      </c>
      <c r="AR196" s="307" t="str">
        <f aca="false">IFERROR(VLOOKUP(M196,'PL_DEC.2026'!$D$11:$D$99,1,FALSE()),"(미존재)")</f>
        <v>임상증례조사비</v>
      </c>
    </row>
    <row r="197" customFormat="false" ht="15" hidden="false" customHeight="false" outlineLevel="0" collapsed="false">
      <c r="A197" s="310" t="s">
        <v>841</v>
      </c>
      <c r="B197" s="307" t="n">
        <v>55300001</v>
      </c>
      <c r="C197" s="307" t="s">
        <v>1980</v>
      </c>
      <c r="D197" s="307" t="s">
        <v>1926</v>
      </c>
      <c r="E197" s="307" t="s">
        <v>1927</v>
      </c>
      <c r="F197" s="307" t="s">
        <v>1928</v>
      </c>
      <c r="G197" s="307" t="s">
        <v>1929</v>
      </c>
      <c r="H197" s="307" t="s">
        <v>1536</v>
      </c>
      <c r="I197" s="307" t="s">
        <v>1957</v>
      </c>
      <c r="K197" s="307" t="s">
        <v>1958</v>
      </c>
      <c r="L197" s="317" t="s">
        <v>874</v>
      </c>
      <c r="M197" s="317" t="s">
        <v>240</v>
      </c>
      <c r="N197" s="317" t="s">
        <v>874</v>
      </c>
      <c r="O197" s="317" t="s">
        <v>874</v>
      </c>
      <c r="P197" s="317" t="s">
        <v>240</v>
      </c>
      <c r="Q197" s="318" t="n">
        <v>3950705</v>
      </c>
      <c r="R197" s="318" t="n">
        <v>5108866</v>
      </c>
      <c r="S197" s="318" t="n">
        <v>5108866</v>
      </c>
      <c r="T197" s="318" t="n">
        <v>5020258</v>
      </c>
      <c r="U197" s="318" t="n">
        <v>4562878</v>
      </c>
      <c r="V197" s="318" t="n">
        <v>4562878</v>
      </c>
      <c r="W197" s="318" t="n">
        <v>-3950705</v>
      </c>
      <c r="X197" s="318" t="n">
        <v>4417628</v>
      </c>
      <c r="Y197" s="318" t="n">
        <v>4358236</v>
      </c>
      <c r="Z197" s="318" t="n">
        <v>4354291</v>
      </c>
      <c r="AA197" s="318"/>
      <c r="AB197" s="318"/>
      <c r="AC197" s="318"/>
      <c r="AD197" s="318"/>
      <c r="AE197" s="318" t="n">
        <f aca="false">R197</f>
        <v>5108866</v>
      </c>
      <c r="AF197" s="318" t="n">
        <f aca="false">S197-R197</f>
        <v>0</v>
      </c>
      <c r="AG197" s="318" t="n">
        <f aca="false">T197-S197</f>
        <v>-88608</v>
      </c>
      <c r="AH197" s="318" t="n">
        <f aca="false">U197-T197</f>
        <v>-457380</v>
      </c>
      <c r="AI197" s="318" t="n">
        <f aca="false">V197-U197</f>
        <v>0</v>
      </c>
      <c r="AJ197" s="318" t="n">
        <f aca="false">W197-V197</f>
        <v>-8513583</v>
      </c>
      <c r="AK197" s="318" t="n">
        <f aca="false">X197-W197</f>
        <v>8368333</v>
      </c>
      <c r="AL197" s="318" t="n">
        <f aca="false">Y197-X197</f>
        <v>-59392</v>
      </c>
      <c r="AM197" s="318" t="n">
        <f aca="false">Z197-Y197</f>
        <v>-3945</v>
      </c>
      <c r="AN197" s="318" t="s">
        <v>1726</v>
      </c>
      <c r="AO197" s="318" t="n">
        <f aca="false">AB197-AA197</f>
        <v>0</v>
      </c>
      <c r="AP197" s="318" t="n">
        <f aca="false">AC197-AB197</f>
        <v>0</v>
      </c>
      <c r="AR197" s="307" t="str">
        <f aca="false">IFERROR(VLOOKUP(M197,'PL_DEC.2026'!$D$11:$D$99,1,FALSE()),"(미존재)")</f>
        <v>상품매출원가</v>
      </c>
    </row>
    <row r="198" customFormat="false" ht="15" hidden="false" customHeight="false" outlineLevel="0" collapsed="false">
      <c r="A198" s="310" t="s">
        <v>841</v>
      </c>
      <c r="B198" s="307" t="n">
        <v>59000000</v>
      </c>
      <c r="C198" s="307" t="s">
        <v>1981</v>
      </c>
      <c r="D198" s="307" t="s">
        <v>1926</v>
      </c>
      <c r="E198" s="307" t="s">
        <v>1982</v>
      </c>
      <c r="F198" s="307" t="s">
        <v>1983</v>
      </c>
      <c r="G198" s="307" t="s">
        <v>1893</v>
      </c>
      <c r="H198" s="307" t="s">
        <v>1536</v>
      </c>
      <c r="I198" s="307" t="s">
        <v>1984</v>
      </c>
      <c r="K198" s="307" t="s">
        <v>1985</v>
      </c>
      <c r="L198" s="317" t="s">
        <v>920</v>
      </c>
      <c r="M198" s="317" t="s">
        <v>339</v>
      </c>
      <c r="N198" s="317" t="s">
        <v>920</v>
      </c>
      <c r="O198" s="317" t="s">
        <v>920</v>
      </c>
      <c r="P198" s="317" t="s">
        <v>339</v>
      </c>
      <c r="Q198" s="318" t="n">
        <v>-1056190856</v>
      </c>
      <c r="R198" s="318" t="n">
        <v>-98420461</v>
      </c>
      <c r="S198" s="318" t="n">
        <v>-180082844</v>
      </c>
      <c r="T198" s="318" t="n">
        <v>-279082785</v>
      </c>
      <c r="U198" s="318" t="n">
        <v>-391221898</v>
      </c>
      <c r="V198" s="318" t="n">
        <v>-514429153</v>
      </c>
      <c r="W198" s="318" t="n">
        <v>-626672775</v>
      </c>
      <c r="X198" s="318" t="n">
        <v>-741502416</v>
      </c>
      <c r="Y198" s="318" t="n">
        <v>-866924100</v>
      </c>
      <c r="Z198" s="318" t="n">
        <v>-980740018</v>
      </c>
      <c r="AA198" s="318"/>
      <c r="AB198" s="318"/>
      <c r="AC198" s="318"/>
      <c r="AD198" s="318"/>
      <c r="AE198" s="318" t="n">
        <f aca="false">R198</f>
        <v>-98420461</v>
      </c>
      <c r="AF198" s="318" t="n">
        <f aca="false">S198-R198</f>
        <v>-81662383</v>
      </c>
      <c r="AG198" s="318" t="n">
        <f aca="false">T198-S198</f>
        <v>-98999941</v>
      </c>
      <c r="AH198" s="318" t="n">
        <f aca="false">U198-T198</f>
        <v>-112139113</v>
      </c>
      <c r="AI198" s="318" t="n">
        <f aca="false">V198-U198</f>
        <v>-123207255</v>
      </c>
      <c r="AJ198" s="318" t="n">
        <f aca="false">W198-V198</f>
        <v>-112243622</v>
      </c>
      <c r="AK198" s="318" t="n">
        <f aca="false">X198-W198</f>
        <v>-114829641</v>
      </c>
      <c r="AL198" s="318" t="n">
        <f aca="false">Y198-X198</f>
        <v>-125421684</v>
      </c>
      <c r="AM198" s="318" t="n">
        <f aca="false">Z198-Y198</f>
        <v>-113815918</v>
      </c>
      <c r="AN198" s="318" t="s">
        <v>1726</v>
      </c>
      <c r="AO198" s="318" t="n">
        <f aca="false">AB198-AA198</f>
        <v>0</v>
      </c>
      <c r="AP198" s="318" t="n">
        <f aca="false">AC198-AB198</f>
        <v>0</v>
      </c>
      <c r="AR198" s="307" t="str">
        <f aca="false">IFERROR(VLOOKUP(M198,'PL_DEC.2026'!$D$11:$D$99,1,FALSE()),"(미존재)")</f>
        <v>잡이익</v>
      </c>
    </row>
    <row r="199" customFormat="false" ht="15" hidden="false" customHeight="false" outlineLevel="0" collapsed="false">
      <c r="A199" s="310" t="s">
        <v>841</v>
      </c>
      <c r="B199" s="307" t="n">
        <v>61000400</v>
      </c>
      <c r="C199" s="307" t="s">
        <v>1986</v>
      </c>
      <c r="D199" s="307" t="s">
        <v>1926</v>
      </c>
      <c r="E199" s="307" t="s">
        <v>1971</v>
      </c>
      <c r="F199" s="307" t="s">
        <v>1987</v>
      </c>
      <c r="G199" s="307" t="s">
        <v>1973</v>
      </c>
      <c r="H199" s="307" t="s">
        <v>1536</v>
      </c>
      <c r="I199" s="307" t="s">
        <v>1988</v>
      </c>
      <c r="J199" s="307" t="s">
        <v>1499</v>
      </c>
      <c r="K199" s="307" t="s">
        <v>1989</v>
      </c>
      <c r="L199" s="317" t="s">
        <v>1976</v>
      </c>
      <c r="M199" s="317" t="s">
        <v>313</v>
      </c>
      <c r="N199" s="317" t="s">
        <v>1976</v>
      </c>
      <c r="O199" s="317" t="s">
        <v>313</v>
      </c>
      <c r="P199" s="317" t="s">
        <v>313</v>
      </c>
      <c r="Q199" s="318" t="n">
        <v>252267505</v>
      </c>
      <c r="R199" s="318" t="n">
        <v>4277836</v>
      </c>
      <c r="S199" s="318" t="n">
        <v>18046537</v>
      </c>
      <c r="T199" s="318" t="n">
        <v>33769375</v>
      </c>
      <c r="U199" s="318" t="n">
        <v>57559500</v>
      </c>
      <c r="V199" s="318" t="n">
        <v>71958120</v>
      </c>
      <c r="W199" s="318" t="n">
        <v>86627811</v>
      </c>
      <c r="X199" s="318" t="n">
        <v>103247102</v>
      </c>
      <c r="Y199" s="318" t="n">
        <v>118787239</v>
      </c>
      <c r="Z199" s="318" t="n">
        <v>137494628</v>
      </c>
      <c r="AA199" s="318"/>
      <c r="AB199" s="318"/>
      <c r="AC199" s="318"/>
      <c r="AD199" s="318"/>
      <c r="AE199" s="318" t="n">
        <f aca="false">R199</f>
        <v>4277836</v>
      </c>
      <c r="AF199" s="318" t="n">
        <f aca="false">S199-R199</f>
        <v>13768701</v>
      </c>
      <c r="AG199" s="318" t="n">
        <f aca="false">T199-S199</f>
        <v>15722838</v>
      </c>
      <c r="AH199" s="318" t="n">
        <f aca="false">U199-T199</f>
        <v>23790125</v>
      </c>
      <c r="AI199" s="318" t="n">
        <f aca="false">V199-U199</f>
        <v>14398620</v>
      </c>
      <c r="AJ199" s="318" t="n">
        <f aca="false">W199-V199</f>
        <v>14669691</v>
      </c>
      <c r="AK199" s="318" t="n">
        <f aca="false">X199-W199</f>
        <v>16619291</v>
      </c>
      <c r="AL199" s="318" t="n">
        <f aca="false">Y199-X199</f>
        <v>15540137</v>
      </c>
      <c r="AM199" s="318" t="n">
        <f aca="false">Z199-Y199</f>
        <v>18707389</v>
      </c>
      <c r="AN199" s="318" t="s">
        <v>1726</v>
      </c>
      <c r="AO199" s="318" t="n">
        <f aca="false">AB199-AA199</f>
        <v>0</v>
      </c>
      <c r="AP199" s="318" t="n">
        <f aca="false">AC199-AB199</f>
        <v>0</v>
      </c>
      <c r="AR199" s="307" t="str">
        <f aca="false">IFERROR(VLOOKUP(M199,'PL_DEC.2026'!$D$11:$D$99,1,FALSE()),"(미존재)")</f>
        <v>교육훈련비</v>
      </c>
    </row>
    <row r="200" customFormat="false" ht="15" hidden="false" customHeight="false" outlineLevel="0" collapsed="false">
      <c r="A200" s="310" t="s">
        <v>841</v>
      </c>
      <c r="B200" s="307" t="n">
        <v>61000870</v>
      </c>
      <c r="C200" s="307" t="s">
        <v>1990</v>
      </c>
      <c r="D200" s="307" t="s">
        <v>1926</v>
      </c>
      <c r="E200" s="307" t="s">
        <v>1971</v>
      </c>
      <c r="F200" s="307" t="s">
        <v>1972</v>
      </c>
      <c r="G200" s="307" t="s">
        <v>1973</v>
      </c>
      <c r="H200" s="307" t="s">
        <v>1536</v>
      </c>
      <c r="I200" s="307" t="s">
        <v>1988</v>
      </c>
      <c r="J200" s="307" t="s">
        <v>1499</v>
      </c>
      <c r="K200" s="307" t="s">
        <v>1989</v>
      </c>
      <c r="L200" s="317" t="s">
        <v>1976</v>
      </c>
      <c r="M200" s="317" t="s">
        <v>299</v>
      </c>
      <c r="N200" s="317" t="s">
        <v>1976</v>
      </c>
      <c r="O200" s="317" t="s">
        <v>299</v>
      </c>
      <c r="P200" s="317" t="s">
        <v>299</v>
      </c>
      <c r="Q200" s="318" t="n">
        <v>8168087</v>
      </c>
      <c r="R200" s="318" t="n">
        <v>1832175</v>
      </c>
      <c r="S200" s="318" t="n">
        <v>2632175</v>
      </c>
      <c r="T200" s="318" t="n">
        <v>1832175</v>
      </c>
      <c r="U200" s="318" t="n">
        <v>2704000</v>
      </c>
      <c r="V200" s="318" t="n">
        <v>3620000</v>
      </c>
      <c r="W200" s="318" t="n">
        <v>4654667</v>
      </c>
      <c r="X200" s="318" t="n">
        <v>5570667</v>
      </c>
      <c r="Y200" s="318" t="n">
        <v>6606667</v>
      </c>
      <c r="Z200" s="318" t="n">
        <v>6731978</v>
      </c>
      <c r="AA200" s="318"/>
      <c r="AB200" s="318"/>
      <c r="AC200" s="318"/>
      <c r="AD200" s="318"/>
      <c r="AE200" s="318" t="n">
        <f aca="false">R200</f>
        <v>1832175</v>
      </c>
      <c r="AF200" s="318" t="n">
        <f aca="false">S200-R200</f>
        <v>800000</v>
      </c>
      <c r="AG200" s="318" t="n">
        <f aca="false">T200-S200</f>
        <v>-800000</v>
      </c>
      <c r="AH200" s="318" t="n">
        <f aca="false">U200-T200</f>
        <v>871825</v>
      </c>
      <c r="AI200" s="318" t="n">
        <f aca="false">V200-U200</f>
        <v>916000</v>
      </c>
      <c r="AJ200" s="318" t="n">
        <f aca="false">W200-V200</f>
        <v>1034667</v>
      </c>
      <c r="AK200" s="318" t="n">
        <f aca="false">X200-W200</f>
        <v>916000</v>
      </c>
      <c r="AL200" s="318" t="n">
        <f aca="false">Y200-X200</f>
        <v>1036000</v>
      </c>
      <c r="AM200" s="318" t="n">
        <f aca="false">Z200-Y200</f>
        <v>125311</v>
      </c>
      <c r="AN200" s="318" t="s">
        <v>1726</v>
      </c>
      <c r="AO200" s="318" t="n">
        <f aca="false">AB200-AA200</f>
        <v>0</v>
      </c>
      <c r="AP200" s="318" t="n">
        <f aca="false">AC200-AB200</f>
        <v>0</v>
      </c>
      <c r="AR200" s="307" t="str">
        <f aca="false">IFERROR(VLOOKUP(M200,'PL_DEC.2026'!$D$11:$D$99,1,FALSE()),"(미존재)")</f>
        <v>지급수수료</v>
      </c>
    </row>
    <row r="201" customFormat="false" ht="15" hidden="false" customHeight="false" outlineLevel="0" collapsed="false">
      <c r="A201" s="310" t="s">
        <v>841</v>
      </c>
      <c r="B201" s="307" t="n">
        <v>61001160</v>
      </c>
      <c r="C201" s="307" t="s">
        <v>1991</v>
      </c>
      <c r="D201" s="307" t="s">
        <v>1926</v>
      </c>
      <c r="E201" s="307" t="s">
        <v>1971</v>
      </c>
      <c r="F201" s="307" t="s">
        <v>1972</v>
      </c>
      <c r="G201" s="307" t="s">
        <v>1992</v>
      </c>
      <c r="H201" s="307" t="s">
        <v>1536</v>
      </c>
      <c r="I201" s="307" t="s">
        <v>1988</v>
      </c>
      <c r="J201" s="307" t="s">
        <v>1499</v>
      </c>
      <c r="K201" s="307" t="s">
        <v>1989</v>
      </c>
      <c r="L201" s="317" t="s">
        <v>1976</v>
      </c>
      <c r="M201" s="317" t="s">
        <v>299</v>
      </c>
      <c r="N201" s="317" t="s">
        <v>1976</v>
      </c>
      <c r="O201" s="317" t="s">
        <v>299</v>
      </c>
      <c r="P201" s="317" t="s">
        <v>299</v>
      </c>
      <c r="Q201" s="318" t="n">
        <v>2000</v>
      </c>
      <c r="R201" s="318" t="n">
        <v>0</v>
      </c>
      <c r="S201" s="318" t="n">
        <v>0</v>
      </c>
      <c r="T201" s="318" t="n">
        <v>0</v>
      </c>
      <c r="U201" s="318" t="n">
        <v>0</v>
      </c>
      <c r="V201" s="318" t="n">
        <v>0</v>
      </c>
      <c r="W201" s="318" t="n">
        <v>0</v>
      </c>
      <c r="X201" s="318" t="n">
        <v>0</v>
      </c>
      <c r="Y201" s="318" t="n">
        <v>0</v>
      </c>
      <c r="Z201" s="318" t="n">
        <v>0</v>
      </c>
      <c r="AA201" s="318"/>
      <c r="AB201" s="318"/>
      <c r="AC201" s="318"/>
      <c r="AD201" s="318"/>
      <c r="AE201" s="318" t="n">
        <f aca="false">R201</f>
        <v>0</v>
      </c>
      <c r="AF201" s="318" t="n">
        <f aca="false">S201-R201</f>
        <v>0</v>
      </c>
      <c r="AG201" s="318" t="n">
        <f aca="false">T201-S201</f>
        <v>0</v>
      </c>
      <c r="AH201" s="318" t="n">
        <f aca="false">U201-T201</f>
        <v>0</v>
      </c>
      <c r="AI201" s="318" t="n">
        <f aca="false">V201-U201</f>
        <v>0</v>
      </c>
      <c r="AJ201" s="318" t="n">
        <f aca="false">W201-V201</f>
        <v>0</v>
      </c>
      <c r="AK201" s="318" t="n">
        <f aca="false">X201-W201</f>
        <v>0</v>
      </c>
      <c r="AL201" s="318" t="n">
        <f aca="false">Y201-X201</f>
        <v>0</v>
      </c>
      <c r="AM201" s="318" t="n">
        <f aca="false">Z201-Y201</f>
        <v>0</v>
      </c>
      <c r="AN201" s="318" t="s">
        <v>1726</v>
      </c>
      <c r="AO201" s="318" t="n">
        <f aca="false">AB201-AA201</f>
        <v>0</v>
      </c>
      <c r="AP201" s="318" t="n">
        <f aca="false">AC201-AB201</f>
        <v>0</v>
      </c>
      <c r="AR201" s="307" t="str">
        <f aca="false">IFERROR(VLOOKUP(M201,'PL_DEC.2026'!$D$11:$D$99,1,FALSE()),"(미존재)")</f>
        <v>지급수수료</v>
      </c>
    </row>
    <row r="202" customFormat="false" ht="15" hidden="false" customHeight="false" outlineLevel="0" collapsed="false">
      <c r="A202" s="310" t="s">
        <v>841</v>
      </c>
      <c r="B202" s="307" t="n">
        <v>61001200</v>
      </c>
      <c r="C202" s="307" t="s">
        <v>1993</v>
      </c>
      <c r="D202" s="307" t="s">
        <v>1926</v>
      </c>
      <c r="E202" s="307" t="s">
        <v>1971</v>
      </c>
      <c r="F202" s="307" t="s">
        <v>1994</v>
      </c>
      <c r="G202" s="307" t="s">
        <v>1973</v>
      </c>
      <c r="H202" s="307" t="s">
        <v>1536</v>
      </c>
      <c r="I202" s="307" t="s">
        <v>1988</v>
      </c>
      <c r="J202" s="307" t="s">
        <v>1499</v>
      </c>
      <c r="K202" s="307" t="s">
        <v>1989</v>
      </c>
      <c r="L202" s="317" t="s">
        <v>1976</v>
      </c>
      <c r="M202" s="317" t="s">
        <v>309</v>
      </c>
      <c r="N202" s="317" t="s">
        <v>1976</v>
      </c>
      <c r="O202" s="317" t="s">
        <v>309</v>
      </c>
      <c r="P202" s="317" t="s">
        <v>309</v>
      </c>
      <c r="Q202" s="318" t="n">
        <v>1121736</v>
      </c>
      <c r="R202" s="318" t="n">
        <v>0</v>
      </c>
      <c r="S202" s="318" t="n">
        <v>0</v>
      </c>
      <c r="T202" s="318" t="n">
        <v>0</v>
      </c>
      <c r="U202" s="318" t="n">
        <v>0</v>
      </c>
      <c r="V202" s="318" t="n">
        <v>0</v>
      </c>
      <c r="W202" s="318" t="n">
        <v>0</v>
      </c>
      <c r="X202" s="318" t="n">
        <v>0</v>
      </c>
      <c r="Y202" s="318" t="n">
        <v>0</v>
      </c>
      <c r="Z202" s="318" t="n">
        <v>0</v>
      </c>
      <c r="AA202" s="318"/>
      <c r="AB202" s="318"/>
      <c r="AC202" s="318"/>
      <c r="AD202" s="318"/>
      <c r="AE202" s="318" t="n">
        <f aca="false">R202</f>
        <v>0</v>
      </c>
      <c r="AF202" s="318" t="n">
        <f aca="false">S202-R202</f>
        <v>0</v>
      </c>
      <c r="AG202" s="318" t="n">
        <f aca="false">T202-S202</f>
        <v>0</v>
      </c>
      <c r="AH202" s="318" t="n">
        <f aca="false">U202-T202</f>
        <v>0</v>
      </c>
      <c r="AI202" s="318" t="n">
        <f aca="false">V202-U202</f>
        <v>0</v>
      </c>
      <c r="AJ202" s="318" t="n">
        <f aca="false">W202-V202</f>
        <v>0</v>
      </c>
      <c r="AK202" s="318" t="n">
        <f aca="false">X202-W202</f>
        <v>0</v>
      </c>
      <c r="AL202" s="318" t="n">
        <f aca="false">Y202-X202</f>
        <v>0</v>
      </c>
      <c r="AM202" s="318" t="n">
        <f aca="false">Z202-Y202</f>
        <v>0</v>
      </c>
      <c r="AN202" s="318" t="s">
        <v>1726</v>
      </c>
      <c r="AO202" s="318" t="n">
        <f aca="false">AB202-AA202</f>
        <v>0</v>
      </c>
      <c r="AP202" s="318" t="n">
        <f aca="false">AC202-AB202</f>
        <v>0</v>
      </c>
      <c r="AR202" s="307" t="str">
        <f aca="false">IFERROR(VLOOKUP(M202,'PL_DEC.2026'!$D$11:$D$99,1,FALSE()),"(미존재)")</f>
        <v>감가상각비</v>
      </c>
    </row>
    <row r="203" customFormat="false" ht="15" hidden="false" customHeight="false" outlineLevel="0" collapsed="false">
      <c r="A203" s="310" t="s">
        <v>841</v>
      </c>
      <c r="B203" s="307" t="n">
        <v>62000005</v>
      </c>
      <c r="C203" s="307" t="s">
        <v>1995</v>
      </c>
      <c r="D203" s="307" t="s">
        <v>1926</v>
      </c>
      <c r="E203" s="307" t="s">
        <v>1996</v>
      </c>
      <c r="F203" s="307" t="s">
        <v>1997</v>
      </c>
      <c r="G203" s="307" t="s">
        <v>1973</v>
      </c>
      <c r="H203" s="307" t="s">
        <v>1536</v>
      </c>
      <c r="I203" s="307" t="s">
        <v>1988</v>
      </c>
      <c r="J203" s="307" t="s">
        <v>1499</v>
      </c>
      <c r="K203" s="307" t="s">
        <v>1989</v>
      </c>
      <c r="L203" s="317" t="s">
        <v>1976</v>
      </c>
      <c r="M203" s="317" t="s">
        <v>283</v>
      </c>
      <c r="N203" s="317" t="s">
        <v>1976</v>
      </c>
      <c r="O203" s="317" t="s">
        <v>282</v>
      </c>
      <c r="P203" s="317" t="s">
        <v>282</v>
      </c>
      <c r="Q203" s="318" t="n">
        <v>107700000</v>
      </c>
      <c r="R203" s="318" t="n">
        <v>102000000</v>
      </c>
      <c r="S203" s="318" t="n">
        <v>102000000</v>
      </c>
      <c r="T203" s="318" t="n">
        <v>102000000</v>
      </c>
      <c r="U203" s="318" t="n">
        <v>102000000</v>
      </c>
      <c r="V203" s="318" t="n">
        <v>102000000</v>
      </c>
      <c r="W203" s="318" t="n">
        <v>102000000</v>
      </c>
      <c r="X203" s="318" t="n">
        <v>102000000</v>
      </c>
      <c r="Y203" s="318" t="n">
        <v>102000000</v>
      </c>
      <c r="Z203" s="318" t="n">
        <v>203700000</v>
      </c>
      <c r="AA203" s="318"/>
      <c r="AB203" s="318"/>
      <c r="AC203" s="318"/>
      <c r="AD203" s="318"/>
      <c r="AE203" s="318" t="n">
        <f aca="false">R203</f>
        <v>102000000</v>
      </c>
      <c r="AF203" s="318" t="n">
        <f aca="false">S203-R203</f>
        <v>0</v>
      </c>
      <c r="AG203" s="318" t="n">
        <f aca="false">T203-S203</f>
        <v>0</v>
      </c>
      <c r="AH203" s="318" t="n">
        <f aca="false">U203-T203</f>
        <v>0</v>
      </c>
      <c r="AI203" s="318" t="n">
        <f aca="false">V203-U203</f>
        <v>0</v>
      </c>
      <c r="AJ203" s="318" t="n">
        <f aca="false">W203-V203</f>
        <v>0</v>
      </c>
      <c r="AK203" s="318" t="n">
        <f aca="false">X203-W203</f>
        <v>0</v>
      </c>
      <c r="AL203" s="318" t="n">
        <f aca="false">Y203-X203</f>
        <v>0</v>
      </c>
      <c r="AM203" s="318" t="n">
        <f aca="false">Z203-Y203</f>
        <v>101700000</v>
      </c>
      <c r="AN203" s="318" t="s">
        <v>1726</v>
      </c>
      <c r="AO203" s="318" t="n">
        <f aca="false">AB203-AA203</f>
        <v>0</v>
      </c>
      <c r="AP203" s="318" t="n">
        <f aca="false">AC203-AB203</f>
        <v>0</v>
      </c>
      <c r="AR203" s="307" t="str">
        <f aca="false">IFERROR(VLOOKUP(M203,'PL_DEC.2026'!$D$11:$D$99,1,FALSE()),"(미존재)")</f>
        <v>상여와수당</v>
      </c>
    </row>
    <row r="204" customFormat="false" ht="15" hidden="false" customHeight="false" outlineLevel="0" collapsed="false">
      <c r="A204" s="310" t="s">
        <v>841</v>
      </c>
      <c r="B204" s="307" t="n">
        <v>62000007</v>
      </c>
      <c r="C204" s="307" t="s">
        <v>1998</v>
      </c>
      <c r="D204" s="307" t="s">
        <v>1926</v>
      </c>
      <c r="E204" s="307" t="s">
        <v>1996</v>
      </c>
      <c r="F204" s="307" t="s">
        <v>1997</v>
      </c>
      <c r="G204" s="307" t="s">
        <v>1973</v>
      </c>
      <c r="H204" s="307" t="s">
        <v>1536</v>
      </c>
      <c r="I204" s="307" t="s">
        <v>1988</v>
      </c>
      <c r="J204" s="307" t="s">
        <v>1499</v>
      </c>
      <c r="K204" s="307" t="s">
        <v>1989</v>
      </c>
      <c r="L204" s="317" t="s">
        <v>1976</v>
      </c>
      <c r="M204" s="317" t="s">
        <v>283</v>
      </c>
      <c r="N204" s="317" t="s">
        <v>1976</v>
      </c>
      <c r="O204" s="317" t="s">
        <v>282</v>
      </c>
      <c r="P204" s="317" t="s">
        <v>282</v>
      </c>
      <c r="Q204" s="318" t="n">
        <v>1289093338</v>
      </c>
      <c r="R204" s="318" t="n">
        <v>87176083</v>
      </c>
      <c r="S204" s="318" t="n">
        <v>261296447</v>
      </c>
      <c r="T204" s="318" t="n">
        <v>387410170</v>
      </c>
      <c r="U204" s="318" t="n">
        <v>487013035</v>
      </c>
      <c r="V204" s="318" t="n">
        <v>589800357</v>
      </c>
      <c r="W204" s="318" t="n">
        <v>677061487</v>
      </c>
      <c r="X204" s="318" t="n">
        <v>760238418</v>
      </c>
      <c r="Y204" s="318" t="n">
        <v>836772190</v>
      </c>
      <c r="Z204" s="318" t="n">
        <v>910853726</v>
      </c>
      <c r="AA204" s="318"/>
      <c r="AB204" s="318"/>
      <c r="AC204" s="318"/>
      <c r="AD204" s="318"/>
      <c r="AE204" s="318" t="n">
        <f aca="false">R204</f>
        <v>87176083</v>
      </c>
      <c r="AF204" s="318" t="n">
        <f aca="false">S204-R204</f>
        <v>174120364</v>
      </c>
      <c r="AG204" s="318" t="n">
        <f aca="false">T204-S204</f>
        <v>126113723</v>
      </c>
      <c r="AH204" s="318" t="n">
        <f aca="false">U204-T204</f>
        <v>99602865</v>
      </c>
      <c r="AI204" s="318" t="n">
        <f aca="false">V204-U204</f>
        <v>102787322</v>
      </c>
      <c r="AJ204" s="318" t="n">
        <f aca="false">W204-V204</f>
        <v>87261130</v>
      </c>
      <c r="AK204" s="318" t="n">
        <f aca="false">X204-W204</f>
        <v>83176931</v>
      </c>
      <c r="AL204" s="318" t="n">
        <f aca="false">Y204-X204</f>
        <v>76533772</v>
      </c>
      <c r="AM204" s="318" t="n">
        <f aca="false">Z204-Y204</f>
        <v>74081536</v>
      </c>
      <c r="AN204" s="318" t="s">
        <v>1726</v>
      </c>
      <c r="AO204" s="318" t="n">
        <f aca="false">AB204-AA204</f>
        <v>0</v>
      </c>
      <c r="AP204" s="318" t="n">
        <f aca="false">AC204-AB204</f>
        <v>0</v>
      </c>
      <c r="AR204" s="307" t="str">
        <f aca="false">IFERROR(VLOOKUP(M204,'PL_DEC.2026'!$D$11:$D$99,1,FALSE()),"(미존재)")</f>
        <v>상여와수당</v>
      </c>
    </row>
    <row r="205" customFormat="false" ht="15" hidden="false" customHeight="false" outlineLevel="0" collapsed="false">
      <c r="A205" s="310" t="s">
        <v>841</v>
      </c>
      <c r="B205" s="307" t="n">
        <v>62000010</v>
      </c>
      <c r="C205" s="307" t="s">
        <v>1999</v>
      </c>
      <c r="D205" s="307" t="s">
        <v>1926</v>
      </c>
      <c r="E205" s="307" t="s">
        <v>1996</v>
      </c>
      <c r="F205" s="307" t="s">
        <v>1997</v>
      </c>
      <c r="G205" s="307" t="s">
        <v>1973</v>
      </c>
      <c r="H205" s="307" t="s">
        <v>1536</v>
      </c>
      <c r="I205" s="307" t="s">
        <v>1988</v>
      </c>
      <c r="J205" s="307" t="s">
        <v>1499</v>
      </c>
      <c r="K205" s="307" t="s">
        <v>1989</v>
      </c>
      <c r="L205" s="317" t="s">
        <v>1976</v>
      </c>
      <c r="M205" s="317" t="s">
        <v>282</v>
      </c>
      <c r="N205" s="317" t="s">
        <v>1976</v>
      </c>
      <c r="O205" s="317" t="s">
        <v>282</v>
      </c>
      <c r="P205" s="317" t="s">
        <v>282</v>
      </c>
      <c r="Q205" s="318" t="n">
        <v>369741359</v>
      </c>
      <c r="R205" s="318" t="n">
        <v>116761557</v>
      </c>
      <c r="S205" s="318" t="n">
        <v>132635742</v>
      </c>
      <c r="T205" s="318" t="n">
        <v>152345092</v>
      </c>
      <c r="U205" s="318" t="n">
        <v>184423297</v>
      </c>
      <c r="V205" s="318" t="n">
        <v>221542242</v>
      </c>
      <c r="W205" s="318" t="n">
        <v>254920353</v>
      </c>
      <c r="X205" s="318" t="n">
        <v>295864388</v>
      </c>
      <c r="Y205" s="318" t="n">
        <v>322290619</v>
      </c>
      <c r="Z205" s="318" t="n">
        <v>344265645</v>
      </c>
      <c r="AA205" s="318"/>
      <c r="AB205" s="318"/>
      <c r="AC205" s="318"/>
      <c r="AD205" s="318"/>
      <c r="AE205" s="318" t="n">
        <f aca="false">R205</f>
        <v>116761557</v>
      </c>
      <c r="AF205" s="318" t="n">
        <f aca="false">S205-R205</f>
        <v>15874185</v>
      </c>
      <c r="AG205" s="318" t="n">
        <f aca="false">T205-S205</f>
        <v>19709350</v>
      </c>
      <c r="AH205" s="318" t="n">
        <f aca="false">U205-T205</f>
        <v>32078205</v>
      </c>
      <c r="AI205" s="318" t="n">
        <f aca="false">V205-U205</f>
        <v>37118945</v>
      </c>
      <c r="AJ205" s="318" t="n">
        <f aca="false">W205-V205</f>
        <v>33378111</v>
      </c>
      <c r="AK205" s="318" t="n">
        <f aca="false">X205-W205</f>
        <v>40944035</v>
      </c>
      <c r="AL205" s="318" t="n">
        <f aca="false">Y205-X205</f>
        <v>26426231</v>
      </c>
      <c r="AM205" s="318" t="n">
        <f aca="false">Z205-Y205</f>
        <v>21975026</v>
      </c>
      <c r="AN205" s="318" t="s">
        <v>1726</v>
      </c>
      <c r="AO205" s="318" t="n">
        <f aca="false">AB205-AA205</f>
        <v>0</v>
      </c>
      <c r="AP205" s="318" t="n">
        <f aca="false">AC205-AB205</f>
        <v>0</v>
      </c>
      <c r="AR205" s="307" t="str">
        <f aca="false">IFERROR(VLOOKUP(M205,'PL_DEC.2026'!$D$11:$D$99,1,FALSE()),"(미존재)")</f>
        <v>급여</v>
      </c>
    </row>
    <row r="206" customFormat="false" ht="15" hidden="false" customHeight="false" outlineLevel="0" collapsed="false">
      <c r="A206" s="310" t="s">
        <v>841</v>
      </c>
      <c r="B206" s="307" t="n">
        <v>62000300</v>
      </c>
      <c r="C206" s="307" t="s">
        <v>2000</v>
      </c>
      <c r="D206" s="307" t="s">
        <v>1926</v>
      </c>
      <c r="E206" s="307" t="s">
        <v>1996</v>
      </c>
      <c r="F206" s="307" t="s">
        <v>1997</v>
      </c>
      <c r="G206" s="307" t="s">
        <v>1973</v>
      </c>
      <c r="H206" s="307" t="s">
        <v>1536</v>
      </c>
      <c r="I206" s="307" t="s">
        <v>1988</v>
      </c>
      <c r="J206" s="307" t="s">
        <v>1499</v>
      </c>
      <c r="K206" s="307" t="s">
        <v>1989</v>
      </c>
      <c r="L206" s="317" t="s">
        <v>1976</v>
      </c>
      <c r="M206" s="317" t="s">
        <v>282</v>
      </c>
      <c r="N206" s="317" t="s">
        <v>1976</v>
      </c>
      <c r="O206" s="317" t="s">
        <v>282</v>
      </c>
      <c r="P206" s="317" t="s">
        <v>282</v>
      </c>
      <c r="Q206" s="318" t="n">
        <v>37163609496</v>
      </c>
      <c r="R206" s="318" t="n">
        <v>2946071687</v>
      </c>
      <c r="S206" s="318" t="n">
        <v>5904532226</v>
      </c>
      <c r="T206" s="318" t="n">
        <v>8977802705</v>
      </c>
      <c r="U206" s="318" t="n">
        <v>12068616273</v>
      </c>
      <c r="V206" s="318" t="n">
        <v>15160239397</v>
      </c>
      <c r="W206" s="318" t="n">
        <v>18261610187</v>
      </c>
      <c r="X206" s="318" t="n">
        <v>21385847566</v>
      </c>
      <c r="Y206" s="318" t="n">
        <v>24481192967</v>
      </c>
      <c r="Z206" s="318" t="n">
        <v>27579467961</v>
      </c>
      <c r="AA206" s="318"/>
      <c r="AB206" s="318"/>
      <c r="AC206" s="318"/>
      <c r="AD206" s="318"/>
      <c r="AE206" s="318" t="n">
        <f aca="false">R206</f>
        <v>2946071687</v>
      </c>
      <c r="AF206" s="318" t="n">
        <f aca="false">S206-R206</f>
        <v>2958460539</v>
      </c>
      <c r="AG206" s="318" t="n">
        <f aca="false">T206-S206</f>
        <v>3073270479</v>
      </c>
      <c r="AH206" s="318" t="n">
        <f aca="false">U206-T206</f>
        <v>3090813568</v>
      </c>
      <c r="AI206" s="318" t="n">
        <f aca="false">V206-U206</f>
        <v>3091623124</v>
      </c>
      <c r="AJ206" s="318" t="n">
        <f aca="false">W206-V206</f>
        <v>3101370790</v>
      </c>
      <c r="AK206" s="318" t="n">
        <f aca="false">X206-W206</f>
        <v>3124237379</v>
      </c>
      <c r="AL206" s="318" t="n">
        <f aca="false">Y206-X206</f>
        <v>3095345401</v>
      </c>
      <c r="AM206" s="318" t="n">
        <f aca="false">Z206-Y206</f>
        <v>3098274994</v>
      </c>
      <c r="AN206" s="318" t="s">
        <v>1726</v>
      </c>
      <c r="AO206" s="318" t="n">
        <f aca="false">AB206-AA206</f>
        <v>0</v>
      </c>
      <c r="AP206" s="318" t="n">
        <f aca="false">AC206-AB206</f>
        <v>0</v>
      </c>
      <c r="AR206" s="307" t="str">
        <f aca="false">IFERROR(VLOOKUP(M206,'PL_DEC.2026'!$D$11:$D$99,1,FALSE()),"(미존재)")</f>
        <v>급여</v>
      </c>
    </row>
    <row r="207" customFormat="false" ht="15" hidden="false" customHeight="false" outlineLevel="0" collapsed="false">
      <c r="A207" s="310" t="s">
        <v>841</v>
      </c>
      <c r="B207" s="307" t="n">
        <v>62000376</v>
      </c>
      <c r="C207" s="307" t="s">
        <v>2001</v>
      </c>
      <c r="D207" s="307" t="s">
        <v>1926</v>
      </c>
      <c r="E207" s="307" t="s">
        <v>1996</v>
      </c>
      <c r="F207" s="307" t="s">
        <v>1997</v>
      </c>
      <c r="G207" s="307" t="s">
        <v>1973</v>
      </c>
      <c r="H207" s="307" t="s">
        <v>1536</v>
      </c>
      <c r="I207" s="307" t="s">
        <v>1988</v>
      </c>
      <c r="J207" s="307" t="s">
        <v>1499</v>
      </c>
      <c r="K207" s="307" t="s">
        <v>1989</v>
      </c>
      <c r="L207" s="317" t="s">
        <v>1976</v>
      </c>
      <c r="M207" s="317" t="s">
        <v>282</v>
      </c>
      <c r="N207" s="317" t="s">
        <v>1976</v>
      </c>
      <c r="O207" s="317" t="s">
        <v>282</v>
      </c>
      <c r="P207" s="317" t="s">
        <v>282</v>
      </c>
      <c r="Q207" s="318" t="n">
        <v>353827550</v>
      </c>
      <c r="R207" s="318" t="n">
        <v>0</v>
      </c>
      <c r="S207" s="318" t="n">
        <v>0</v>
      </c>
      <c r="T207" s="318" t="n">
        <v>0</v>
      </c>
      <c r="U207" s="318" t="n">
        <v>0</v>
      </c>
      <c r="V207" s="318" t="n">
        <v>88451000</v>
      </c>
      <c r="W207" s="318" t="n">
        <v>88451000</v>
      </c>
      <c r="X207" s="318" t="n">
        <v>-62280200</v>
      </c>
      <c r="Y207" s="318" t="n">
        <v>-62280200</v>
      </c>
      <c r="Z207" s="318" t="n">
        <v>-141361790</v>
      </c>
      <c r="AA207" s="318"/>
      <c r="AB207" s="318"/>
      <c r="AC207" s="318"/>
      <c r="AD207" s="318"/>
      <c r="AE207" s="318" t="n">
        <f aca="false">R207</f>
        <v>0</v>
      </c>
      <c r="AF207" s="318" t="n">
        <f aca="false">S207-R207</f>
        <v>0</v>
      </c>
      <c r="AG207" s="318" t="n">
        <f aca="false">T207-S207</f>
        <v>0</v>
      </c>
      <c r="AH207" s="318" t="n">
        <f aca="false">U207-T207</f>
        <v>0</v>
      </c>
      <c r="AI207" s="318" t="n">
        <f aca="false">V207-U207</f>
        <v>88451000</v>
      </c>
      <c r="AJ207" s="318" t="n">
        <f aca="false">W207-V207</f>
        <v>0</v>
      </c>
      <c r="AK207" s="318" t="n">
        <f aca="false">X207-W207</f>
        <v>-150731200</v>
      </c>
      <c r="AL207" s="318" t="n">
        <f aca="false">Y207-X207</f>
        <v>0</v>
      </c>
      <c r="AM207" s="318" t="n">
        <f aca="false">Z207-Y207</f>
        <v>-79081590</v>
      </c>
      <c r="AN207" s="318" t="s">
        <v>1726</v>
      </c>
      <c r="AO207" s="318" t="n">
        <f aca="false">AB207-AA207</f>
        <v>0</v>
      </c>
      <c r="AP207" s="318" t="n">
        <f aca="false">AC207-AB207</f>
        <v>0</v>
      </c>
      <c r="AR207" s="307" t="str">
        <f aca="false">IFERROR(VLOOKUP(M207,'PL_DEC.2026'!$D$11:$D$99,1,FALSE()),"(미존재)")</f>
        <v>급여</v>
      </c>
    </row>
    <row r="208" customFormat="false" ht="15" hidden="false" customHeight="false" outlineLevel="0" collapsed="false">
      <c r="A208" s="310" t="s">
        <v>841</v>
      </c>
      <c r="B208" s="307" t="n">
        <v>62000410</v>
      </c>
      <c r="C208" s="307" t="s">
        <v>2002</v>
      </c>
      <c r="D208" s="307" t="s">
        <v>1926</v>
      </c>
      <c r="E208" s="307" t="s">
        <v>1996</v>
      </c>
      <c r="F208" s="307" t="s">
        <v>1997</v>
      </c>
      <c r="G208" s="307" t="s">
        <v>1973</v>
      </c>
      <c r="H208" s="307" t="s">
        <v>1536</v>
      </c>
      <c r="I208" s="307" t="s">
        <v>1988</v>
      </c>
      <c r="J208" s="307" t="s">
        <v>1499</v>
      </c>
      <c r="K208" s="307" t="s">
        <v>1989</v>
      </c>
      <c r="L208" s="317" t="s">
        <v>1976</v>
      </c>
      <c r="M208" s="317" t="s">
        <v>275</v>
      </c>
      <c r="N208" s="317" t="s">
        <v>1976</v>
      </c>
      <c r="O208" s="317" t="s">
        <v>282</v>
      </c>
      <c r="P208" s="317" t="s">
        <v>282</v>
      </c>
      <c r="Q208" s="318" t="n">
        <v>-22885088</v>
      </c>
      <c r="R208" s="318" t="n">
        <v>344231511</v>
      </c>
      <c r="S208" s="318" t="n">
        <v>665963023</v>
      </c>
      <c r="T208" s="318" t="n">
        <v>-2847223920</v>
      </c>
      <c r="U208" s="318" t="n">
        <v>-2459578312</v>
      </c>
      <c r="V208" s="318" t="n">
        <v>-2155098601</v>
      </c>
      <c r="W208" s="318" t="n">
        <v>-1823634630</v>
      </c>
      <c r="X208" s="318" t="n">
        <v>-1492170659</v>
      </c>
      <c r="Y208" s="318" t="n">
        <v>-1160706688</v>
      </c>
      <c r="Z208" s="318" t="n">
        <v>-808494567</v>
      </c>
      <c r="AA208" s="318"/>
      <c r="AB208" s="318"/>
      <c r="AC208" s="318"/>
      <c r="AD208" s="318"/>
      <c r="AE208" s="318" t="n">
        <f aca="false">R208</f>
        <v>344231511</v>
      </c>
      <c r="AF208" s="318" t="n">
        <f aca="false">S208-R208</f>
        <v>321731512</v>
      </c>
      <c r="AG208" s="318" t="n">
        <f aca="false">T208-S208</f>
        <v>-3513186943</v>
      </c>
      <c r="AH208" s="318" t="n">
        <f aca="false">U208-T208</f>
        <v>387645608</v>
      </c>
      <c r="AI208" s="318" t="n">
        <f aca="false">V208-U208</f>
        <v>304479711</v>
      </c>
      <c r="AJ208" s="318" t="n">
        <f aca="false">W208-V208</f>
        <v>331463971</v>
      </c>
      <c r="AK208" s="318" t="n">
        <f aca="false">X208-W208</f>
        <v>331463971</v>
      </c>
      <c r="AL208" s="318" t="n">
        <f aca="false">Y208-X208</f>
        <v>331463971</v>
      </c>
      <c r="AM208" s="318" t="n">
        <f aca="false">Z208-Y208</f>
        <v>352212121</v>
      </c>
      <c r="AN208" s="318" t="s">
        <v>1726</v>
      </c>
      <c r="AO208" s="318" t="n">
        <f aca="false">AB208-AA208</f>
        <v>0</v>
      </c>
      <c r="AP208" s="318" t="n">
        <f aca="false">AC208-AB208</f>
        <v>0</v>
      </c>
      <c r="AR208" s="307" t="str">
        <f aca="false">IFERROR(VLOOKUP(M208,'PL_DEC.2026'!$D$11:$D$99,1,FALSE()),"(미존재)")</f>
        <v>판매수당</v>
      </c>
    </row>
    <row r="209" customFormat="false" ht="15" hidden="false" customHeight="false" outlineLevel="0" collapsed="false">
      <c r="A209" s="310" t="s">
        <v>841</v>
      </c>
      <c r="B209" s="307" t="n">
        <v>62000502</v>
      </c>
      <c r="C209" s="307" t="s">
        <v>2003</v>
      </c>
      <c r="D209" s="307" t="s">
        <v>1926</v>
      </c>
      <c r="E209" s="307" t="s">
        <v>1971</v>
      </c>
      <c r="F209" s="307" t="s">
        <v>2004</v>
      </c>
      <c r="G209" s="307" t="s">
        <v>1973</v>
      </c>
      <c r="H209" s="307" t="s">
        <v>1536</v>
      </c>
      <c r="I209" s="307" t="s">
        <v>1988</v>
      </c>
      <c r="J209" s="307" t="s">
        <v>1499</v>
      </c>
      <c r="K209" s="307" t="s">
        <v>1989</v>
      </c>
      <c r="L209" s="317" t="s">
        <v>1976</v>
      </c>
      <c r="M209" s="317" t="s">
        <v>290</v>
      </c>
      <c r="N209" s="317" t="s">
        <v>1976</v>
      </c>
      <c r="O209" s="317" t="s">
        <v>290</v>
      </c>
      <c r="P209" s="317" t="s">
        <v>290</v>
      </c>
      <c r="Q209" s="318" t="n">
        <v>634092023</v>
      </c>
      <c r="R209" s="318" t="n">
        <v>30210000</v>
      </c>
      <c r="S209" s="318" t="n">
        <v>66282000</v>
      </c>
      <c r="T209" s="318" t="n">
        <v>103360000</v>
      </c>
      <c r="U209" s="318" t="n">
        <v>144339000</v>
      </c>
      <c r="V209" s="318" t="n">
        <v>189259000</v>
      </c>
      <c r="W209" s="318" t="n">
        <v>226019000</v>
      </c>
      <c r="X209" s="318" t="n">
        <v>267385000</v>
      </c>
      <c r="Y209" s="318" t="n">
        <v>308688000</v>
      </c>
      <c r="Z209" s="318" t="n">
        <v>347825000</v>
      </c>
      <c r="AA209" s="318"/>
      <c r="AB209" s="318"/>
      <c r="AC209" s="318"/>
      <c r="AD209" s="318"/>
      <c r="AE209" s="318" t="n">
        <f aca="false">R209</f>
        <v>30210000</v>
      </c>
      <c r="AF209" s="318" t="n">
        <f aca="false">S209-R209</f>
        <v>36072000</v>
      </c>
      <c r="AG209" s="318" t="n">
        <f aca="false">T209-S209</f>
        <v>37078000</v>
      </c>
      <c r="AH209" s="318" t="n">
        <f aca="false">U209-T209</f>
        <v>40979000</v>
      </c>
      <c r="AI209" s="318" t="n">
        <f aca="false">V209-U209</f>
        <v>44920000</v>
      </c>
      <c r="AJ209" s="318" t="n">
        <f aca="false">W209-V209</f>
        <v>36760000</v>
      </c>
      <c r="AK209" s="318" t="n">
        <f aca="false">X209-W209</f>
        <v>41366000</v>
      </c>
      <c r="AL209" s="318" t="n">
        <f aca="false">Y209-X209</f>
        <v>41303000</v>
      </c>
      <c r="AM209" s="318" t="n">
        <f aca="false">Z209-Y209</f>
        <v>39137000</v>
      </c>
      <c r="AN209" s="318" t="s">
        <v>1726</v>
      </c>
      <c r="AO209" s="318" t="n">
        <f aca="false">AB209-AA209</f>
        <v>0</v>
      </c>
      <c r="AP209" s="318" t="n">
        <f aca="false">AC209-AB209</f>
        <v>0</v>
      </c>
      <c r="AR209" s="307" t="str">
        <f aca="false">IFERROR(VLOOKUP(M209,'PL_DEC.2026'!$D$11:$D$99,1,FALSE()),"(미존재)")</f>
        <v>여비교통비</v>
      </c>
    </row>
    <row r="210" customFormat="false" ht="15" hidden="false" customHeight="false" outlineLevel="0" collapsed="false">
      <c r="A210" s="310" t="s">
        <v>841</v>
      </c>
      <c r="B210" s="307" t="n">
        <v>62000600</v>
      </c>
      <c r="C210" s="307" t="s">
        <v>2005</v>
      </c>
      <c r="D210" s="307" t="s">
        <v>1926</v>
      </c>
      <c r="E210" s="307" t="s">
        <v>2006</v>
      </c>
      <c r="F210" s="307" t="s">
        <v>2007</v>
      </c>
      <c r="G210" s="307" t="s">
        <v>1973</v>
      </c>
      <c r="H210" s="307" t="s">
        <v>1536</v>
      </c>
      <c r="I210" s="307" t="s">
        <v>1988</v>
      </c>
      <c r="J210" s="307" t="s">
        <v>1499</v>
      </c>
      <c r="K210" s="307" t="s">
        <v>1989</v>
      </c>
      <c r="L210" s="317" t="s">
        <v>1976</v>
      </c>
      <c r="M210" s="317" t="s">
        <v>275</v>
      </c>
      <c r="N210" s="317" t="s">
        <v>2008</v>
      </c>
      <c r="O210" s="317" t="s">
        <v>275</v>
      </c>
      <c r="P210" s="317" t="s">
        <v>275</v>
      </c>
      <c r="Q210" s="318" t="n">
        <v>4172982320</v>
      </c>
      <c r="R210" s="318" t="n">
        <v>0</v>
      </c>
      <c r="S210" s="318" t="n">
        <v>0</v>
      </c>
      <c r="T210" s="318" t="n">
        <v>4163222610</v>
      </c>
      <c r="U210" s="318" t="n">
        <v>4163222610</v>
      </c>
      <c r="V210" s="318" t="n">
        <v>4163222610</v>
      </c>
      <c r="W210" s="318" t="n">
        <v>4163222610</v>
      </c>
      <c r="X210" s="318" t="n">
        <v>4163222610</v>
      </c>
      <c r="Y210" s="318" t="n">
        <v>4163222610</v>
      </c>
      <c r="Z210" s="318" t="n">
        <v>4163222610</v>
      </c>
      <c r="AA210" s="318"/>
      <c r="AB210" s="318"/>
      <c r="AC210" s="318"/>
      <c r="AD210" s="318"/>
      <c r="AE210" s="318" t="n">
        <f aca="false">R210</f>
        <v>0</v>
      </c>
      <c r="AF210" s="318" t="n">
        <f aca="false">S210-R210</f>
        <v>0</v>
      </c>
      <c r="AG210" s="318" t="n">
        <f aca="false">T210-S210</f>
        <v>4163222610</v>
      </c>
      <c r="AH210" s="318" t="n">
        <f aca="false">U210-T210</f>
        <v>0</v>
      </c>
      <c r="AI210" s="318" t="n">
        <f aca="false">V210-U210</f>
        <v>0</v>
      </c>
      <c r="AJ210" s="318" t="n">
        <f aca="false">W210-V210</f>
        <v>0</v>
      </c>
      <c r="AK210" s="318" t="n">
        <f aca="false">X210-W210</f>
        <v>0</v>
      </c>
      <c r="AL210" s="318" t="n">
        <f aca="false">Y210-X210</f>
        <v>0</v>
      </c>
      <c r="AM210" s="318" t="n">
        <f aca="false">Z210-Y210</f>
        <v>0</v>
      </c>
      <c r="AN210" s="318" t="s">
        <v>1726</v>
      </c>
      <c r="AO210" s="318" t="n">
        <f aca="false">AB210-AA210</f>
        <v>0</v>
      </c>
      <c r="AP210" s="318" t="n">
        <f aca="false">AC210-AB210</f>
        <v>0</v>
      </c>
      <c r="AR210" s="307" t="str">
        <f aca="false">IFERROR(VLOOKUP(M210,'PL_DEC.2026'!$D$11:$D$99,1,FALSE()),"(미존재)")</f>
        <v>판매수당</v>
      </c>
    </row>
    <row r="211" customFormat="false" ht="15" hidden="false" customHeight="false" outlineLevel="0" collapsed="false">
      <c r="A211" s="310" t="s">
        <v>841</v>
      </c>
      <c r="B211" s="307" t="n">
        <v>62000717</v>
      </c>
      <c r="C211" s="307" t="s">
        <v>2009</v>
      </c>
      <c r="D211" s="307" t="s">
        <v>1926</v>
      </c>
      <c r="E211" s="307" t="s">
        <v>1996</v>
      </c>
      <c r="F211" s="307" t="s">
        <v>1997</v>
      </c>
      <c r="G211" s="307" t="s">
        <v>1973</v>
      </c>
      <c r="H211" s="307" t="s">
        <v>1536</v>
      </c>
      <c r="I211" s="307" t="s">
        <v>1988</v>
      </c>
      <c r="J211" s="307" t="s">
        <v>1499</v>
      </c>
      <c r="K211" s="307" t="s">
        <v>1989</v>
      </c>
      <c r="L211" s="317" t="s">
        <v>1976</v>
      </c>
      <c r="M211" s="317" t="s">
        <v>283</v>
      </c>
      <c r="N211" s="317" t="s">
        <v>1976</v>
      </c>
      <c r="O211" s="317" t="s">
        <v>282</v>
      </c>
      <c r="P211" s="317" t="s">
        <v>282</v>
      </c>
      <c r="Q211" s="318" t="n">
        <v>1200612826</v>
      </c>
      <c r="R211" s="318" t="n">
        <v>130733519</v>
      </c>
      <c r="S211" s="318" t="n">
        <v>261467038</v>
      </c>
      <c r="T211" s="318" t="n">
        <v>392200557</v>
      </c>
      <c r="U211" s="318" t="n">
        <v>503939420</v>
      </c>
      <c r="V211" s="318" t="n">
        <v>623621855</v>
      </c>
      <c r="W211" s="318" t="n">
        <v>748346226</v>
      </c>
      <c r="X211" s="318" t="n">
        <v>877267041</v>
      </c>
      <c r="Y211" s="318" t="n">
        <v>1002590904</v>
      </c>
      <c r="Z211" s="318" t="n">
        <v>1127914767</v>
      </c>
      <c r="AA211" s="318"/>
      <c r="AB211" s="318"/>
      <c r="AC211" s="318"/>
      <c r="AD211" s="318"/>
      <c r="AE211" s="318" t="n">
        <f aca="false">R211</f>
        <v>130733519</v>
      </c>
      <c r="AF211" s="318" t="n">
        <f aca="false">S211-R211</f>
        <v>130733519</v>
      </c>
      <c r="AG211" s="318" t="n">
        <f aca="false">T211-S211</f>
        <v>130733519</v>
      </c>
      <c r="AH211" s="318" t="n">
        <f aca="false">U211-T211</f>
        <v>111738863</v>
      </c>
      <c r="AI211" s="318" t="n">
        <f aca="false">V211-U211</f>
        <v>119682435</v>
      </c>
      <c r="AJ211" s="318" t="n">
        <f aca="false">W211-V211</f>
        <v>124724371</v>
      </c>
      <c r="AK211" s="318" t="n">
        <f aca="false">X211-W211</f>
        <v>128920815</v>
      </c>
      <c r="AL211" s="318" t="n">
        <f aca="false">Y211-X211</f>
        <v>125323863</v>
      </c>
      <c r="AM211" s="318" t="n">
        <f aca="false">Z211-Y211</f>
        <v>125323863</v>
      </c>
      <c r="AN211" s="318" t="s">
        <v>1726</v>
      </c>
      <c r="AO211" s="318" t="n">
        <f aca="false">AB211-AA211</f>
        <v>0</v>
      </c>
      <c r="AP211" s="318" t="n">
        <f aca="false">AC211-AB211</f>
        <v>0</v>
      </c>
      <c r="AR211" s="307" t="str">
        <f aca="false">IFERROR(VLOOKUP(M211,'PL_DEC.2026'!$D$11:$D$99,1,FALSE()),"(미존재)")</f>
        <v>상여와수당</v>
      </c>
    </row>
    <row r="212" customFormat="false" ht="15" hidden="false" customHeight="false" outlineLevel="0" collapsed="false">
      <c r="A212" s="310" t="s">
        <v>841</v>
      </c>
      <c r="B212" s="307" t="n">
        <v>62000744</v>
      </c>
      <c r="C212" s="307" t="s">
        <v>2010</v>
      </c>
      <c r="D212" s="307" t="s">
        <v>1926</v>
      </c>
      <c r="E212" s="307" t="s">
        <v>1996</v>
      </c>
      <c r="F212" s="307" t="s">
        <v>1997</v>
      </c>
      <c r="G212" s="307" t="s">
        <v>1973</v>
      </c>
      <c r="H212" s="307" t="s">
        <v>1536</v>
      </c>
      <c r="I212" s="307" t="s">
        <v>1988</v>
      </c>
      <c r="J212" s="307" t="s">
        <v>1499</v>
      </c>
      <c r="K212" s="307" t="s">
        <v>1989</v>
      </c>
      <c r="L212" s="317" t="s">
        <v>1976</v>
      </c>
      <c r="M212" s="317" t="s">
        <v>283</v>
      </c>
      <c r="N212" s="317" t="s">
        <v>1976</v>
      </c>
      <c r="O212" s="317" t="s">
        <v>282</v>
      </c>
      <c r="P212" s="317" t="s">
        <v>282</v>
      </c>
      <c r="Q212" s="318" t="n">
        <v>408807534</v>
      </c>
      <c r="R212" s="318" t="n">
        <v>23616278</v>
      </c>
      <c r="S212" s="318" t="n">
        <v>44923555</v>
      </c>
      <c r="T212" s="318" t="n">
        <v>68880682</v>
      </c>
      <c r="U212" s="318" t="n">
        <v>96664192</v>
      </c>
      <c r="V212" s="318" t="n">
        <v>118455250</v>
      </c>
      <c r="W212" s="318" t="n">
        <v>139052997</v>
      </c>
      <c r="X212" s="318" t="n">
        <v>190651008</v>
      </c>
      <c r="Y212" s="318" t="n">
        <v>259350966</v>
      </c>
      <c r="Z212" s="318" t="n">
        <v>284270186</v>
      </c>
      <c r="AA212" s="318"/>
      <c r="AB212" s="318"/>
      <c r="AC212" s="318"/>
      <c r="AD212" s="318"/>
      <c r="AE212" s="318" t="n">
        <f aca="false">R212</f>
        <v>23616278</v>
      </c>
      <c r="AF212" s="318" t="n">
        <f aca="false">S212-R212</f>
        <v>21307277</v>
      </c>
      <c r="AG212" s="318" t="n">
        <f aca="false">T212-S212</f>
        <v>23957127</v>
      </c>
      <c r="AH212" s="318" t="n">
        <f aca="false">U212-T212</f>
        <v>27783510</v>
      </c>
      <c r="AI212" s="318" t="n">
        <f aca="false">V212-U212</f>
        <v>21791058</v>
      </c>
      <c r="AJ212" s="318" t="n">
        <f aca="false">W212-V212</f>
        <v>20597747</v>
      </c>
      <c r="AK212" s="318" t="n">
        <f aca="false">X212-W212</f>
        <v>51598011</v>
      </c>
      <c r="AL212" s="318" t="n">
        <f aca="false">Y212-X212</f>
        <v>68699958</v>
      </c>
      <c r="AM212" s="318" t="n">
        <f aca="false">Z212-Y212</f>
        <v>24919220</v>
      </c>
      <c r="AN212" s="318" t="s">
        <v>1726</v>
      </c>
      <c r="AO212" s="318" t="n">
        <f aca="false">AB212-AA212</f>
        <v>0</v>
      </c>
      <c r="AP212" s="318" t="n">
        <f aca="false">AC212-AB212</f>
        <v>0</v>
      </c>
      <c r="AR212" s="307" t="str">
        <f aca="false">IFERROR(VLOOKUP(M212,'PL_DEC.2026'!$D$11:$D$99,1,FALSE()),"(미존재)")</f>
        <v>상여와수당</v>
      </c>
    </row>
    <row r="213" customFormat="false" ht="15" hidden="false" customHeight="false" outlineLevel="0" collapsed="false">
      <c r="A213" s="310" t="s">
        <v>841</v>
      </c>
      <c r="B213" s="307" t="n">
        <v>62100702</v>
      </c>
      <c r="C213" s="307" t="s">
        <v>2011</v>
      </c>
      <c r="D213" s="307" t="s">
        <v>1926</v>
      </c>
      <c r="E213" s="307" t="s">
        <v>1971</v>
      </c>
      <c r="F213" s="307" t="s">
        <v>2012</v>
      </c>
      <c r="G213" s="307" t="s">
        <v>1973</v>
      </c>
      <c r="H213" s="307" t="s">
        <v>1536</v>
      </c>
      <c r="I213" s="307" t="s">
        <v>1988</v>
      </c>
      <c r="J213" s="307" t="s">
        <v>1499</v>
      </c>
      <c r="K213" s="307" t="s">
        <v>1989</v>
      </c>
      <c r="L213" s="317" t="s">
        <v>1976</v>
      </c>
      <c r="M213" s="317" t="s">
        <v>300</v>
      </c>
      <c r="N213" s="317" t="s">
        <v>1976</v>
      </c>
      <c r="O213" s="317" t="s">
        <v>2013</v>
      </c>
      <c r="P213" s="317" t="s">
        <v>300</v>
      </c>
      <c r="Q213" s="318" t="n">
        <v>1380273135</v>
      </c>
      <c r="R213" s="318" t="n">
        <v>118512450</v>
      </c>
      <c r="S213" s="318" t="n">
        <v>234263678</v>
      </c>
      <c r="T213" s="318" t="n">
        <v>178833943</v>
      </c>
      <c r="U213" s="318" t="n">
        <v>296731468</v>
      </c>
      <c r="V213" s="318" t="n">
        <v>410725239</v>
      </c>
      <c r="W213" s="318" t="n">
        <v>527136143</v>
      </c>
      <c r="X213" s="318" t="n">
        <v>647205356</v>
      </c>
      <c r="Y213" s="318" t="n">
        <v>770054255</v>
      </c>
      <c r="Z213" s="318" t="n">
        <v>890858351</v>
      </c>
      <c r="AA213" s="318"/>
      <c r="AB213" s="318"/>
      <c r="AC213" s="318"/>
      <c r="AD213" s="318"/>
      <c r="AE213" s="318" t="n">
        <f aca="false">R213</f>
        <v>118512450</v>
      </c>
      <c r="AF213" s="318" t="n">
        <f aca="false">S213-R213</f>
        <v>115751228</v>
      </c>
      <c r="AG213" s="318" t="n">
        <f aca="false">T213-S213</f>
        <v>-55429735</v>
      </c>
      <c r="AH213" s="318" t="n">
        <f aca="false">U213-T213</f>
        <v>117897525</v>
      </c>
      <c r="AI213" s="318" t="n">
        <f aca="false">V213-U213</f>
        <v>113993771</v>
      </c>
      <c r="AJ213" s="318" t="n">
        <f aca="false">W213-V213</f>
        <v>116410904</v>
      </c>
      <c r="AK213" s="318" t="n">
        <f aca="false">X213-W213</f>
        <v>120069213</v>
      </c>
      <c r="AL213" s="318" t="n">
        <f aca="false">Y213-X213</f>
        <v>122848899</v>
      </c>
      <c r="AM213" s="318" t="n">
        <f aca="false">Z213-Y213</f>
        <v>120804096</v>
      </c>
      <c r="AN213" s="318" t="s">
        <v>1726</v>
      </c>
      <c r="AO213" s="318" t="n">
        <f aca="false">AB213-AA213</f>
        <v>0</v>
      </c>
      <c r="AP213" s="318" t="n">
        <f aca="false">AC213-AB213</f>
        <v>0</v>
      </c>
      <c r="AR213" s="307" t="str">
        <f aca="false">IFERROR(VLOOKUP(M213,'PL_DEC.2026'!$D$11:$D$99,1,FALSE()),"(미존재)")</f>
        <v>제세공과</v>
      </c>
    </row>
    <row r="214" customFormat="false" ht="15" hidden="false" customHeight="false" outlineLevel="0" collapsed="false">
      <c r="A214" s="310" t="s">
        <v>841</v>
      </c>
      <c r="B214" s="307" t="n">
        <v>62100747</v>
      </c>
      <c r="C214" s="307" t="s">
        <v>2014</v>
      </c>
      <c r="D214" s="307" t="s">
        <v>1926</v>
      </c>
      <c r="E214" s="307" t="s">
        <v>1996</v>
      </c>
      <c r="F214" s="307" t="s">
        <v>2015</v>
      </c>
      <c r="G214" s="307" t="s">
        <v>1973</v>
      </c>
      <c r="H214" s="307" t="s">
        <v>1536</v>
      </c>
      <c r="I214" s="307" t="s">
        <v>1988</v>
      </c>
      <c r="J214" s="307" t="s">
        <v>1499</v>
      </c>
      <c r="K214" s="307" t="s">
        <v>1989</v>
      </c>
      <c r="L214" s="317" t="s">
        <v>1976</v>
      </c>
      <c r="M214" s="317" t="s">
        <v>285</v>
      </c>
      <c r="N214" s="317" t="s">
        <v>1976</v>
      </c>
      <c r="O214" s="317" t="s">
        <v>285</v>
      </c>
      <c r="P214" s="317" t="s">
        <v>285</v>
      </c>
      <c r="Q214" s="318" t="n">
        <v>5809203600</v>
      </c>
      <c r="R214" s="318" t="n">
        <v>575578554</v>
      </c>
      <c r="S214" s="318" t="n">
        <v>1076660207</v>
      </c>
      <c r="T214" s="318" t="n">
        <v>2018739800</v>
      </c>
      <c r="U214" s="318" t="n">
        <v>2423581022</v>
      </c>
      <c r="V214" s="318" t="n">
        <v>2865143193</v>
      </c>
      <c r="W214" s="318" t="n">
        <v>3308239335</v>
      </c>
      <c r="X214" s="318" t="n">
        <v>3738738315</v>
      </c>
      <c r="Y214" s="318" t="n">
        <v>4185608815</v>
      </c>
      <c r="Z214" s="318" t="n">
        <v>4660370448</v>
      </c>
      <c r="AA214" s="318"/>
      <c r="AB214" s="318"/>
      <c r="AC214" s="318"/>
      <c r="AD214" s="318"/>
      <c r="AE214" s="318" t="n">
        <f aca="false">R214</f>
        <v>575578554</v>
      </c>
      <c r="AF214" s="318" t="n">
        <f aca="false">S214-R214</f>
        <v>501081653</v>
      </c>
      <c r="AG214" s="318" t="n">
        <f aca="false">T214-S214</f>
        <v>942079593</v>
      </c>
      <c r="AH214" s="318" t="n">
        <f aca="false">U214-T214</f>
        <v>404841222</v>
      </c>
      <c r="AI214" s="318" t="n">
        <f aca="false">V214-U214</f>
        <v>441562171</v>
      </c>
      <c r="AJ214" s="318" t="n">
        <f aca="false">W214-V214</f>
        <v>443096142</v>
      </c>
      <c r="AK214" s="318" t="n">
        <f aca="false">X214-W214</f>
        <v>430498980</v>
      </c>
      <c r="AL214" s="318" t="n">
        <f aca="false">Y214-X214</f>
        <v>446870500</v>
      </c>
      <c r="AM214" s="318" t="n">
        <f aca="false">Z214-Y214</f>
        <v>474761633</v>
      </c>
      <c r="AN214" s="318" t="s">
        <v>1726</v>
      </c>
      <c r="AO214" s="318" t="n">
        <f aca="false">AB214-AA214</f>
        <v>0</v>
      </c>
      <c r="AP214" s="318" t="n">
        <f aca="false">AC214-AB214</f>
        <v>0</v>
      </c>
      <c r="AR214" s="307" t="str">
        <f aca="false">IFERROR(VLOOKUP(M214,'PL_DEC.2026'!$D$11:$D$99,1,FALSE()),"(미존재)")</f>
        <v>퇴직급여</v>
      </c>
    </row>
    <row r="215" customFormat="false" ht="15" hidden="false" customHeight="false" outlineLevel="0" collapsed="false">
      <c r="A215" s="310" t="s">
        <v>841</v>
      </c>
      <c r="B215" s="307" t="n">
        <v>62100925</v>
      </c>
      <c r="C215" s="307" t="s">
        <v>2016</v>
      </c>
      <c r="D215" s="307" t="s">
        <v>1926</v>
      </c>
      <c r="E215" s="307" t="s">
        <v>1971</v>
      </c>
      <c r="F215" s="307" t="s">
        <v>2017</v>
      </c>
      <c r="G215" s="307" t="s">
        <v>1973</v>
      </c>
      <c r="H215" s="307" t="s">
        <v>1536</v>
      </c>
      <c r="I215" s="307" t="s">
        <v>1988</v>
      </c>
      <c r="J215" s="307" t="s">
        <v>1499</v>
      </c>
      <c r="K215" s="307" t="s">
        <v>1989</v>
      </c>
      <c r="L215" s="317" t="s">
        <v>1976</v>
      </c>
      <c r="M215" s="317" t="s">
        <v>289</v>
      </c>
      <c r="N215" s="317" t="s">
        <v>1976</v>
      </c>
      <c r="O215" s="317" t="s">
        <v>289</v>
      </c>
      <c r="P215" s="317" t="s">
        <v>289</v>
      </c>
      <c r="Q215" s="318" t="n">
        <v>2009211921</v>
      </c>
      <c r="R215" s="318" t="n">
        <v>162499047</v>
      </c>
      <c r="S215" s="318" t="n">
        <v>311668845</v>
      </c>
      <c r="T215" s="318" t="n">
        <v>323775165</v>
      </c>
      <c r="U215" s="318" t="n">
        <v>533121607</v>
      </c>
      <c r="V215" s="318" t="n">
        <v>715275928</v>
      </c>
      <c r="W215" s="318" t="n">
        <v>894121078</v>
      </c>
      <c r="X215" s="318" t="n">
        <v>1051800277</v>
      </c>
      <c r="Y215" s="318" t="n">
        <v>1063550671</v>
      </c>
      <c r="Z215" s="318" t="n">
        <v>1364502312</v>
      </c>
      <c r="AA215" s="318"/>
      <c r="AB215" s="318"/>
      <c r="AC215" s="318"/>
      <c r="AD215" s="318"/>
      <c r="AE215" s="318" t="n">
        <f aca="false">R215</f>
        <v>162499047</v>
      </c>
      <c r="AF215" s="318" t="n">
        <f aca="false">S215-R215</f>
        <v>149169798</v>
      </c>
      <c r="AG215" s="318" t="n">
        <f aca="false">T215-S215</f>
        <v>12106320</v>
      </c>
      <c r="AH215" s="318" t="n">
        <f aca="false">U215-T215</f>
        <v>209346442</v>
      </c>
      <c r="AI215" s="318" t="n">
        <f aca="false">V215-U215</f>
        <v>182154321</v>
      </c>
      <c r="AJ215" s="318" t="n">
        <f aca="false">W215-V215</f>
        <v>178845150</v>
      </c>
      <c r="AK215" s="318" t="n">
        <f aca="false">X215-W215</f>
        <v>157679199</v>
      </c>
      <c r="AL215" s="318" t="n">
        <f aca="false">Y215-X215</f>
        <v>11750394</v>
      </c>
      <c r="AM215" s="318" t="n">
        <f aca="false">Z215-Y215</f>
        <v>300951641</v>
      </c>
      <c r="AN215" s="318" t="s">
        <v>1726</v>
      </c>
      <c r="AO215" s="318" t="n">
        <f aca="false">AB215-AA215</f>
        <v>0</v>
      </c>
      <c r="AP215" s="318" t="n">
        <f aca="false">AC215-AB215</f>
        <v>0</v>
      </c>
      <c r="AR215" s="307" t="str">
        <f aca="false">IFERROR(VLOOKUP(M215,'PL_DEC.2026'!$D$11:$D$99,1,FALSE()),"(미존재)")</f>
        <v>복리후생비</v>
      </c>
    </row>
    <row r="216" customFormat="false" ht="15" hidden="false" customHeight="false" outlineLevel="0" collapsed="false">
      <c r="A216" s="310" t="s">
        <v>841</v>
      </c>
      <c r="B216" s="307" t="n">
        <v>62200400</v>
      </c>
      <c r="C216" s="307" t="s">
        <v>2018</v>
      </c>
      <c r="D216" s="307" t="s">
        <v>1926</v>
      </c>
      <c r="E216" s="307" t="s">
        <v>1971</v>
      </c>
      <c r="F216" s="307" t="s">
        <v>2017</v>
      </c>
      <c r="G216" s="307" t="s">
        <v>1973</v>
      </c>
      <c r="H216" s="307" t="s">
        <v>1536</v>
      </c>
      <c r="I216" s="307" t="s">
        <v>1988</v>
      </c>
      <c r="J216" s="307" t="s">
        <v>1499</v>
      </c>
      <c r="K216" s="307" t="s">
        <v>1989</v>
      </c>
      <c r="L216" s="317" t="s">
        <v>1976</v>
      </c>
      <c r="M216" s="317" t="s">
        <v>289</v>
      </c>
      <c r="N216" s="317" t="s">
        <v>1976</v>
      </c>
      <c r="O216" s="317" t="s">
        <v>289</v>
      </c>
      <c r="P216" s="317" t="s">
        <v>289</v>
      </c>
      <c r="Q216" s="318" t="n">
        <v>276761763</v>
      </c>
      <c r="R216" s="318" t="n">
        <v>18868827</v>
      </c>
      <c r="S216" s="318" t="n">
        <v>37371654</v>
      </c>
      <c r="T216" s="318" t="n">
        <v>63472761</v>
      </c>
      <c r="U216" s="318" t="n">
        <v>126284208</v>
      </c>
      <c r="V216" s="318" t="n">
        <v>147330135</v>
      </c>
      <c r="W216" s="318" t="n">
        <v>172653392</v>
      </c>
      <c r="X216" s="318" t="n">
        <v>199069625</v>
      </c>
      <c r="Y216" s="318" t="n">
        <v>220522998</v>
      </c>
      <c r="Z216" s="318" t="n">
        <v>239892981</v>
      </c>
      <c r="AA216" s="318"/>
      <c r="AB216" s="318"/>
      <c r="AC216" s="318"/>
      <c r="AD216" s="318"/>
      <c r="AE216" s="318" t="n">
        <f aca="false">R216</f>
        <v>18868827</v>
      </c>
      <c r="AF216" s="318" t="n">
        <f aca="false">S216-R216</f>
        <v>18502827</v>
      </c>
      <c r="AG216" s="318" t="n">
        <f aca="false">T216-S216</f>
        <v>26101107</v>
      </c>
      <c r="AH216" s="318" t="n">
        <f aca="false">U216-T216</f>
        <v>62811447</v>
      </c>
      <c r="AI216" s="318" t="n">
        <f aca="false">V216-U216</f>
        <v>21045927</v>
      </c>
      <c r="AJ216" s="318" t="n">
        <f aca="false">W216-V216</f>
        <v>25323257</v>
      </c>
      <c r="AK216" s="318" t="n">
        <f aca="false">X216-W216</f>
        <v>26416233</v>
      </c>
      <c r="AL216" s="318" t="n">
        <f aca="false">Y216-X216</f>
        <v>21453373</v>
      </c>
      <c r="AM216" s="318" t="n">
        <f aca="false">Z216-Y216</f>
        <v>19369983</v>
      </c>
      <c r="AN216" s="318" t="s">
        <v>1726</v>
      </c>
      <c r="AO216" s="318" t="n">
        <f aca="false">AB216-AA216</f>
        <v>0</v>
      </c>
      <c r="AP216" s="318" t="n">
        <f aca="false">AC216-AB216</f>
        <v>0</v>
      </c>
      <c r="AR216" s="307" t="str">
        <f aca="false">IFERROR(VLOOKUP(M216,'PL_DEC.2026'!$D$11:$D$99,1,FALSE()),"(미존재)")</f>
        <v>복리후생비</v>
      </c>
    </row>
    <row r="217" customFormat="false" ht="15" hidden="false" customHeight="false" outlineLevel="0" collapsed="false">
      <c r="A217" s="310" t="s">
        <v>841</v>
      </c>
      <c r="B217" s="307" t="n">
        <v>62200930</v>
      </c>
      <c r="C217" s="307" t="s">
        <v>2019</v>
      </c>
      <c r="D217" s="307" t="s">
        <v>1926</v>
      </c>
      <c r="E217" s="307" t="s">
        <v>1971</v>
      </c>
      <c r="F217" s="307" t="s">
        <v>2017</v>
      </c>
      <c r="G217" s="307" t="s">
        <v>1973</v>
      </c>
      <c r="H217" s="307" t="s">
        <v>1536</v>
      </c>
      <c r="I217" s="307" t="s">
        <v>1988</v>
      </c>
      <c r="J217" s="307" t="s">
        <v>1499</v>
      </c>
      <c r="K217" s="307" t="s">
        <v>1989</v>
      </c>
      <c r="L217" s="317" t="s">
        <v>1976</v>
      </c>
      <c r="M217" s="317" t="s">
        <v>289</v>
      </c>
      <c r="N217" s="317" t="s">
        <v>1976</v>
      </c>
      <c r="O217" s="317" t="s">
        <v>289</v>
      </c>
      <c r="P217" s="317" t="s">
        <v>289</v>
      </c>
      <c r="Q217" s="318" t="n">
        <v>200141195</v>
      </c>
      <c r="R217" s="318" t="n">
        <v>17054704</v>
      </c>
      <c r="S217" s="318" t="n">
        <v>34154704</v>
      </c>
      <c r="T217" s="318" t="n">
        <v>50554704</v>
      </c>
      <c r="U217" s="318" t="n">
        <v>68854704</v>
      </c>
      <c r="V217" s="318" t="n">
        <v>86254704</v>
      </c>
      <c r="W217" s="318" t="n">
        <v>103324595</v>
      </c>
      <c r="X217" s="318" t="n">
        <v>121074595</v>
      </c>
      <c r="Y217" s="318" t="n">
        <v>138854704</v>
      </c>
      <c r="Z217" s="318" t="n">
        <v>156704704</v>
      </c>
      <c r="AA217" s="318"/>
      <c r="AB217" s="318"/>
      <c r="AC217" s="318"/>
      <c r="AD217" s="318"/>
      <c r="AE217" s="318" t="n">
        <f aca="false">R217</f>
        <v>17054704</v>
      </c>
      <c r="AF217" s="318" t="n">
        <f aca="false">S217-R217</f>
        <v>17100000</v>
      </c>
      <c r="AG217" s="318" t="n">
        <f aca="false">T217-S217</f>
        <v>16400000</v>
      </c>
      <c r="AH217" s="318" t="n">
        <f aca="false">U217-T217</f>
        <v>18300000</v>
      </c>
      <c r="AI217" s="318" t="n">
        <f aca="false">V217-U217</f>
        <v>17400000</v>
      </c>
      <c r="AJ217" s="318" t="n">
        <f aca="false">W217-V217</f>
        <v>17069891</v>
      </c>
      <c r="AK217" s="318" t="n">
        <f aca="false">X217-W217</f>
        <v>17750000</v>
      </c>
      <c r="AL217" s="318" t="n">
        <f aca="false">Y217-X217</f>
        <v>17780109</v>
      </c>
      <c r="AM217" s="318" t="n">
        <f aca="false">Z217-Y217</f>
        <v>17850000</v>
      </c>
      <c r="AN217" s="318" t="s">
        <v>1726</v>
      </c>
      <c r="AO217" s="318" t="n">
        <f aca="false">AB217-AA217</f>
        <v>0</v>
      </c>
      <c r="AP217" s="318" t="n">
        <f aca="false">AC217-AB217</f>
        <v>0</v>
      </c>
      <c r="AR217" s="307" t="str">
        <f aca="false">IFERROR(VLOOKUP(M217,'PL_DEC.2026'!$D$11:$D$99,1,FALSE()),"(미존재)")</f>
        <v>복리후생비</v>
      </c>
    </row>
    <row r="218" customFormat="false" ht="15" hidden="false" customHeight="false" outlineLevel="0" collapsed="false">
      <c r="A218" s="310" t="s">
        <v>841</v>
      </c>
      <c r="B218" s="307" t="n">
        <v>62200940</v>
      </c>
      <c r="C218" s="307" t="s">
        <v>2020</v>
      </c>
      <c r="D218" s="307" t="s">
        <v>1926</v>
      </c>
      <c r="E218" s="307" t="s">
        <v>1971</v>
      </c>
      <c r="F218" s="307" t="s">
        <v>2017</v>
      </c>
      <c r="G218" s="307" t="s">
        <v>1973</v>
      </c>
      <c r="H218" s="307" t="s">
        <v>1536</v>
      </c>
      <c r="I218" s="307" t="s">
        <v>1988</v>
      </c>
      <c r="J218" s="307" t="s">
        <v>1499</v>
      </c>
      <c r="K218" s="307" t="s">
        <v>1989</v>
      </c>
      <c r="L218" s="317" t="s">
        <v>1976</v>
      </c>
      <c r="M218" s="317" t="s">
        <v>289</v>
      </c>
      <c r="N218" s="317" t="s">
        <v>1976</v>
      </c>
      <c r="O218" s="317" t="s">
        <v>289</v>
      </c>
      <c r="P218" s="317" t="s">
        <v>289</v>
      </c>
      <c r="Q218" s="318" t="n">
        <v>14614089</v>
      </c>
      <c r="R218" s="318" t="n">
        <v>-14614089</v>
      </c>
      <c r="S218" s="318" t="n">
        <v>-14614089</v>
      </c>
      <c r="T218" s="318" t="n">
        <v>-14614089</v>
      </c>
      <c r="U218" s="318" t="n">
        <v>-14614089</v>
      </c>
      <c r="V218" s="318" t="n">
        <v>-14614089</v>
      </c>
      <c r="W218" s="318" t="n">
        <v>-14614089</v>
      </c>
      <c r="X218" s="318" t="n">
        <v>-14614089</v>
      </c>
      <c r="Y218" s="318" t="n">
        <v>-14614089</v>
      </c>
      <c r="Z218" s="318" t="n">
        <v>-14614089</v>
      </c>
      <c r="AA218" s="318"/>
      <c r="AB218" s="318"/>
      <c r="AC218" s="318"/>
      <c r="AD218" s="318"/>
      <c r="AE218" s="318" t="n">
        <f aca="false">R218</f>
        <v>-14614089</v>
      </c>
      <c r="AF218" s="318" t="n">
        <f aca="false">S218-R218</f>
        <v>0</v>
      </c>
      <c r="AG218" s="318" t="n">
        <f aca="false">T218-S218</f>
        <v>0</v>
      </c>
      <c r="AH218" s="318" t="n">
        <f aca="false">U218-T218</f>
        <v>0</v>
      </c>
      <c r="AI218" s="318" t="n">
        <f aca="false">V218-U218</f>
        <v>0</v>
      </c>
      <c r="AJ218" s="318" t="n">
        <f aca="false">W218-V218</f>
        <v>0</v>
      </c>
      <c r="AK218" s="318" t="n">
        <f aca="false">X218-W218</f>
        <v>0</v>
      </c>
      <c r="AL218" s="318" t="n">
        <f aca="false">Y218-X218</f>
        <v>0</v>
      </c>
      <c r="AM218" s="318" t="n">
        <f aca="false">Z218-Y218</f>
        <v>0</v>
      </c>
      <c r="AN218" s="318" t="s">
        <v>1726</v>
      </c>
      <c r="AO218" s="318" t="n">
        <f aca="false">AB218-AA218</f>
        <v>0</v>
      </c>
      <c r="AP218" s="318" t="n">
        <f aca="false">AC218-AB218</f>
        <v>0</v>
      </c>
      <c r="AR218" s="307" t="str">
        <f aca="false">IFERROR(VLOOKUP(M218,'PL_DEC.2026'!$D$11:$D$99,1,FALSE()),"(미존재)")</f>
        <v>복리후생비</v>
      </c>
    </row>
    <row r="219" customFormat="false" ht="15" hidden="false" customHeight="false" outlineLevel="0" collapsed="false">
      <c r="A219" s="310" t="s">
        <v>841</v>
      </c>
      <c r="B219" s="307" t="n">
        <v>62200945</v>
      </c>
      <c r="C219" s="307" t="s">
        <v>2021</v>
      </c>
      <c r="D219" s="307" t="s">
        <v>1926</v>
      </c>
      <c r="E219" s="307" t="s">
        <v>1971</v>
      </c>
      <c r="F219" s="307" t="s">
        <v>2004</v>
      </c>
      <c r="G219" s="307" t="s">
        <v>1973</v>
      </c>
      <c r="H219" s="307" t="s">
        <v>1536</v>
      </c>
      <c r="I219" s="307" t="s">
        <v>1988</v>
      </c>
      <c r="J219" s="307" t="s">
        <v>1499</v>
      </c>
      <c r="K219" s="307" t="s">
        <v>1989</v>
      </c>
      <c r="L219" s="317" t="s">
        <v>1976</v>
      </c>
      <c r="M219" s="317" t="s">
        <v>290</v>
      </c>
      <c r="N219" s="317" t="s">
        <v>1976</v>
      </c>
      <c r="O219" s="317" t="s">
        <v>290</v>
      </c>
      <c r="P219" s="317" t="s">
        <v>290</v>
      </c>
      <c r="Q219" s="318" t="n">
        <v>59161675</v>
      </c>
      <c r="R219" s="318" t="n">
        <v>3328528</v>
      </c>
      <c r="S219" s="318" t="n">
        <v>10782122</v>
      </c>
      <c r="T219" s="318" t="n">
        <v>22263517</v>
      </c>
      <c r="U219" s="318" t="n">
        <v>30627809</v>
      </c>
      <c r="V219" s="318" t="n">
        <v>35060215</v>
      </c>
      <c r="W219" s="318" t="n">
        <v>40948366</v>
      </c>
      <c r="X219" s="318" t="n">
        <v>49371142</v>
      </c>
      <c r="Y219" s="318" t="n">
        <v>55525846</v>
      </c>
      <c r="Z219" s="318" t="n">
        <v>63924575</v>
      </c>
      <c r="AA219" s="318"/>
      <c r="AB219" s="318"/>
      <c r="AC219" s="318"/>
      <c r="AD219" s="318"/>
      <c r="AE219" s="318" t="n">
        <f aca="false">R219</f>
        <v>3328528</v>
      </c>
      <c r="AF219" s="318" t="n">
        <f aca="false">S219-R219</f>
        <v>7453594</v>
      </c>
      <c r="AG219" s="318" t="n">
        <f aca="false">T219-S219</f>
        <v>11481395</v>
      </c>
      <c r="AH219" s="318" t="n">
        <f aca="false">U219-T219</f>
        <v>8364292</v>
      </c>
      <c r="AI219" s="318" t="n">
        <f aca="false">V219-U219</f>
        <v>4432406</v>
      </c>
      <c r="AJ219" s="318" t="n">
        <f aca="false">W219-V219</f>
        <v>5888151</v>
      </c>
      <c r="AK219" s="318" t="n">
        <f aca="false">X219-W219</f>
        <v>8422776</v>
      </c>
      <c r="AL219" s="318" t="n">
        <f aca="false">Y219-X219</f>
        <v>6154704</v>
      </c>
      <c r="AM219" s="318" t="n">
        <f aca="false">Z219-Y219</f>
        <v>8398729</v>
      </c>
      <c r="AN219" s="318" t="s">
        <v>1726</v>
      </c>
      <c r="AO219" s="318" t="n">
        <f aca="false">AB219-AA219</f>
        <v>0</v>
      </c>
      <c r="AP219" s="318" t="n">
        <f aca="false">AC219-AB219</f>
        <v>0</v>
      </c>
      <c r="AR219" s="307" t="str">
        <f aca="false">IFERROR(VLOOKUP(M219,'PL_DEC.2026'!$D$11:$D$99,1,FALSE()),"(미존재)")</f>
        <v>여비교통비</v>
      </c>
    </row>
    <row r="220" customFormat="false" ht="15" hidden="false" customHeight="false" outlineLevel="0" collapsed="false">
      <c r="A220" s="310" t="s">
        <v>841</v>
      </c>
      <c r="B220" s="307" t="n">
        <v>62400006</v>
      </c>
      <c r="C220" s="307" t="s">
        <v>2022</v>
      </c>
      <c r="D220" s="307" t="s">
        <v>1926</v>
      </c>
      <c r="E220" s="307" t="s">
        <v>1996</v>
      </c>
      <c r="F220" s="307" t="s">
        <v>1997</v>
      </c>
      <c r="G220" s="307" t="s">
        <v>1973</v>
      </c>
      <c r="H220" s="307" t="s">
        <v>1536</v>
      </c>
      <c r="I220" s="307" t="s">
        <v>1988</v>
      </c>
      <c r="J220" s="307" t="s">
        <v>1499</v>
      </c>
      <c r="K220" s="307" t="s">
        <v>1989</v>
      </c>
      <c r="L220" s="317" t="s">
        <v>1976</v>
      </c>
      <c r="M220" s="317" t="s">
        <v>284</v>
      </c>
      <c r="N220" s="317" t="s">
        <v>1976</v>
      </c>
      <c r="O220" s="317" t="s">
        <v>282</v>
      </c>
      <c r="P220" s="317" t="s">
        <v>282</v>
      </c>
      <c r="Q220" s="318" t="n">
        <v>-164581135</v>
      </c>
      <c r="R220" s="318" t="n">
        <v>36416667</v>
      </c>
      <c r="S220" s="318" t="n">
        <v>141416667</v>
      </c>
      <c r="T220" s="318" t="n">
        <v>-278969947</v>
      </c>
      <c r="U220" s="318" t="n">
        <v>-190880947</v>
      </c>
      <c r="V220" s="318" t="n">
        <v>-120934197</v>
      </c>
      <c r="W220" s="318" t="n">
        <v>-209804523</v>
      </c>
      <c r="X220" s="318" t="n">
        <v>-382522396</v>
      </c>
      <c r="Y220" s="318" t="n">
        <v>-277662730</v>
      </c>
      <c r="Z220" s="318" t="n">
        <v>-348309458</v>
      </c>
      <c r="AA220" s="318"/>
      <c r="AB220" s="318"/>
      <c r="AC220" s="318"/>
      <c r="AD220" s="318"/>
      <c r="AE220" s="318" t="n">
        <f aca="false">R220</f>
        <v>36416667</v>
      </c>
      <c r="AF220" s="318" t="n">
        <f aca="false">S220-R220</f>
        <v>105000000</v>
      </c>
      <c r="AG220" s="318" t="n">
        <f aca="false">T220-S220</f>
        <v>-420386614</v>
      </c>
      <c r="AH220" s="318" t="n">
        <f aca="false">U220-T220</f>
        <v>88089000</v>
      </c>
      <c r="AI220" s="318" t="n">
        <f aca="false">V220-U220</f>
        <v>69946750</v>
      </c>
      <c r="AJ220" s="318" t="n">
        <f aca="false">W220-V220</f>
        <v>-88870326</v>
      </c>
      <c r="AK220" s="318" t="n">
        <f aca="false">X220-W220</f>
        <v>-172717873</v>
      </c>
      <c r="AL220" s="318" t="n">
        <f aca="false">Y220-X220</f>
        <v>104859666</v>
      </c>
      <c r="AM220" s="318" t="n">
        <f aca="false">Z220-Y220</f>
        <v>-70646728</v>
      </c>
      <c r="AN220" s="318" t="s">
        <v>1726</v>
      </c>
      <c r="AO220" s="318" t="n">
        <f aca="false">AB220-AA220</f>
        <v>0</v>
      </c>
      <c r="AP220" s="318" t="n">
        <f aca="false">AC220-AB220</f>
        <v>0</v>
      </c>
      <c r="AR220" s="307" t="str">
        <f aca="false">IFERROR(VLOOKUP(M220,'PL_DEC.2026'!$D$11:$D$99,1,FALSE()),"(미존재)")</f>
        <v>성과급여</v>
      </c>
    </row>
    <row r="221" customFormat="false" ht="15" hidden="false" customHeight="false" outlineLevel="0" collapsed="false">
      <c r="A221" s="310" t="s">
        <v>841</v>
      </c>
      <c r="B221" s="307" t="n">
        <v>62400910</v>
      </c>
      <c r="C221" s="307" t="s">
        <v>2023</v>
      </c>
      <c r="D221" s="307" t="s">
        <v>1926</v>
      </c>
      <c r="E221" s="307" t="s">
        <v>1996</v>
      </c>
      <c r="F221" s="307" t="s">
        <v>1997</v>
      </c>
      <c r="G221" s="307" t="s">
        <v>1973</v>
      </c>
      <c r="H221" s="307" t="s">
        <v>1536</v>
      </c>
      <c r="I221" s="307" t="s">
        <v>1988</v>
      </c>
      <c r="J221" s="307" t="s">
        <v>1499</v>
      </c>
      <c r="K221" s="307" t="s">
        <v>1989</v>
      </c>
      <c r="L221" s="317" t="s">
        <v>1976</v>
      </c>
      <c r="M221" s="317" t="s">
        <v>284</v>
      </c>
      <c r="N221" s="317" t="s">
        <v>1976</v>
      </c>
      <c r="O221" s="317" t="s">
        <v>282</v>
      </c>
      <c r="P221" s="317" t="s">
        <v>282</v>
      </c>
      <c r="Q221" s="318" t="n">
        <v>1090091454</v>
      </c>
      <c r="R221" s="318" t="n">
        <v>51833333</v>
      </c>
      <c r="S221" s="318" t="n">
        <v>53133333</v>
      </c>
      <c r="T221" s="318" t="n">
        <v>196776665</v>
      </c>
      <c r="U221" s="318" t="n">
        <v>218062665</v>
      </c>
      <c r="V221" s="318" t="n">
        <v>261062665</v>
      </c>
      <c r="W221" s="318" t="n">
        <v>455755922</v>
      </c>
      <c r="X221" s="318" t="n">
        <v>511122589</v>
      </c>
      <c r="Y221" s="318" t="n">
        <v>511122589</v>
      </c>
      <c r="Z221" s="318" t="n">
        <v>690780403</v>
      </c>
      <c r="AA221" s="318"/>
      <c r="AB221" s="318"/>
      <c r="AC221" s="318"/>
      <c r="AD221" s="318"/>
      <c r="AE221" s="318" t="n">
        <f aca="false">R221</f>
        <v>51833333</v>
      </c>
      <c r="AF221" s="318" t="n">
        <f aca="false">S221-R221</f>
        <v>1300000</v>
      </c>
      <c r="AG221" s="318" t="n">
        <f aca="false">T221-S221</f>
        <v>143643332</v>
      </c>
      <c r="AH221" s="318" t="n">
        <f aca="false">U221-T221</f>
        <v>21286000</v>
      </c>
      <c r="AI221" s="318" t="n">
        <f aca="false">V221-U221</f>
        <v>43000000</v>
      </c>
      <c r="AJ221" s="318" t="n">
        <f aca="false">W221-V221</f>
        <v>194693257</v>
      </c>
      <c r="AK221" s="318" t="n">
        <f aca="false">X221-W221</f>
        <v>55366667</v>
      </c>
      <c r="AL221" s="318" t="n">
        <f aca="false">Y221-X221</f>
        <v>0</v>
      </c>
      <c r="AM221" s="318" t="n">
        <f aca="false">Z221-Y221</f>
        <v>179657814</v>
      </c>
      <c r="AN221" s="318" t="s">
        <v>1726</v>
      </c>
      <c r="AO221" s="318" t="n">
        <f aca="false">AB221-AA221</f>
        <v>0</v>
      </c>
      <c r="AP221" s="318" t="n">
        <f aca="false">AC221-AB221</f>
        <v>0</v>
      </c>
      <c r="AR221" s="307" t="str">
        <f aca="false">IFERROR(VLOOKUP(M221,'PL_DEC.2026'!$D$11:$D$99,1,FALSE()),"(미존재)")</f>
        <v>성과급여</v>
      </c>
    </row>
    <row r="222" customFormat="false" ht="15" hidden="false" customHeight="false" outlineLevel="0" collapsed="false">
      <c r="A222" s="310" t="s">
        <v>841</v>
      </c>
      <c r="B222" s="307" t="n">
        <v>62400915</v>
      </c>
      <c r="C222" s="307" t="s">
        <v>2024</v>
      </c>
      <c r="D222" s="307" t="s">
        <v>1926</v>
      </c>
      <c r="E222" s="307" t="s">
        <v>1996</v>
      </c>
      <c r="F222" s="307" t="s">
        <v>1997</v>
      </c>
      <c r="G222" s="307" t="s">
        <v>1973</v>
      </c>
      <c r="H222" s="307" t="s">
        <v>1536</v>
      </c>
      <c r="I222" s="307" t="s">
        <v>1988</v>
      </c>
      <c r="J222" s="307" t="s">
        <v>1499</v>
      </c>
      <c r="K222" s="307" t="s">
        <v>1989</v>
      </c>
      <c r="L222" s="317" t="s">
        <v>1976</v>
      </c>
      <c r="M222" s="317" t="s">
        <v>283</v>
      </c>
      <c r="N222" s="317" t="s">
        <v>1976</v>
      </c>
      <c r="O222" s="317" t="s">
        <v>282</v>
      </c>
      <c r="P222" s="317" t="s">
        <v>282</v>
      </c>
      <c r="Q222" s="318" t="n">
        <v>99624976</v>
      </c>
      <c r="R222" s="318" t="n">
        <v>-67021866</v>
      </c>
      <c r="S222" s="318" t="n">
        <v>-55300778</v>
      </c>
      <c r="T222" s="318" t="n">
        <v>-51723874</v>
      </c>
      <c r="U222" s="318" t="n">
        <v>-40090186</v>
      </c>
      <c r="V222" s="318" t="n">
        <v>-40090186</v>
      </c>
      <c r="W222" s="318" t="n">
        <v>-29388242</v>
      </c>
      <c r="X222" s="318" t="n">
        <v>-23488866</v>
      </c>
      <c r="Y222" s="318" t="n">
        <v>-23356802</v>
      </c>
      <c r="Z222" s="318" t="n">
        <v>-12320098</v>
      </c>
      <c r="AA222" s="318"/>
      <c r="AB222" s="318"/>
      <c r="AC222" s="318"/>
      <c r="AD222" s="318"/>
      <c r="AE222" s="318" t="n">
        <f aca="false">R222</f>
        <v>-67021866</v>
      </c>
      <c r="AF222" s="318" t="n">
        <f aca="false">S222-R222</f>
        <v>11721088</v>
      </c>
      <c r="AG222" s="318" t="n">
        <f aca="false">T222-S222</f>
        <v>3576904</v>
      </c>
      <c r="AH222" s="318" t="n">
        <f aca="false">U222-T222</f>
        <v>11633688</v>
      </c>
      <c r="AI222" s="318" t="n">
        <f aca="false">V222-U222</f>
        <v>0</v>
      </c>
      <c r="AJ222" s="318" t="n">
        <f aca="false">W222-V222</f>
        <v>10701944</v>
      </c>
      <c r="AK222" s="318" t="n">
        <f aca="false">X222-W222</f>
        <v>5899376</v>
      </c>
      <c r="AL222" s="318" t="n">
        <f aca="false">Y222-X222</f>
        <v>132064</v>
      </c>
      <c r="AM222" s="318" t="n">
        <f aca="false">Z222-Y222</f>
        <v>11036704</v>
      </c>
      <c r="AN222" s="318" t="s">
        <v>1726</v>
      </c>
      <c r="AO222" s="318" t="n">
        <f aca="false">AB222-AA222</f>
        <v>0</v>
      </c>
      <c r="AP222" s="318" t="n">
        <f aca="false">AC222-AB222</f>
        <v>0</v>
      </c>
      <c r="AR222" s="307" t="str">
        <f aca="false">IFERROR(VLOOKUP(M222,'PL_DEC.2026'!$D$11:$D$99,1,FALSE()),"(미존재)")</f>
        <v>상여와수당</v>
      </c>
    </row>
    <row r="223" customFormat="false" ht="15" hidden="false" customHeight="false" outlineLevel="0" collapsed="false">
      <c r="A223" s="310" t="s">
        <v>841</v>
      </c>
      <c r="B223" s="307" t="n">
        <v>62500800</v>
      </c>
      <c r="C223" s="307" t="s">
        <v>2025</v>
      </c>
      <c r="D223" s="307" t="s">
        <v>1926</v>
      </c>
      <c r="E223" s="307" t="s">
        <v>1971</v>
      </c>
      <c r="F223" s="307" t="s">
        <v>1987</v>
      </c>
      <c r="G223" s="307" t="s">
        <v>1973</v>
      </c>
      <c r="H223" s="307" t="s">
        <v>1536</v>
      </c>
      <c r="I223" s="307" t="s">
        <v>1988</v>
      </c>
      <c r="J223" s="307" t="s">
        <v>1499</v>
      </c>
      <c r="K223" s="307" t="s">
        <v>1989</v>
      </c>
      <c r="L223" s="317" t="s">
        <v>1976</v>
      </c>
      <c r="M223" s="317" t="s">
        <v>313</v>
      </c>
      <c r="N223" s="317" t="s">
        <v>1976</v>
      </c>
      <c r="O223" s="317" t="s">
        <v>313</v>
      </c>
      <c r="P223" s="317" t="s">
        <v>313</v>
      </c>
      <c r="Q223" s="318" t="n">
        <v>1816200</v>
      </c>
      <c r="R223" s="318" t="n">
        <v>0</v>
      </c>
      <c r="S223" s="318" t="n">
        <v>10000</v>
      </c>
      <c r="T223" s="318" t="n">
        <v>10000</v>
      </c>
      <c r="U223" s="318" t="n">
        <v>10000</v>
      </c>
      <c r="V223" s="318" t="n">
        <v>10000</v>
      </c>
      <c r="W223" s="318" t="n">
        <v>10000</v>
      </c>
      <c r="X223" s="318" t="n">
        <v>10000</v>
      </c>
      <c r="Y223" s="318" t="n">
        <v>184300</v>
      </c>
      <c r="Z223" s="318" t="n">
        <v>249000</v>
      </c>
      <c r="AA223" s="318"/>
      <c r="AB223" s="318"/>
      <c r="AC223" s="318"/>
      <c r="AD223" s="318"/>
      <c r="AE223" s="318" t="n">
        <f aca="false">R223</f>
        <v>0</v>
      </c>
      <c r="AF223" s="318" t="n">
        <f aca="false">S223-R223</f>
        <v>10000</v>
      </c>
      <c r="AG223" s="318" t="n">
        <f aca="false">T223-S223</f>
        <v>0</v>
      </c>
      <c r="AH223" s="318" t="n">
        <f aca="false">U223-T223</f>
        <v>0</v>
      </c>
      <c r="AI223" s="318" t="n">
        <f aca="false">V223-U223</f>
        <v>0</v>
      </c>
      <c r="AJ223" s="318" t="n">
        <f aca="false">W223-V223</f>
        <v>0</v>
      </c>
      <c r="AK223" s="318" t="n">
        <f aca="false">X223-W223</f>
        <v>0</v>
      </c>
      <c r="AL223" s="318" t="n">
        <f aca="false">Y223-X223</f>
        <v>174300</v>
      </c>
      <c r="AM223" s="318" t="n">
        <f aca="false">Z223-Y223</f>
        <v>64700</v>
      </c>
      <c r="AN223" s="318" t="s">
        <v>1726</v>
      </c>
      <c r="AO223" s="318" t="n">
        <f aca="false">AB223-AA223</f>
        <v>0</v>
      </c>
      <c r="AP223" s="318" t="n">
        <f aca="false">AC223-AB223</f>
        <v>0</v>
      </c>
      <c r="AR223" s="307" t="str">
        <f aca="false">IFERROR(VLOOKUP(M223,'PL_DEC.2026'!$D$11:$D$99,1,FALSE()),"(미존재)")</f>
        <v>교육훈련비</v>
      </c>
    </row>
    <row r="224" customFormat="false" ht="15" hidden="false" customHeight="false" outlineLevel="0" collapsed="false">
      <c r="A224" s="310" t="s">
        <v>841</v>
      </c>
      <c r="B224" s="307" t="n">
        <v>63300005</v>
      </c>
      <c r="C224" s="307" t="s">
        <v>2026</v>
      </c>
      <c r="D224" s="307" t="s">
        <v>1926</v>
      </c>
      <c r="E224" s="307" t="s">
        <v>1971</v>
      </c>
      <c r="F224" s="307" t="s">
        <v>1978</v>
      </c>
      <c r="G224" s="307" t="s">
        <v>1973</v>
      </c>
      <c r="H224" s="307" t="s">
        <v>1536</v>
      </c>
      <c r="I224" s="307" t="s">
        <v>1988</v>
      </c>
      <c r="J224" s="307" t="s">
        <v>1499</v>
      </c>
      <c r="K224" s="307" t="s">
        <v>1989</v>
      </c>
      <c r="L224" s="317" t="s">
        <v>1976</v>
      </c>
      <c r="M224" s="317" t="s">
        <v>307</v>
      </c>
      <c r="N224" s="317" t="s">
        <v>1976</v>
      </c>
      <c r="O224" s="317" t="s">
        <v>1979</v>
      </c>
      <c r="P224" s="317" t="s">
        <v>307</v>
      </c>
      <c r="Q224" s="318" t="n">
        <v>392927090</v>
      </c>
      <c r="R224" s="318" t="n">
        <v>0</v>
      </c>
      <c r="S224" s="318" t="n">
        <v>0</v>
      </c>
      <c r="T224" s="318" t="n">
        <v>8212905</v>
      </c>
      <c r="U224" s="318" t="n">
        <v>8212905</v>
      </c>
      <c r="V224" s="318" t="n">
        <v>8212905</v>
      </c>
      <c r="W224" s="318" t="n">
        <v>251716330</v>
      </c>
      <c r="X224" s="318" t="n">
        <v>251716330</v>
      </c>
      <c r="Y224" s="318" t="n">
        <v>410797656</v>
      </c>
      <c r="Z224" s="318" t="n">
        <v>402998681</v>
      </c>
      <c r="AA224" s="318"/>
      <c r="AB224" s="318"/>
      <c r="AC224" s="318"/>
      <c r="AD224" s="318"/>
      <c r="AE224" s="318" t="n">
        <f aca="false">R224</f>
        <v>0</v>
      </c>
      <c r="AF224" s="318" t="n">
        <f aca="false">S224-R224</f>
        <v>0</v>
      </c>
      <c r="AG224" s="318" t="n">
        <f aca="false">T224-S224</f>
        <v>8212905</v>
      </c>
      <c r="AH224" s="318" t="n">
        <f aca="false">U224-T224</f>
        <v>0</v>
      </c>
      <c r="AI224" s="318" t="n">
        <f aca="false">V224-U224</f>
        <v>0</v>
      </c>
      <c r="AJ224" s="318" t="n">
        <f aca="false">W224-V224</f>
        <v>243503425</v>
      </c>
      <c r="AK224" s="318" t="n">
        <f aca="false">X224-W224</f>
        <v>0</v>
      </c>
      <c r="AL224" s="318" t="n">
        <f aca="false">Y224-X224</f>
        <v>159081326</v>
      </c>
      <c r="AM224" s="318" t="n">
        <f aca="false">Z224-Y224</f>
        <v>-7798975</v>
      </c>
      <c r="AN224" s="318" t="s">
        <v>1726</v>
      </c>
      <c r="AO224" s="318" t="n">
        <f aca="false">AB224-AA224</f>
        <v>0</v>
      </c>
      <c r="AP224" s="318" t="n">
        <f aca="false">AC224-AB224</f>
        <v>0</v>
      </c>
      <c r="AR224" s="307" t="str">
        <f aca="false">IFERROR(VLOOKUP(M224,'PL_DEC.2026'!$D$11:$D$99,1,FALSE()),"(미존재)")</f>
        <v>임상증례조사비</v>
      </c>
    </row>
    <row r="225" customFormat="false" ht="15" hidden="false" customHeight="false" outlineLevel="0" collapsed="false">
      <c r="A225" s="310" t="s">
        <v>841</v>
      </c>
      <c r="B225" s="307" t="n">
        <v>63420201</v>
      </c>
      <c r="C225" s="307" t="s">
        <v>2027</v>
      </c>
      <c r="D225" s="307" t="s">
        <v>1926</v>
      </c>
      <c r="E225" s="307" t="s">
        <v>1971</v>
      </c>
      <c r="F225" s="307" t="s">
        <v>1978</v>
      </c>
      <c r="G225" s="307" t="s">
        <v>1973</v>
      </c>
      <c r="H225" s="307" t="s">
        <v>1536</v>
      </c>
      <c r="I225" s="307" t="s">
        <v>1988</v>
      </c>
      <c r="J225" s="307" t="s">
        <v>1499</v>
      </c>
      <c r="K225" s="307" t="s">
        <v>1989</v>
      </c>
      <c r="L225" s="317" t="s">
        <v>1976</v>
      </c>
      <c r="M225" s="317" t="s">
        <v>307</v>
      </c>
      <c r="N225" s="317" t="s">
        <v>1976</v>
      </c>
      <c r="O225" s="317" t="s">
        <v>1979</v>
      </c>
      <c r="P225" s="317" t="s">
        <v>307</v>
      </c>
      <c r="Q225" s="318" t="n">
        <v>57250000</v>
      </c>
      <c r="R225" s="318" t="n">
        <v>7350000</v>
      </c>
      <c r="S225" s="318" t="n">
        <v>8950000</v>
      </c>
      <c r="T225" s="318" t="n">
        <v>13700000</v>
      </c>
      <c r="U225" s="318" t="n">
        <v>17350000</v>
      </c>
      <c r="V225" s="318" t="n">
        <v>19650000</v>
      </c>
      <c r="W225" s="318" t="n">
        <v>21150000</v>
      </c>
      <c r="X225" s="318" t="n">
        <v>24650000</v>
      </c>
      <c r="Y225" s="318" t="n">
        <v>32550000</v>
      </c>
      <c r="Z225" s="318" t="n">
        <v>39750000</v>
      </c>
      <c r="AA225" s="318"/>
      <c r="AB225" s="318"/>
      <c r="AC225" s="318"/>
      <c r="AD225" s="318"/>
      <c r="AE225" s="318" t="n">
        <f aca="false">R225</f>
        <v>7350000</v>
      </c>
      <c r="AF225" s="318" t="n">
        <f aca="false">S225-R225</f>
        <v>1600000</v>
      </c>
      <c r="AG225" s="318" t="n">
        <f aca="false">T225-S225</f>
        <v>4750000</v>
      </c>
      <c r="AH225" s="318" t="n">
        <f aca="false">U225-T225</f>
        <v>3650000</v>
      </c>
      <c r="AI225" s="318" t="n">
        <f aca="false">V225-U225</f>
        <v>2300000</v>
      </c>
      <c r="AJ225" s="318" t="n">
        <f aca="false">W225-V225</f>
        <v>1500000</v>
      </c>
      <c r="AK225" s="318" t="n">
        <f aca="false">X225-W225</f>
        <v>3500000</v>
      </c>
      <c r="AL225" s="318" t="n">
        <f aca="false">Y225-X225</f>
        <v>7900000</v>
      </c>
      <c r="AM225" s="318" t="n">
        <f aca="false">Z225-Y225</f>
        <v>7200000</v>
      </c>
      <c r="AN225" s="318" t="s">
        <v>1726</v>
      </c>
      <c r="AO225" s="318" t="n">
        <f aca="false">AB225-AA225</f>
        <v>0</v>
      </c>
      <c r="AP225" s="318" t="n">
        <f aca="false">AC225-AB225</f>
        <v>0</v>
      </c>
      <c r="AR225" s="307" t="str">
        <f aca="false">IFERROR(VLOOKUP(M225,'PL_DEC.2026'!$D$11:$D$99,1,FALSE()),"(미존재)")</f>
        <v>임상증례조사비</v>
      </c>
    </row>
    <row r="226" customFormat="false" ht="15" hidden="false" customHeight="false" outlineLevel="0" collapsed="false">
      <c r="A226" s="310" t="s">
        <v>841</v>
      </c>
      <c r="B226" s="307" t="n">
        <v>63450101</v>
      </c>
      <c r="C226" s="307" t="s">
        <v>2028</v>
      </c>
      <c r="D226" s="307" t="s">
        <v>1926</v>
      </c>
      <c r="E226" s="307" t="s">
        <v>1971</v>
      </c>
      <c r="F226" s="307" t="s">
        <v>1978</v>
      </c>
      <c r="G226" s="307" t="s">
        <v>1973</v>
      </c>
      <c r="H226" s="307" t="s">
        <v>1536</v>
      </c>
      <c r="I226" s="307" t="s">
        <v>1988</v>
      </c>
      <c r="J226" s="307" t="s">
        <v>1499</v>
      </c>
      <c r="K226" s="307" t="s">
        <v>1989</v>
      </c>
      <c r="L226" s="317" t="s">
        <v>1976</v>
      </c>
      <c r="M226" s="317" t="s">
        <v>307</v>
      </c>
      <c r="N226" s="317" t="s">
        <v>1976</v>
      </c>
      <c r="O226" s="317" t="s">
        <v>1979</v>
      </c>
      <c r="P226" s="317" t="s">
        <v>307</v>
      </c>
      <c r="Q226" s="318" t="n">
        <v>718716355</v>
      </c>
      <c r="R226" s="318" t="n">
        <v>-2001108397</v>
      </c>
      <c r="S226" s="318" t="n">
        <v>-1989994653</v>
      </c>
      <c r="T226" s="318" t="n">
        <v>-617050601</v>
      </c>
      <c r="U226" s="318" t="n">
        <v>-638776436</v>
      </c>
      <c r="V226" s="318" t="n">
        <v>-114625721</v>
      </c>
      <c r="W226" s="318" t="n">
        <v>-255382257</v>
      </c>
      <c r="X226" s="318" t="n">
        <v>-279193720</v>
      </c>
      <c r="Y226" s="318" t="n">
        <v>6428045654</v>
      </c>
      <c r="Z226" s="318" t="n">
        <v>6888477316</v>
      </c>
      <c r="AA226" s="318"/>
      <c r="AB226" s="318"/>
      <c r="AC226" s="318"/>
      <c r="AD226" s="318"/>
      <c r="AE226" s="318" t="n">
        <f aca="false">R226</f>
        <v>-2001108397</v>
      </c>
      <c r="AF226" s="318" t="n">
        <f aca="false">S226-R226</f>
        <v>11113744</v>
      </c>
      <c r="AG226" s="318" t="n">
        <f aca="false">T226-S226</f>
        <v>1372944052</v>
      </c>
      <c r="AH226" s="318" t="n">
        <f aca="false">U226-T226</f>
        <v>-21725835</v>
      </c>
      <c r="AI226" s="318" t="n">
        <f aca="false">V226-U226</f>
        <v>524150715</v>
      </c>
      <c r="AJ226" s="318" t="n">
        <f aca="false">W226-V226</f>
        <v>-140756536</v>
      </c>
      <c r="AK226" s="318" t="n">
        <f aca="false">X226-W226</f>
        <v>-23811463</v>
      </c>
      <c r="AL226" s="318" t="n">
        <f aca="false">Y226-X226</f>
        <v>6707239374</v>
      </c>
      <c r="AM226" s="318" t="n">
        <f aca="false">Z226-Y226</f>
        <v>460431662</v>
      </c>
      <c r="AN226" s="318" t="s">
        <v>1726</v>
      </c>
      <c r="AO226" s="318" t="n">
        <f aca="false">AB226-AA226</f>
        <v>0</v>
      </c>
      <c r="AP226" s="318" t="n">
        <f aca="false">AC226-AB226</f>
        <v>0</v>
      </c>
      <c r="AR226" s="307" t="str">
        <f aca="false">IFERROR(VLOOKUP(M226,'PL_DEC.2026'!$D$11:$D$99,1,FALSE()),"(미존재)")</f>
        <v>임상증례조사비</v>
      </c>
    </row>
    <row r="227" customFormat="false" ht="15" hidden="false" customHeight="false" outlineLevel="0" collapsed="false">
      <c r="A227" s="310" t="s">
        <v>841</v>
      </c>
      <c r="B227" s="307" t="n">
        <v>63430101</v>
      </c>
      <c r="C227" s="307" t="s">
        <v>2029</v>
      </c>
      <c r="D227" s="307" t="s">
        <v>1926</v>
      </c>
      <c r="E227" s="307" t="s">
        <v>1971</v>
      </c>
      <c r="F227" s="307" t="s">
        <v>1978</v>
      </c>
      <c r="G227" s="307" t="s">
        <v>1973</v>
      </c>
      <c r="H227" s="307" t="s">
        <v>1536</v>
      </c>
      <c r="I227" s="307" t="s">
        <v>1988</v>
      </c>
      <c r="J227" s="307" t="s">
        <v>1499</v>
      </c>
      <c r="K227" s="307" t="s">
        <v>1989</v>
      </c>
      <c r="L227" s="317" t="s">
        <v>1976</v>
      </c>
      <c r="M227" s="317" t="s">
        <v>307</v>
      </c>
      <c r="N227" s="317" t="s">
        <v>1976</v>
      </c>
      <c r="O227" s="317" t="s">
        <v>1979</v>
      </c>
      <c r="P227" s="317" t="s">
        <v>307</v>
      </c>
      <c r="Q227" s="318" t="n">
        <v>0</v>
      </c>
      <c r="R227" s="318" t="n">
        <v>0</v>
      </c>
      <c r="S227" s="318" t="n">
        <v>0</v>
      </c>
      <c r="T227" s="318" t="n">
        <v>0</v>
      </c>
      <c r="U227" s="318" t="n">
        <v>0</v>
      </c>
      <c r="V227" s="318" t="n">
        <v>0</v>
      </c>
      <c r="W227" s="318" t="n">
        <v>12577629</v>
      </c>
      <c r="X227" s="318" t="n">
        <v>90012326</v>
      </c>
      <c r="Y227" s="318" t="n">
        <v>89327925</v>
      </c>
      <c r="Z227" s="318" t="n">
        <v>105186941</v>
      </c>
      <c r="AA227" s="318"/>
      <c r="AB227" s="318"/>
      <c r="AC227" s="318"/>
      <c r="AD227" s="318"/>
      <c r="AE227" s="318" t="n">
        <f aca="false">R227</f>
        <v>0</v>
      </c>
      <c r="AF227" s="318" t="n">
        <f aca="false">S227-R227</f>
        <v>0</v>
      </c>
      <c r="AG227" s="318" t="n">
        <f aca="false">T227-S227</f>
        <v>0</v>
      </c>
      <c r="AH227" s="318" t="n">
        <f aca="false">U227-T227</f>
        <v>0</v>
      </c>
      <c r="AI227" s="318" t="n">
        <f aca="false">V227-U227</f>
        <v>0</v>
      </c>
      <c r="AJ227" s="318" t="n">
        <f aca="false">W227-V227</f>
        <v>12577629</v>
      </c>
      <c r="AK227" s="318" t="n">
        <f aca="false">X227-W227</f>
        <v>77434697</v>
      </c>
      <c r="AL227" s="318" t="n">
        <f aca="false">Y227-X227</f>
        <v>-684401</v>
      </c>
      <c r="AM227" s="318" t="n">
        <f aca="false">Z227-Y227</f>
        <v>15859016</v>
      </c>
      <c r="AN227" s="318" t="s">
        <v>1726</v>
      </c>
      <c r="AO227" s="318" t="n">
        <f aca="false">AB227-AA227</f>
        <v>0</v>
      </c>
      <c r="AP227" s="318" t="n">
        <f aca="false">AC227-AB227</f>
        <v>0</v>
      </c>
      <c r="AR227" s="307" t="str">
        <f aca="false">IFERROR(VLOOKUP(M227,'PL_DEC.2026'!$D$11:$D$99,1,FALSE()),"(미존재)")</f>
        <v>임상증례조사비</v>
      </c>
    </row>
    <row r="228" customFormat="false" ht="15" hidden="false" customHeight="false" outlineLevel="0" collapsed="false">
      <c r="A228" s="310" t="s">
        <v>841</v>
      </c>
      <c r="B228" s="307" t="n">
        <v>64000010</v>
      </c>
      <c r="C228" s="307" t="s">
        <v>2030</v>
      </c>
      <c r="D228" s="307" t="s">
        <v>1926</v>
      </c>
      <c r="E228" s="307" t="s">
        <v>1971</v>
      </c>
      <c r="F228" s="307" t="s">
        <v>2004</v>
      </c>
      <c r="G228" s="307" t="s">
        <v>1973</v>
      </c>
      <c r="H228" s="307" t="s">
        <v>1536</v>
      </c>
      <c r="I228" s="307" t="s">
        <v>1988</v>
      </c>
      <c r="J228" s="307" t="s">
        <v>1499</v>
      </c>
      <c r="K228" s="307" t="s">
        <v>1989</v>
      </c>
      <c r="L228" s="317" t="s">
        <v>1976</v>
      </c>
      <c r="M228" s="317" t="s">
        <v>290</v>
      </c>
      <c r="N228" s="317" t="s">
        <v>1976</v>
      </c>
      <c r="O228" s="317" t="s">
        <v>290</v>
      </c>
      <c r="P228" s="317" t="s">
        <v>290</v>
      </c>
      <c r="Q228" s="318" t="n">
        <v>1144180686</v>
      </c>
      <c r="R228" s="318" t="n">
        <v>6874261</v>
      </c>
      <c r="S228" s="318" t="n">
        <v>112025852</v>
      </c>
      <c r="T228" s="318" t="n">
        <v>226315045</v>
      </c>
      <c r="U228" s="318" t="n">
        <v>310434168</v>
      </c>
      <c r="V228" s="318" t="n">
        <v>422864266</v>
      </c>
      <c r="W228" s="318" t="n">
        <v>484616931</v>
      </c>
      <c r="X228" s="318" t="n">
        <v>582027995</v>
      </c>
      <c r="Y228" s="318" t="n">
        <v>661372385</v>
      </c>
      <c r="Z228" s="318" t="n">
        <v>724695011</v>
      </c>
      <c r="AA228" s="318"/>
      <c r="AB228" s="318"/>
      <c r="AC228" s="318"/>
      <c r="AD228" s="318"/>
      <c r="AE228" s="318" t="n">
        <f aca="false">R228</f>
        <v>6874261</v>
      </c>
      <c r="AF228" s="318" t="n">
        <f aca="false">S228-R228</f>
        <v>105151591</v>
      </c>
      <c r="AG228" s="318" t="n">
        <f aca="false">T228-S228</f>
        <v>114289193</v>
      </c>
      <c r="AH228" s="318" t="n">
        <f aca="false">U228-T228</f>
        <v>84119123</v>
      </c>
      <c r="AI228" s="318" t="n">
        <f aca="false">V228-U228</f>
        <v>112430098</v>
      </c>
      <c r="AJ228" s="318" t="n">
        <f aca="false">W228-V228</f>
        <v>61752665</v>
      </c>
      <c r="AK228" s="318" t="n">
        <f aca="false">X228-W228</f>
        <v>97411064</v>
      </c>
      <c r="AL228" s="318" t="n">
        <f aca="false">Y228-X228</f>
        <v>79344390</v>
      </c>
      <c r="AM228" s="318" t="n">
        <f aca="false">Z228-Y228</f>
        <v>63322626</v>
      </c>
      <c r="AN228" s="318" t="s">
        <v>1726</v>
      </c>
      <c r="AO228" s="318" t="n">
        <f aca="false">AB228-AA228</f>
        <v>0</v>
      </c>
      <c r="AP228" s="318" t="n">
        <f aca="false">AC228-AB228</f>
        <v>0</v>
      </c>
      <c r="AR228" s="307" t="str">
        <f aca="false">IFERROR(VLOOKUP(M228,'PL_DEC.2026'!$D$11:$D$99,1,FALSE()),"(미존재)")</f>
        <v>여비교통비</v>
      </c>
    </row>
    <row r="229" customFormat="false" ht="15" hidden="false" customHeight="false" outlineLevel="0" collapsed="false">
      <c r="A229" s="310" t="s">
        <v>841</v>
      </c>
      <c r="B229" s="307" t="n">
        <v>64000012</v>
      </c>
      <c r="C229" s="307" t="s">
        <v>2031</v>
      </c>
      <c r="D229" s="307" t="s">
        <v>1926</v>
      </c>
      <c r="E229" s="307" t="s">
        <v>1971</v>
      </c>
      <c r="F229" s="307" t="s">
        <v>2004</v>
      </c>
      <c r="G229" s="307" t="s">
        <v>1973</v>
      </c>
      <c r="H229" s="307" t="s">
        <v>1536</v>
      </c>
      <c r="I229" s="307" t="s">
        <v>1988</v>
      </c>
      <c r="J229" s="307" t="s">
        <v>1499</v>
      </c>
      <c r="K229" s="307" t="s">
        <v>1989</v>
      </c>
      <c r="L229" s="317" t="s">
        <v>1976</v>
      </c>
      <c r="M229" s="317" t="s">
        <v>290</v>
      </c>
      <c r="N229" s="317" t="s">
        <v>1976</v>
      </c>
      <c r="O229" s="317" t="s">
        <v>290</v>
      </c>
      <c r="P229" s="317" t="s">
        <v>290</v>
      </c>
      <c r="Q229" s="318" t="n">
        <v>627902575</v>
      </c>
      <c r="R229" s="318" t="n">
        <v>-94136681</v>
      </c>
      <c r="S229" s="318" t="n">
        <v>-56916115</v>
      </c>
      <c r="T229" s="318" t="n">
        <v>-28802616</v>
      </c>
      <c r="U229" s="318" t="n">
        <v>16233216</v>
      </c>
      <c r="V229" s="318" t="n">
        <v>57832603</v>
      </c>
      <c r="W229" s="318" t="n">
        <v>96134700</v>
      </c>
      <c r="X229" s="318" t="n">
        <v>140477541</v>
      </c>
      <c r="Y229" s="318" t="n">
        <v>175171372</v>
      </c>
      <c r="Z229" s="318" t="n">
        <v>200512833</v>
      </c>
      <c r="AA229" s="318"/>
      <c r="AB229" s="318"/>
      <c r="AC229" s="318"/>
      <c r="AD229" s="318"/>
      <c r="AE229" s="318" t="n">
        <f aca="false">R229</f>
        <v>-94136681</v>
      </c>
      <c r="AF229" s="318" t="n">
        <f aca="false">S229-R229</f>
        <v>37220566</v>
      </c>
      <c r="AG229" s="318" t="n">
        <f aca="false">T229-S229</f>
        <v>28113499</v>
      </c>
      <c r="AH229" s="318" t="n">
        <f aca="false">U229-T229</f>
        <v>45035832</v>
      </c>
      <c r="AI229" s="318" t="n">
        <f aca="false">V229-U229</f>
        <v>41599387</v>
      </c>
      <c r="AJ229" s="318" t="n">
        <f aca="false">W229-V229</f>
        <v>38302097</v>
      </c>
      <c r="AK229" s="318" t="n">
        <f aca="false">X229-W229</f>
        <v>44342841</v>
      </c>
      <c r="AL229" s="318" t="n">
        <f aca="false">Y229-X229</f>
        <v>34693831</v>
      </c>
      <c r="AM229" s="318" t="n">
        <f aca="false">Z229-Y229</f>
        <v>25341461</v>
      </c>
      <c r="AN229" s="318" t="s">
        <v>1726</v>
      </c>
      <c r="AO229" s="318" t="n">
        <f aca="false">AB229-AA229</f>
        <v>0</v>
      </c>
      <c r="AP229" s="318" t="n">
        <f aca="false">AC229-AB229</f>
        <v>0</v>
      </c>
      <c r="AR229" s="307" t="str">
        <f aca="false">IFERROR(VLOOKUP(M229,'PL_DEC.2026'!$D$11:$D$99,1,FALSE()),"(미존재)")</f>
        <v>여비교통비</v>
      </c>
    </row>
    <row r="230" customFormat="false" ht="15" hidden="false" customHeight="false" outlineLevel="0" collapsed="false">
      <c r="A230" s="310" t="s">
        <v>841</v>
      </c>
      <c r="B230" s="307" t="n">
        <v>64000020</v>
      </c>
      <c r="C230" s="307" t="s">
        <v>2032</v>
      </c>
      <c r="D230" s="307" t="s">
        <v>1926</v>
      </c>
      <c r="E230" s="307" t="s">
        <v>1971</v>
      </c>
      <c r="F230" s="307" t="s">
        <v>2004</v>
      </c>
      <c r="G230" s="307" t="s">
        <v>1973</v>
      </c>
      <c r="H230" s="307" t="s">
        <v>1536</v>
      </c>
      <c r="I230" s="307" t="s">
        <v>1988</v>
      </c>
      <c r="J230" s="307" t="s">
        <v>1499</v>
      </c>
      <c r="K230" s="307" t="s">
        <v>1989</v>
      </c>
      <c r="L230" s="317" t="s">
        <v>1976</v>
      </c>
      <c r="M230" s="317" t="s">
        <v>290</v>
      </c>
      <c r="N230" s="317" t="s">
        <v>1976</v>
      </c>
      <c r="O230" s="317" t="s">
        <v>290</v>
      </c>
      <c r="P230" s="317" t="s">
        <v>290</v>
      </c>
      <c r="Q230" s="318" t="n">
        <v>977430514</v>
      </c>
      <c r="R230" s="318" t="n">
        <v>135923992</v>
      </c>
      <c r="S230" s="318" t="n">
        <v>307489213</v>
      </c>
      <c r="T230" s="318" t="n">
        <v>401721896</v>
      </c>
      <c r="U230" s="318" t="n">
        <v>509597447</v>
      </c>
      <c r="V230" s="318" t="n">
        <v>466230553</v>
      </c>
      <c r="W230" s="318" t="n">
        <v>574828873</v>
      </c>
      <c r="X230" s="318" t="n">
        <v>629601403</v>
      </c>
      <c r="Y230" s="318" t="n">
        <v>713133601</v>
      </c>
      <c r="Z230" s="318" t="n">
        <v>771586050</v>
      </c>
      <c r="AA230" s="318"/>
      <c r="AB230" s="318"/>
      <c r="AC230" s="318"/>
      <c r="AD230" s="318"/>
      <c r="AE230" s="318" t="n">
        <f aca="false">R230</f>
        <v>135923992</v>
      </c>
      <c r="AF230" s="318" t="n">
        <f aca="false">S230-R230</f>
        <v>171565221</v>
      </c>
      <c r="AG230" s="318" t="n">
        <f aca="false">T230-S230</f>
        <v>94232683</v>
      </c>
      <c r="AH230" s="318" t="n">
        <f aca="false">U230-T230</f>
        <v>107875551</v>
      </c>
      <c r="AI230" s="318" t="n">
        <f aca="false">V230-U230</f>
        <v>-43366894</v>
      </c>
      <c r="AJ230" s="318" t="n">
        <f aca="false">W230-V230</f>
        <v>108598320</v>
      </c>
      <c r="AK230" s="318" t="n">
        <f aca="false">X230-W230</f>
        <v>54772530</v>
      </c>
      <c r="AL230" s="318" t="n">
        <f aca="false">Y230-X230</f>
        <v>83532198</v>
      </c>
      <c r="AM230" s="318" t="n">
        <f aca="false">Z230-Y230</f>
        <v>58452449</v>
      </c>
      <c r="AN230" s="318" t="s">
        <v>1726</v>
      </c>
      <c r="AO230" s="318" t="n">
        <f aca="false">AB230-AA230</f>
        <v>0</v>
      </c>
      <c r="AP230" s="318" t="n">
        <f aca="false">AC230-AB230</f>
        <v>0</v>
      </c>
      <c r="AR230" s="307" t="str">
        <f aca="false">IFERROR(VLOOKUP(M230,'PL_DEC.2026'!$D$11:$D$99,1,FALSE()),"(미존재)")</f>
        <v>여비교통비</v>
      </c>
    </row>
    <row r="231" customFormat="false" ht="15" hidden="false" customHeight="false" outlineLevel="0" collapsed="false">
      <c r="A231" s="310" t="s">
        <v>841</v>
      </c>
      <c r="B231" s="307" t="n">
        <v>64000021</v>
      </c>
      <c r="C231" s="307" t="s">
        <v>2033</v>
      </c>
      <c r="D231" s="307" t="s">
        <v>1926</v>
      </c>
      <c r="E231" s="307" t="s">
        <v>1971</v>
      </c>
      <c r="F231" s="307" t="s">
        <v>2004</v>
      </c>
      <c r="G231" s="307" t="s">
        <v>1973</v>
      </c>
      <c r="H231" s="307" t="s">
        <v>1536</v>
      </c>
      <c r="I231" s="307" t="s">
        <v>1988</v>
      </c>
      <c r="J231" s="307" t="s">
        <v>1499</v>
      </c>
      <c r="K231" s="307" t="s">
        <v>1989</v>
      </c>
      <c r="L231" s="317" t="s">
        <v>1976</v>
      </c>
      <c r="M231" s="317" t="s">
        <v>290</v>
      </c>
      <c r="N231" s="317" t="s">
        <v>1976</v>
      </c>
      <c r="O231" s="317" t="s">
        <v>290</v>
      </c>
      <c r="P231" s="317" t="s">
        <v>290</v>
      </c>
      <c r="Q231" s="318" t="n">
        <v>297992352</v>
      </c>
      <c r="R231" s="318" t="n">
        <v>26386530</v>
      </c>
      <c r="S231" s="318" t="n">
        <v>40811460</v>
      </c>
      <c r="T231" s="318" t="n">
        <v>52529695</v>
      </c>
      <c r="U231" s="318" t="n">
        <v>89124392</v>
      </c>
      <c r="V231" s="318" t="n">
        <v>91262414</v>
      </c>
      <c r="W231" s="318" t="n">
        <v>149407007</v>
      </c>
      <c r="X231" s="318" t="n">
        <v>186540830</v>
      </c>
      <c r="Y231" s="318" t="n">
        <v>230695463</v>
      </c>
      <c r="Z231" s="318" t="n">
        <v>245291825</v>
      </c>
      <c r="AA231" s="318"/>
      <c r="AB231" s="318"/>
      <c r="AC231" s="318"/>
      <c r="AD231" s="318"/>
      <c r="AE231" s="318" t="n">
        <f aca="false">R231</f>
        <v>26386530</v>
      </c>
      <c r="AF231" s="318" t="n">
        <f aca="false">S231-R231</f>
        <v>14424930</v>
      </c>
      <c r="AG231" s="318" t="n">
        <f aca="false">T231-S231</f>
        <v>11718235</v>
      </c>
      <c r="AH231" s="318" t="n">
        <f aca="false">U231-T231</f>
        <v>36594697</v>
      </c>
      <c r="AI231" s="318" t="n">
        <f aca="false">V231-U231</f>
        <v>2138022</v>
      </c>
      <c r="AJ231" s="318" t="n">
        <f aca="false">W231-V231</f>
        <v>58144593</v>
      </c>
      <c r="AK231" s="318" t="n">
        <f aca="false">X231-W231</f>
        <v>37133823</v>
      </c>
      <c r="AL231" s="318" t="n">
        <f aca="false">Y231-X231</f>
        <v>44154633</v>
      </c>
      <c r="AM231" s="318" t="n">
        <f aca="false">Z231-Y231</f>
        <v>14596362</v>
      </c>
      <c r="AN231" s="318" t="s">
        <v>1726</v>
      </c>
      <c r="AO231" s="318" t="n">
        <f aca="false">AB231-AA231</f>
        <v>0</v>
      </c>
      <c r="AP231" s="318" t="n">
        <f aca="false">AC231-AB231</f>
        <v>0</v>
      </c>
      <c r="AR231" s="307" t="str">
        <f aca="false">IFERROR(VLOOKUP(M231,'PL_DEC.2026'!$D$11:$D$99,1,FALSE()),"(미존재)")</f>
        <v>여비교통비</v>
      </c>
    </row>
    <row r="232" customFormat="false" ht="15" hidden="false" customHeight="false" outlineLevel="0" collapsed="false">
      <c r="A232" s="310" t="s">
        <v>841</v>
      </c>
      <c r="B232" s="307" t="n">
        <v>64000030</v>
      </c>
      <c r="C232" s="307" t="s">
        <v>2034</v>
      </c>
      <c r="D232" s="307" t="s">
        <v>1926</v>
      </c>
      <c r="E232" s="307" t="s">
        <v>1971</v>
      </c>
      <c r="F232" s="307" t="s">
        <v>2004</v>
      </c>
      <c r="G232" s="307" t="s">
        <v>1973</v>
      </c>
      <c r="H232" s="307" t="s">
        <v>1536</v>
      </c>
      <c r="I232" s="307" t="s">
        <v>1988</v>
      </c>
      <c r="J232" s="307" t="s">
        <v>1499</v>
      </c>
      <c r="K232" s="307" t="s">
        <v>1989</v>
      </c>
      <c r="L232" s="317" t="s">
        <v>1976</v>
      </c>
      <c r="M232" s="317" t="s">
        <v>290</v>
      </c>
      <c r="N232" s="317" t="s">
        <v>1976</v>
      </c>
      <c r="O232" s="317" t="s">
        <v>290</v>
      </c>
      <c r="P232" s="317" t="s">
        <v>290</v>
      </c>
      <c r="Q232" s="318" t="n">
        <v>387825910</v>
      </c>
      <c r="R232" s="318" t="n">
        <v>17007750</v>
      </c>
      <c r="S232" s="318" t="n">
        <v>129348004</v>
      </c>
      <c r="T232" s="318" t="n">
        <v>-34433986</v>
      </c>
      <c r="U232" s="318" t="n">
        <v>75907327</v>
      </c>
      <c r="V232" s="318" t="n">
        <v>232677924</v>
      </c>
      <c r="W232" s="318" t="n">
        <v>303424286</v>
      </c>
      <c r="X232" s="318" t="n">
        <v>209527512</v>
      </c>
      <c r="Y232" s="318" t="n">
        <v>212961339</v>
      </c>
      <c r="Z232" s="318" t="n">
        <v>219749734</v>
      </c>
      <c r="AA232" s="318"/>
      <c r="AB232" s="318"/>
      <c r="AC232" s="318"/>
      <c r="AD232" s="318"/>
      <c r="AE232" s="318" t="n">
        <f aca="false">R232</f>
        <v>17007750</v>
      </c>
      <c r="AF232" s="318" t="n">
        <f aca="false">S232-R232</f>
        <v>112340254</v>
      </c>
      <c r="AG232" s="318" t="n">
        <f aca="false">T232-S232</f>
        <v>-163781990</v>
      </c>
      <c r="AH232" s="318" t="n">
        <f aca="false">U232-T232</f>
        <v>110341313</v>
      </c>
      <c r="AI232" s="318" t="n">
        <f aca="false">V232-U232</f>
        <v>156770597</v>
      </c>
      <c r="AJ232" s="318" t="n">
        <f aca="false">W232-V232</f>
        <v>70746362</v>
      </c>
      <c r="AK232" s="318" t="n">
        <f aca="false">X232-W232</f>
        <v>-93896774</v>
      </c>
      <c r="AL232" s="318" t="n">
        <f aca="false">Y232-X232</f>
        <v>3433827</v>
      </c>
      <c r="AM232" s="318" t="n">
        <f aca="false">Z232-Y232</f>
        <v>6788395</v>
      </c>
      <c r="AN232" s="318" t="s">
        <v>1726</v>
      </c>
      <c r="AO232" s="318" t="n">
        <f aca="false">AB232-AA232</f>
        <v>0</v>
      </c>
      <c r="AP232" s="318" t="n">
        <f aca="false">AC232-AB232</f>
        <v>0</v>
      </c>
      <c r="AR232" s="307" t="str">
        <f aca="false">IFERROR(VLOOKUP(M232,'PL_DEC.2026'!$D$11:$D$99,1,FALSE()),"(미존재)")</f>
        <v>여비교통비</v>
      </c>
    </row>
    <row r="233" customFormat="false" ht="15" hidden="false" customHeight="false" outlineLevel="0" collapsed="false">
      <c r="A233" s="310" t="s">
        <v>841</v>
      </c>
      <c r="B233" s="307" t="n">
        <v>64000040</v>
      </c>
      <c r="C233" s="307" t="s">
        <v>2035</v>
      </c>
      <c r="D233" s="307" t="s">
        <v>1926</v>
      </c>
      <c r="E233" s="307" t="s">
        <v>1971</v>
      </c>
      <c r="F233" s="307" t="s">
        <v>2036</v>
      </c>
      <c r="G233" s="307" t="s">
        <v>1973</v>
      </c>
      <c r="H233" s="307" t="s">
        <v>1536</v>
      </c>
      <c r="I233" s="307" t="s">
        <v>1988</v>
      </c>
      <c r="J233" s="307" t="s">
        <v>1499</v>
      </c>
      <c r="K233" s="307" t="s">
        <v>1989</v>
      </c>
      <c r="L233" s="317" t="s">
        <v>1976</v>
      </c>
      <c r="M233" s="317" t="s">
        <v>301</v>
      </c>
      <c r="N233" s="317" t="s">
        <v>1976</v>
      </c>
      <c r="O233" s="317" t="s">
        <v>301</v>
      </c>
      <c r="P233" s="317" t="s">
        <v>301</v>
      </c>
      <c r="Q233" s="318" t="n">
        <v>808759233</v>
      </c>
      <c r="R233" s="318" t="n">
        <v>31158830</v>
      </c>
      <c r="S233" s="318" t="n">
        <v>73743577</v>
      </c>
      <c r="T233" s="318" t="n">
        <v>119778074</v>
      </c>
      <c r="U233" s="318" t="n">
        <v>170027225</v>
      </c>
      <c r="V233" s="318" t="n">
        <v>224433171</v>
      </c>
      <c r="W233" s="318" t="n">
        <v>283206636</v>
      </c>
      <c r="X233" s="318" t="n">
        <v>329220378</v>
      </c>
      <c r="Y233" s="318" t="n">
        <v>377301699</v>
      </c>
      <c r="Z233" s="318" t="n">
        <v>417021348</v>
      </c>
      <c r="AA233" s="318"/>
      <c r="AB233" s="318"/>
      <c r="AC233" s="318"/>
      <c r="AD233" s="318"/>
      <c r="AE233" s="318" t="n">
        <f aca="false">R233</f>
        <v>31158830</v>
      </c>
      <c r="AF233" s="318" t="n">
        <f aca="false">S233-R233</f>
        <v>42584747</v>
      </c>
      <c r="AG233" s="318" t="n">
        <f aca="false">T233-S233</f>
        <v>46034497</v>
      </c>
      <c r="AH233" s="318" t="n">
        <f aca="false">U233-T233</f>
        <v>50249151</v>
      </c>
      <c r="AI233" s="318" t="n">
        <f aca="false">V233-U233</f>
        <v>54405946</v>
      </c>
      <c r="AJ233" s="318" t="n">
        <f aca="false">W233-V233</f>
        <v>58773465</v>
      </c>
      <c r="AK233" s="318" t="n">
        <f aca="false">X233-W233</f>
        <v>46013742</v>
      </c>
      <c r="AL233" s="318" t="n">
        <f aca="false">Y233-X233</f>
        <v>48081321</v>
      </c>
      <c r="AM233" s="318" t="n">
        <f aca="false">Z233-Y233</f>
        <v>39719649</v>
      </c>
      <c r="AN233" s="318" t="s">
        <v>1726</v>
      </c>
      <c r="AO233" s="318" t="n">
        <f aca="false">AB233-AA233</f>
        <v>0</v>
      </c>
      <c r="AP233" s="318" t="n">
        <f aca="false">AC233-AB233</f>
        <v>0</v>
      </c>
      <c r="AR233" s="307" t="str">
        <f aca="false">IFERROR(VLOOKUP(M233,'PL_DEC.2026'!$D$11:$D$99,1,FALSE()),"(미존재)")</f>
        <v>접대비</v>
      </c>
    </row>
    <row r="234" customFormat="false" ht="15" hidden="false" customHeight="false" outlineLevel="0" collapsed="false">
      <c r="A234" s="310" t="s">
        <v>841</v>
      </c>
      <c r="B234" s="307" t="n">
        <v>64000710</v>
      </c>
      <c r="C234" s="307" t="s">
        <v>2037</v>
      </c>
      <c r="D234" s="307" t="s">
        <v>1926</v>
      </c>
      <c r="E234" s="307" t="s">
        <v>1971</v>
      </c>
      <c r="F234" s="307" t="s">
        <v>2004</v>
      </c>
      <c r="G234" s="307" t="s">
        <v>1973</v>
      </c>
      <c r="H234" s="307" t="s">
        <v>1536</v>
      </c>
      <c r="I234" s="307" t="s">
        <v>1988</v>
      </c>
      <c r="J234" s="307" t="s">
        <v>1499</v>
      </c>
      <c r="K234" s="307" t="s">
        <v>1989</v>
      </c>
      <c r="L234" s="317" t="s">
        <v>1976</v>
      </c>
      <c r="M234" s="317" t="s">
        <v>290</v>
      </c>
      <c r="N234" s="317" t="s">
        <v>1976</v>
      </c>
      <c r="O234" s="317" t="s">
        <v>290</v>
      </c>
      <c r="P234" s="317" t="s">
        <v>290</v>
      </c>
      <c r="Q234" s="318" t="n">
        <v>60050855</v>
      </c>
      <c r="R234" s="318" t="n">
        <v>1870235</v>
      </c>
      <c r="S234" s="318" t="n">
        <v>4921958</v>
      </c>
      <c r="T234" s="318" t="n">
        <v>7522337</v>
      </c>
      <c r="U234" s="318" t="n">
        <v>16299721</v>
      </c>
      <c r="V234" s="318" t="n">
        <v>21722484</v>
      </c>
      <c r="W234" s="318" t="n">
        <v>27213626</v>
      </c>
      <c r="X234" s="318" t="n">
        <v>35004566</v>
      </c>
      <c r="Y234" s="318" t="n">
        <v>46583608</v>
      </c>
      <c r="Z234" s="318" t="n">
        <v>49659829</v>
      </c>
      <c r="AA234" s="318"/>
      <c r="AB234" s="318"/>
      <c r="AC234" s="318"/>
      <c r="AD234" s="318"/>
      <c r="AE234" s="318" t="n">
        <f aca="false">R234</f>
        <v>1870235</v>
      </c>
      <c r="AF234" s="318" t="n">
        <f aca="false">S234-R234</f>
        <v>3051723</v>
      </c>
      <c r="AG234" s="318" t="n">
        <f aca="false">T234-S234</f>
        <v>2600379</v>
      </c>
      <c r="AH234" s="318" t="n">
        <f aca="false">U234-T234</f>
        <v>8777384</v>
      </c>
      <c r="AI234" s="318" t="n">
        <f aca="false">V234-U234</f>
        <v>5422763</v>
      </c>
      <c r="AJ234" s="318" t="n">
        <f aca="false">W234-V234</f>
        <v>5491142</v>
      </c>
      <c r="AK234" s="318" t="n">
        <f aca="false">X234-W234</f>
        <v>7790940</v>
      </c>
      <c r="AL234" s="318" t="n">
        <f aca="false">Y234-X234</f>
        <v>11579042</v>
      </c>
      <c r="AM234" s="318" t="n">
        <f aca="false">Z234-Y234</f>
        <v>3076221</v>
      </c>
      <c r="AN234" s="318" t="s">
        <v>1726</v>
      </c>
      <c r="AO234" s="318" t="n">
        <f aca="false">AB234-AA234</f>
        <v>0</v>
      </c>
      <c r="AP234" s="318" t="n">
        <f aca="false">AC234-AB234</f>
        <v>0</v>
      </c>
      <c r="AR234" s="307" t="str">
        <f aca="false">IFERROR(VLOOKUP(M234,'PL_DEC.2026'!$D$11:$D$99,1,FALSE()),"(미존재)")</f>
        <v>여비교통비</v>
      </c>
    </row>
    <row r="235" customFormat="false" ht="15" hidden="false" customHeight="false" outlineLevel="0" collapsed="false">
      <c r="A235" s="310" t="s">
        <v>841</v>
      </c>
      <c r="B235" s="307" t="n">
        <v>64000915</v>
      </c>
      <c r="C235" s="307" t="s">
        <v>2038</v>
      </c>
      <c r="D235" s="307" t="s">
        <v>1926</v>
      </c>
      <c r="E235" s="307" t="s">
        <v>1971</v>
      </c>
      <c r="F235" s="307" t="s">
        <v>2004</v>
      </c>
      <c r="G235" s="307" t="s">
        <v>1973</v>
      </c>
      <c r="H235" s="307" t="s">
        <v>1536</v>
      </c>
      <c r="I235" s="307" t="s">
        <v>1988</v>
      </c>
      <c r="J235" s="307" t="s">
        <v>1499</v>
      </c>
      <c r="K235" s="307" t="s">
        <v>1989</v>
      </c>
      <c r="L235" s="317" t="s">
        <v>1976</v>
      </c>
      <c r="M235" s="317" t="s">
        <v>290</v>
      </c>
      <c r="N235" s="317" t="s">
        <v>1976</v>
      </c>
      <c r="O235" s="317" t="s">
        <v>290</v>
      </c>
      <c r="P235" s="317" t="s">
        <v>290</v>
      </c>
      <c r="Q235" s="318" t="n">
        <v>1110815</v>
      </c>
      <c r="R235" s="318" t="n">
        <v>46200</v>
      </c>
      <c r="S235" s="318" t="n">
        <v>93680</v>
      </c>
      <c r="T235" s="318" t="n">
        <v>111953</v>
      </c>
      <c r="U235" s="318" t="n">
        <v>151397</v>
      </c>
      <c r="V235" s="318" t="n">
        <v>287368</v>
      </c>
      <c r="W235" s="318" t="n">
        <v>313868</v>
      </c>
      <c r="X235" s="318" t="n">
        <v>313868</v>
      </c>
      <c r="Y235" s="318" t="n">
        <v>500026</v>
      </c>
      <c r="Z235" s="318" t="n">
        <v>500026</v>
      </c>
      <c r="AA235" s="318"/>
      <c r="AB235" s="318"/>
      <c r="AC235" s="318"/>
      <c r="AD235" s="318"/>
      <c r="AE235" s="318" t="n">
        <f aca="false">R235</f>
        <v>46200</v>
      </c>
      <c r="AF235" s="318" t="n">
        <f aca="false">S235-R235</f>
        <v>47480</v>
      </c>
      <c r="AG235" s="318" t="n">
        <f aca="false">T235-S235</f>
        <v>18273</v>
      </c>
      <c r="AH235" s="318" t="n">
        <f aca="false">U235-T235</f>
        <v>39444</v>
      </c>
      <c r="AI235" s="318" t="n">
        <f aca="false">V235-U235</f>
        <v>135971</v>
      </c>
      <c r="AJ235" s="318" t="n">
        <f aca="false">W235-V235</f>
        <v>26500</v>
      </c>
      <c r="AK235" s="318" t="n">
        <f aca="false">X235-W235</f>
        <v>0</v>
      </c>
      <c r="AL235" s="318" t="n">
        <f aca="false">Y235-X235</f>
        <v>186158</v>
      </c>
      <c r="AM235" s="318" t="n">
        <f aca="false">Z235-Y235</f>
        <v>0</v>
      </c>
      <c r="AN235" s="318" t="s">
        <v>1726</v>
      </c>
      <c r="AO235" s="318" t="n">
        <f aca="false">AB235-AA235</f>
        <v>0</v>
      </c>
      <c r="AP235" s="318" t="n">
        <f aca="false">AC235-AB235</f>
        <v>0</v>
      </c>
      <c r="AR235" s="307" t="str">
        <f aca="false">IFERROR(VLOOKUP(M235,'PL_DEC.2026'!$D$11:$D$99,1,FALSE()),"(미존재)")</f>
        <v>여비교통비</v>
      </c>
    </row>
    <row r="236" customFormat="false" ht="15" hidden="false" customHeight="false" outlineLevel="0" collapsed="false">
      <c r="A236" s="310" t="s">
        <v>841</v>
      </c>
      <c r="B236" s="307" t="n">
        <v>64110000</v>
      </c>
      <c r="C236" s="307" t="s">
        <v>2039</v>
      </c>
      <c r="D236" s="307" t="s">
        <v>1926</v>
      </c>
      <c r="E236" s="307" t="s">
        <v>1971</v>
      </c>
      <c r="F236" s="307" t="s">
        <v>1972</v>
      </c>
      <c r="G236" s="307" t="s">
        <v>1973</v>
      </c>
      <c r="H236" s="307" t="s">
        <v>1536</v>
      </c>
      <c r="I236" s="307" t="s">
        <v>1988</v>
      </c>
      <c r="J236" s="307" t="s">
        <v>1499</v>
      </c>
      <c r="K236" s="307" t="s">
        <v>1989</v>
      </c>
      <c r="L236" s="317" t="s">
        <v>1976</v>
      </c>
      <c r="M236" s="317" t="s">
        <v>299</v>
      </c>
      <c r="N236" s="317" t="s">
        <v>1976</v>
      </c>
      <c r="O236" s="317" t="s">
        <v>299</v>
      </c>
      <c r="P236" s="317" t="s">
        <v>299</v>
      </c>
      <c r="Q236" s="318" t="n">
        <v>797608255</v>
      </c>
      <c r="R236" s="318" t="n">
        <v>59406199</v>
      </c>
      <c r="S236" s="318" t="n">
        <v>132667649</v>
      </c>
      <c r="T236" s="318" t="n">
        <v>202372477</v>
      </c>
      <c r="U236" s="318" t="n">
        <v>285506243</v>
      </c>
      <c r="V236" s="318" t="n">
        <v>338251742</v>
      </c>
      <c r="W236" s="318" t="n">
        <v>356649657</v>
      </c>
      <c r="X236" s="318" t="n">
        <v>422996361</v>
      </c>
      <c r="Y236" s="318" t="n">
        <v>467252996</v>
      </c>
      <c r="Z236" s="318" t="n">
        <v>510410764</v>
      </c>
      <c r="AA236" s="318"/>
      <c r="AB236" s="318"/>
      <c r="AC236" s="318"/>
      <c r="AD236" s="318"/>
      <c r="AE236" s="318" t="n">
        <f aca="false">R236</f>
        <v>59406199</v>
      </c>
      <c r="AF236" s="318" t="n">
        <f aca="false">S236-R236</f>
        <v>73261450</v>
      </c>
      <c r="AG236" s="318" t="n">
        <f aca="false">T236-S236</f>
        <v>69704828</v>
      </c>
      <c r="AH236" s="318" t="n">
        <f aca="false">U236-T236</f>
        <v>83133766</v>
      </c>
      <c r="AI236" s="318" t="n">
        <f aca="false">V236-U236</f>
        <v>52745499</v>
      </c>
      <c r="AJ236" s="318" t="n">
        <f aca="false">W236-V236</f>
        <v>18397915</v>
      </c>
      <c r="AK236" s="318" t="n">
        <f aca="false">X236-W236</f>
        <v>66346704</v>
      </c>
      <c r="AL236" s="318" t="n">
        <f aca="false">Y236-X236</f>
        <v>44256635</v>
      </c>
      <c r="AM236" s="318" t="n">
        <f aca="false">Z236-Y236</f>
        <v>43157768</v>
      </c>
      <c r="AN236" s="318" t="s">
        <v>1726</v>
      </c>
      <c r="AO236" s="318" t="n">
        <f aca="false">AB236-AA236</f>
        <v>0</v>
      </c>
      <c r="AP236" s="318" t="n">
        <f aca="false">AC236-AB236</f>
        <v>0</v>
      </c>
      <c r="AR236" s="307" t="str">
        <f aca="false">IFERROR(VLOOKUP(M236,'PL_DEC.2026'!$D$11:$D$99,1,FALSE()),"(미존재)")</f>
        <v>지급수수료</v>
      </c>
    </row>
    <row r="237" customFormat="false" ht="15" hidden="false" customHeight="false" outlineLevel="0" collapsed="false">
      <c r="A237" s="310" t="s">
        <v>841</v>
      </c>
      <c r="B237" s="307" t="n">
        <v>64200000</v>
      </c>
      <c r="C237" s="307" t="s">
        <v>2040</v>
      </c>
      <c r="D237" s="307" t="s">
        <v>1926</v>
      </c>
      <c r="E237" s="307" t="s">
        <v>1971</v>
      </c>
      <c r="F237" s="307" t="s">
        <v>1972</v>
      </c>
      <c r="G237" s="307" t="s">
        <v>1973</v>
      </c>
      <c r="H237" s="307" t="s">
        <v>1536</v>
      </c>
      <c r="I237" s="307" t="s">
        <v>1988</v>
      </c>
      <c r="J237" s="307" t="s">
        <v>1499</v>
      </c>
      <c r="K237" s="307" t="s">
        <v>1989</v>
      </c>
      <c r="L237" s="317" t="s">
        <v>1976</v>
      </c>
      <c r="M237" s="317" t="s">
        <v>299</v>
      </c>
      <c r="N237" s="317" t="s">
        <v>1976</v>
      </c>
      <c r="O237" s="317" t="s">
        <v>299</v>
      </c>
      <c r="P237" s="317" t="s">
        <v>299</v>
      </c>
      <c r="Q237" s="318" t="n">
        <v>110116910</v>
      </c>
      <c r="R237" s="318" t="n">
        <v>10145833</v>
      </c>
      <c r="S237" s="318" t="n">
        <v>20291667</v>
      </c>
      <c r="T237" s="318" t="n">
        <v>38777500</v>
      </c>
      <c r="U237" s="318" t="n">
        <v>31919037</v>
      </c>
      <c r="V237" s="318" t="n">
        <v>41844871</v>
      </c>
      <c r="W237" s="318" t="n">
        <v>51770704</v>
      </c>
      <c r="X237" s="318" t="n">
        <v>61696537</v>
      </c>
      <c r="Y237" s="318" t="n">
        <v>71622371</v>
      </c>
      <c r="Z237" s="318" t="n">
        <v>81548204</v>
      </c>
      <c r="AA237" s="318"/>
      <c r="AB237" s="318"/>
      <c r="AC237" s="318"/>
      <c r="AD237" s="318"/>
      <c r="AE237" s="318" t="n">
        <f aca="false">R237</f>
        <v>10145833</v>
      </c>
      <c r="AF237" s="318" t="n">
        <f aca="false">S237-R237</f>
        <v>10145834</v>
      </c>
      <c r="AG237" s="318" t="n">
        <f aca="false">T237-S237</f>
        <v>18485833</v>
      </c>
      <c r="AH237" s="318" t="n">
        <f aca="false">U237-T237</f>
        <v>-6858463</v>
      </c>
      <c r="AI237" s="318" t="n">
        <f aca="false">V237-U237</f>
        <v>9925834</v>
      </c>
      <c r="AJ237" s="318" t="n">
        <f aca="false">W237-V237</f>
        <v>9925833</v>
      </c>
      <c r="AK237" s="318" t="n">
        <f aca="false">X237-W237</f>
        <v>9925833</v>
      </c>
      <c r="AL237" s="318" t="n">
        <f aca="false">Y237-X237</f>
        <v>9925834</v>
      </c>
      <c r="AM237" s="318" t="n">
        <f aca="false">Z237-Y237</f>
        <v>9925833</v>
      </c>
      <c r="AN237" s="318" t="s">
        <v>1726</v>
      </c>
      <c r="AO237" s="318" t="n">
        <f aca="false">AB237-AA237</f>
        <v>0</v>
      </c>
      <c r="AP237" s="318" t="n">
        <f aca="false">AC237-AB237</f>
        <v>0</v>
      </c>
      <c r="AR237" s="307" t="str">
        <f aca="false">IFERROR(VLOOKUP(M237,'PL_DEC.2026'!$D$11:$D$99,1,FALSE()),"(미존재)")</f>
        <v>지급수수료</v>
      </c>
    </row>
    <row r="238" customFormat="false" ht="15" hidden="false" customHeight="false" outlineLevel="0" collapsed="false">
      <c r="A238" s="310" t="s">
        <v>841</v>
      </c>
      <c r="B238" s="307" t="n">
        <v>64200700</v>
      </c>
      <c r="C238" s="307" t="s">
        <v>2041</v>
      </c>
      <c r="D238" s="307" t="s">
        <v>1926</v>
      </c>
      <c r="E238" s="307" t="s">
        <v>1971</v>
      </c>
      <c r="F238" s="307" t="s">
        <v>1972</v>
      </c>
      <c r="G238" s="307" t="s">
        <v>1973</v>
      </c>
      <c r="H238" s="307" t="s">
        <v>1536</v>
      </c>
      <c r="I238" s="307" t="s">
        <v>1988</v>
      </c>
      <c r="J238" s="307" t="s">
        <v>1499</v>
      </c>
      <c r="K238" s="307" t="s">
        <v>1989</v>
      </c>
      <c r="L238" s="317" t="s">
        <v>1976</v>
      </c>
      <c r="M238" s="317" t="s">
        <v>299</v>
      </c>
      <c r="N238" s="317" t="s">
        <v>1976</v>
      </c>
      <c r="O238" s="317" t="s">
        <v>299</v>
      </c>
      <c r="P238" s="317" t="s">
        <v>299</v>
      </c>
      <c r="Q238" s="318" t="n">
        <v>212456564</v>
      </c>
      <c r="R238" s="318" t="n">
        <v>12902458</v>
      </c>
      <c r="S238" s="318" t="n">
        <v>17969124</v>
      </c>
      <c r="T238" s="318" t="n">
        <v>20735791</v>
      </c>
      <c r="U238" s="318" t="n">
        <v>28502458</v>
      </c>
      <c r="V238" s="318" t="n">
        <v>31269124</v>
      </c>
      <c r="W238" s="318" t="n">
        <v>34035791</v>
      </c>
      <c r="X238" s="318" t="n">
        <v>36802458</v>
      </c>
      <c r="Y238" s="318" t="n">
        <v>43776242</v>
      </c>
      <c r="Z238" s="318" t="n">
        <v>54542909</v>
      </c>
      <c r="AA238" s="318"/>
      <c r="AB238" s="318"/>
      <c r="AC238" s="318"/>
      <c r="AD238" s="318"/>
      <c r="AE238" s="318" t="n">
        <f aca="false">R238</f>
        <v>12902458</v>
      </c>
      <c r="AF238" s="318" t="n">
        <f aca="false">S238-R238</f>
        <v>5066666</v>
      </c>
      <c r="AG238" s="318" t="n">
        <f aca="false">T238-S238</f>
        <v>2766667</v>
      </c>
      <c r="AH238" s="318" t="n">
        <f aca="false">U238-T238</f>
        <v>7766667</v>
      </c>
      <c r="AI238" s="318" t="n">
        <f aca="false">V238-U238</f>
        <v>2766666</v>
      </c>
      <c r="AJ238" s="318" t="n">
        <f aca="false">W238-V238</f>
        <v>2766667</v>
      </c>
      <c r="AK238" s="318" t="n">
        <f aca="false">X238-W238</f>
        <v>2766667</v>
      </c>
      <c r="AL238" s="318" t="n">
        <f aca="false">Y238-X238</f>
        <v>6973784</v>
      </c>
      <c r="AM238" s="318" t="n">
        <f aca="false">Z238-Y238</f>
        <v>10766667</v>
      </c>
      <c r="AN238" s="318" t="s">
        <v>1726</v>
      </c>
      <c r="AO238" s="318" t="n">
        <f aca="false">AB238-AA238</f>
        <v>0</v>
      </c>
      <c r="AP238" s="318" t="n">
        <f aca="false">AC238-AB238</f>
        <v>0</v>
      </c>
      <c r="AR238" s="307" t="str">
        <f aca="false">IFERROR(VLOOKUP(M238,'PL_DEC.2026'!$D$11:$D$99,1,FALSE()),"(미존재)")</f>
        <v>지급수수료</v>
      </c>
    </row>
    <row r="239" customFormat="false" ht="15" hidden="false" customHeight="false" outlineLevel="0" collapsed="false">
      <c r="A239" s="310" t="s">
        <v>841</v>
      </c>
      <c r="B239" s="307" t="n">
        <v>64200800</v>
      </c>
      <c r="C239" s="307" t="s">
        <v>2042</v>
      </c>
      <c r="D239" s="307" t="s">
        <v>1926</v>
      </c>
      <c r="E239" s="307" t="s">
        <v>1971</v>
      </c>
      <c r="F239" s="307" t="s">
        <v>1972</v>
      </c>
      <c r="G239" s="307" t="s">
        <v>1973</v>
      </c>
      <c r="H239" s="307" t="s">
        <v>1536</v>
      </c>
      <c r="I239" s="307" t="s">
        <v>1988</v>
      </c>
      <c r="J239" s="307" t="s">
        <v>1499</v>
      </c>
      <c r="K239" s="307" t="s">
        <v>1989</v>
      </c>
      <c r="L239" s="317" t="s">
        <v>1976</v>
      </c>
      <c r="M239" s="317" t="s">
        <v>299</v>
      </c>
      <c r="N239" s="317" t="s">
        <v>1976</v>
      </c>
      <c r="O239" s="317" t="s">
        <v>299</v>
      </c>
      <c r="P239" s="317" t="s">
        <v>299</v>
      </c>
      <c r="Q239" s="318" t="n">
        <v>10692000</v>
      </c>
      <c r="R239" s="318" t="n">
        <v>1012000</v>
      </c>
      <c r="S239" s="318" t="n">
        <v>2024000</v>
      </c>
      <c r="T239" s="318" t="n">
        <v>2904000</v>
      </c>
      <c r="U239" s="318" t="n">
        <v>4048000</v>
      </c>
      <c r="V239" s="318" t="n">
        <v>4928000</v>
      </c>
      <c r="W239" s="318" t="n">
        <v>5808000</v>
      </c>
      <c r="X239" s="318" t="n">
        <v>6688000</v>
      </c>
      <c r="Y239" s="318" t="n">
        <v>7568000</v>
      </c>
      <c r="Z239" s="318" t="n">
        <v>8580000</v>
      </c>
      <c r="AA239" s="318"/>
      <c r="AB239" s="318"/>
      <c r="AC239" s="318"/>
      <c r="AD239" s="318"/>
      <c r="AE239" s="318" t="n">
        <f aca="false">R239</f>
        <v>1012000</v>
      </c>
      <c r="AF239" s="318" t="n">
        <f aca="false">S239-R239</f>
        <v>1012000</v>
      </c>
      <c r="AG239" s="318" t="n">
        <f aca="false">T239-S239</f>
        <v>880000</v>
      </c>
      <c r="AH239" s="318" t="n">
        <f aca="false">U239-T239</f>
        <v>1144000</v>
      </c>
      <c r="AI239" s="318" t="n">
        <f aca="false">V239-U239</f>
        <v>880000</v>
      </c>
      <c r="AJ239" s="318" t="n">
        <f aca="false">W239-V239</f>
        <v>880000</v>
      </c>
      <c r="AK239" s="318" t="n">
        <f aca="false">X239-W239</f>
        <v>880000</v>
      </c>
      <c r="AL239" s="318" t="n">
        <f aca="false">Y239-X239</f>
        <v>880000</v>
      </c>
      <c r="AM239" s="318" t="n">
        <f aca="false">Z239-Y239</f>
        <v>1012000</v>
      </c>
      <c r="AN239" s="318" t="s">
        <v>1726</v>
      </c>
      <c r="AO239" s="318" t="n">
        <f aca="false">AB239-AA239</f>
        <v>0</v>
      </c>
      <c r="AP239" s="318" t="n">
        <f aca="false">AC239-AB239</f>
        <v>0</v>
      </c>
      <c r="AR239" s="307" t="str">
        <f aca="false">IFERROR(VLOOKUP(M239,'PL_DEC.2026'!$D$11:$D$99,1,FALSE()),"(미존재)")</f>
        <v>지급수수료</v>
      </c>
    </row>
    <row r="240" customFormat="false" ht="15" hidden="false" customHeight="false" outlineLevel="0" collapsed="false">
      <c r="A240" s="310" t="s">
        <v>841</v>
      </c>
      <c r="B240" s="307" t="n">
        <v>64200801</v>
      </c>
      <c r="C240" s="307" t="s">
        <v>2043</v>
      </c>
      <c r="D240" s="307" t="s">
        <v>1926</v>
      </c>
      <c r="E240" s="307" t="s">
        <v>1971</v>
      </c>
      <c r="F240" s="307" t="s">
        <v>1972</v>
      </c>
      <c r="G240" s="307" t="s">
        <v>1973</v>
      </c>
      <c r="H240" s="307" t="s">
        <v>1536</v>
      </c>
      <c r="I240" s="307" t="s">
        <v>1988</v>
      </c>
      <c r="J240" s="307" t="s">
        <v>1499</v>
      </c>
      <c r="K240" s="307" t="s">
        <v>1989</v>
      </c>
      <c r="L240" s="317" t="s">
        <v>1976</v>
      </c>
      <c r="M240" s="317" t="s">
        <v>299</v>
      </c>
      <c r="N240" s="317" t="s">
        <v>1976</v>
      </c>
      <c r="O240" s="317" t="s">
        <v>299</v>
      </c>
      <c r="P240" s="317" t="s">
        <v>299</v>
      </c>
      <c r="Q240" s="318" t="n">
        <v>127512955</v>
      </c>
      <c r="R240" s="318" t="n">
        <v>1220000</v>
      </c>
      <c r="S240" s="318" t="n">
        <v>11409171</v>
      </c>
      <c r="T240" s="318" t="n">
        <v>12579880</v>
      </c>
      <c r="U240" s="318" t="n">
        <v>16919986</v>
      </c>
      <c r="V240" s="318" t="n">
        <v>31148896</v>
      </c>
      <c r="W240" s="318" t="n">
        <v>62152385</v>
      </c>
      <c r="X240" s="318" t="n">
        <v>66913064</v>
      </c>
      <c r="Y240" s="318" t="n">
        <v>71133064</v>
      </c>
      <c r="Z240" s="318" t="n">
        <v>75353064</v>
      </c>
      <c r="AA240" s="318"/>
      <c r="AB240" s="318"/>
      <c r="AC240" s="318"/>
      <c r="AD240" s="318"/>
      <c r="AE240" s="318" t="n">
        <f aca="false">R240</f>
        <v>1220000</v>
      </c>
      <c r="AF240" s="318" t="n">
        <f aca="false">S240-R240</f>
        <v>10189171</v>
      </c>
      <c r="AG240" s="318" t="n">
        <f aca="false">T240-S240</f>
        <v>1170709</v>
      </c>
      <c r="AH240" s="318" t="n">
        <f aca="false">U240-T240</f>
        <v>4340106</v>
      </c>
      <c r="AI240" s="318" t="n">
        <f aca="false">V240-U240</f>
        <v>14228910</v>
      </c>
      <c r="AJ240" s="318" t="n">
        <f aca="false">W240-V240</f>
        <v>31003489</v>
      </c>
      <c r="AK240" s="318" t="n">
        <f aca="false">X240-W240</f>
        <v>4760679</v>
      </c>
      <c r="AL240" s="318" t="n">
        <f aca="false">Y240-X240</f>
        <v>4220000</v>
      </c>
      <c r="AM240" s="318" t="n">
        <f aca="false">Z240-Y240</f>
        <v>4220000</v>
      </c>
      <c r="AN240" s="318" t="s">
        <v>1726</v>
      </c>
      <c r="AO240" s="318" t="n">
        <f aca="false">AB240-AA240</f>
        <v>0</v>
      </c>
      <c r="AP240" s="318" t="n">
        <f aca="false">AC240-AB240</f>
        <v>0</v>
      </c>
      <c r="AR240" s="307" t="str">
        <f aca="false">IFERROR(VLOOKUP(M240,'PL_DEC.2026'!$D$11:$D$99,1,FALSE()),"(미존재)")</f>
        <v>지급수수료</v>
      </c>
    </row>
    <row r="241" customFormat="false" ht="15" hidden="false" customHeight="false" outlineLevel="0" collapsed="false">
      <c r="A241" s="310" t="s">
        <v>841</v>
      </c>
      <c r="B241" s="307" t="n">
        <v>64200802</v>
      </c>
      <c r="C241" s="307" t="s">
        <v>2044</v>
      </c>
      <c r="D241" s="307" t="s">
        <v>1926</v>
      </c>
      <c r="E241" s="307" t="s">
        <v>1971</v>
      </c>
      <c r="F241" s="307" t="s">
        <v>1972</v>
      </c>
      <c r="G241" s="307" t="s">
        <v>1973</v>
      </c>
      <c r="H241" s="307" t="s">
        <v>1536</v>
      </c>
      <c r="I241" s="307" t="s">
        <v>1988</v>
      </c>
      <c r="J241" s="307" t="s">
        <v>1499</v>
      </c>
      <c r="K241" s="307" t="s">
        <v>1989</v>
      </c>
      <c r="L241" s="317" t="s">
        <v>1976</v>
      </c>
      <c r="M241" s="317" t="s">
        <v>299</v>
      </c>
      <c r="N241" s="317" t="s">
        <v>1976</v>
      </c>
      <c r="O241" s="317" t="s">
        <v>299</v>
      </c>
      <c r="P241" s="317" t="s">
        <v>299</v>
      </c>
      <c r="Q241" s="318" t="n">
        <v>0</v>
      </c>
      <c r="R241" s="318" t="n">
        <v>0</v>
      </c>
      <c r="S241" s="318" t="n">
        <v>0</v>
      </c>
      <c r="T241" s="318" t="n">
        <v>0</v>
      </c>
      <c r="U241" s="318" t="n">
        <v>9433609</v>
      </c>
      <c r="V241" s="318" t="n">
        <v>9433609</v>
      </c>
      <c r="W241" s="318" t="n">
        <v>9433609</v>
      </c>
      <c r="X241" s="318" t="n">
        <v>9433609</v>
      </c>
      <c r="Y241" s="318" t="n">
        <v>9433609</v>
      </c>
      <c r="Z241" s="318" t="n">
        <v>9433609</v>
      </c>
      <c r="AA241" s="318"/>
      <c r="AB241" s="318"/>
      <c r="AC241" s="318"/>
      <c r="AD241" s="318"/>
      <c r="AE241" s="318" t="n">
        <f aca="false">R241</f>
        <v>0</v>
      </c>
      <c r="AF241" s="318" t="n">
        <f aca="false">S241-R241</f>
        <v>0</v>
      </c>
      <c r="AG241" s="318" t="n">
        <f aca="false">T241-S241</f>
        <v>0</v>
      </c>
      <c r="AH241" s="318" t="n">
        <f aca="false">U241-T241</f>
        <v>9433609</v>
      </c>
      <c r="AI241" s="318" t="n">
        <f aca="false">V241-U241</f>
        <v>0</v>
      </c>
      <c r="AJ241" s="318" t="n">
        <f aca="false">W241-V241</f>
        <v>0</v>
      </c>
      <c r="AK241" s="318" t="n">
        <f aca="false">X241-W241</f>
        <v>0</v>
      </c>
      <c r="AL241" s="318" t="n">
        <f aca="false">Y241-X241</f>
        <v>0</v>
      </c>
      <c r="AM241" s="318" t="n">
        <f aca="false">Z241-Y241</f>
        <v>0</v>
      </c>
      <c r="AN241" s="318" t="s">
        <v>1726</v>
      </c>
      <c r="AO241" s="318" t="n">
        <f aca="false">AB241-AA241</f>
        <v>0</v>
      </c>
      <c r="AP241" s="318" t="n">
        <f aca="false">AC241-AB241</f>
        <v>0</v>
      </c>
      <c r="AR241" s="307" t="str">
        <f aca="false">IFERROR(VLOOKUP(M241,'PL_DEC.2026'!$D$11:$D$99,1,FALSE()),"(미존재)")</f>
        <v>지급수수료</v>
      </c>
    </row>
    <row r="242" customFormat="false" ht="15" hidden="false" customHeight="false" outlineLevel="0" collapsed="false">
      <c r="A242" s="310" t="s">
        <v>841</v>
      </c>
      <c r="B242" s="307" t="n">
        <v>64212171</v>
      </c>
      <c r="C242" s="307" t="s">
        <v>2045</v>
      </c>
      <c r="D242" s="307" t="s">
        <v>1926</v>
      </c>
      <c r="E242" s="307" t="s">
        <v>1971</v>
      </c>
      <c r="F242" s="307" t="s">
        <v>1972</v>
      </c>
      <c r="G242" s="307" t="s">
        <v>1973</v>
      </c>
      <c r="H242" s="307" t="s">
        <v>1536</v>
      </c>
      <c r="I242" s="307" t="s">
        <v>1988</v>
      </c>
      <c r="J242" s="307" t="s">
        <v>1499</v>
      </c>
      <c r="K242" s="307" t="s">
        <v>1989</v>
      </c>
      <c r="L242" s="317" t="s">
        <v>1976</v>
      </c>
      <c r="M242" s="317" t="s">
        <v>299</v>
      </c>
      <c r="N242" s="317" t="s">
        <v>1976</v>
      </c>
      <c r="O242" s="317" t="s">
        <v>299</v>
      </c>
      <c r="P242" s="317" t="s">
        <v>299</v>
      </c>
      <c r="Q242" s="318" t="n">
        <v>193401123</v>
      </c>
      <c r="R242" s="318" t="n">
        <v>-185676865</v>
      </c>
      <c r="S242" s="318" t="n">
        <v>-125690609</v>
      </c>
      <c r="T242" s="318" t="n">
        <v>132999287</v>
      </c>
      <c r="U242" s="318" t="n">
        <v>199281524</v>
      </c>
      <c r="V242" s="318" t="n">
        <v>239102908</v>
      </c>
      <c r="W242" s="318" t="n">
        <v>82808197</v>
      </c>
      <c r="X242" s="318" t="n">
        <v>193009854</v>
      </c>
      <c r="Y242" s="318" t="n">
        <v>441136138</v>
      </c>
      <c r="Z242" s="318" t="n">
        <v>461336963</v>
      </c>
      <c r="AA242" s="318"/>
      <c r="AB242" s="318"/>
      <c r="AC242" s="318"/>
      <c r="AD242" s="318"/>
      <c r="AE242" s="318" t="n">
        <f aca="false">R242</f>
        <v>-185676865</v>
      </c>
      <c r="AF242" s="318" t="n">
        <f aca="false">S242-R242</f>
        <v>59986256</v>
      </c>
      <c r="AG242" s="318" t="n">
        <f aca="false">T242-S242</f>
        <v>258689896</v>
      </c>
      <c r="AH242" s="318" t="n">
        <f aca="false">U242-T242</f>
        <v>66282237</v>
      </c>
      <c r="AI242" s="318" t="n">
        <f aca="false">V242-U242</f>
        <v>39821384</v>
      </c>
      <c r="AJ242" s="318" t="n">
        <f aca="false">W242-V242</f>
        <v>-156294711</v>
      </c>
      <c r="AK242" s="318" t="n">
        <f aca="false">X242-W242</f>
        <v>110201657</v>
      </c>
      <c r="AL242" s="318" t="n">
        <f aca="false">Y242-X242</f>
        <v>248126284</v>
      </c>
      <c r="AM242" s="318" t="n">
        <f aca="false">Z242-Y242</f>
        <v>20200825</v>
      </c>
      <c r="AN242" s="318" t="s">
        <v>1726</v>
      </c>
      <c r="AO242" s="318" t="n">
        <f aca="false">AB242-AA242</f>
        <v>0</v>
      </c>
      <c r="AP242" s="318" t="n">
        <f aca="false">AC242-AB242</f>
        <v>0</v>
      </c>
      <c r="AR242" s="307" t="str">
        <f aca="false">IFERROR(VLOOKUP(M242,'PL_DEC.2026'!$D$11:$D$99,1,FALSE()),"(미존재)")</f>
        <v>지급수수료</v>
      </c>
    </row>
    <row r="243" customFormat="false" ht="15" hidden="false" customHeight="false" outlineLevel="0" collapsed="false">
      <c r="A243" s="310" t="s">
        <v>841</v>
      </c>
      <c r="B243" s="307" t="n">
        <v>64212450</v>
      </c>
      <c r="C243" s="307" t="s">
        <v>2046</v>
      </c>
      <c r="D243" s="307" t="s">
        <v>1926</v>
      </c>
      <c r="E243" s="307" t="s">
        <v>1971</v>
      </c>
      <c r="F243" s="307" t="s">
        <v>1972</v>
      </c>
      <c r="G243" s="307" t="s">
        <v>1973</v>
      </c>
      <c r="H243" s="307" t="s">
        <v>1536</v>
      </c>
      <c r="I243" s="307" t="s">
        <v>1988</v>
      </c>
      <c r="J243" s="307" t="s">
        <v>1499</v>
      </c>
      <c r="K243" s="307" t="s">
        <v>1989</v>
      </c>
      <c r="L243" s="317" t="s">
        <v>1976</v>
      </c>
      <c r="M243" s="317" t="s">
        <v>299</v>
      </c>
      <c r="N243" s="317" t="s">
        <v>1976</v>
      </c>
      <c r="O243" s="317" t="s">
        <v>299</v>
      </c>
      <c r="P243" s="317" t="s">
        <v>299</v>
      </c>
      <c r="Q243" s="318" t="n">
        <v>53376663</v>
      </c>
      <c r="R243" s="318" t="n">
        <v>11774447</v>
      </c>
      <c r="S243" s="318" t="n">
        <v>16046853</v>
      </c>
      <c r="T243" s="318" t="n">
        <v>74200768</v>
      </c>
      <c r="U243" s="318" t="n">
        <v>33718199</v>
      </c>
      <c r="V243" s="318" t="n">
        <v>42232128</v>
      </c>
      <c r="W243" s="318" t="n">
        <v>50837305</v>
      </c>
      <c r="X243" s="318" t="n">
        <v>59330234</v>
      </c>
      <c r="Y243" s="318" t="n">
        <v>68469580</v>
      </c>
      <c r="Z243" s="318" t="n">
        <v>72741420</v>
      </c>
      <c r="AA243" s="318"/>
      <c r="AB243" s="318"/>
      <c r="AC243" s="318"/>
      <c r="AD243" s="318"/>
      <c r="AE243" s="318" t="n">
        <f aca="false">R243</f>
        <v>11774447</v>
      </c>
      <c r="AF243" s="318" t="n">
        <f aca="false">S243-R243</f>
        <v>4272406</v>
      </c>
      <c r="AG243" s="318" t="n">
        <f aca="false">T243-S243</f>
        <v>58153915</v>
      </c>
      <c r="AH243" s="318" t="n">
        <f aca="false">U243-T243</f>
        <v>-40482569</v>
      </c>
      <c r="AI243" s="318" t="n">
        <f aca="false">V243-U243</f>
        <v>8513929</v>
      </c>
      <c r="AJ243" s="318" t="n">
        <f aca="false">W243-V243</f>
        <v>8605177</v>
      </c>
      <c r="AK243" s="318" t="n">
        <f aca="false">X243-W243</f>
        <v>8492929</v>
      </c>
      <c r="AL243" s="318" t="n">
        <f aca="false">Y243-X243</f>
        <v>9139346</v>
      </c>
      <c r="AM243" s="318" t="n">
        <f aca="false">Z243-Y243</f>
        <v>4271840</v>
      </c>
      <c r="AN243" s="318" t="s">
        <v>1726</v>
      </c>
      <c r="AO243" s="318" t="n">
        <f aca="false">AB243-AA243</f>
        <v>0</v>
      </c>
      <c r="AP243" s="318" t="n">
        <f aca="false">AC243-AB243</f>
        <v>0</v>
      </c>
      <c r="AR243" s="307" t="str">
        <f aca="false">IFERROR(VLOOKUP(M243,'PL_DEC.2026'!$D$11:$D$99,1,FALSE()),"(미존재)")</f>
        <v>지급수수료</v>
      </c>
    </row>
    <row r="244" customFormat="false" ht="15" hidden="false" customHeight="false" outlineLevel="0" collapsed="false">
      <c r="A244" s="310" t="s">
        <v>841</v>
      </c>
      <c r="B244" s="307" t="n">
        <v>64290000</v>
      </c>
      <c r="C244" s="307" t="s">
        <v>2047</v>
      </c>
      <c r="D244" s="307" t="s">
        <v>1926</v>
      </c>
      <c r="E244" s="307" t="s">
        <v>1971</v>
      </c>
      <c r="F244" s="307" t="s">
        <v>1972</v>
      </c>
      <c r="G244" s="307" t="s">
        <v>1973</v>
      </c>
      <c r="H244" s="307" t="s">
        <v>1536</v>
      </c>
      <c r="I244" s="307" t="s">
        <v>1988</v>
      </c>
      <c r="J244" s="307" t="s">
        <v>1499</v>
      </c>
      <c r="K244" s="307" t="s">
        <v>1989</v>
      </c>
      <c r="L244" s="317" t="s">
        <v>1976</v>
      </c>
      <c r="M244" s="317" t="s">
        <v>299</v>
      </c>
      <c r="N244" s="317" t="s">
        <v>1976</v>
      </c>
      <c r="O244" s="317" t="s">
        <v>299</v>
      </c>
      <c r="P244" s="317" t="s">
        <v>299</v>
      </c>
      <c r="Q244" s="318" t="n">
        <v>1181290912</v>
      </c>
      <c r="R244" s="318" t="n">
        <v>-34925370</v>
      </c>
      <c r="S244" s="318" t="n">
        <v>-36714767</v>
      </c>
      <c r="T244" s="318" t="n">
        <v>-67255861</v>
      </c>
      <c r="U244" s="318" t="n">
        <v>7820442</v>
      </c>
      <c r="V244" s="318" t="n">
        <v>13046837</v>
      </c>
      <c r="W244" s="318" t="n">
        <v>237682103</v>
      </c>
      <c r="X244" s="318" t="n">
        <v>758386880</v>
      </c>
      <c r="Y244" s="318" t="n">
        <v>238809488</v>
      </c>
      <c r="Z244" s="318" t="n">
        <v>247604987</v>
      </c>
      <c r="AA244" s="318"/>
      <c r="AB244" s="318"/>
      <c r="AC244" s="318"/>
      <c r="AD244" s="318"/>
      <c r="AE244" s="318" t="n">
        <f aca="false">R244</f>
        <v>-34925370</v>
      </c>
      <c r="AF244" s="318" t="n">
        <f aca="false">S244-R244</f>
        <v>-1789397</v>
      </c>
      <c r="AG244" s="318" t="n">
        <f aca="false">T244-S244</f>
        <v>-30541094</v>
      </c>
      <c r="AH244" s="318" t="n">
        <f aca="false">U244-T244</f>
        <v>75076303</v>
      </c>
      <c r="AI244" s="318" t="n">
        <f aca="false">V244-U244</f>
        <v>5226395</v>
      </c>
      <c r="AJ244" s="318" t="n">
        <f aca="false">W244-V244</f>
        <v>224635266</v>
      </c>
      <c r="AK244" s="318" t="n">
        <f aca="false">X244-W244</f>
        <v>520704777</v>
      </c>
      <c r="AL244" s="318" t="n">
        <f aca="false">Y244-X244</f>
        <v>-519577392</v>
      </c>
      <c r="AM244" s="318" t="n">
        <f aca="false">Z244-Y244</f>
        <v>8795499</v>
      </c>
      <c r="AN244" s="318" t="s">
        <v>1726</v>
      </c>
      <c r="AO244" s="318" t="n">
        <f aca="false">AB244-AA244</f>
        <v>0</v>
      </c>
      <c r="AP244" s="318" t="n">
        <f aca="false">AC244-AB244</f>
        <v>0</v>
      </c>
      <c r="AR244" s="307" t="str">
        <f aca="false">IFERROR(VLOOKUP(M244,'PL_DEC.2026'!$D$11:$D$99,1,FALSE()),"(미존재)")</f>
        <v>지급수수료</v>
      </c>
    </row>
    <row r="245" customFormat="false" ht="15" hidden="false" customHeight="false" outlineLevel="0" collapsed="false">
      <c r="A245" s="310" t="s">
        <v>841</v>
      </c>
      <c r="B245" s="307" t="n">
        <v>64290090</v>
      </c>
      <c r="C245" s="307" t="s">
        <v>2048</v>
      </c>
      <c r="D245" s="307" t="s">
        <v>1926</v>
      </c>
      <c r="E245" s="307" t="s">
        <v>1971</v>
      </c>
      <c r="F245" s="307" t="s">
        <v>1972</v>
      </c>
      <c r="G245" s="307" t="s">
        <v>1973</v>
      </c>
      <c r="H245" s="307" t="s">
        <v>1536</v>
      </c>
      <c r="I245" s="307" t="s">
        <v>1988</v>
      </c>
      <c r="J245" s="307" t="s">
        <v>1499</v>
      </c>
      <c r="K245" s="307" t="s">
        <v>1989</v>
      </c>
      <c r="L245" s="317" t="s">
        <v>1976</v>
      </c>
      <c r="M245" s="317" t="s">
        <v>299</v>
      </c>
      <c r="N245" s="317" t="s">
        <v>1976</v>
      </c>
      <c r="O245" s="317" t="s">
        <v>299</v>
      </c>
      <c r="P245" s="317" t="s">
        <v>299</v>
      </c>
      <c r="Q245" s="318" t="n">
        <v>115116809</v>
      </c>
      <c r="R245" s="318" t="n">
        <v>57832281</v>
      </c>
      <c r="S245" s="318" t="n">
        <v>60480562</v>
      </c>
      <c r="T245" s="318" t="n">
        <v>7944843</v>
      </c>
      <c r="U245" s="318" t="n">
        <v>10593124</v>
      </c>
      <c r="V245" s="318" t="n">
        <v>13241405</v>
      </c>
      <c r="W245" s="318" t="n">
        <v>15889686</v>
      </c>
      <c r="X245" s="318" t="n">
        <v>19000186</v>
      </c>
      <c r="Y245" s="318" t="n">
        <v>22110686</v>
      </c>
      <c r="Z245" s="318" t="n">
        <v>25221186</v>
      </c>
      <c r="AA245" s="318"/>
      <c r="AB245" s="318"/>
      <c r="AC245" s="318"/>
      <c r="AD245" s="318"/>
      <c r="AE245" s="318" t="n">
        <f aca="false">R245</f>
        <v>57832281</v>
      </c>
      <c r="AF245" s="318" t="n">
        <f aca="false">S245-R245</f>
        <v>2648281</v>
      </c>
      <c r="AG245" s="318" t="n">
        <f aca="false">T245-S245</f>
        <v>-52535719</v>
      </c>
      <c r="AH245" s="318" t="n">
        <f aca="false">U245-T245</f>
        <v>2648281</v>
      </c>
      <c r="AI245" s="318" t="n">
        <f aca="false">V245-U245</f>
        <v>2648281</v>
      </c>
      <c r="AJ245" s="318" t="n">
        <f aca="false">W245-V245</f>
        <v>2648281</v>
      </c>
      <c r="AK245" s="318" t="n">
        <f aca="false">X245-W245</f>
        <v>3110500</v>
      </c>
      <c r="AL245" s="318" t="n">
        <f aca="false">Y245-X245</f>
        <v>3110500</v>
      </c>
      <c r="AM245" s="318" t="n">
        <f aca="false">Z245-Y245</f>
        <v>3110500</v>
      </c>
      <c r="AN245" s="318" t="s">
        <v>1726</v>
      </c>
      <c r="AO245" s="318" t="n">
        <f aca="false">AB245-AA245</f>
        <v>0</v>
      </c>
      <c r="AP245" s="318" t="n">
        <f aca="false">AC245-AB245</f>
        <v>0</v>
      </c>
      <c r="AR245" s="307" t="str">
        <f aca="false">IFERROR(VLOOKUP(M245,'PL_DEC.2026'!$D$11:$D$99,1,FALSE()),"(미존재)")</f>
        <v>지급수수료</v>
      </c>
    </row>
    <row r="246" customFormat="false" ht="15" hidden="false" customHeight="false" outlineLevel="0" collapsed="false">
      <c r="A246" s="310" t="s">
        <v>841</v>
      </c>
      <c r="B246" s="307" t="n">
        <v>64290150</v>
      </c>
      <c r="C246" s="307" t="s">
        <v>2049</v>
      </c>
      <c r="D246" s="307" t="s">
        <v>1926</v>
      </c>
      <c r="E246" s="307" t="s">
        <v>1971</v>
      </c>
      <c r="F246" s="307" t="s">
        <v>1972</v>
      </c>
      <c r="G246" s="307" t="s">
        <v>1973</v>
      </c>
      <c r="H246" s="307" t="s">
        <v>1536</v>
      </c>
      <c r="I246" s="307" t="s">
        <v>1988</v>
      </c>
      <c r="J246" s="307" t="s">
        <v>1499</v>
      </c>
      <c r="K246" s="307" t="s">
        <v>1989</v>
      </c>
      <c r="L246" s="317" t="s">
        <v>1976</v>
      </c>
      <c r="M246" s="317" t="s">
        <v>299</v>
      </c>
      <c r="N246" s="317" t="s">
        <v>1976</v>
      </c>
      <c r="O246" s="317" t="s">
        <v>299</v>
      </c>
      <c r="P246" s="317" t="s">
        <v>299</v>
      </c>
      <c r="Q246" s="318" t="n">
        <v>858696709</v>
      </c>
      <c r="R246" s="318" t="n">
        <v>11738998</v>
      </c>
      <c r="S246" s="318" t="n">
        <v>32857315</v>
      </c>
      <c r="T246" s="318" t="n">
        <v>40405801</v>
      </c>
      <c r="U246" s="318" t="n">
        <v>172121188</v>
      </c>
      <c r="V246" s="318" t="n">
        <v>178168409</v>
      </c>
      <c r="W246" s="318" t="n">
        <v>212751374</v>
      </c>
      <c r="X246" s="318" t="n">
        <v>250086513</v>
      </c>
      <c r="Y246" s="318" t="n">
        <v>501571522</v>
      </c>
      <c r="Z246" s="318" t="n">
        <v>543554392</v>
      </c>
      <c r="AA246" s="318"/>
      <c r="AB246" s="318"/>
      <c r="AC246" s="318"/>
      <c r="AD246" s="318"/>
      <c r="AE246" s="318" t="n">
        <f aca="false">R246</f>
        <v>11738998</v>
      </c>
      <c r="AF246" s="318" t="n">
        <f aca="false">S246-R246</f>
        <v>21118317</v>
      </c>
      <c r="AG246" s="318" t="n">
        <f aca="false">T246-S246</f>
        <v>7548486</v>
      </c>
      <c r="AH246" s="318" t="n">
        <f aca="false">U246-T246</f>
        <v>131715387</v>
      </c>
      <c r="AI246" s="318" t="n">
        <f aca="false">V246-U246</f>
        <v>6047221</v>
      </c>
      <c r="AJ246" s="318" t="n">
        <f aca="false">W246-V246</f>
        <v>34582965</v>
      </c>
      <c r="AK246" s="318" t="n">
        <f aca="false">X246-W246</f>
        <v>37335139</v>
      </c>
      <c r="AL246" s="318" t="n">
        <f aca="false">Y246-X246</f>
        <v>251485009</v>
      </c>
      <c r="AM246" s="318" t="n">
        <f aca="false">Z246-Y246</f>
        <v>41982870</v>
      </c>
      <c r="AN246" s="318" t="s">
        <v>1726</v>
      </c>
      <c r="AO246" s="318" t="n">
        <f aca="false">AB246-AA246</f>
        <v>0</v>
      </c>
      <c r="AP246" s="318" t="n">
        <f aca="false">AC246-AB246</f>
        <v>0</v>
      </c>
      <c r="AR246" s="307" t="str">
        <f aca="false">IFERROR(VLOOKUP(M246,'PL_DEC.2026'!$D$11:$D$99,1,FALSE()),"(미존재)")</f>
        <v>지급수수료</v>
      </c>
    </row>
    <row r="247" customFormat="false" ht="15" hidden="false" customHeight="false" outlineLevel="0" collapsed="false">
      <c r="A247" s="310" t="s">
        <v>841</v>
      </c>
      <c r="B247" s="307" t="n">
        <v>64290601</v>
      </c>
      <c r="C247" s="307" t="s">
        <v>2050</v>
      </c>
      <c r="D247" s="307" t="s">
        <v>1926</v>
      </c>
      <c r="E247" s="307" t="s">
        <v>1971</v>
      </c>
      <c r="F247" s="307" t="s">
        <v>1972</v>
      </c>
      <c r="G247" s="307" t="s">
        <v>1973</v>
      </c>
      <c r="H247" s="307" t="s">
        <v>1536</v>
      </c>
      <c r="I247" s="307" t="s">
        <v>1988</v>
      </c>
      <c r="J247" s="307" t="s">
        <v>1499</v>
      </c>
      <c r="K247" s="307" t="s">
        <v>1989</v>
      </c>
      <c r="L247" s="317" t="s">
        <v>1976</v>
      </c>
      <c r="M247" s="317" t="s">
        <v>299</v>
      </c>
      <c r="N247" s="317" t="s">
        <v>1976</v>
      </c>
      <c r="O247" s="317" t="s">
        <v>299</v>
      </c>
      <c r="P247" s="317" t="s">
        <v>299</v>
      </c>
      <c r="Q247" s="318" t="n">
        <v>4740000</v>
      </c>
      <c r="R247" s="318" t="n">
        <v>0</v>
      </c>
      <c r="S247" s="318" t="n">
        <v>0</v>
      </c>
      <c r="T247" s="318" t="n">
        <v>0</v>
      </c>
      <c r="U247" s="318" t="n">
        <v>165000</v>
      </c>
      <c r="V247" s="318" t="n">
        <v>8165000</v>
      </c>
      <c r="W247" s="318" t="n">
        <v>8165000</v>
      </c>
      <c r="X247" s="318" t="n">
        <v>8165000</v>
      </c>
      <c r="Y247" s="318" t="n">
        <v>8165000</v>
      </c>
      <c r="Z247" s="318" t="n">
        <v>8165000</v>
      </c>
      <c r="AA247" s="318"/>
      <c r="AB247" s="318"/>
      <c r="AC247" s="318"/>
      <c r="AD247" s="318"/>
      <c r="AE247" s="318" t="n">
        <f aca="false">R247</f>
        <v>0</v>
      </c>
      <c r="AF247" s="318" t="n">
        <f aca="false">S247-R247</f>
        <v>0</v>
      </c>
      <c r="AG247" s="318" t="n">
        <f aca="false">T247-S247</f>
        <v>0</v>
      </c>
      <c r="AH247" s="318" t="n">
        <f aca="false">U247-T247</f>
        <v>165000</v>
      </c>
      <c r="AI247" s="318" t="n">
        <f aca="false">V247-U247</f>
        <v>8000000</v>
      </c>
      <c r="AJ247" s="318" t="n">
        <f aca="false">W247-V247</f>
        <v>0</v>
      </c>
      <c r="AK247" s="318" t="n">
        <f aca="false">X247-W247</f>
        <v>0</v>
      </c>
      <c r="AL247" s="318" t="n">
        <f aca="false">Y247-X247</f>
        <v>0</v>
      </c>
      <c r="AM247" s="318" t="n">
        <f aca="false">Z247-Y247</f>
        <v>0</v>
      </c>
      <c r="AN247" s="318" t="s">
        <v>1726</v>
      </c>
      <c r="AO247" s="318" t="n">
        <f aca="false">AB247-AA247</f>
        <v>0</v>
      </c>
      <c r="AP247" s="318" t="n">
        <f aca="false">AC247-AB247</f>
        <v>0</v>
      </c>
      <c r="AR247" s="307" t="str">
        <f aca="false">IFERROR(VLOOKUP(M247,'PL_DEC.2026'!$D$11:$D$99,1,FALSE()),"(미존재)")</f>
        <v>지급수수료</v>
      </c>
    </row>
    <row r="248" customFormat="false" ht="15" hidden="false" customHeight="false" outlineLevel="0" collapsed="false">
      <c r="A248" s="310" t="s">
        <v>841</v>
      </c>
      <c r="B248" s="307" t="n">
        <v>64514001</v>
      </c>
      <c r="C248" s="307" t="s">
        <v>2051</v>
      </c>
      <c r="D248" s="307" t="s">
        <v>1926</v>
      </c>
      <c r="E248" s="307" t="s">
        <v>2006</v>
      </c>
      <c r="F248" s="307" t="s">
        <v>2052</v>
      </c>
      <c r="G248" s="307" t="s">
        <v>1973</v>
      </c>
      <c r="H248" s="307" t="s">
        <v>1536</v>
      </c>
      <c r="I248" s="307" t="s">
        <v>1988</v>
      </c>
      <c r="J248" s="307" t="s">
        <v>1499</v>
      </c>
      <c r="K248" s="307" t="s">
        <v>1989</v>
      </c>
      <c r="L248" s="317" t="s">
        <v>1976</v>
      </c>
      <c r="M248" s="317" t="s">
        <v>279</v>
      </c>
      <c r="N248" s="317" t="s">
        <v>2008</v>
      </c>
      <c r="O248" s="317" t="s">
        <v>279</v>
      </c>
      <c r="P248" s="317" t="s">
        <v>279</v>
      </c>
      <c r="Q248" s="318" t="n">
        <v>101073465</v>
      </c>
      <c r="R248" s="318" t="n">
        <v>1396960</v>
      </c>
      <c r="S248" s="318" t="n">
        <v>5742758</v>
      </c>
      <c r="T248" s="318" t="n">
        <v>20541300</v>
      </c>
      <c r="U248" s="318" t="n">
        <v>24132220</v>
      </c>
      <c r="V248" s="318" t="n">
        <v>27378220</v>
      </c>
      <c r="W248" s="318" t="n">
        <v>83476954</v>
      </c>
      <c r="X248" s="318" t="n">
        <v>103243832</v>
      </c>
      <c r="Y248" s="318" t="n">
        <v>103376332</v>
      </c>
      <c r="Z248" s="318" t="n">
        <v>103422332</v>
      </c>
      <c r="AA248" s="318"/>
      <c r="AB248" s="318"/>
      <c r="AC248" s="318"/>
      <c r="AD248" s="318"/>
      <c r="AE248" s="318" t="n">
        <f aca="false">R248</f>
        <v>1396960</v>
      </c>
      <c r="AF248" s="318" t="n">
        <f aca="false">S248-R248</f>
        <v>4345798</v>
      </c>
      <c r="AG248" s="318" t="n">
        <f aca="false">T248-S248</f>
        <v>14798542</v>
      </c>
      <c r="AH248" s="318" t="n">
        <f aca="false">U248-T248</f>
        <v>3590920</v>
      </c>
      <c r="AI248" s="318" t="n">
        <f aca="false">V248-U248</f>
        <v>3246000</v>
      </c>
      <c r="AJ248" s="318" t="n">
        <f aca="false">W248-V248</f>
        <v>56098734</v>
      </c>
      <c r="AK248" s="318" t="n">
        <f aca="false">X248-W248</f>
        <v>19766878</v>
      </c>
      <c r="AL248" s="318" t="n">
        <f aca="false">Y248-X248</f>
        <v>132500</v>
      </c>
      <c r="AM248" s="318" t="n">
        <f aca="false">Z248-Y248</f>
        <v>46000</v>
      </c>
      <c r="AN248" s="318" t="s">
        <v>1726</v>
      </c>
      <c r="AO248" s="318" t="n">
        <f aca="false">AB248-AA248</f>
        <v>0</v>
      </c>
      <c r="AP248" s="318" t="n">
        <f aca="false">AC248-AB248</f>
        <v>0</v>
      </c>
      <c r="AR248" s="307" t="str">
        <f aca="false">IFERROR(VLOOKUP(M248,'PL_DEC.2026'!$D$11:$D$99,1,FALSE()),"(미존재)")</f>
        <v>광고선전비</v>
      </c>
    </row>
    <row r="249" customFormat="false" ht="15" hidden="false" customHeight="false" outlineLevel="0" collapsed="false">
      <c r="A249" s="310" t="s">
        <v>841</v>
      </c>
      <c r="B249" s="307" t="n">
        <v>64516004</v>
      </c>
      <c r="C249" s="307" t="s">
        <v>2053</v>
      </c>
      <c r="D249" s="307" t="s">
        <v>1926</v>
      </c>
      <c r="E249" s="307" t="s">
        <v>1971</v>
      </c>
      <c r="F249" s="307" t="s">
        <v>2054</v>
      </c>
      <c r="G249" s="307" t="s">
        <v>1973</v>
      </c>
      <c r="H249" s="307" t="s">
        <v>1536</v>
      </c>
      <c r="I249" s="307" t="s">
        <v>1988</v>
      </c>
      <c r="J249" s="307" t="s">
        <v>1499</v>
      </c>
      <c r="K249" s="307" t="s">
        <v>1989</v>
      </c>
      <c r="L249" s="317" t="s">
        <v>1976</v>
      </c>
      <c r="M249" s="317" t="s">
        <v>279</v>
      </c>
      <c r="N249" s="317" t="s">
        <v>1976</v>
      </c>
      <c r="O249" s="317" t="s">
        <v>298</v>
      </c>
      <c r="P249" s="317" t="s">
        <v>298</v>
      </c>
      <c r="Q249" s="318" t="n">
        <v>1146378033</v>
      </c>
      <c r="R249" s="318" t="n">
        <v>1531581</v>
      </c>
      <c r="S249" s="318" t="n">
        <v>35531581</v>
      </c>
      <c r="T249" s="318" t="n">
        <v>128001807</v>
      </c>
      <c r="U249" s="318" t="n">
        <v>224864641</v>
      </c>
      <c r="V249" s="318" t="n">
        <v>229758436</v>
      </c>
      <c r="W249" s="318" t="n">
        <v>352426259</v>
      </c>
      <c r="X249" s="318" t="n">
        <v>567042737</v>
      </c>
      <c r="Y249" s="318" t="n">
        <v>725687913</v>
      </c>
      <c r="Z249" s="318" t="n">
        <v>835585092</v>
      </c>
      <c r="AA249" s="318"/>
      <c r="AB249" s="318"/>
      <c r="AC249" s="318"/>
      <c r="AD249" s="318"/>
      <c r="AE249" s="318" t="n">
        <f aca="false">R249</f>
        <v>1531581</v>
      </c>
      <c r="AF249" s="318" t="n">
        <f aca="false">S249-R249</f>
        <v>34000000</v>
      </c>
      <c r="AG249" s="318" t="n">
        <f aca="false">T249-S249</f>
        <v>92470226</v>
      </c>
      <c r="AH249" s="318" t="n">
        <f aca="false">U249-T249</f>
        <v>96862834</v>
      </c>
      <c r="AI249" s="318" t="n">
        <f aca="false">V249-U249</f>
        <v>4893795</v>
      </c>
      <c r="AJ249" s="318" t="n">
        <f aca="false">W249-V249</f>
        <v>122667823</v>
      </c>
      <c r="AK249" s="318" t="n">
        <f aca="false">X249-W249</f>
        <v>214616478</v>
      </c>
      <c r="AL249" s="318" t="n">
        <f aca="false">Y249-X249</f>
        <v>158645176</v>
      </c>
      <c r="AM249" s="318" t="n">
        <f aca="false">Z249-Y249</f>
        <v>109897179</v>
      </c>
      <c r="AN249" s="318" t="s">
        <v>1726</v>
      </c>
      <c r="AO249" s="318" t="n">
        <f aca="false">AB249-AA249</f>
        <v>0</v>
      </c>
      <c r="AP249" s="318" t="n">
        <f aca="false">AC249-AB249</f>
        <v>0</v>
      </c>
      <c r="AR249" s="307" t="str">
        <f aca="false">IFERROR(VLOOKUP(M249,'PL_DEC.2026'!$D$11:$D$99,1,FALSE()),"(미존재)")</f>
        <v>광고선전비</v>
      </c>
    </row>
    <row r="250" customFormat="false" ht="15" hidden="false" customHeight="false" outlineLevel="0" collapsed="false">
      <c r="A250" s="310" t="s">
        <v>841</v>
      </c>
      <c r="B250" s="307" t="n">
        <v>64550000</v>
      </c>
      <c r="C250" s="307" t="s">
        <v>2055</v>
      </c>
      <c r="G250" s="307" t="s">
        <v>1929</v>
      </c>
      <c r="H250" s="307" t="s">
        <v>1536</v>
      </c>
      <c r="I250" s="307" t="s">
        <v>2056</v>
      </c>
      <c r="K250" s="307" t="s">
        <v>1027</v>
      </c>
      <c r="L250" s="317" t="s">
        <v>1976</v>
      </c>
      <c r="M250" s="317" t="s">
        <v>279</v>
      </c>
      <c r="N250" s="317" t="s">
        <v>2008</v>
      </c>
      <c r="O250" s="317" t="s">
        <v>279</v>
      </c>
      <c r="P250" s="317" t="s">
        <v>279</v>
      </c>
      <c r="Q250" s="318" t="n">
        <v>-266854</v>
      </c>
      <c r="R250" s="318" t="n">
        <v>0</v>
      </c>
      <c r="S250" s="318" t="n">
        <v>0</v>
      </c>
      <c r="T250" s="318" t="n">
        <v>0</v>
      </c>
      <c r="U250" s="318" t="n">
        <v>0</v>
      </c>
      <c r="V250" s="318" t="n">
        <v>0</v>
      </c>
      <c r="W250" s="318" t="n">
        <v>0</v>
      </c>
      <c r="X250" s="318" t="n">
        <v>0</v>
      </c>
      <c r="Y250" s="318" t="n">
        <v>0</v>
      </c>
      <c r="Z250" s="318" t="n">
        <v>0</v>
      </c>
      <c r="AA250" s="318"/>
      <c r="AB250" s="318"/>
      <c r="AC250" s="318"/>
      <c r="AD250" s="318"/>
      <c r="AE250" s="318" t="n">
        <f aca="false">R250</f>
        <v>0</v>
      </c>
      <c r="AF250" s="318" t="n">
        <f aca="false">S250-R250</f>
        <v>0</v>
      </c>
      <c r="AG250" s="318" t="n">
        <f aca="false">T250-S250</f>
        <v>0</v>
      </c>
      <c r="AH250" s="318" t="n">
        <f aca="false">U250-T250</f>
        <v>0</v>
      </c>
      <c r="AI250" s="318" t="n">
        <f aca="false">V250-U250</f>
        <v>0</v>
      </c>
      <c r="AJ250" s="318" t="n">
        <f aca="false">W250-V250</f>
        <v>0</v>
      </c>
      <c r="AK250" s="318" t="n">
        <f aca="false">X250-W250</f>
        <v>0</v>
      </c>
      <c r="AL250" s="318" t="n">
        <f aca="false">Y250-X250</f>
        <v>0</v>
      </c>
      <c r="AM250" s="318" t="n">
        <f aca="false">Z250-Y250</f>
        <v>0</v>
      </c>
      <c r="AN250" s="318" t="s">
        <v>1726</v>
      </c>
      <c r="AO250" s="318" t="n">
        <f aca="false">AB250-AA250</f>
        <v>0</v>
      </c>
      <c r="AP250" s="318" t="n">
        <f aca="false">AC250-AB250</f>
        <v>0</v>
      </c>
      <c r="AR250" s="307" t="str">
        <f aca="false">IFERROR(VLOOKUP(M250,'PL_DEC.2026'!$D$11:$D$99,1,FALSE()),"(미존재)")</f>
        <v>광고선전비</v>
      </c>
    </row>
    <row r="251" customFormat="false" ht="15" hidden="false" customHeight="false" outlineLevel="0" collapsed="false">
      <c r="A251" s="310" t="s">
        <v>841</v>
      </c>
      <c r="B251" s="307" t="n">
        <v>64570000</v>
      </c>
      <c r="C251" s="307" t="s">
        <v>2057</v>
      </c>
      <c r="D251" s="307" t="s">
        <v>1926</v>
      </c>
      <c r="E251" s="307" t="s">
        <v>2006</v>
      </c>
      <c r="F251" s="307" t="s">
        <v>2052</v>
      </c>
      <c r="G251" s="307" t="s">
        <v>1973</v>
      </c>
      <c r="H251" s="307" t="s">
        <v>1536</v>
      </c>
      <c r="I251" s="307" t="s">
        <v>1988</v>
      </c>
      <c r="J251" s="307" t="s">
        <v>1499</v>
      </c>
      <c r="K251" s="307" t="s">
        <v>1989</v>
      </c>
      <c r="L251" s="317" t="s">
        <v>1976</v>
      </c>
      <c r="M251" s="317" t="s">
        <v>279</v>
      </c>
      <c r="N251" s="317" t="s">
        <v>2008</v>
      </c>
      <c r="O251" s="317" t="s">
        <v>279</v>
      </c>
      <c r="P251" s="317" t="s">
        <v>279</v>
      </c>
      <c r="Q251" s="318" t="n">
        <v>1617944637</v>
      </c>
      <c r="R251" s="318" t="n">
        <v>2181667</v>
      </c>
      <c r="S251" s="318" t="n">
        <v>157150595</v>
      </c>
      <c r="T251" s="318" t="n">
        <v>292721435</v>
      </c>
      <c r="U251" s="318" t="n">
        <v>333682317</v>
      </c>
      <c r="V251" s="318" t="n">
        <v>529726557</v>
      </c>
      <c r="W251" s="318" t="n">
        <v>666995811</v>
      </c>
      <c r="X251" s="318" t="n">
        <v>812212643</v>
      </c>
      <c r="Y251" s="318" t="n">
        <v>972959115</v>
      </c>
      <c r="Z251" s="318" t="n">
        <v>1152026115</v>
      </c>
      <c r="AA251" s="318"/>
      <c r="AB251" s="318"/>
      <c r="AC251" s="318"/>
      <c r="AD251" s="318"/>
      <c r="AE251" s="318" t="n">
        <f aca="false">R251</f>
        <v>2181667</v>
      </c>
      <c r="AF251" s="318" t="n">
        <f aca="false">S251-R251</f>
        <v>154968928</v>
      </c>
      <c r="AG251" s="318" t="n">
        <f aca="false">T251-S251</f>
        <v>135570840</v>
      </c>
      <c r="AH251" s="318" t="n">
        <f aca="false">U251-T251</f>
        <v>40960882</v>
      </c>
      <c r="AI251" s="318" t="n">
        <f aca="false">V251-U251</f>
        <v>196044240</v>
      </c>
      <c r="AJ251" s="318" t="n">
        <f aca="false">W251-V251</f>
        <v>137269254</v>
      </c>
      <c r="AK251" s="318" t="n">
        <f aca="false">X251-W251</f>
        <v>145216832</v>
      </c>
      <c r="AL251" s="318" t="n">
        <f aca="false">Y251-X251</f>
        <v>160746472</v>
      </c>
      <c r="AM251" s="318" t="n">
        <f aca="false">Z251-Y251</f>
        <v>179067000</v>
      </c>
      <c r="AN251" s="318" t="s">
        <v>1726</v>
      </c>
      <c r="AO251" s="318" t="n">
        <f aca="false">AB251-AA251</f>
        <v>0</v>
      </c>
      <c r="AP251" s="318" t="n">
        <f aca="false">AC251-AB251</f>
        <v>0</v>
      </c>
      <c r="AR251" s="307" t="str">
        <f aca="false">IFERROR(VLOOKUP(M251,'PL_DEC.2026'!$D$11:$D$99,1,FALSE()),"(미존재)")</f>
        <v>광고선전비</v>
      </c>
    </row>
    <row r="252" customFormat="false" ht="15" hidden="false" customHeight="false" outlineLevel="0" collapsed="false">
      <c r="A252" s="310" t="s">
        <v>841</v>
      </c>
      <c r="B252" s="307" t="n">
        <v>64570654</v>
      </c>
      <c r="C252" s="307" t="s">
        <v>2058</v>
      </c>
      <c r="D252" s="307" t="s">
        <v>1926</v>
      </c>
      <c r="E252" s="307" t="s">
        <v>2006</v>
      </c>
      <c r="F252" s="307" t="s">
        <v>2052</v>
      </c>
      <c r="G252" s="307" t="s">
        <v>1973</v>
      </c>
      <c r="H252" s="307" t="s">
        <v>1536</v>
      </c>
      <c r="I252" s="307" t="s">
        <v>1988</v>
      </c>
      <c r="J252" s="307" t="s">
        <v>1499</v>
      </c>
      <c r="K252" s="307" t="s">
        <v>1989</v>
      </c>
      <c r="L252" s="317" t="s">
        <v>1976</v>
      </c>
      <c r="M252" s="317" t="s">
        <v>279</v>
      </c>
      <c r="N252" s="317" t="s">
        <v>2008</v>
      </c>
      <c r="O252" s="317" t="s">
        <v>279</v>
      </c>
      <c r="P252" s="317" t="s">
        <v>279</v>
      </c>
      <c r="Q252" s="318" t="n">
        <v>4235790455</v>
      </c>
      <c r="R252" s="318" t="n">
        <v>36880280</v>
      </c>
      <c r="S252" s="318" t="n">
        <v>274245461</v>
      </c>
      <c r="T252" s="318" t="n">
        <v>575949970</v>
      </c>
      <c r="U252" s="318" t="n">
        <v>794482410</v>
      </c>
      <c r="V252" s="318" t="n">
        <v>724977376</v>
      </c>
      <c r="W252" s="318" t="n">
        <v>1150180305</v>
      </c>
      <c r="X252" s="318" t="n">
        <v>1399819248</v>
      </c>
      <c r="Y252" s="318" t="n">
        <v>1556059313</v>
      </c>
      <c r="Z252" s="318" t="n">
        <v>2245127049</v>
      </c>
      <c r="AA252" s="318"/>
      <c r="AB252" s="318"/>
      <c r="AC252" s="318"/>
      <c r="AD252" s="318"/>
      <c r="AE252" s="318" t="n">
        <f aca="false">R252</f>
        <v>36880280</v>
      </c>
      <c r="AF252" s="318" t="n">
        <f aca="false">S252-R252</f>
        <v>237365181</v>
      </c>
      <c r="AG252" s="318" t="n">
        <f aca="false">T252-S252</f>
        <v>301704509</v>
      </c>
      <c r="AH252" s="318" t="n">
        <f aca="false">U252-T252</f>
        <v>218532440</v>
      </c>
      <c r="AI252" s="318" t="n">
        <f aca="false">V252-U252</f>
        <v>-69505034</v>
      </c>
      <c r="AJ252" s="318" t="n">
        <f aca="false">W252-V252</f>
        <v>425202929</v>
      </c>
      <c r="AK252" s="318" t="n">
        <f aca="false">X252-W252</f>
        <v>249638943</v>
      </c>
      <c r="AL252" s="318" t="n">
        <f aca="false">Y252-X252</f>
        <v>156240065</v>
      </c>
      <c r="AM252" s="318" t="n">
        <f aca="false">Z252-Y252</f>
        <v>689067736</v>
      </c>
      <c r="AN252" s="318" t="s">
        <v>1726</v>
      </c>
      <c r="AO252" s="318" t="n">
        <f aca="false">AB252-AA252</f>
        <v>0</v>
      </c>
      <c r="AP252" s="318" t="n">
        <f aca="false">AC252-AB252</f>
        <v>0</v>
      </c>
      <c r="AR252" s="307" t="str">
        <f aca="false">IFERROR(VLOOKUP(M252,'PL_DEC.2026'!$D$11:$D$99,1,FALSE()),"(미존재)")</f>
        <v>광고선전비</v>
      </c>
    </row>
    <row r="253" customFormat="false" ht="15" hidden="false" customHeight="false" outlineLevel="0" collapsed="false">
      <c r="A253" s="310" t="s">
        <v>841</v>
      </c>
      <c r="B253" s="307" t="n">
        <v>64590000</v>
      </c>
      <c r="C253" s="307" t="s">
        <v>2059</v>
      </c>
      <c r="D253" s="307" t="s">
        <v>1926</v>
      </c>
      <c r="E253" s="307" t="s">
        <v>2006</v>
      </c>
      <c r="F253" s="307" t="s">
        <v>2060</v>
      </c>
      <c r="G253" s="307" t="s">
        <v>1973</v>
      </c>
      <c r="H253" s="307" t="s">
        <v>1536</v>
      </c>
      <c r="I253" s="307" t="s">
        <v>1988</v>
      </c>
      <c r="J253" s="307" t="s">
        <v>1499</v>
      </c>
      <c r="K253" s="307" t="s">
        <v>1989</v>
      </c>
      <c r="L253" s="317" t="s">
        <v>1976</v>
      </c>
      <c r="M253" s="317" t="s">
        <v>279</v>
      </c>
      <c r="N253" s="317" t="s">
        <v>2008</v>
      </c>
      <c r="O253" s="317" t="s">
        <v>279</v>
      </c>
      <c r="P253" s="317" t="s">
        <v>279</v>
      </c>
      <c r="Q253" s="318" t="n">
        <v>684330614</v>
      </c>
      <c r="R253" s="318" t="n">
        <v>25122562</v>
      </c>
      <c r="S253" s="318" t="n">
        <v>50054062</v>
      </c>
      <c r="T253" s="318" t="n">
        <v>110590583</v>
      </c>
      <c r="U253" s="318" t="n">
        <v>146393946</v>
      </c>
      <c r="V253" s="318" t="n">
        <v>174879761</v>
      </c>
      <c r="W253" s="318" t="n">
        <v>328186329</v>
      </c>
      <c r="X253" s="318" t="n">
        <v>386183236</v>
      </c>
      <c r="Y253" s="318" t="n">
        <v>486633565</v>
      </c>
      <c r="Z253" s="318" t="n">
        <v>574412708</v>
      </c>
      <c r="AA253" s="318"/>
      <c r="AB253" s="318"/>
      <c r="AC253" s="318"/>
      <c r="AD253" s="318"/>
      <c r="AE253" s="318" t="n">
        <f aca="false">R253</f>
        <v>25122562</v>
      </c>
      <c r="AF253" s="318" t="n">
        <f aca="false">S253-R253</f>
        <v>24931500</v>
      </c>
      <c r="AG253" s="318" t="n">
        <f aca="false">T253-S253</f>
        <v>60536521</v>
      </c>
      <c r="AH253" s="318" t="n">
        <f aca="false">U253-T253</f>
        <v>35803363</v>
      </c>
      <c r="AI253" s="318" t="n">
        <f aca="false">V253-U253</f>
        <v>28485815</v>
      </c>
      <c r="AJ253" s="318" t="n">
        <f aca="false">W253-V253</f>
        <v>153306568</v>
      </c>
      <c r="AK253" s="318" t="n">
        <f aca="false">X253-W253</f>
        <v>57996907</v>
      </c>
      <c r="AL253" s="318" t="n">
        <f aca="false">Y253-X253</f>
        <v>100450329</v>
      </c>
      <c r="AM253" s="318" t="n">
        <f aca="false">Z253-Y253</f>
        <v>87779143</v>
      </c>
      <c r="AN253" s="318" t="s">
        <v>1726</v>
      </c>
      <c r="AO253" s="318" t="n">
        <f aca="false">AB253-AA253</f>
        <v>0</v>
      </c>
      <c r="AP253" s="318" t="n">
        <f aca="false">AC253-AB253</f>
        <v>0</v>
      </c>
      <c r="AR253" s="307" t="str">
        <f aca="false">IFERROR(VLOOKUP(M253,'PL_DEC.2026'!$D$11:$D$99,1,FALSE()),"(미존재)")</f>
        <v>광고선전비</v>
      </c>
    </row>
    <row r="254" customFormat="false" ht="15" hidden="false" customHeight="false" outlineLevel="0" collapsed="false">
      <c r="A254" s="310" t="s">
        <v>841</v>
      </c>
      <c r="B254" s="307" t="n">
        <v>64590017</v>
      </c>
      <c r="C254" s="307" t="s">
        <v>2061</v>
      </c>
      <c r="D254" s="307" t="s">
        <v>1926</v>
      </c>
      <c r="E254" s="307" t="s">
        <v>1971</v>
      </c>
      <c r="F254" s="307" t="s">
        <v>1972</v>
      </c>
      <c r="G254" s="307" t="s">
        <v>1973</v>
      </c>
      <c r="H254" s="307" t="s">
        <v>1536</v>
      </c>
      <c r="I254" s="307" t="s">
        <v>1988</v>
      </c>
      <c r="J254" s="307" t="s">
        <v>1499</v>
      </c>
      <c r="K254" s="307" t="s">
        <v>1989</v>
      </c>
      <c r="L254" s="317" t="s">
        <v>1976</v>
      </c>
      <c r="M254" s="317" t="s">
        <v>299</v>
      </c>
      <c r="N254" s="317" t="s">
        <v>1976</v>
      </c>
      <c r="O254" s="317" t="s">
        <v>299</v>
      </c>
      <c r="P254" s="317" t="s">
        <v>299</v>
      </c>
      <c r="Q254" s="318" t="n">
        <v>4000000</v>
      </c>
      <c r="R254" s="318" t="n">
        <v>0</v>
      </c>
      <c r="S254" s="318" t="n">
        <v>0</v>
      </c>
      <c r="T254" s="318" t="n">
        <v>0</v>
      </c>
      <c r="U254" s="318" t="n">
        <v>0</v>
      </c>
      <c r="V254" s="318" t="n">
        <v>0</v>
      </c>
      <c r="W254" s="318" t="n">
        <v>0</v>
      </c>
      <c r="X254" s="318" t="n">
        <v>0</v>
      </c>
      <c r="Y254" s="318" t="n">
        <v>0</v>
      </c>
      <c r="Z254" s="318" t="n">
        <v>0</v>
      </c>
      <c r="AA254" s="318"/>
      <c r="AB254" s="318"/>
      <c r="AC254" s="318"/>
      <c r="AD254" s="318"/>
      <c r="AE254" s="318" t="n">
        <f aca="false">R254</f>
        <v>0</v>
      </c>
      <c r="AF254" s="318" t="n">
        <f aca="false">S254-R254</f>
        <v>0</v>
      </c>
      <c r="AG254" s="318" t="n">
        <f aca="false">T254-S254</f>
        <v>0</v>
      </c>
      <c r="AH254" s="318" t="n">
        <f aca="false">U254-T254</f>
        <v>0</v>
      </c>
      <c r="AI254" s="318" t="n">
        <f aca="false">V254-U254</f>
        <v>0</v>
      </c>
      <c r="AJ254" s="318" t="n">
        <f aca="false">W254-V254</f>
        <v>0</v>
      </c>
      <c r="AK254" s="318" t="n">
        <f aca="false">X254-W254</f>
        <v>0</v>
      </c>
      <c r="AL254" s="318" t="n">
        <f aca="false">Y254-X254</f>
        <v>0</v>
      </c>
      <c r="AM254" s="318" t="n">
        <f aca="false">Z254-Y254</f>
        <v>0</v>
      </c>
      <c r="AN254" s="318" t="s">
        <v>1726</v>
      </c>
      <c r="AO254" s="318" t="n">
        <f aca="false">AB254-AA254</f>
        <v>0</v>
      </c>
      <c r="AP254" s="318" t="n">
        <f aca="false">AC254-AB254</f>
        <v>0</v>
      </c>
      <c r="AR254" s="307" t="str">
        <f aca="false">IFERROR(VLOOKUP(M254,'PL_DEC.2026'!$D$11:$D$99,1,FALSE()),"(미존재)")</f>
        <v>지급수수료</v>
      </c>
    </row>
    <row r="255" customFormat="false" ht="15" hidden="false" customHeight="false" outlineLevel="0" collapsed="false">
      <c r="A255" s="310" t="s">
        <v>841</v>
      </c>
      <c r="B255" s="307" t="n">
        <v>64590020</v>
      </c>
      <c r="C255" s="307" t="s">
        <v>2062</v>
      </c>
      <c r="D255" s="307" t="s">
        <v>1926</v>
      </c>
      <c r="E255" s="307" t="s">
        <v>2006</v>
      </c>
      <c r="F255" s="307" t="s">
        <v>2052</v>
      </c>
      <c r="G255" s="307" t="s">
        <v>1973</v>
      </c>
      <c r="H255" s="307" t="s">
        <v>1536</v>
      </c>
      <c r="I255" s="307" t="s">
        <v>1988</v>
      </c>
      <c r="J255" s="307" t="s">
        <v>1499</v>
      </c>
      <c r="K255" s="307" t="s">
        <v>1989</v>
      </c>
      <c r="L255" s="317" t="s">
        <v>1976</v>
      </c>
      <c r="M255" s="317" t="s">
        <v>279</v>
      </c>
      <c r="N255" s="317" t="s">
        <v>2008</v>
      </c>
      <c r="O255" s="317" t="s">
        <v>279</v>
      </c>
      <c r="P255" s="317" t="s">
        <v>279</v>
      </c>
      <c r="Q255" s="318" t="n">
        <v>-43933200</v>
      </c>
      <c r="R255" s="318" t="n">
        <v>0</v>
      </c>
      <c r="S255" s="318" t="n">
        <v>0</v>
      </c>
      <c r="T255" s="318" t="n">
        <v>0</v>
      </c>
      <c r="U255" s="318" t="n">
        <v>0</v>
      </c>
      <c r="V255" s="318" t="n">
        <v>0</v>
      </c>
      <c r="W255" s="318" t="n">
        <v>0</v>
      </c>
      <c r="X255" s="318" t="n">
        <v>0</v>
      </c>
      <c r="Y255" s="318" t="n">
        <v>0</v>
      </c>
      <c r="Z255" s="318" t="n">
        <v>0</v>
      </c>
      <c r="AA255" s="318"/>
      <c r="AB255" s="318"/>
      <c r="AC255" s="318"/>
      <c r="AD255" s="318"/>
      <c r="AE255" s="318" t="n">
        <f aca="false">R255</f>
        <v>0</v>
      </c>
      <c r="AF255" s="318" t="n">
        <f aca="false">S255-R255</f>
        <v>0</v>
      </c>
      <c r="AG255" s="318" t="n">
        <f aca="false">T255-S255</f>
        <v>0</v>
      </c>
      <c r="AH255" s="318" t="n">
        <f aca="false">U255-T255</f>
        <v>0</v>
      </c>
      <c r="AI255" s="318" t="n">
        <f aca="false">V255-U255</f>
        <v>0</v>
      </c>
      <c r="AJ255" s="318" t="n">
        <f aca="false">W255-V255</f>
        <v>0</v>
      </c>
      <c r="AK255" s="318" t="n">
        <f aca="false">X255-W255</f>
        <v>0</v>
      </c>
      <c r="AL255" s="318" t="n">
        <f aca="false">Y255-X255</f>
        <v>0</v>
      </c>
      <c r="AM255" s="318" t="n">
        <f aca="false">Z255-Y255</f>
        <v>0</v>
      </c>
      <c r="AN255" s="318" t="s">
        <v>1726</v>
      </c>
      <c r="AO255" s="318" t="n">
        <f aca="false">AB255-AA255</f>
        <v>0</v>
      </c>
      <c r="AP255" s="318" t="n">
        <f aca="false">AC255-AB255</f>
        <v>0</v>
      </c>
      <c r="AR255" s="307" t="str">
        <f aca="false">IFERROR(VLOOKUP(M255,'PL_DEC.2026'!$D$11:$D$99,1,FALSE()),"(미존재)")</f>
        <v>광고선전비</v>
      </c>
    </row>
    <row r="256" customFormat="false" ht="15" hidden="false" customHeight="false" outlineLevel="0" collapsed="false">
      <c r="A256" s="310" t="s">
        <v>841</v>
      </c>
      <c r="B256" s="307" t="n">
        <v>64590050</v>
      </c>
      <c r="C256" s="307" t="s">
        <v>2063</v>
      </c>
      <c r="D256" s="307" t="s">
        <v>1926</v>
      </c>
      <c r="E256" s="307" t="s">
        <v>1971</v>
      </c>
      <c r="F256" s="307" t="s">
        <v>2012</v>
      </c>
      <c r="G256" s="307" t="s">
        <v>1973</v>
      </c>
      <c r="H256" s="307" t="s">
        <v>1536</v>
      </c>
      <c r="I256" s="307" t="s">
        <v>1988</v>
      </c>
      <c r="J256" s="307" t="s">
        <v>1499</v>
      </c>
      <c r="K256" s="307" t="s">
        <v>1989</v>
      </c>
      <c r="L256" s="317" t="s">
        <v>1976</v>
      </c>
      <c r="M256" s="317" t="s">
        <v>300</v>
      </c>
      <c r="N256" s="317" t="s">
        <v>1976</v>
      </c>
      <c r="O256" s="317" t="s">
        <v>2013</v>
      </c>
      <c r="P256" s="317" t="s">
        <v>2013</v>
      </c>
      <c r="Q256" s="318" t="n">
        <v>419798628</v>
      </c>
      <c r="R256" s="318" t="n">
        <v>29897137</v>
      </c>
      <c r="S256" s="318" t="n">
        <v>64545804</v>
      </c>
      <c r="T256" s="318" t="n">
        <v>102557911</v>
      </c>
      <c r="U256" s="318" t="n">
        <v>134162878</v>
      </c>
      <c r="V256" s="318" t="n">
        <v>168664745</v>
      </c>
      <c r="W256" s="318" t="n">
        <v>200658849</v>
      </c>
      <c r="X256" s="318" t="n">
        <v>234631754</v>
      </c>
      <c r="Y256" s="318" t="n">
        <v>266300421</v>
      </c>
      <c r="Z256" s="318" t="n">
        <v>296221488</v>
      </c>
      <c r="AA256" s="318"/>
      <c r="AB256" s="318"/>
      <c r="AC256" s="318"/>
      <c r="AD256" s="318"/>
      <c r="AE256" s="318" t="n">
        <f aca="false">R256</f>
        <v>29897137</v>
      </c>
      <c r="AF256" s="318" t="n">
        <f aca="false">S256-R256</f>
        <v>34648667</v>
      </c>
      <c r="AG256" s="318" t="n">
        <f aca="false">T256-S256</f>
        <v>38012107</v>
      </c>
      <c r="AH256" s="318" t="n">
        <f aca="false">U256-T256</f>
        <v>31604967</v>
      </c>
      <c r="AI256" s="318" t="n">
        <f aca="false">V256-U256</f>
        <v>34501867</v>
      </c>
      <c r="AJ256" s="318" t="n">
        <f aca="false">W256-V256</f>
        <v>31994104</v>
      </c>
      <c r="AK256" s="318" t="n">
        <f aca="false">X256-W256</f>
        <v>33972905</v>
      </c>
      <c r="AL256" s="318" t="n">
        <f aca="false">Y256-X256</f>
        <v>31668667</v>
      </c>
      <c r="AM256" s="318" t="n">
        <f aca="false">Z256-Y256</f>
        <v>29921067</v>
      </c>
      <c r="AN256" s="318" t="s">
        <v>1726</v>
      </c>
      <c r="AO256" s="318" t="n">
        <f aca="false">AB256-AA256</f>
        <v>0</v>
      </c>
      <c r="AP256" s="318" t="n">
        <f aca="false">AC256-AB256</f>
        <v>0</v>
      </c>
      <c r="AR256" s="307" t="str">
        <f aca="false">IFERROR(VLOOKUP(M256,'PL_DEC.2026'!$D$11:$D$99,1,FALSE()),"(미존재)")</f>
        <v>제세공과</v>
      </c>
    </row>
    <row r="257" customFormat="false" ht="15" hidden="false" customHeight="false" outlineLevel="0" collapsed="false">
      <c r="A257" s="310" t="s">
        <v>841</v>
      </c>
      <c r="B257" s="307" t="n">
        <v>64590052</v>
      </c>
      <c r="C257" s="307" t="s">
        <v>2064</v>
      </c>
      <c r="D257" s="307" t="s">
        <v>1926</v>
      </c>
      <c r="E257" s="307" t="s">
        <v>1971</v>
      </c>
      <c r="F257" s="307" t="s">
        <v>1972</v>
      </c>
      <c r="G257" s="307" t="s">
        <v>1973</v>
      </c>
      <c r="H257" s="307" t="s">
        <v>1536</v>
      </c>
      <c r="I257" s="307" t="s">
        <v>1988</v>
      </c>
      <c r="J257" s="307" t="s">
        <v>1499</v>
      </c>
      <c r="K257" s="307" t="s">
        <v>1989</v>
      </c>
      <c r="L257" s="317" t="s">
        <v>1976</v>
      </c>
      <c r="M257" s="317" t="s">
        <v>299</v>
      </c>
      <c r="N257" s="317" t="s">
        <v>1976</v>
      </c>
      <c r="O257" s="317" t="s">
        <v>299</v>
      </c>
      <c r="P257" s="317" t="s">
        <v>299</v>
      </c>
      <c r="Q257" s="318" t="n">
        <v>732418362</v>
      </c>
      <c r="R257" s="318" t="n">
        <v>41349998</v>
      </c>
      <c r="S257" s="318" t="n">
        <v>91605384</v>
      </c>
      <c r="T257" s="318" t="n">
        <v>182802972</v>
      </c>
      <c r="U257" s="318" t="n">
        <v>238318639</v>
      </c>
      <c r="V257" s="318" t="n">
        <v>263043039</v>
      </c>
      <c r="W257" s="318" t="n">
        <v>292366095</v>
      </c>
      <c r="X257" s="318" t="n">
        <v>354816109</v>
      </c>
      <c r="Y257" s="318" t="n">
        <v>402423909</v>
      </c>
      <c r="Z257" s="318" t="n">
        <v>454576863</v>
      </c>
      <c r="AA257" s="318"/>
      <c r="AB257" s="318"/>
      <c r="AC257" s="318"/>
      <c r="AD257" s="318"/>
      <c r="AE257" s="318" t="n">
        <f aca="false">R257</f>
        <v>41349998</v>
      </c>
      <c r="AF257" s="318" t="n">
        <f aca="false">S257-R257</f>
        <v>50255386</v>
      </c>
      <c r="AG257" s="318" t="n">
        <f aca="false">T257-S257</f>
        <v>91197588</v>
      </c>
      <c r="AH257" s="318" t="n">
        <f aca="false">U257-T257</f>
        <v>55515667</v>
      </c>
      <c r="AI257" s="318" t="n">
        <f aca="false">V257-U257</f>
        <v>24724400</v>
      </c>
      <c r="AJ257" s="318" t="n">
        <f aca="false">W257-V257</f>
        <v>29323056</v>
      </c>
      <c r="AK257" s="318" t="n">
        <f aca="false">X257-W257</f>
        <v>62450014</v>
      </c>
      <c r="AL257" s="318" t="n">
        <f aca="false">Y257-X257</f>
        <v>47607800</v>
      </c>
      <c r="AM257" s="318" t="n">
        <f aca="false">Z257-Y257</f>
        <v>52152954</v>
      </c>
      <c r="AN257" s="318" t="s">
        <v>1726</v>
      </c>
      <c r="AO257" s="318" t="n">
        <f aca="false">AB257-AA257</f>
        <v>0</v>
      </c>
      <c r="AP257" s="318" t="n">
        <f aca="false">AC257-AB257</f>
        <v>0</v>
      </c>
      <c r="AR257" s="307" t="str">
        <f aca="false">IFERROR(VLOOKUP(M257,'PL_DEC.2026'!$D$11:$D$99,1,FALSE()),"(미존재)")</f>
        <v>지급수수료</v>
      </c>
    </row>
    <row r="258" customFormat="false" ht="15" hidden="false" customHeight="false" outlineLevel="0" collapsed="false">
      <c r="A258" s="310" t="s">
        <v>841</v>
      </c>
      <c r="B258" s="307" t="n">
        <v>64590063</v>
      </c>
      <c r="C258" s="307" t="s">
        <v>2065</v>
      </c>
      <c r="D258" s="307" t="s">
        <v>1926</v>
      </c>
      <c r="E258" s="307" t="s">
        <v>2006</v>
      </c>
      <c r="F258" s="307" t="s">
        <v>2052</v>
      </c>
      <c r="G258" s="307" t="s">
        <v>1973</v>
      </c>
      <c r="H258" s="307" t="s">
        <v>1536</v>
      </c>
      <c r="I258" s="307" t="s">
        <v>1988</v>
      </c>
      <c r="J258" s="307" t="s">
        <v>1499</v>
      </c>
      <c r="K258" s="307" t="s">
        <v>1989</v>
      </c>
      <c r="L258" s="317" t="s">
        <v>1976</v>
      </c>
      <c r="M258" s="317" t="s">
        <v>279</v>
      </c>
      <c r="N258" s="317" t="s">
        <v>2008</v>
      </c>
      <c r="O258" s="317" t="s">
        <v>279</v>
      </c>
      <c r="P258" s="317" t="s">
        <v>279</v>
      </c>
      <c r="Q258" s="318" t="n">
        <v>2592263449</v>
      </c>
      <c r="R258" s="318" t="n">
        <v>20000000</v>
      </c>
      <c r="S258" s="318" t="n">
        <v>26000000</v>
      </c>
      <c r="T258" s="318" t="n">
        <v>112200000</v>
      </c>
      <c r="U258" s="318" t="n">
        <v>586772728</v>
      </c>
      <c r="V258" s="318" t="n">
        <v>721897148</v>
      </c>
      <c r="W258" s="318" t="n">
        <v>839897148</v>
      </c>
      <c r="X258" s="318" t="n">
        <v>957897148</v>
      </c>
      <c r="Y258" s="318" t="n">
        <v>972897148</v>
      </c>
      <c r="Z258" s="318" t="n">
        <v>1383397148</v>
      </c>
      <c r="AA258" s="318"/>
      <c r="AB258" s="318"/>
      <c r="AC258" s="318"/>
      <c r="AD258" s="318"/>
      <c r="AE258" s="318" t="n">
        <f aca="false">R258</f>
        <v>20000000</v>
      </c>
      <c r="AF258" s="318" t="n">
        <f aca="false">S258-R258</f>
        <v>6000000</v>
      </c>
      <c r="AG258" s="318" t="n">
        <f aca="false">T258-S258</f>
        <v>86200000</v>
      </c>
      <c r="AH258" s="318" t="n">
        <f aca="false">U258-T258</f>
        <v>474572728</v>
      </c>
      <c r="AI258" s="318" t="n">
        <f aca="false">V258-U258</f>
        <v>135124420</v>
      </c>
      <c r="AJ258" s="318" t="n">
        <f aca="false">W258-V258</f>
        <v>118000000</v>
      </c>
      <c r="AK258" s="318" t="n">
        <f aca="false">X258-W258</f>
        <v>118000000</v>
      </c>
      <c r="AL258" s="318" t="n">
        <f aca="false">Y258-X258</f>
        <v>15000000</v>
      </c>
      <c r="AM258" s="318" t="n">
        <f aca="false">Z258-Y258</f>
        <v>410500000</v>
      </c>
      <c r="AN258" s="318" t="s">
        <v>1726</v>
      </c>
      <c r="AO258" s="318" t="n">
        <f aca="false">AB258-AA258</f>
        <v>0</v>
      </c>
      <c r="AP258" s="318" t="n">
        <f aca="false">AC258-AB258</f>
        <v>0</v>
      </c>
      <c r="AR258" s="307" t="str">
        <f aca="false">IFERROR(VLOOKUP(M258,'PL_DEC.2026'!$D$11:$D$99,1,FALSE()),"(미존재)")</f>
        <v>광고선전비</v>
      </c>
    </row>
    <row r="259" customFormat="false" ht="15" hidden="false" customHeight="false" outlineLevel="0" collapsed="false">
      <c r="A259" s="310" t="s">
        <v>841</v>
      </c>
      <c r="B259" s="307" t="n">
        <v>64590719</v>
      </c>
      <c r="C259" s="307" t="s">
        <v>2066</v>
      </c>
      <c r="D259" s="307" t="s">
        <v>1926</v>
      </c>
      <c r="E259" s="307" t="s">
        <v>1971</v>
      </c>
      <c r="F259" s="307" t="s">
        <v>2067</v>
      </c>
      <c r="G259" s="307" t="s">
        <v>1973</v>
      </c>
      <c r="H259" s="307" t="s">
        <v>1536</v>
      </c>
      <c r="I259" s="307" t="s">
        <v>1988</v>
      </c>
      <c r="J259" s="307" t="s">
        <v>1499</v>
      </c>
      <c r="K259" s="307" t="s">
        <v>1989</v>
      </c>
      <c r="L259" s="317" t="s">
        <v>1976</v>
      </c>
      <c r="M259" s="317" t="s">
        <v>279</v>
      </c>
      <c r="N259" s="317" t="s">
        <v>1976</v>
      </c>
      <c r="O259" s="317" t="s">
        <v>315</v>
      </c>
      <c r="P259" s="317" t="s">
        <v>315</v>
      </c>
      <c r="Q259" s="318" t="n">
        <v>413713160</v>
      </c>
      <c r="R259" s="318" t="n">
        <v>83925473</v>
      </c>
      <c r="S259" s="318" t="n">
        <v>98725473</v>
      </c>
      <c r="T259" s="318" t="n">
        <v>180277001</v>
      </c>
      <c r="U259" s="318" t="n">
        <v>204877001</v>
      </c>
      <c r="V259" s="318" t="n">
        <v>247171205</v>
      </c>
      <c r="W259" s="318" t="n">
        <v>296424589</v>
      </c>
      <c r="X259" s="318" t="n">
        <v>328724589</v>
      </c>
      <c r="Y259" s="318" t="n">
        <v>348924589</v>
      </c>
      <c r="Z259" s="318" t="n">
        <v>383074589</v>
      </c>
      <c r="AA259" s="318"/>
      <c r="AB259" s="318"/>
      <c r="AC259" s="318"/>
      <c r="AD259" s="318"/>
      <c r="AE259" s="318" t="n">
        <f aca="false">R259</f>
        <v>83925473</v>
      </c>
      <c r="AF259" s="318" t="n">
        <f aca="false">S259-R259</f>
        <v>14800000</v>
      </c>
      <c r="AG259" s="318" t="n">
        <f aca="false">T259-S259</f>
        <v>81551528</v>
      </c>
      <c r="AH259" s="318" t="n">
        <f aca="false">U259-T259</f>
        <v>24600000</v>
      </c>
      <c r="AI259" s="318" t="n">
        <f aca="false">V259-U259</f>
        <v>42294204</v>
      </c>
      <c r="AJ259" s="318" t="n">
        <f aca="false">W259-V259</f>
        <v>49253384</v>
      </c>
      <c r="AK259" s="318" t="n">
        <f aca="false">X259-W259</f>
        <v>32300000</v>
      </c>
      <c r="AL259" s="318" t="n">
        <f aca="false">Y259-X259</f>
        <v>20200000</v>
      </c>
      <c r="AM259" s="318" t="n">
        <f aca="false">Z259-Y259</f>
        <v>34150000</v>
      </c>
      <c r="AN259" s="318" t="s">
        <v>1726</v>
      </c>
      <c r="AO259" s="318" t="n">
        <f aca="false">AB259-AA259</f>
        <v>0</v>
      </c>
      <c r="AP259" s="318" t="n">
        <f aca="false">AC259-AB259</f>
        <v>0</v>
      </c>
      <c r="AR259" s="307" t="str">
        <f aca="false">IFERROR(VLOOKUP(M259,'PL_DEC.2026'!$D$11:$D$99,1,FALSE()),"(미존재)")</f>
        <v>광고선전비</v>
      </c>
    </row>
    <row r="260" customFormat="false" ht="15" hidden="false" customHeight="false" outlineLevel="0" collapsed="false">
      <c r="A260" s="310" t="s">
        <v>841</v>
      </c>
      <c r="B260" s="307" t="n">
        <v>64591000</v>
      </c>
      <c r="C260" s="307" t="s">
        <v>2068</v>
      </c>
      <c r="D260" s="307" t="s">
        <v>1926</v>
      </c>
      <c r="E260" s="307" t="s">
        <v>2006</v>
      </c>
      <c r="F260" s="307" t="s">
        <v>2052</v>
      </c>
      <c r="G260" s="307" t="s">
        <v>1973</v>
      </c>
      <c r="H260" s="307" t="s">
        <v>1536</v>
      </c>
      <c r="I260" s="307" t="s">
        <v>1988</v>
      </c>
      <c r="J260" s="307" t="s">
        <v>1499</v>
      </c>
      <c r="K260" s="307" t="s">
        <v>1989</v>
      </c>
      <c r="L260" s="317" t="s">
        <v>1976</v>
      </c>
      <c r="M260" s="317" t="s">
        <v>279</v>
      </c>
      <c r="N260" s="317" t="s">
        <v>2008</v>
      </c>
      <c r="O260" s="317" t="s">
        <v>279</v>
      </c>
      <c r="P260" s="317" t="s">
        <v>279</v>
      </c>
      <c r="Q260" s="318" t="n">
        <v>1098853873</v>
      </c>
      <c r="R260" s="318" t="n">
        <v>64519500</v>
      </c>
      <c r="S260" s="318" t="n">
        <v>117269752</v>
      </c>
      <c r="T260" s="318" t="n">
        <v>242404156</v>
      </c>
      <c r="U260" s="318" t="n">
        <v>307368067</v>
      </c>
      <c r="V260" s="318" t="n">
        <v>349254034</v>
      </c>
      <c r="W260" s="318" t="n">
        <v>471748956</v>
      </c>
      <c r="X260" s="318" t="n">
        <v>504132964</v>
      </c>
      <c r="Y260" s="318" t="n">
        <v>540435381</v>
      </c>
      <c r="Z260" s="318" t="n">
        <v>760619973</v>
      </c>
      <c r="AA260" s="318"/>
      <c r="AB260" s="318"/>
      <c r="AC260" s="318"/>
      <c r="AD260" s="318"/>
      <c r="AE260" s="318" t="n">
        <f aca="false">R260</f>
        <v>64519500</v>
      </c>
      <c r="AF260" s="318" t="n">
        <f aca="false">S260-R260</f>
        <v>52750252</v>
      </c>
      <c r="AG260" s="318" t="n">
        <f aca="false">T260-S260</f>
        <v>125134404</v>
      </c>
      <c r="AH260" s="318" t="n">
        <f aca="false">U260-T260</f>
        <v>64963911</v>
      </c>
      <c r="AI260" s="318" t="n">
        <f aca="false">V260-U260</f>
        <v>41885967</v>
      </c>
      <c r="AJ260" s="318" t="n">
        <f aca="false">W260-V260</f>
        <v>122494922</v>
      </c>
      <c r="AK260" s="318" t="n">
        <f aca="false">X260-W260</f>
        <v>32384008</v>
      </c>
      <c r="AL260" s="318" t="n">
        <f aca="false">Y260-X260</f>
        <v>36302417</v>
      </c>
      <c r="AM260" s="318" t="n">
        <f aca="false">Z260-Y260</f>
        <v>220184592</v>
      </c>
      <c r="AN260" s="318" t="s">
        <v>1726</v>
      </c>
      <c r="AO260" s="318" t="n">
        <f aca="false">AB260-AA260</f>
        <v>0</v>
      </c>
      <c r="AP260" s="318" t="n">
        <f aca="false">AC260-AB260</f>
        <v>0</v>
      </c>
      <c r="AR260" s="307" t="str">
        <f aca="false">IFERROR(VLOOKUP(M260,'PL_DEC.2026'!$D$11:$D$99,1,FALSE()),"(미존재)")</f>
        <v>광고선전비</v>
      </c>
    </row>
    <row r="261" customFormat="false" ht="15" hidden="false" customHeight="false" outlineLevel="0" collapsed="false">
      <c r="A261" s="310" t="s">
        <v>841</v>
      </c>
      <c r="B261" s="307" t="n">
        <v>64591002</v>
      </c>
      <c r="C261" s="307" t="s">
        <v>2069</v>
      </c>
      <c r="D261" s="307" t="s">
        <v>1926</v>
      </c>
      <c r="E261" s="307" t="s">
        <v>2006</v>
      </c>
      <c r="F261" s="307" t="s">
        <v>2052</v>
      </c>
      <c r="G261" s="307" t="s">
        <v>1973</v>
      </c>
      <c r="H261" s="307" t="s">
        <v>1536</v>
      </c>
      <c r="I261" s="307" t="s">
        <v>1988</v>
      </c>
      <c r="J261" s="307" t="s">
        <v>1499</v>
      </c>
      <c r="K261" s="307" t="s">
        <v>1989</v>
      </c>
      <c r="L261" s="317" t="s">
        <v>1976</v>
      </c>
      <c r="M261" s="317" t="s">
        <v>279</v>
      </c>
      <c r="N261" s="317" t="s">
        <v>2008</v>
      </c>
      <c r="O261" s="317" t="s">
        <v>279</v>
      </c>
      <c r="P261" s="317" t="s">
        <v>279</v>
      </c>
      <c r="Q261" s="318" t="n">
        <v>1913268307</v>
      </c>
      <c r="R261" s="318" t="n">
        <v>67069604</v>
      </c>
      <c r="S261" s="318" t="n">
        <v>173962662</v>
      </c>
      <c r="T261" s="318" t="n">
        <v>317055486</v>
      </c>
      <c r="U261" s="318" t="n">
        <v>492540726</v>
      </c>
      <c r="V261" s="318" t="n">
        <v>603555579</v>
      </c>
      <c r="W261" s="318" t="n">
        <v>836574145</v>
      </c>
      <c r="X261" s="318" t="n">
        <v>973524085</v>
      </c>
      <c r="Y261" s="318" t="n">
        <v>1081079388</v>
      </c>
      <c r="Z261" s="318" t="n">
        <v>1187318831</v>
      </c>
      <c r="AA261" s="318"/>
      <c r="AB261" s="318"/>
      <c r="AC261" s="318"/>
      <c r="AD261" s="318"/>
      <c r="AE261" s="318" t="n">
        <f aca="false">R261</f>
        <v>67069604</v>
      </c>
      <c r="AF261" s="318" t="n">
        <f aca="false">S261-R261</f>
        <v>106893058</v>
      </c>
      <c r="AG261" s="318" t="n">
        <f aca="false">T261-S261</f>
        <v>143092824</v>
      </c>
      <c r="AH261" s="318" t="n">
        <f aca="false">U261-T261</f>
        <v>175485240</v>
      </c>
      <c r="AI261" s="318" t="n">
        <f aca="false">V261-U261</f>
        <v>111014853</v>
      </c>
      <c r="AJ261" s="318" t="n">
        <f aca="false">W261-V261</f>
        <v>233018566</v>
      </c>
      <c r="AK261" s="318" t="n">
        <f aca="false">X261-W261</f>
        <v>136949940</v>
      </c>
      <c r="AL261" s="318" t="n">
        <f aca="false">Y261-X261</f>
        <v>107555303</v>
      </c>
      <c r="AM261" s="318" t="n">
        <f aca="false">Z261-Y261</f>
        <v>106239443</v>
      </c>
      <c r="AN261" s="318" t="s">
        <v>1726</v>
      </c>
      <c r="AO261" s="318" t="n">
        <f aca="false">AB261-AA261</f>
        <v>0</v>
      </c>
      <c r="AP261" s="318" t="n">
        <f aca="false">AC261-AB261</f>
        <v>0</v>
      </c>
      <c r="AR261" s="307" t="str">
        <f aca="false">IFERROR(VLOOKUP(M261,'PL_DEC.2026'!$D$11:$D$99,1,FALSE()),"(미존재)")</f>
        <v>광고선전비</v>
      </c>
    </row>
    <row r="262" customFormat="false" ht="15" hidden="false" customHeight="false" outlineLevel="0" collapsed="false">
      <c r="A262" s="310" t="s">
        <v>841</v>
      </c>
      <c r="B262" s="307" t="n">
        <v>64591006</v>
      </c>
      <c r="C262" s="307" t="s">
        <v>2070</v>
      </c>
      <c r="G262" s="307" t="s">
        <v>1973</v>
      </c>
      <c r="H262" s="307" t="s">
        <v>1536</v>
      </c>
      <c r="I262" s="307" t="s">
        <v>1988</v>
      </c>
      <c r="J262" s="307" t="s">
        <v>1499</v>
      </c>
      <c r="K262" s="307" t="s">
        <v>1989</v>
      </c>
      <c r="L262" s="317" t="s">
        <v>1976</v>
      </c>
      <c r="M262" s="317" t="s">
        <v>279</v>
      </c>
      <c r="N262" s="317" t="s">
        <v>2008</v>
      </c>
      <c r="O262" s="317" t="s">
        <v>279</v>
      </c>
      <c r="P262" s="317" t="s">
        <v>279</v>
      </c>
      <c r="Q262" s="318" t="n">
        <v>0</v>
      </c>
      <c r="R262" s="318" t="n">
        <v>0</v>
      </c>
      <c r="S262" s="318" t="n">
        <v>0</v>
      </c>
      <c r="T262" s="318" t="n">
        <v>0</v>
      </c>
      <c r="U262" s="318" t="n">
        <v>0</v>
      </c>
      <c r="V262" s="318" t="n">
        <v>0</v>
      </c>
      <c r="W262" s="318" t="n">
        <v>0</v>
      </c>
      <c r="X262" s="318" t="n">
        <v>0</v>
      </c>
      <c r="Y262" s="318" t="n">
        <v>0</v>
      </c>
      <c r="Z262" s="318" t="n">
        <v>0</v>
      </c>
      <c r="AA262" s="318"/>
      <c r="AB262" s="318"/>
      <c r="AC262" s="318"/>
      <c r="AD262" s="318"/>
      <c r="AE262" s="318" t="n">
        <f aca="false">R262</f>
        <v>0</v>
      </c>
      <c r="AF262" s="318" t="n">
        <f aca="false">S262-R262</f>
        <v>0</v>
      </c>
      <c r="AG262" s="318" t="n">
        <f aca="false">T262-S262</f>
        <v>0</v>
      </c>
      <c r="AH262" s="318" t="n">
        <f aca="false">U262-T262</f>
        <v>0</v>
      </c>
      <c r="AI262" s="318" t="n">
        <f aca="false">V262-U262</f>
        <v>0</v>
      </c>
      <c r="AJ262" s="318" t="n">
        <f aca="false">W262-V262</f>
        <v>0</v>
      </c>
      <c r="AK262" s="318" t="n">
        <f aca="false">X262-W262</f>
        <v>0</v>
      </c>
      <c r="AL262" s="318" t="n">
        <f aca="false">Y262-X262</f>
        <v>0</v>
      </c>
      <c r="AM262" s="318" t="n">
        <f aca="false">Z262-Y262</f>
        <v>0</v>
      </c>
      <c r="AN262" s="318" t="s">
        <v>1726</v>
      </c>
      <c r="AO262" s="318" t="n">
        <f aca="false">AB262-AA262</f>
        <v>0</v>
      </c>
      <c r="AP262" s="318" t="n">
        <f aca="false">AC262-AB262</f>
        <v>0</v>
      </c>
      <c r="AR262" s="307" t="str">
        <f aca="false">IFERROR(VLOOKUP(M262,'PL_DEC.2026'!$D$11:$D$99,1,FALSE()),"(미존재)")</f>
        <v>광고선전비</v>
      </c>
    </row>
    <row r="263" customFormat="false" ht="15" hidden="false" customHeight="false" outlineLevel="0" collapsed="false">
      <c r="A263" s="310" t="s">
        <v>841</v>
      </c>
      <c r="B263" s="307" t="n">
        <v>64591012</v>
      </c>
      <c r="C263" s="307" t="s">
        <v>2071</v>
      </c>
      <c r="D263" s="307" t="s">
        <v>1926</v>
      </c>
      <c r="E263" s="307" t="s">
        <v>2006</v>
      </c>
      <c r="F263" s="307" t="s">
        <v>2052</v>
      </c>
      <c r="G263" s="307" t="s">
        <v>1973</v>
      </c>
      <c r="H263" s="307" t="s">
        <v>1536</v>
      </c>
      <c r="I263" s="307" t="s">
        <v>1988</v>
      </c>
      <c r="J263" s="307" t="s">
        <v>1499</v>
      </c>
      <c r="K263" s="307" t="s">
        <v>1989</v>
      </c>
      <c r="L263" s="317" t="s">
        <v>1976</v>
      </c>
      <c r="M263" s="317" t="s">
        <v>307</v>
      </c>
      <c r="N263" s="317" t="s">
        <v>2008</v>
      </c>
      <c r="O263" s="317" t="s">
        <v>279</v>
      </c>
      <c r="P263" s="317" t="s">
        <v>279</v>
      </c>
      <c r="Q263" s="318" t="n">
        <v>3899617646</v>
      </c>
      <c r="R263" s="318" t="n">
        <v>483488709</v>
      </c>
      <c r="S263" s="318" t="n">
        <v>639417737</v>
      </c>
      <c r="T263" s="318" t="n">
        <v>776251921</v>
      </c>
      <c r="U263" s="318" t="n">
        <v>978358031</v>
      </c>
      <c r="V263" s="318" t="n">
        <v>1512952296</v>
      </c>
      <c r="W263" s="318" t="n">
        <v>1869985432</v>
      </c>
      <c r="X263" s="318" t="n">
        <v>2128623852</v>
      </c>
      <c r="Y263" s="318" t="n">
        <v>2569284383</v>
      </c>
      <c r="Z263" s="318" t="n">
        <v>2672791433</v>
      </c>
      <c r="AA263" s="318"/>
      <c r="AB263" s="318"/>
      <c r="AC263" s="318"/>
      <c r="AD263" s="318"/>
      <c r="AE263" s="318" t="n">
        <f aca="false">R263</f>
        <v>483488709</v>
      </c>
      <c r="AF263" s="318" t="n">
        <f aca="false">S263-R263</f>
        <v>155929028</v>
      </c>
      <c r="AG263" s="318" t="n">
        <f aca="false">T263-S263</f>
        <v>136834184</v>
      </c>
      <c r="AH263" s="318" t="n">
        <f aca="false">U263-T263</f>
        <v>202106110</v>
      </c>
      <c r="AI263" s="318" t="n">
        <f aca="false">V263-U263</f>
        <v>534594265</v>
      </c>
      <c r="AJ263" s="318" t="n">
        <f aca="false">W263-V263</f>
        <v>357033136</v>
      </c>
      <c r="AK263" s="318" t="n">
        <f aca="false">X263-W263</f>
        <v>258638420</v>
      </c>
      <c r="AL263" s="318" t="n">
        <f aca="false">Y263-X263</f>
        <v>440660531</v>
      </c>
      <c r="AM263" s="318" t="n">
        <f aca="false">Z263-Y263</f>
        <v>103507050</v>
      </c>
      <c r="AN263" s="318" t="s">
        <v>1726</v>
      </c>
      <c r="AO263" s="318" t="n">
        <f aca="false">AB263-AA263</f>
        <v>0</v>
      </c>
      <c r="AP263" s="318" t="n">
        <f aca="false">AC263-AB263</f>
        <v>0</v>
      </c>
      <c r="AR263" s="307" t="str">
        <f aca="false">IFERROR(VLOOKUP(M263,'PL_DEC.2026'!$D$11:$D$99,1,FALSE()),"(미존재)")</f>
        <v>임상증례조사비</v>
      </c>
    </row>
    <row r="264" customFormat="false" ht="15" hidden="false" customHeight="false" outlineLevel="0" collapsed="false">
      <c r="A264" s="310" t="s">
        <v>841</v>
      </c>
      <c r="B264" s="307" t="n">
        <v>64591013</v>
      </c>
      <c r="C264" s="307" t="s">
        <v>2072</v>
      </c>
      <c r="D264" s="307" t="s">
        <v>1926</v>
      </c>
      <c r="E264" s="307" t="s">
        <v>1971</v>
      </c>
      <c r="F264" s="307" t="s">
        <v>2054</v>
      </c>
      <c r="G264" s="307" t="s">
        <v>1973</v>
      </c>
      <c r="H264" s="307" t="s">
        <v>1536</v>
      </c>
      <c r="I264" s="307" t="s">
        <v>1988</v>
      </c>
      <c r="J264" s="307" t="s">
        <v>1499</v>
      </c>
      <c r="K264" s="307" t="s">
        <v>1989</v>
      </c>
      <c r="L264" s="317" t="s">
        <v>1976</v>
      </c>
      <c r="M264" s="317" t="s">
        <v>279</v>
      </c>
      <c r="N264" s="317" t="s">
        <v>1976</v>
      </c>
      <c r="O264" s="317" t="s">
        <v>298</v>
      </c>
      <c r="P264" s="317" t="s">
        <v>298</v>
      </c>
      <c r="Q264" s="318" t="n">
        <v>3433479830</v>
      </c>
      <c r="R264" s="318" t="n">
        <v>167504726</v>
      </c>
      <c r="S264" s="318" t="n">
        <v>279083835</v>
      </c>
      <c r="T264" s="318" t="n">
        <v>611631789</v>
      </c>
      <c r="U264" s="318" t="n">
        <v>971464901</v>
      </c>
      <c r="V264" s="318" t="n">
        <v>1276578586</v>
      </c>
      <c r="W264" s="318" t="n">
        <v>1605428073</v>
      </c>
      <c r="X264" s="318" t="n">
        <v>1904794654</v>
      </c>
      <c r="Y264" s="318" t="n">
        <v>2141446227</v>
      </c>
      <c r="Z264" s="318" t="n">
        <v>2311855062</v>
      </c>
      <c r="AA264" s="318"/>
      <c r="AB264" s="318"/>
      <c r="AC264" s="318"/>
      <c r="AD264" s="318"/>
      <c r="AE264" s="318" t="n">
        <f aca="false">R264</f>
        <v>167504726</v>
      </c>
      <c r="AF264" s="318" t="n">
        <f aca="false">S264-R264</f>
        <v>111579109</v>
      </c>
      <c r="AG264" s="318" t="n">
        <f aca="false">T264-S264</f>
        <v>332547954</v>
      </c>
      <c r="AH264" s="318" t="n">
        <f aca="false">U264-T264</f>
        <v>359833112</v>
      </c>
      <c r="AI264" s="318" t="n">
        <f aca="false">V264-U264</f>
        <v>305113685</v>
      </c>
      <c r="AJ264" s="318" t="n">
        <f aca="false">W264-V264</f>
        <v>328849487</v>
      </c>
      <c r="AK264" s="318" t="n">
        <f aca="false">X264-W264</f>
        <v>299366581</v>
      </c>
      <c r="AL264" s="318" t="n">
        <f aca="false">Y264-X264</f>
        <v>236651573</v>
      </c>
      <c r="AM264" s="318" t="n">
        <f aca="false">Z264-Y264</f>
        <v>170408835</v>
      </c>
      <c r="AN264" s="318" t="s">
        <v>1726</v>
      </c>
      <c r="AO264" s="318" t="n">
        <f aca="false">AB264-AA264</f>
        <v>0</v>
      </c>
      <c r="AP264" s="318" t="n">
        <f aca="false">AC264-AB264</f>
        <v>0</v>
      </c>
      <c r="AR264" s="307" t="str">
        <f aca="false">IFERROR(VLOOKUP(M264,'PL_DEC.2026'!$D$11:$D$99,1,FALSE()),"(미존재)")</f>
        <v>광고선전비</v>
      </c>
    </row>
    <row r="265" customFormat="false" ht="15" hidden="false" customHeight="false" outlineLevel="0" collapsed="false">
      <c r="A265" s="310" t="s">
        <v>841</v>
      </c>
      <c r="B265" s="307" t="n">
        <v>64591023</v>
      </c>
      <c r="C265" s="307" t="s">
        <v>2073</v>
      </c>
      <c r="D265" s="307" t="s">
        <v>1926</v>
      </c>
      <c r="E265" s="307" t="s">
        <v>1971</v>
      </c>
      <c r="F265" s="307" t="s">
        <v>1978</v>
      </c>
      <c r="G265" s="307" t="s">
        <v>1973</v>
      </c>
      <c r="H265" s="307" t="s">
        <v>1536</v>
      </c>
      <c r="I265" s="307" t="s">
        <v>1988</v>
      </c>
      <c r="J265" s="307" t="s">
        <v>1499</v>
      </c>
      <c r="K265" s="307" t="s">
        <v>1989</v>
      </c>
      <c r="L265" s="317" t="s">
        <v>1976</v>
      </c>
      <c r="M265" s="317" t="s">
        <v>307</v>
      </c>
      <c r="N265" s="317" t="s">
        <v>1976</v>
      </c>
      <c r="O265" s="317" t="s">
        <v>1979</v>
      </c>
      <c r="P265" s="317" t="s">
        <v>1979</v>
      </c>
      <c r="Q265" s="318" t="n">
        <v>5337493600</v>
      </c>
      <c r="R265" s="318" t="n">
        <v>610685396</v>
      </c>
      <c r="S265" s="318" t="n">
        <v>1120419029</v>
      </c>
      <c r="T265" s="318" t="n">
        <v>1145168894</v>
      </c>
      <c r="U265" s="318" t="n">
        <v>1962088329</v>
      </c>
      <c r="V265" s="318" t="n">
        <v>2239239957</v>
      </c>
      <c r="W265" s="318" t="n">
        <v>2245640373</v>
      </c>
      <c r="X265" s="318" t="n">
        <v>2966609036</v>
      </c>
      <c r="Y265" s="318" t="n">
        <v>3278025626</v>
      </c>
      <c r="Z265" s="318" t="n">
        <v>3336401089</v>
      </c>
      <c r="AA265" s="318"/>
      <c r="AB265" s="318"/>
      <c r="AC265" s="318"/>
      <c r="AD265" s="318"/>
      <c r="AE265" s="318" t="n">
        <f aca="false">R265</f>
        <v>610685396</v>
      </c>
      <c r="AF265" s="318" t="n">
        <f aca="false">S265-R265</f>
        <v>509733633</v>
      </c>
      <c r="AG265" s="318" t="n">
        <f aca="false">T265-S265</f>
        <v>24749865</v>
      </c>
      <c r="AH265" s="318" t="n">
        <f aca="false">U265-T265</f>
        <v>816919435</v>
      </c>
      <c r="AI265" s="318" t="n">
        <f aca="false">V265-U265</f>
        <v>277151628</v>
      </c>
      <c r="AJ265" s="318" t="n">
        <f aca="false">W265-V265</f>
        <v>6400416</v>
      </c>
      <c r="AK265" s="318" t="n">
        <f aca="false">X265-W265</f>
        <v>720968663</v>
      </c>
      <c r="AL265" s="318" t="n">
        <f aca="false">Y265-X265</f>
        <v>311416590</v>
      </c>
      <c r="AM265" s="318" t="n">
        <f aca="false">Z265-Y265</f>
        <v>58375463</v>
      </c>
      <c r="AN265" s="318" t="s">
        <v>1726</v>
      </c>
      <c r="AO265" s="318" t="n">
        <f aca="false">AB265-AA265</f>
        <v>0</v>
      </c>
      <c r="AP265" s="318" t="n">
        <f aca="false">AC265-AB265</f>
        <v>0</v>
      </c>
      <c r="AR265" s="307" t="str">
        <f aca="false">IFERROR(VLOOKUP(M265,'PL_DEC.2026'!$D$11:$D$99,1,FALSE()),"(미존재)")</f>
        <v>임상증례조사비</v>
      </c>
    </row>
    <row r="266" customFormat="false" ht="15" hidden="false" customHeight="false" outlineLevel="0" collapsed="false">
      <c r="A266" s="310" t="s">
        <v>841</v>
      </c>
      <c r="B266" s="307" t="n">
        <v>64591062</v>
      </c>
      <c r="C266" s="307" t="s">
        <v>2074</v>
      </c>
      <c r="D266" s="307" t="s">
        <v>1926</v>
      </c>
      <c r="E266" s="307" t="s">
        <v>1971</v>
      </c>
      <c r="F266" s="307" t="s">
        <v>1972</v>
      </c>
      <c r="G266" s="307" t="s">
        <v>1973</v>
      </c>
      <c r="H266" s="307" t="s">
        <v>1536</v>
      </c>
      <c r="I266" s="307" t="s">
        <v>1988</v>
      </c>
      <c r="J266" s="307" t="s">
        <v>1499</v>
      </c>
      <c r="K266" s="307" t="s">
        <v>1989</v>
      </c>
      <c r="L266" s="317" t="s">
        <v>1976</v>
      </c>
      <c r="M266" s="317" t="s">
        <v>299</v>
      </c>
      <c r="N266" s="317" t="s">
        <v>1976</v>
      </c>
      <c r="O266" s="317" t="s">
        <v>299</v>
      </c>
      <c r="P266" s="317" t="s">
        <v>299</v>
      </c>
      <c r="Q266" s="318" t="n">
        <v>34257251</v>
      </c>
      <c r="R266" s="318" t="n">
        <v>0</v>
      </c>
      <c r="S266" s="318" t="n">
        <v>0</v>
      </c>
      <c r="T266" s="318" t="n">
        <v>0</v>
      </c>
      <c r="U266" s="318" t="n">
        <v>0</v>
      </c>
      <c r="V266" s="318" t="n">
        <v>0</v>
      </c>
      <c r="W266" s="318" t="n">
        <v>0</v>
      </c>
      <c r="X266" s="318" t="n">
        <v>0</v>
      </c>
      <c r="Y266" s="318" t="n">
        <v>0</v>
      </c>
      <c r="Z266" s="318" t="n">
        <v>0</v>
      </c>
      <c r="AA266" s="318"/>
      <c r="AB266" s="318"/>
      <c r="AC266" s="318"/>
      <c r="AD266" s="318"/>
      <c r="AE266" s="318" t="n">
        <f aca="false">R266</f>
        <v>0</v>
      </c>
      <c r="AF266" s="318" t="n">
        <f aca="false">S266-R266</f>
        <v>0</v>
      </c>
      <c r="AG266" s="318" t="n">
        <f aca="false">T266-S266</f>
        <v>0</v>
      </c>
      <c r="AH266" s="318" t="n">
        <f aca="false">U266-T266</f>
        <v>0</v>
      </c>
      <c r="AI266" s="318" t="n">
        <f aca="false">V266-U266</f>
        <v>0</v>
      </c>
      <c r="AJ266" s="318" t="n">
        <f aca="false">W266-V266</f>
        <v>0</v>
      </c>
      <c r="AK266" s="318" t="n">
        <f aca="false">X266-W266</f>
        <v>0</v>
      </c>
      <c r="AL266" s="318" t="n">
        <f aca="false">Y266-X266</f>
        <v>0</v>
      </c>
      <c r="AM266" s="318" t="n">
        <f aca="false">Z266-Y266</f>
        <v>0</v>
      </c>
      <c r="AN266" s="318" t="s">
        <v>1726</v>
      </c>
      <c r="AO266" s="318" t="n">
        <f aca="false">AB266-AA266</f>
        <v>0</v>
      </c>
      <c r="AP266" s="318" t="n">
        <f aca="false">AC266-AB266</f>
        <v>0</v>
      </c>
      <c r="AR266" s="307" t="str">
        <f aca="false">IFERROR(VLOOKUP(M266,'PL_DEC.2026'!$D$11:$D$99,1,FALSE()),"(미존재)")</f>
        <v>지급수수료</v>
      </c>
    </row>
    <row r="267" customFormat="false" ht="15" hidden="false" customHeight="false" outlineLevel="0" collapsed="false">
      <c r="A267" s="310" t="s">
        <v>841</v>
      </c>
      <c r="B267" s="307" t="n">
        <v>64591075</v>
      </c>
      <c r="C267" s="307" t="s">
        <v>2075</v>
      </c>
      <c r="D267" s="307" t="s">
        <v>1926</v>
      </c>
      <c r="E267" s="307" t="s">
        <v>1971</v>
      </c>
      <c r="F267" s="307" t="s">
        <v>2076</v>
      </c>
      <c r="G267" s="307" t="s">
        <v>1973</v>
      </c>
      <c r="H267" s="307" t="s">
        <v>1536</v>
      </c>
      <c r="I267" s="307" t="s">
        <v>1988</v>
      </c>
      <c r="J267" s="307" t="s">
        <v>1499</v>
      </c>
      <c r="K267" s="307" t="s">
        <v>1989</v>
      </c>
      <c r="L267" s="317" t="s">
        <v>920</v>
      </c>
      <c r="M267" s="317" t="s">
        <v>339</v>
      </c>
      <c r="N267" s="317" t="s">
        <v>1976</v>
      </c>
      <c r="O267" s="317" t="s">
        <v>292</v>
      </c>
      <c r="P267" s="317" t="s">
        <v>292</v>
      </c>
      <c r="Q267" s="318" t="n">
        <v>55278600</v>
      </c>
      <c r="R267" s="318" t="n">
        <v>-1027610</v>
      </c>
      <c r="S267" s="318" t="n">
        <v>6517070</v>
      </c>
      <c r="T267" s="318" t="n">
        <v>23350410</v>
      </c>
      <c r="U267" s="318" t="n">
        <v>33151940</v>
      </c>
      <c r="V267" s="318" t="n">
        <v>48016790</v>
      </c>
      <c r="W267" s="318" t="n">
        <v>61693370</v>
      </c>
      <c r="X267" s="318" t="n">
        <v>74523910</v>
      </c>
      <c r="Y267" s="318" t="n">
        <v>72970620</v>
      </c>
      <c r="Z267" s="318" t="n">
        <v>75168530</v>
      </c>
      <c r="AA267" s="318"/>
      <c r="AB267" s="318"/>
      <c r="AC267" s="318"/>
      <c r="AD267" s="318"/>
      <c r="AE267" s="318" t="n">
        <f aca="false">R267</f>
        <v>-1027610</v>
      </c>
      <c r="AF267" s="318" t="n">
        <f aca="false">S267-R267</f>
        <v>7544680</v>
      </c>
      <c r="AG267" s="318" t="n">
        <f aca="false">T267-S267</f>
        <v>16833340</v>
      </c>
      <c r="AH267" s="318" t="n">
        <f aca="false">U267-T267</f>
        <v>9801530</v>
      </c>
      <c r="AI267" s="318" t="n">
        <f aca="false">V267-U267</f>
        <v>14864850</v>
      </c>
      <c r="AJ267" s="318" t="n">
        <f aca="false">W267-V267</f>
        <v>13676580</v>
      </c>
      <c r="AK267" s="318" t="n">
        <f aca="false">X267-W267</f>
        <v>12830540</v>
      </c>
      <c r="AL267" s="318" t="n">
        <f aca="false">Y267-X267</f>
        <v>-1553290</v>
      </c>
      <c r="AM267" s="318" t="n">
        <f aca="false">Z267-Y267</f>
        <v>2197910</v>
      </c>
      <c r="AN267" s="318" t="s">
        <v>1726</v>
      </c>
      <c r="AO267" s="318" t="n">
        <f aca="false">AB267-AA267</f>
        <v>0</v>
      </c>
      <c r="AP267" s="318" t="n">
        <f aca="false">AC267-AB267</f>
        <v>0</v>
      </c>
      <c r="AR267" s="307" t="str">
        <f aca="false">IFERROR(VLOOKUP(M267,'PL_DEC.2026'!$D$11:$D$99,1,FALSE()),"(미존재)")</f>
        <v>잡이익</v>
      </c>
    </row>
    <row r="268" customFormat="false" ht="15" hidden="false" customHeight="false" outlineLevel="0" collapsed="false">
      <c r="A268" s="310" t="s">
        <v>841</v>
      </c>
      <c r="B268" s="307" t="n">
        <v>64591076</v>
      </c>
      <c r="C268" s="307" t="s">
        <v>2077</v>
      </c>
      <c r="D268" s="307" t="s">
        <v>1926</v>
      </c>
      <c r="E268" s="307" t="s">
        <v>1971</v>
      </c>
      <c r="F268" s="307" t="s">
        <v>1972</v>
      </c>
      <c r="G268" s="307" t="s">
        <v>1973</v>
      </c>
      <c r="H268" s="307" t="s">
        <v>1536</v>
      </c>
      <c r="I268" s="307" t="s">
        <v>1988</v>
      </c>
      <c r="J268" s="307" t="s">
        <v>1499</v>
      </c>
      <c r="K268" s="307" t="s">
        <v>1989</v>
      </c>
      <c r="L268" s="317" t="s">
        <v>1976</v>
      </c>
      <c r="M268" s="317" t="s">
        <v>299</v>
      </c>
      <c r="N268" s="317" t="s">
        <v>1976</v>
      </c>
      <c r="O268" s="317" t="s">
        <v>299</v>
      </c>
      <c r="P268" s="317" t="s">
        <v>299</v>
      </c>
      <c r="Q268" s="318" t="n">
        <v>143196600</v>
      </c>
      <c r="R268" s="318" t="n">
        <v>4743500</v>
      </c>
      <c r="S268" s="318" t="n">
        <v>8145682</v>
      </c>
      <c r="T268" s="318" t="n">
        <v>14312582</v>
      </c>
      <c r="U268" s="318" t="n">
        <v>17962064</v>
      </c>
      <c r="V268" s="318" t="n">
        <v>35063064</v>
      </c>
      <c r="W268" s="318" t="n">
        <v>45739264</v>
      </c>
      <c r="X268" s="318" t="n">
        <v>48697764</v>
      </c>
      <c r="Y268" s="318" t="n">
        <v>58552664</v>
      </c>
      <c r="Z268" s="318" t="n">
        <v>60782292</v>
      </c>
      <c r="AA268" s="318"/>
      <c r="AB268" s="318"/>
      <c r="AC268" s="318"/>
      <c r="AD268" s="318"/>
      <c r="AE268" s="318" t="n">
        <f aca="false">R268</f>
        <v>4743500</v>
      </c>
      <c r="AF268" s="318" t="n">
        <f aca="false">S268-R268</f>
        <v>3402182</v>
      </c>
      <c r="AG268" s="318" t="n">
        <f aca="false">T268-S268</f>
        <v>6166900</v>
      </c>
      <c r="AH268" s="318" t="n">
        <f aca="false">U268-T268</f>
        <v>3649482</v>
      </c>
      <c r="AI268" s="318" t="n">
        <f aca="false">V268-U268</f>
        <v>17101000</v>
      </c>
      <c r="AJ268" s="318" t="n">
        <f aca="false">W268-V268</f>
        <v>10676200</v>
      </c>
      <c r="AK268" s="318" t="n">
        <f aca="false">X268-W268</f>
        <v>2958500</v>
      </c>
      <c r="AL268" s="318" t="n">
        <f aca="false">Y268-X268</f>
        <v>9854900</v>
      </c>
      <c r="AM268" s="318" t="n">
        <f aca="false">Z268-Y268</f>
        <v>2229628</v>
      </c>
      <c r="AN268" s="318" t="s">
        <v>1726</v>
      </c>
      <c r="AO268" s="318" t="n">
        <f aca="false">AB268-AA268</f>
        <v>0</v>
      </c>
      <c r="AP268" s="318" t="n">
        <f aca="false">AC268-AB268</f>
        <v>0</v>
      </c>
      <c r="AR268" s="307" t="str">
        <f aca="false">IFERROR(VLOOKUP(M268,'PL_DEC.2026'!$D$11:$D$99,1,FALSE()),"(미존재)")</f>
        <v>지급수수료</v>
      </c>
    </row>
    <row r="269" customFormat="false" ht="15" hidden="false" customHeight="false" outlineLevel="0" collapsed="false">
      <c r="A269" s="310" t="s">
        <v>841</v>
      </c>
      <c r="B269" s="307" t="n">
        <v>64591078</v>
      </c>
      <c r="C269" s="307" t="s">
        <v>2078</v>
      </c>
      <c r="D269" s="307" t="s">
        <v>1926</v>
      </c>
      <c r="E269" s="307" t="s">
        <v>1971</v>
      </c>
      <c r="F269" s="307" t="s">
        <v>1972</v>
      </c>
      <c r="G269" s="307" t="s">
        <v>1973</v>
      </c>
      <c r="H269" s="307" t="s">
        <v>1536</v>
      </c>
      <c r="I269" s="307" t="s">
        <v>1988</v>
      </c>
      <c r="J269" s="307" t="s">
        <v>1499</v>
      </c>
      <c r="K269" s="307" t="s">
        <v>1989</v>
      </c>
      <c r="L269" s="317" t="s">
        <v>1976</v>
      </c>
      <c r="M269" s="317" t="s">
        <v>299</v>
      </c>
      <c r="N269" s="317" t="s">
        <v>1976</v>
      </c>
      <c r="O269" s="317" t="s">
        <v>299</v>
      </c>
      <c r="P269" s="317" t="s">
        <v>299</v>
      </c>
      <c r="Q269" s="318" t="n">
        <v>113760726</v>
      </c>
      <c r="R269" s="318" t="n">
        <v>6132168</v>
      </c>
      <c r="S269" s="318" t="n">
        <v>14736256</v>
      </c>
      <c r="T269" s="318" t="n">
        <v>37730557</v>
      </c>
      <c r="U269" s="318" t="n">
        <v>44736557</v>
      </c>
      <c r="V269" s="318" t="n">
        <v>57084389</v>
      </c>
      <c r="W269" s="318" t="n">
        <v>72787769</v>
      </c>
      <c r="X269" s="318" t="n">
        <v>85223338</v>
      </c>
      <c r="Y269" s="318" t="n">
        <v>99310968</v>
      </c>
      <c r="Z269" s="318" t="n">
        <v>114532971</v>
      </c>
      <c r="AA269" s="318"/>
      <c r="AB269" s="318"/>
      <c r="AC269" s="318"/>
      <c r="AD269" s="318"/>
      <c r="AE269" s="318" t="n">
        <f aca="false">R269</f>
        <v>6132168</v>
      </c>
      <c r="AF269" s="318" t="n">
        <f aca="false">S269-R269</f>
        <v>8604088</v>
      </c>
      <c r="AG269" s="318" t="n">
        <f aca="false">T269-S269</f>
        <v>22994301</v>
      </c>
      <c r="AH269" s="318" t="n">
        <f aca="false">U269-T269</f>
        <v>7006000</v>
      </c>
      <c r="AI269" s="318" t="n">
        <f aca="false">V269-U269</f>
        <v>12347832</v>
      </c>
      <c r="AJ269" s="318" t="n">
        <f aca="false">W269-V269</f>
        <v>15703380</v>
      </c>
      <c r="AK269" s="318" t="n">
        <f aca="false">X269-W269</f>
        <v>12435569</v>
      </c>
      <c r="AL269" s="318" t="n">
        <f aca="false">Y269-X269</f>
        <v>14087630</v>
      </c>
      <c r="AM269" s="318" t="n">
        <f aca="false">Z269-Y269</f>
        <v>15222003</v>
      </c>
      <c r="AN269" s="318" t="s">
        <v>1726</v>
      </c>
      <c r="AO269" s="318" t="n">
        <f aca="false">AB269-AA269</f>
        <v>0</v>
      </c>
      <c r="AP269" s="318" t="n">
        <f aca="false">AC269-AB269</f>
        <v>0</v>
      </c>
      <c r="AR269" s="307" t="str">
        <f aca="false">IFERROR(VLOOKUP(M269,'PL_DEC.2026'!$D$11:$D$99,1,FALSE()),"(미존재)")</f>
        <v>지급수수료</v>
      </c>
    </row>
    <row r="270" customFormat="false" ht="15" hidden="false" customHeight="false" outlineLevel="0" collapsed="false">
      <c r="A270" s="310" t="s">
        <v>841</v>
      </c>
      <c r="B270" s="307" t="n">
        <v>64600005</v>
      </c>
      <c r="C270" s="307" t="s">
        <v>2079</v>
      </c>
      <c r="D270" s="307" t="s">
        <v>1926</v>
      </c>
      <c r="E270" s="307" t="s">
        <v>2006</v>
      </c>
      <c r="F270" s="307" t="s">
        <v>2052</v>
      </c>
      <c r="G270" s="307" t="s">
        <v>1973</v>
      </c>
      <c r="H270" s="307" t="s">
        <v>1536</v>
      </c>
      <c r="I270" s="307" t="s">
        <v>2080</v>
      </c>
      <c r="K270" s="307" t="s">
        <v>2081</v>
      </c>
      <c r="L270" s="317" t="s">
        <v>1976</v>
      </c>
      <c r="M270" s="317" t="s">
        <v>299</v>
      </c>
      <c r="N270" s="317" t="s">
        <v>2008</v>
      </c>
      <c r="O270" s="317" t="s">
        <v>279</v>
      </c>
      <c r="P270" s="317" t="s">
        <v>279</v>
      </c>
      <c r="Q270" s="318" t="n">
        <v>11966044</v>
      </c>
      <c r="R270" s="318" t="n">
        <v>0</v>
      </c>
      <c r="S270" s="318" t="n">
        <v>0</v>
      </c>
      <c r="T270" s="318" t="n">
        <v>0</v>
      </c>
      <c r="U270" s="318" t="n">
        <v>0</v>
      </c>
      <c r="V270" s="318" t="n">
        <v>17760</v>
      </c>
      <c r="W270" s="318" t="n">
        <v>4037000</v>
      </c>
      <c r="X270" s="318" t="n">
        <v>7628538</v>
      </c>
      <c r="Y270" s="318" t="n">
        <v>8048515</v>
      </c>
      <c r="Z270" s="318" t="n">
        <v>5671111</v>
      </c>
      <c r="AA270" s="318"/>
      <c r="AB270" s="318"/>
      <c r="AC270" s="318"/>
      <c r="AD270" s="318"/>
      <c r="AE270" s="318" t="n">
        <f aca="false">R270</f>
        <v>0</v>
      </c>
      <c r="AF270" s="318" t="n">
        <f aca="false">S270-R270</f>
        <v>0</v>
      </c>
      <c r="AG270" s="318" t="n">
        <f aca="false">T270-S270</f>
        <v>0</v>
      </c>
      <c r="AH270" s="318" t="n">
        <f aca="false">U270-T270</f>
        <v>0</v>
      </c>
      <c r="AI270" s="318" t="n">
        <f aca="false">V270-U270</f>
        <v>17760</v>
      </c>
      <c r="AJ270" s="318" t="n">
        <f aca="false">W270-V270</f>
        <v>4019240</v>
      </c>
      <c r="AK270" s="318" t="n">
        <f aca="false">X270-W270</f>
        <v>3591538</v>
      </c>
      <c r="AL270" s="318" t="n">
        <f aca="false">Y270-X270</f>
        <v>419977</v>
      </c>
      <c r="AM270" s="318" t="n">
        <f aca="false">Z270-Y270</f>
        <v>-2377404</v>
      </c>
      <c r="AN270" s="318" t="s">
        <v>1726</v>
      </c>
      <c r="AO270" s="318" t="n">
        <f aca="false">AB270-AA270</f>
        <v>0</v>
      </c>
      <c r="AP270" s="318" t="n">
        <f aca="false">AC270-AB270</f>
        <v>0</v>
      </c>
      <c r="AR270" s="307" t="str">
        <f aca="false">IFERROR(VLOOKUP(M270,'PL_DEC.2026'!$D$11:$D$99,1,FALSE()),"(미존재)")</f>
        <v>지급수수료</v>
      </c>
    </row>
    <row r="271" customFormat="false" ht="15" hidden="false" customHeight="false" outlineLevel="0" collapsed="false">
      <c r="A271" s="310" t="s">
        <v>841</v>
      </c>
      <c r="B271" s="307" t="n">
        <v>64600030</v>
      </c>
      <c r="C271" s="307" t="s">
        <v>2082</v>
      </c>
      <c r="D271" s="307" t="s">
        <v>1926</v>
      </c>
      <c r="E271" s="307" t="s">
        <v>1971</v>
      </c>
      <c r="F271" s="307" t="s">
        <v>2083</v>
      </c>
      <c r="G271" s="307" t="s">
        <v>1973</v>
      </c>
      <c r="H271" s="307" t="s">
        <v>1536</v>
      </c>
      <c r="I271" s="307" t="s">
        <v>1988</v>
      </c>
      <c r="J271" s="307" t="s">
        <v>1499</v>
      </c>
      <c r="K271" s="307" t="s">
        <v>1989</v>
      </c>
      <c r="L271" s="317" t="s">
        <v>1976</v>
      </c>
      <c r="M271" s="317" t="s">
        <v>291</v>
      </c>
      <c r="N271" s="317" t="s">
        <v>1976</v>
      </c>
      <c r="O271" s="317" t="s">
        <v>291</v>
      </c>
      <c r="P271" s="317" t="s">
        <v>291</v>
      </c>
      <c r="Q271" s="318" t="n">
        <v>29264836</v>
      </c>
      <c r="R271" s="318" t="n">
        <v>1525400</v>
      </c>
      <c r="S271" s="318" t="n">
        <v>3690160</v>
      </c>
      <c r="T271" s="318" t="n">
        <v>5968840</v>
      </c>
      <c r="U271" s="318" t="n">
        <v>9166570</v>
      </c>
      <c r="V271" s="318" t="n">
        <v>10937960</v>
      </c>
      <c r="W271" s="318" t="n">
        <v>13191850</v>
      </c>
      <c r="X271" s="318" t="n">
        <v>15504370</v>
      </c>
      <c r="Y271" s="318" t="n">
        <v>17258830</v>
      </c>
      <c r="Z271" s="318" t="n">
        <v>19716910</v>
      </c>
      <c r="AA271" s="318"/>
      <c r="AB271" s="318"/>
      <c r="AC271" s="318"/>
      <c r="AD271" s="318"/>
      <c r="AE271" s="318" t="n">
        <f aca="false">R271</f>
        <v>1525400</v>
      </c>
      <c r="AF271" s="318" t="n">
        <f aca="false">S271-R271</f>
        <v>2164760</v>
      </c>
      <c r="AG271" s="318" t="n">
        <f aca="false">T271-S271</f>
        <v>2278680</v>
      </c>
      <c r="AH271" s="318" t="n">
        <f aca="false">U271-T271</f>
        <v>3197730</v>
      </c>
      <c r="AI271" s="318" t="n">
        <f aca="false">V271-U271</f>
        <v>1771390</v>
      </c>
      <c r="AJ271" s="318" t="n">
        <f aca="false">W271-V271</f>
        <v>2253890</v>
      </c>
      <c r="AK271" s="318" t="n">
        <f aca="false">X271-W271</f>
        <v>2312520</v>
      </c>
      <c r="AL271" s="318" t="n">
        <f aca="false">Y271-X271</f>
        <v>1754460</v>
      </c>
      <c r="AM271" s="318" t="n">
        <f aca="false">Z271-Y271</f>
        <v>2458080</v>
      </c>
      <c r="AN271" s="318" t="s">
        <v>1726</v>
      </c>
      <c r="AO271" s="318" t="n">
        <f aca="false">AB271-AA271</f>
        <v>0</v>
      </c>
      <c r="AP271" s="318" t="n">
        <f aca="false">AC271-AB271</f>
        <v>0</v>
      </c>
      <c r="AR271" s="307" t="str">
        <f aca="false">IFERROR(VLOOKUP(M271,'PL_DEC.2026'!$D$11:$D$99,1,FALSE()),"(미존재)")</f>
        <v>통신비</v>
      </c>
    </row>
    <row r="272" customFormat="false" ht="15" hidden="false" customHeight="false" outlineLevel="0" collapsed="false">
      <c r="A272" s="310" t="s">
        <v>841</v>
      </c>
      <c r="B272" s="307" t="n">
        <v>64600050</v>
      </c>
      <c r="C272" s="307" t="s">
        <v>2084</v>
      </c>
      <c r="D272" s="307" t="s">
        <v>1926</v>
      </c>
      <c r="E272" s="307" t="s">
        <v>1971</v>
      </c>
      <c r="F272" s="307" t="s">
        <v>2085</v>
      </c>
      <c r="G272" s="307" t="s">
        <v>1973</v>
      </c>
      <c r="H272" s="307" t="s">
        <v>1536</v>
      </c>
      <c r="I272" s="307" t="s">
        <v>1988</v>
      </c>
      <c r="J272" s="307" t="s">
        <v>1499</v>
      </c>
      <c r="K272" s="307" t="s">
        <v>1989</v>
      </c>
      <c r="L272" s="317" t="s">
        <v>1976</v>
      </c>
      <c r="M272" s="317" t="s">
        <v>277</v>
      </c>
      <c r="N272" s="317" t="s">
        <v>1976</v>
      </c>
      <c r="O272" s="317" t="s">
        <v>303</v>
      </c>
      <c r="P272" s="317" t="s">
        <v>303</v>
      </c>
      <c r="Q272" s="318" t="n">
        <v>1224384275</v>
      </c>
      <c r="R272" s="318" t="n">
        <v>0</v>
      </c>
      <c r="S272" s="318" t="n">
        <v>160940419</v>
      </c>
      <c r="T272" s="318" t="n">
        <v>245332335</v>
      </c>
      <c r="U272" s="318" t="n">
        <v>306038983</v>
      </c>
      <c r="V272" s="318" t="n">
        <v>406524289</v>
      </c>
      <c r="W272" s="318" t="n">
        <v>489201656</v>
      </c>
      <c r="X272" s="318" t="n">
        <v>577961389</v>
      </c>
      <c r="Y272" s="318" t="n">
        <v>670209456</v>
      </c>
      <c r="Z272" s="318" t="n">
        <v>759893265</v>
      </c>
      <c r="AA272" s="318"/>
      <c r="AB272" s="318"/>
      <c r="AC272" s="318"/>
      <c r="AD272" s="318"/>
      <c r="AE272" s="318" t="n">
        <f aca="false">R272</f>
        <v>0</v>
      </c>
      <c r="AF272" s="318" t="n">
        <f aca="false">S272-R272</f>
        <v>160940419</v>
      </c>
      <c r="AG272" s="318" t="n">
        <f aca="false">T272-S272</f>
        <v>84391916</v>
      </c>
      <c r="AH272" s="318" t="n">
        <f aca="false">U272-T272</f>
        <v>60706648</v>
      </c>
      <c r="AI272" s="318" t="n">
        <f aca="false">V272-U272</f>
        <v>100485306</v>
      </c>
      <c r="AJ272" s="318" t="n">
        <f aca="false">W272-V272</f>
        <v>82677367</v>
      </c>
      <c r="AK272" s="318" t="n">
        <f aca="false">X272-W272</f>
        <v>88759733</v>
      </c>
      <c r="AL272" s="318" t="n">
        <f aca="false">Y272-X272</f>
        <v>92248067</v>
      </c>
      <c r="AM272" s="318" t="n">
        <f aca="false">Z272-Y272</f>
        <v>89683809</v>
      </c>
      <c r="AN272" s="318" t="s">
        <v>1726</v>
      </c>
      <c r="AO272" s="318" t="n">
        <f aca="false">AB272-AA272</f>
        <v>0</v>
      </c>
      <c r="AP272" s="318" t="n">
        <f aca="false">AC272-AB272</f>
        <v>0</v>
      </c>
      <c r="AR272" s="307" t="str">
        <f aca="false">IFERROR(VLOOKUP(M272,'PL_DEC.2026'!$D$11:$D$99,1,FALSE()),"(미존재)")</f>
        <v>하조및운임</v>
      </c>
    </row>
    <row r="273" customFormat="false" ht="15" hidden="false" customHeight="false" outlineLevel="0" collapsed="false">
      <c r="A273" s="310" t="s">
        <v>841</v>
      </c>
      <c r="B273" s="307" t="n">
        <v>64600060</v>
      </c>
      <c r="C273" s="307" t="s">
        <v>2086</v>
      </c>
      <c r="D273" s="307" t="s">
        <v>1926</v>
      </c>
      <c r="E273" s="307" t="s">
        <v>1971</v>
      </c>
      <c r="F273" s="307" t="s">
        <v>1978</v>
      </c>
      <c r="G273" s="307" t="s">
        <v>1929</v>
      </c>
      <c r="H273" s="307" t="s">
        <v>1536</v>
      </c>
      <c r="I273" s="307" t="s">
        <v>1988</v>
      </c>
      <c r="J273" s="307" t="s">
        <v>1499</v>
      </c>
      <c r="K273" s="307" t="s">
        <v>1989</v>
      </c>
      <c r="L273" s="317" t="s">
        <v>1976</v>
      </c>
      <c r="M273" s="317" t="s">
        <v>299</v>
      </c>
      <c r="N273" s="317" t="s">
        <v>1976</v>
      </c>
      <c r="O273" s="317" t="s">
        <v>1979</v>
      </c>
      <c r="P273" s="317" t="s">
        <v>1979</v>
      </c>
      <c r="Q273" s="318" t="n">
        <v>1127731372</v>
      </c>
      <c r="R273" s="318" t="n">
        <v>23649100</v>
      </c>
      <c r="S273" s="318" t="n">
        <v>115635785</v>
      </c>
      <c r="T273" s="318" t="n">
        <v>152970726</v>
      </c>
      <c r="U273" s="318" t="n">
        <v>223594059</v>
      </c>
      <c r="V273" s="318" t="n">
        <v>229449392</v>
      </c>
      <c r="W273" s="318" t="n">
        <v>296410442</v>
      </c>
      <c r="X273" s="318" t="n">
        <v>339595742</v>
      </c>
      <c r="Y273" s="318" t="n">
        <v>395681576</v>
      </c>
      <c r="Z273" s="318" t="n">
        <v>532256757</v>
      </c>
      <c r="AA273" s="318"/>
      <c r="AB273" s="318"/>
      <c r="AC273" s="318"/>
      <c r="AD273" s="318"/>
      <c r="AE273" s="318" t="n">
        <f aca="false">R273</f>
        <v>23649100</v>
      </c>
      <c r="AF273" s="318" t="n">
        <f aca="false">S273-R273</f>
        <v>91986685</v>
      </c>
      <c r="AG273" s="318" t="n">
        <f aca="false">T273-S273</f>
        <v>37334941</v>
      </c>
      <c r="AH273" s="318" t="n">
        <f aca="false">U273-T273</f>
        <v>70623333</v>
      </c>
      <c r="AI273" s="318" t="n">
        <f aca="false">V273-U273</f>
        <v>5855333</v>
      </c>
      <c r="AJ273" s="318" t="n">
        <f aca="false">W273-V273</f>
        <v>66961050</v>
      </c>
      <c r="AK273" s="318" t="n">
        <f aca="false">X273-W273</f>
        <v>43185300</v>
      </c>
      <c r="AL273" s="318" t="n">
        <f aca="false">Y273-X273</f>
        <v>56085834</v>
      </c>
      <c r="AM273" s="318" t="n">
        <f aca="false">Z273-Y273</f>
        <v>136575181</v>
      </c>
      <c r="AN273" s="318" t="s">
        <v>1726</v>
      </c>
      <c r="AO273" s="318" t="n">
        <f aca="false">AB273-AA273</f>
        <v>0</v>
      </c>
      <c r="AP273" s="318" t="n">
        <f aca="false">AC273-AB273</f>
        <v>0</v>
      </c>
      <c r="AR273" s="307" t="str">
        <f aca="false">IFERROR(VLOOKUP(M273,'PL_DEC.2026'!$D$11:$D$99,1,FALSE()),"(미존재)")</f>
        <v>지급수수료</v>
      </c>
    </row>
    <row r="274" customFormat="false" ht="15" hidden="false" customHeight="false" outlineLevel="0" collapsed="false">
      <c r="A274" s="310" t="s">
        <v>841</v>
      </c>
      <c r="B274" s="307" t="n">
        <v>64600077</v>
      </c>
      <c r="C274" s="307" t="s">
        <v>2087</v>
      </c>
      <c r="G274" s="307" t="s">
        <v>1973</v>
      </c>
      <c r="H274" s="307" t="s">
        <v>1536</v>
      </c>
      <c r="I274" s="307" t="s">
        <v>1988</v>
      </c>
      <c r="J274" s="307" t="s">
        <v>1499</v>
      </c>
      <c r="K274" s="307" t="s">
        <v>1989</v>
      </c>
      <c r="L274" s="317" t="s">
        <v>1976</v>
      </c>
      <c r="M274" s="317" t="s">
        <v>299</v>
      </c>
      <c r="N274" s="317" t="s">
        <v>1976</v>
      </c>
      <c r="O274" s="317" t="s">
        <v>299</v>
      </c>
      <c r="P274" s="317" t="s">
        <v>299</v>
      </c>
      <c r="Q274" s="318" t="n">
        <v>883118930</v>
      </c>
      <c r="R274" s="318" t="n">
        <v>-79518930</v>
      </c>
      <c r="S274" s="318" t="n">
        <v>-79518930</v>
      </c>
      <c r="T274" s="318" t="n">
        <v>-65929880</v>
      </c>
      <c r="U274" s="318" t="n">
        <v>-65929880</v>
      </c>
      <c r="V274" s="318" t="n">
        <v>-65929880</v>
      </c>
      <c r="W274" s="318" t="n">
        <v>-162981298</v>
      </c>
      <c r="X274" s="318" t="n">
        <v>-162981298</v>
      </c>
      <c r="Y274" s="318" t="n">
        <v>-162981298</v>
      </c>
      <c r="Z274" s="318" t="n">
        <v>-162981298</v>
      </c>
      <c r="AA274" s="318"/>
      <c r="AB274" s="318"/>
      <c r="AC274" s="318"/>
      <c r="AD274" s="318"/>
      <c r="AE274" s="318" t="n">
        <f aca="false">R274</f>
        <v>-79518930</v>
      </c>
      <c r="AF274" s="318" t="n">
        <f aca="false">S274-R274</f>
        <v>0</v>
      </c>
      <c r="AG274" s="318" t="n">
        <f aca="false">T274-S274</f>
        <v>13589050</v>
      </c>
      <c r="AH274" s="318" t="n">
        <f aca="false">U274-T274</f>
        <v>0</v>
      </c>
      <c r="AI274" s="318" t="n">
        <f aca="false">V274-U274</f>
        <v>0</v>
      </c>
      <c r="AJ274" s="318" t="n">
        <f aca="false">W274-V274</f>
        <v>-97051418</v>
      </c>
      <c r="AK274" s="318" t="n">
        <f aca="false">X274-W274</f>
        <v>0</v>
      </c>
      <c r="AL274" s="318" t="n">
        <f aca="false">Y274-X274</f>
        <v>0</v>
      </c>
      <c r="AM274" s="318" t="n">
        <f aca="false">Z274-Y274</f>
        <v>0</v>
      </c>
      <c r="AN274" s="318" t="s">
        <v>1726</v>
      </c>
      <c r="AO274" s="318" t="n">
        <f aca="false">AB274-AA274</f>
        <v>0</v>
      </c>
      <c r="AP274" s="318" t="n">
        <f aca="false">AC274-AB274</f>
        <v>0</v>
      </c>
      <c r="AR274" s="307" t="str">
        <f aca="false">IFERROR(VLOOKUP(M274,'PL_DEC.2026'!$D$11:$D$99,1,FALSE()),"(미존재)")</f>
        <v>지급수수료</v>
      </c>
    </row>
    <row r="275" customFormat="false" ht="15" hidden="false" customHeight="false" outlineLevel="0" collapsed="false">
      <c r="A275" s="310" t="s">
        <v>841</v>
      </c>
      <c r="B275" s="307" t="n">
        <v>64600111</v>
      </c>
      <c r="C275" s="307" t="s">
        <v>2088</v>
      </c>
      <c r="D275" s="307" t="s">
        <v>1926</v>
      </c>
      <c r="E275" s="307" t="s">
        <v>1971</v>
      </c>
      <c r="F275" s="307" t="s">
        <v>1972</v>
      </c>
      <c r="G275" s="307" t="s">
        <v>1973</v>
      </c>
      <c r="H275" s="307" t="s">
        <v>1536</v>
      </c>
      <c r="I275" s="307" t="s">
        <v>1988</v>
      </c>
      <c r="J275" s="307" t="s">
        <v>1499</v>
      </c>
      <c r="K275" s="307" t="s">
        <v>1989</v>
      </c>
      <c r="L275" s="317" t="s">
        <v>1976</v>
      </c>
      <c r="M275" s="317" t="s">
        <v>299</v>
      </c>
      <c r="N275" s="317" t="s">
        <v>1976</v>
      </c>
      <c r="O275" s="317" t="s">
        <v>299</v>
      </c>
      <c r="P275" s="317" t="s">
        <v>299</v>
      </c>
      <c r="Q275" s="318" t="n">
        <v>31857000</v>
      </c>
      <c r="R275" s="318" t="n">
        <v>8362884</v>
      </c>
      <c r="S275" s="318" t="n">
        <v>16916828</v>
      </c>
      <c r="T275" s="318" t="n">
        <v>35388420</v>
      </c>
      <c r="U275" s="318" t="n">
        <v>46958330</v>
      </c>
      <c r="V275" s="318" t="n">
        <v>75996717</v>
      </c>
      <c r="W275" s="318" t="n">
        <v>94436605</v>
      </c>
      <c r="X275" s="318" t="n">
        <v>111215593</v>
      </c>
      <c r="Y275" s="318" t="n">
        <v>139255778</v>
      </c>
      <c r="Z275" s="318" t="n">
        <v>146120884</v>
      </c>
      <c r="AA275" s="318"/>
      <c r="AB275" s="318"/>
      <c r="AC275" s="318"/>
      <c r="AD275" s="318"/>
      <c r="AE275" s="318" t="n">
        <f aca="false">R275</f>
        <v>8362884</v>
      </c>
      <c r="AF275" s="318" t="n">
        <f aca="false">S275-R275</f>
        <v>8553944</v>
      </c>
      <c r="AG275" s="318" t="n">
        <f aca="false">T275-S275</f>
        <v>18471592</v>
      </c>
      <c r="AH275" s="318" t="n">
        <f aca="false">U275-T275</f>
        <v>11569910</v>
      </c>
      <c r="AI275" s="318" t="n">
        <f aca="false">V275-U275</f>
        <v>29038387</v>
      </c>
      <c r="AJ275" s="318" t="n">
        <f aca="false">W275-V275</f>
        <v>18439888</v>
      </c>
      <c r="AK275" s="318" t="n">
        <f aca="false">X275-W275</f>
        <v>16778988</v>
      </c>
      <c r="AL275" s="318" t="n">
        <f aca="false">Y275-X275</f>
        <v>28040185</v>
      </c>
      <c r="AM275" s="318" t="n">
        <f aca="false">Z275-Y275</f>
        <v>6865106</v>
      </c>
      <c r="AN275" s="318" t="s">
        <v>1726</v>
      </c>
      <c r="AO275" s="318" t="n">
        <f aca="false">AB275-AA275</f>
        <v>0</v>
      </c>
      <c r="AP275" s="318" t="n">
        <f aca="false">AC275-AB275</f>
        <v>0</v>
      </c>
      <c r="AR275" s="307" t="str">
        <f aca="false">IFERROR(VLOOKUP(M275,'PL_DEC.2026'!$D$11:$D$99,1,FALSE()),"(미존재)")</f>
        <v>지급수수료</v>
      </c>
    </row>
    <row r="276" customFormat="false" ht="15" hidden="false" customHeight="false" outlineLevel="0" collapsed="false">
      <c r="A276" s="310" t="s">
        <v>841</v>
      </c>
      <c r="B276" s="307" t="n">
        <v>64650047</v>
      </c>
      <c r="C276" s="307" t="s">
        <v>2089</v>
      </c>
      <c r="D276" s="307" t="s">
        <v>1926</v>
      </c>
      <c r="E276" s="307" t="s">
        <v>1971</v>
      </c>
      <c r="F276" s="307" t="s">
        <v>2017</v>
      </c>
      <c r="G276" s="307" t="s">
        <v>1973</v>
      </c>
      <c r="H276" s="307" t="s">
        <v>1536</v>
      </c>
      <c r="I276" s="307" t="s">
        <v>1988</v>
      </c>
      <c r="J276" s="307" t="s">
        <v>1499</v>
      </c>
      <c r="K276" s="307" t="s">
        <v>1989</v>
      </c>
      <c r="L276" s="317" t="s">
        <v>1976</v>
      </c>
      <c r="M276" s="317" t="s">
        <v>289</v>
      </c>
      <c r="N276" s="317" t="s">
        <v>1976</v>
      </c>
      <c r="O276" s="317" t="s">
        <v>289</v>
      </c>
      <c r="P276" s="317" t="s">
        <v>289</v>
      </c>
      <c r="Q276" s="318" t="n">
        <v>715350610</v>
      </c>
      <c r="R276" s="318" t="n">
        <v>41484855</v>
      </c>
      <c r="S276" s="318" t="n">
        <v>138809606</v>
      </c>
      <c r="T276" s="318" t="n">
        <v>223677419</v>
      </c>
      <c r="U276" s="318" t="n">
        <v>191020961</v>
      </c>
      <c r="V276" s="318" t="n">
        <v>255606571</v>
      </c>
      <c r="W276" s="318" t="n">
        <v>341157489</v>
      </c>
      <c r="X276" s="318" t="n">
        <v>518960522</v>
      </c>
      <c r="Y276" s="318" t="n">
        <v>542138611</v>
      </c>
      <c r="Z276" s="318" t="n">
        <v>557246116</v>
      </c>
      <c r="AA276" s="318"/>
      <c r="AB276" s="318"/>
      <c r="AC276" s="318"/>
      <c r="AD276" s="318"/>
      <c r="AE276" s="318" t="n">
        <f aca="false">R276</f>
        <v>41484855</v>
      </c>
      <c r="AF276" s="318" t="n">
        <f aca="false">S276-R276</f>
        <v>97324751</v>
      </c>
      <c r="AG276" s="318" t="n">
        <f aca="false">T276-S276</f>
        <v>84867813</v>
      </c>
      <c r="AH276" s="318" t="n">
        <f aca="false">U276-T276</f>
        <v>-32656458</v>
      </c>
      <c r="AI276" s="318" t="n">
        <f aca="false">V276-U276</f>
        <v>64585610</v>
      </c>
      <c r="AJ276" s="318" t="n">
        <f aca="false">W276-V276</f>
        <v>85550918</v>
      </c>
      <c r="AK276" s="318" t="n">
        <f aca="false">X276-W276</f>
        <v>177803033</v>
      </c>
      <c r="AL276" s="318" t="n">
        <f aca="false">Y276-X276</f>
        <v>23178089</v>
      </c>
      <c r="AM276" s="318" t="n">
        <f aca="false">Z276-Y276</f>
        <v>15107505</v>
      </c>
      <c r="AN276" s="318" t="s">
        <v>1726</v>
      </c>
      <c r="AO276" s="318" t="n">
        <f aca="false">AB276-AA276</f>
        <v>0</v>
      </c>
      <c r="AP276" s="318" t="n">
        <f aca="false">AC276-AB276</f>
        <v>0</v>
      </c>
      <c r="AR276" s="307" t="str">
        <f aca="false">IFERROR(VLOOKUP(M276,'PL_DEC.2026'!$D$11:$D$99,1,FALSE()),"(미존재)")</f>
        <v>복리후생비</v>
      </c>
    </row>
    <row r="277" customFormat="false" ht="15" hidden="false" customHeight="false" outlineLevel="0" collapsed="false">
      <c r="A277" s="310" t="s">
        <v>841</v>
      </c>
      <c r="B277" s="307" t="n">
        <v>64700600</v>
      </c>
      <c r="C277" s="307" t="s">
        <v>2090</v>
      </c>
      <c r="D277" s="307" t="s">
        <v>1926</v>
      </c>
      <c r="E277" s="307" t="s">
        <v>1971</v>
      </c>
      <c r="F277" s="307" t="s">
        <v>2076</v>
      </c>
      <c r="G277" s="307" t="s">
        <v>1973</v>
      </c>
      <c r="H277" s="307" t="s">
        <v>1536</v>
      </c>
      <c r="I277" s="307" t="s">
        <v>1988</v>
      </c>
      <c r="J277" s="307" t="s">
        <v>1499</v>
      </c>
      <c r="K277" s="307" t="s">
        <v>1989</v>
      </c>
      <c r="L277" s="317" t="s">
        <v>1976</v>
      </c>
      <c r="M277" s="317" t="s">
        <v>292</v>
      </c>
      <c r="N277" s="317" t="s">
        <v>1976</v>
      </c>
      <c r="O277" s="317" t="s">
        <v>292</v>
      </c>
      <c r="P277" s="317" t="s">
        <v>292</v>
      </c>
      <c r="Q277" s="318" t="n">
        <v>15325687</v>
      </c>
      <c r="R277" s="318" t="n">
        <v>0</v>
      </c>
      <c r="S277" s="318" t="n">
        <v>280000</v>
      </c>
      <c r="T277" s="318" t="n">
        <v>149913</v>
      </c>
      <c r="U277" s="318" t="n">
        <v>149913</v>
      </c>
      <c r="V277" s="318" t="n">
        <v>149913</v>
      </c>
      <c r="W277" s="318" t="n">
        <v>149913</v>
      </c>
      <c r="X277" s="318" t="n">
        <v>364913</v>
      </c>
      <c r="Y277" s="318" t="n">
        <v>464913</v>
      </c>
      <c r="Z277" s="318" t="n">
        <v>579913</v>
      </c>
      <c r="AA277" s="318"/>
      <c r="AB277" s="318"/>
      <c r="AC277" s="318"/>
      <c r="AD277" s="318"/>
      <c r="AE277" s="318" t="n">
        <f aca="false">R277</f>
        <v>0</v>
      </c>
      <c r="AF277" s="318" t="n">
        <f aca="false">S277-R277</f>
        <v>280000</v>
      </c>
      <c r="AG277" s="318" t="n">
        <f aca="false">T277-S277</f>
        <v>-130087</v>
      </c>
      <c r="AH277" s="318" t="n">
        <f aca="false">U277-T277</f>
        <v>0</v>
      </c>
      <c r="AI277" s="318" t="n">
        <f aca="false">V277-U277</f>
        <v>0</v>
      </c>
      <c r="AJ277" s="318" t="n">
        <f aca="false">W277-V277</f>
        <v>0</v>
      </c>
      <c r="AK277" s="318" t="n">
        <f aca="false">X277-W277</f>
        <v>215000</v>
      </c>
      <c r="AL277" s="318" t="n">
        <f aca="false">Y277-X277</f>
        <v>100000</v>
      </c>
      <c r="AM277" s="318" t="n">
        <f aca="false">Z277-Y277</f>
        <v>115000</v>
      </c>
      <c r="AN277" s="318" t="s">
        <v>1726</v>
      </c>
      <c r="AO277" s="318" t="n">
        <f aca="false">AB277-AA277</f>
        <v>0</v>
      </c>
      <c r="AP277" s="318" t="n">
        <f aca="false">AC277-AB277</f>
        <v>0</v>
      </c>
      <c r="AR277" s="307" t="str">
        <f aca="false">IFERROR(VLOOKUP(M277,'PL_DEC.2026'!$D$11:$D$99,1,FALSE()),"(미존재)")</f>
        <v>소모품비</v>
      </c>
    </row>
    <row r="278" customFormat="false" ht="15" hidden="false" customHeight="false" outlineLevel="0" collapsed="false">
      <c r="A278" s="310" t="s">
        <v>841</v>
      </c>
      <c r="B278" s="307" t="n">
        <v>64800050</v>
      </c>
      <c r="C278" s="307" t="s">
        <v>2091</v>
      </c>
      <c r="D278" s="307" t="s">
        <v>1926</v>
      </c>
      <c r="E278" s="307" t="s">
        <v>1971</v>
      </c>
      <c r="F278" s="307" t="s">
        <v>1978</v>
      </c>
      <c r="G278" s="307" t="s">
        <v>1973</v>
      </c>
      <c r="H278" s="307" t="s">
        <v>1536</v>
      </c>
      <c r="I278" s="307" t="s">
        <v>1988</v>
      </c>
      <c r="J278" s="307" t="s">
        <v>1499</v>
      </c>
      <c r="K278" s="307" t="s">
        <v>1989</v>
      </c>
      <c r="L278" s="317" t="s">
        <v>1976</v>
      </c>
      <c r="M278" s="317" t="s">
        <v>307</v>
      </c>
      <c r="N278" s="317" t="s">
        <v>1976</v>
      </c>
      <c r="O278" s="317" t="s">
        <v>1979</v>
      </c>
      <c r="P278" s="317" t="s">
        <v>1979</v>
      </c>
      <c r="Q278" s="318" t="n">
        <v>9782100</v>
      </c>
      <c r="R278" s="318" t="n">
        <v>0</v>
      </c>
      <c r="S278" s="318" t="n">
        <v>0</v>
      </c>
      <c r="T278" s="318" t="n">
        <v>10194220</v>
      </c>
      <c r="U278" s="318" t="n">
        <v>10194220</v>
      </c>
      <c r="V278" s="318" t="n">
        <v>10194220</v>
      </c>
      <c r="W278" s="318" t="n">
        <v>10194220</v>
      </c>
      <c r="X278" s="318" t="n">
        <v>10194220</v>
      </c>
      <c r="Y278" s="318" t="n">
        <v>10194220</v>
      </c>
      <c r="Z278" s="318" t="n">
        <v>21599970</v>
      </c>
      <c r="AA278" s="318"/>
      <c r="AB278" s="318"/>
      <c r="AC278" s="318"/>
      <c r="AD278" s="318"/>
      <c r="AE278" s="318" t="n">
        <f aca="false">R278</f>
        <v>0</v>
      </c>
      <c r="AF278" s="318" t="n">
        <f aca="false">S278-R278</f>
        <v>0</v>
      </c>
      <c r="AG278" s="318" t="n">
        <f aca="false">T278-S278</f>
        <v>10194220</v>
      </c>
      <c r="AH278" s="318" t="n">
        <f aca="false">U278-T278</f>
        <v>0</v>
      </c>
      <c r="AI278" s="318" t="n">
        <f aca="false">V278-U278</f>
        <v>0</v>
      </c>
      <c r="AJ278" s="318" t="n">
        <f aca="false">W278-V278</f>
        <v>0</v>
      </c>
      <c r="AK278" s="318" t="n">
        <f aca="false">X278-W278</f>
        <v>0</v>
      </c>
      <c r="AL278" s="318" t="n">
        <f aca="false">Y278-X278</f>
        <v>0</v>
      </c>
      <c r="AM278" s="318" t="n">
        <f aca="false">Z278-Y278</f>
        <v>11405750</v>
      </c>
      <c r="AN278" s="318" t="s">
        <v>1726</v>
      </c>
      <c r="AO278" s="318" t="n">
        <f aca="false">AB278-AA278</f>
        <v>0</v>
      </c>
      <c r="AP278" s="318" t="n">
        <f aca="false">AC278-AB278</f>
        <v>0</v>
      </c>
      <c r="AR278" s="307" t="str">
        <f aca="false">IFERROR(VLOOKUP(M278,'PL_DEC.2026'!$D$11:$D$99,1,FALSE()),"(미존재)")</f>
        <v>임상증례조사비</v>
      </c>
    </row>
    <row r="279" customFormat="false" ht="15" hidden="false" customHeight="false" outlineLevel="0" collapsed="false">
      <c r="A279" s="310" t="s">
        <v>841</v>
      </c>
      <c r="B279" s="307" t="n">
        <v>65000000</v>
      </c>
      <c r="C279" s="307" t="s">
        <v>2092</v>
      </c>
      <c r="D279" s="307" t="s">
        <v>1926</v>
      </c>
      <c r="E279" s="307" t="s">
        <v>1971</v>
      </c>
      <c r="F279" s="307" t="s">
        <v>2093</v>
      </c>
      <c r="G279" s="307" t="s">
        <v>1973</v>
      </c>
      <c r="H279" s="307" t="s">
        <v>1536</v>
      </c>
      <c r="I279" s="307" t="s">
        <v>1988</v>
      </c>
      <c r="J279" s="307" t="s">
        <v>1499</v>
      </c>
      <c r="K279" s="307" t="s">
        <v>1989</v>
      </c>
      <c r="L279" s="317" t="s">
        <v>1976</v>
      </c>
      <c r="M279" s="317" t="s">
        <v>294</v>
      </c>
      <c r="N279" s="317" t="s">
        <v>1976</v>
      </c>
      <c r="O279" s="317" t="s">
        <v>294</v>
      </c>
      <c r="P279" s="317" t="s">
        <v>294</v>
      </c>
      <c r="Q279" s="318" t="n">
        <v>1339014190</v>
      </c>
      <c r="R279" s="318" t="n">
        <v>163863490</v>
      </c>
      <c r="S279" s="318" t="n">
        <v>211656900</v>
      </c>
      <c r="T279" s="318" t="n">
        <v>259450310</v>
      </c>
      <c r="U279" s="318" t="n">
        <v>423313800</v>
      </c>
      <c r="V279" s="318" t="n">
        <v>587177290</v>
      </c>
      <c r="W279" s="318" t="n">
        <v>751040780</v>
      </c>
      <c r="X279" s="318" t="n">
        <v>914904270</v>
      </c>
      <c r="Y279" s="318" t="n">
        <v>1078767760</v>
      </c>
      <c r="Z279" s="318" t="n">
        <v>1242631250</v>
      </c>
      <c r="AA279" s="318"/>
      <c r="AB279" s="318"/>
      <c r="AC279" s="318"/>
      <c r="AD279" s="318"/>
      <c r="AE279" s="318" t="n">
        <f aca="false">R279</f>
        <v>163863490</v>
      </c>
      <c r="AF279" s="318" t="n">
        <f aca="false">S279-R279</f>
        <v>47793410</v>
      </c>
      <c r="AG279" s="318" t="n">
        <f aca="false">T279-S279</f>
        <v>47793410</v>
      </c>
      <c r="AH279" s="318" t="n">
        <f aca="false">U279-T279</f>
        <v>163863490</v>
      </c>
      <c r="AI279" s="318" t="n">
        <f aca="false">V279-U279</f>
        <v>163863490</v>
      </c>
      <c r="AJ279" s="318" t="n">
        <f aca="false">W279-V279</f>
        <v>163863490</v>
      </c>
      <c r="AK279" s="318" t="n">
        <f aca="false">X279-W279</f>
        <v>163863490</v>
      </c>
      <c r="AL279" s="318" t="n">
        <f aca="false">Y279-X279</f>
        <v>163863490</v>
      </c>
      <c r="AM279" s="318" t="n">
        <f aca="false">Z279-Y279</f>
        <v>163863490</v>
      </c>
      <c r="AN279" s="318" t="s">
        <v>1726</v>
      </c>
      <c r="AO279" s="318" t="n">
        <f aca="false">AB279-AA279</f>
        <v>0</v>
      </c>
      <c r="AP279" s="318" t="n">
        <f aca="false">AC279-AB279</f>
        <v>0</v>
      </c>
      <c r="AR279" s="307" t="str">
        <f aca="false">IFERROR(VLOOKUP(M279,'PL_DEC.2026'!$D$11:$D$99,1,FALSE()),"(미존재)")</f>
        <v>임차료</v>
      </c>
    </row>
    <row r="280" customFormat="false" ht="15" hidden="false" customHeight="false" outlineLevel="0" collapsed="false">
      <c r="A280" s="310" t="s">
        <v>841</v>
      </c>
      <c r="B280" s="307" t="n">
        <v>65000001</v>
      </c>
      <c r="C280" s="307" t="s">
        <v>2094</v>
      </c>
      <c r="D280" s="307" t="s">
        <v>1926</v>
      </c>
      <c r="E280" s="307" t="s">
        <v>1971</v>
      </c>
      <c r="F280" s="307" t="s">
        <v>2093</v>
      </c>
      <c r="G280" s="307" t="s">
        <v>1682</v>
      </c>
      <c r="H280" s="307" t="s">
        <v>1536</v>
      </c>
      <c r="I280" s="307" t="s">
        <v>1988</v>
      </c>
      <c r="J280" s="307" t="s">
        <v>1499</v>
      </c>
      <c r="K280" s="307" t="s">
        <v>1989</v>
      </c>
      <c r="L280" s="317" t="s">
        <v>1976</v>
      </c>
      <c r="M280" s="317" t="s">
        <v>294</v>
      </c>
      <c r="N280" s="317" t="s">
        <v>1976</v>
      </c>
      <c r="O280" s="317" t="s">
        <v>294</v>
      </c>
      <c r="P280" s="317" t="s">
        <v>294</v>
      </c>
      <c r="Q280" s="318" t="n">
        <v>-1126894020</v>
      </c>
      <c r="R280" s="318" t="n">
        <v>-116070084</v>
      </c>
      <c r="S280" s="318" t="n">
        <v>-116070084</v>
      </c>
      <c r="T280" s="318" t="n">
        <v>-116070084</v>
      </c>
      <c r="U280" s="318" t="n">
        <v>-232140168</v>
      </c>
      <c r="V280" s="318" t="n">
        <v>-348210252</v>
      </c>
      <c r="W280" s="318" t="n">
        <v>-464280336</v>
      </c>
      <c r="X280" s="318" t="n">
        <v>-580350420</v>
      </c>
      <c r="Y280" s="318" t="n">
        <v>-696420504</v>
      </c>
      <c r="Z280" s="318" t="n">
        <v>-812490588</v>
      </c>
      <c r="AA280" s="318"/>
      <c r="AB280" s="318"/>
      <c r="AC280" s="318"/>
      <c r="AD280" s="318"/>
      <c r="AE280" s="318" t="n">
        <f aca="false">R280</f>
        <v>-116070084</v>
      </c>
      <c r="AF280" s="318" t="n">
        <f aca="false">S280-R280</f>
        <v>0</v>
      </c>
      <c r="AG280" s="318" t="n">
        <f aca="false">T280-S280</f>
        <v>0</v>
      </c>
      <c r="AH280" s="318" t="n">
        <f aca="false">U280-T280</f>
        <v>-116070084</v>
      </c>
      <c r="AI280" s="318" t="n">
        <f aca="false">V280-U280</f>
        <v>-116070084</v>
      </c>
      <c r="AJ280" s="318" t="n">
        <f aca="false">W280-V280</f>
        <v>-116070084</v>
      </c>
      <c r="AK280" s="318" t="n">
        <f aca="false">X280-W280</f>
        <v>-116070084</v>
      </c>
      <c r="AL280" s="318" t="n">
        <f aca="false">Y280-X280</f>
        <v>-116070084</v>
      </c>
      <c r="AM280" s="318" t="n">
        <f aca="false">Z280-Y280</f>
        <v>-116070084</v>
      </c>
      <c r="AN280" s="318" t="s">
        <v>1726</v>
      </c>
      <c r="AO280" s="318" t="n">
        <f aca="false">AB280-AA280</f>
        <v>0</v>
      </c>
      <c r="AP280" s="318" t="n">
        <f aca="false">AC280-AB280</f>
        <v>0</v>
      </c>
      <c r="AR280" s="307" t="str">
        <f aca="false">IFERROR(VLOOKUP(M280,'PL_DEC.2026'!$D$11:$D$99,1,FALSE()),"(미존재)")</f>
        <v>임차료</v>
      </c>
    </row>
    <row r="281" customFormat="false" ht="15" hidden="false" customHeight="false" outlineLevel="0" collapsed="false">
      <c r="A281" s="310" t="s">
        <v>841</v>
      </c>
      <c r="B281" s="307" t="n">
        <v>65200000</v>
      </c>
      <c r="C281" s="307" t="s">
        <v>2095</v>
      </c>
      <c r="D281" s="307" t="s">
        <v>1926</v>
      </c>
      <c r="E281" s="307" t="s">
        <v>1971</v>
      </c>
      <c r="F281" s="307" t="s">
        <v>2096</v>
      </c>
      <c r="G281" s="307" t="s">
        <v>1973</v>
      </c>
      <c r="H281" s="307" t="s">
        <v>1536</v>
      </c>
      <c r="I281" s="307" t="s">
        <v>1988</v>
      </c>
      <c r="J281" s="307" t="s">
        <v>1499</v>
      </c>
      <c r="K281" s="307" t="s">
        <v>1989</v>
      </c>
      <c r="L281" s="317" t="s">
        <v>1976</v>
      </c>
      <c r="M281" s="317" t="s">
        <v>297</v>
      </c>
      <c r="N281" s="317" t="s">
        <v>1976</v>
      </c>
      <c r="O281" s="317" t="s">
        <v>297</v>
      </c>
      <c r="P281" s="317" t="s">
        <v>297</v>
      </c>
      <c r="Q281" s="318" t="n">
        <v>26593320</v>
      </c>
      <c r="R281" s="318" t="n">
        <v>1766400</v>
      </c>
      <c r="S281" s="318" t="n">
        <v>3605480</v>
      </c>
      <c r="T281" s="318" t="n">
        <v>5223130</v>
      </c>
      <c r="U281" s="318" t="n">
        <v>6973660</v>
      </c>
      <c r="V281" s="318" t="n">
        <v>8642340</v>
      </c>
      <c r="W281" s="318" t="n">
        <v>10461950</v>
      </c>
      <c r="X281" s="318" t="n">
        <v>12415810</v>
      </c>
      <c r="Y281" s="318" t="n">
        <v>14400590</v>
      </c>
      <c r="Z281" s="318" t="n">
        <v>16172820</v>
      </c>
      <c r="AA281" s="318"/>
      <c r="AB281" s="318"/>
      <c r="AC281" s="318"/>
      <c r="AD281" s="318"/>
      <c r="AE281" s="318" t="n">
        <f aca="false">R281</f>
        <v>1766400</v>
      </c>
      <c r="AF281" s="318" t="n">
        <f aca="false">S281-R281</f>
        <v>1839080</v>
      </c>
      <c r="AG281" s="318" t="n">
        <f aca="false">T281-S281</f>
        <v>1617650</v>
      </c>
      <c r="AH281" s="318" t="n">
        <f aca="false">U281-T281</f>
        <v>1750530</v>
      </c>
      <c r="AI281" s="318" t="n">
        <f aca="false">V281-U281</f>
        <v>1668680</v>
      </c>
      <c r="AJ281" s="318" t="n">
        <f aca="false">W281-V281</f>
        <v>1819610</v>
      </c>
      <c r="AK281" s="318" t="n">
        <f aca="false">X281-W281</f>
        <v>1953860</v>
      </c>
      <c r="AL281" s="318" t="n">
        <f aca="false">Y281-X281</f>
        <v>1984780</v>
      </c>
      <c r="AM281" s="318" t="n">
        <f aca="false">Z281-Y281</f>
        <v>1772230</v>
      </c>
      <c r="AN281" s="318" t="s">
        <v>1726</v>
      </c>
      <c r="AO281" s="318" t="n">
        <f aca="false">AB281-AA281</f>
        <v>0</v>
      </c>
      <c r="AP281" s="318" t="n">
        <f aca="false">AC281-AB281</f>
        <v>0</v>
      </c>
      <c r="AR281" s="307" t="str">
        <f aca="false">IFERROR(VLOOKUP(M281,'PL_DEC.2026'!$D$11:$D$99,1,FALSE()),"(미존재)")</f>
        <v>수도광열비</v>
      </c>
    </row>
    <row r="282" customFormat="false" ht="15" hidden="false" customHeight="false" outlineLevel="0" collapsed="false">
      <c r="A282" s="310" t="s">
        <v>841</v>
      </c>
      <c r="B282" s="307" t="n">
        <v>65300000</v>
      </c>
      <c r="C282" s="307" t="s">
        <v>2097</v>
      </c>
      <c r="D282" s="307" t="s">
        <v>1926</v>
      </c>
      <c r="E282" s="307" t="s">
        <v>1971</v>
      </c>
      <c r="F282" s="307" t="s">
        <v>2083</v>
      </c>
      <c r="G282" s="307" t="s">
        <v>1973</v>
      </c>
      <c r="H282" s="307" t="s">
        <v>1536</v>
      </c>
      <c r="I282" s="307" t="s">
        <v>1988</v>
      </c>
      <c r="J282" s="307" t="s">
        <v>1499</v>
      </c>
      <c r="K282" s="307" t="s">
        <v>1989</v>
      </c>
      <c r="L282" s="317" t="s">
        <v>1976</v>
      </c>
      <c r="M282" s="317" t="s">
        <v>291</v>
      </c>
      <c r="N282" s="317" t="s">
        <v>1976</v>
      </c>
      <c r="O282" s="317" t="s">
        <v>291</v>
      </c>
      <c r="P282" s="317" t="s">
        <v>291</v>
      </c>
      <c r="Q282" s="318" t="n">
        <v>168925257</v>
      </c>
      <c r="R282" s="318" t="n">
        <v>1387253</v>
      </c>
      <c r="S282" s="318" t="n">
        <v>3034887</v>
      </c>
      <c r="T282" s="318" t="n">
        <v>53567418</v>
      </c>
      <c r="U282" s="318" t="n">
        <v>65559473</v>
      </c>
      <c r="V282" s="318" t="n">
        <v>78983087</v>
      </c>
      <c r="W282" s="318" t="n">
        <v>91270051</v>
      </c>
      <c r="X282" s="318" t="n">
        <v>105346285</v>
      </c>
      <c r="Y282" s="318" t="n">
        <v>117061319</v>
      </c>
      <c r="Z282" s="318" t="n">
        <v>128587635</v>
      </c>
      <c r="AA282" s="318"/>
      <c r="AB282" s="318"/>
      <c r="AC282" s="318"/>
      <c r="AD282" s="318"/>
      <c r="AE282" s="318" t="n">
        <f aca="false">R282</f>
        <v>1387253</v>
      </c>
      <c r="AF282" s="318" t="n">
        <f aca="false">S282-R282</f>
        <v>1647634</v>
      </c>
      <c r="AG282" s="318" t="n">
        <f aca="false">T282-S282</f>
        <v>50532531</v>
      </c>
      <c r="AH282" s="318" t="n">
        <f aca="false">U282-T282</f>
        <v>11992055</v>
      </c>
      <c r="AI282" s="318" t="n">
        <f aca="false">V282-U282</f>
        <v>13423614</v>
      </c>
      <c r="AJ282" s="318" t="n">
        <f aca="false">W282-V282</f>
        <v>12286964</v>
      </c>
      <c r="AK282" s="318" t="n">
        <f aca="false">X282-W282</f>
        <v>14076234</v>
      </c>
      <c r="AL282" s="318" t="n">
        <f aca="false">Y282-X282</f>
        <v>11715034</v>
      </c>
      <c r="AM282" s="318" t="n">
        <f aca="false">Z282-Y282</f>
        <v>11526316</v>
      </c>
      <c r="AN282" s="318" t="s">
        <v>1726</v>
      </c>
      <c r="AO282" s="318" t="n">
        <f aca="false">AB282-AA282</f>
        <v>0</v>
      </c>
      <c r="AP282" s="318" t="n">
        <f aca="false">AC282-AB282</f>
        <v>0</v>
      </c>
      <c r="AR282" s="307" t="str">
        <f aca="false">IFERROR(VLOOKUP(M282,'PL_DEC.2026'!$D$11:$D$99,1,FALSE()),"(미존재)")</f>
        <v>통신비</v>
      </c>
    </row>
    <row r="283" customFormat="false" ht="15" hidden="false" customHeight="false" outlineLevel="0" collapsed="false">
      <c r="A283" s="310" t="s">
        <v>841</v>
      </c>
      <c r="B283" s="307" t="n">
        <v>65300020</v>
      </c>
      <c r="C283" s="307" t="s">
        <v>2098</v>
      </c>
      <c r="D283" s="307" t="s">
        <v>1926</v>
      </c>
      <c r="E283" s="307" t="s">
        <v>1971</v>
      </c>
      <c r="F283" s="307" t="s">
        <v>2083</v>
      </c>
      <c r="G283" s="307" t="s">
        <v>1973</v>
      </c>
      <c r="H283" s="307" t="s">
        <v>1536</v>
      </c>
      <c r="I283" s="307" t="s">
        <v>1988</v>
      </c>
      <c r="J283" s="307" t="s">
        <v>1499</v>
      </c>
      <c r="K283" s="307" t="s">
        <v>1989</v>
      </c>
      <c r="L283" s="317" t="s">
        <v>1976</v>
      </c>
      <c r="M283" s="317" t="s">
        <v>291</v>
      </c>
      <c r="N283" s="317" t="s">
        <v>1976</v>
      </c>
      <c r="O283" s="317" t="s">
        <v>291</v>
      </c>
      <c r="P283" s="317" t="s">
        <v>291</v>
      </c>
      <c r="Q283" s="318" t="n">
        <v>206717269</v>
      </c>
      <c r="R283" s="318" t="n">
        <v>10723044</v>
      </c>
      <c r="S283" s="318" t="n">
        <v>24247499</v>
      </c>
      <c r="T283" s="318" t="n">
        <v>41426716</v>
      </c>
      <c r="U283" s="318" t="n">
        <v>58118451</v>
      </c>
      <c r="V283" s="318" t="n">
        <v>73380847</v>
      </c>
      <c r="W283" s="318" t="n">
        <v>89712691</v>
      </c>
      <c r="X283" s="318" t="n">
        <v>108293316</v>
      </c>
      <c r="Y283" s="318" t="n">
        <v>123093768</v>
      </c>
      <c r="Z283" s="318" t="n">
        <v>137733970</v>
      </c>
      <c r="AA283" s="318"/>
      <c r="AB283" s="318"/>
      <c r="AC283" s="318"/>
      <c r="AD283" s="318"/>
      <c r="AE283" s="318" t="n">
        <f aca="false">R283</f>
        <v>10723044</v>
      </c>
      <c r="AF283" s="318" t="n">
        <f aca="false">S283-R283</f>
        <v>13524455</v>
      </c>
      <c r="AG283" s="318" t="n">
        <f aca="false">T283-S283</f>
        <v>17179217</v>
      </c>
      <c r="AH283" s="318" t="n">
        <f aca="false">U283-T283</f>
        <v>16691735</v>
      </c>
      <c r="AI283" s="318" t="n">
        <f aca="false">V283-U283</f>
        <v>15262396</v>
      </c>
      <c r="AJ283" s="318" t="n">
        <f aca="false">W283-V283</f>
        <v>16331844</v>
      </c>
      <c r="AK283" s="318" t="n">
        <f aca="false">X283-W283</f>
        <v>18580625</v>
      </c>
      <c r="AL283" s="318" t="n">
        <f aca="false">Y283-X283</f>
        <v>14800452</v>
      </c>
      <c r="AM283" s="318" t="n">
        <f aca="false">Z283-Y283</f>
        <v>14640202</v>
      </c>
      <c r="AN283" s="318" t="s">
        <v>1726</v>
      </c>
      <c r="AO283" s="318" t="n">
        <f aca="false">AB283-AA283</f>
        <v>0</v>
      </c>
      <c r="AP283" s="318" t="n">
        <f aca="false">AC283-AB283</f>
        <v>0</v>
      </c>
      <c r="AR283" s="307" t="str">
        <f aca="false">IFERROR(VLOOKUP(M283,'PL_DEC.2026'!$D$11:$D$99,1,FALSE()),"(미존재)")</f>
        <v>통신비</v>
      </c>
    </row>
    <row r="284" customFormat="false" ht="15" hidden="false" customHeight="false" outlineLevel="0" collapsed="false">
      <c r="A284" s="310" t="s">
        <v>841</v>
      </c>
      <c r="B284" s="307" t="n">
        <v>65300050</v>
      </c>
      <c r="C284" s="307" t="s">
        <v>2099</v>
      </c>
      <c r="D284" s="307" t="s">
        <v>1926</v>
      </c>
      <c r="E284" s="307" t="s">
        <v>1971</v>
      </c>
      <c r="F284" s="307" t="s">
        <v>2100</v>
      </c>
      <c r="G284" s="307" t="s">
        <v>1973</v>
      </c>
      <c r="H284" s="307" t="s">
        <v>1536</v>
      </c>
      <c r="I284" s="307" t="s">
        <v>1988</v>
      </c>
      <c r="J284" s="307" t="s">
        <v>1499</v>
      </c>
      <c r="K284" s="307" t="s">
        <v>1989</v>
      </c>
      <c r="L284" s="317" t="s">
        <v>1976</v>
      </c>
      <c r="M284" s="317" t="s">
        <v>296</v>
      </c>
      <c r="N284" s="317" t="s">
        <v>1976</v>
      </c>
      <c r="O284" s="317" t="s">
        <v>296</v>
      </c>
      <c r="P284" s="317" t="s">
        <v>296</v>
      </c>
      <c r="Q284" s="318" t="n">
        <v>97560000</v>
      </c>
      <c r="R284" s="318" t="n">
        <v>10630000</v>
      </c>
      <c r="S284" s="318" t="n">
        <v>17360000</v>
      </c>
      <c r="T284" s="318" t="n">
        <v>24090000</v>
      </c>
      <c r="U284" s="318" t="n">
        <v>30820000</v>
      </c>
      <c r="V284" s="318" t="n">
        <v>37550000</v>
      </c>
      <c r="W284" s="318" t="n">
        <v>44280000</v>
      </c>
      <c r="X284" s="318" t="n">
        <v>51010000</v>
      </c>
      <c r="Y284" s="318" t="n">
        <v>62465000</v>
      </c>
      <c r="Z284" s="318" t="n">
        <v>69195000</v>
      </c>
      <c r="AA284" s="318"/>
      <c r="AB284" s="318"/>
      <c r="AC284" s="318"/>
      <c r="AD284" s="318"/>
      <c r="AE284" s="318" t="n">
        <f aca="false">R284</f>
        <v>10630000</v>
      </c>
      <c r="AF284" s="318" t="n">
        <f aca="false">S284-R284</f>
        <v>6730000</v>
      </c>
      <c r="AG284" s="318" t="n">
        <f aca="false">T284-S284</f>
        <v>6730000</v>
      </c>
      <c r="AH284" s="318" t="n">
        <f aca="false">U284-T284</f>
        <v>6730000</v>
      </c>
      <c r="AI284" s="318" t="n">
        <f aca="false">V284-U284</f>
        <v>6730000</v>
      </c>
      <c r="AJ284" s="318" t="n">
        <f aca="false">W284-V284</f>
        <v>6730000</v>
      </c>
      <c r="AK284" s="318" t="n">
        <f aca="false">X284-W284</f>
        <v>6730000</v>
      </c>
      <c r="AL284" s="318" t="n">
        <f aca="false">Y284-X284</f>
        <v>11455000</v>
      </c>
      <c r="AM284" s="318" t="n">
        <f aca="false">Z284-Y284</f>
        <v>6730000</v>
      </c>
      <c r="AN284" s="318" t="s">
        <v>1726</v>
      </c>
      <c r="AO284" s="318" t="n">
        <f aca="false">AB284-AA284</f>
        <v>0</v>
      </c>
      <c r="AP284" s="318" t="n">
        <f aca="false">AC284-AB284</f>
        <v>0</v>
      </c>
      <c r="AR284" s="307" t="str">
        <f aca="false">IFERROR(VLOOKUP(M284,'PL_DEC.2026'!$D$11:$D$99,1,FALSE()),"(미존재)")</f>
        <v>수선비</v>
      </c>
    </row>
    <row r="285" customFormat="false" ht="15" hidden="false" customHeight="false" outlineLevel="0" collapsed="false">
      <c r="A285" s="310" t="s">
        <v>841</v>
      </c>
      <c r="B285" s="307" t="n">
        <v>65300510</v>
      </c>
      <c r="C285" s="307" t="s">
        <v>2101</v>
      </c>
      <c r="D285" s="307" t="s">
        <v>1926</v>
      </c>
      <c r="E285" s="307" t="s">
        <v>1971</v>
      </c>
      <c r="F285" s="307" t="s">
        <v>2100</v>
      </c>
      <c r="G285" s="307" t="s">
        <v>1973</v>
      </c>
      <c r="H285" s="307" t="s">
        <v>1536</v>
      </c>
      <c r="I285" s="307" t="s">
        <v>1988</v>
      </c>
      <c r="J285" s="307" t="s">
        <v>1499</v>
      </c>
      <c r="K285" s="307" t="s">
        <v>1989</v>
      </c>
      <c r="L285" s="317" t="s">
        <v>1976</v>
      </c>
      <c r="M285" s="317" t="s">
        <v>292</v>
      </c>
      <c r="N285" s="317" t="s">
        <v>1976</v>
      </c>
      <c r="O285" s="317" t="s">
        <v>296</v>
      </c>
      <c r="P285" s="317" t="s">
        <v>296</v>
      </c>
      <c r="Q285" s="318" t="n">
        <v>57475140</v>
      </c>
      <c r="R285" s="318" t="n">
        <v>1081900</v>
      </c>
      <c r="S285" s="318" t="n">
        <v>5157616</v>
      </c>
      <c r="T285" s="318" t="n">
        <v>8552316</v>
      </c>
      <c r="U285" s="318" t="n">
        <v>10536916</v>
      </c>
      <c r="V285" s="318" t="n">
        <v>12206784</v>
      </c>
      <c r="W285" s="318" t="n">
        <v>15423624</v>
      </c>
      <c r="X285" s="318" t="n">
        <v>17203114</v>
      </c>
      <c r="Y285" s="318" t="n">
        <v>18763034</v>
      </c>
      <c r="Z285" s="318" t="n">
        <v>22739938</v>
      </c>
      <c r="AA285" s="318"/>
      <c r="AB285" s="318"/>
      <c r="AC285" s="318"/>
      <c r="AD285" s="318"/>
      <c r="AE285" s="318" t="n">
        <f aca="false">R285</f>
        <v>1081900</v>
      </c>
      <c r="AF285" s="318" t="n">
        <f aca="false">S285-R285</f>
        <v>4075716</v>
      </c>
      <c r="AG285" s="318" t="n">
        <f aca="false">T285-S285</f>
        <v>3394700</v>
      </c>
      <c r="AH285" s="318" t="n">
        <f aca="false">U285-T285</f>
        <v>1984600</v>
      </c>
      <c r="AI285" s="318" t="n">
        <f aca="false">V285-U285</f>
        <v>1669868</v>
      </c>
      <c r="AJ285" s="318" t="n">
        <f aca="false">W285-V285</f>
        <v>3216840</v>
      </c>
      <c r="AK285" s="318" t="n">
        <f aca="false">X285-W285</f>
        <v>1779490</v>
      </c>
      <c r="AL285" s="318" t="n">
        <f aca="false">Y285-X285</f>
        <v>1559920</v>
      </c>
      <c r="AM285" s="318" t="n">
        <f aca="false">Z285-Y285</f>
        <v>3976904</v>
      </c>
      <c r="AN285" s="318" t="s">
        <v>1726</v>
      </c>
      <c r="AO285" s="318" t="n">
        <f aca="false">AB285-AA285</f>
        <v>0</v>
      </c>
      <c r="AP285" s="318" t="n">
        <f aca="false">AC285-AB285</f>
        <v>0</v>
      </c>
      <c r="AR285" s="307" t="str">
        <f aca="false">IFERROR(VLOOKUP(M285,'PL_DEC.2026'!$D$11:$D$99,1,FALSE()),"(미존재)")</f>
        <v>소모품비</v>
      </c>
    </row>
    <row r="286" customFormat="false" ht="15" hidden="false" customHeight="false" outlineLevel="0" collapsed="false">
      <c r="A286" s="310" t="s">
        <v>841</v>
      </c>
      <c r="B286" s="307" t="n">
        <v>65550003</v>
      </c>
      <c r="C286" s="307" t="s">
        <v>2102</v>
      </c>
      <c r="D286" s="307" t="s">
        <v>1926</v>
      </c>
      <c r="E286" s="307" t="s">
        <v>1971</v>
      </c>
      <c r="F286" s="307" t="s">
        <v>1994</v>
      </c>
      <c r="G286" s="307" t="s">
        <v>1973</v>
      </c>
      <c r="H286" s="307" t="s">
        <v>1536</v>
      </c>
      <c r="I286" s="307" t="s">
        <v>1988</v>
      </c>
      <c r="J286" s="307" t="s">
        <v>1499</v>
      </c>
      <c r="K286" s="307" t="s">
        <v>1989</v>
      </c>
      <c r="L286" s="317" t="s">
        <v>1976</v>
      </c>
      <c r="M286" s="317" t="s">
        <v>309</v>
      </c>
      <c r="N286" s="317" t="s">
        <v>1976</v>
      </c>
      <c r="O286" s="317" t="s">
        <v>309</v>
      </c>
      <c r="P286" s="317" t="s">
        <v>309</v>
      </c>
      <c r="Q286" s="318" t="n">
        <v>133379604</v>
      </c>
      <c r="R286" s="318" t="n">
        <v>9870060</v>
      </c>
      <c r="S286" s="318" t="n">
        <v>19740120</v>
      </c>
      <c r="T286" s="318" t="n">
        <v>29610180</v>
      </c>
      <c r="U286" s="318" t="n">
        <v>36707807</v>
      </c>
      <c r="V286" s="318" t="n">
        <v>43403098</v>
      </c>
      <c r="W286" s="318" t="n">
        <v>52500788</v>
      </c>
      <c r="X286" s="318" t="n">
        <v>61598477</v>
      </c>
      <c r="Y286" s="318" t="n">
        <v>70696166</v>
      </c>
      <c r="Z286" s="318" t="n">
        <v>79793855</v>
      </c>
      <c r="AA286" s="318"/>
      <c r="AB286" s="318"/>
      <c r="AC286" s="318"/>
      <c r="AD286" s="318"/>
      <c r="AE286" s="318" t="n">
        <f aca="false">R286</f>
        <v>9870060</v>
      </c>
      <c r="AF286" s="318" t="n">
        <f aca="false">S286-R286</f>
        <v>9870060</v>
      </c>
      <c r="AG286" s="318" t="n">
        <f aca="false">T286-S286</f>
        <v>9870060</v>
      </c>
      <c r="AH286" s="318" t="n">
        <f aca="false">U286-T286</f>
        <v>7097627</v>
      </c>
      <c r="AI286" s="318" t="n">
        <f aca="false">V286-U286</f>
        <v>6695291</v>
      </c>
      <c r="AJ286" s="318" t="n">
        <f aca="false">W286-V286</f>
        <v>9097690</v>
      </c>
      <c r="AK286" s="318" t="n">
        <f aca="false">X286-W286</f>
        <v>9097689</v>
      </c>
      <c r="AL286" s="318" t="n">
        <f aca="false">Y286-X286</f>
        <v>9097689</v>
      </c>
      <c r="AM286" s="318" t="n">
        <f aca="false">Z286-Y286</f>
        <v>9097689</v>
      </c>
      <c r="AN286" s="318" t="s">
        <v>1726</v>
      </c>
      <c r="AO286" s="318" t="n">
        <f aca="false">AB286-AA286</f>
        <v>0</v>
      </c>
      <c r="AP286" s="318" t="n">
        <f aca="false">AC286-AB286</f>
        <v>0</v>
      </c>
      <c r="AR286" s="307" t="str">
        <f aca="false">IFERROR(VLOOKUP(M286,'PL_DEC.2026'!$D$11:$D$99,1,FALSE()),"(미존재)")</f>
        <v>감가상각비</v>
      </c>
    </row>
    <row r="287" customFormat="false" ht="15" hidden="false" customHeight="false" outlineLevel="0" collapsed="false">
      <c r="A287" s="310" t="s">
        <v>841</v>
      </c>
      <c r="B287" s="307" t="n">
        <v>65550004</v>
      </c>
      <c r="C287" s="307" t="s">
        <v>2103</v>
      </c>
      <c r="D287" s="307" t="s">
        <v>1926</v>
      </c>
      <c r="E287" s="307" t="s">
        <v>1971</v>
      </c>
      <c r="F287" s="307" t="s">
        <v>1994</v>
      </c>
      <c r="G287" s="307" t="s">
        <v>1973</v>
      </c>
      <c r="H287" s="307" t="s">
        <v>1536</v>
      </c>
      <c r="I287" s="307" t="s">
        <v>1988</v>
      </c>
      <c r="J287" s="307" t="s">
        <v>1499</v>
      </c>
      <c r="K287" s="307" t="s">
        <v>1989</v>
      </c>
      <c r="L287" s="317" t="s">
        <v>1976</v>
      </c>
      <c r="M287" s="317" t="s">
        <v>309</v>
      </c>
      <c r="N287" s="317" t="s">
        <v>1976</v>
      </c>
      <c r="O287" s="317" t="s">
        <v>309</v>
      </c>
      <c r="P287" s="317" t="s">
        <v>309</v>
      </c>
      <c r="Q287" s="318" t="n">
        <v>-383857</v>
      </c>
      <c r="R287" s="318" t="n">
        <v>0</v>
      </c>
      <c r="S287" s="318" t="n">
        <v>0</v>
      </c>
      <c r="T287" s="318" t="n">
        <v>0</v>
      </c>
      <c r="U287" s="318" t="n">
        <v>0</v>
      </c>
      <c r="V287" s="318" t="n">
        <v>0</v>
      </c>
      <c r="W287" s="318" t="n">
        <v>0</v>
      </c>
      <c r="X287" s="318" t="n">
        <v>0</v>
      </c>
      <c r="Y287" s="318" t="n">
        <v>0</v>
      </c>
      <c r="Z287" s="318" t="n">
        <v>0</v>
      </c>
      <c r="AA287" s="318"/>
      <c r="AB287" s="318"/>
      <c r="AC287" s="318"/>
      <c r="AD287" s="318"/>
      <c r="AE287" s="318" t="n">
        <f aca="false">R287</f>
        <v>0</v>
      </c>
      <c r="AF287" s="318" t="n">
        <f aca="false">S287-R287</f>
        <v>0</v>
      </c>
      <c r="AG287" s="318" t="n">
        <f aca="false">T287-S287</f>
        <v>0</v>
      </c>
      <c r="AH287" s="318" t="n">
        <f aca="false">U287-T287</f>
        <v>0</v>
      </c>
      <c r="AI287" s="318" t="n">
        <f aca="false">V287-U287</f>
        <v>0</v>
      </c>
      <c r="AJ287" s="318" t="n">
        <f aca="false">W287-V287</f>
        <v>0</v>
      </c>
      <c r="AK287" s="318" t="n">
        <f aca="false">X287-W287</f>
        <v>0</v>
      </c>
      <c r="AL287" s="318" t="n">
        <f aca="false">Y287-X287</f>
        <v>0</v>
      </c>
      <c r="AM287" s="318" t="n">
        <f aca="false">Z287-Y287</f>
        <v>0</v>
      </c>
      <c r="AN287" s="318" t="s">
        <v>1726</v>
      </c>
      <c r="AO287" s="318" t="n">
        <f aca="false">AB287-AA287</f>
        <v>0</v>
      </c>
      <c r="AP287" s="318" t="n">
        <f aca="false">AC287-AB287</f>
        <v>0</v>
      </c>
      <c r="AR287" s="307" t="str">
        <f aca="false">IFERROR(VLOOKUP(M287,'PL_DEC.2026'!$D$11:$D$99,1,FALSE()),"(미존재)")</f>
        <v>감가상각비</v>
      </c>
    </row>
    <row r="288" customFormat="false" ht="15" hidden="false" customHeight="false" outlineLevel="0" collapsed="false">
      <c r="A288" s="310" t="s">
        <v>841</v>
      </c>
      <c r="B288" s="307" t="n">
        <v>65550008</v>
      </c>
      <c r="C288" s="307" t="s">
        <v>2104</v>
      </c>
      <c r="D288" s="307" t="s">
        <v>1926</v>
      </c>
      <c r="E288" s="307" t="s">
        <v>1971</v>
      </c>
      <c r="F288" s="307" t="s">
        <v>1994</v>
      </c>
      <c r="G288" s="307" t="s">
        <v>1973</v>
      </c>
      <c r="H288" s="307" t="s">
        <v>1536</v>
      </c>
      <c r="I288" s="307" t="s">
        <v>1988</v>
      </c>
      <c r="J288" s="307" t="s">
        <v>1499</v>
      </c>
      <c r="K288" s="307" t="s">
        <v>1989</v>
      </c>
      <c r="L288" s="317" t="s">
        <v>1976</v>
      </c>
      <c r="M288" s="317" t="s">
        <v>309</v>
      </c>
      <c r="N288" s="317" t="s">
        <v>1976</v>
      </c>
      <c r="O288" s="317" t="s">
        <v>309</v>
      </c>
      <c r="P288" s="317" t="s">
        <v>309</v>
      </c>
      <c r="Q288" s="318" t="n">
        <v>454321850</v>
      </c>
      <c r="R288" s="318" t="n">
        <v>37860154</v>
      </c>
      <c r="S288" s="318" t="n">
        <v>75720308</v>
      </c>
      <c r="T288" s="318" t="n">
        <v>113580463</v>
      </c>
      <c r="U288" s="318" t="n">
        <v>151440617</v>
      </c>
      <c r="V288" s="318" t="n">
        <v>189300771</v>
      </c>
      <c r="W288" s="318" t="n">
        <v>227160925</v>
      </c>
      <c r="X288" s="318" t="n">
        <v>265021079</v>
      </c>
      <c r="Y288" s="318" t="n">
        <v>302881233</v>
      </c>
      <c r="Z288" s="318" t="n">
        <v>340741388</v>
      </c>
      <c r="AA288" s="318"/>
      <c r="AB288" s="318"/>
      <c r="AC288" s="318"/>
      <c r="AD288" s="318"/>
      <c r="AE288" s="318" t="n">
        <f aca="false">R288</f>
        <v>37860154</v>
      </c>
      <c r="AF288" s="318" t="n">
        <f aca="false">S288-R288</f>
        <v>37860154</v>
      </c>
      <c r="AG288" s="318" t="n">
        <f aca="false">T288-S288</f>
        <v>37860155</v>
      </c>
      <c r="AH288" s="318" t="n">
        <f aca="false">U288-T288</f>
        <v>37860154</v>
      </c>
      <c r="AI288" s="318" t="n">
        <f aca="false">V288-U288</f>
        <v>37860154</v>
      </c>
      <c r="AJ288" s="318" t="n">
        <f aca="false">W288-V288</f>
        <v>37860154</v>
      </c>
      <c r="AK288" s="318" t="n">
        <f aca="false">X288-W288</f>
        <v>37860154</v>
      </c>
      <c r="AL288" s="318" t="n">
        <f aca="false">Y288-X288</f>
        <v>37860154</v>
      </c>
      <c r="AM288" s="318" t="n">
        <f aca="false">Z288-Y288</f>
        <v>37860155</v>
      </c>
      <c r="AN288" s="318" t="s">
        <v>1726</v>
      </c>
      <c r="AO288" s="318" t="n">
        <f aca="false">AB288-AA288</f>
        <v>0</v>
      </c>
      <c r="AP288" s="318" t="n">
        <f aca="false">AC288-AB288</f>
        <v>0</v>
      </c>
      <c r="AR288" s="307" t="str">
        <f aca="false">IFERROR(VLOOKUP(M288,'PL_DEC.2026'!$D$11:$D$99,1,FALSE()),"(미존재)")</f>
        <v>감가상각비</v>
      </c>
    </row>
    <row r="289" customFormat="false" ht="15" hidden="false" customHeight="false" outlineLevel="0" collapsed="false">
      <c r="A289" s="310" t="s">
        <v>841</v>
      </c>
      <c r="B289" s="307" t="n">
        <v>65550012</v>
      </c>
      <c r="C289" s="307" t="s">
        <v>2105</v>
      </c>
      <c r="D289" s="307" t="s">
        <v>1926</v>
      </c>
      <c r="E289" s="307" t="s">
        <v>1971</v>
      </c>
      <c r="F289" s="307" t="s">
        <v>1994</v>
      </c>
      <c r="G289" s="307" t="s">
        <v>1973</v>
      </c>
      <c r="H289" s="307" t="s">
        <v>1536</v>
      </c>
      <c r="I289" s="307" t="s">
        <v>1988</v>
      </c>
      <c r="J289" s="307" t="s">
        <v>1499</v>
      </c>
      <c r="K289" s="307" t="s">
        <v>1989</v>
      </c>
      <c r="L289" s="317" t="s">
        <v>1976</v>
      </c>
      <c r="M289" s="317" t="s">
        <v>309</v>
      </c>
      <c r="N289" s="317" t="s">
        <v>1976</v>
      </c>
      <c r="O289" s="317" t="s">
        <v>309</v>
      </c>
      <c r="P289" s="317" t="s">
        <v>309</v>
      </c>
      <c r="Q289" s="318" t="n">
        <v>54992000</v>
      </c>
      <c r="R289" s="318" t="n">
        <v>4582667</v>
      </c>
      <c r="S289" s="318" t="n">
        <v>9165333</v>
      </c>
      <c r="T289" s="318" t="n">
        <v>13748000</v>
      </c>
      <c r="U289" s="318" t="n">
        <v>18330667</v>
      </c>
      <c r="V289" s="318" t="n">
        <v>22913333</v>
      </c>
      <c r="W289" s="318" t="n">
        <v>27496000</v>
      </c>
      <c r="X289" s="318" t="n">
        <v>32078667</v>
      </c>
      <c r="Y289" s="318" t="n">
        <v>36661333</v>
      </c>
      <c r="Z289" s="318" t="n">
        <v>41244000</v>
      </c>
      <c r="AA289" s="318"/>
      <c r="AB289" s="318"/>
      <c r="AC289" s="318"/>
      <c r="AD289" s="318"/>
      <c r="AE289" s="318" t="n">
        <f aca="false">R289</f>
        <v>4582667</v>
      </c>
      <c r="AF289" s="318" t="n">
        <f aca="false">S289-R289</f>
        <v>4582666</v>
      </c>
      <c r="AG289" s="318" t="n">
        <f aca="false">T289-S289</f>
        <v>4582667</v>
      </c>
      <c r="AH289" s="318" t="n">
        <f aca="false">U289-T289</f>
        <v>4582667</v>
      </c>
      <c r="AI289" s="318" t="n">
        <f aca="false">V289-U289</f>
        <v>4582666</v>
      </c>
      <c r="AJ289" s="318" t="n">
        <f aca="false">W289-V289</f>
        <v>4582667</v>
      </c>
      <c r="AK289" s="318" t="n">
        <f aca="false">X289-W289</f>
        <v>4582667</v>
      </c>
      <c r="AL289" s="318" t="n">
        <f aca="false">Y289-X289</f>
        <v>4582666</v>
      </c>
      <c r="AM289" s="318" t="n">
        <f aca="false">Z289-Y289</f>
        <v>4582667</v>
      </c>
      <c r="AN289" s="318" t="s">
        <v>1726</v>
      </c>
      <c r="AO289" s="318" t="n">
        <f aca="false">AB289-AA289</f>
        <v>0</v>
      </c>
      <c r="AP289" s="318" t="n">
        <f aca="false">AC289-AB289</f>
        <v>0</v>
      </c>
      <c r="AR289" s="307" t="str">
        <f aca="false">IFERROR(VLOOKUP(M289,'PL_DEC.2026'!$D$11:$D$99,1,FALSE()),"(미존재)")</f>
        <v>감가상각비</v>
      </c>
    </row>
    <row r="290" customFormat="false" ht="15" hidden="false" customHeight="false" outlineLevel="0" collapsed="false">
      <c r="A290" s="310" t="s">
        <v>841</v>
      </c>
      <c r="B290" s="307" t="n">
        <v>65600000</v>
      </c>
      <c r="C290" s="307" t="s">
        <v>2106</v>
      </c>
      <c r="D290" s="307" t="s">
        <v>1926</v>
      </c>
      <c r="E290" s="307" t="s">
        <v>1971</v>
      </c>
      <c r="F290" s="307" t="s">
        <v>2100</v>
      </c>
      <c r="G290" s="307" t="s">
        <v>1973</v>
      </c>
      <c r="H290" s="307" t="s">
        <v>1536</v>
      </c>
      <c r="I290" s="307" t="s">
        <v>1988</v>
      </c>
      <c r="J290" s="307" t="s">
        <v>1499</v>
      </c>
      <c r="K290" s="307" t="s">
        <v>1989</v>
      </c>
      <c r="L290" s="317" t="s">
        <v>1976</v>
      </c>
      <c r="M290" s="317" t="s">
        <v>299</v>
      </c>
      <c r="N290" s="317" t="s">
        <v>1976</v>
      </c>
      <c r="O290" s="317" t="s">
        <v>296</v>
      </c>
      <c r="P290" s="317" t="s">
        <v>296</v>
      </c>
      <c r="Q290" s="318" t="n">
        <v>255551702</v>
      </c>
      <c r="R290" s="318" t="n">
        <v>2099254</v>
      </c>
      <c r="S290" s="318" t="n">
        <v>8761906</v>
      </c>
      <c r="T290" s="318" t="n">
        <v>11466163</v>
      </c>
      <c r="U290" s="318" t="n">
        <v>13294380</v>
      </c>
      <c r="V290" s="318" t="n">
        <v>15869653</v>
      </c>
      <c r="W290" s="318" t="n">
        <v>13934926</v>
      </c>
      <c r="X290" s="318" t="n">
        <v>16032926</v>
      </c>
      <c r="Y290" s="318" t="n">
        <v>18194562</v>
      </c>
      <c r="Z290" s="318" t="n">
        <v>19654241</v>
      </c>
      <c r="AA290" s="318"/>
      <c r="AB290" s="318"/>
      <c r="AC290" s="318"/>
      <c r="AD290" s="318"/>
      <c r="AE290" s="318" t="n">
        <f aca="false">R290</f>
        <v>2099254</v>
      </c>
      <c r="AF290" s="318" t="n">
        <f aca="false">S290-R290</f>
        <v>6662652</v>
      </c>
      <c r="AG290" s="318" t="n">
        <f aca="false">T290-S290</f>
        <v>2704257</v>
      </c>
      <c r="AH290" s="318" t="n">
        <f aca="false">U290-T290</f>
        <v>1828217</v>
      </c>
      <c r="AI290" s="318" t="n">
        <f aca="false">V290-U290</f>
        <v>2575273</v>
      </c>
      <c r="AJ290" s="318" t="n">
        <f aca="false">W290-V290</f>
        <v>-1934727</v>
      </c>
      <c r="AK290" s="318" t="n">
        <f aca="false">X290-W290</f>
        <v>2098000</v>
      </c>
      <c r="AL290" s="318" t="n">
        <f aca="false">Y290-X290</f>
        <v>2161636</v>
      </c>
      <c r="AM290" s="318" t="n">
        <f aca="false">Z290-Y290</f>
        <v>1459679</v>
      </c>
      <c r="AN290" s="318" t="s">
        <v>1726</v>
      </c>
      <c r="AO290" s="318" t="n">
        <f aca="false">AB290-AA290</f>
        <v>0</v>
      </c>
      <c r="AP290" s="318" t="n">
        <f aca="false">AC290-AB290</f>
        <v>0</v>
      </c>
      <c r="AR290" s="307" t="str">
        <f aca="false">IFERROR(VLOOKUP(M290,'PL_DEC.2026'!$D$11:$D$99,1,FALSE()),"(미존재)")</f>
        <v>지급수수료</v>
      </c>
    </row>
    <row r="291" customFormat="false" ht="15" hidden="false" customHeight="false" outlineLevel="0" collapsed="false">
      <c r="A291" s="310" t="s">
        <v>841</v>
      </c>
      <c r="B291" s="307" t="n">
        <v>65600040</v>
      </c>
      <c r="C291" s="307" t="s">
        <v>2107</v>
      </c>
      <c r="D291" s="307" t="s">
        <v>1926</v>
      </c>
      <c r="E291" s="307" t="s">
        <v>1971</v>
      </c>
      <c r="F291" s="307" t="s">
        <v>2100</v>
      </c>
      <c r="G291" s="307" t="s">
        <v>1973</v>
      </c>
      <c r="H291" s="307" t="s">
        <v>1536</v>
      </c>
      <c r="I291" s="307" t="s">
        <v>1988</v>
      </c>
      <c r="J291" s="307" t="s">
        <v>1499</v>
      </c>
      <c r="K291" s="307" t="s">
        <v>1989</v>
      </c>
      <c r="L291" s="317" t="s">
        <v>1976</v>
      </c>
      <c r="M291" s="317" t="s">
        <v>296</v>
      </c>
      <c r="N291" s="317" t="s">
        <v>1976</v>
      </c>
      <c r="O291" s="317" t="s">
        <v>296</v>
      </c>
      <c r="P291" s="317" t="s">
        <v>296</v>
      </c>
      <c r="Q291" s="318" t="n">
        <v>-1420070</v>
      </c>
      <c r="R291" s="318" t="n">
        <v>2762531</v>
      </c>
      <c r="S291" s="318" t="n">
        <v>2762531</v>
      </c>
      <c r="T291" s="318" t="n">
        <v>2762531</v>
      </c>
      <c r="U291" s="318" t="n">
        <v>2762531</v>
      </c>
      <c r="V291" s="318" t="n">
        <v>2533174</v>
      </c>
      <c r="W291" s="318" t="n">
        <v>2533174</v>
      </c>
      <c r="X291" s="318" t="n">
        <v>2533174</v>
      </c>
      <c r="Y291" s="318" t="n">
        <v>2533174</v>
      </c>
      <c r="Z291" s="318" t="n">
        <v>2533174</v>
      </c>
      <c r="AA291" s="318"/>
      <c r="AB291" s="318"/>
      <c r="AC291" s="318"/>
      <c r="AD291" s="318"/>
      <c r="AE291" s="318" t="n">
        <f aca="false">R291</f>
        <v>2762531</v>
      </c>
      <c r="AF291" s="318" t="n">
        <f aca="false">S291-R291</f>
        <v>0</v>
      </c>
      <c r="AG291" s="318" t="n">
        <f aca="false">T291-S291</f>
        <v>0</v>
      </c>
      <c r="AH291" s="318" t="n">
        <f aca="false">U291-T291</f>
        <v>0</v>
      </c>
      <c r="AI291" s="318" t="n">
        <f aca="false">V291-U291</f>
        <v>-229357</v>
      </c>
      <c r="AJ291" s="318" t="n">
        <f aca="false">W291-V291</f>
        <v>0</v>
      </c>
      <c r="AK291" s="318" t="n">
        <f aca="false">X291-W291</f>
        <v>0</v>
      </c>
      <c r="AL291" s="318" t="n">
        <f aca="false">Y291-X291</f>
        <v>0</v>
      </c>
      <c r="AM291" s="318" t="n">
        <f aca="false">Z291-Y291</f>
        <v>0</v>
      </c>
      <c r="AN291" s="318" t="s">
        <v>1726</v>
      </c>
      <c r="AO291" s="318" t="n">
        <f aca="false">AB291-AA291</f>
        <v>0</v>
      </c>
      <c r="AP291" s="318" t="n">
        <f aca="false">AC291-AB291</f>
        <v>0</v>
      </c>
      <c r="AR291" s="307" t="str">
        <f aca="false">IFERROR(VLOOKUP(M291,'PL_DEC.2026'!$D$11:$D$99,1,FALSE()),"(미존재)")</f>
        <v>수선비</v>
      </c>
    </row>
    <row r="292" customFormat="false" ht="15" hidden="false" customHeight="false" outlineLevel="0" collapsed="false">
      <c r="A292" s="310" t="s">
        <v>841</v>
      </c>
      <c r="B292" s="307" t="n">
        <v>65650700</v>
      </c>
      <c r="C292" s="307" t="s">
        <v>2108</v>
      </c>
      <c r="D292" s="307" t="s">
        <v>1926</v>
      </c>
      <c r="E292" s="307" t="s">
        <v>1971</v>
      </c>
      <c r="F292" s="307" t="s">
        <v>2109</v>
      </c>
      <c r="G292" s="307" t="s">
        <v>1973</v>
      </c>
      <c r="H292" s="307" t="s">
        <v>1536</v>
      </c>
      <c r="I292" s="307" t="s">
        <v>1988</v>
      </c>
      <c r="J292" s="307" t="s">
        <v>1499</v>
      </c>
      <c r="K292" s="307" t="s">
        <v>1989</v>
      </c>
      <c r="L292" s="317" t="s">
        <v>1976</v>
      </c>
      <c r="M292" s="317" t="s">
        <v>305</v>
      </c>
      <c r="N292" s="317" t="s">
        <v>1976</v>
      </c>
      <c r="O292" s="317" t="s">
        <v>305</v>
      </c>
      <c r="P292" s="317" t="s">
        <v>305</v>
      </c>
      <c r="Q292" s="318" t="n">
        <v>1991992</v>
      </c>
      <c r="R292" s="318" t="n">
        <v>399916</v>
      </c>
      <c r="S292" s="318" t="n">
        <v>654160</v>
      </c>
      <c r="T292" s="318" t="n">
        <v>943013</v>
      </c>
      <c r="U292" s="318" t="n">
        <v>1535708</v>
      </c>
      <c r="V292" s="318" t="n">
        <v>1722776</v>
      </c>
      <c r="W292" s="318" t="n">
        <v>2191731</v>
      </c>
      <c r="X292" s="318" t="n">
        <v>2508483</v>
      </c>
      <c r="Y292" s="318" t="n">
        <v>2664340</v>
      </c>
      <c r="Z292" s="318" t="n">
        <v>274311</v>
      </c>
      <c r="AA292" s="318"/>
      <c r="AB292" s="318"/>
      <c r="AC292" s="318"/>
      <c r="AD292" s="318"/>
      <c r="AE292" s="318" t="n">
        <f aca="false">R292</f>
        <v>399916</v>
      </c>
      <c r="AF292" s="318" t="n">
        <f aca="false">S292-R292</f>
        <v>254244</v>
      </c>
      <c r="AG292" s="318" t="n">
        <f aca="false">T292-S292</f>
        <v>288853</v>
      </c>
      <c r="AH292" s="318" t="n">
        <f aca="false">U292-T292</f>
        <v>592695</v>
      </c>
      <c r="AI292" s="318" t="n">
        <f aca="false">V292-U292</f>
        <v>187068</v>
      </c>
      <c r="AJ292" s="318" t="n">
        <f aca="false">W292-V292</f>
        <v>468955</v>
      </c>
      <c r="AK292" s="318" t="n">
        <f aca="false">X292-W292</f>
        <v>316752</v>
      </c>
      <c r="AL292" s="318" t="n">
        <f aca="false">Y292-X292</f>
        <v>155857</v>
      </c>
      <c r="AM292" s="318" t="n">
        <f aca="false">Z292-Y292</f>
        <v>-2390029</v>
      </c>
      <c r="AN292" s="318" t="s">
        <v>1726</v>
      </c>
      <c r="AO292" s="318" t="n">
        <f aca="false">AB292-AA292</f>
        <v>0</v>
      </c>
      <c r="AP292" s="318" t="n">
        <f aca="false">AC292-AB292</f>
        <v>0</v>
      </c>
      <c r="AR292" s="307" t="str">
        <f aca="false">IFERROR(VLOOKUP(M292,'PL_DEC.2026'!$D$11:$D$99,1,FALSE()),"(미존재)")</f>
        <v>차량비</v>
      </c>
    </row>
    <row r="293" customFormat="false" ht="15" hidden="false" customHeight="false" outlineLevel="0" collapsed="false">
      <c r="A293" s="310" t="s">
        <v>841</v>
      </c>
      <c r="B293" s="307" t="n">
        <v>66000000</v>
      </c>
      <c r="C293" s="307" t="s">
        <v>2110</v>
      </c>
      <c r="D293" s="307" t="s">
        <v>1926</v>
      </c>
      <c r="E293" s="307" t="s">
        <v>1971</v>
      </c>
      <c r="F293" s="307" t="s">
        <v>2076</v>
      </c>
      <c r="G293" s="307" t="s">
        <v>1973</v>
      </c>
      <c r="H293" s="307" t="s">
        <v>1536</v>
      </c>
      <c r="I293" s="307" t="s">
        <v>1988</v>
      </c>
      <c r="J293" s="307" t="s">
        <v>1499</v>
      </c>
      <c r="K293" s="307" t="s">
        <v>1989</v>
      </c>
      <c r="L293" s="317" t="s">
        <v>1976</v>
      </c>
      <c r="M293" s="317" t="s">
        <v>292</v>
      </c>
      <c r="N293" s="317" t="s">
        <v>1976</v>
      </c>
      <c r="O293" s="317" t="s">
        <v>292</v>
      </c>
      <c r="P293" s="317" t="s">
        <v>292</v>
      </c>
      <c r="Q293" s="318" t="n">
        <v>64946303</v>
      </c>
      <c r="R293" s="318" t="n">
        <v>2954886</v>
      </c>
      <c r="S293" s="318" t="n">
        <v>8754702</v>
      </c>
      <c r="T293" s="318" t="n">
        <v>10921492</v>
      </c>
      <c r="U293" s="318" t="n">
        <v>11365592</v>
      </c>
      <c r="V293" s="318" t="n">
        <v>18298122</v>
      </c>
      <c r="W293" s="318" t="n">
        <v>21572793</v>
      </c>
      <c r="X293" s="318" t="n">
        <v>23612697</v>
      </c>
      <c r="Y293" s="318" t="n">
        <v>27290018</v>
      </c>
      <c r="Z293" s="318" t="n">
        <v>29290731</v>
      </c>
      <c r="AA293" s="318"/>
      <c r="AB293" s="318"/>
      <c r="AC293" s="318"/>
      <c r="AD293" s="318"/>
      <c r="AE293" s="318" t="n">
        <f aca="false">R293</f>
        <v>2954886</v>
      </c>
      <c r="AF293" s="318" t="n">
        <f aca="false">S293-R293</f>
        <v>5799816</v>
      </c>
      <c r="AG293" s="318" t="n">
        <f aca="false">T293-S293</f>
        <v>2166790</v>
      </c>
      <c r="AH293" s="318" t="n">
        <f aca="false">U293-T293</f>
        <v>444100</v>
      </c>
      <c r="AI293" s="318" t="n">
        <f aca="false">V293-U293</f>
        <v>6932530</v>
      </c>
      <c r="AJ293" s="318" t="n">
        <f aca="false">W293-V293</f>
        <v>3274671</v>
      </c>
      <c r="AK293" s="318" t="n">
        <f aca="false">X293-W293</f>
        <v>2039904</v>
      </c>
      <c r="AL293" s="318" t="n">
        <f aca="false">Y293-X293</f>
        <v>3677321</v>
      </c>
      <c r="AM293" s="318" t="n">
        <f aca="false">Z293-Y293</f>
        <v>2000713</v>
      </c>
      <c r="AN293" s="318" t="s">
        <v>1726</v>
      </c>
      <c r="AO293" s="318" t="n">
        <f aca="false">AB293-AA293</f>
        <v>0</v>
      </c>
      <c r="AP293" s="318" t="n">
        <f aca="false">AC293-AB293</f>
        <v>0</v>
      </c>
      <c r="AR293" s="307" t="str">
        <f aca="false">IFERROR(VLOOKUP(M293,'PL_DEC.2026'!$D$11:$D$99,1,FALSE()),"(미존재)")</f>
        <v>소모품비</v>
      </c>
    </row>
    <row r="294" customFormat="false" ht="15" hidden="false" customHeight="false" outlineLevel="0" collapsed="false">
      <c r="A294" s="310" t="s">
        <v>841</v>
      </c>
      <c r="B294" s="307" t="n">
        <v>66000703</v>
      </c>
      <c r="C294" s="307" t="s">
        <v>2111</v>
      </c>
      <c r="D294" s="307" t="s">
        <v>1926</v>
      </c>
      <c r="E294" s="307" t="s">
        <v>1971</v>
      </c>
      <c r="F294" s="307" t="s">
        <v>1978</v>
      </c>
      <c r="G294" s="307" t="s">
        <v>1973</v>
      </c>
      <c r="H294" s="307" t="s">
        <v>1536</v>
      </c>
      <c r="I294" s="307" t="s">
        <v>1988</v>
      </c>
      <c r="J294" s="307" t="s">
        <v>1499</v>
      </c>
      <c r="K294" s="307" t="s">
        <v>1989</v>
      </c>
      <c r="L294" s="317" t="s">
        <v>1976</v>
      </c>
      <c r="M294" s="317" t="s">
        <v>307</v>
      </c>
      <c r="N294" s="317" t="s">
        <v>1976</v>
      </c>
      <c r="O294" s="317" t="s">
        <v>307</v>
      </c>
      <c r="P294" s="317" t="s">
        <v>307</v>
      </c>
      <c r="Q294" s="318" t="n">
        <v>0</v>
      </c>
      <c r="R294" s="318" t="n">
        <v>0</v>
      </c>
      <c r="S294" s="318" t="n">
        <v>0</v>
      </c>
      <c r="T294" s="318" t="n">
        <v>0</v>
      </c>
      <c r="U294" s="318" t="n">
        <v>33888811</v>
      </c>
      <c r="V294" s="318" t="n">
        <v>15222519</v>
      </c>
      <c r="W294" s="318" t="n">
        <v>-54612</v>
      </c>
      <c r="X294" s="318" t="n">
        <v>181874</v>
      </c>
      <c r="Y294" s="318" t="n">
        <v>31591154</v>
      </c>
      <c r="Z294" s="318" t="n">
        <v>31591154</v>
      </c>
      <c r="AA294" s="318"/>
      <c r="AB294" s="318"/>
      <c r="AC294" s="318"/>
      <c r="AD294" s="318"/>
      <c r="AE294" s="318" t="n">
        <f aca="false">R294</f>
        <v>0</v>
      </c>
      <c r="AF294" s="318" t="n">
        <f aca="false">S294-R294</f>
        <v>0</v>
      </c>
      <c r="AG294" s="318" t="n">
        <f aca="false">T294-S294</f>
        <v>0</v>
      </c>
      <c r="AH294" s="318" t="n">
        <f aca="false">U294-T294</f>
        <v>33888811</v>
      </c>
      <c r="AI294" s="318" t="n">
        <f aca="false">V294-U294</f>
        <v>-18666292</v>
      </c>
      <c r="AJ294" s="318" t="n">
        <f aca="false">W294-V294</f>
        <v>-15277131</v>
      </c>
      <c r="AK294" s="318" t="n">
        <f aca="false">X294-W294</f>
        <v>236486</v>
      </c>
      <c r="AL294" s="318" t="n">
        <f aca="false">Y294-X294</f>
        <v>31409280</v>
      </c>
      <c r="AM294" s="318" t="n">
        <f aca="false">Z294-Y294</f>
        <v>0</v>
      </c>
      <c r="AN294" s="318" t="s">
        <v>1726</v>
      </c>
      <c r="AO294" s="318" t="n">
        <f aca="false">AB294-AA294</f>
        <v>0</v>
      </c>
      <c r="AP294" s="318" t="n">
        <f aca="false">AC294-AB294</f>
        <v>0</v>
      </c>
      <c r="AR294" s="307" t="str">
        <f aca="false">IFERROR(VLOOKUP(M294,'PL_DEC.2026'!$D$11:$D$99,1,FALSE()),"(미존재)")</f>
        <v>임상증례조사비</v>
      </c>
    </row>
    <row r="295" customFormat="false" ht="15" hidden="false" customHeight="false" outlineLevel="0" collapsed="false">
      <c r="A295" s="310" t="s">
        <v>841</v>
      </c>
      <c r="B295" s="307" t="n">
        <v>66000004</v>
      </c>
      <c r="C295" s="307" t="s">
        <v>2112</v>
      </c>
      <c r="D295" s="307" t="s">
        <v>1926</v>
      </c>
      <c r="E295" s="307" t="s">
        <v>1971</v>
      </c>
      <c r="F295" s="307" t="s">
        <v>2017</v>
      </c>
      <c r="G295" s="307" t="s">
        <v>1973</v>
      </c>
      <c r="H295" s="307" t="s">
        <v>1536</v>
      </c>
      <c r="I295" s="307" t="s">
        <v>1988</v>
      </c>
      <c r="J295" s="307" t="s">
        <v>1499</v>
      </c>
      <c r="K295" s="307" t="s">
        <v>1989</v>
      </c>
      <c r="L295" s="317" t="s">
        <v>1976</v>
      </c>
      <c r="M295" s="317" t="s">
        <v>289</v>
      </c>
      <c r="N295" s="317" t="s">
        <v>1976</v>
      </c>
      <c r="O295" s="317" t="s">
        <v>289</v>
      </c>
      <c r="P295" s="317" t="s">
        <v>289</v>
      </c>
      <c r="Q295" s="318" t="n">
        <v>79853060</v>
      </c>
      <c r="R295" s="318" t="n">
        <v>-140270944</v>
      </c>
      <c r="S295" s="318" t="n">
        <v>-136589435</v>
      </c>
      <c r="T295" s="318" t="n">
        <v>-133429426</v>
      </c>
      <c r="U295" s="318" t="n">
        <v>-129796049</v>
      </c>
      <c r="V295" s="318" t="n">
        <v>-126136733</v>
      </c>
      <c r="W295" s="318" t="n">
        <v>-123020049</v>
      </c>
      <c r="X295" s="318" t="n">
        <v>-119276840</v>
      </c>
      <c r="Y295" s="318" t="n">
        <v>-116338481</v>
      </c>
      <c r="Z295" s="318" t="n">
        <v>-113205122</v>
      </c>
      <c r="AA295" s="318"/>
      <c r="AB295" s="318"/>
      <c r="AC295" s="318"/>
      <c r="AD295" s="318"/>
      <c r="AE295" s="318" t="n">
        <f aca="false">R295</f>
        <v>-140270944</v>
      </c>
      <c r="AF295" s="318" t="n">
        <f aca="false">S295-R295</f>
        <v>3681509</v>
      </c>
      <c r="AG295" s="318" t="n">
        <f aca="false">T295-S295</f>
        <v>3160009</v>
      </c>
      <c r="AH295" s="318" t="n">
        <f aca="false">U295-T295</f>
        <v>3633377</v>
      </c>
      <c r="AI295" s="318" t="n">
        <f aca="false">V295-U295</f>
        <v>3659316</v>
      </c>
      <c r="AJ295" s="318" t="n">
        <f aca="false">W295-V295</f>
        <v>3116684</v>
      </c>
      <c r="AK295" s="318" t="n">
        <f aca="false">X295-W295</f>
        <v>3743209</v>
      </c>
      <c r="AL295" s="318" t="n">
        <f aca="false">Y295-X295</f>
        <v>2938359</v>
      </c>
      <c r="AM295" s="318" t="n">
        <f aca="false">Z295-Y295</f>
        <v>3133359</v>
      </c>
      <c r="AN295" s="318" t="s">
        <v>1726</v>
      </c>
      <c r="AO295" s="318" t="n">
        <f aca="false">AB295-AA295</f>
        <v>0</v>
      </c>
      <c r="AP295" s="318" t="n">
        <f aca="false">AC295-AB295</f>
        <v>0</v>
      </c>
      <c r="AR295" s="307" t="str">
        <f aca="false">IFERROR(VLOOKUP(M295,'PL_DEC.2026'!$D$11:$D$99,1,FALSE()),"(미존재)")</f>
        <v>복리후생비</v>
      </c>
    </row>
    <row r="296" customFormat="false" ht="15" hidden="false" customHeight="false" outlineLevel="0" collapsed="false">
      <c r="A296" s="310" t="s">
        <v>841</v>
      </c>
      <c r="B296" s="307" t="n">
        <v>66000060</v>
      </c>
      <c r="C296" s="307" t="s">
        <v>2113</v>
      </c>
      <c r="D296" s="307" t="s">
        <v>1926</v>
      </c>
      <c r="E296" s="307" t="s">
        <v>1971</v>
      </c>
      <c r="F296" s="307" t="s">
        <v>2114</v>
      </c>
      <c r="G296" s="307" t="s">
        <v>1973</v>
      </c>
      <c r="H296" s="307" t="s">
        <v>1536</v>
      </c>
      <c r="I296" s="307" t="s">
        <v>1988</v>
      </c>
      <c r="J296" s="307" t="s">
        <v>1499</v>
      </c>
      <c r="K296" s="307" t="s">
        <v>1989</v>
      </c>
      <c r="L296" s="317" t="s">
        <v>1976</v>
      </c>
      <c r="M296" s="317" t="s">
        <v>293</v>
      </c>
      <c r="N296" s="317" t="s">
        <v>1976</v>
      </c>
      <c r="O296" s="317" t="s">
        <v>293</v>
      </c>
      <c r="P296" s="317" t="s">
        <v>293</v>
      </c>
      <c r="Q296" s="318" t="n">
        <v>5701984</v>
      </c>
      <c r="R296" s="318" t="n">
        <v>-4202965</v>
      </c>
      <c r="S296" s="318" t="n">
        <v>-4148965</v>
      </c>
      <c r="T296" s="318" t="n">
        <v>-4239874</v>
      </c>
      <c r="U296" s="318" t="n">
        <v>-4239874</v>
      </c>
      <c r="V296" s="318" t="n">
        <v>-2839874</v>
      </c>
      <c r="W296" s="318" t="n">
        <v>739419</v>
      </c>
      <c r="X296" s="318" t="n">
        <v>3456419</v>
      </c>
      <c r="Y296" s="318" t="n">
        <v>8956419</v>
      </c>
      <c r="Z296" s="318" t="n">
        <v>8549981</v>
      </c>
      <c r="AA296" s="318"/>
      <c r="AB296" s="318"/>
      <c r="AC296" s="318"/>
      <c r="AD296" s="318"/>
      <c r="AE296" s="318" t="n">
        <f aca="false">R296</f>
        <v>-4202965</v>
      </c>
      <c r="AF296" s="318" t="n">
        <f aca="false">S296-R296</f>
        <v>54000</v>
      </c>
      <c r="AG296" s="318" t="n">
        <f aca="false">T296-S296</f>
        <v>-90909</v>
      </c>
      <c r="AH296" s="318" t="n">
        <f aca="false">U296-T296</f>
        <v>0</v>
      </c>
      <c r="AI296" s="318" t="n">
        <f aca="false">V296-U296</f>
        <v>1400000</v>
      </c>
      <c r="AJ296" s="318" t="n">
        <f aca="false">W296-V296</f>
        <v>3579293</v>
      </c>
      <c r="AK296" s="318" t="n">
        <f aca="false">X296-W296</f>
        <v>2717000</v>
      </c>
      <c r="AL296" s="318" t="n">
        <f aca="false">Y296-X296</f>
        <v>5500000</v>
      </c>
      <c r="AM296" s="318" t="n">
        <f aca="false">Z296-Y296</f>
        <v>-406438</v>
      </c>
      <c r="AN296" s="318" t="s">
        <v>1726</v>
      </c>
      <c r="AO296" s="318" t="n">
        <f aca="false">AB296-AA296</f>
        <v>0</v>
      </c>
      <c r="AP296" s="318" t="n">
        <f aca="false">AC296-AB296</f>
        <v>0</v>
      </c>
      <c r="AR296" s="307" t="str">
        <f aca="false">IFERROR(VLOOKUP(M296,'PL_DEC.2026'!$D$11:$D$99,1,FALSE()),"(미존재)")</f>
        <v>도서인쇄비</v>
      </c>
    </row>
    <row r="297" customFormat="false" ht="15" hidden="false" customHeight="false" outlineLevel="0" collapsed="false">
      <c r="A297" s="310" t="s">
        <v>841</v>
      </c>
      <c r="B297" s="307" t="n">
        <v>66000650</v>
      </c>
      <c r="C297" s="307" t="s">
        <v>2115</v>
      </c>
      <c r="D297" s="307" t="s">
        <v>1926</v>
      </c>
      <c r="E297" s="307" t="s">
        <v>1971</v>
      </c>
      <c r="F297" s="307" t="s">
        <v>2114</v>
      </c>
      <c r="G297" s="307" t="s">
        <v>1973</v>
      </c>
      <c r="H297" s="307" t="s">
        <v>1536</v>
      </c>
      <c r="I297" s="307" t="s">
        <v>1988</v>
      </c>
      <c r="J297" s="307" t="s">
        <v>1499</v>
      </c>
      <c r="K297" s="307" t="s">
        <v>1989</v>
      </c>
      <c r="L297" s="317" t="s">
        <v>1976</v>
      </c>
      <c r="M297" s="317" t="s">
        <v>293</v>
      </c>
      <c r="N297" s="317" t="s">
        <v>1976</v>
      </c>
      <c r="O297" s="317" t="s">
        <v>293</v>
      </c>
      <c r="P297" s="317" t="s">
        <v>293</v>
      </c>
      <c r="Q297" s="318" t="n">
        <v>299612978</v>
      </c>
      <c r="R297" s="318" t="n">
        <v>45564627</v>
      </c>
      <c r="S297" s="318" t="n">
        <v>64505694</v>
      </c>
      <c r="T297" s="318" t="n">
        <v>166156620</v>
      </c>
      <c r="U297" s="318" t="n">
        <v>211997812</v>
      </c>
      <c r="V297" s="318" t="n">
        <v>230324513</v>
      </c>
      <c r="W297" s="318" t="n">
        <v>254203861</v>
      </c>
      <c r="X297" s="318" t="n">
        <v>371200762</v>
      </c>
      <c r="Y297" s="318" t="n">
        <v>425884536</v>
      </c>
      <c r="Z297" s="318" t="n">
        <v>453188710</v>
      </c>
      <c r="AA297" s="318"/>
      <c r="AB297" s="318"/>
      <c r="AC297" s="318"/>
      <c r="AD297" s="318"/>
      <c r="AE297" s="318" t="n">
        <f aca="false">R297</f>
        <v>45564627</v>
      </c>
      <c r="AF297" s="318" t="n">
        <f aca="false">S297-R297</f>
        <v>18941067</v>
      </c>
      <c r="AG297" s="318" t="n">
        <f aca="false">T297-S297</f>
        <v>101650926</v>
      </c>
      <c r="AH297" s="318" t="n">
        <f aca="false">U297-T297</f>
        <v>45841192</v>
      </c>
      <c r="AI297" s="318" t="n">
        <f aca="false">V297-U297</f>
        <v>18326701</v>
      </c>
      <c r="AJ297" s="318" t="n">
        <f aca="false">W297-V297</f>
        <v>23879348</v>
      </c>
      <c r="AK297" s="318" t="n">
        <f aca="false">X297-W297</f>
        <v>116996901</v>
      </c>
      <c r="AL297" s="318" t="n">
        <f aca="false">Y297-X297</f>
        <v>54683774</v>
      </c>
      <c r="AM297" s="318" t="n">
        <f aca="false">Z297-Y297</f>
        <v>27304174</v>
      </c>
      <c r="AN297" s="318" t="s">
        <v>1726</v>
      </c>
      <c r="AO297" s="318" t="n">
        <f aca="false">AB297-AA297</f>
        <v>0</v>
      </c>
      <c r="AP297" s="318" t="n">
        <f aca="false">AC297-AB297</f>
        <v>0</v>
      </c>
      <c r="AR297" s="307" t="str">
        <f aca="false">IFERROR(VLOOKUP(M297,'PL_DEC.2026'!$D$11:$D$99,1,FALSE()),"(미존재)")</f>
        <v>도서인쇄비</v>
      </c>
    </row>
    <row r="298" customFormat="false" ht="15" hidden="false" customHeight="false" outlineLevel="0" collapsed="false">
      <c r="A298" s="310" t="s">
        <v>841</v>
      </c>
      <c r="B298" s="307" t="n">
        <v>66100020</v>
      </c>
      <c r="C298" s="307" t="s">
        <v>2116</v>
      </c>
      <c r="D298" s="307" t="s">
        <v>1926</v>
      </c>
      <c r="E298" s="307" t="s">
        <v>1971</v>
      </c>
      <c r="F298" s="307" t="s">
        <v>2117</v>
      </c>
      <c r="G298" s="307" t="s">
        <v>1973</v>
      </c>
      <c r="H298" s="307" t="s">
        <v>1536</v>
      </c>
      <c r="I298" s="307" t="s">
        <v>1988</v>
      </c>
      <c r="J298" s="307" t="s">
        <v>1499</v>
      </c>
      <c r="K298" s="307" t="s">
        <v>1989</v>
      </c>
      <c r="L298" s="317" t="s">
        <v>1976</v>
      </c>
      <c r="M298" s="317" t="s">
        <v>311</v>
      </c>
      <c r="N298" s="317" t="s">
        <v>1976</v>
      </c>
      <c r="O298" s="317" t="s">
        <v>311</v>
      </c>
      <c r="P298" s="317" t="s">
        <v>311</v>
      </c>
      <c r="Q298" s="318" t="n">
        <v>248286549</v>
      </c>
      <c r="R298" s="318" t="n">
        <v>23122548</v>
      </c>
      <c r="S298" s="318" t="n">
        <v>46245096</v>
      </c>
      <c r="T298" s="318" t="n">
        <v>69367644</v>
      </c>
      <c r="U298" s="318" t="n">
        <v>92490187</v>
      </c>
      <c r="V298" s="318" t="n">
        <v>115102155</v>
      </c>
      <c r="W298" s="318" t="n">
        <v>139120329</v>
      </c>
      <c r="X298" s="318" t="n">
        <v>162904830</v>
      </c>
      <c r="Y298" s="318" t="n">
        <v>186689331</v>
      </c>
      <c r="Z298" s="318" t="n">
        <v>218563083</v>
      </c>
      <c r="AA298" s="318"/>
      <c r="AB298" s="318"/>
      <c r="AC298" s="318"/>
      <c r="AD298" s="318"/>
      <c r="AE298" s="318" t="n">
        <f aca="false">R298</f>
        <v>23122548</v>
      </c>
      <c r="AF298" s="318" t="n">
        <f aca="false">S298-R298</f>
        <v>23122548</v>
      </c>
      <c r="AG298" s="318" t="n">
        <f aca="false">T298-S298</f>
        <v>23122548</v>
      </c>
      <c r="AH298" s="318" t="n">
        <f aca="false">U298-T298</f>
        <v>23122543</v>
      </c>
      <c r="AI298" s="318" t="n">
        <f aca="false">V298-U298</f>
        <v>22611968</v>
      </c>
      <c r="AJ298" s="318" t="n">
        <f aca="false">W298-V298</f>
        <v>24018174</v>
      </c>
      <c r="AK298" s="318" t="n">
        <f aca="false">X298-W298</f>
        <v>23784501</v>
      </c>
      <c r="AL298" s="318" t="n">
        <f aca="false">Y298-X298</f>
        <v>23784501</v>
      </c>
      <c r="AM298" s="318" t="n">
        <f aca="false">Z298-Y298</f>
        <v>31873752</v>
      </c>
      <c r="AN298" s="318" t="s">
        <v>1726</v>
      </c>
      <c r="AO298" s="318" t="n">
        <f aca="false">AB298-AA298</f>
        <v>0</v>
      </c>
      <c r="AP298" s="318" t="n">
        <f aca="false">AC298-AB298</f>
        <v>0</v>
      </c>
      <c r="AR298" s="307" t="str">
        <f aca="false">IFERROR(VLOOKUP(M298,'PL_DEC.2026'!$D$11:$D$99,1,FALSE()),"(미존재)")</f>
        <v>보험료</v>
      </c>
    </row>
    <row r="299" customFormat="false" ht="15" hidden="false" customHeight="false" outlineLevel="0" collapsed="false">
      <c r="A299" s="310" t="s">
        <v>841</v>
      </c>
      <c r="B299" s="307" t="n">
        <v>66100707</v>
      </c>
      <c r="C299" s="307" t="s">
        <v>2118</v>
      </c>
      <c r="D299" s="307" t="s">
        <v>1926</v>
      </c>
      <c r="E299" s="307" t="s">
        <v>1971</v>
      </c>
      <c r="F299" s="307" t="s">
        <v>2117</v>
      </c>
      <c r="G299" s="307" t="s">
        <v>1973</v>
      </c>
      <c r="H299" s="307" t="s">
        <v>1536</v>
      </c>
      <c r="I299" s="307" t="s">
        <v>1988</v>
      </c>
      <c r="J299" s="307" t="s">
        <v>1499</v>
      </c>
      <c r="K299" s="307" t="s">
        <v>1989</v>
      </c>
      <c r="L299" s="317" t="s">
        <v>1976</v>
      </c>
      <c r="M299" s="317" t="s">
        <v>311</v>
      </c>
      <c r="N299" s="317" t="s">
        <v>1976</v>
      </c>
      <c r="O299" s="317" t="s">
        <v>311</v>
      </c>
      <c r="P299" s="317" t="s">
        <v>311</v>
      </c>
      <c r="Q299" s="318" t="n">
        <v>648706188</v>
      </c>
      <c r="R299" s="318" t="n">
        <v>55201268</v>
      </c>
      <c r="S299" s="318" t="n">
        <v>106680113</v>
      </c>
      <c r="T299" s="318" t="n">
        <v>-139865784</v>
      </c>
      <c r="U299" s="318" t="n">
        <v>-59302968</v>
      </c>
      <c r="V299" s="318" t="n">
        <v>-7518525</v>
      </c>
      <c r="W299" s="318" t="n">
        <v>46322133</v>
      </c>
      <c r="X299" s="318" t="n">
        <v>100272000</v>
      </c>
      <c r="Y299" s="318" t="n">
        <v>154646329</v>
      </c>
      <c r="Z299" s="318" t="n">
        <v>210123882</v>
      </c>
      <c r="AA299" s="318"/>
      <c r="AB299" s="318"/>
      <c r="AC299" s="318"/>
      <c r="AD299" s="318"/>
      <c r="AE299" s="318" t="n">
        <f aca="false">R299</f>
        <v>55201268</v>
      </c>
      <c r="AF299" s="318" t="n">
        <f aca="false">S299-R299</f>
        <v>51478845</v>
      </c>
      <c r="AG299" s="318" t="n">
        <f aca="false">T299-S299</f>
        <v>-246545897</v>
      </c>
      <c r="AH299" s="318" t="n">
        <f aca="false">U299-T299</f>
        <v>80562816</v>
      </c>
      <c r="AI299" s="318" t="n">
        <f aca="false">V299-U299</f>
        <v>51784443</v>
      </c>
      <c r="AJ299" s="318" t="n">
        <f aca="false">W299-V299</f>
        <v>53840658</v>
      </c>
      <c r="AK299" s="318" t="n">
        <f aca="false">X299-W299</f>
        <v>53949867</v>
      </c>
      <c r="AL299" s="318" t="n">
        <f aca="false">Y299-X299</f>
        <v>54374329</v>
      </c>
      <c r="AM299" s="318" t="n">
        <f aca="false">Z299-Y299</f>
        <v>55477553</v>
      </c>
      <c r="AN299" s="318" t="s">
        <v>1726</v>
      </c>
      <c r="AO299" s="318" t="n">
        <f aca="false">AB299-AA299</f>
        <v>0</v>
      </c>
      <c r="AP299" s="318" t="n">
        <f aca="false">AC299-AB299</f>
        <v>0</v>
      </c>
      <c r="AR299" s="307" t="str">
        <f aca="false">IFERROR(VLOOKUP(M299,'PL_DEC.2026'!$D$11:$D$99,1,FALSE()),"(미존재)")</f>
        <v>보험료</v>
      </c>
    </row>
    <row r="300" customFormat="false" ht="15" hidden="false" customHeight="false" outlineLevel="0" collapsed="false">
      <c r="A300" s="310" t="s">
        <v>841</v>
      </c>
      <c r="B300" s="307" t="n">
        <v>66200700</v>
      </c>
      <c r="C300" s="307" t="s">
        <v>2119</v>
      </c>
      <c r="D300" s="307" t="s">
        <v>1926</v>
      </c>
      <c r="E300" s="307" t="s">
        <v>2006</v>
      </c>
      <c r="F300" s="307" t="s">
        <v>2120</v>
      </c>
      <c r="G300" s="307" t="s">
        <v>1973</v>
      </c>
      <c r="H300" s="307" t="s">
        <v>1536</v>
      </c>
      <c r="I300" s="307" t="s">
        <v>1988</v>
      </c>
      <c r="J300" s="307" t="s">
        <v>1499</v>
      </c>
      <c r="K300" s="307" t="s">
        <v>1989</v>
      </c>
      <c r="L300" s="317" t="s">
        <v>1976</v>
      </c>
      <c r="M300" s="317" t="s">
        <v>277</v>
      </c>
      <c r="N300" s="317" t="s">
        <v>2008</v>
      </c>
      <c r="O300" s="317" t="s">
        <v>303</v>
      </c>
      <c r="P300" s="317" t="s">
        <v>303</v>
      </c>
      <c r="Q300" s="318" t="n">
        <v>1824005086</v>
      </c>
      <c r="R300" s="318" t="n">
        <v>747850</v>
      </c>
      <c r="S300" s="318" t="n">
        <v>148938070</v>
      </c>
      <c r="T300" s="318" t="n">
        <v>211862258</v>
      </c>
      <c r="U300" s="318" t="n">
        <v>277036109</v>
      </c>
      <c r="V300" s="318" t="n">
        <v>337303521</v>
      </c>
      <c r="W300" s="318" t="n">
        <v>439338585</v>
      </c>
      <c r="X300" s="318" t="n">
        <v>462992509</v>
      </c>
      <c r="Y300" s="318" t="n">
        <v>524751771</v>
      </c>
      <c r="Z300" s="318" t="n">
        <v>882045385</v>
      </c>
      <c r="AA300" s="318"/>
      <c r="AB300" s="318"/>
      <c r="AC300" s="318"/>
      <c r="AD300" s="318"/>
      <c r="AE300" s="318" t="n">
        <f aca="false">R300</f>
        <v>747850</v>
      </c>
      <c r="AF300" s="318" t="n">
        <f aca="false">S300-R300</f>
        <v>148190220</v>
      </c>
      <c r="AG300" s="318" t="n">
        <f aca="false">T300-S300</f>
        <v>62924188</v>
      </c>
      <c r="AH300" s="318" t="n">
        <f aca="false">U300-T300</f>
        <v>65173851</v>
      </c>
      <c r="AI300" s="318" t="n">
        <f aca="false">V300-U300</f>
        <v>60267412</v>
      </c>
      <c r="AJ300" s="318" t="n">
        <f aca="false">W300-V300</f>
        <v>102035064</v>
      </c>
      <c r="AK300" s="318" t="n">
        <f aca="false">X300-W300</f>
        <v>23653924</v>
      </c>
      <c r="AL300" s="318" t="n">
        <f aca="false">Y300-X300</f>
        <v>61759262</v>
      </c>
      <c r="AM300" s="318" t="n">
        <f aca="false">Z300-Y300</f>
        <v>357293614</v>
      </c>
      <c r="AN300" s="318" t="s">
        <v>1726</v>
      </c>
      <c r="AO300" s="318" t="n">
        <f aca="false">AB300-AA300</f>
        <v>0</v>
      </c>
      <c r="AP300" s="318" t="n">
        <f aca="false">AC300-AB300</f>
        <v>0</v>
      </c>
      <c r="AR300" s="307" t="str">
        <f aca="false">IFERROR(VLOOKUP(M300,'PL_DEC.2026'!$D$11:$D$99,1,FALSE()),"(미존재)")</f>
        <v>하조및운임</v>
      </c>
    </row>
    <row r="301" customFormat="false" ht="15" hidden="false" customHeight="false" outlineLevel="0" collapsed="false">
      <c r="A301" s="310" t="s">
        <v>841</v>
      </c>
      <c r="B301" s="307" t="n">
        <v>66300005</v>
      </c>
      <c r="C301" s="307" t="s">
        <v>2121</v>
      </c>
      <c r="D301" s="307" t="s">
        <v>1926</v>
      </c>
      <c r="E301" s="307" t="s">
        <v>1971</v>
      </c>
      <c r="F301" s="307" t="s">
        <v>2085</v>
      </c>
      <c r="G301" s="307" t="s">
        <v>1973</v>
      </c>
      <c r="H301" s="307" t="s">
        <v>1536</v>
      </c>
      <c r="I301" s="307" t="s">
        <v>1988</v>
      </c>
      <c r="J301" s="307" t="s">
        <v>1499</v>
      </c>
      <c r="K301" s="307" t="s">
        <v>1989</v>
      </c>
      <c r="L301" s="317" t="s">
        <v>1976</v>
      </c>
      <c r="M301" s="317" t="s">
        <v>277</v>
      </c>
      <c r="N301" s="317" t="s">
        <v>1976</v>
      </c>
      <c r="O301" s="317" t="s">
        <v>303</v>
      </c>
      <c r="P301" s="317" t="s">
        <v>303</v>
      </c>
      <c r="Q301" s="318" t="n">
        <v>1769103</v>
      </c>
      <c r="R301" s="318" t="n">
        <v>55000</v>
      </c>
      <c r="S301" s="318" t="n">
        <v>-55000</v>
      </c>
      <c r="T301" s="318" t="n">
        <v>-55000</v>
      </c>
      <c r="U301" s="318" t="n">
        <v>-55000</v>
      </c>
      <c r="V301" s="318" t="n">
        <v>-55000</v>
      </c>
      <c r="W301" s="318" t="n">
        <v>-55000</v>
      </c>
      <c r="X301" s="318" t="n">
        <v>-55000</v>
      </c>
      <c r="Y301" s="318" t="n">
        <v>-55000</v>
      </c>
      <c r="Z301" s="318" t="n">
        <v>-55000</v>
      </c>
      <c r="AA301" s="318"/>
      <c r="AB301" s="318"/>
      <c r="AC301" s="318"/>
      <c r="AD301" s="318"/>
      <c r="AE301" s="318" t="n">
        <f aca="false">R301</f>
        <v>55000</v>
      </c>
      <c r="AF301" s="318" t="n">
        <f aca="false">S301-R301</f>
        <v>-110000</v>
      </c>
      <c r="AG301" s="318" t="n">
        <f aca="false">T301-S301</f>
        <v>0</v>
      </c>
      <c r="AH301" s="318" t="n">
        <f aca="false">U301-T301</f>
        <v>0</v>
      </c>
      <c r="AI301" s="318" t="n">
        <f aca="false">V301-U301</f>
        <v>0</v>
      </c>
      <c r="AJ301" s="318" t="n">
        <f aca="false">W301-V301</f>
        <v>0</v>
      </c>
      <c r="AK301" s="318" t="n">
        <f aca="false">X301-W301</f>
        <v>0</v>
      </c>
      <c r="AL301" s="318" t="n">
        <f aca="false">Y301-X301</f>
        <v>0</v>
      </c>
      <c r="AM301" s="318" t="n">
        <f aca="false">Z301-Y301</f>
        <v>0</v>
      </c>
      <c r="AN301" s="318" t="s">
        <v>1726</v>
      </c>
      <c r="AO301" s="318" t="n">
        <f aca="false">AB301-AA301</f>
        <v>0</v>
      </c>
      <c r="AP301" s="318" t="n">
        <f aca="false">AC301-AB301</f>
        <v>0</v>
      </c>
      <c r="AR301" s="307" t="str">
        <f aca="false">IFERROR(VLOOKUP(M301,'PL_DEC.2026'!$D$11:$D$99,1,FALSE()),"(미존재)")</f>
        <v>하조및운임</v>
      </c>
    </row>
    <row r="302" customFormat="false" ht="15" hidden="false" customHeight="false" outlineLevel="0" collapsed="false">
      <c r="A302" s="310" t="s">
        <v>841</v>
      </c>
      <c r="B302" s="307" t="n">
        <v>66300915</v>
      </c>
      <c r="C302" s="307" t="s">
        <v>2122</v>
      </c>
      <c r="D302" s="307" t="s">
        <v>1926</v>
      </c>
      <c r="E302" s="307" t="s">
        <v>1971</v>
      </c>
      <c r="F302" s="307" t="s">
        <v>2012</v>
      </c>
      <c r="G302" s="307" t="s">
        <v>1973</v>
      </c>
      <c r="H302" s="307" t="s">
        <v>1536</v>
      </c>
      <c r="I302" s="307" t="s">
        <v>1988</v>
      </c>
      <c r="J302" s="307" t="s">
        <v>1499</v>
      </c>
      <c r="K302" s="307" t="s">
        <v>1989</v>
      </c>
      <c r="L302" s="317" t="s">
        <v>1976</v>
      </c>
      <c r="M302" s="317" t="s">
        <v>300</v>
      </c>
      <c r="N302" s="317" t="s">
        <v>1976</v>
      </c>
      <c r="O302" s="317" t="s">
        <v>2013</v>
      </c>
      <c r="P302" s="317" t="s">
        <v>2013</v>
      </c>
      <c r="Q302" s="318" t="n">
        <v>1407780</v>
      </c>
      <c r="R302" s="318" t="n">
        <v>189000</v>
      </c>
      <c r="S302" s="318" t="n">
        <v>189000</v>
      </c>
      <c r="T302" s="318" t="n">
        <v>189000</v>
      </c>
      <c r="U302" s="318" t="n">
        <v>339000</v>
      </c>
      <c r="V302" s="318" t="n">
        <v>339000</v>
      </c>
      <c r="W302" s="318" t="n">
        <v>7497550</v>
      </c>
      <c r="X302" s="318" t="n">
        <v>7497550</v>
      </c>
      <c r="Y302" s="318" t="n">
        <v>7497550</v>
      </c>
      <c r="Z302" s="318" t="n">
        <v>7497550</v>
      </c>
      <c r="AA302" s="318"/>
      <c r="AB302" s="318"/>
      <c r="AC302" s="318"/>
      <c r="AD302" s="318"/>
      <c r="AE302" s="318" t="n">
        <f aca="false">R302</f>
        <v>189000</v>
      </c>
      <c r="AF302" s="318" t="n">
        <f aca="false">S302-R302</f>
        <v>0</v>
      </c>
      <c r="AG302" s="318" t="n">
        <f aca="false">T302-S302</f>
        <v>0</v>
      </c>
      <c r="AH302" s="318" t="n">
        <f aca="false">U302-T302</f>
        <v>150000</v>
      </c>
      <c r="AI302" s="318" t="n">
        <f aca="false">V302-U302</f>
        <v>0</v>
      </c>
      <c r="AJ302" s="318" t="n">
        <f aca="false">W302-V302</f>
        <v>7158550</v>
      </c>
      <c r="AK302" s="318" t="n">
        <f aca="false">X302-W302</f>
        <v>0</v>
      </c>
      <c r="AL302" s="318" t="n">
        <f aca="false">Y302-X302</f>
        <v>0</v>
      </c>
      <c r="AM302" s="318" t="n">
        <f aca="false">Z302-Y302</f>
        <v>0</v>
      </c>
      <c r="AN302" s="318" t="s">
        <v>1726</v>
      </c>
      <c r="AO302" s="318" t="n">
        <f aca="false">AB302-AA302</f>
        <v>0</v>
      </c>
      <c r="AP302" s="318" t="n">
        <f aca="false">AC302-AB302</f>
        <v>0</v>
      </c>
      <c r="AR302" s="307" t="str">
        <f aca="false">IFERROR(VLOOKUP(M302,'PL_DEC.2026'!$D$11:$D$99,1,FALSE()),"(미존재)")</f>
        <v>제세공과</v>
      </c>
    </row>
    <row r="303" customFormat="false" ht="15" hidden="false" customHeight="false" outlineLevel="0" collapsed="false">
      <c r="A303" s="310" t="s">
        <v>841</v>
      </c>
      <c r="B303" s="307" t="n">
        <v>66500401</v>
      </c>
      <c r="C303" s="307" t="s">
        <v>2123</v>
      </c>
      <c r="D303" s="307" t="s">
        <v>1926</v>
      </c>
      <c r="E303" s="307" t="s">
        <v>1971</v>
      </c>
      <c r="F303" s="307" t="s">
        <v>2017</v>
      </c>
      <c r="G303" s="307" t="s">
        <v>1973</v>
      </c>
      <c r="H303" s="307" t="s">
        <v>1536</v>
      </c>
      <c r="I303" s="307" t="s">
        <v>1988</v>
      </c>
      <c r="J303" s="307" t="s">
        <v>1499</v>
      </c>
      <c r="K303" s="307" t="s">
        <v>1989</v>
      </c>
      <c r="L303" s="317" t="s">
        <v>1976</v>
      </c>
      <c r="M303" s="317" t="s">
        <v>289</v>
      </c>
      <c r="N303" s="317" t="s">
        <v>1976</v>
      </c>
      <c r="O303" s="317" t="s">
        <v>289</v>
      </c>
      <c r="P303" s="317" t="s">
        <v>289</v>
      </c>
      <c r="Q303" s="318" t="n">
        <v>400875300</v>
      </c>
      <c r="R303" s="318" t="n">
        <v>0</v>
      </c>
      <c r="S303" s="318" t="n">
        <v>0</v>
      </c>
      <c r="T303" s="318" t="n">
        <v>171518213</v>
      </c>
      <c r="U303" s="318" t="n">
        <v>171518213</v>
      </c>
      <c r="V303" s="318" t="n">
        <v>171518213</v>
      </c>
      <c r="W303" s="318" t="n">
        <v>231432743</v>
      </c>
      <c r="X303" s="318" t="n">
        <v>231432743</v>
      </c>
      <c r="Y303" s="318" t="n">
        <v>231432743</v>
      </c>
      <c r="Z303" s="318" t="n">
        <v>380536469</v>
      </c>
      <c r="AA303" s="318"/>
      <c r="AB303" s="318"/>
      <c r="AC303" s="318"/>
      <c r="AD303" s="318"/>
      <c r="AE303" s="318" t="n">
        <f aca="false">R303</f>
        <v>0</v>
      </c>
      <c r="AF303" s="318" t="n">
        <f aca="false">S303-R303</f>
        <v>0</v>
      </c>
      <c r="AG303" s="318" t="n">
        <f aca="false">T303-S303</f>
        <v>171518213</v>
      </c>
      <c r="AH303" s="318" t="n">
        <f aca="false">U303-T303</f>
        <v>0</v>
      </c>
      <c r="AI303" s="318" t="n">
        <f aca="false">V303-U303</f>
        <v>0</v>
      </c>
      <c r="AJ303" s="318" t="n">
        <f aca="false">W303-V303</f>
        <v>59914530</v>
      </c>
      <c r="AK303" s="318" t="n">
        <f aca="false">X303-W303</f>
        <v>0</v>
      </c>
      <c r="AL303" s="318" t="n">
        <f aca="false">Y303-X303</f>
        <v>0</v>
      </c>
      <c r="AM303" s="318" t="n">
        <f aca="false">Z303-Y303</f>
        <v>149103726</v>
      </c>
      <c r="AN303" s="318" t="s">
        <v>1726</v>
      </c>
      <c r="AO303" s="318" t="n">
        <f aca="false">AB303-AA303</f>
        <v>0</v>
      </c>
      <c r="AP303" s="318" t="n">
        <f aca="false">AC303-AB303</f>
        <v>0</v>
      </c>
      <c r="AR303" s="307" t="str">
        <f aca="false">IFERROR(VLOOKUP(M303,'PL_DEC.2026'!$D$11:$D$99,1,FALSE()),"(미존재)")</f>
        <v>복리후생비</v>
      </c>
    </row>
    <row r="304" customFormat="false" ht="15" hidden="false" customHeight="false" outlineLevel="0" collapsed="false">
      <c r="A304" s="310" t="s">
        <v>841</v>
      </c>
      <c r="B304" s="307" t="n">
        <v>66600000</v>
      </c>
      <c r="C304" s="307" t="s">
        <v>2124</v>
      </c>
      <c r="D304" s="307" t="s">
        <v>1926</v>
      </c>
      <c r="E304" s="307" t="s">
        <v>1971</v>
      </c>
      <c r="F304" s="307" t="s">
        <v>2114</v>
      </c>
      <c r="G304" s="307" t="s">
        <v>1973</v>
      </c>
      <c r="H304" s="307" t="s">
        <v>1536</v>
      </c>
      <c r="I304" s="307" t="s">
        <v>1988</v>
      </c>
      <c r="J304" s="307" t="s">
        <v>1499</v>
      </c>
      <c r="K304" s="307" t="s">
        <v>1989</v>
      </c>
      <c r="L304" s="317" t="s">
        <v>1976</v>
      </c>
      <c r="M304" s="317" t="s">
        <v>293</v>
      </c>
      <c r="N304" s="317" t="s">
        <v>1976</v>
      </c>
      <c r="O304" s="317" t="s">
        <v>293</v>
      </c>
      <c r="P304" s="317" t="s">
        <v>293</v>
      </c>
      <c r="Q304" s="318" t="n">
        <v>22040000</v>
      </c>
      <c r="R304" s="318" t="n">
        <v>1580000</v>
      </c>
      <c r="S304" s="318" t="n">
        <v>7860000</v>
      </c>
      <c r="T304" s="318" t="n">
        <v>9160000</v>
      </c>
      <c r="U304" s="318" t="n">
        <v>10610000</v>
      </c>
      <c r="V304" s="318" t="n">
        <v>11910000</v>
      </c>
      <c r="W304" s="318" t="n">
        <v>13490000</v>
      </c>
      <c r="X304" s="318" t="n">
        <v>8350000</v>
      </c>
      <c r="Y304" s="318" t="n">
        <v>10210000</v>
      </c>
      <c r="Z304" s="318" t="n">
        <v>11790000</v>
      </c>
      <c r="AA304" s="318"/>
      <c r="AB304" s="318"/>
      <c r="AC304" s="318"/>
      <c r="AD304" s="318"/>
      <c r="AE304" s="318" t="n">
        <f aca="false">R304</f>
        <v>1580000</v>
      </c>
      <c r="AF304" s="318" t="n">
        <f aca="false">S304-R304</f>
        <v>6280000</v>
      </c>
      <c r="AG304" s="318" t="n">
        <f aca="false">T304-S304</f>
        <v>1300000</v>
      </c>
      <c r="AH304" s="318" t="n">
        <f aca="false">U304-T304</f>
        <v>1450000</v>
      </c>
      <c r="AI304" s="318" t="n">
        <f aca="false">V304-U304</f>
        <v>1300000</v>
      </c>
      <c r="AJ304" s="318" t="n">
        <f aca="false">W304-V304</f>
        <v>1580000</v>
      </c>
      <c r="AK304" s="318" t="n">
        <f aca="false">X304-W304</f>
        <v>-5140000</v>
      </c>
      <c r="AL304" s="318" t="n">
        <f aca="false">Y304-X304</f>
        <v>1860000</v>
      </c>
      <c r="AM304" s="318" t="n">
        <f aca="false">Z304-Y304</f>
        <v>1580000</v>
      </c>
      <c r="AN304" s="318" t="s">
        <v>1726</v>
      </c>
      <c r="AO304" s="318" t="n">
        <f aca="false">AB304-AA304</f>
        <v>0</v>
      </c>
      <c r="AP304" s="318" t="n">
        <f aca="false">AC304-AB304</f>
        <v>0</v>
      </c>
      <c r="AR304" s="307" t="str">
        <f aca="false">IFERROR(VLOOKUP(M304,'PL_DEC.2026'!$D$11:$D$99,1,FALSE()),"(미존재)")</f>
        <v>도서인쇄비</v>
      </c>
    </row>
    <row r="305" customFormat="false" ht="15" hidden="false" customHeight="false" outlineLevel="0" collapsed="false">
      <c r="A305" s="310" t="s">
        <v>841</v>
      </c>
      <c r="B305" s="307" t="n">
        <v>66900000</v>
      </c>
      <c r="C305" s="307" t="s">
        <v>2125</v>
      </c>
      <c r="D305" s="307" t="s">
        <v>1926</v>
      </c>
      <c r="E305" s="307" t="s">
        <v>2126</v>
      </c>
      <c r="F305" s="307" t="s">
        <v>2127</v>
      </c>
      <c r="G305" s="307" t="s">
        <v>1973</v>
      </c>
      <c r="H305" s="307" t="s">
        <v>1536</v>
      </c>
      <c r="I305" s="307" t="s">
        <v>1988</v>
      </c>
      <c r="J305" s="307" t="s">
        <v>1499</v>
      </c>
      <c r="K305" s="307" t="s">
        <v>1989</v>
      </c>
      <c r="L305" s="317" t="s">
        <v>1140</v>
      </c>
      <c r="M305" s="317" t="s">
        <v>360</v>
      </c>
      <c r="N305" s="317" t="s">
        <v>1140</v>
      </c>
      <c r="O305" s="317" t="s">
        <v>1140</v>
      </c>
      <c r="P305" s="317" t="s">
        <v>360</v>
      </c>
      <c r="Q305" s="318" t="n">
        <v>97646461</v>
      </c>
      <c r="R305" s="318" t="n">
        <v>0</v>
      </c>
      <c r="S305" s="318" t="n">
        <v>49220</v>
      </c>
      <c r="T305" s="318" t="n">
        <v>-5647752</v>
      </c>
      <c r="U305" s="318" t="n">
        <v>10400748</v>
      </c>
      <c r="V305" s="318" t="n">
        <v>11261118</v>
      </c>
      <c r="W305" s="318" t="n">
        <v>463824</v>
      </c>
      <c r="X305" s="318" t="n">
        <v>463444</v>
      </c>
      <c r="Y305" s="318" t="n">
        <v>463444</v>
      </c>
      <c r="Z305" s="318" t="n">
        <v>-8407426</v>
      </c>
      <c r="AA305" s="318"/>
      <c r="AB305" s="318"/>
      <c r="AC305" s="318"/>
      <c r="AD305" s="318"/>
      <c r="AE305" s="318" t="n">
        <f aca="false">R305</f>
        <v>0</v>
      </c>
      <c r="AF305" s="318" t="n">
        <f aca="false">S305-R305</f>
        <v>49220</v>
      </c>
      <c r="AG305" s="318" t="n">
        <f aca="false">T305-S305</f>
        <v>-5696972</v>
      </c>
      <c r="AH305" s="318" t="n">
        <f aca="false">U305-T305</f>
        <v>16048500</v>
      </c>
      <c r="AI305" s="318" t="n">
        <f aca="false">V305-U305</f>
        <v>860370</v>
      </c>
      <c r="AJ305" s="318" t="n">
        <f aca="false">W305-V305</f>
        <v>-10797294</v>
      </c>
      <c r="AK305" s="318" t="n">
        <f aca="false">X305-W305</f>
        <v>-380</v>
      </c>
      <c r="AL305" s="318" t="n">
        <f aca="false">Y305-X305</f>
        <v>0</v>
      </c>
      <c r="AM305" s="318" t="n">
        <f aca="false">Z305-Y305</f>
        <v>-8870870</v>
      </c>
      <c r="AN305" s="318" t="s">
        <v>1726</v>
      </c>
      <c r="AO305" s="318" t="n">
        <f aca="false">AB305-AA305</f>
        <v>0</v>
      </c>
      <c r="AP305" s="318" t="n">
        <f aca="false">AC305-AB305</f>
        <v>0</v>
      </c>
      <c r="AR305" s="307" t="str">
        <f aca="false">IFERROR(VLOOKUP(M305,'PL_DEC.2026'!$D$11:$D$99,1,FALSE()),"(미존재)")</f>
        <v>잡손실</v>
      </c>
    </row>
    <row r="306" customFormat="false" ht="15" hidden="false" customHeight="false" outlineLevel="0" collapsed="false">
      <c r="A306" s="310" t="s">
        <v>841</v>
      </c>
      <c r="B306" s="307" t="n">
        <v>66900039</v>
      </c>
      <c r="C306" s="307" t="s">
        <v>2128</v>
      </c>
      <c r="D306" s="307" t="s">
        <v>1926</v>
      </c>
      <c r="E306" s="307" t="s">
        <v>2126</v>
      </c>
      <c r="F306" s="307" t="s">
        <v>2129</v>
      </c>
      <c r="G306" s="307" t="s">
        <v>1973</v>
      </c>
      <c r="H306" s="307" t="s">
        <v>1536</v>
      </c>
      <c r="I306" s="307" t="s">
        <v>1988</v>
      </c>
      <c r="J306" s="307" t="s">
        <v>1499</v>
      </c>
      <c r="K306" s="307" t="s">
        <v>1989</v>
      </c>
      <c r="L306" s="317" t="s">
        <v>2130</v>
      </c>
      <c r="M306" s="317" t="s">
        <v>349</v>
      </c>
      <c r="N306" s="317" t="s">
        <v>1140</v>
      </c>
      <c r="O306" s="317" t="s">
        <v>1140</v>
      </c>
      <c r="P306" s="317" t="s">
        <v>349</v>
      </c>
      <c r="Q306" s="318" t="n">
        <v>213198200</v>
      </c>
      <c r="R306" s="318" t="n">
        <v>0</v>
      </c>
      <c r="S306" s="318" t="n">
        <v>5000000</v>
      </c>
      <c r="T306" s="318" t="n">
        <v>5000000</v>
      </c>
      <c r="U306" s="318" t="n">
        <v>35000000</v>
      </c>
      <c r="V306" s="318" t="n">
        <v>145000000</v>
      </c>
      <c r="W306" s="318" t="n">
        <v>172797619</v>
      </c>
      <c r="X306" s="318" t="n">
        <v>227797619</v>
      </c>
      <c r="Y306" s="318" t="n">
        <v>283797619</v>
      </c>
      <c r="Z306" s="318" t="n">
        <v>285797619</v>
      </c>
      <c r="AA306" s="318"/>
      <c r="AB306" s="318"/>
      <c r="AC306" s="318"/>
      <c r="AD306" s="318"/>
      <c r="AE306" s="318" t="n">
        <f aca="false">R306</f>
        <v>0</v>
      </c>
      <c r="AF306" s="318" t="n">
        <f aca="false">S306-R306</f>
        <v>5000000</v>
      </c>
      <c r="AG306" s="318" t="n">
        <f aca="false">T306-S306</f>
        <v>0</v>
      </c>
      <c r="AH306" s="318" t="n">
        <f aca="false">U306-T306</f>
        <v>30000000</v>
      </c>
      <c r="AI306" s="318" t="n">
        <f aca="false">V306-U306</f>
        <v>110000000</v>
      </c>
      <c r="AJ306" s="318" t="n">
        <f aca="false">W306-V306</f>
        <v>27797619</v>
      </c>
      <c r="AK306" s="318" t="n">
        <f aca="false">X306-W306</f>
        <v>55000000</v>
      </c>
      <c r="AL306" s="318" t="n">
        <f aca="false">Y306-X306</f>
        <v>56000000</v>
      </c>
      <c r="AM306" s="318" t="n">
        <f aca="false">Z306-Y306</f>
        <v>2000000</v>
      </c>
      <c r="AN306" s="318" t="s">
        <v>1726</v>
      </c>
      <c r="AO306" s="318" t="n">
        <f aca="false">AB306-AA306</f>
        <v>0</v>
      </c>
      <c r="AP306" s="318" t="n">
        <f aca="false">AC306-AB306</f>
        <v>0</v>
      </c>
      <c r="AR306" s="307" t="str">
        <f aca="false">IFERROR(VLOOKUP(M306,'PL_DEC.2026'!$D$11:$D$99,1,FALSE()),"(미존재)")</f>
        <v>기부금</v>
      </c>
    </row>
    <row r="307" customFormat="false" ht="15" hidden="false" customHeight="false" outlineLevel="0" collapsed="false">
      <c r="A307" s="310" t="s">
        <v>841</v>
      </c>
      <c r="B307" s="307" t="n">
        <v>66900040</v>
      </c>
      <c r="C307" s="307" t="s">
        <v>2131</v>
      </c>
      <c r="D307" s="307" t="s">
        <v>1926</v>
      </c>
      <c r="E307" s="307" t="s">
        <v>2126</v>
      </c>
      <c r="F307" s="307" t="s">
        <v>2129</v>
      </c>
      <c r="G307" s="307" t="s">
        <v>1973</v>
      </c>
      <c r="H307" s="307" t="s">
        <v>1536</v>
      </c>
      <c r="I307" s="307" t="s">
        <v>1988</v>
      </c>
      <c r="J307" s="307" t="s">
        <v>1499</v>
      </c>
      <c r="K307" s="307" t="s">
        <v>1989</v>
      </c>
      <c r="L307" s="317" t="s">
        <v>2130</v>
      </c>
      <c r="M307" s="317" t="s">
        <v>349</v>
      </c>
      <c r="N307" s="317" t="s">
        <v>1140</v>
      </c>
      <c r="O307" s="317" t="s">
        <v>1140</v>
      </c>
      <c r="P307" s="317" t="s">
        <v>349</v>
      </c>
      <c r="Q307" s="318" t="n">
        <v>10000000</v>
      </c>
      <c r="R307" s="318" t="n">
        <v>0</v>
      </c>
      <c r="S307" s="318" t="n">
        <v>0</v>
      </c>
      <c r="T307" s="318" t="n">
        <v>0</v>
      </c>
      <c r="U307" s="318" t="n">
        <v>0</v>
      </c>
      <c r="V307" s="318" t="n">
        <v>0</v>
      </c>
      <c r="W307" s="318" t="n">
        <v>0</v>
      </c>
      <c r="X307" s="318" t="n">
        <v>0</v>
      </c>
      <c r="Y307" s="318" t="n">
        <v>0</v>
      </c>
      <c r="Z307" s="318" t="n">
        <v>0</v>
      </c>
      <c r="AA307" s="318"/>
      <c r="AB307" s="318"/>
      <c r="AC307" s="318"/>
      <c r="AD307" s="318"/>
      <c r="AE307" s="318" t="n">
        <f aca="false">R307</f>
        <v>0</v>
      </c>
      <c r="AF307" s="318" t="n">
        <f aca="false">S307-R307</f>
        <v>0</v>
      </c>
      <c r="AG307" s="318" t="n">
        <f aca="false">T307-S307</f>
        <v>0</v>
      </c>
      <c r="AH307" s="318" t="n">
        <f aca="false">U307-T307</f>
        <v>0</v>
      </c>
      <c r="AI307" s="318" t="n">
        <f aca="false">V307-U307</f>
        <v>0</v>
      </c>
      <c r="AJ307" s="318" t="n">
        <f aca="false">W307-V307</f>
        <v>0</v>
      </c>
      <c r="AK307" s="318" t="n">
        <f aca="false">X307-W307</f>
        <v>0</v>
      </c>
      <c r="AL307" s="318" t="n">
        <f aca="false">Y307-X307</f>
        <v>0</v>
      </c>
      <c r="AM307" s="318" t="n">
        <f aca="false">Z307-Y307</f>
        <v>0</v>
      </c>
      <c r="AN307" s="318" t="s">
        <v>1726</v>
      </c>
      <c r="AO307" s="318" t="n">
        <f aca="false">AB307-AA307</f>
        <v>0</v>
      </c>
      <c r="AP307" s="318" t="n">
        <f aca="false">AC307-AB307</f>
        <v>0</v>
      </c>
      <c r="AR307" s="307" t="str">
        <f aca="false">IFERROR(VLOOKUP(M307,'PL_DEC.2026'!$D$11:$D$99,1,FALSE()),"(미존재)")</f>
        <v>기부금</v>
      </c>
    </row>
    <row r="308" customFormat="false" ht="15" hidden="false" customHeight="false" outlineLevel="0" collapsed="false">
      <c r="A308" s="310" t="s">
        <v>841</v>
      </c>
      <c r="B308" s="307" t="n">
        <v>66900044</v>
      </c>
      <c r="C308" s="307" t="s">
        <v>2132</v>
      </c>
      <c r="D308" s="307" t="s">
        <v>1926</v>
      </c>
      <c r="E308" s="307" t="s">
        <v>2126</v>
      </c>
      <c r="F308" s="307" t="s">
        <v>2129</v>
      </c>
      <c r="G308" s="307" t="s">
        <v>1682</v>
      </c>
      <c r="H308" s="307" t="s">
        <v>1536</v>
      </c>
      <c r="I308" s="307" t="s">
        <v>1988</v>
      </c>
      <c r="J308" s="307" t="s">
        <v>1499</v>
      </c>
      <c r="K308" s="307" t="s">
        <v>1989</v>
      </c>
      <c r="L308" s="317" t="s">
        <v>2130</v>
      </c>
      <c r="M308" s="317" t="s">
        <v>349</v>
      </c>
      <c r="N308" s="317" t="s">
        <v>1140</v>
      </c>
      <c r="O308" s="317" t="s">
        <v>1140</v>
      </c>
      <c r="P308" s="317" t="s">
        <v>349</v>
      </c>
      <c r="Q308" s="318" t="n">
        <v>35855618</v>
      </c>
      <c r="R308" s="318" t="n">
        <v>0</v>
      </c>
      <c r="S308" s="318" t="n">
        <v>0</v>
      </c>
      <c r="T308" s="318" t="n">
        <v>0</v>
      </c>
      <c r="U308" s="318" t="n">
        <v>0</v>
      </c>
      <c r="V308" s="318" t="n">
        <v>0</v>
      </c>
      <c r="W308" s="318" t="n">
        <v>5000000</v>
      </c>
      <c r="X308" s="318" t="n">
        <v>5000000</v>
      </c>
      <c r="Y308" s="318" t="n">
        <v>5000000</v>
      </c>
      <c r="Z308" s="318" t="n">
        <v>5000000</v>
      </c>
      <c r="AA308" s="318"/>
      <c r="AB308" s="318"/>
      <c r="AC308" s="318"/>
      <c r="AD308" s="318"/>
      <c r="AE308" s="318" t="n">
        <f aca="false">R308</f>
        <v>0</v>
      </c>
      <c r="AF308" s="318" t="n">
        <f aca="false">S308-R308</f>
        <v>0</v>
      </c>
      <c r="AG308" s="318" t="n">
        <f aca="false">T308-S308</f>
        <v>0</v>
      </c>
      <c r="AH308" s="318" t="n">
        <f aca="false">U308-T308</f>
        <v>0</v>
      </c>
      <c r="AI308" s="318" t="n">
        <f aca="false">V308-U308</f>
        <v>0</v>
      </c>
      <c r="AJ308" s="318" t="n">
        <f aca="false">W308-V308</f>
        <v>5000000</v>
      </c>
      <c r="AK308" s="318" t="n">
        <f aca="false">X308-W308</f>
        <v>0</v>
      </c>
      <c r="AL308" s="318" t="n">
        <f aca="false">Y308-X308</f>
        <v>0</v>
      </c>
      <c r="AM308" s="318" t="n">
        <f aca="false">Z308-Y308</f>
        <v>0</v>
      </c>
      <c r="AN308" s="318" t="s">
        <v>1726</v>
      </c>
      <c r="AO308" s="318" t="n">
        <f aca="false">AB308-AA308</f>
        <v>0</v>
      </c>
      <c r="AP308" s="318" t="n">
        <f aca="false">AC308-AB308</f>
        <v>0</v>
      </c>
      <c r="AR308" s="307" t="str">
        <f aca="false">IFERROR(VLOOKUP(M308,'PL_DEC.2026'!$D$11:$D$99,1,FALSE()),"(미존재)")</f>
        <v>기부금</v>
      </c>
    </row>
    <row r="309" customFormat="false" ht="15" hidden="false" customHeight="false" outlineLevel="0" collapsed="false">
      <c r="A309" s="310" t="s">
        <v>841</v>
      </c>
      <c r="B309" s="307" t="n">
        <v>66900505</v>
      </c>
      <c r="C309" s="307" t="s">
        <v>2133</v>
      </c>
      <c r="D309" s="307" t="s">
        <v>1926</v>
      </c>
      <c r="E309" s="307" t="s">
        <v>1971</v>
      </c>
      <c r="F309" s="307" t="s">
        <v>1972</v>
      </c>
      <c r="G309" s="307" t="s">
        <v>1973</v>
      </c>
      <c r="H309" s="307" t="s">
        <v>1536</v>
      </c>
      <c r="I309" s="307" t="s">
        <v>1988</v>
      </c>
      <c r="J309" s="307" t="s">
        <v>1499</v>
      </c>
      <c r="K309" s="307" t="s">
        <v>1989</v>
      </c>
      <c r="L309" s="317" t="s">
        <v>1976</v>
      </c>
      <c r="M309" s="317" t="s">
        <v>299</v>
      </c>
      <c r="N309" s="317" t="s">
        <v>1976</v>
      </c>
      <c r="O309" s="317" t="s">
        <v>299</v>
      </c>
      <c r="P309" s="317" t="s">
        <v>299</v>
      </c>
      <c r="Q309" s="318" t="n">
        <v>81697788</v>
      </c>
      <c r="R309" s="318" t="n">
        <v>9760958</v>
      </c>
      <c r="S309" s="318" t="n">
        <v>17713909</v>
      </c>
      <c r="T309" s="318" t="n">
        <v>26214124</v>
      </c>
      <c r="U309" s="318" t="n">
        <v>32569742</v>
      </c>
      <c r="V309" s="318" t="n">
        <v>40438325</v>
      </c>
      <c r="W309" s="318" t="n">
        <v>48934676</v>
      </c>
      <c r="X309" s="318" t="n">
        <v>56328817</v>
      </c>
      <c r="Y309" s="318" t="n">
        <v>64286730</v>
      </c>
      <c r="Z309" s="318" t="n">
        <v>64618589</v>
      </c>
      <c r="AA309" s="318"/>
      <c r="AB309" s="318"/>
      <c r="AC309" s="318"/>
      <c r="AD309" s="318"/>
      <c r="AE309" s="318" t="n">
        <f aca="false">R309</f>
        <v>9760958</v>
      </c>
      <c r="AF309" s="318" t="n">
        <f aca="false">S309-R309</f>
        <v>7952951</v>
      </c>
      <c r="AG309" s="318" t="n">
        <f aca="false">T309-S309</f>
        <v>8500215</v>
      </c>
      <c r="AH309" s="318" t="n">
        <f aca="false">U309-T309</f>
        <v>6355618</v>
      </c>
      <c r="AI309" s="318" t="n">
        <f aca="false">V309-U309</f>
        <v>7868583</v>
      </c>
      <c r="AJ309" s="318" t="n">
        <f aca="false">W309-V309</f>
        <v>8496351</v>
      </c>
      <c r="AK309" s="318" t="n">
        <f aca="false">X309-W309</f>
        <v>7394141</v>
      </c>
      <c r="AL309" s="318" t="n">
        <f aca="false">Y309-X309</f>
        <v>7957913</v>
      </c>
      <c r="AM309" s="318" t="n">
        <f aca="false">Z309-Y309</f>
        <v>331859</v>
      </c>
      <c r="AN309" s="318" t="s">
        <v>1726</v>
      </c>
      <c r="AO309" s="318" t="n">
        <f aca="false">AB309-AA309</f>
        <v>0</v>
      </c>
      <c r="AP309" s="318" t="n">
        <f aca="false">AC309-AB309</f>
        <v>0</v>
      </c>
      <c r="AR309" s="307" t="str">
        <f aca="false">IFERROR(VLOOKUP(M309,'PL_DEC.2026'!$D$11:$D$99,1,FALSE()),"(미존재)")</f>
        <v>지급수수료</v>
      </c>
    </row>
    <row r="310" customFormat="false" ht="15" hidden="false" customHeight="false" outlineLevel="0" collapsed="false">
      <c r="A310" s="310" t="s">
        <v>841</v>
      </c>
      <c r="B310" s="307" t="n">
        <v>66900707</v>
      </c>
      <c r="C310" s="307" t="s">
        <v>2134</v>
      </c>
      <c r="D310" s="307" t="s">
        <v>1926</v>
      </c>
      <c r="E310" s="307" t="s">
        <v>1971</v>
      </c>
      <c r="F310" s="307" t="s">
        <v>1978</v>
      </c>
      <c r="G310" s="307" t="s">
        <v>1973</v>
      </c>
      <c r="H310" s="307" t="s">
        <v>1536</v>
      </c>
      <c r="I310" s="307" t="s">
        <v>1988</v>
      </c>
      <c r="J310" s="307" t="s">
        <v>1499</v>
      </c>
      <c r="K310" s="307" t="s">
        <v>1989</v>
      </c>
      <c r="L310" s="317" t="s">
        <v>1976</v>
      </c>
      <c r="M310" s="317" t="s">
        <v>307</v>
      </c>
      <c r="N310" s="317" t="s">
        <v>1976</v>
      </c>
      <c r="O310" s="317" t="s">
        <v>1979</v>
      </c>
      <c r="P310" s="317" t="s">
        <v>1979</v>
      </c>
      <c r="Q310" s="318" t="n">
        <v>-174835248</v>
      </c>
      <c r="R310" s="318" t="n">
        <v>0</v>
      </c>
      <c r="S310" s="318" t="n">
        <v>0</v>
      </c>
      <c r="T310" s="318" t="n">
        <v>0</v>
      </c>
      <c r="U310" s="318" t="n">
        <v>0</v>
      </c>
      <c r="V310" s="318" t="n">
        <v>0</v>
      </c>
      <c r="W310" s="318" t="n">
        <v>0</v>
      </c>
      <c r="X310" s="318" t="n">
        <v>0</v>
      </c>
      <c r="Y310" s="318" t="n">
        <v>0</v>
      </c>
      <c r="Z310" s="318" t="n">
        <v>0</v>
      </c>
      <c r="AA310" s="318"/>
      <c r="AB310" s="318"/>
      <c r="AC310" s="318"/>
      <c r="AD310" s="318"/>
      <c r="AE310" s="318" t="n">
        <f aca="false">R310</f>
        <v>0</v>
      </c>
      <c r="AF310" s="318" t="n">
        <f aca="false">S310-R310</f>
        <v>0</v>
      </c>
      <c r="AG310" s="318" t="n">
        <f aca="false">T310-S310</f>
        <v>0</v>
      </c>
      <c r="AH310" s="318" t="n">
        <f aca="false">U310-T310</f>
        <v>0</v>
      </c>
      <c r="AI310" s="318" t="n">
        <f aca="false">V310-U310</f>
        <v>0</v>
      </c>
      <c r="AJ310" s="318" t="n">
        <f aca="false">W310-V310</f>
        <v>0</v>
      </c>
      <c r="AK310" s="318" t="n">
        <f aca="false">X310-W310</f>
        <v>0</v>
      </c>
      <c r="AL310" s="318" t="n">
        <f aca="false">Y310-X310</f>
        <v>0</v>
      </c>
      <c r="AM310" s="318" t="n">
        <f aca="false">Z310-Y310</f>
        <v>0</v>
      </c>
      <c r="AN310" s="318" t="s">
        <v>1726</v>
      </c>
      <c r="AO310" s="318" t="n">
        <f aca="false">AB310-AA310</f>
        <v>0</v>
      </c>
      <c r="AP310" s="318" t="n">
        <f aca="false">AC310-AB310</f>
        <v>0</v>
      </c>
      <c r="AR310" s="307" t="str">
        <f aca="false">IFERROR(VLOOKUP(M310,'PL_DEC.2026'!$D$11:$D$99,1,FALSE()),"(미존재)")</f>
        <v>임상증례조사비</v>
      </c>
    </row>
    <row r="311" customFormat="false" ht="15" hidden="false" customHeight="false" outlineLevel="0" collapsed="false">
      <c r="A311" s="310" t="s">
        <v>841</v>
      </c>
      <c r="B311" s="307" t="n">
        <v>66900905</v>
      </c>
      <c r="C311" s="307" t="s">
        <v>2135</v>
      </c>
      <c r="D311" s="307" t="s">
        <v>1926</v>
      </c>
      <c r="E311" s="307" t="s">
        <v>1971</v>
      </c>
      <c r="F311" s="307" t="s">
        <v>1972</v>
      </c>
      <c r="G311" s="307" t="s">
        <v>1973</v>
      </c>
      <c r="H311" s="307" t="s">
        <v>1536</v>
      </c>
      <c r="I311" s="307" t="s">
        <v>1988</v>
      </c>
      <c r="J311" s="307" t="s">
        <v>1499</v>
      </c>
      <c r="K311" s="307" t="s">
        <v>1989</v>
      </c>
      <c r="L311" s="317" t="s">
        <v>1976</v>
      </c>
      <c r="M311" s="317" t="s">
        <v>299</v>
      </c>
      <c r="N311" s="317" t="s">
        <v>1976</v>
      </c>
      <c r="O311" s="317" t="s">
        <v>299</v>
      </c>
      <c r="P311" s="317" t="s">
        <v>299</v>
      </c>
      <c r="Q311" s="318" t="n">
        <v>244495750</v>
      </c>
      <c r="R311" s="318" t="n">
        <v>65464098</v>
      </c>
      <c r="S311" s="318" t="n">
        <v>98241058</v>
      </c>
      <c r="T311" s="318" t="n">
        <v>118481500</v>
      </c>
      <c r="U311" s="318" t="n">
        <v>322225542</v>
      </c>
      <c r="V311" s="318" t="n">
        <v>457344496</v>
      </c>
      <c r="W311" s="318" t="n">
        <v>280447770</v>
      </c>
      <c r="X311" s="318" t="n">
        <v>210371011</v>
      </c>
      <c r="Y311" s="318" t="n">
        <v>293842212</v>
      </c>
      <c r="Z311" s="318" t="n">
        <v>407970082</v>
      </c>
      <c r="AA311" s="318"/>
      <c r="AB311" s="318"/>
      <c r="AC311" s="318"/>
      <c r="AD311" s="318"/>
      <c r="AE311" s="318" t="n">
        <f aca="false">R311</f>
        <v>65464098</v>
      </c>
      <c r="AF311" s="318" t="n">
        <f aca="false">S311-R311</f>
        <v>32776960</v>
      </c>
      <c r="AG311" s="318" t="n">
        <f aca="false">T311-S311</f>
        <v>20240442</v>
      </c>
      <c r="AH311" s="318" t="n">
        <f aca="false">U311-T311</f>
        <v>203744042</v>
      </c>
      <c r="AI311" s="318" t="n">
        <f aca="false">V311-U311</f>
        <v>135118954</v>
      </c>
      <c r="AJ311" s="318" t="n">
        <f aca="false">W311-V311</f>
        <v>-176896726</v>
      </c>
      <c r="AK311" s="318" t="n">
        <f aca="false">X311-W311</f>
        <v>-70076759</v>
      </c>
      <c r="AL311" s="318" t="n">
        <f aca="false">Y311-X311</f>
        <v>83471201</v>
      </c>
      <c r="AM311" s="318" t="n">
        <f aca="false">Z311-Y311</f>
        <v>114127870</v>
      </c>
      <c r="AN311" s="318" t="s">
        <v>1726</v>
      </c>
      <c r="AO311" s="318" t="n">
        <f aca="false">AB311-AA311</f>
        <v>0</v>
      </c>
      <c r="AP311" s="318" t="n">
        <f aca="false">AC311-AB311</f>
        <v>0</v>
      </c>
      <c r="AR311" s="307" t="str">
        <f aca="false">IFERROR(VLOOKUP(M311,'PL_DEC.2026'!$D$11:$D$99,1,FALSE()),"(미존재)")</f>
        <v>지급수수료</v>
      </c>
    </row>
    <row r="312" customFormat="false" ht="15" hidden="false" customHeight="false" outlineLevel="0" collapsed="false">
      <c r="A312" s="310" t="s">
        <v>841</v>
      </c>
      <c r="B312" s="307" t="n">
        <v>67100028</v>
      </c>
      <c r="C312" s="307" t="s">
        <v>2136</v>
      </c>
      <c r="D312" s="307" t="s">
        <v>1926</v>
      </c>
      <c r="E312" s="307" t="s">
        <v>1971</v>
      </c>
      <c r="F312" s="307" t="s">
        <v>2137</v>
      </c>
      <c r="G312" s="307" t="s">
        <v>1929</v>
      </c>
      <c r="H312" s="307" t="s">
        <v>1536</v>
      </c>
      <c r="I312" s="307" t="s">
        <v>1933</v>
      </c>
      <c r="K312" s="307" t="s">
        <v>1934</v>
      </c>
      <c r="L312" s="317" t="s">
        <v>874</v>
      </c>
      <c r="M312" s="317" t="s">
        <v>240</v>
      </c>
      <c r="N312" s="317" t="s">
        <v>1976</v>
      </c>
      <c r="O312" s="317" t="s">
        <v>319</v>
      </c>
      <c r="P312" s="317" t="s">
        <v>319</v>
      </c>
      <c r="Q312" s="318" t="n">
        <v>4038906063</v>
      </c>
      <c r="R312" s="318" t="n">
        <v>191786034</v>
      </c>
      <c r="S312" s="318" t="n">
        <v>684829354</v>
      </c>
      <c r="T312" s="318" t="n">
        <v>1359943914</v>
      </c>
      <c r="U312" s="318" t="n">
        <v>1690365514</v>
      </c>
      <c r="V312" s="318" t="n">
        <v>2085901849</v>
      </c>
      <c r="W312" s="318" t="n">
        <v>2643874689</v>
      </c>
      <c r="X312" s="318" t="n">
        <v>2849468554</v>
      </c>
      <c r="Y312" s="318" t="n">
        <v>3377610569</v>
      </c>
      <c r="Z312" s="318" t="n">
        <v>3605799114</v>
      </c>
      <c r="AA312" s="318"/>
      <c r="AB312" s="318"/>
      <c r="AC312" s="318"/>
      <c r="AD312" s="318"/>
      <c r="AE312" s="318" t="n">
        <f aca="false">R312</f>
        <v>191786034</v>
      </c>
      <c r="AF312" s="318" t="n">
        <f aca="false">S312-R312</f>
        <v>493043320</v>
      </c>
      <c r="AG312" s="318" t="n">
        <f aca="false">T312-S312</f>
        <v>675114560</v>
      </c>
      <c r="AH312" s="318" t="n">
        <f aca="false">U312-T312</f>
        <v>330421600</v>
      </c>
      <c r="AI312" s="318" t="n">
        <f aca="false">V312-U312</f>
        <v>395536335</v>
      </c>
      <c r="AJ312" s="318" t="n">
        <f aca="false">W312-V312</f>
        <v>557972840</v>
      </c>
      <c r="AK312" s="318" t="n">
        <f aca="false">X312-W312</f>
        <v>205593865</v>
      </c>
      <c r="AL312" s="318" t="n">
        <f aca="false">Y312-X312</f>
        <v>528142015</v>
      </c>
      <c r="AM312" s="318" t="n">
        <f aca="false">Z312-Y312</f>
        <v>228188545</v>
      </c>
      <c r="AN312" s="318" t="s">
        <v>1726</v>
      </c>
      <c r="AO312" s="318" t="n">
        <f aca="false">AB312-AA312</f>
        <v>0</v>
      </c>
      <c r="AP312" s="318" t="n">
        <f aca="false">AC312-AB312</f>
        <v>0</v>
      </c>
      <c r="AR312" s="307" t="str">
        <f aca="false">IFERROR(VLOOKUP(M312,'PL_DEC.2026'!$D$11:$D$99,1,FALSE()),"(미존재)")</f>
        <v>상품매출원가</v>
      </c>
    </row>
    <row r="313" customFormat="false" ht="15" hidden="false" customHeight="false" outlineLevel="0" collapsed="false">
      <c r="A313" s="310" t="s">
        <v>841</v>
      </c>
      <c r="B313" s="307" t="n">
        <v>68011600</v>
      </c>
      <c r="C313" s="307" t="s">
        <v>2138</v>
      </c>
      <c r="D313" s="307" t="s">
        <v>1926</v>
      </c>
      <c r="E313" s="307" t="s">
        <v>1996</v>
      </c>
      <c r="F313" s="307" t="s">
        <v>1997</v>
      </c>
      <c r="G313" s="307" t="s">
        <v>1973</v>
      </c>
      <c r="H313" s="307" t="s">
        <v>1536</v>
      </c>
      <c r="I313" s="307" t="s">
        <v>1988</v>
      </c>
      <c r="J313" s="307" t="s">
        <v>1499</v>
      </c>
      <c r="K313" s="307" t="s">
        <v>1989</v>
      </c>
      <c r="L313" s="317" t="s">
        <v>1976</v>
      </c>
      <c r="M313" s="317" t="s">
        <v>282</v>
      </c>
      <c r="N313" s="317" t="s">
        <v>1976</v>
      </c>
      <c r="O313" s="317" t="s">
        <v>282</v>
      </c>
      <c r="P313" s="317" t="s">
        <v>282</v>
      </c>
      <c r="Q313" s="318" t="n">
        <v>712226358</v>
      </c>
      <c r="R313" s="318" t="n">
        <v>64224242</v>
      </c>
      <c r="S313" s="318" t="n">
        <v>128391231</v>
      </c>
      <c r="T313" s="318" t="n">
        <v>199160747</v>
      </c>
      <c r="U313" s="318" t="n">
        <v>269188782</v>
      </c>
      <c r="V313" s="318" t="n">
        <v>339149481</v>
      </c>
      <c r="W313" s="318" t="n">
        <v>409205664</v>
      </c>
      <c r="X313" s="318" t="n">
        <v>480350019</v>
      </c>
      <c r="Y313" s="318" t="n">
        <v>549897600</v>
      </c>
      <c r="Z313" s="318" t="n">
        <v>618790933</v>
      </c>
      <c r="AA313" s="318"/>
      <c r="AB313" s="318"/>
      <c r="AC313" s="318"/>
      <c r="AD313" s="318"/>
      <c r="AE313" s="318" t="n">
        <f aca="false">R313</f>
        <v>64224242</v>
      </c>
      <c r="AF313" s="318" t="n">
        <f aca="false">S313-R313</f>
        <v>64166989</v>
      </c>
      <c r="AG313" s="318" t="n">
        <f aca="false">T313-S313</f>
        <v>70769516</v>
      </c>
      <c r="AH313" s="318" t="n">
        <f aca="false">U313-T313</f>
        <v>70028035</v>
      </c>
      <c r="AI313" s="318" t="n">
        <f aca="false">V313-U313</f>
        <v>69960699</v>
      </c>
      <c r="AJ313" s="318" t="n">
        <f aca="false">W313-V313</f>
        <v>70056183</v>
      </c>
      <c r="AK313" s="318" t="n">
        <f aca="false">X313-W313</f>
        <v>71144355</v>
      </c>
      <c r="AL313" s="318" t="n">
        <f aca="false">Y313-X313</f>
        <v>69547581</v>
      </c>
      <c r="AM313" s="318" t="n">
        <f aca="false">Z313-Y313</f>
        <v>68893333</v>
      </c>
      <c r="AN313" s="318" t="s">
        <v>1726</v>
      </c>
      <c r="AO313" s="318" t="n">
        <f aca="false">AB313-AA313</f>
        <v>0</v>
      </c>
      <c r="AP313" s="318" t="n">
        <f aca="false">AC313-AB313</f>
        <v>0</v>
      </c>
      <c r="AR313" s="307" t="str">
        <f aca="false">IFERROR(VLOOKUP(M313,'PL_DEC.2026'!$D$11:$D$99,1,FALSE()),"(미존재)")</f>
        <v>급여</v>
      </c>
    </row>
    <row r="314" customFormat="false" ht="15" hidden="false" customHeight="false" outlineLevel="0" collapsed="false">
      <c r="A314" s="310" t="s">
        <v>841</v>
      </c>
      <c r="B314" s="307" t="n">
        <v>67100700</v>
      </c>
      <c r="C314" s="307" t="s">
        <v>2139</v>
      </c>
      <c r="D314" s="307" t="s">
        <v>1926</v>
      </c>
      <c r="E314" s="307" t="s">
        <v>1996</v>
      </c>
      <c r="F314" s="307" t="s">
        <v>1972</v>
      </c>
      <c r="G314" s="307" t="s">
        <v>1973</v>
      </c>
      <c r="H314" s="307" t="s">
        <v>1536</v>
      </c>
      <c r="I314" s="307" t="s">
        <v>1988</v>
      </c>
      <c r="J314" s="307" t="s">
        <v>1499</v>
      </c>
      <c r="K314" s="307" t="s">
        <v>1989</v>
      </c>
      <c r="L314" s="317" t="s">
        <v>1976</v>
      </c>
      <c r="M314" s="317" t="s">
        <v>299</v>
      </c>
      <c r="N314" s="317" t="s">
        <v>1976</v>
      </c>
      <c r="P314" s="317" t="s">
        <v>299</v>
      </c>
      <c r="Q314" s="318"/>
      <c r="R314" s="318"/>
      <c r="S314" s="318"/>
      <c r="T314" s="318"/>
      <c r="U314" s="318"/>
      <c r="V314" s="318"/>
      <c r="W314" s="318"/>
      <c r="X314" s="318"/>
      <c r="Y314" s="318"/>
      <c r="Z314" s="318" t="n">
        <v>151777885</v>
      </c>
      <c r="AA314" s="318"/>
      <c r="AB314" s="318"/>
      <c r="AC314" s="318"/>
      <c r="AD314" s="318"/>
      <c r="AE314" s="318" t="n">
        <f aca="false">R314</f>
        <v>0</v>
      </c>
      <c r="AF314" s="318" t="n">
        <f aca="false">S314-R314</f>
        <v>0</v>
      </c>
      <c r="AG314" s="318" t="n">
        <f aca="false">T314-S314</f>
        <v>0</v>
      </c>
      <c r="AH314" s="318" t="n">
        <f aca="false">U314-T314</f>
        <v>0</v>
      </c>
      <c r="AI314" s="318" t="n">
        <f aca="false">V314-U314</f>
        <v>0</v>
      </c>
      <c r="AJ314" s="318" t="n">
        <f aca="false">W314-V314</f>
        <v>0</v>
      </c>
      <c r="AK314" s="318" t="n">
        <f aca="false">X314-W314</f>
        <v>0</v>
      </c>
      <c r="AL314" s="318" t="n">
        <f aca="false">Y314-X314</f>
        <v>0</v>
      </c>
      <c r="AM314" s="318" t="n">
        <f aca="false">Z314-Y314</f>
        <v>151777885</v>
      </c>
      <c r="AN314" s="318" t="s">
        <v>1726</v>
      </c>
      <c r="AO314" s="318" t="n">
        <f aca="false">AB314-AA314</f>
        <v>0</v>
      </c>
      <c r="AP314" s="318" t="n">
        <f aca="false">AC314-AB314</f>
        <v>0</v>
      </c>
      <c r="AR314" s="307" t="str">
        <f aca="false">IFERROR(VLOOKUP(M314,'PL_DEC.2026'!$D$11:$D$99,1,FALSE()),"(미존재)")</f>
        <v>지급수수료</v>
      </c>
    </row>
    <row r="315" customFormat="false" ht="15" hidden="false" customHeight="false" outlineLevel="0" collapsed="false">
      <c r="A315" s="310" t="s">
        <v>841</v>
      </c>
      <c r="B315" s="307" t="n">
        <v>68014600</v>
      </c>
      <c r="C315" s="307" t="s">
        <v>2140</v>
      </c>
      <c r="D315" s="307" t="s">
        <v>1926</v>
      </c>
      <c r="E315" s="307" t="s">
        <v>1971</v>
      </c>
      <c r="F315" s="307" t="s">
        <v>2117</v>
      </c>
      <c r="G315" s="307" t="s">
        <v>1973</v>
      </c>
      <c r="H315" s="307" t="s">
        <v>1536</v>
      </c>
      <c r="I315" s="307" t="s">
        <v>1988</v>
      </c>
      <c r="J315" s="307" t="s">
        <v>1499</v>
      </c>
      <c r="K315" s="307" t="s">
        <v>1989</v>
      </c>
      <c r="L315" s="317" t="s">
        <v>1976</v>
      </c>
      <c r="M315" s="317" t="s">
        <v>311</v>
      </c>
      <c r="N315" s="317" t="s">
        <v>1976</v>
      </c>
      <c r="O315" s="317" t="s">
        <v>311</v>
      </c>
      <c r="P315" s="317" t="s">
        <v>311</v>
      </c>
      <c r="Q315" s="318" t="n">
        <v>847881416</v>
      </c>
      <c r="R315" s="318" t="n">
        <v>56298169</v>
      </c>
      <c r="S315" s="318" t="n">
        <v>109284617</v>
      </c>
      <c r="T315" s="318" t="n">
        <v>128408116</v>
      </c>
      <c r="U315" s="318" t="n">
        <v>231534047</v>
      </c>
      <c r="V315" s="318" t="n">
        <v>287692434</v>
      </c>
      <c r="W315" s="318" t="n">
        <v>344010861</v>
      </c>
      <c r="X315" s="318" t="n">
        <v>400538623</v>
      </c>
      <c r="Y315" s="318" t="n">
        <v>457374501</v>
      </c>
      <c r="Z315" s="318" t="n">
        <v>514428539</v>
      </c>
      <c r="AA315" s="318"/>
      <c r="AB315" s="318"/>
      <c r="AC315" s="318"/>
      <c r="AD315" s="318"/>
      <c r="AE315" s="318" t="n">
        <f aca="false">R315</f>
        <v>56298169</v>
      </c>
      <c r="AF315" s="318" t="n">
        <f aca="false">S315-R315</f>
        <v>52986448</v>
      </c>
      <c r="AG315" s="318" t="n">
        <f aca="false">T315-S315</f>
        <v>19123499</v>
      </c>
      <c r="AH315" s="318" t="n">
        <f aca="false">U315-T315</f>
        <v>103125931</v>
      </c>
      <c r="AI315" s="318" t="n">
        <f aca="false">V315-U315</f>
        <v>56158387</v>
      </c>
      <c r="AJ315" s="318" t="n">
        <f aca="false">W315-V315</f>
        <v>56318427</v>
      </c>
      <c r="AK315" s="318" t="n">
        <f aca="false">X315-W315</f>
        <v>56527762</v>
      </c>
      <c r="AL315" s="318" t="n">
        <f aca="false">Y315-X315</f>
        <v>56835878</v>
      </c>
      <c r="AM315" s="318" t="n">
        <f aca="false">Z315-Y315</f>
        <v>57054038</v>
      </c>
      <c r="AN315" s="318" t="s">
        <v>1726</v>
      </c>
      <c r="AO315" s="318" t="n">
        <f aca="false">AB315-AA315</f>
        <v>0</v>
      </c>
      <c r="AP315" s="318" t="n">
        <f aca="false">AC315-AB315</f>
        <v>0</v>
      </c>
      <c r="AR315" s="307" t="str">
        <f aca="false">IFERROR(VLOOKUP(M315,'PL_DEC.2026'!$D$11:$D$99,1,FALSE()),"(미존재)")</f>
        <v>보험료</v>
      </c>
    </row>
    <row r="316" customFormat="false" ht="15" hidden="false" customHeight="false" outlineLevel="0" collapsed="false">
      <c r="A316" s="310" t="s">
        <v>841</v>
      </c>
      <c r="B316" s="307" t="n">
        <v>68015600</v>
      </c>
      <c r="C316" s="307" t="s">
        <v>2141</v>
      </c>
      <c r="D316" s="307" t="s">
        <v>1926</v>
      </c>
      <c r="E316" s="307" t="s">
        <v>1971</v>
      </c>
      <c r="F316" s="307" t="s">
        <v>2017</v>
      </c>
      <c r="G316" s="307" t="s">
        <v>1973</v>
      </c>
      <c r="H316" s="307" t="s">
        <v>1536</v>
      </c>
      <c r="I316" s="307" t="s">
        <v>1988</v>
      </c>
      <c r="J316" s="307" t="s">
        <v>1499</v>
      </c>
      <c r="K316" s="307" t="s">
        <v>1989</v>
      </c>
      <c r="L316" s="317" t="s">
        <v>1976</v>
      </c>
      <c r="M316" s="317" t="s">
        <v>289</v>
      </c>
      <c r="N316" s="317" t="s">
        <v>1976</v>
      </c>
      <c r="O316" s="317" t="s">
        <v>289</v>
      </c>
      <c r="P316" s="317" t="s">
        <v>289</v>
      </c>
      <c r="Q316" s="318" t="n">
        <v>58248434</v>
      </c>
      <c r="R316" s="318" t="n">
        <v>0</v>
      </c>
      <c r="S316" s="318" t="n">
        <v>0</v>
      </c>
      <c r="T316" s="318" t="n">
        <v>0</v>
      </c>
      <c r="U316" s="318" t="n">
        <v>0</v>
      </c>
      <c r="V316" s="318" t="n">
        <v>0</v>
      </c>
      <c r="W316" s="318" t="n">
        <v>0</v>
      </c>
      <c r="X316" s="318" t="n">
        <v>0</v>
      </c>
      <c r="Y316" s="318" t="n">
        <v>0</v>
      </c>
      <c r="Z316" s="318" t="n">
        <v>0</v>
      </c>
      <c r="AA316" s="318"/>
      <c r="AB316" s="318"/>
      <c r="AC316" s="318"/>
      <c r="AD316" s="318"/>
      <c r="AE316" s="318" t="n">
        <f aca="false">R316</f>
        <v>0</v>
      </c>
      <c r="AF316" s="318" t="n">
        <f aca="false">S316-R316</f>
        <v>0</v>
      </c>
      <c r="AG316" s="318" t="n">
        <f aca="false">T316-S316</f>
        <v>0</v>
      </c>
      <c r="AH316" s="318" t="n">
        <f aca="false">U316-T316</f>
        <v>0</v>
      </c>
      <c r="AI316" s="318" t="n">
        <f aca="false">V316-U316</f>
        <v>0</v>
      </c>
      <c r="AJ316" s="318" t="n">
        <f aca="false">W316-V316</f>
        <v>0</v>
      </c>
      <c r="AK316" s="318" t="n">
        <f aca="false">X316-W316</f>
        <v>0</v>
      </c>
      <c r="AL316" s="318" t="n">
        <f aca="false">Y316-X316</f>
        <v>0</v>
      </c>
      <c r="AM316" s="318" t="n">
        <f aca="false">Z316-Y316</f>
        <v>0</v>
      </c>
      <c r="AN316" s="318" t="s">
        <v>1726</v>
      </c>
      <c r="AO316" s="318" t="n">
        <f aca="false">AB316-AA316</f>
        <v>0</v>
      </c>
      <c r="AP316" s="318" t="n">
        <f aca="false">AC316-AB316</f>
        <v>0</v>
      </c>
      <c r="AR316" s="307" t="str">
        <f aca="false">IFERROR(VLOOKUP(M316,'PL_DEC.2026'!$D$11:$D$99,1,FALSE()),"(미존재)")</f>
        <v>복리후생비</v>
      </c>
    </row>
    <row r="317" customFormat="false" ht="15" hidden="false" customHeight="false" outlineLevel="0" collapsed="false">
      <c r="A317" s="310" t="s">
        <v>841</v>
      </c>
      <c r="B317" s="307" t="n">
        <v>68031400</v>
      </c>
      <c r="C317" s="307" t="s">
        <v>2142</v>
      </c>
      <c r="D317" s="307" t="s">
        <v>1926</v>
      </c>
      <c r="E317" s="307" t="s">
        <v>1971</v>
      </c>
      <c r="F317" s="307" t="s">
        <v>2004</v>
      </c>
      <c r="G317" s="307" t="s">
        <v>1973</v>
      </c>
      <c r="H317" s="307" t="s">
        <v>1536</v>
      </c>
      <c r="I317" s="307" t="s">
        <v>1988</v>
      </c>
      <c r="J317" s="307" t="s">
        <v>1499</v>
      </c>
      <c r="K317" s="307" t="s">
        <v>1989</v>
      </c>
      <c r="L317" s="317" t="s">
        <v>1976</v>
      </c>
      <c r="M317" s="317" t="s">
        <v>290</v>
      </c>
      <c r="N317" s="317" t="s">
        <v>1976</v>
      </c>
      <c r="O317" s="317" t="s">
        <v>290</v>
      </c>
      <c r="P317" s="317" t="s">
        <v>290</v>
      </c>
      <c r="Q317" s="318" t="n">
        <v>781400436</v>
      </c>
      <c r="R317" s="318" t="n">
        <v>39831492</v>
      </c>
      <c r="S317" s="318" t="n">
        <v>91998804</v>
      </c>
      <c r="T317" s="318" t="n">
        <v>146919492</v>
      </c>
      <c r="U317" s="318" t="n">
        <v>207211968</v>
      </c>
      <c r="V317" s="318" t="n">
        <v>272915148</v>
      </c>
      <c r="W317" s="318" t="n">
        <v>330409674</v>
      </c>
      <c r="X317" s="318" t="n">
        <v>401677704</v>
      </c>
      <c r="Y317" s="318" t="n">
        <v>490386036</v>
      </c>
      <c r="Z317" s="318" t="n">
        <v>556899000</v>
      </c>
      <c r="AA317" s="318"/>
      <c r="AB317" s="318"/>
      <c r="AC317" s="318"/>
      <c r="AD317" s="318"/>
      <c r="AE317" s="318" t="n">
        <f aca="false">R317</f>
        <v>39831492</v>
      </c>
      <c r="AF317" s="318" t="n">
        <f aca="false">S317-R317</f>
        <v>52167312</v>
      </c>
      <c r="AG317" s="318" t="n">
        <f aca="false">T317-S317</f>
        <v>54920688</v>
      </c>
      <c r="AH317" s="318" t="n">
        <f aca="false">U317-T317</f>
        <v>60292476</v>
      </c>
      <c r="AI317" s="318" t="n">
        <f aca="false">V317-U317</f>
        <v>65703180</v>
      </c>
      <c r="AJ317" s="318" t="n">
        <f aca="false">W317-V317</f>
        <v>57494526</v>
      </c>
      <c r="AK317" s="318" t="n">
        <f aca="false">X317-W317</f>
        <v>71268030</v>
      </c>
      <c r="AL317" s="318" t="n">
        <f aca="false">Y317-X317</f>
        <v>88708332</v>
      </c>
      <c r="AM317" s="318" t="n">
        <f aca="false">Z317-Y317</f>
        <v>66512964</v>
      </c>
      <c r="AN317" s="318" t="s">
        <v>1726</v>
      </c>
      <c r="AO317" s="318" t="n">
        <f aca="false">AB317-AA317</f>
        <v>0</v>
      </c>
      <c r="AP317" s="318" t="n">
        <f aca="false">AC317-AB317</f>
        <v>0</v>
      </c>
      <c r="AR317" s="307" t="str">
        <f aca="false">IFERROR(VLOOKUP(M317,'PL_DEC.2026'!$D$11:$D$99,1,FALSE()),"(미존재)")</f>
        <v>여비교통비</v>
      </c>
    </row>
    <row r="318" customFormat="false" ht="15" hidden="false" customHeight="false" outlineLevel="0" collapsed="false">
      <c r="A318" s="310" t="s">
        <v>841</v>
      </c>
      <c r="B318" s="307" t="n">
        <v>68033200</v>
      </c>
      <c r="C318" s="307" t="s">
        <v>2143</v>
      </c>
      <c r="D318" s="307" t="s">
        <v>1926</v>
      </c>
      <c r="E318" s="307" t="s">
        <v>1971</v>
      </c>
      <c r="F318" s="307" t="s">
        <v>1972</v>
      </c>
      <c r="G318" s="307" t="s">
        <v>1973</v>
      </c>
      <c r="H318" s="307" t="s">
        <v>1536</v>
      </c>
      <c r="I318" s="307" t="s">
        <v>1988</v>
      </c>
      <c r="J318" s="307" t="s">
        <v>1499</v>
      </c>
      <c r="K318" s="307" t="s">
        <v>1989</v>
      </c>
      <c r="L318" s="317" t="s">
        <v>1976</v>
      </c>
      <c r="M318" s="317" t="s">
        <v>299</v>
      </c>
      <c r="N318" s="317" t="s">
        <v>1976</v>
      </c>
      <c r="O318" s="317" t="s">
        <v>299</v>
      </c>
      <c r="P318" s="317" t="s">
        <v>299</v>
      </c>
      <c r="Q318" s="318" t="n">
        <v>41848355</v>
      </c>
      <c r="R318" s="318" t="n">
        <v>20949745</v>
      </c>
      <c r="S318" s="318" t="n">
        <v>38786805</v>
      </c>
      <c r="T318" s="318" t="n">
        <v>39988775</v>
      </c>
      <c r="U318" s="318" t="n">
        <v>32168315</v>
      </c>
      <c r="V318" s="318" t="n">
        <v>-2637825</v>
      </c>
      <c r="W318" s="318" t="n">
        <v>-3839795</v>
      </c>
      <c r="X318" s="318" t="n">
        <v>29417295</v>
      </c>
      <c r="Y318" s="318" t="n">
        <v>41496005</v>
      </c>
      <c r="Z318" s="318" t="n">
        <v>41496005</v>
      </c>
      <c r="AA318" s="318"/>
      <c r="AB318" s="318"/>
      <c r="AC318" s="318"/>
      <c r="AD318" s="318"/>
      <c r="AE318" s="318" t="n">
        <f aca="false">R318</f>
        <v>20949745</v>
      </c>
      <c r="AF318" s="318" t="n">
        <f aca="false">S318-R318</f>
        <v>17837060</v>
      </c>
      <c r="AG318" s="318" t="n">
        <f aca="false">T318-S318</f>
        <v>1201970</v>
      </c>
      <c r="AH318" s="318" t="n">
        <f aca="false">U318-T318</f>
        <v>-7820460</v>
      </c>
      <c r="AI318" s="318" t="n">
        <f aca="false">V318-U318</f>
        <v>-34806140</v>
      </c>
      <c r="AJ318" s="318" t="n">
        <f aca="false">W318-V318</f>
        <v>-1201970</v>
      </c>
      <c r="AK318" s="318" t="n">
        <f aca="false">X318-W318</f>
        <v>33257090</v>
      </c>
      <c r="AL318" s="318" t="n">
        <f aca="false">Y318-X318</f>
        <v>12078710</v>
      </c>
      <c r="AM318" s="318" t="n">
        <f aca="false">Z318-Y318</f>
        <v>0</v>
      </c>
      <c r="AN318" s="318" t="s">
        <v>1726</v>
      </c>
      <c r="AO318" s="318" t="n">
        <f aca="false">AB318-AA318</f>
        <v>0</v>
      </c>
      <c r="AP318" s="318" t="n">
        <f aca="false">AC318-AB318</f>
        <v>0</v>
      </c>
      <c r="AR318" s="307" t="str">
        <f aca="false">IFERROR(VLOOKUP(M318,'PL_DEC.2026'!$D$11:$D$99,1,FALSE()),"(미존재)")</f>
        <v>지급수수료</v>
      </c>
    </row>
    <row r="319" customFormat="false" ht="15" hidden="false" customHeight="false" outlineLevel="0" collapsed="false">
      <c r="A319" s="310" t="s">
        <v>841</v>
      </c>
      <c r="B319" s="307" t="n">
        <v>68063200</v>
      </c>
      <c r="C319" s="307" t="s">
        <v>2144</v>
      </c>
      <c r="D319" s="307" t="s">
        <v>1926</v>
      </c>
      <c r="E319" s="307" t="s">
        <v>1971</v>
      </c>
      <c r="F319" s="307" t="s">
        <v>1972</v>
      </c>
      <c r="G319" s="307" t="s">
        <v>1973</v>
      </c>
      <c r="H319" s="307" t="s">
        <v>1536</v>
      </c>
      <c r="I319" s="307" t="s">
        <v>1988</v>
      </c>
      <c r="J319" s="307" t="s">
        <v>1499</v>
      </c>
      <c r="K319" s="307" t="s">
        <v>1989</v>
      </c>
      <c r="L319" s="317" t="s">
        <v>1976</v>
      </c>
      <c r="M319" s="317" t="s">
        <v>299</v>
      </c>
      <c r="N319" s="317" t="s">
        <v>1976</v>
      </c>
      <c r="O319" s="317" t="s">
        <v>299</v>
      </c>
      <c r="P319" s="317" t="s">
        <v>299</v>
      </c>
      <c r="Q319" s="318" t="n">
        <v>3500000</v>
      </c>
      <c r="R319" s="318" t="n">
        <v>14000000</v>
      </c>
      <c r="S319" s="318" t="n">
        <v>14000000</v>
      </c>
      <c r="T319" s="318" t="n">
        <v>10500000</v>
      </c>
      <c r="U319" s="318" t="n">
        <v>10500000</v>
      </c>
      <c r="V319" s="318" t="n">
        <v>17500000</v>
      </c>
      <c r="W319" s="318" t="n">
        <v>10500000</v>
      </c>
      <c r="X319" s="318" t="n">
        <v>10500000</v>
      </c>
      <c r="Y319" s="318" t="n">
        <v>10500000</v>
      </c>
      <c r="Z319" s="318" t="n">
        <v>10500000</v>
      </c>
      <c r="AA319" s="318"/>
      <c r="AB319" s="318"/>
      <c r="AC319" s="318"/>
      <c r="AD319" s="318"/>
      <c r="AE319" s="318" t="n">
        <f aca="false">R319</f>
        <v>14000000</v>
      </c>
      <c r="AF319" s="318" t="n">
        <f aca="false">S319-R319</f>
        <v>0</v>
      </c>
      <c r="AG319" s="318" t="n">
        <f aca="false">T319-S319</f>
        <v>-3500000</v>
      </c>
      <c r="AH319" s="318" t="n">
        <f aca="false">U319-T319</f>
        <v>0</v>
      </c>
      <c r="AI319" s="318" t="n">
        <f aca="false">V319-U319</f>
        <v>7000000</v>
      </c>
      <c r="AJ319" s="318" t="n">
        <f aca="false">W319-V319</f>
        <v>-7000000</v>
      </c>
      <c r="AK319" s="318" t="n">
        <f aca="false">X319-W319</f>
        <v>0</v>
      </c>
      <c r="AL319" s="318" t="n">
        <f aca="false">Y319-X319</f>
        <v>0</v>
      </c>
      <c r="AM319" s="318" t="n">
        <f aca="false">Z319-Y319</f>
        <v>0</v>
      </c>
      <c r="AN319" s="318" t="s">
        <v>1726</v>
      </c>
      <c r="AO319" s="318" t="n">
        <f aca="false">AB319-AA319</f>
        <v>0</v>
      </c>
      <c r="AP319" s="318" t="n">
        <f aca="false">AC319-AB319</f>
        <v>0</v>
      </c>
      <c r="AR319" s="307" t="str">
        <f aca="false">IFERROR(VLOOKUP(M319,'PL_DEC.2026'!$D$11:$D$99,1,FALSE()),"(미존재)")</f>
        <v>지급수수료</v>
      </c>
    </row>
    <row r="320" customFormat="false" ht="15" hidden="false" customHeight="false" outlineLevel="0" collapsed="false">
      <c r="A320" s="310" t="s">
        <v>841</v>
      </c>
      <c r="B320" s="307" t="n">
        <v>68075100</v>
      </c>
      <c r="C320" s="307" t="s">
        <v>2145</v>
      </c>
      <c r="D320" s="307" t="s">
        <v>1926</v>
      </c>
      <c r="E320" s="307" t="s">
        <v>1971</v>
      </c>
      <c r="F320" s="307" t="s">
        <v>1972</v>
      </c>
      <c r="G320" s="307" t="s">
        <v>1973</v>
      </c>
      <c r="H320" s="307" t="s">
        <v>1536</v>
      </c>
      <c r="I320" s="307" t="s">
        <v>1988</v>
      </c>
      <c r="J320" s="307" t="s">
        <v>1499</v>
      </c>
      <c r="K320" s="307" t="s">
        <v>1989</v>
      </c>
      <c r="L320" s="317" t="s">
        <v>1976</v>
      </c>
      <c r="M320" s="317" t="s">
        <v>299</v>
      </c>
      <c r="N320" s="317" t="s">
        <v>1976</v>
      </c>
      <c r="O320" s="317" t="s">
        <v>299</v>
      </c>
      <c r="P320" s="317" t="s">
        <v>299</v>
      </c>
      <c r="Q320" s="318" t="n">
        <v>6734076454</v>
      </c>
      <c r="R320" s="318" t="n">
        <v>468544535</v>
      </c>
      <c r="S320" s="318" t="n">
        <v>1017087308</v>
      </c>
      <c r="T320" s="318" t="n">
        <v>1524436299</v>
      </c>
      <c r="U320" s="318" t="n">
        <v>2036878370</v>
      </c>
      <c r="V320" s="318" t="n">
        <v>2551656738</v>
      </c>
      <c r="W320" s="318" t="n">
        <v>3057363387</v>
      </c>
      <c r="X320" s="318" t="n">
        <v>3595679189</v>
      </c>
      <c r="Y320" s="318" t="n">
        <v>4205457793</v>
      </c>
      <c r="Z320" s="318" t="n">
        <v>4675766018</v>
      </c>
      <c r="AA320" s="318"/>
      <c r="AB320" s="318"/>
      <c r="AC320" s="318"/>
      <c r="AD320" s="318"/>
      <c r="AE320" s="318" t="n">
        <f aca="false">R320</f>
        <v>468544535</v>
      </c>
      <c r="AF320" s="318" t="n">
        <f aca="false">S320-R320</f>
        <v>548542773</v>
      </c>
      <c r="AG320" s="318" t="n">
        <f aca="false">T320-S320</f>
        <v>507348991</v>
      </c>
      <c r="AH320" s="318" t="n">
        <f aca="false">U320-T320</f>
        <v>512442071</v>
      </c>
      <c r="AI320" s="318" t="n">
        <f aca="false">V320-U320</f>
        <v>514778368</v>
      </c>
      <c r="AJ320" s="318" t="n">
        <f aca="false">W320-V320</f>
        <v>505706649</v>
      </c>
      <c r="AK320" s="318" t="n">
        <f aca="false">X320-W320</f>
        <v>538315802</v>
      </c>
      <c r="AL320" s="318" t="n">
        <f aca="false">Y320-X320</f>
        <v>609778604</v>
      </c>
      <c r="AM320" s="318" t="n">
        <f aca="false">Z320-Y320</f>
        <v>470308225</v>
      </c>
      <c r="AN320" s="318" t="s">
        <v>1726</v>
      </c>
      <c r="AO320" s="318" t="n">
        <f aca="false">AB320-AA320</f>
        <v>0</v>
      </c>
      <c r="AP320" s="318" t="n">
        <f aca="false">AC320-AB320</f>
        <v>0</v>
      </c>
      <c r="AR320" s="307" t="str">
        <f aca="false">IFERROR(VLOOKUP(M320,'PL_DEC.2026'!$D$11:$D$99,1,FALSE()),"(미존재)")</f>
        <v>지급수수료</v>
      </c>
    </row>
    <row r="321" customFormat="false" ht="15" hidden="false" customHeight="false" outlineLevel="0" collapsed="false">
      <c r="A321" s="310" t="s">
        <v>841</v>
      </c>
      <c r="B321" s="307" t="n">
        <v>68132000</v>
      </c>
      <c r="C321" s="307" t="s">
        <v>2146</v>
      </c>
      <c r="D321" s="307" t="s">
        <v>1926</v>
      </c>
      <c r="E321" s="307" t="s">
        <v>1971</v>
      </c>
      <c r="F321" s="307" t="s">
        <v>2093</v>
      </c>
      <c r="G321" s="307" t="s">
        <v>1973</v>
      </c>
      <c r="H321" s="307" t="s">
        <v>1536</v>
      </c>
      <c r="I321" s="307" t="s">
        <v>1988</v>
      </c>
      <c r="J321" s="307" t="s">
        <v>1499</v>
      </c>
      <c r="K321" s="307" t="s">
        <v>1989</v>
      </c>
      <c r="L321" s="317" t="s">
        <v>1976</v>
      </c>
      <c r="M321" s="317" t="s">
        <v>294</v>
      </c>
      <c r="N321" s="317" t="s">
        <v>1976</v>
      </c>
      <c r="O321" s="317" t="s">
        <v>294</v>
      </c>
      <c r="P321" s="317" t="s">
        <v>294</v>
      </c>
      <c r="Q321" s="318" t="n">
        <v>125289400</v>
      </c>
      <c r="R321" s="318" t="n">
        <v>1800000</v>
      </c>
      <c r="S321" s="318" t="n">
        <v>3600000</v>
      </c>
      <c r="T321" s="318" t="n">
        <v>5400000</v>
      </c>
      <c r="U321" s="318" t="n">
        <v>7200000</v>
      </c>
      <c r="V321" s="318" t="n">
        <v>9000000</v>
      </c>
      <c r="W321" s="318" t="n">
        <v>10800000</v>
      </c>
      <c r="X321" s="318" t="n">
        <v>12600000</v>
      </c>
      <c r="Y321" s="318" t="n">
        <v>14400000</v>
      </c>
      <c r="Z321" s="318" t="n">
        <v>16200000</v>
      </c>
      <c r="AA321" s="318"/>
      <c r="AB321" s="318"/>
      <c r="AC321" s="318"/>
      <c r="AD321" s="318"/>
      <c r="AE321" s="318" t="n">
        <f aca="false">R321</f>
        <v>1800000</v>
      </c>
      <c r="AF321" s="318" t="n">
        <f aca="false">S321-R321</f>
        <v>1800000</v>
      </c>
      <c r="AG321" s="318" t="n">
        <f aca="false">T321-S321</f>
        <v>1800000</v>
      </c>
      <c r="AH321" s="318" t="n">
        <f aca="false">U321-T321</f>
        <v>1800000</v>
      </c>
      <c r="AI321" s="318" t="n">
        <f aca="false">V321-U321</f>
        <v>1800000</v>
      </c>
      <c r="AJ321" s="318" t="n">
        <f aca="false">W321-V321</f>
        <v>1800000</v>
      </c>
      <c r="AK321" s="318" t="n">
        <f aca="false">X321-W321</f>
        <v>1800000</v>
      </c>
      <c r="AL321" s="318" t="n">
        <f aca="false">Y321-X321</f>
        <v>1800000</v>
      </c>
      <c r="AM321" s="318" t="n">
        <f aca="false">Z321-Y321</f>
        <v>1800000</v>
      </c>
      <c r="AN321" s="318" t="s">
        <v>1726</v>
      </c>
      <c r="AO321" s="318" t="n">
        <f aca="false">AB321-AA321</f>
        <v>0</v>
      </c>
      <c r="AP321" s="318" t="n">
        <f aca="false">AC321-AB321</f>
        <v>0</v>
      </c>
      <c r="AR321" s="307" t="str">
        <f aca="false">IFERROR(VLOOKUP(M321,'PL_DEC.2026'!$D$11:$D$99,1,FALSE()),"(미존재)")</f>
        <v>임차료</v>
      </c>
    </row>
    <row r="322" customFormat="false" ht="15" hidden="false" customHeight="false" outlineLevel="0" collapsed="false">
      <c r="A322" s="310" t="s">
        <v>841</v>
      </c>
      <c r="B322" s="307" t="n">
        <v>68141100</v>
      </c>
      <c r="C322" s="307" t="s">
        <v>2147</v>
      </c>
      <c r="D322" s="307" t="s">
        <v>1926</v>
      </c>
      <c r="E322" s="307" t="s">
        <v>1971</v>
      </c>
      <c r="F322" s="307" t="s">
        <v>1994</v>
      </c>
      <c r="G322" s="307" t="s">
        <v>1973</v>
      </c>
      <c r="H322" s="307" t="s">
        <v>1536</v>
      </c>
      <c r="I322" s="307" t="s">
        <v>1988</v>
      </c>
      <c r="J322" s="307" t="s">
        <v>1499</v>
      </c>
      <c r="K322" s="307" t="s">
        <v>1989</v>
      </c>
      <c r="L322" s="317" t="s">
        <v>1976</v>
      </c>
      <c r="M322" s="317" t="s">
        <v>309</v>
      </c>
      <c r="N322" s="317" t="s">
        <v>1976</v>
      </c>
      <c r="O322" s="317" t="s">
        <v>309</v>
      </c>
      <c r="P322" s="317" t="s">
        <v>309</v>
      </c>
      <c r="Q322" s="318" t="n">
        <v>77527081</v>
      </c>
      <c r="R322" s="318" t="n">
        <v>6460591</v>
      </c>
      <c r="S322" s="318" t="n">
        <v>12921179</v>
      </c>
      <c r="T322" s="318" t="n">
        <v>19381770</v>
      </c>
      <c r="U322" s="318" t="n">
        <v>25842360</v>
      </c>
      <c r="V322" s="318" t="n">
        <v>32302951</v>
      </c>
      <c r="W322" s="318" t="n">
        <v>38763539</v>
      </c>
      <c r="X322" s="318" t="n">
        <v>45224130</v>
      </c>
      <c r="Y322" s="318" t="n">
        <v>51684720</v>
      </c>
      <c r="Z322" s="318" t="n">
        <v>58145311</v>
      </c>
      <c r="AA322" s="318"/>
      <c r="AB322" s="318"/>
      <c r="AC322" s="318"/>
      <c r="AD322" s="318"/>
      <c r="AE322" s="318" t="n">
        <f aca="false">R322</f>
        <v>6460591</v>
      </c>
      <c r="AF322" s="318" t="n">
        <f aca="false">S322-R322</f>
        <v>6460588</v>
      </c>
      <c r="AG322" s="318" t="n">
        <f aca="false">T322-S322</f>
        <v>6460591</v>
      </c>
      <c r="AH322" s="318" t="n">
        <f aca="false">U322-T322</f>
        <v>6460590</v>
      </c>
      <c r="AI322" s="318" t="n">
        <f aca="false">V322-U322</f>
        <v>6460591</v>
      </c>
      <c r="AJ322" s="318" t="n">
        <f aca="false">W322-V322</f>
        <v>6460588</v>
      </c>
      <c r="AK322" s="318" t="n">
        <f aca="false">X322-W322</f>
        <v>6460591</v>
      </c>
      <c r="AL322" s="318" t="n">
        <f aca="false">Y322-X322</f>
        <v>6460590</v>
      </c>
      <c r="AM322" s="318" t="n">
        <f aca="false">Z322-Y322</f>
        <v>6460591</v>
      </c>
      <c r="AN322" s="318" t="s">
        <v>1726</v>
      </c>
      <c r="AO322" s="318" t="n">
        <f aca="false">AB322-AA322</f>
        <v>0</v>
      </c>
      <c r="AP322" s="318" t="n">
        <f aca="false">AC322-AB322</f>
        <v>0</v>
      </c>
      <c r="AR322" s="307" t="str">
        <f aca="false">IFERROR(VLOOKUP(M322,'PL_DEC.2026'!$D$11:$D$99,1,FALSE()),"(미존재)")</f>
        <v>감가상각비</v>
      </c>
    </row>
    <row r="323" customFormat="false" ht="15" hidden="false" customHeight="false" outlineLevel="0" collapsed="false">
      <c r="A323" s="310" t="s">
        <v>841</v>
      </c>
      <c r="B323" s="307" t="n">
        <v>68142100</v>
      </c>
      <c r="C323" s="307" t="s">
        <v>2148</v>
      </c>
      <c r="D323" s="307" t="s">
        <v>1926</v>
      </c>
      <c r="E323" s="307" t="s">
        <v>1971</v>
      </c>
      <c r="F323" s="307" t="s">
        <v>1994</v>
      </c>
      <c r="G323" s="307" t="s">
        <v>1973</v>
      </c>
      <c r="H323" s="307" t="s">
        <v>1536</v>
      </c>
      <c r="I323" s="307" t="s">
        <v>1988</v>
      </c>
      <c r="J323" s="307" t="s">
        <v>1499</v>
      </c>
      <c r="K323" s="307" t="s">
        <v>1989</v>
      </c>
      <c r="L323" s="317" t="s">
        <v>1976</v>
      </c>
      <c r="M323" s="317" t="s">
        <v>309</v>
      </c>
      <c r="N323" s="317" t="s">
        <v>1976</v>
      </c>
      <c r="O323" s="317" t="s">
        <v>309</v>
      </c>
      <c r="P323" s="317" t="s">
        <v>309</v>
      </c>
      <c r="Q323" s="318" t="n">
        <v>59767139</v>
      </c>
      <c r="R323" s="318" t="n">
        <v>4787004</v>
      </c>
      <c r="S323" s="318" t="n">
        <v>9143215</v>
      </c>
      <c r="T323" s="318" t="n">
        <v>13499404</v>
      </c>
      <c r="U323" s="318" t="n">
        <v>17855597</v>
      </c>
      <c r="V323" s="318" t="n">
        <v>22211792</v>
      </c>
      <c r="W323" s="318" t="n">
        <v>26568007</v>
      </c>
      <c r="X323" s="318" t="n">
        <v>30924191</v>
      </c>
      <c r="Y323" s="318" t="n">
        <v>35280392</v>
      </c>
      <c r="Z323" s="318" t="n">
        <v>39636593</v>
      </c>
      <c r="AA323" s="318"/>
      <c r="AB323" s="318"/>
      <c r="AC323" s="318"/>
      <c r="AD323" s="318"/>
      <c r="AE323" s="318" t="n">
        <f aca="false">R323</f>
        <v>4787004</v>
      </c>
      <c r="AF323" s="318" t="n">
        <f aca="false">S323-R323</f>
        <v>4356211</v>
      </c>
      <c r="AG323" s="318" t="n">
        <f aca="false">T323-S323</f>
        <v>4356189</v>
      </c>
      <c r="AH323" s="318" t="n">
        <f aca="false">U323-T323</f>
        <v>4356193</v>
      </c>
      <c r="AI323" s="318" t="n">
        <f aca="false">V323-U323</f>
        <v>4356195</v>
      </c>
      <c r="AJ323" s="318" t="n">
        <f aca="false">W323-V323</f>
        <v>4356215</v>
      </c>
      <c r="AK323" s="318" t="n">
        <f aca="false">X323-W323</f>
        <v>4356184</v>
      </c>
      <c r="AL323" s="318" t="n">
        <f aca="false">Y323-X323</f>
        <v>4356201</v>
      </c>
      <c r="AM323" s="318" t="n">
        <f aca="false">Z323-Y323</f>
        <v>4356201</v>
      </c>
      <c r="AN323" s="318" t="s">
        <v>1726</v>
      </c>
      <c r="AO323" s="318" t="n">
        <f aca="false">AB323-AA323</f>
        <v>0</v>
      </c>
      <c r="AP323" s="318" t="n">
        <f aca="false">AC323-AB323</f>
        <v>0</v>
      </c>
      <c r="AR323" s="307" t="str">
        <f aca="false">IFERROR(VLOOKUP(M323,'PL_DEC.2026'!$D$11:$D$99,1,FALSE()),"(미존재)")</f>
        <v>감가상각비</v>
      </c>
    </row>
    <row r="324" customFormat="false" ht="15" hidden="false" customHeight="false" outlineLevel="0" collapsed="false">
      <c r="A324" s="310" t="s">
        <v>841</v>
      </c>
      <c r="B324" s="307" t="n">
        <v>68142200</v>
      </c>
      <c r="C324" s="307" t="s">
        <v>2149</v>
      </c>
      <c r="D324" s="307" t="s">
        <v>1926</v>
      </c>
      <c r="E324" s="307" t="s">
        <v>1971</v>
      </c>
      <c r="F324" s="307" t="s">
        <v>1994</v>
      </c>
      <c r="G324" s="307" t="s">
        <v>1973</v>
      </c>
      <c r="H324" s="307" t="s">
        <v>1536</v>
      </c>
      <c r="I324" s="307" t="s">
        <v>1988</v>
      </c>
      <c r="J324" s="307" t="s">
        <v>1499</v>
      </c>
      <c r="K324" s="307" t="s">
        <v>1989</v>
      </c>
      <c r="L324" s="317" t="s">
        <v>1976</v>
      </c>
      <c r="M324" s="317" t="s">
        <v>309</v>
      </c>
      <c r="N324" s="317" t="s">
        <v>1976</v>
      </c>
      <c r="O324" s="317" t="s">
        <v>309</v>
      </c>
      <c r="P324" s="317" t="s">
        <v>309</v>
      </c>
      <c r="Q324" s="318" t="n">
        <v>107649104</v>
      </c>
      <c r="R324" s="318" t="n">
        <v>8970759</v>
      </c>
      <c r="S324" s="318" t="n">
        <v>17941518</v>
      </c>
      <c r="T324" s="318" t="n">
        <v>26912277</v>
      </c>
      <c r="U324" s="318" t="n">
        <v>35883035</v>
      </c>
      <c r="V324" s="318" t="n">
        <v>44853793</v>
      </c>
      <c r="W324" s="318" t="n">
        <v>53824553</v>
      </c>
      <c r="X324" s="318" t="n">
        <v>62795312</v>
      </c>
      <c r="Y324" s="318" t="n">
        <v>70330792</v>
      </c>
      <c r="Z324" s="318" t="n">
        <v>77866274</v>
      </c>
      <c r="AA324" s="318"/>
      <c r="AB324" s="318"/>
      <c r="AC324" s="318"/>
      <c r="AD324" s="318"/>
      <c r="AE324" s="318" t="n">
        <f aca="false">R324</f>
        <v>8970759</v>
      </c>
      <c r="AF324" s="318" t="n">
        <f aca="false">S324-R324</f>
        <v>8970759</v>
      </c>
      <c r="AG324" s="318" t="n">
        <f aca="false">T324-S324</f>
        <v>8970759</v>
      </c>
      <c r="AH324" s="318" t="n">
        <f aca="false">U324-T324</f>
        <v>8970758</v>
      </c>
      <c r="AI324" s="318" t="n">
        <f aca="false">V324-U324</f>
        <v>8970758</v>
      </c>
      <c r="AJ324" s="318" t="n">
        <f aca="false">W324-V324</f>
        <v>8970760</v>
      </c>
      <c r="AK324" s="318" t="n">
        <f aca="false">X324-W324</f>
        <v>8970759</v>
      </c>
      <c r="AL324" s="318" t="n">
        <f aca="false">Y324-X324</f>
        <v>7535480</v>
      </c>
      <c r="AM324" s="318" t="n">
        <f aca="false">Z324-Y324</f>
        <v>7535482</v>
      </c>
      <c r="AN324" s="318" t="s">
        <v>1726</v>
      </c>
      <c r="AO324" s="318" t="n">
        <f aca="false">AB324-AA324</f>
        <v>0</v>
      </c>
      <c r="AP324" s="318" t="n">
        <f aca="false">AC324-AB324</f>
        <v>0</v>
      </c>
      <c r="AR324" s="307" t="str">
        <f aca="false">IFERROR(VLOOKUP(M324,'PL_DEC.2026'!$D$11:$D$99,1,FALSE()),"(미존재)")</f>
        <v>감가상각비</v>
      </c>
    </row>
    <row r="325" customFormat="false" ht="15" hidden="false" customHeight="false" outlineLevel="0" collapsed="false">
      <c r="A325" s="310" t="s">
        <v>841</v>
      </c>
      <c r="B325" s="307" t="n">
        <v>68142300</v>
      </c>
      <c r="C325" s="307" t="s">
        <v>2150</v>
      </c>
      <c r="D325" s="307" t="s">
        <v>1926</v>
      </c>
      <c r="E325" s="307" t="s">
        <v>1971</v>
      </c>
      <c r="F325" s="307" t="s">
        <v>1994</v>
      </c>
      <c r="G325" s="307" t="s">
        <v>1973</v>
      </c>
      <c r="H325" s="307" t="s">
        <v>1536</v>
      </c>
      <c r="I325" s="307" t="s">
        <v>1988</v>
      </c>
      <c r="J325" s="307" t="s">
        <v>1499</v>
      </c>
      <c r="K325" s="307" t="s">
        <v>1989</v>
      </c>
      <c r="L325" s="317" t="s">
        <v>1976</v>
      </c>
      <c r="M325" s="317" t="s">
        <v>309</v>
      </c>
      <c r="N325" s="317" t="s">
        <v>1976</v>
      </c>
      <c r="O325" s="317" t="s">
        <v>309</v>
      </c>
      <c r="P325" s="317" t="s">
        <v>309</v>
      </c>
      <c r="Q325" s="318" t="n">
        <v>58351890</v>
      </c>
      <c r="R325" s="318" t="n">
        <v>2881127</v>
      </c>
      <c r="S325" s="318" t="n">
        <v>5218525</v>
      </c>
      <c r="T325" s="318" t="n">
        <v>7555923</v>
      </c>
      <c r="U325" s="318" t="n">
        <v>9893321</v>
      </c>
      <c r="V325" s="318" t="n">
        <v>10893752</v>
      </c>
      <c r="W325" s="318" t="n">
        <v>10893752</v>
      </c>
      <c r="X325" s="318" t="n">
        <v>10893752</v>
      </c>
      <c r="Y325" s="318" t="n">
        <v>10893752</v>
      </c>
      <c r="Z325" s="318" t="n">
        <v>10893752</v>
      </c>
      <c r="AA325" s="318"/>
      <c r="AB325" s="318"/>
      <c r="AC325" s="318"/>
      <c r="AD325" s="318"/>
      <c r="AE325" s="318" t="n">
        <f aca="false">R325</f>
        <v>2881127</v>
      </c>
      <c r="AF325" s="318" t="n">
        <f aca="false">S325-R325</f>
        <v>2337398</v>
      </c>
      <c r="AG325" s="318" t="n">
        <f aca="false">T325-S325</f>
        <v>2337398</v>
      </c>
      <c r="AH325" s="318" t="n">
        <f aca="false">U325-T325</f>
        <v>2337398</v>
      </c>
      <c r="AI325" s="318" t="n">
        <f aca="false">V325-U325</f>
        <v>1000431</v>
      </c>
      <c r="AJ325" s="318" t="n">
        <f aca="false">W325-V325</f>
        <v>0</v>
      </c>
      <c r="AK325" s="318" t="n">
        <f aca="false">X325-W325</f>
        <v>0</v>
      </c>
      <c r="AL325" s="318" t="n">
        <f aca="false">Y325-X325</f>
        <v>0</v>
      </c>
      <c r="AM325" s="318" t="n">
        <f aca="false">Z325-Y325</f>
        <v>0</v>
      </c>
      <c r="AN325" s="318" t="s">
        <v>1726</v>
      </c>
      <c r="AO325" s="318" t="n">
        <f aca="false">AB325-AA325</f>
        <v>0</v>
      </c>
      <c r="AP325" s="318" t="n">
        <f aca="false">AC325-AB325</f>
        <v>0</v>
      </c>
      <c r="AR325" s="307" t="str">
        <f aca="false">IFERROR(VLOOKUP(M325,'PL_DEC.2026'!$D$11:$D$99,1,FALSE()),"(미존재)")</f>
        <v>감가상각비</v>
      </c>
    </row>
    <row r="326" customFormat="false" ht="15" hidden="false" customHeight="false" outlineLevel="0" collapsed="false">
      <c r="A326" s="310" t="s">
        <v>841</v>
      </c>
      <c r="B326" s="307" t="n">
        <v>68144000</v>
      </c>
      <c r="C326" s="307" t="s">
        <v>2151</v>
      </c>
      <c r="D326" s="307" t="s">
        <v>1926</v>
      </c>
      <c r="E326" s="307" t="s">
        <v>1971</v>
      </c>
      <c r="F326" s="307" t="s">
        <v>1994</v>
      </c>
      <c r="G326" s="307" t="s">
        <v>1973</v>
      </c>
      <c r="H326" s="307" t="s">
        <v>1536</v>
      </c>
      <c r="I326" s="307" t="s">
        <v>1988</v>
      </c>
      <c r="J326" s="307" t="s">
        <v>1499</v>
      </c>
      <c r="K326" s="307" t="s">
        <v>1989</v>
      </c>
      <c r="L326" s="317" t="s">
        <v>1976</v>
      </c>
      <c r="M326" s="317" t="s">
        <v>309</v>
      </c>
      <c r="N326" s="317" t="s">
        <v>1976</v>
      </c>
      <c r="O326" s="317" t="s">
        <v>309</v>
      </c>
      <c r="P326" s="317" t="s">
        <v>309</v>
      </c>
      <c r="Q326" s="318" t="n">
        <v>1302934776</v>
      </c>
      <c r="R326" s="318" t="n">
        <v>108577898</v>
      </c>
      <c r="S326" s="318" t="n">
        <v>217155796</v>
      </c>
      <c r="T326" s="318" t="n">
        <v>325733694</v>
      </c>
      <c r="U326" s="318" t="n">
        <v>434311592</v>
      </c>
      <c r="V326" s="318" t="n">
        <v>542889490</v>
      </c>
      <c r="W326" s="318" t="n">
        <v>651467388</v>
      </c>
      <c r="X326" s="318" t="n">
        <v>760045286</v>
      </c>
      <c r="Y326" s="318" t="n">
        <v>854316816</v>
      </c>
      <c r="Z326" s="318" t="n">
        <v>977201082</v>
      </c>
      <c r="AA326" s="318"/>
      <c r="AB326" s="318"/>
      <c r="AC326" s="318"/>
      <c r="AD326" s="318"/>
      <c r="AE326" s="318" t="n">
        <f aca="false">R326</f>
        <v>108577898</v>
      </c>
      <c r="AF326" s="318" t="n">
        <f aca="false">S326-R326</f>
        <v>108577898</v>
      </c>
      <c r="AG326" s="318" t="n">
        <f aca="false">T326-S326</f>
        <v>108577898</v>
      </c>
      <c r="AH326" s="318" t="n">
        <f aca="false">U326-T326</f>
        <v>108577898</v>
      </c>
      <c r="AI326" s="318" t="n">
        <f aca="false">V326-U326</f>
        <v>108577898</v>
      </c>
      <c r="AJ326" s="318" t="n">
        <f aca="false">W326-V326</f>
        <v>108577898</v>
      </c>
      <c r="AK326" s="318" t="n">
        <f aca="false">X326-W326</f>
        <v>108577898</v>
      </c>
      <c r="AL326" s="318" t="n">
        <f aca="false">Y326-X326</f>
        <v>94271530</v>
      </c>
      <c r="AM326" s="318" t="n">
        <f aca="false">Z326-Y326</f>
        <v>122884266</v>
      </c>
      <c r="AN326" s="318" t="s">
        <v>1726</v>
      </c>
      <c r="AO326" s="318" t="n">
        <f aca="false">AB326-AA326</f>
        <v>0</v>
      </c>
      <c r="AP326" s="318" t="n">
        <f aca="false">AC326-AB326</f>
        <v>0</v>
      </c>
      <c r="AR326" s="307" t="str">
        <f aca="false">IFERROR(VLOOKUP(M326,'PL_DEC.2026'!$D$11:$D$99,1,FALSE()),"(미존재)")</f>
        <v>감가상각비</v>
      </c>
    </row>
    <row r="327" customFormat="false" ht="15" hidden="false" customHeight="false" outlineLevel="0" collapsed="false">
      <c r="A327" s="310" t="s">
        <v>841</v>
      </c>
      <c r="B327" s="307" t="n">
        <v>68163301</v>
      </c>
      <c r="C327" s="307" t="s">
        <v>2152</v>
      </c>
      <c r="D327" s="307" t="s">
        <v>1926</v>
      </c>
      <c r="E327" s="307" t="s">
        <v>1971</v>
      </c>
      <c r="F327" s="307" t="s">
        <v>2076</v>
      </c>
      <c r="G327" s="307" t="s">
        <v>1973</v>
      </c>
      <c r="H327" s="307" t="s">
        <v>1536</v>
      </c>
      <c r="I327" s="307" t="s">
        <v>1988</v>
      </c>
      <c r="J327" s="307" t="s">
        <v>1499</v>
      </c>
      <c r="K327" s="307" t="s">
        <v>1989</v>
      </c>
      <c r="L327" s="317" t="s">
        <v>1976</v>
      </c>
      <c r="M327" s="317" t="s">
        <v>292</v>
      </c>
      <c r="N327" s="317" t="s">
        <v>1976</v>
      </c>
      <c r="O327" s="317" t="s">
        <v>292</v>
      </c>
      <c r="P327" s="317" t="s">
        <v>292</v>
      </c>
      <c r="Q327" s="318" t="n">
        <v>170869</v>
      </c>
      <c r="R327" s="318" t="n">
        <v>0</v>
      </c>
      <c r="S327" s="318" t="n">
        <v>0</v>
      </c>
      <c r="T327" s="318" t="n">
        <v>0</v>
      </c>
      <c r="U327" s="318" t="n">
        <v>0</v>
      </c>
      <c r="V327" s="318" t="n">
        <v>0</v>
      </c>
      <c r="W327" s="318" t="n">
        <v>0</v>
      </c>
      <c r="X327" s="318" t="n">
        <v>0</v>
      </c>
      <c r="Y327" s="318" t="n">
        <v>0</v>
      </c>
      <c r="Z327" s="318" t="n">
        <v>0</v>
      </c>
      <c r="AA327" s="318"/>
      <c r="AB327" s="318"/>
      <c r="AC327" s="318"/>
      <c r="AD327" s="318"/>
      <c r="AE327" s="318" t="n">
        <f aca="false">R327</f>
        <v>0</v>
      </c>
      <c r="AF327" s="318" t="n">
        <f aca="false">S327-R327</f>
        <v>0</v>
      </c>
      <c r="AG327" s="318" t="n">
        <f aca="false">T327-S327</f>
        <v>0</v>
      </c>
      <c r="AH327" s="318" t="n">
        <f aca="false">U327-T327</f>
        <v>0</v>
      </c>
      <c r="AI327" s="318" t="n">
        <f aca="false">V327-U327</f>
        <v>0</v>
      </c>
      <c r="AJ327" s="318" t="n">
        <f aca="false">W327-V327</f>
        <v>0</v>
      </c>
      <c r="AK327" s="318" t="n">
        <f aca="false">X327-W327</f>
        <v>0</v>
      </c>
      <c r="AL327" s="318" t="n">
        <f aca="false">Y327-X327</f>
        <v>0</v>
      </c>
      <c r="AM327" s="318" t="n">
        <f aca="false">Z327-Y327</f>
        <v>0</v>
      </c>
      <c r="AN327" s="318" t="s">
        <v>1726</v>
      </c>
      <c r="AO327" s="318" t="n">
        <f aca="false">AB327-AA327</f>
        <v>0</v>
      </c>
      <c r="AP327" s="318" t="n">
        <f aca="false">AC327-AB327</f>
        <v>0</v>
      </c>
      <c r="AR327" s="307" t="str">
        <f aca="false">IFERROR(VLOOKUP(M327,'PL_DEC.2026'!$D$11:$D$99,1,FALSE()),"(미존재)")</f>
        <v>소모품비</v>
      </c>
    </row>
    <row r="328" customFormat="false" ht="15" hidden="false" customHeight="false" outlineLevel="0" collapsed="false">
      <c r="A328" s="310" t="s">
        <v>841</v>
      </c>
      <c r="B328" s="307" t="n">
        <v>68212100</v>
      </c>
      <c r="C328" s="307" t="s">
        <v>2153</v>
      </c>
      <c r="D328" s="307" t="s">
        <v>1926</v>
      </c>
      <c r="E328" s="307" t="s">
        <v>1971</v>
      </c>
      <c r="F328" s="307" t="s">
        <v>2012</v>
      </c>
      <c r="G328" s="307" t="s">
        <v>1973</v>
      </c>
      <c r="H328" s="307" t="s">
        <v>1536</v>
      </c>
      <c r="I328" s="307" t="s">
        <v>1988</v>
      </c>
      <c r="J328" s="307" t="s">
        <v>1499</v>
      </c>
      <c r="K328" s="307" t="s">
        <v>1989</v>
      </c>
      <c r="L328" s="317" t="s">
        <v>1976</v>
      </c>
      <c r="M328" s="317" t="s">
        <v>300</v>
      </c>
      <c r="N328" s="317" t="s">
        <v>1976</v>
      </c>
      <c r="O328" s="317" t="s">
        <v>2013</v>
      </c>
      <c r="P328" s="317" t="s">
        <v>300</v>
      </c>
      <c r="Q328" s="318" t="n">
        <v>231061550</v>
      </c>
      <c r="R328" s="318" t="n">
        <v>21743390</v>
      </c>
      <c r="S328" s="318" t="n">
        <v>37930304</v>
      </c>
      <c r="T328" s="318" t="n">
        <v>76403505</v>
      </c>
      <c r="U328" s="318" t="n">
        <v>92556279</v>
      </c>
      <c r="V328" s="318" t="n">
        <v>108737324</v>
      </c>
      <c r="W328" s="318" t="n">
        <v>125949548</v>
      </c>
      <c r="X328" s="318" t="n">
        <v>142415789</v>
      </c>
      <c r="Y328" s="318" t="n">
        <v>158372736</v>
      </c>
      <c r="Z328" s="318" t="n">
        <v>175762055</v>
      </c>
      <c r="AA328" s="318"/>
      <c r="AB328" s="318"/>
      <c r="AC328" s="318"/>
      <c r="AD328" s="318"/>
      <c r="AE328" s="318" t="n">
        <f aca="false">R328</f>
        <v>21743390</v>
      </c>
      <c r="AF328" s="318" t="n">
        <f aca="false">S328-R328</f>
        <v>16186914</v>
      </c>
      <c r="AG328" s="318" t="n">
        <f aca="false">T328-S328</f>
        <v>38473201</v>
      </c>
      <c r="AH328" s="318" t="n">
        <f aca="false">U328-T328</f>
        <v>16152774</v>
      </c>
      <c r="AI328" s="318" t="n">
        <f aca="false">V328-U328</f>
        <v>16181045</v>
      </c>
      <c r="AJ328" s="318" t="n">
        <f aca="false">W328-V328</f>
        <v>17212224</v>
      </c>
      <c r="AK328" s="318" t="n">
        <f aca="false">X328-W328</f>
        <v>16466241</v>
      </c>
      <c r="AL328" s="318" t="n">
        <f aca="false">Y328-X328</f>
        <v>15956947</v>
      </c>
      <c r="AM328" s="318" t="n">
        <f aca="false">Z328-Y328</f>
        <v>17389319</v>
      </c>
      <c r="AN328" s="318" t="s">
        <v>1726</v>
      </c>
      <c r="AO328" s="318" t="n">
        <f aca="false">AB328-AA328</f>
        <v>0</v>
      </c>
      <c r="AP328" s="318" t="n">
        <f aca="false">AC328-AB328</f>
        <v>0</v>
      </c>
      <c r="AR328" s="307" t="str">
        <f aca="false">IFERROR(VLOOKUP(M328,'PL_DEC.2026'!$D$11:$D$99,1,FALSE()),"(미존재)")</f>
        <v>제세공과</v>
      </c>
    </row>
    <row r="329" customFormat="false" ht="15" hidden="false" customHeight="false" outlineLevel="0" collapsed="false">
      <c r="A329" s="310" t="s">
        <v>841</v>
      </c>
      <c r="B329" s="307" t="n">
        <v>68212500</v>
      </c>
      <c r="C329" s="307" t="s">
        <v>2154</v>
      </c>
      <c r="D329" s="307" t="s">
        <v>1926</v>
      </c>
      <c r="E329" s="307" t="s">
        <v>1971</v>
      </c>
      <c r="F329" s="307" t="s">
        <v>2012</v>
      </c>
      <c r="G329" s="307" t="s">
        <v>1973</v>
      </c>
      <c r="H329" s="307" t="s">
        <v>1536</v>
      </c>
      <c r="I329" s="307" t="s">
        <v>1988</v>
      </c>
      <c r="J329" s="307" t="s">
        <v>1499</v>
      </c>
      <c r="K329" s="307" t="s">
        <v>1989</v>
      </c>
      <c r="L329" s="317" t="s">
        <v>1976</v>
      </c>
      <c r="M329" s="317" t="s">
        <v>300</v>
      </c>
      <c r="N329" s="317" t="s">
        <v>1976</v>
      </c>
      <c r="O329" s="317" t="s">
        <v>2013</v>
      </c>
      <c r="P329" s="317" t="s">
        <v>300</v>
      </c>
      <c r="Q329" s="318" t="n">
        <v>743728051</v>
      </c>
      <c r="R329" s="318" t="n">
        <v>29842423</v>
      </c>
      <c r="S329" s="318" t="n">
        <v>48154354</v>
      </c>
      <c r="T329" s="318" t="n">
        <v>54936966</v>
      </c>
      <c r="U329" s="318" t="n">
        <v>61178983</v>
      </c>
      <c r="V329" s="318" t="n">
        <v>67961594</v>
      </c>
      <c r="W329" s="318" t="n">
        <v>74744206</v>
      </c>
      <c r="X329" s="318" t="n">
        <v>93997659</v>
      </c>
      <c r="Y329" s="318" t="n">
        <v>100780270</v>
      </c>
      <c r="Z329" s="318" t="n">
        <v>107562882</v>
      </c>
      <c r="AA329" s="318"/>
      <c r="AB329" s="318"/>
      <c r="AC329" s="318"/>
      <c r="AD329" s="318"/>
      <c r="AE329" s="318" t="n">
        <f aca="false">R329</f>
        <v>29842423</v>
      </c>
      <c r="AF329" s="318" t="n">
        <f aca="false">S329-R329</f>
        <v>18311931</v>
      </c>
      <c r="AG329" s="318" t="n">
        <f aca="false">T329-S329</f>
        <v>6782612</v>
      </c>
      <c r="AH329" s="318" t="n">
        <f aca="false">U329-T329</f>
        <v>6242017</v>
      </c>
      <c r="AI329" s="318" t="n">
        <f aca="false">V329-U329</f>
        <v>6782611</v>
      </c>
      <c r="AJ329" s="318" t="n">
        <f aca="false">W329-V329</f>
        <v>6782612</v>
      </c>
      <c r="AK329" s="318" t="n">
        <f aca="false">X329-W329</f>
        <v>19253453</v>
      </c>
      <c r="AL329" s="318" t="n">
        <f aca="false">Y329-X329</f>
        <v>6782611</v>
      </c>
      <c r="AM329" s="318" t="n">
        <f aca="false">Z329-Y329</f>
        <v>6782612</v>
      </c>
      <c r="AN329" s="318" t="s">
        <v>1726</v>
      </c>
      <c r="AO329" s="318" t="n">
        <f aca="false">AB329-AA329</f>
        <v>0</v>
      </c>
      <c r="AP329" s="318" t="n">
        <f aca="false">AC329-AB329</f>
        <v>0</v>
      </c>
      <c r="AR329" s="307" t="str">
        <f aca="false">IFERROR(VLOOKUP(M329,'PL_DEC.2026'!$D$11:$D$99,1,FALSE()),"(미존재)")</f>
        <v>제세공과</v>
      </c>
    </row>
    <row r="330" customFormat="false" ht="15" hidden="false" customHeight="false" outlineLevel="0" collapsed="false">
      <c r="A330" s="310" t="s">
        <v>841</v>
      </c>
      <c r="B330" s="307" t="n">
        <v>68224300</v>
      </c>
      <c r="C330" s="307" t="s">
        <v>2155</v>
      </c>
      <c r="D330" s="307" t="s">
        <v>1926</v>
      </c>
      <c r="E330" s="307" t="s">
        <v>1971</v>
      </c>
      <c r="F330" s="307" t="s">
        <v>2012</v>
      </c>
      <c r="G330" s="307" t="s">
        <v>1973</v>
      </c>
      <c r="H330" s="307" t="s">
        <v>1536</v>
      </c>
      <c r="I330" s="307" t="s">
        <v>1988</v>
      </c>
      <c r="J330" s="307" t="s">
        <v>1499</v>
      </c>
      <c r="K330" s="307" t="s">
        <v>1989</v>
      </c>
      <c r="L330" s="317" t="s">
        <v>1976</v>
      </c>
      <c r="M330" s="317" t="s">
        <v>299</v>
      </c>
      <c r="N330" s="317" t="s">
        <v>1976</v>
      </c>
      <c r="O330" s="317" t="s">
        <v>2013</v>
      </c>
      <c r="P330" s="317" t="s">
        <v>300</v>
      </c>
      <c r="Q330" s="318" t="n">
        <v>21010805</v>
      </c>
      <c r="R330" s="318" t="n">
        <v>0</v>
      </c>
      <c r="S330" s="318" t="n">
        <v>0</v>
      </c>
      <c r="T330" s="318" t="n">
        <v>400000</v>
      </c>
      <c r="U330" s="318" t="n">
        <v>400000</v>
      </c>
      <c r="V330" s="318" t="n">
        <v>6450000</v>
      </c>
      <c r="W330" s="318" t="n">
        <v>644000</v>
      </c>
      <c r="X330" s="318" t="n">
        <v>2094300</v>
      </c>
      <c r="Y330" s="318" t="n">
        <v>0</v>
      </c>
      <c r="Z330" s="318" t="n">
        <v>0</v>
      </c>
      <c r="AA330" s="318"/>
      <c r="AB330" s="318"/>
      <c r="AC330" s="318"/>
      <c r="AD330" s="318"/>
      <c r="AE330" s="318" t="n">
        <f aca="false">R330</f>
        <v>0</v>
      </c>
      <c r="AF330" s="318" t="n">
        <f aca="false">S330-R330</f>
        <v>0</v>
      </c>
      <c r="AG330" s="318" t="n">
        <f aca="false">T330-S330</f>
        <v>400000</v>
      </c>
      <c r="AH330" s="318" t="n">
        <f aca="false">U330-T330</f>
        <v>0</v>
      </c>
      <c r="AI330" s="318" t="n">
        <f aca="false">V330-U330</f>
        <v>6050000</v>
      </c>
      <c r="AJ330" s="318" t="n">
        <f aca="false">W330-V330</f>
        <v>-5806000</v>
      </c>
      <c r="AK330" s="318" t="n">
        <f aca="false">X330-W330</f>
        <v>1450300</v>
      </c>
      <c r="AL330" s="318" t="n">
        <f aca="false">Y330-X330</f>
        <v>-2094300</v>
      </c>
      <c r="AM330" s="318" t="n">
        <f aca="false">Z330-Y330</f>
        <v>0</v>
      </c>
      <c r="AN330" s="318" t="s">
        <v>1726</v>
      </c>
      <c r="AO330" s="318" t="n">
        <f aca="false">AB330-AA330</f>
        <v>0</v>
      </c>
      <c r="AP330" s="318" t="n">
        <f aca="false">AC330-AB330</f>
        <v>0</v>
      </c>
      <c r="AR330" s="307" t="str">
        <f aca="false">IFERROR(VLOOKUP(M330,'PL_DEC.2026'!$D$11:$D$99,1,FALSE()),"(미존재)")</f>
        <v>지급수수료</v>
      </c>
    </row>
    <row r="331" customFormat="false" ht="15" hidden="false" customHeight="false" outlineLevel="0" collapsed="false">
      <c r="A331" s="310" t="s">
        <v>841</v>
      </c>
      <c r="B331" s="307" t="n">
        <v>68225600</v>
      </c>
      <c r="C331" s="307" t="s">
        <v>2156</v>
      </c>
      <c r="D331" s="307" t="s">
        <v>1926</v>
      </c>
      <c r="E331" s="307" t="s">
        <v>1971</v>
      </c>
      <c r="F331" s="307" t="s">
        <v>2114</v>
      </c>
      <c r="G331" s="307" t="s">
        <v>1973</v>
      </c>
      <c r="H331" s="307" t="s">
        <v>1536</v>
      </c>
      <c r="I331" s="307" t="s">
        <v>1988</v>
      </c>
      <c r="J331" s="307" t="s">
        <v>1499</v>
      </c>
      <c r="K331" s="307" t="s">
        <v>1989</v>
      </c>
      <c r="L331" s="317" t="s">
        <v>1976</v>
      </c>
      <c r="M331" s="317" t="s">
        <v>299</v>
      </c>
      <c r="N331" s="317" t="s">
        <v>1976</v>
      </c>
      <c r="O331" s="317" t="s">
        <v>293</v>
      </c>
      <c r="P331" s="317" t="s">
        <v>293</v>
      </c>
      <c r="Q331" s="318" t="n">
        <v>293613717</v>
      </c>
      <c r="R331" s="318" t="n">
        <v>36674365</v>
      </c>
      <c r="S331" s="318" t="n">
        <v>49532356</v>
      </c>
      <c r="T331" s="318" t="n">
        <v>66312452</v>
      </c>
      <c r="U331" s="318" t="n">
        <v>82120810</v>
      </c>
      <c r="V331" s="318" t="n">
        <v>89555267</v>
      </c>
      <c r="W331" s="318" t="n">
        <v>112491103</v>
      </c>
      <c r="X331" s="318" t="n">
        <v>127998260</v>
      </c>
      <c r="Y331" s="318" t="n">
        <v>141194281</v>
      </c>
      <c r="Z331" s="318" t="n">
        <v>163477826</v>
      </c>
      <c r="AA331" s="318"/>
      <c r="AB331" s="318"/>
      <c r="AC331" s="318"/>
      <c r="AD331" s="318"/>
      <c r="AE331" s="318" t="n">
        <f aca="false">R331</f>
        <v>36674365</v>
      </c>
      <c r="AF331" s="318" t="n">
        <f aca="false">S331-R331</f>
        <v>12857991</v>
      </c>
      <c r="AG331" s="318" t="n">
        <f aca="false">T331-S331</f>
        <v>16780096</v>
      </c>
      <c r="AH331" s="318" t="n">
        <f aca="false">U331-T331</f>
        <v>15808358</v>
      </c>
      <c r="AI331" s="318" t="n">
        <f aca="false">V331-U331</f>
        <v>7434457</v>
      </c>
      <c r="AJ331" s="318" t="n">
        <f aca="false">W331-V331</f>
        <v>22935836</v>
      </c>
      <c r="AK331" s="318" t="n">
        <f aca="false">X331-W331</f>
        <v>15507157</v>
      </c>
      <c r="AL331" s="318" t="n">
        <f aca="false">Y331-X331</f>
        <v>13196021</v>
      </c>
      <c r="AM331" s="318" t="n">
        <f aca="false">Z331-Y331</f>
        <v>22283545</v>
      </c>
      <c r="AN331" s="318" t="s">
        <v>1726</v>
      </c>
      <c r="AO331" s="318" t="n">
        <f aca="false">AB331-AA331</f>
        <v>0</v>
      </c>
      <c r="AP331" s="318" t="n">
        <f aca="false">AC331-AB331</f>
        <v>0</v>
      </c>
      <c r="AR331" s="307" t="str">
        <f aca="false">IFERROR(VLOOKUP(M331,'PL_DEC.2026'!$D$11:$D$99,1,FALSE()),"(미존재)")</f>
        <v>지급수수료</v>
      </c>
    </row>
    <row r="332" customFormat="false" ht="15" hidden="false" customHeight="false" outlineLevel="0" collapsed="false">
      <c r="A332" s="310" t="s">
        <v>841</v>
      </c>
      <c r="B332" s="307" t="n">
        <v>68231100</v>
      </c>
      <c r="C332" s="307" t="s">
        <v>2157</v>
      </c>
      <c r="D332" s="307" t="s">
        <v>1926</v>
      </c>
      <c r="E332" s="307" t="s">
        <v>2006</v>
      </c>
      <c r="F332" s="307" t="s">
        <v>2052</v>
      </c>
      <c r="G332" s="307" t="s">
        <v>1929</v>
      </c>
      <c r="H332" s="307" t="s">
        <v>1536</v>
      </c>
      <c r="I332" s="307" t="s">
        <v>2056</v>
      </c>
      <c r="K332" s="307" t="s">
        <v>1027</v>
      </c>
      <c r="L332" s="317" t="s">
        <v>1976</v>
      </c>
      <c r="M332" s="317" t="s">
        <v>279</v>
      </c>
      <c r="N332" s="317" t="s">
        <v>2008</v>
      </c>
      <c r="O332" s="317" t="s">
        <v>279</v>
      </c>
      <c r="P332" s="317" t="s">
        <v>279</v>
      </c>
      <c r="Q332" s="318" t="n">
        <v>41876887</v>
      </c>
      <c r="R332" s="318" t="n">
        <v>0</v>
      </c>
      <c r="S332" s="318" t="n">
        <v>247665</v>
      </c>
      <c r="T332" s="318" t="n">
        <v>591242</v>
      </c>
      <c r="U332" s="318" t="n">
        <v>3808782</v>
      </c>
      <c r="V332" s="318" t="n">
        <v>3916625</v>
      </c>
      <c r="W332" s="318" t="n">
        <v>4387511</v>
      </c>
      <c r="X332" s="318" t="n">
        <v>5059316</v>
      </c>
      <c r="Y332" s="318" t="n">
        <v>5200412</v>
      </c>
      <c r="Z332" s="318" t="n">
        <v>5349677</v>
      </c>
      <c r="AA332" s="318"/>
      <c r="AB332" s="318"/>
      <c r="AC332" s="318"/>
      <c r="AD332" s="318"/>
      <c r="AE332" s="318" t="n">
        <f aca="false">R332</f>
        <v>0</v>
      </c>
      <c r="AF332" s="318" t="n">
        <f aca="false">S332-R332</f>
        <v>247665</v>
      </c>
      <c r="AG332" s="318" t="n">
        <f aca="false">T332-S332</f>
        <v>343577</v>
      </c>
      <c r="AH332" s="318" t="n">
        <f aca="false">U332-T332</f>
        <v>3217540</v>
      </c>
      <c r="AI332" s="318" t="n">
        <f aca="false">V332-U332</f>
        <v>107843</v>
      </c>
      <c r="AJ332" s="318" t="n">
        <f aca="false">W332-V332</f>
        <v>470886</v>
      </c>
      <c r="AK332" s="318" t="n">
        <f aca="false">X332-W332</f>
        <v>671805</v>
      </c>
      <c r="AL332" s="318" t="n">
        <f aca="false">Y332-X332</f>
        <v>141096</v>
      </c>
      <c r="AM332" s="318" t="n">
        <f aca="false">Z332-Y332</f>
        <v>149265</v>
      </c>
      <c r="AN332" s="318" t="s">
        <v>1726</v>
      </c>
      <c r="AO332" s="318" t="n">
        <f aca="false">AB332-AA332</f>
        <v>0</v>
      </c>
      <c r="AP332" s="318" t="n">
        <f aca="false">AC332-AB332</f>
        <v>0</v>
      </c>
      <c r="AR332" s="307" t="str">
        <f aca="false">IFERROR(VLOOKUP(M332,'PL_DEC.2026'!$D$11:$D$99,1,FALSE()),"(미존재)")</f>
        <v>광고선전비</v>
      </c>
    </row>
    <row r="333" customFormat="false" ht="15" hidden="false" customHeight="false" outlineLevel="0" collapsed="false">
      <c r="A333" s="310" t="s">
        <v>841</v>
      </c>
      <c r="B333" s="307" t="n">
        <v>68231300</v>
      </c>
      <c r="C333" s="307" t="s">
        <v>2158</v>
      </c>
      <c r="D333" s="307" t="s">
        <v>1926</v>
      </c>
      <c r="E333" s="307" t="s">
        <v>2006</v>
      </c>
      <c r="F333" s="307" t="s">
        <v>2052</v>
      </c>
      <c r="G333" s="307" t="s">
        <v>1973</v>
      </c>
      <c r="H333" s="307" t="s">
        <v>1536</v>
      </c>
      <c r="I333" s="307" t="s">
        <v>2159</v>
      </c>
      <c r="K333" s="307" t="s">
        <v>2160</v>
      </c>
      <c r="L333" s="317" t="s">
        <v>1976</v>
      </c>
      <c r="M333" s="317" t="s">
        <v>279</v>
      </c>
      <c r="N333" s="317" t="s">
        <v>2008</v>
      </c>
      <c r="O333" s="317" t="s">
        <v>279</v>
      </c>
      <c r="P333" s="317" t="s">
        <v>279</v>
      </c>
      <c r="Q333" s="318" t="n">
        <v>256179360</v>
      </c>
      <c r="R333" s="318" t="n">
        <v>0</v>
      </c>
      <c r="S333" s="318" t="n">
        <v>0</v>
      </c>
      <c r="T333" s="318" t="n">
        <v>21348280</v>
      </c>
      <c r="U333" s="318" t="n">
        <v>21348280</v>
      </c>
      <c r="V333" s="318" t="n">
        <v>21348280</v>
      </c>
      <c r="W333" s="318" t="n">
        <v>21348280</v>
      </c>
      <c r="X333" s="318" t="n">
        <v>21348280</v>
      </c>
      <c r="Y333" s="318" t="n">
        <v>21348280</v>
      </c>
      <c r="Z333" s="318" t="n">
        <v>27017806</v>
      </c>
      <c r="AA333" s="318"/>
      <c r="AB333" s="318"/>
      <c r="AC333" s="318"/>
      <c r="AD333" s="318"/>
      <c r="AE333" s="318" t="n">
        <f aca="false">R333</f>
        <v>0</v>
      </c>
      <c r="AF333" s="318" t="n">
        <f aca="false">S333-R333</f>
        <v>0</v>
      </c>
      <c r="AG333" s="318" t="n">
        <f aca="false">T333-S333</f>
        <v>21348280</v>
      </c>
      <c r="AH333" s="318" t="n">
        <f aca="false">U333-T333</f>
        <v>0</v>
      </c>
      <c r="AI333" s="318" t="n">
        <f aca="false">V333-U333</f>
        <v>0</v>
      </c>
      <c r="AJ333" s="318" t="n">
        <f aca="false">W333-V333</f>
        <v>0</v>
      </c>
      <c r="AK333" s="318" t="n">
        <f aca="false">X333-W333</f>
        <v>0</v>
      </c>
      <c r="AL333" s="318" t="n">
        <f aca="false">Y333-X333</f>
        <v>0</v>
      </c>
      <c r="AM333" s="318" t="n">
        <f aca="false">Z333-Y333</f>
        <v>5669526</v>
      </c>
      <c r="AN333" s="318" t="s">
        <v>1726</v>
      </c>
      <c r="AO333" s="318" t="n">
        <f aca="false">AB333-AA333</f>
        <v>0</v>
      </c>
      <c r="AP333" s="318" t="n">
        <f aca="false">AC333-AB333</f>
        <v>0</v>
      </c>
      <c r="AR333" s="307" t="str">
        <f aca="false">IFERROR(VLOOKUP(M333,'PL_DEC.2026'!$D$11:$D$99,1,FALSE()),"(미존재)")</f>
        <v>광고선전비</v>
      </c>
    </row>
    <row r="334" customFormat="false" ht="15" hidden="false" customHeight="false" outlineLevel="0" collapsed="false">
      <c r="A334" s="310" t="s">
        <v>841</v>
      </c>
      <c r="B334" s="307" t="n">
        <v>68225200</v>
      </c>
      <c r="C334" s="307" t="s">
        <v>2161</v>
      </c>
      <c r="D334" s="307" t="s">
        <v>1926</v>
      </c>
      <c r="E334" s="307" t="s">
        <v>1971</v>
      </c>
      <c r="F334" s="307" t="s">
        <v>2017</v>
      </c>
      <c r="G334" s="307" t="s">
        <v>1973</v>
      </c>
      <c r="H334" s="307" t="s">
        <v>1536</v>
      </c>
      <c r="I334" s="307" t="s">
        <v>1988</v>
      </c>
      <c r="J334" s="307" t="s">
        <v>1499</v>
      </c>
      <c r="K334" s="307" t="s">
        <v>1989</v>
      </c>
      <c r="L334" s="317" t="s">
        <v>1976</v>
      </c>
      <c r="M334" s="317" t="s">
        <v>289</v>
      </c>
      <c r="N334" s="317" t="s">
        <v>1976</v>
      </c>
      <c r="O334" s="317" t="s">
        <v>289</v>
      </c>
      <c r="P334" s="317" t="s">
        <v>289</v>
      </c>
      <c r="Q334" s="318"/>
      <c r="R334" s="318"/>
      <c r="S334" s="318"/>
      <c r="T334" s="318"/>
      <c r="U334" s="318"/>
      <c r="V334" s="318"/>
      <c r="W334" s="318"/>
      <c r="X334" s="318"/>
      <c r="Y334" s="318" t="n">
        <v>60000000</v>
      </c>
      <c r="Z334" s="318" t="n">
        <v>60000000</v>
      </c>
      <c r="AA334" s="318"/>
      <c r="AB334" s="318"/>
      <c r="AC334" s="318"/>
      <c r="AD334" s="318"/>
      <c r="AE334" s="318" t="n">
        <f aca="false">R334</f>
        <v>0</v>
      </c>
      <c r="AF334" s="318" t="n">
        <f aca="false">S334-R334</f>
        <v>0</v>
      </c>
      <c r="AG334" s="318" t="n">
        <f aca="false">T334-S334</f>
        <v>0</v>
      </c>
      <c r="AH334" s="318" t="n">
        <f aca="false">U334-T334</f>
        <v>0</v>
      </c>
      <c r="AI334" s="318" t="n">
        <f aca="false">V334-U334</f>
        <v>0</v>
      </c>
      <c r="AJ334" s="318" t="n">
        <f aca="false">W334-V334</f>
        <v>0</v>
      </c>
      <c r="AK334" s="318" t="n">
        <f aca="false">X334-W334</f>
        <v>0</v>
      </c>
      <c r="AL334" s="318" t="n">
        <f aca="false">Y334-X334</f>
        <v>60000000</v>
      </c>
      <c r="AM334" s="318" t="n">
        <f aca="false">Z334-Y334</f>
        <v>0</v>
      </c>
      <c r="AN334" s="318"/>
      <c r="AO334" s="318"/>
      <c r="AP334" s="318"/>
      <c r="AR334" s="307" t="str">
        <f aca="false">IFERROR(VLOOKUP(M334,'PL_DEC.2026'!$D$11:$D$99,1,FALSE()),"(미존재)")</f>
        <v>복리후생비</v>
      </c>
    </row>
    <row r="335" customFormat="false" ht="15" hidden="false" customHeight="false" outlineLevel="0" collapsed="false">
      <c r="A335" s="310" t="s">
        <v>841</v>
      </c>
      <c r="B335" s="307" t="n">
        <v>68261700</v>
      </c>
      <c r="C335" s="307" t="s">
        <v>2162</v>
      </c>
      <c r="D335" s="307" t="s">
        <v>1926</v>
      </c>
      <c r="E335" s="307" t="s">
        <v>1971</v>
      </c>
      <c r="F335" s="307" t="s">
        <v>2163</v>
      </c>
      <c r="G335" s="307" t="s">
        <v>1973</v>
      </c>
      <c r="H335" s="307" t="s">
        <v>1536</v>
      </c>
      <c r="I335" s="307" t="s">
        <v>1988</v>
      </c>
      <c r="J335" s="307" t="s">
        <v>1499</v>
      </c>
      <c r="K335" s="307" t="s">
        <v>1989</v>
      </c>
      <c r="L335" s="317" t="s">
        <v>1976</v>
      </c>
      <c r="M335" s="317" t="s">
        <v>1200</v>
      </c>
      <c r="N335" s="317" t="s">
        <v>1976</v>
      </c>
      <c r="O335" s="317" t="s">
        <v>2164</v>
      </c>
      <c r="P335" s="317" t="s">
        <v>2164</v>
      </c>
      <c r="Q335" s="318" t="n">
        <v>-1</v>
      </c>
      <c r="R335" s="318" t="n">
        <v>0</v>
      </c>
      <c r="S335" s="318" t="n">
        <v>0</v>
      </c>
      <c r="T335" s="318" t="n">
        <v>0</v>
      </c>
      <c r="U335" s="318" t="n">
        <v>0</v>
      </c>
      <c r="V335" s="318" t="n">
        <v>0</v>
      </c>
      <c r="W335" s="318" t="n">
        <v>0</v>
      </c>
      <c r="X335" s="318" t="n">
        <v>0</v>
      </c>
      <c r="Y335" s="318" t="n">
        <v>0</v>
      </c>
      <c r="Z335" s="318" t="n">
        <v>0</v>
      </c>
      <c r="AA335" s="318"/>
      <c r="AB335" s="318"/>
      <c r="AC335" s="318"/>
      <c r="AD335" s="318"/>
      <c r="AE335" s="318" t="n">
        <f aca="false">R335</f>
        <v>0</v>
      </c>
      <c r="AF335" s="318" t="n">
        <f aca="false">S335-R335</f>
        <v>0</v>
      </c>
      <c r="AG335" s="318" t="n">
        <f aca="false">T335-S335</f>
        <v>0</v>
      </c>
      <c r="AH335" s="318" t="n">
        <f aca="false">U335-T335</f>
        <v>0</v>
      </c>
      <c r="AI335" s="318" t="n">
        <f aca="false">V335-U335</f>
        <v>0</v>
      </c>
      <c r="AJ335" s="318" t="n">
        <f aca="false">W335-V335</f>
        <v>0</v>
      </c>
      <c r="AK335" s="318" t="n">
        <f aca="false">X335-W335</f>
        <v>0</v>
      </c>
      <c r="AL335" s="318" t="n">
        <f aca="false">Y335-X335</f>
        <v>0</v>
      </c>
      <c r="AM335" s="318" t="n">
        <f aca="false">Z335-Y335</f>
        <v>0</v>
      </c>
      <c r="AN335" s="318" t="s">
        <v>1726</v>
      </c>
      <c r="AO335" s="318" t="n">
        <f aca="false">AB335-AA335</f>
        <v>0</v>
      </c>
      <c r="AP335" s="318" t="n">
        <f aca="false">AC335-AB335</f>
        <v>0</v>
      </c>
      <c r="AR335" s="307" t="str">
        <f aca="false">IFERROR(VLOOKUP(M335,'PL_DEC.2026'!$D$11:$D$99,1,FALSE()),"(미존재)")</f>
        <v>(미존재)</v>
      </c>
    </row>
    <row r="336" customFormat="false" ht="15" hidden="false" customHeight="false" outlineLevel="0" collapsed="false">
      <c r="A336" s="310" t="s">
        <v>841</v>
      </c>
      <c r="B336" s="307" t="n">
        <v>70020150</v>
      </c>
      <c r="C336" s="307" t="s">
        <v>2165</v>
      </c>
      <c r="D336" s="307" t="s">
        <v>1926</v>
      </c>
      <c r="E336" s="307" t="s">
        <v>1971</v>
      </c>
      <c r="F336" s="307" t="s">
        <v>2166</v>
      </c>
      <c r="G336" s="307" t="s">
        <v>1973</v>
      </c>
      <c r="H336" s="307" t="s">
        <v>1536</v>
      </c>
      <c r="I336" s="307" t="s">
        <v>2167</v>
      </c>
      <c r="K336" s="307" t="s">
        <v>2168</v>
      </c>
      <c r="L336" s="317" t="s">
        <v>1976</v>
      </c>
      <c r="M336" s="317" t="s">
        <v>323</v>
      </c>
      <c r="N336" s="317" t="s">
        <v>1976</v>
      </c>
      <c r="O336" s="317" t="s">
        <v>323</v>
      </c>
      <c r="P336" s="317" t="s">
        <v>323</v>
      </c>
      <c r="Q336" s="318" t="n">
        <v>61130717</v>
      </c>
      <c r="R336" s="318" t="n">
        <v>0</v>
      </c>
      <c r="S336" s="318" t="n">
        <v>0</v>
      </c>
      <c r="T336" s="318" t="n">
        <v>-4078775</v>
      </c>
      <c r="U336" s="318" t="n">
        <v>-4078775</v>
      </c>
      <c r="V336" s="318" t="n">
        <v>-4078775</v>
      </c>
      <c r="W336" s="318" t="n">
        <v>-4124609</v>
      </c>
      <c r="X336" s="318" t="n">
        <v>-4124609</v>
      </c>
      <c r="Y336" s="318" t="n">
        <v>-4124609</v>
      </c>
      <c r="Z336" s="318" t="n">
        <v>-4124609</v>
      </c>
      <c r="AA336" s="318"/>
      <c r="AB336" s="318"/>
      <c r="AC336" s="318"/>
      <c r="AD336" s="318"/>
      <c r="AE336" s="318" t="n">
        <f aca="false">R336</f>
        <v>0</v>
      </c>
      <c r="AF336" s="318" t="n">
        <f aca="false">S336-R336</f>
        <v>0</v>
      </c>
      <c r="AG336" s="318" t="n">
        <f aca="false">T336-S336</f>
        <v>-4078775</v>
      </c>
      <c r="AH336" s="318" t="n">
        <f aca="false">U336-T336</f>
        <v>0</v>
      </c>
      <c r="AI336" s="318" t="n">
        <f aca="false">V336-U336</f>
        <v>0</v>
      </c>
      <c r="AJ336" s="318" t="n">
        <f aca="false">W336-V336</f>
        <v>-45834</v>
      </c>
      <c r="AK336" s="318" t="n">
        <f aca="false">X336-W336</f>
        <v>0</v>
      </c>
      <c r="AL336" s="318" t="n">
        <f aca="false">Y336-X336</f>
        <v>0</v>
      </c>
      <c r="AM336" s="318" t="n">
        <f aca="false">Z336-Y336</f>
        <v>0</v>
      </c>
      <c r="AN336" s="318" t="s">
        <v>1726</v>
      </c>
      <c r="AO336" s="318" t="n">
        <f aca="false">AB336-AA336</f>
        <v>0</v>
      </c>
      <c r="AP336" s="318" t="n">
        <f aca="false">AC336-AB336</f>
        <v>0</v>
      </c>
      <c r="AR336" s="307" t="str">
        <f aca="false">IFERROR(VLOOKUP(M336,'PL_DEC.2026'!$D$11:$D$99,1,FALSE()),"(미존재)")</f>
        <v>대손상각비</v>
      </c>
    </row>
    <row r="337" customFormat="false" ht="15" hidden="false" customHeight="false" outlineLevel="0" collapsed="false">
      <c r="A337" s="310" t="s">
        <v>841</v>
      </c>
      <c r="B337" s="307" t="n">
        <v>70051000</v>
      </c>
      <c r="C337" s="307" t="s">
        <v>2169</v>
      </c>
      <c r="D337" s="307" t="s">
        <v>1926</v>
      </c>
      <c r="E337" s="307" t="s">
        <v>2126</v>
      </c>
      <c r="F337" s="307" t="s">
        <v>2127</v>
      </c>
      <c r="G337" s="307" t="s">
        <v>1973</v>
      </c>
      <c r="H337" s="307" t="s">
        <v>1536</v>
      </c>
      <c r="I337" s="307" t="s">
        <v>2170</v>
      </c>
      <c r="K337" s="307" t="s">
        <v>2171</v>
      </c>
      <c r="L337" s="317" t="s">
        <v>1976</v>
      </c>
      <c r="M337" s="317" t="s">
        <v>282</v>
      </c>
      <c r="N337" s="317" t="s">
        <v>1140</v>
      </c>
      <c r="O337" s="317" t="s">
        <v>1140</v>
      </c>
      <c r="P337" s="317" t="s">
        <v>360</v>
      </c>
      <c r="Q337" s="318" t="n">
        <v>16559672481</v>
      </c>
      <c r="R337" s="318" t="n">
        <v>0</v>
      </c>
      <c r="S337" s="318" t="n">
        <v>0</v>
      </c>
      <c r="T337" s="318" t="n">
        <v>-2281851872</v>
      </c>
      <c r="U337" s="318" t="n">
        <v>-1271870164</v>
      </c>
      <c r="V337" s="318" t="n">
        <v>-728412238</v>
      </c>
      <c r="W337" s="318" t="n">
        <v>-780912238</v>
      </c>
      <c r="X337" s="318" t="n">
        <v>-780912238</v>
      </c>
      <c r="Y337" s="318" t="n">
        <v>-780912238</v>
      </c>
      <c r="Z337" s="318" t="n">
        <v>-1371313926</v>
      </c>
      <c r="AA337" s="318"/>
      <c r="AB337" s="318"/>
      <c r="AC337" s="318"/>
      <c r="AD337" s="318"/>
      <c r="AE337" s="318" t="n">
        <f aca="false">R337</f>
        <v>0</v>
      </c>
      <c r="AF337" s="318" t="n">
        <f aca="false">S337-R337</f>
        <v>0</v>
      </c>
      <c r="AG337" s="318" t="n">
        <f aca="false">T337-S337</f>
        <v>-2281851872</v>
      </c>
      <c r="AH337" s="318" t="n">
        <f aca="false">U337-T337</f>
        <v>1009981708</v>
      </c>
      <c r="AI337" s="318" t="n">
        <f aca="false">V337-U337</f>
        <v>543457926</v>
      </c>
      <c r="AJ337" s="318" t="n">
        <f aca="false">W337-V337</f>
        <v>-52500000</v>
      </c>
      <c r="AK337" s="318" t="n">
        <f aca="false">X337-W337</f>
        <v>0</v>
      </c>
      <c r="AL337" s="318" t="n">
        <f aca="false">Y337-X337</f>
        <v>0</v>
      </c>
      <c r="AM337" s="318" t="n">
        <f aca="false">Z337-Y337</f>
        <v>-590401688</v>
      </c>
      <c r="AN337" s="318" t="s">
        <v>1726</v>
      </c>
      <c r="AO337" s="318" t="n">
        <f aca="false">AB337-AA337</f>
        <v>0</v>
      </c>
      <c r="AP337" s="318" t="n">
        <f aca="false">AC337-AB337</f>
        <v>0</v>
      </c>
      <c r="AR337" s="307" t="str">
        <f aca="false">IFERROR(VLOOKUP(M337,'PL_DEC.2026'!$D$11:$D$99,1,FALSE()),"(미존재)")</f>
        <v>급여</v>
      </c>
    </row>
    <row r="338" customFormat="false" ht="15" hidden="false" customHeight="false" outlineLevel="0" collapsed="false">
      <c r="A338" s="310" t="s">
        <v>841</v>
      </c>
      <c r="B338" s="307" t="n">
        <v>74100000</v>
      </c>
      <c r="C338" s="307" t="s">
        <v>2172</v>
      </c>
      <c r="D338" s="307" t="s">
        <v>1926</v>
      </c>
      <c r="E338" s="307" t="s">
        <v>1982</v>
      </c>
      <c r="F338" s="307" t="s">
        <v>2173</v>
      </c>
      <c r="G338" s="307" t="s">
        <v>1973</v>
      </c>
      <c r="H338" s="307" t="s">
        <v>1536</v>
      </c>
      <c r="I338" s="307" t="s">
        <v>2174</v>
      </c>
      <c r="K338" s="307" t="s">
        <v>2175</v>
      </c>
      <c r="L338" s="317" t="s">
        <v>920</v>
      </c>
      <c r="M338" s="317" t="s">
        <v>347</v>
      </c>
      <c r="N338" s="317" t="s">
        <v>920</v>
      </c>
      <c r="O338" s="317" t="s">
        <v>920</v>
      </c>
      <c r="P338" s="317" t="s">
        <v>330</v>
      </c>
      <c r="Q338" s="318" t="n">
        <v>-1553195901</v>
      </c>
      <c r="R338" s="318" t="n">
        <v>-33836</v>
      </c>
      <c r="S338" s="318" t="n">
        <v>-7041257</v>
      </c>
      <c r="T338" s="318" t="n">
        <v>-8916700</v>
      </c>
      <c r="U338" s="318" t="n">
        <v>-9475864</v>
      </c>
      <c r="V338" s="318" t="n">
        <v>-34441735</v>
      </c>
      <c r="W338" s="318" t="n">
        <v>-34441735</v>
      </c>
      <c r="X338" s="318" t="n">
        <v>-767210164</v>
      </c>
      <c r="Y338" s="318" t="n">
        <v>-772029730</v>
      </c>
      <c r="Z338" s="318" t="n">
        <v>-790809571</v>
      </c>
      <c r="AA338" s="318"/>
      <c r="AB338" s="318"/>
      <c r="AC338" s="318"/>
      <c r="AD338" s="318"/>
      <c r="AE338" s="318" t="n">
        <f aca="false">R338</f>
        <v>-33836</v>
      </c>
      <c r="AF338" s="318" t="n">
        <f aca="false">S338-R338</f>
        <v>-7007421</v>
      </c>
      <c r="AG338" s="318" t="n">
        <f aca="false">T338-S338</f>
        <v>-1875443</v>
      </c>
      <c r="AH338" s="318" t="n">
        <f aca="false">U338-T338</f>
        <v>-559164</v>
      </c>
      <c r="AI338" s="318" t="n">
        <f aca="false">V338-U338</f>
        <v>-24965871</v>
      </c>
      <c r="AJ338" s="318" t="n">
        <f aca="false">W338-V338</f>
        <v>0</v>
      </c>
      <c r="AK338" s="318" t="n">
        <f aca="false">X338-W338</f>
        <v>-732768429</v>
      </c>
      <c r="AL338" s="318" t="n">
        <f aca="false">Y338-X338</f>
        <v>-4819566</v>
      </c>
      <c r="AM338" s="318" t="n">
        <f aca="false">Z338-Y338</f>
        <v>-18779841</v>
      </c>
      <c r="AN338" s="318" t="s">
        <v>1726</v>
      </c>
      <c r="AO338" s="318" t="n">
        <f aca="false">AB338-AA338</f>
        <v>0</v>
      </c>
      <c r="AP338" s="318" t="n">
        <f aca="false">AC338-AB338</f>
        <v>0</v>
      </c>
      <c r="AR338" s="307" t="str">
        <f aca="false">IFERROR(VLOOKUP(M338,'PL_DEC.2026'!$D$11:$D$99,1,FALSE()),"(미존재)")</f>
        <v>외환차손</v>
      </c>
    </row>
    <row r="339" customFormat="false" ht="15" hidden="false" customHeight="false" outlineLevel="0" collapsed="false">
      <c r="A339" s="310" t="s">
        <v>841</v>
      </c>
      <c r="B339" s="307" t="n">
        <v>74110000</v>
      </c>
      <c r="C339" s="307" t="s">
        <v>2176</v>
      </c>
      <c r="D339" s="307" t="s">
        <v>1926</v>
      </c>
      <c r="E339" s="307" t="s">
        <v>2126</v>
      </c>
      <c r="F339" s="307" t="s">
        <v>2177</v>
      </c>
      <c r="G339" s="307" t="s">
        <v>1973</v>
      </c>
      <c r="H339" s="307" t="s">
        <v>1536</v>
      </c>
      <c r="I339" s="307" t="s">
        <v>2174</v>
      </c>
      <c r="K339" s="307" t="s">
        <v>2175</v>
      </c>
      <c r="L339" s="317" t="s">
        <v>2130</v>
      </c>
      <c r="M339" s="317" t="s">
        <v>347</v>
      </c>
      <c r="N339" s="317" t="s">
        <v>1140</v>
      </c>
      <c r="O339" s="317" t="s">
        <v>1140</v>
      </c>
      <c r="P339" s="317" t="s">
        <v>347</v>
      </c>
      <c r="Q339" s="318" t="n">
        <v>1586782452</v>
      </c>
      <c r="R339" s="318" t="n">
        <v>2722947</v>
      </c>
      <c r="S339" s="318" t="n">
        <v>9659289</v>
      </c>
      <c r="T339" s="318" t="n">
        <v>14657469</v>
      </c>
      <c r="U339" s="318" t="n">
        <v>19950773</v>
      </c>
      <c r="V339" s="318" t="n">
        <v>30639013</v>
      </c>
      <c r="W339" s="318" t="n">
        <v>31130230</v>
      </c>
      <c r="X339" s="318" t="n">
        <v>755466399</v>
      </c>
      <c r="Y339" s="318" t="n">
        <v>753374323</v>
      </c>
      <c r="Z339" s="318" t="n">
        <v>753374323</v>
      </c>
      <c r="AA339" s="318"/>
      <c r="AB339" s="318"/>
      <c r="AC339" s="318"/>
      <c r="AD339" s="318"/>
      <c r="AE339" s="318" t="n">
        <f aca="false">R339</f>
        <v>2722947</v>
      </c>
      <c r="AF339" s="318" t="n">
        <f aca="false">S339-R339</f>
        <v>6936342</v>
      </c>
      <c r="AG339" s="318" t="n">
        <f aca="false">T339-S339</f>
        <v>4998180</v>
      </c>
      <c r="AH339" s="318" t="n">
        <f aca="false">U339-T339</f>
        <v>5293304</v>
      </c>
      <c r="AI339" s="318" t="n">
        <f aca="false">V339-U339</f>
        <v>10688240</v>
      </c>
      <c r="AJ339" s="318" t="n">
        <f aca="false">W339-V339</f>
        <v>491217</v>
      </c>
      <c r="AK339" s="318" t="n">
        <f aca="false">X339-W339</f>
        <v>724336169</v>
      </c>
      <c r="AL339" s="318" t="n">
        <f aca="false">Y339-X339</f>
        <v>-2092076</v>
      </c>
      <c r="AM339" s="318" t="n">
        <f aca="false">Z339-Y339</f>
        <v>0</v>
      </c>
      <c r="AN339" s="318" t="s">
        <v>1726</v>
      </c>
      <c r="AO339" s="318" t="n">
        <f aca="false">AB339-AA339</f>
        <v>0</v>
      </c>
      <c r="AP339" s="318" t="n">
        <f aca="false">AC339-AB339</f>
        <v>0</v>
      </c>
      <c r="AR339" s="307" t="str">
        <f aca="false">IFERROR(VLOOKUP(M339,'PL_DEC.2026'!$D$11:$D$99,1,FALSE()),"(미존재)")</f>
        <v>외환차손</v>
      </c>
    </row>
    <row r="340" customFormat="false" ht="15" hidden="false" customHeight="false" outlineLevel="0" collapsed="false">
      <c r="A340" s="310" t="s">
        <v>841</v>
      </c>
      <c r="B340" s="307" t="n">
        <v>74115000</v>
      </c>
      <c r="C340" s="307" t="s">
        <v>2178</v>
      </c>
      <c r="D340" s="307" t="s">
        <v>1926</v>
      </c>
      <c r="E340" s="307" t="s">
        <v>1982</v>
      </c>
      <c r="F340" s="307" t="s">
        <v>2179</v>
      </c>
      <c r="G340" s="307" t="s">
        <v>1973</v>
      </c>
      <c r="H340" s="307" t="s">
        <v>1536</v>
      </c>
      <c r="I340" s="307" t="s">
        <v>2180</v>
      </c>
      <c r="K340" s="307" t="s">
        <v>2181</v>
      </c>
      <c r="L340" s="317" t="s">
        <v>920</v>
      </c>
      <c r="M340" s="317" t="s">
        <v>331</v>
      </c>
      <c r="N340" s="317" t="s">
        <v>920</v>
      </c>
      <c r="O340" s="317" t="s">
        <v>920</v>
      </c>
      <c r="P340" s="317" t="s">
        <v>331</v>
      </c>
      <c r="Q340" s="318" t="n">
        <v>-857198</v>
      </c>
      <c r="R340" s="318" t="n">
        <v>-2502310</v>
      </c>
      <c r="S340" s="318" t="n">
        <v>-2722481</v>
      </c>
      <c r="T340" s="318" t="n">
        <v>857194</v>
      </c>
      <c r="U340" s="318" t="n">
        <v>-5765640</v>
      </c>
      <c r="V340" s="318" t="n">
        <v>857194</v>
      </c>
      <c r="W340" s="318" t="n">
        <v>857197</v>
      </c>
      <c r="X340" s="318" t="n">
        <v>-227846415</v>
      </c>
      <c r="Y340" s="318" t="n">
        <v>-128725766</v>
      </c>
      <c r="Z340" s="318" t="n">
        <v>-123101784</v>
      </c>
      <c r="AA340" s="318"/>
      <c r="AB340" s="318"/>
      <c r="AC340" s="318"/>
      <c r="AD340" s="318"/>
      <c r="AE340" s="318" t="n">
        <f aca="false">R340</f>
        <v>-2502310</v>
      </c>
      <c r="AF340" s="318" t="n">
        <f aca="false">S340-R340</f>
        <v>-220171</v>
      </c>
      <c r="AG340" s="318" t="n">
        <f aca="false">T340-S340</f>
        <v>3579675</v>
      </c>
      <c r="AH340" s="318" t="n">
        <f aca="false">U340-T340</f>
        <v>-6622834</v>
      </c>
      <c r="AI340" s="318" t="n">
        <f aca="false">V340-U340</f>
        <v>6622834</v>
      </c>
      <c r="AJ340" s="318" t="n">
        <f aca="false">W340-V340</f>
        <v>3</v>
      </c>
      <c r="AK340" s="318" t="n">
        <f aca="false">X340-W340</f>
        <v>-228703612</v>
      </c>
      <c r="AL340" s="318" t="n">
        <f aca="false">Y340-X340</f>
        <v>99120649</v>
      </c>
      <c r="AM340" s="318" t="n">
        <f aca="false">Z340-Y340</f>
        <v>5623982</v>
      </c>
      <c r="AN340" s="318" t="s">
        <v>1726</v>
      </c>
      <c r="AO340" s="318" t="n">
        <f aca="false">AB340-AA340</f>
        <v>0</v>
      </c>
      <c r="AP340" s="318" t="n">
        <f aca="false">AC340-AB340</f>
        <v>0</v>
      </c>
      <c r="AR340" s="307" t="str">
        <f aca="false">IFERROR(VLOOKUP(M340,'PL_DEC.2026'!$D$11:$D$99,1,FALSE()),"(미존재)")</f>
        <v>외화환산이익</v>
      </c>
    </row>
    <row r="341" customFormat="false" ht="15" hidden="false" customHeight="false" outlineLevel="0" collapsed="false">
      <c r="A341" s="310" t="s">
        <v>841</v>
      </c>
      <c r="B341" s="307" t="n">
        <v>74120000</v>
      </c>
      <c r="C341" s="307" t="s">
        <v>2182</v>
      </c>
      <c r="D341" s="307" t="s">
        <v>1926</v>
      </c>
      <c r="E341" s="307" t="s">
        <v>2126</v>
      </c>
      <c r="F341" s="307" t="s">
        <v>2183</v>
      </c>
      <c r="G341" s="307" t="s">
        <v>1973</v>
      </c>
      <c r="H341" s="307" t="s">
        <v>1536</v>
      </c>
      <c r="I341" s="307" t="s">
        <v>2180</v>
      </c>
      <c r="K341" s="307" t="s">
        <v>2181</v>
      </c>
      <c r="L341" s="317" t="s">
        <v>2130</v>
      </c>
      <c r="M341" s="317" t="s">
        <v>331</v>
      </c>
      <c r="N341" s="317" t="s">
        <v>1140</v>
      </c>
      <c r="O341" s="317" t="s">
        <v>1140</v>
      </c>
      <c r="P341" s="317" t="s">
        <v>348</v>
      </c>
      <c r="Q341" s="318" t="n">
        <v>-23624342</v>
      </c>
      <c r="R341" s="318" t="n">
        <v>-330323</v>
      </c>
      <c r="S341" s="318" t="n">
        <v>-642069</v>
      </c>
      <c r="T341" s="318" t="n">
        <v>5631142</v>
      </c>
      <c r="U341" s="318" t="n">
        <v>613615</v>
      </c>
      <c r="V341" s="318" t="n">
        <v>79797104</v>
      </c>
      <c r="W341" s="318" t="n">
        <v>-681596</v>
      </c>
      <c r="X341" s="318" t="n">
        <v>-681596</v>
      </c>
      <c r="Y341" s="318" t="n">
        <v>-681596</v>
      </c>
      <c r="Z341" s="318" t="n">
        <v>-679352</v>
      </c>
      <c r="AA341" s="318"/>
      <c r="AB341" s="318"/>
      <c r="AC341" s="318"/>
      <c r="AD341" s="318"/>
      <c r="AE341" s="318" t="n">
        <f aca="false">R341</f>
        <v>-330323</v>
      </c>
      <c r="AF341" s="318" t="n">
        <f aca="false">S341-R341</f>
        <v>-311746</v>
      </c>
      <c r="AG341" s="318" t="n">
        <f aca="false">T341-S341</f>
        <v>6273211</v>
      </c>
      <c r="AH341" s="318" t="n">
        <f aca="false">U341-T341</f>
        <v>-5017527</v>
      </c>
      <c r="AI341" s="318" t="n">
        <f aca="false">V341-U341</f>
        <v>79183489</v>
      </c>
      <c r="AJ341" s="318" t="n">
        <f aca="false">W341-V341</f>
        <v>-80478700</v>
      </c>
      <c r="AK341" s="318" t="n">
        <f aca="false">X341-W341</f>
        <v>0</v>
      </c>
      <c r="AL341" s="318" t="n">
        <f aca="false">Y341-X341</f>
        <v>0</v>
      </c>
      <c r="AM341" s="318" t="n">
        <f aca="false">Z341-Y341</f>
        <v>2244</v>
      </c>
      <c r="AN341" s="318" t="s">
        <v>1726</v>
      </c>
      <c r="AO341" s="318" t="n">
        <f aca="false">AB341-AA341</f>
        <v>0</v>
      </c>
      <c r="AP341" s="318" t="n">
        <f aca="false">AC341-AB341</f>
        <v>0</v>
      </c>
      <c r="AR341" s="307" t="str">
        <f aca="false">IFERROR(VLOOKUP(M341,'PL_DEC.2026'!$D$11:$D$99,1,FALSE()),"(미존재)")</f>
        <v>외화환산이익</v>
      </c>
    </row>
    <row r="342" customFormat="false" ht="15" hidden="false" customHeight="false" outlineLevel="0" collapsed="false">
      <c r="A342" s="310" t="s">
        <v>841</v>
      </c>
      <c r="B342" s="307" t="n">
        <v>74200001</v>
      </c>
      <c r="C342" s="307" t="s">
        <v>2184</v>
      </c>
      <c r="D342" s="307" t="s">
        <v>1926</v>
      </c>
      <c r="E342" s="307" t="s">
        <v>1982</v>
      </c>
      <c r="F342" s="307" t="s">
        <v>1983</v>
      </c>
      <c r="G342" s="307" t="s">
        <v>1973</v>
      </c>
      <c r="H342" s="307" t="s">
        <v>1536</v>
      </c>
      <c r="I342" s="307" t="s">
        <v>1988</v>
      </c>
      <c r="J342" s="307" t="s">
        <v>1499</v>
      </c>
      <c r="K342" s="307" t="s">
        <v>1989</v>
      </c>
      <c r="L342" s="317" t="s">
        <v>920</v>
      </c>
      <c r="M342" s="317" t="s">
        <v>339</v>
      </c>
      <c r="N342" s="317" t="s">
        <v>920</v>
      </c>
      <c r="O342" s="317" t="s">
        <v>920</v>
      </c>
      <c r="P342" s="317" t="s">
        <v>339</v>
      </c>
      <c r="Q342" s="318" t="n">
        <v>-24103072</v>
      </c>
      <c r="R342" s="318" t="n">
        <v>-599</v>
      </c>
      <c r="S342" s="318" t="n">
        <v>-11215189</v>
      </c>
      <c r="T342" s="318" t="n">
        <v>-11215189</v>
      </c>
      <c r="U342" s="318" t="n">
        <v>-12102189</v>
      </c>
      <c r="V342" s="318" t="n">
        <v>-12322619</v>
      </c>
      <c r="W342" s="318" t="n">
        <v>-12322622</v>
      </c>
      <c r="X342" s="318" t="n">
        <v>-26428304</v>
      </c>
      <c r="Y342" s="318" t="n">
        <v>-26447153</v>
      </c>
      <c r="Z342" s="318" t="n">
        <v>-26447153</v>
      </c>
      <c r="AA342" s="318"/>
      <c r="AB342" s="318"/>
      <c r="AC342" s="318"/>
      <c r="AD342" s="318"/>
      <c r="AE342" s="318" t="n">
        <f aca="false">R342</f>
        <v>-599</v>
      </c>
      <c r="AF342" s="318" t="n">
        <f aca="false">S342-R342</f>
        <v>-11214590</v>
      </c>
      <c r="AG342" s="318" t="n">
        <f aca="false">T342-S342</f>
        <v>0</v>
      </c>
      <c r="AH342" s="318" t="n">
        <f aca="false">U342-T342</f>
        <v>-887000</v>
      </c>
      <c r="AI342" s="318" t="n">
        <f aca="false">V342-U342</f>
        <v>-220430</v>
      </c>
      <c r="AJ342" s="318" t="n">
        <f aca="false">W342-V342</f>
        <v>-3</v>
      </c>
      <c r="AK342" s="318" t="n">
        <f aca="false">X342-W342</f>
        <v>-14105682</v>
      </c>
      <c r="AL342" s="318" t="n">
        <f aca="false">Y342-X342</f>
        <v>-18849</v>
      </c>
      <c r="AM342" s="318" t="n">
        <f aca="false">Z342-Y342</f>
        <v>0</v>
      </c>
      <c r="AN342" s="318" t="s">
        <v>1726</v>
      </c>
      <c r="AO342" s="318" t="n">
        <f aca="false">AB342-AA342</f>
        <v>0</v>
      </c>
      <c r="AP342" s="318" t="n">
        <f aca="false">AC342-AB342</f>
        <v>0</v>
      </c>
      <c r="AR342" s="307" t="str">
        <f aca="false">IFERROR(VLOOKUP(M342,'PL_DEC.2026'!$D$11:$D$99,1,FALSE()),"(미존재)")</f>
        <v>잡이익</v>
      </c>
    </row>
    <row r="343" customFormat="false" ht="15" hidden="false" customHeight="false" outlineLevel="0" collapsed="false">
      <c r="A343" s="310" t="s">
        <v>841</v>
      </c>
      <c r="B343" s="307" t="n">
        <v>74250001</v>
      </c>
      <c r="C343" s="307" t="s">
        <v>2185</v>
      </c>
      <c r="D343" s="307" t="s">
        <v>1926</v>
      </c>
      <c r="E343" s="307" t="s">
        <v>1982</v>
      </c>
      <c r="F343" s="307" t="s">
        <v>1983</v>
      </c>
      <c r="G343" s="307" t="s">
        <v>1973</v>
      </c>
      <c r="H343" s="307" t="s">
        <v>1536</v>
      </c>
      <c r="I343" s="307" t="s">
        <v>2186</v>
      </c>
      <c r="K343" s="307" t="s">
        <v>2187</v>
      </c>
      <c r="L343" s="317" t="s">
        <v>920</v>
      </c>
      <c r="M343" s="317" t="s">
        <v>339</v>
      </c>
      <c r="N343" s="317" t="s">
        <v>920</v>
      </c>
      <c r="O343" s="317" t="s">
        <v>920</v>
      </c>
      <c r="P343" s="317" t="s">
        <v>339</v>
      </c>
      <c r="Q343" s="318" t="n">
        <v>-21567260515</v>
      </c>
      <c r="R343" s="318" t="n">
        <v>0</v>
      </c>
      <c r="S343" s="318" t="n">
        <v>-2256858116</v>
      </c>
      <c r="T343" s="318" t="n">
        <v>-5987213749</v>
      </c>
      <c r="U343" s="318" t="n">
        <v>-5987213749</v>
      </c>
      <c r="V343" s="318" t="n">
        <v>-5987213749</v>
      </c>
      <c r="W343" s="318" t="n">
        <v>-11592769320</v>
      </c>
      <c r="X343" s="318" t="n">
        <v>-11592769320</v>
      </c>
      <c r="Y343" s="318" t="n">
        <v>-11592769320</v>
      </c>
      <c r="Z343" s="318" t="n">
        <v>-23051800562</v>
      </c>
      <c r="AA343" s="318"/>
      <c r="AB343" s="318"/>
      <c r="AC343" s="318"/>
      <c r="AD343" s="318"/>
      <c r="AE343" s="318" t="n">
        <f aca="false">R343</f>
        <v>0</v>
      </c>
      <c r="AF343" s="318" t="n">
        <f aca="false">S343-R343</f>
        <v>-2256858116</v>
      </c>
      <c r="AG343" s="318" t="n">
        <f aca="false">T343-S343</f>
        <v>-3730355633</v>
      </c>
      <c r="AH343" s="318" t="n">
        <f aca="false">U343-T343</f>
        <v>0</v>
      </c>
      <c r="AI343" s="318" t="n">
        <f aca="false">V343-U343</f>
        <v>0</v>
      </c>
      <c r="AJ343" s="318" t="n">
        <f aca="false">W343-V343</f>
        <v>-5605555571</v>
      </c>
      <c r="AK343" s="318" t="n">
        <f aca="false">X343-W343</f>
        <v>0</v>
      </c>
      <c r="AL343" s="318" t="n">
        <f aca="false">Y343-X343</f>
        <v>0</v>
      </c>
      <c r="AM343" s="318" t="n">
        <f aca="false">Z343-Y343</f>
        <v>-11459031242</v>
      </c>
      <c r="AN343" s="318" t="s">
        <v>1726</v>
      </c>
      <c r="AO343" s="318" t="n">
        <f aca="false">AB343-AA343</f>
        <v>0</v>
      </c>
      <c r="AP343" s="318" t="n">
        <f aca="false">AC343-AB343</f>
        <v>0</v>
      </c>
      <c r="AQ343" s="307" t="s">
        <v>2188</v>
      </c>
      <c r="AR343" s="307" t="str">
        <f aca="false">IFERROR(VLOOKUP(M343,'PL_DEC.2026'!$D$11:$D$99,1,FALSE()),"(미존재)")</f>
        <v>잡이익</v>
      </c>
    </row>
    <row r="344" customFormat="false" ht="15" hidden="false" customHeight="false" outlineLevel="0" collapsed="false">
      <c r="A344" s="310" t="s">
        <v>841</v>
      </c>
      <c r="B344" s="307" t="n">
        <v>74259900</v>
      </c>
      <c r="C344" s="307" t="s">
        <v>2189</v>
      </c>
      <c r="D344" s="307" t="s">
        <v>1926</v>
      </c>
      <c r="E344" s="307" t="s">
        <v>1982</v>
      </c>
      <c r="F344" s="307" t="s">
        <v>1983</v>
      </c>
      <c r="G344" s="307" t="s">
        <v>1682</v>
      </c>
      <c r="H344" s="307" t="s">
        <v>1536</v>
      </c>
      <c r="I344" s="307" t="s">
        <v>2190</v>
      </c>
      <c r="K344" s="307" t="s">
        <v>1682</v>
      </c>
      <c r="L344" s="317" t="s">
        <v>920</v>
      </c>
      <c r="M344" s="317" t="s">
        <v>339</v>
      </c>
      <c r="N344" s="317" t="s">
        <v>920</v>
      </c>
      <c r="O344" s="317" t="s">
        <v>920</v>
      </c>
      <c r="P344" s="317" t="s">
        <v>339</v>
      </c>
      <c r="Q344" s="318" t="n">
        <v>-8894303668</v>
      </c>
      <c r="R344" s="318" t="n">
        <v>0</v>
      </c>
      <c r="S344" s="318" t="n">
        <v>0</v>
      </c>
      <c r="T344" s="318" t="n">
        <v>0</v>
      </c>
      <c r="U344" s="318" t="n">
        <v>-599155</v>
      </c>
      <c r="V344" s="318" t="n">
        <v>-599155</v>
      </c>
      <c r="W344" s="318" t="n">
        <v>-599155</v>
      </c>
      <c r="X344" s="318" t="n">
        <v>-1087765</v>
      </c>
      <c r="Y344" s="318" t="n">
        <v>-1087765</v>
      </c>
      <c r="Z344" s="318" t="n">
        <v>-1087765</v>
      </c>
      <c r="AA344" s="318"/>
      <c r="AB344" s="318"/>
      <c r="AC344" s="318"/>
      <c r="AD344" s="318"/>
      <c r="AE344" s="318" t="n">
        <f aca="false">R344</f>
        <v>0</v>
      </c>
      <c r="AF344" s="318" t="n">
        <f aca="false">S344-R344</f>
        <v>0</v>
      </c>
      <c r="AG344" s="318" t="n">
        <f aca="false">T344-S344</f>
        <v>0</v>
      </c>
      <c r="AH344" s="318" t="n">
        <f aca="false">U344-T344</f>
        <v>-599155</v>
      </c>
      <c r="AI344" s="318" t="n">
        <f aca="false">V344-U344</f>
        <v>0</v>
      </c>
      <c r="AJ344" s="318" t="n">
        <f aca="false">W344-V344</f>
        <v>0</v>
      </c>
      <c r="AK344" s="318" t="n">
        <f aca="false">X344-W344</f>
        <v>-488610</v>
      </c>
      <c r="AL344" s="318" t="n">
        <f aca="false">Y344-X344</f>
        <v>0</v>
      </c>
      <c r="AM344" s="318" t="n">
        <f aca="false">Z344-Y344</f>
        <v>0</v>
      </c>
      <c r="AN344" s="318" t="s">
        <v>1726</v>
      </c>
      <c r="AO344" s="318" t="n">
        <f aca="false">AB344-AA344</f>
        <v>0</v>
      </c>
      <c r="AP344" s="318" t="n">
        <f aca="false">AC344-AB344</f>
        <v>0</v>
      </c>
      <c r="AR344" s="307" t="str">
        <f aca="false">IFERROR(VLOOKUP(M344,'PL_DEC.2026'!$D$11:$D$99,1,FALSE()),"(미존재)")</f>
        <v>잡이익</v>
      </c>
    </row>
    <row r="345" customFormat="false" ht="15" hidden="false" customHeight="false" outlineLevel="0" collapsed="false">
      <c r="A345" s="310" t="s">
        <v>841</v>
      </c>
      <c r="B345" s="307" t="n">
        <v>74260000</v>
      </c>
      <c r="C345" s="307" t="s">
        <v>2191</v>
      </c>
      <c r="D345" s="307" t="s">
        <v>1926</v>
      </c>
      <c r="E345" s="307" t="s">
        <v>2126</v>
      </c>
      <c r="F345" s="307" t="s">
        <v>2127</v>
      </c>
      <c r="G345" s="307" t="s">
        <v>1973</v>
      </c>
      <c r="H345" s="307" t="s">
        <v>1536</v>
      </c>
      <c r="I345" s="307" t="s">
        <v>1988</v>
      </c>
      <c r="J345" s="307" t="s">
        <v>1499</v>
      </c>
      <c r="K345" s="307" t="s">
        <v>1989</v>
      </c>
      <c r="L345" s="317" t="s">
        <v>2130</v>
      </c>
      <c r="M345" s="317" t="s">
        <v>360</v>
      </c>
      <c r="N345" s="317" t="s">
        <v>1140</v>
      </c>
      <c r="O345" s="317" t="s">
        <v>1140</v>
      </c>
      <c r="P345" s="317" t="s">
        <v>360</v>
      </c>
      <c r="Q345" s="318" t="n">
        <v>11910</v>
      </c>
      <c r="R345" s="318" t="n">
        <v>12490</v>
      </c>
      <c r="S345" s="318" t="n">
        <v>12490</v>
      </c>
      <c r="T345" s="318" t="n">
        <v>12494</v>
      </c>
      <c r="U345" s="318" t="n">
        <v>12503</v>
      </c>
      <c r="V345" s="318" t="n">
        <v>12503</v>
      </c>
      <c r="W345" s="318" t="n">
        <v>29908</v>
      </c>
      <c r="X345" s="318" t="n">
        <v>29908</v>
      </c>
      <c r="Y345" s="318" t="n">
        <v>30208</v>
      </c>
      <c r="Z345" s="318" t="n">
        <v>30208</v>
      </c>
      <c r="AA345" s="318"/>
      <c r="AB345" s="318"/>
      <c r="AC345" s="318"/>
      <c r="AD345" s="318"/>
      <c r="AE345" s="318" t="n">
        <f aca="false">R345</f>
        <v>12490</v>
      </c>
      <c r="AF345" s="318" t="n">
        <f aca="false">S345-R345</f>
        <v>0</v>
      </c>
      <c r="AG345" s="318" t="n">
        <f aca="false">T345-S345</f>
        <v>4</v>
      </c>
      <c r="AH345" s="318" t="n">
        <f aca="false">U345-T345</f>
        <v>9</v>
      </c>
      <c r="AI345" s="318" t="n">
        <f aca="false">V345-U345</f>
        <v>0</v>
      </c>
      <c r="AJ345" s="318" t="n">
        <f aca="false">W345-V345</f>
        <v>17405</v>
      </c>
      <c r="AK345" s="318" t="n">
        <f aca="false">X345-W345</f>
        <v>0</v>
      </c>
      <c r="AL345" s="318" t="n">
        <f aca="false">Y345-X345</f>
        <v>300</v>
      </c>
      <c r="AM345" s="318" t="n">
        <f aca="false">Z345-Y345</f>
        <v>0</v>
      </c>
      <c r="AN345" s="318" t="s">
        <v>1726</v>
      </c>
      <c r="AO345" s="318" t="n">
        <f aca="false">AB345-AA345</f>
        <v>0</v>
      </c>
      <c r="AP345" s="318" t="n">
        <f aca="false">AC345-AB345</f>
        <v>0</v>
      </c>
      <c r="AR345" s="307" t="str">
        <f aca="false">IFERROR(VLOOKUP(M345,'PL_DEC.2026'!$D$11:$D$99,1,FALSE()),"(미존재)")</f>
        <v>잡손실</v>
      </c>
    </row>
    <row r="346" customFormat="false" ht="15" hidden="false" customHeight="false" outlineLevel="0" collapsed="false">
      <c r="A346" s="310" t="s">
        <v>841</v>
      </c>
      <c r="B346" s="307" t="n">
        <v>74260010</v>
      </c>
      <c r="C346" s="307" t="s">
        <v>2192</v>
      </c>
      <c r="D346" s="307" t="s">
        <v>1926</v>
      </c>
      <c r="E346" s="307" t="s">
        <v>1971</v>
      </c>
      <c r="F346" s="307" t="s">
        <v>1972</v>
      </c>
      <c r="G346" s="307" t="s">
        <v>1992</v>
      </c>
      <c r="H346" s="307" t="s">
        <v>1536</v>
      </c>
      <c r="I346" s="307" t="s">
        <v>1988</v>
      </c>
      <c r="J346" s="307" t="s">
        <v>1499</v>
      </c>
      <c r="K346" s="307" t="s">
        <v>1989</v>
      </c>
      <c r="L346" s="317" t="s">
        <v>1976</v>
      </c>
      <c r="M346" s="317" t="s">
        <v>299</v>
      </c>
      <c r="N346" s="317" t="s">
        <v>1976</v>
      </c>
      <c r="O346" s="317" t="s">
        <v>299</v>
      </c>
      <c r="P346" s="317" t="s">
        <v>299</v>
      </c>
      <c r="Q346" s="318" t="n">
        <v>692328511</v>
      </c>
      <c r="R346" s="318" t="n">
        <v>259839534</v>
      </c>
      <c r="S346" s="318" t="n">
        <v>279486421</v>
      </c>
      <c r="T346" s="318" t="n">
        <v>336388070</v>
      </c>
      <c r="U346" s="318" t="n">
        <v>461394943</v>
      </c>
      <c r="V346" s="318" t="n">
        <v>505957372</v>
      </c>
      <c r="W346" s="318" t="n">
        <v>781555637</v>
      </c>
      <c r="X346" s="318" t="n">
        <v>842414208</v>
      </c>
      <c r="Y346" s="318" t="n">
        <v>895547486</v>
      </c>
      <c r="Z346" s="318" t="n">
        <v>992515326</v>
      </c>
      <c r="AA346" s="318"/>
      <c r="AB346" s="318"/>
      <c r="AC346" s="318"/>
      <c r="AD346" s="318"/>
      <c r="AE346" s="318" t="n">
        <f aca="false">R346</f>
        <v>259839534</v>
      </c>
      <c r="AF346" s="318" t="n">
        <f aca="false">S346-R346</f>
        <v>19646887</v>
      </c>
      <c r="AG346" s="318" t="n">
        <f aca="false">T346-S346</f>
        <v>56901649</v>
      </c>
      <c r="AH346" s="318" t="n">
        <f aca="false">U346-T346</f>
        <v>125006873</v>
      </c>
      <c r="AI346" s="318" t="n">
        <f aca="false">V346-U346</f>
        <v>44562429</v>
      </c>
      <c r="AJ346" s="318" t="n">
        <f aca="false">W346-V346</f>
        <v>275598265</v>
      </c>
      <c r="AK346" s="318" t="n">
        <f aca="false">X346-W346</f>
        <v>60858571</v>
      </c>
      <c r="AL346" s="318" t="n">
        <f aca="false">Y346-X346</f>
        <v>53133278</v>
      </c>
      <c r="AM346" s="318" t="n">
        <f aca="false">Z346-Y346</f>
        <v>96967840</v>
      </c>
      <c r="AN346" s="318" t="s">
        <v>1726</v>
      </c>
      <c r="AO346" s="318" t="n">
        <f aca="false">AB346-AA346</f>
        <v>0</v>
      </c>
      <c r="AP346" s="318" t="n">
        <f aca="false">AC346-AB346</f>
        <v>0</v>
      </c>
      <c r="AR346" s="307" t="str">
        <f aca="false">IFERROR(VLOOKUP(M346,'PL_DEC.2026'!$D$11:$D$99,1,FALSE()),"(미존재)")</f>
        <v>지급수수료</v>
      </c>
    </row>
    <row r="347" customFormat="false" ht="15" hidden="false" customHeight="false" outlineLevel="0" collapsed="false">
      <c r="A347" s="310" t="s">
        <v>841</v>
      </c>
      <c r="B347" s="307" t="n">
        <v>74260023</v>
      </c>
      <c r="C347" s="307" t="s">
        <v>2193</v>
      </c>
      <c r="D347" s="307" t="s">
        <v>1926</v>
      </c>
      <c r="E347" s="307" t="s">
        <v>2126</v>
      </c>
      <c r="F347" s="307" t="s">
        <v>2127</v>
      </c>
      <c r="G347" s="307" t="s">
        <v>1973</v>
      </c>
      <c r="H347" s="307" t="s">
        <v>1536</v>
      </c>
      <c r="I347" s="307" t="s">
        <v>2194</v>
      </c>
      <c r="K347" s="307" t="s">
        <v>2195</v>
      </c>
      <c r="L347" s="317" t="s">
        <v>2130</v>
      </c>
      <c r="M347" s="317" t="s">
        <v>360</v>
      </c>
      <c r="N347" s="317" t="s">
        <v>1140</v>
      </c>
      <c r="O347" s="317" t="s">
        <v>1140</v>
      </c>
      <c r="P347" s="317" t="s">
        <v>360</v>
      </c>
      <c r="Q347" s="318" t="n">
        <v>0</v>
      </c>
      <c r="R347" s="318" t="n">
        <v>0</v>
      </c>
      <c r="S347" s="318" t="n">
        <v>0</v>
      </c>
      <c r="T347" s="318" t="n">
        <v>0</v>
      </c>
      <c r="U347" s="318" t="n">
        <v>0</v>
      </c>
      <c r="V347" s="318" t="n">
        <v>0</v>
      </c>
      <c r="W347" s="318" t="n">
        <v>0</v>
      </c>
      <c r="X347" s="318" t="n">
        <v>0</v>
      </c>
      <c r="Y347" s="318" t="n">
        <v>0</v>
      </c>
      <c r="Z347" s="318" t="n">
        <v>0</v>
      </c>
      <c r="AA347" s="318"/>
      <c r="AB347" s="318"/>
      <c r="AC347" s="318"/>
      <c r="AD347" s="318"/>
      <c r="AE347" s="318" t="n">
        <f aca="false">R347</f>
        <v>0</v>
      </c>
      <c r="AF347" s="318" t="n">
        <f aca="false">S347-R347</f>
        <v>0</v>
      </c>
      <c r="AG347" s="318" t="n">
        <f aca="false">T347-S347</f>
        <v>0</v>
      </c>
      <c r="AH347" s="318" t="n">
        <f aca="false">U347-T347</f>
        <v>0</v>
      </c>
      <c r="AI347" s="318" t="n">
        <f aca="false">V347-U347</f>
        <v>0</v>
      </c>
      <c r="AJ347" s="318" t="n">
        <f aca="false">W347-V347</f>
        <v>0</v>
      </c>
      <c r="AK347" s="318" t="n">
        <f aca="false">X347-W347</f>
        <v>0</v>
      </c>
      <c r="AL347" s="318" t="n">
        <f aca="false">Y347-X347</f>
        <v>0</v>
      </c>
      <c r="AM347" s="318" t="n">
        <f aca="false">Z347-Y347</f>
        <v>0</v>
      </c>
      <c r="AN347" s="318" t="s">
        <v>1726</v>
      </c>
      <c r="AO347" s="318" t="n">
        <f aca="false">AB347-AA347</f>
        <v>0</v>
      </c>
      <c r="AP347" s="318" t="n">
        <f aca="false">AC347-AB347</f>
        <v>0</v>
      </c>
      <c r="AR347" s="307" t="str">
        <f aca="false">IFERROR(VLOOKUP(M347,'PL_DEC.2026'!$D$11:$D$99,1,FALSE()),"(미존재)")</f>
        <v>잡손실</v>
      </c>
    </row>
    <row r="348" customFormat="false" ht="15" hidden="false" customHeight="false" outlineLevel="0" collapsed="false">
      <c r="A348" s="310" t="s">
        <v>841</v>
      </c>
      <c r="B348" s="307" t="n">
        <v>74260024</v>
      </c>
      <c r="C348" s="307" t="s">
        <v>2196</v>
      </c>
      <c r="D348" s="307" t="s">
        <v>1926</v>
      </c>
      <c r="E348" s="307" t="s">
        <v>2126</v>
      </c>
      <c r="F348" s="307" t="s">
        <v>2127</v>
      </c>
      <c r="G348" s="307" t="s">
        <v>1973</v>
      </c>
      <c r="H348" s="307" t="s">
        <v>1536</v>
      </c>
      <c r="I348" s="307" t="s">
        <v>2197</v>
      </c>
      <c r="K348" s="307" t="s">
        <v>2198</v>
      </c>
      <c r="L348" s="317" t="s">
        <v>2130</v>
      </c>
      <c r="M348" s="317" t="s">
        <v>360</v>
      </c>
      <c r="N348" s="317" t="s">
        <v>1140</v>
      </c>
      <c r="O348" s="317" t="s">
        <v>1140</v>
      </c>
      <c r="P348" s="317" t="s">
        <v>360</v>
      </c>
      <c r="Q348" s="318" t="n">
        <v>0</v>
      </c>
      <c r="R348" s="318" t="n">
        <v>0</v>
      </c>
      <c r="S348" s="318" t="n">
        <v>-2615663000</v>
      </c>
      <c r="T348" s="318" t="n">
        <v>-2615663000</v>
      </c>
      <c r="U348" s="318" t="n">
        <v>-2615663000</v>
      </c>
      <c r="V348" s="318" t="n">
        <v>-2615663000</v>
      </c>
      <c r="W348" s="318" t="n">
        <v>-2615663000</v>
      </c>
      <c r="X348" s="318" t="n">
        <v>-2615663000</v>
      </c>
      <c r="Y348" s="318" t="n">
        <v>-2615663000</v>
      </c>
      <c r="Z348" s="318" t="n">
        <v>-2615663000</v>
      </c>
      <c r="AA348" s="318"/>
      <c r="AB348" s="318"/>
      <c r="AC348" s="318"/>
      <c r="AD348" s="318"/>
      <c r="AE348" s="318" t="n">
        <f aca="false">R348</f>
        <v>0</v>
      </c>
      <c r="AF348" s="318" t="n">
        <f aca="false">S348-R348</f>
        <v>-2615663000</v>
      </c>
      <c r="AG348" s="318" t="n">
        <f aca="false">T348-S348</f>
        <v>0</v>
      </c>
      <c r="AH348" s="318" t="n">
        <f aca="false">U348-T348</f>
        <v>0</v>
      </c>
      <c r="AI348" s="318" t="n">
        <f aca="false">V348-U348</f>
        <v>0</v>
      </c>
      <c r="AJ348" s="318" t="n">
        <f aca="false">W348-V348</f>
        <v>0</v>
      </c>
      <c r="AK348" s="318" t="n">
        <f aca="false">X348-W348</f>
        <v>0</v>
      </c>
      <c r="AL348" s="318" t="n">
        <f aca="false">Y348-X348</f>
        <v>0</v>
      </c>
      <c r="AM348" s="318" t="n">
        <f aca="false">Z348-Y348</f>
        <v>0</v>
      </c>
      <c r="AN348" s="318" t="s">
        <v>1726</v>
      </c>
      <c r="AO348" s="318" t="n">
        <f aca="false">AB348-AA348</f>
        <v>0</v>
      </c>
      <c r="AP348" s="318" t="n">
        <f aca="false">AC348-AB348</f>
        <v>0</v>
      </c>
      <c r="AQ348" s="307" t="s">
        <v>2199</v>
      </c>
      <c r="AR348" s="307" t="str">
        <f aca="false">IFERROR(VLOOKUP(M348,'PL_DEC.2026'!$D$11:$D$99,1,FALSE()),"(미존재)")</f>
        <v>잡손실</v>
      </c>
    </row>
    <row r="349" customFormat="false" ht="15" hidden="false" customHeight="false" outlineLevel="0" collapsed="false">
      <c r="A349" s="310" t="s">
        <v>841</v>
      </c>
      <c r="B349" s="307" t="n">
        <v>74260026</v>
      </c>
      <c r="C349" s="307" t="s">
        <v>2200</v>
      </c>
      <c r="D349" s="307" t="s">
        <v>1926</v>
      </c>
      <c r="E349" s="307" t="s">
        <v>2126</v>
      </c>
      <c r="F349" s="307" t="s">
        <v>2127</v>
      </c>
      <c r="G349" s="307" t="s">
        <v>1929</v>
      </c>
      <c r="H349" s="307" t="s">
        <v>1536</v>
      </c>
      <c r="I349" s="307" t="s">
        <v>2201</v>
      </c>
      <c r="K349" s="307" t="s">
        <v>2202</v>
      </c>
      <c r="L349" s="317" t="s">
        <v>2130</v>
      </c>
      <c r="M349" s="317" t="s">
        <v>360</v>
      </c>
      <c r="N349" s="317" t="s">
        <v>1140</v>
      </c>
      <c r="O349" s="317" t="s">
        <v>1140</v>
      </c>
      <c r="P349" s="317" t="s">
        <v>360</v>
      </c>
      <c r="Q349" s="318" t="n">
        <v>-2207843000</v>
      </c>
      <c r="R349" s="318" t="n">
        <v>0</v>
      </c>
      <c r="S349" s="318" t="n">
        <v>3023706000</v>
      </c>
      <c r="T349" s="318" t="n">
        <v>3023706000</v>
      </c>
      <c r="U349" s="318" t="n">
        <v>3023706000</v>
      </c>
      <c r="V349" s="318" t="n">
        <v>3023706000</v>
      </c>
      <c r="W349" s="318" t="n">
        <v>3023706000</v>
      </c>
      <c r="X349" s="318" t="n">
        <v>3023706000</v>
      </c>
      <c r="Y349" s="318" t="n">
        <v>3023706000</v>
      </c>
      <c r="Z349" s="318" t="n">
        <v>3023706000</v>
      </c>
      <c r="AA349" s="318"/>
      <c r="AB349" s="318"/>
      <c r="AC349" s="318"/>
      <c r="AD349" s="318"/>
      <c r="AE349" s="318" t="n">
        <f aca="false">R349</f>
        <v>0</v>
      </c>
      <c r="AF349" s="318" t="n">
        <f aca="false">S349-R349</f>
        <v>3023706000</v>
      </c>
      <c r="AG349" s="318" t="n">
        <f aca="false">T349-S349</f>
        <v>0</v>
      </c>
      <c r="AH349" s="318" t="n">
        <f aca="false">U349-T349</f>
        <v>0</v>
      </c>
      <c r="AI349" s="318" t="n">
        <f aca="false">V349-U349</f>
        <v>0</v>
      </c>
      <c r="AJ349" s="318" t="n">
        <f aca="false">W349-V349</f>
        <v>0</v>
      </c>
      <c r="AK349" s="318" t="n">
        <f aca="false">X349-W349</f>
        <v>0</v>
      </c>
      <c r="AL349" s="318" t="n">
        <f aca="false">Y349-X349</f>
        <v>0</v>
      </c>
      <c r="AM349" s="318" t="n">
        <f aca="false">Z349-Y349</f>
        <v>0</v>
      </c>
      <c r="AN349" s="318" t="s">
        <v>1726</v>
      </c>
      <c r="AO349" s="318" t="n">
        <f aca="false">AB349-AA349</f>
        <v>0</v>
      </c>
      <c r="AP349" s="318" t="n">
        <f aca="false">AC349-AB349</f>
        <v>0</v>
      </c>
      <c r="AR349" s="307" t="str">
        <f aca="false">IFERROR(VLOOKUP(M349,'PL_DEC.2026'!$D$11:$D$99,1,FALSE()),"(미존재)")</f>
        <v>잡손실</v>
      </c>
    </row>
    <row r="350" customFormat="false" ht="15" hidden="false" customHeight="false" outlineLevel="0" collapsed="false">
      <c r="A350" s="310" t="s">
        <v>841</v>
      </c>
      <c r="B350" s="307" t="n">
        <v>74260030</v>
      </c>
      <c r="C350" s="307" t="s">
        <v>2203</v>
      </c>
      <c r="D350" s="307" t="s">
        <v>1926</v>
      </c>
      <c r="E350" s="307" t="s">
        <v>2126</v>
      </c>
      <c r="F350" s="307" t="s">
        <v>2127</v>
      </c>
      <c r="G350" s="307" t="s">
        <v>1929</v>
      </c>
      <c r="H350" s="307" t="s">
        <v>1536</v>
      </c>
      <c r="I350" s="307" t="s">
        <v>2204</v>
      </c>
      <c r="K350" s="307" t="s">
        <v>1228</v>
      </c>
      <c r="L350" s="317" t="s">
        <v>1976</v>
      </c>
      <c r="M350" s="317" t="s">
        <v>299</v>
      </c>
      <c r="N350" s="317" t="s">
        <v>1140</v>
      </c>
      <c r="O350" s="317" t="s">
        <v>1140</v>
      </c>
      <c r="P350" s="317" t="s">
        <v>360</v>
      </c>
      <c r="Q350" s="318" t="n">
        <v>2686373320</v>
      </c>
      <c r="R350" s="318" t="n">
        <v>95986737</v>
      </c>
      <c r="S350" s="318" t="n">
        <v>222478591</v>
      </c>
      <c r="T350" s="318" t="n">
        <v>473814498</v>
      </c>
      <c r="U350" s="318" t="n">
        <v>965258263</v>
      </c>
      <c r="V350" s="318" t="n">
        <v>1036474253</v>
      </c>
      <c r="W350" s="318" t="n">
        <v>1093804553</v>
      </c>
      <c r="X350" s="318" t="n">
        <v>1452532749</v>
      </c>
      <c r="Y350" s="318" t="n">
        <v>1452532749</v>
      </c>
      <c r="Z350" s="318" t="n">
        <v>1443862856</v>
      </c>
      <c r="AA350" s="318"/>
      <c r="AB350" s="318"/>
      <c r="AC350" s="318"/>
      <c r="AD350" s="318"/>
      <c r="AE350" s="318" t="n">
        <f aca="false">R350</f>
        <v>95986737</v>
      </c>
      <c r="AF350" s="318" t="n">
        <f aca="false">S350-R350</f>
        <v>126491854</v>
      </c>
      <c r="AG350" s="318" t="n">
        <f aca="false">T350-S350</f>
        <v>251335907</v>
      </c>
      <c r="AH350" s="318" t="n">
        <f aca="false">U350-T350</f>
        <v>491443765</v>
      </c>
      <c r="AI350" s="318" t="n">
        <f aca="false">V350-U350</f>
        <v>71215990</v>
      </c>
      <c r="AJ350" s="318" t="n">
        <f aca="false">W350-V350</f>
        <v>57330300</v>
      </c>
      <c r="AK350" s="318" t="n">
        <f aca="false">X350-W350</f>
        <v>358728196</v>
      </c>
      <c r="AL350" s="318" t="n">
        <f aca="false">Y350-X350</f>
        <v>0</v>
      </c>
      <c r="AM350" s="318" t="n">
        <f aca="false">Z350-Y350</f>
        <v>-8669893</v>
      </c>
      <c r="AN350" s="318" t="s">
        <v>1726</v>
      </c>
      <c r="AO350" s="318" t="n">
        <f aca="false">AB350-AA350</f>
        <v>0</v>
      </c>
      <c r="AP350" s="318" t="n">
        <f aca="false">AC350-AB350</f>
        <v>0</v>
      </c>
      <c r="AR350" s="307" t="str">
        <f aca="false">IFERROR(VLOOKUP(M350,'PL_DEC.2026'!$D$11:$D$99,1,FALSE()),"(미존재)")</f>
        <v>지급수수료</v>
      </c>
    </row>
    <row r="351" customFormat="false" ht="15" hidden="false" customHeight="false" outlineLevel="0" collapsed="false">
      <c r="A351" s="310" t="s">
        <v>841</v>
      </c>
      <c r="B351" s="307" t="n">
        <v>75000850</v>
      </c>
      <c r="C351" s="307" t="s">
        <v>2205</v>
      </c>
      <c r="D351" s="307" t="s">
        <v>1926</v>
      </c>
      <c r="E351" s="307" t="s">
        <v>2126</v>
      </c>
      <c r="F351" s="307" t="s">
        <v>2206</v>
      </c>
      <c r="G351" s="307" t="s">
        <v>1992</v>
      </c>
      <c r="H351" s="307" t="s">
        <v>1536</v>
      </c>
      <c r="I351" s="307" t="s">
        <v>2207</v>
      </c>
      <c r="K351" s="307" t="s">
        <v>2208</v>
      </c>
      <c r="L351" s="317" t="s">
        <v>2130</v>
      </c>
      <c r="M351" s="317" t="s">
        <v>345</v>
      </c>
      <c r="N351" s="317" t="s">
        <v>1140</v>
      </c>
      <c r="O351" s="317" t="s">
        <v>1140</v>
      </c>
      <c r="P351" s="317" t="s">
        <v>345</v>
      </c>
      <c r="Q351" s="318" t="n">
        <v>78151752</v>
      </c>
      <c r="R351" s="318" t="n">
        <v>8802516</v>
      </c>
      <c r="S351" s="318" t="n">
        <v>10037067</v>
      </c>
      <c r="T351" s="318" t="n">
        <v>10037067</v>
      </c>
      <c r="U351" s="318" t="n">
        <v>32738444</v>
      </c>
      <c r="V351" s="318" t="n">
        <v>53631830</v>
      </c>
      <c r="W351" s="318" t="n">
        <v>64601814</v>
      </c>
      <c r="X351" s="318" t="n">
        <v>102140899</v>
      </c>
      <c r="Y351" s="318" t="n">
        <v>128398861</v>
      </c>
      <c r="Z351" s="318" t="n">
        <v>143028569</v>
      </c>
      <c r="AA351" s="318"/>
      <c r="AB351" s="318"/>
      <c r="AC351" s="318"/>
      <c r="AD351" s="318"/>
      <c r="AE351" s="318" t="n">
        <f aca="false">R351</f>
        <v>8802516</v>
      </c>
      <c r="AF351" s="318" t="n">
        <f aca="false">S351-R351</f>
        <v>1234551</v>
      </c>
      <c r="AG351" s="318" t="n">
        <f aca="false">T351-S351</f>
        <v>0</v>
      </c>
      <c r="AH351" s="318" t="n">
        <f aca="false">U351-T351</f>
        <v>22701377</v>
      </c>
      <c r="AI351" s="318" t="n">
        <f aca="false">V351-U351</f>
        <v>20893386</v>
      </c>
      <c r="AJ351" s="318" t="n">
        <f aca="false">W351-V351</f>
        <v>10969984</v>
      </c>
      <c r="AK351" s="318" t="n">
        <f aca="false">X351-W351</f>
        <v>37539085</v>
      </c>
      <c r="AL351" s="318" t="n">
        <f aca="false">Y351-X351</f>
        <v>26257962</v>
      </c>
      <c r="AM351" s="318" t="n">
        <f aca="false">Z351-Y351</f>
        <v>14629708</v>
      </c>
      <c r="AN351" s="318" t="s">
        <v>1726</v>
      </c>
      <c r="AO351" s="318" t="n">
        <f aca="false">AB351-AA351</f>
        <v>0</v>
      </c>
      <c r="AP351" s="318" t="n">
        <f aca="false">AC351-AB351</f>
        <v>0</v>
      </c>
      <c r="AR351" s="307" t="str">
        <f aca="false">IFERROR(VLOOKUP(M351,'PL_DEC.2026'!$D$11:$D$99,1,FALSE()),"(미존재)")</f>
        <v>이자비용</v>
      </c>
    </row>
    <row r="352" customFormat="false" ht="15" hidden="false" customHeight="false" outlineLevel="0" collapsed="false">
      <c r="A352" s="310" t="s">
        <v>841</v>
      </c>
      <c r="B352" s="307" t="n">
        <v>75001500</v>
      </c>
      <c r="C352" s="307" t="s">
        <v>2209</v>
      </c>
      <c r="D352" s="307" t="s">
        <v>1926</v>
      </c>
      <c r="E352" s="307" t="s">
        <v>1982</v>
      </c>
      <c r="F352" s="307" t="s">
        <v>1983</v>
      </c>
      <c r="G352" s="307" t="s">
        <v>1992</v>
      </c>
      <c r="H352" s="307" t="s">
        <v>1536</v>
      </c>
      <c r="I352" s="307" t="s">
        <v>2210</v>
      </c>
      <c r="K352" s="307" t="s">
        <v>2211</v>
      </c>
      <c r="L352" s="317" t="s">
        <v>2130</v>
      </c>
      <c r="M352" s="317" t="s">
        <v>345</v>
      </c>
      <c r="N352" s="317" t="s">
        <v>920</v>
      </c>
      <c r="O352" s="317" t="s">
        <v>920</v>
      </c>
      <c r="P352" s="317" t="s">
        <v>339</v>
      </c>
      <c r="Q352" s="318" t="n">
        <v>14650247</v>
      </c>
      <c r="R352" s="318" t="n">
        <v>1231726</v>
      </c>
      <c r="S352" s="318" t="n">
        <v>2465136</v>
      </c>
      <c r="T352" s="318" t="n">
        <v>3700231</v>
      </c>
      <c r="U352" s="318" t="n">
        <v>4937014</v>
      </c>
      <c r="V352" s="318" t="n">
        <v>6175488</v>
      </c>
      <c r="W352" s="318" t="n">
        <v>7415654</v>
      </c>
      <c r="X352" s="318" t="n">
        <v>8657515</v>
      </c>
      <c r="Y352" s="318" t="n">
        <v>8657515</v>
      </c>
      <c r="Z352" s="318" t="n">
        <v>11146331</v>
      </c>
      <c r="AA352" s="318"/>
      <c r="AB352" s="318"/>
      <c r="AC352" s="318"/>
      <c r="AD352" s="318"/>
      <c r="AE352" s="318" t="n">
        <f aca="false">R352</f>
        <v>1231726</v>
      </c>
      <c r="AF352" s="318" t="n">
        <f aca="false">S352-R352</f>
        <v>1233410</v>
      </c>
      <c r="AG352" s="318" t="n">
        <f aca="false">T352-S352</f>
        <v>1235095</v>
      </c>
      <c r="AH352" s="318" t="n">
        <f aca="false">U352-T352</f>
        <v>1236783</v>
      </c>
      <c r="AI352" s="318" t="n">
        <f aca="false">V352-U352</f>
        <v>1238474</v>
      </c>
      <c r="AJ352" s="318" t="n">
        <f aca="false">W352-V352</f>
        <v>1240166</v>
      </c>
      <c r="AK352" s="318" t="n">
        <f aca="false">X352-W352</f>
        <v>1241861</v>
      </c>
      <c r="AL352" s="318" t="n">
        <f aca="false">Y352-X352</f>
        <v>0</v>
      </c>
      <c r="AM352" s="318" t="n">
        <f aca="false">Z352-Y352</f>
        <v>2488816</v>
      </c>
      <c r="AN352" s="318" t="s">
        <v>1726</v>
      </c>
      <c r="AO352" s="318" t="n">
        <f aca="false">AB352-AA352</f>
        <v>0</v>
      </c>
      <c r="AP352" s="318" t="n">
        <f aca="false">AC352-AB352</f>
        <v>0</v>
      </c>
      <c r="AR352" s="307" t="str">
        <f aca="false">IFERROR(VLOOKUP(M352,'PL_DEC.2026'!$D$11:$D$99,1,FALSE()),"(미존재)")</f>
        <v>이자비용</v>
      </c>
    </row>
    <row r="353" customFormat="false" ht="15" hidden="false" customHeight="false" outlineLevel="0" collapsed="false">
      <c r="A353" s="310" t="s">
        <v>841</v>
      </c>
      <c r="B353" s="307" t="n">
        <v>75250110</v>
      </c>
      <c r="C353" s="307" t="s">
        <v>2212</v>
      </c>
      <c r="D353" s="307" t="s">
        <v>1926</v>
      </c>
      <c r="E353" s="307" t="s">
        <v>1982</v>
      </c>
      <c r="F353" s="307" t="s">
        <v>1983</v>
      </c>
      <c r="G353" s="307" t="s">
        <v>1992</v>
      </c>
      <c r="H353" s="307" t="s">
        <v>1536</v>
      </c>
      <c r="I353" s="307" t="s">
        <v>2213</v>
      </c>
      <c r="K353" s="307" t="s">
        <v>1389</v>
      </c>
      <c r="L353" s="317" t="s">
        <v>2130</v>
      </c>
      <c r="M353" s="317" t="s">
        <v>345</v>
      </c>
      <c r="N353" s="317" t="s">
        <v>920</v>
      </c>
      <c r="O353" s="317" t="s">
        <v>920</v>
      </c>
      <c r="P353" s="317" t="s">
        <v>339</v>
      </c>
      <c r="Q353" s="318" t="n">
        <v>27709972</v>
      </c>
      <c r="R353" s="318" t="n">
        <v>1315952</v>
      </c>
      <c r="S353" s="318" t="n">
        <v>2633787</v>
      </c>
      <c r="T353" s="318" t="n">
        <v>3953507</v>
      </c>
      <c r="U353" s="318" t="n">
        <v>5109086</v>
      </c>
      <c r="V353" s="318" t="n">
        <v>6100289</v>
      </c>
      <c r="W353" s="318" t="n">
        <v>6926881</v>
      </c>
      <c r="X353" s="318" t="n">
        <v>7588627</v>
      </c>
      <c r="Y353" s="318" t="n">
        <v>8085291</v>
      </c>
      <c r="Z353" s="318" t="n">
        <v>8416637</v>
      </c>
      <c r="AA353" s="318"/>
      <c r="AB353" s="318"/>
      <c r="AC353" s="318"/>
      <c r="AD353" s="318"/>
      <c r="AE353" s="318" t="n">
        <f aca="false">R353</f>
        <v>1315952</v>
      </c>
      <c r="AF353" s="318" t="n">
        <f aca="false">S353-R353</f>
        <v>1317835</v>
      </c>
      <c r="AG353" s="318" t="n">
        <f aca="false">T353-S353</f>
        <v>1319720</v>
      </c>
      <c r="AH353" s="318" t="n">
        <f aca="false">U353-T353</f>
        <v>1155579</v>
      </c>
      <c r="AI353" s="318" t="n">
        <f aca="false">V353-U353</f>
        <v>991203</v>
      </c>
      <c r="AJ353" s="318" t="n">
        <f aca="false">W353-V353</f>
        <v>826592</v>
      </c>
      <c r="AK353" s="318" t="n">
        <f aca="false">X353-W353</f>
        <v>661746</v>
      </c>
      <c r="AL353" s="318" t="n">
        <f aca="false">Y353-X353</f>
        <v>496664</v>
      </c>
      <c r="AM353" s="318" t="n">
        <f aca="false">Z353-Y353</f>
        <v>331346</v>
      </c>
      <c r="AN353" s="318" t="s">
        <v>1726</v>
      </c>
      <c r="AO353" s="318" t="n">
        <f aca="false">AB353-AA353</f>
        <v>0</v>
      </c>
      <c r="AP353" s="318" t="n">
        <f aca="false">AC353-AB353</f>
        <v>0</v>
      </c>
      <c r="AR353" s="307" t="str">
        <f aca="false">IFERROR(VLOOKUP(M353,'PL_DEC.2026'!$D$11:$D$99,1,FALSE()),"(미존재)")</f>
        <v>이자비용</v>
      </c>
    </row>
    <row r="354" customFormat="false" ht="15" hidden="false" customHeight="false" outlineLevel="0" collapsed="false">
      <c r="A354" s="310" t="s">
        <v>841</v>
      </c>
      <c r="B354" s="307" t="n">
        <v>75300850</v>
      </c>
      <c r="C354" s="307" t="s">
        <v>2214</v>
      </c>
      <c r="D354" s="307" t="s">
        <v>1926</v>
      </c>
      <c r="E354" s="307" t="s">
        <v>1982</v>
      </c>
      <c r="F354" s="307" t="s">
        <v>2215</v>
      </c>
      <c r="G354" s="307" t="s">
        <v>1992</v>
      </c>
      <c r="H354" s="307" t="s">
        <v>1536</v>
      </c>
      <c r="I354" s="307" t="s">
        <v>2216</v>
      </c>
      <c r="K354" s="307" t="s">
        <v>2217</v>
      </c>
      <c r="L354" s="317" t="s">
        <v>920</v>
      </c>
      <c r="M354" s="317" t="s">
        <v>329</v>
      </c>
      <c r="N354" s="317" t="s">
        <v>920</v>
      </c>
      <c r="O354" s="317" t="s">
        <v>920</v>
      </c>
      <c r="P354" s="317" t="s">
        <v>329</v>
      </c>
      <c r="Q354" s="318" t="n">
        <v>-219671928</v>
      </c>
      <c r="R354" s="318" t="n">
        <v>-8222744</v>
      </c>
      <c r="S354" s="318" t="n">
        <v>-52264094</v>
      </c>
      <c r="T354" s="318" t="n">
        <v>-109549194</v>
      </c>
      <c r="U354" s="318" t="n">
        <v>-142577964</v>
      </c>
      <c r="V354" s="318" t="n">
        <v>-149295165</v>
      </c>
      <c r="W354" s="318" t="n">
        <v>-173343911</v>
      </c>
      <c r="X354" s="318" t="n">
        <v>-176772027</v>
      </c>
      <c r="Y354" s="318" t="n">
        <v>-184325281</v>
      </c>
      <c r="Z354" s="318" t="n">
        <v>-191454870</v>
      </c>
      <c r="AA354" s="318"/>
      <c r="AB354" s="318"/>
      <c r="AC354" s="318"/>
      <c r="AD354" s="318"/>
      <c r="AE354" s="318" t="n">
        <f aca="false">R354</f>
        <v>-8222744</v>
      </c>
      <c r="AF354" s="318" t="n">
        <f aca="false">S354-R354</f>
        <v>-44041350</v>
      </c>
      <c r="AG354" s="318" t="n">
        <f aca="false">T354-S354</f>
        <v>-57285100</v>
      </c>
      <c r="AH354" s="318" t="n">
        <f aca="false">U354-T354</f>
        <v>-33028770</v>
      </c>
      <c r="AI354" s="318" t="n">
        <f aca="false">V354-U354</f>
        <v>-6717201</v>
      </c>
      <c r="AJ354" s="318" t="n">
        <f aca="false">W354-V354</f>
        <v>-24048746</v>
      </c>
      <c r="AK354" s="318" t="n">
        <f aca="false">X354-W354</f>
        <v>-3428116</v>
      </c>
      <c r="AL354" s="318" t="n">
        <f aca="false">Y354-X354</f>
        <v>-7553254</v>
      </c>
      <c r="AM354" s="318" t="n">
        <f aca="false">Z354-Y354</f>
        <v>-7129589</v>
      </c>
      <c r="AN354" s="318" t="s">
        <v>1726</v>
      </c>
      <c r="AO354" s="318" t="n">
        <f aca="false">AB354-AA354</f>
        <v>0</v>
      </c>
      <c r="AP354" s="318" t="n">
        <f aca="false">AC354-AB354</f>
        <v>0</v>
      </c>
      <c r="AR354" s="307" t="str">
        <f aca="false">IFERROR(VLOOKUP(M354,'PL_DEC.2026'!$D$11:$D$99,1,FALSE()),"(미존재)")</f>
        <v>이자수익</v>
      </c>
    </row>
    <row r="355" customFormat="false" ht="15" hidden="false" customHeight="false" outlineLevel="0" collapsed="false">
      <c r="A355" s="310" t="s">
        <v>841</v>
      </c>
      <c r="B355" s="307" t="n">
        <v>75500000</v>
      </c>
      <c r="C355" s="307" t="s">
        <v>2218</v>
      </c>
      <c r="D355" s="307" t="s">
        <v>1926</v>
      </c>
      <c r="E355" s="307" t="s">
        <v>1982</v>
      </c>
      <c r="F355" s="307" t="s">
        <v>2215</v>
      </c>
      <c r="G355" s="307" t="s">
        <v>1992</v>
      </c>
      <c r="H355" s="307" t="s">
        <v>1536</v>
      </c>
      <c r="I355" s="307" t="s">
        <v>2216</v>
      </c>
      <c r="K355" s="307" t="s">
        <v>2217</v>
      </c>
      <c r="L355" s="317" t="s">
        <v>920</v>
      </c>
      <c r="M355" s="317" t="s">
        <v>329</v>
      </c>
      <c r="N355" s="317" t="s">
        <v>920</v>
      </c>
      <c r="O355" s="317" t="s">
        <v>920</v>
      </c>
      <c r="P355" s="317" t="s">
        <v>329</v>
      </c>
      <c r="Q355" s="318" t="n">
        <v>-18769094</v>
      </c>
      <c r="R355" s="318" t="n">
        <v>0</v>
      </c>
      <c r="S355" s="318" t="n">
        <v>0</v>
      </c>
      <c r="T355" s="318" t="n">
        <v>-3239144</v>
      </c>
      <c r="U355" s="318" t="n">
        <v>-3239144</v>
      </c>
      <c r="V355" s="318" t="n">
        <v>-3239144</v>
      </c>
      <c r="W355" s="318" t="n">
        <v>-6477998</v>
      </c>
      <c r="X355" s="318" t="n">
        <v>-6477998</v>
      </c>
      <c r="Y355" s="318" t="n">
        <v>-6477998</v>
      </c>
      <c r="Z355" s="318" t="n">
        <v>-9771588</v>
      </c>
      <c r="AA355" s="318"/>
      <c r="AB355" s="318"/>
      <c r="AC355" s="318"/>
      <c r="AD355" s="318"/>
      <c r="AE355" s="318" t="n">
        <f aca="false">R355</f>
        <v>0</v>
      </c>
      <c r="AF355" s="318" t="n">
        <f aca="false">S355-R355</f>
        <v>0</v>
      </c>
      <c r="AG355" s="318" t="n">
        <f aca="false">T355-S355</f>
        <v>-3239144</v>
      </c>
      <c r="AH355" s="318" t="n">
        <f aca="false">U355-T355</f>
        <v>0</v>
      </c>
      <c r="AI355" s="318" t="n">
        <f aca="false">V355-U355</f>
        <v>0</v>
      </c>
      <c r="AJ355" s="318" t="n">
        <f aca="false">W355-V355</f>
        <v>-3238854</v>
      </c>
      <c r="AK355" s="318" t="n">
        <f aca="false">X355-W355</f>
        <v>0</v>
      </c>
      <c r="AL355" s="318" t="n">
        <f aca="false">Y355-X355</f>
        <v>0</v>
      </c>
      <c r="AM355" s="318" t="n">
        <f aca="false">Z355-Y355</f>
        <v>-3293590</v>
      </c>
      <c r="AN355" s="318" t="s">
        <v>1726</v>
      </c>
      <c r="AO355" s="318" t="n">
        <f aca="false">AB355-AA355</f>
        <v>0</v>
      </c>
      <c r="AP355" s="318" t="n">
        <f aca="false">AC355-AB355</f>
        <v>0</v>
      </c>
      <c r="AR355" s="307" t="str">
        <f aca="false">IFERROR(VLOOKUP(M355,'PL_DEC.2026'!$D$11:$D$99,1,FALSE()),"(미존재)")</f>
        <v>이자수익</v>
      </c>
    </row>
    <row r="356" customFormat="false" ht="15" hidden="false" customHeight="false" outlineLevel="0" collapsed="false">
      <c r="A356" s="310" t="s">
        <v>841</v>
      </c>
      <c r="B356" s="307" t="n">
        <v>77000851</v>
      </c>
      <c r="C356" s="307" t="s">
        <v>2219</v>
      </c>
      <c r="D356" s="307" t="s">
        <v>1926</v>
      </c>
      <c r="E356" s="307" t="s">
        <v>1982</v>
      </c>
      <c r="F356" s="307" t="s">
        <v>2220</v>
      </c>
      <c r="G356" s="307" t="s">
        <v>1793</v>
      </c>
      <c r="H356" s="307" t="s">
        <v>1536</v>
      </c>
      <c r="I356" s="307" t="s">
        <v>2221</v>
      </c>
      <c r="K356" s="307" t="s">
        <v>1682</v>
      </c>
      <c r="L356" s="317" t="s">
        <v>2130</v>
      </c>
      <c r="M356" s="317" t="s">
        <v>332</v>
      </c>
      <c r="N356" s="317" t="s">
        <v>920</v>
      </c>
      <c r="O356" s="317" t="s">
        <v>920</v>
      </c>
      <c r="P356" s="317" t="s">
        <v>2222</v>
      </c>
      <c r="Q356" s="318" t="n">
        <v>-7432120758</v>
      </c>
      <c r="R356" s="318" t="n">
        <v>0</v>
      </c>
      <c r="S356" s="318" t="n">
        <v>0</v>
      </c>
      <c r="T356" s="318" t="n">
        <v>0</v>
      </c>
      <c r="U356" s="318" t="n">
        <v>0</v>
      </c>
      <c r="V356" s="318" t="n">
        <v>0</v>
      </c>
      <c r="W356" s="318" t="n">
        <v>0</v>
      </c>
      <c r="X356" s="318" t="n">
        <v>0</v>
      </c>
      <c r="Y356" s="318" t="n">
        <v>0</v>
      </c>
      <c r="Z356" s="318" t="n">
        <v>0</v>
      </c>
      <c r="AA356" s="318"/>
      <c r="AB356" s="318"/>
      <c r="AC356" s="318"/>
      <c r="AD356" s="318"/>
      <c r="AE356" s="318" t="n">
        <f aca="false">R356</f>
        <v>0</v>
      </c>
      <c r="AF356" s="318" t="n">
        <f aca="false">S356-R356</f>
        <v>0</v>
      </c>
      <c r="AG356" s="318" t="n">
        <f aca="false">T356-S356</f>
        <v>0</v>
      </c>
      <c r="AH356" s="318" t="n">
        <f aca="false">U356-T356</f>
        <v>0</v>
      </c>
      <c r="AI356" s="318" t="n">
        <f aca="false">V356-U356</f>
        <v>0</v>
      </c>
      <c r="AJ356" s="318" t="n">
        <f aca="false">W356-V356</f>
        <v>0</v>
      </c>
      <c r="AK356" s="318" t="n">
        <f aca="false">X356-W356</f>
        <v>0</v>
      </c>
      <c r="AL356" s="318" t="n">
        <f aca="false">Y356-X356</f>
        <v>0</v>
      </c>
      <c r="AM356" s="318" t="n">
        <f aca="false">Z356-Y356</f>
        <v>0</v>
      </c>
      <c r="AN356" s="318" t="s">
        <v>1726</v>
      </c>
      <c r="AO356" s="318" t="n">
        <f aca="false">AB356-AA356</f>
        <v>0</v>
      </c>
      <c r="AP356" s="318" t="n">
        <f aca="false">AC356-AB356</f>
        <v>0</v>
      </c>
      <c r="AR356" s="307" t="str">
        <f aca="false">IFERROR(VLOOKUP(M356,'PL_DEC.2026'!$D$11:$D$99,1,FALSE()),"(미존재)")</f>
        <v>투자자산처분이익</v>
      </c>
    </row>
    <row r="357" customFormat="false" ht="15" hidden="false" customHeight="false" outlineLevel="0" collapsed="false">
      <c r="A357" s="310" t="s">
        <v>841</v>
      </c>
      <c r="B357" s="307" t="n">
        <v>77900001</v>
      </c>
      <c r="C357" s="307" t="s">
        <v>2223</v>
      </c>
      <c r="D357" s="307" t="s">
        <v>1926</v>
      </c>
      <c r="E357" s="307" t="s">
        <v>2224</v>
      </c>
      <c r="F357" s="307" t="s">
        <v>2223</v>
      </c>
      <c r="G357" s="307" t="s">
        <v>1929</v>
      </c>
      <c r="H357" s="307" t="s">
        <v>1536</v>
      </c>
      <c r="I357" s="307" t="s">
        <v>1951</v>
      </c>
      <c r="K357" s="307" t="s">
        <v>1952</v>
      </c>
      <c r="L357" s="317" t="s">
        <v>1976</v>
      </c>
      <c r="M357" s="317" t="s">
        <v>300</v>
      </c>
      <c r="N357" s="317" t="s">
        <v>1976</v>
      </c>
      <c r="O357" s="317" t="s">
        <v>2013</v>
      </c>
      <c r="P357" s="317" t="s">
        <v>300</v>
      </c>
      <c r="Q357" s="318" t="n">
        <v>0</v>
      </c>
      <c r="R357" s="318" t="n">
        <v>0</v>
      </c>
      <c r="S357" s="318" t="n">
        <v>-24598660</v>
      </c>
      <c r="T357" s="318" t="n">
        <v>-24598660</v>
      </c>
      <c r="U357" s="318" t="n">
        <v>131374060</v>
      </c>
      <c r="V357" s="318" t="n">
        <v>131374060</v>
      </c>
      <c r="W357" s="318" t="n">
        <v>131374060</v>
      </c>
      <c r="X357" s="318" t="n">
        <v>131374060</v>
      </c>
      <c r="Y357" s="318" t="n">
        <v>131374060</v>
      </c>
      <c r="Z357" s="318" t="n">
        <v>131374060</v>
      </c>
      <c r="AA357" s="318"/>
      <c r="AB357" s="318"/>
      <c r="AC357" s="318"/>
      <c r="AD357" s="318"/>
      <c r="AE357" s="318" t="n">
        <f aca="false">R357</f>
        <v>0</v>
      </c>
      <c r="AF357" s="318" t="n">
        <f aca="false">S357-R357</f>
        <v>-24598660</v>
      </c>
      <c r="AG357" s="318" t="n">
        <f aca="false">T357-S357</f>
        <v>0</v>
      </c>
      <c r="AH357" s="318" t="n">
        <f aca="false">U357-T357</f>
        <v>155972720</v>
      </c>
      <c r="AI357" s="318" t="n">
        <f aca="false">V357-U357</f>
        <v>0</v>
      </c>
      <c r="AJ357" s="318" t="n">
        <f aca="false">W357-V357</f>
        <v>0</v>
      </c>
      <c r="AK357" s="318" t="n">
        <f aca="false">X357-W357</f>
        <v>0</v>
      </c>
      <c r="AL357" s="318" t="n">
        <f aca="false">Y357-X357</f>
        <v>0</v>
      </c>
      <c r="AM357" s="318" t="n">
        <f aca="false">Z357-Y357</f>
        <v>0</v>
      </c>
      <c r="AN357" s="318" t="s">
        <v>1726</v>
      </c>
      <c r="AO357" s="318" t="n">
        <f aca="false">AB357-AA357</f>
        <v>0</v>
      </c>
      <c r="AP357" s="318" t="n">
        <f aca="false">AC357-AB357</f>
        <v>0</v>
      </c>
      <c r="AR357" s="307" t="str">
        <f aca="false">IFERROR(VLOOKUP(M357,'PL_DEC.2026'!$D$11:$D$99,1,FALSE()),"(미존재)")</f>
        <v>제세공과</v>
      </c>
    </row>
    <row r="358" customFormat="false" ht="15" hidden="false" customHeight="false" outlineLevel="0" collapsed="false">
      <c r="A358" s="310" t="s">
        <v>841</v>
      </c>
      <c r="B358" s="307" t="n">
        <v>78000000</v>
      </c>
      <c r="C358" s="307" t="s">
        <v>2225</v>
      </c>
      <c r="D358" s="307" t="s">
        <v>1926</v>
      </c>
      <c r="E358" s="307" t="s">
        <v>2224</v>
      </c>
      <c r="F358" s="307" t="s">
        <v>2225</v>
      </c>
      <c r="G358" s="307" t="s">
        <v>1973</v>
      </c>
      <c r="H358" s="307" t="s">
        <v>1536</v>
      </c>
      <c r="I358" s="307" t="s">
        <v>2226</v>
      </c>
      <c r="K358" s="307" t="s">
        <v>2227</v>
      </c>
      <c r="L358" s="317" t="s">
        <v>2228</v>
      </c>
      <c r="M358" s="317" t="s">
        <v>368</v>
      </c>
      <c r="N358" s="317" t="s">
        <v>2228</v>
      </c>
      <c r="O358" s="317" t="s">
        <v>368</v>
      </c>
      <c r="P358" s="317" t="s">
        <v>368</v>
      </c>
      <c r="Q358" s="318" t="n">
        <v>11006749505</v>
      </c>
      <c r="R358" s="318" t="n">
        <v>0</v>
      </c>
      <c r="S358" s="318" t="n">
        <v>0</v>
      </c>
      <c r="T358" s="318" t="n">
        <v>1495993489</v>
      </c>
      <c r="U358" s="318" t="n">
        <v>1495993489</v>
      </c>
      <c r="V358" s="318" t="n">
        <v>1495993489</v>
      </c>
      <c r="W358" s="318" t="n">
        <v>1495993489</v>
      </c>
      <c r="X358" s="318" t="n">
        <v>2918765154</v>
      </c>
      <c r="Y358" s="318" t="n">
        <v>2918765154</v>
      </c>
      <c r="Z358" s="318" t="n">
        <v>8845776907</v>
      </c>
      <c r="AA358" s="318"/>
      <c r="AB358" s="318"/>
      <c r="AC358" s="318"/>
      <c r="AD358" s="318"/>
      <c r="AE358" s="318" t="n">
        <f aca="false">R358</f>
        <v>0</v>
      </c>
      <c r="AF358" s="318" t="n">
        <f aca="false">S358-R358</f>
        <v>0</v>
      </c>
      <c r="AG358" s="318" t="n">
        <f aca="false">T358-S358</f>
        <v>1495993489</v>
      </c>
      <c r="AH358" s="318" t="n">
        <f aca="false">U358-T358</f>
        <v>0</v>
      </c>
      <c r="AI358" s="318" t="n">
        <f aca="false">V358-U358</f>
        <v>0</v>
      </c>
      <c r="AJ358" s="318" t="n">
        <f aca="false">W358-V358</f>
        <v>0</v>
      </c>
      <c r="AK358" s="318" t="n">
        <f aca="false">X358-W358</f>
        <v>1422771665</v>
      </c>
      <c r="AL358" s="318" t="n">
        <f aca="false">Y358-X358</f>
        <v>0</v>
      </c>
      <c r="AM358" s="318" t="n">
        <f aca="false">Z358-Y358</f>
        <v>5927011753</v>
      </c>
      <c r="AN358" s="318" t="s">
        <v>1726</v>
      </c>
      <c r="AO358" s="318" t="n">
        <f aca="false">AB358-AA358</f>
        <v>0</v>
      </c>
      <c r="AP358" s="318" t="n">
        <f aca="false">AC358-AB358</f>
        <v>0</v>
      </c>
      <c r="AR358" s="307" t="str">
        <f aca="false">IFERROR(VLOOKUP(M358,'PL_DEC.2026'!$D$11:$D$99,1,FALSE()),"(미존재)")</f>
        <v>(미존재)</v>
      </c>
    </row>
    <row r="359" customFormat="false" ht="15" hidden="false" customHeight="false" outlineLevel="0" collapsed="false">
      <c r="A359" s="310" t="s">
        <v>841</v>
      </c>
      <c r="B359" s="307" t="n">
        <v>78000103</v>
      </c>
      <c r="C359" s="307" t="s">
        <v>2229</v>
      </c>
      <c r="D359" s="307" t="s">
        <v>1926</v>
      </c>
      <c r="E359" s="307" t="s">
        <v>2224</v>
      </c>
      <c r="F359" s="307" t="s">
        <v>2229</v>
      </c>
      <c r="G359" s="307" t="s">
        <v>1973</v>
      </c>
      <c r="H359" s="307" t="s">
        <v>1536</v>
      </c>
      <c r="I359" s="307" t="s">
        <v>2230</v>
      </c>
      <c r="K359" s="307" t="s">
        <v>2231</v>
      </c>
      <c r="L359" s="317" t="s">
        <v>2228</v>
      </c>
      <c r="M359" s="317" t="s">
        <v>368</v>
      </c>
      <c r="N359" s="317" t="s">
        <v>2228</v>
      </c>
      <c r="O359" s="317" t="s">
        <v>368</v>
      </c>
      <c r="P359" s="317" t="s">
        <v>368</v>
      </c>
      <c r="Q359" s="318" t="n">
        <v>0</v>
      </c>
      <c r="R359" s="318" t="n">
        <v>0</v>
      </c>
      <c r="S359" s="318" t="n">
        <v>0</v>
      </c>
      <c r="T359" s="318" t="n">
        <v>0</v>
      </c>
      <c r="U359" s="318" t="n">
        <v>0</v>
      </c>
      <c r="V359" s="318" t="n">
        <v>0</v>
      </c>
      <c r="W359" s="318" t="n">
        <v>-485636067</v>
      </c>
      <c r="X359" s="318" t="n">
        <v>-485636067</v>
      </c>
      <c r="Y359" s="318" t="n">
        <v>-332114429</v>
      </c>
      <c r="Z359" s="318" t="n">
        <v>-332114429</v>
      </c>
      <c r="AA359" s="318"/>
      <c r="AB359" s="318"/>
      <c r="AC359" s="318"/>
      <c r="AD359" s="318"/>
      <c r="AE359" s="318" t="n">
        <f aca="false">R359</f>
        <v>0</v>
      </c>
      <c r="AF359" s="318" t="n">
        <f aca="false">S359-R359</f>
        <v>0</v>
      </c>
      <c r="AG359" s="318" t="n">
        <f aca="false">T359-S359</f>
        <v>0</v>
      </c>
      <c r="AH359" s="318" t="n">
        <f aca="false">U359-T359</f>
        <v>0</v>
      </c>
      <c r="AI359" s="318" t="n">
        <f aca="false">V359-U359</f>
        <v>0</v>
      </c>
      <c r="AJ359" s="318" t="n">
        <f aca="false">W359-V359</f>
        <v>-485636067</v>
      </c>
      <c r="AK359" s="318" t="n">
        <f aca="false">X359-W359</f>
        <v>0</v>
      </c>
      <c r="AL359" s="318" t="n">
        <f aca="false">Y359-X359</f>
        <v>153521638</v>
      </c>
      <c r="AM359" s="318" t="n">
        <f aca="false">Z359-Y359</f>
        <v>0</v>
      </c>
      <c r="AN359" s="318" t="s">
        <v>1726</v>
      </c>
      <c r="AO359" s="318" t="n">
        <f aca="false">AB359-AA359</f>
        <v>0</v>
      </c>
      <c r="AP359" s="318" t="n">
        <f aca="false">AC359-AB359</f>
        <v>0</v>
      </c>
      <c r="AR359" s="307" t="str">
        <f aca="false">IFERROR(VLOOKUP(M359,'PL_DEC.2026'!$D$11:$D$99,1,FALSE()),"(미존재)")</f>
        <v>(미존재)</v>
      </c>
    </row>
    <row r="360" customFormat="false" ht="15" hidden="false" customHeight="false" outlineLevel="0" collapsed="false">
      <c r="A360" s="310" t="s">
        <v>841</v>
      </c>
      <c r="B360" s="307" t="n">
        <v>78000600</v>
      </c>
      <c r="C360" s="307" t="s">
        <v>2232</v>
      </c>
      <c r="D360" s="307" t="s">
        <v>1926</v>
      </c>
      <c r="E360" s="307" t="s">
        <v>2224</v>
      </c>
      <c r="F360" s="307" t="s">
        <v>2232</v>
      </c>
      <c r="G360" s="307" t="s">
        <v>1973</v>
      </c>
      <c r="H360" s="307" t="s">
        <v>1536</v>
      </c>
      <c r="I360" s="307" t="s">
        <v>2226</v>
      </c>
      <c r="K360" s="307" t="s">
        <v>2227</v>
      </c>
      <c r="L360" s="317" t="s">
        <v>1976</v>
      </c>
      <c r="M360" s="317" t="s">
        <v>368</v>
      </c>
      <c r="N360" s="317" t="s">
        <v>2228</v>
      </c>
      <c r="O360" s="317" t="s">
        <v>368</v>
      </c>
      <c r="P360" s="317" t="s">
        <v>368</v>
      </c>
      <c r="Q360" s="318" t="n">
        <v>-31</v>
      </c>
      <c r="R360" s="318" t="n">
        <v>0</v>
      </c>
      <c r="S360" s="318" t="n">
        <v>0</v>
      </c>
      <c r="T360" s="318" t="n">
        <v>0</v>
      </c>
      <c r="U360" s="318" t="n">
        <v>0</v>
      </c>
      <c r="V360" s="318" t="n">
        <v>0</v>
      </c>
      <c r="W360" s="318" t="n">
        <v>-172173700</v>
      </c>
      <c r="X360" s="318" t="n">
        <v>0</v>
      </c>
      <c r="Y360" s="318" t="n">
        <v>0</v>
      </c>
      <c r="Z360" s="318" t="n">
        <v>0</v>
      </c>
      <c r="AA360" s="318"/>
      <c r="AB360" s="318"/>
      <c r="AC360" s="318"/>
      <c r="AD360" s="318"/>
      <c r="AE360" s="318" t="n">
        <f aca="false">R360</f>
        <v>0</v>
      </c>
      <c r="AF360" s="318" t="n">
        <f aca="false">S360-R360</f>
        <v>0</v>
      </c>
      <c r="AG360" s="318" t="n">
        <f aca="false">T360-S360</f>
        <v>0</v>
      </c>
      <c r="AH360" s="318" t="n">
        <f aca="false">U360-T360</f>
        <v>0</v>
      </c>
      <c r="AI360" s="318" t="n">
        <f aca="false">V360-U360</f>
        <v>0</v>
      </c>
      <c r="AJ360" s="318" t="n">
        <f aca="false">W360-V360</f>
        <v>-172173700</v>
      </c>
      <c r="AK360" s="318" t="n">
        <f aca="false">X360-W360</f>
        <v>172173700</v>
      </c>
      <c r="AL360" s="318" t="n">
        <f aca="false">Y360-X360</f>
        <v>0</v>
      </c>
      <c r="AM360" s="318" t="n">
        <f aca="false">Z360-Y360</f>
        <v>0</v>
      </c>
      <c r="AN360" s="318" t="s">
        <v>1726</v>
      </c>
      <c r="AO360" s="318" t="n">
        <f aca="false">AB360-AA360</f>
        <v>0</v>
      </c>
      <c r="AP360" s="318" t="n">
        <f aca="false">AC360-AB360</f>
        <v>0</v>
      </c>
      <c r="AR360" s="307" t="str">
        <f aca="false">IFERROR(VLOOKUP(M360,'PL_DEC.2026'!$D$11:$D$99,1,FALSE()),"(미존재)")</f>
        <v>(미존재)</v>
      </c>
    </row>
    <row r="361" customFormat="false" ht="15" hidden="false" customHeight="false" outlineLevel="0" collapsed="false">
      <c r="A361" s="310" t="s">
        <v>841</v>
      </c>
      <c r="B361" s="307" t="n">
        <v>78200000</v>
      </c>
      <c r="C361" s="307" t="s">
        <v>2233</v>
      </c>
      <c r="D361" s="307" t="s">
        <v>1926</v>
      </c>
      <c r="E361" s="307" t="s">
        <v>2224</v>
      </c>
      <c r="F361" s="307" t="s">
        <v>2233</v>
      </c>
      <c r="G361" s="307" t="s">
        <v>1973</v>
      </c>
      <c r="H361" s="307" t="s">
        <v>1536</v>
      </c>
      <c r="I361" s="307" t="s">
        <v>2234</v>
      </c>
      <c r="K361" s="307" t="s">
        <v>2235</v>
      </c>
      <c r="L361" s="317" t="s">
        <v>2228</v>
      </c>
      <c r="M361" s="317" t="s">
        <v>368</v>
      </c>
      <c r="N361" s="317" t="s">
        <v>2228</v>
      </c>
      <c r="O361" s="317" t="s">
        <v>368</v>
      </c>
      <c r="P361" s="317" t="s">
        <v>368</v>
      </c>
      <c r="Q361" s="318" t="n">
        <v>-2709185174</v>
      </c>
      <c r="R361" s="318" t="n">
        <v>0</v>
      </c>
      <c r="S361" s="318" t="n">
        <v>0</v>
      </c>
      <c r="T361" s="318" t="n">
        <v>3893808898</v>
      </c>
      <c r="U361" s="318" t="n">
        <v>3893808898</v>
      </c>
      <c r="V361" s="318" t="n">
        <v>3893808898</v>
      </c>
      <c r="W361" s="318" t="n">
        <v>3893808898</v>
      </c>
      <c r="X361" s="318" t="n">
        <v>4928179679</v>
      </c>
      <c r="Y361" s="318" t="n">
        <v>4928179679</v>
      </c>
      <c r="Z361" s="318" t="n">
        <v>4628694078</v>
      </c>
      <c r="AA361" s="318"/>
      <c r="AB361" s="318"/>
      <c r="AC361" s="318"/>
      <c r="AD361" s="318"/>
      <c r="AE361" s="318" t="n">
        <f aca="false">R361</f>
        <v>0</v>
      </c>
      <c r="AF361" s="318" t="n">
        <f aca="false">S361-R361</f>
        <v>0</v>
      </c>
      <c r="AG361" s="318" t="n">
        <f aca="false">T361-S361</f>
        <v>3893808898</v>
      </c>
      <c r="AH361" s="318" t="n">
        <f aca="false">U361-T361</f>
        <v>0</v>
      </c>
      <c r="AI361" s="318" t="n">
        <f aca="false">V361-U361</f>
        <v>0</v>
      </c>
      <c r="AJ361" s="318" t="n">
        <f aca="false">W361-V361</f>
        <v>0</v>
      </c>
      <c r="AK361" s="318" t="n">
        <f aca="false">X361-W361</f>
        <v>1034370781</v>
      </c>
      <c r="AL361" s="318" t="n">
        <f aca="false">Y361-X361</f>
        <v>0</v>
      </c>
      <c r="AM361" s="318" t="n">
        <f aca="false">Z361-Y361</f>
        <v>-299485601</v>
      </c>
      <c r="AN361" s="318" t="s">
        <v>1726</v>
      </c>
      <c r="AO361" s="318" t="n">
        <f aca="false">AB361-AA361</f>
        <v>0</v>
      </c>
      <c r="AP361" s="318" t="n">
        <f aca="false">AC361-AB361</f>
        <v>0</v>
      </c>
      <c r="AR361" s="307" t="str">
        <f aca="false">IFERROR(VLOOKUP(M361,'PL_DEC.2026'!$D$11:$D$99,1,FALSE()),"(미존재)")</f>
        <v>(미존재)</v>
      </c>
    </row>
    <row r="362" customFormat="false" ht="15" hidden="false" customHeight="false" outlineLevel="0" collapsed="false">
      <c r="A362" s="310" t="s">
        <v>841</v>
      </c>
      <c r="B362" s="307" t="n">
        <v>78250000</v>
      </c>
      <c r="C362" s="307" t="s">
        <v>2236</v>
      </c>
      <c r="D362" s="307" t="s">
        <v>1926</v>
      </c>
      <c r="E362" s="307" t="s">
        <v>2126</v>
      </c>
      <c r="F362" s="307" t="s">
        <v>2237</v>
      </c>
      <c r="G362" s="307" t="s">
        <v>1973</v>
      </c>
      <c r="H362" s="307" t="s">
        <v>1536</v>
      </c>
      <c r="I362" s="307" t="s">
        <v>1988</v>
      </c>
      <c r="J362" s="307" t="s">
        <v>1499</v>
      </c>
      <c r="K362" s="307" t="s">
        <v>1989</v>
      </c>
      <c r="L362" s="317" t="s">
        <v>2130</v>
      </c>
      <c r="M362" s="317" t="s">
        <v>368</v>
      </c>
      <c r="N362" s="317" t="s">
        <v>1140</v>
      </c>
      <c r="O362" s="317" t="s">
        <v>1140</v>
      </c>
      <c r="P362" s="317" t="s">
        <v>355</v>
      </c>
      <c r="Q362" s="318" t="n">
        <v>451069375</v>
      </c>
      <c r="R362" s="318" t="n">
        <v>0</v>
      </c>
      <c r="S362" s="318" t="n">
        <v>0</v>
      </c>
      <c r="T362" s="318" t="n">
        <v>-103890666</v>
      </c>
      <c r="U362" s="318" t="n">
        <v>163609486</v>
      </c>
      <c r="V362" s="318" t="n">
        <v>163886636</v>
      </c>
      <c r="W362" s="318" t="n">
        <v>163886636</v>
      </c>
      <c r="X362" s="318" t="n">
        <v>-39507675</v>
      </c>
      <c r="Y362" s="318" t="n">
        <v>-39664165</v>
      </c>
      <c r="Z362" s="318" t="n">
        <v>-39664165</v>
      </c>
      <c r="AA362" s="318"/>
      <c r="AB362" s="318"/>
      <c r="AC362" s="318"/>
      <c r="AD362" s="318"/>
      <c r="AE362" s="318" t="n">
        <f aca="false">R362</f>
        <v>0</v>
      </c>
      <c r="AF362" s="318" t="n">
        <f aca="false">S362-R362</f>
        <v>0</v>
      </c>
      <c r="AG362" s="318" t="n">
        <f aca="false">T362-S362</f>
        <v>-103890666</v>
      </c>
      <c r="AH362" s="318" t="n">
        <f aca="false">U362-T362</f>
        <v>267500152</v>
      </c>
      <c r="AI362" s="318" t="n">
        <f aca="false">V362-U362</f>
        <v>277150</v>
      </c>
      <c r="AJ362" s="318" t="n">
        <f aca="false">W362-V362</f>
        <v>0</v>
      </c>
      <c r="AK362" s="318" t="n">
        <f aca="false">X362-W362</f>
        <v>-203394311</v>
      </c>
      <c r="AL362" s="318" t="n">
        <f aca="false">Y362-X362</f>
        <v>-156490</v>
      </c>
      <c r="AM362" s="318" t="n">
        <f aca="false">Z362-Y362</f>
        <v>0</v>
      </c>
      <c r="AN362" s="318" t="s">
        <v>1726</v>
      </c>
      <c r="AO362" s="318" t="n">
        <f aca="false">AB362-AA362</f>
        <v>0</v>
      </c>
      <c r="AP362" s="318" t="n">
        <f aca="false">AC362-AB362</f>
        <v>0</v>
      </c>
      <c r="AR362" s="307" t="str">
        <f aca="false">IFERROR(VLOOKUP(M362,'PL_DEC.2026'!$D$11:$D$99,1,FALSE()),"(미존재)")</f>
        <v>(미존재)</v>
      </c>
    </row>
    <row r="363" customFormat="false" ht="15" hidden="false" customHeight="false" outlineLevel="0" collapsed="false">
      <c r="A363" s="310" t="s">
        <v>841</v>
      </c>
      <c r="B363" s="307" t="n">
        <v>79000100</v>
      </c>
      <c r="C363" s="307" t="s">
        <v>2238</v>
      </c>
      <c r="D363" s="307" t="s">
        <v>1926</v>
      </c>
      <c r="E363" s="307" t="s">
        <v>2126</v>
      </c>
      <c r="F363" s="307" t="s">
        <v>2127</v>
      </c>
      <c r="G363" s="307" t="s">
        <v>1992</v>
      </c>
      <c r="H363" s="307" t="s">
        <v>1536</v>
      </c>
      <c r="I363" s="307" t="s">
        <v>2239</v>
      </c>
      <c r="K363" s="307" t="s">
        <v>2240</v>
      </c>
      <c r="L363" s="317" t="s">
        <v>1976</v>
      </c>
      <c r="M363" s="317" t="s">
        <v>299</v>
      </c>
      <c r="N363" s="317" t="s">
        <v>1140</v>
      </c>
      <c r="O363" s="317" t="s">
        <v>1140</v>
      </c>
      <c r="P363" s="317" t="s">
        <v>360</v>
      </c>
      <c r="Q363" s="318" t="n">
        <v>603131607</v>
      </c>
      <c r="R363" s="318" t="n">
        <v>430800</v>
      </c>
      <c r="S363" s="318" t="n">
        <v>913296</v>
      </c>
      <c r="T363" s="318" t="n">
        <v>1430256</v>
      </c>
      <c r="U363" s="318" t="n">
        <v>1998912</v>
      </c>
      <c r="V363" s="318" t="n">
        <v>2498640</v>
      </c>
      <c r="W363" s="318" t="n">
        <v>2998368</v>
      </c>
      <c r="X363" s="318" t="n">
        <v>3567024</v>
      </c>
      <c r="Y363" s="318" t="n">
        <v>4066752</v>
      </c>
      <c r="Z363" s="318" t="n">
        <v>4549248</v>
      </c>
      <c r="AA363" s="318"/>
      <c r="AB363" s="318"/>
      <c r="AC363" s="318"/>
      <c r="AD363" s="318"/>
      <c r="AE363" s="318" t="n">
        <f aca="false">R363</f>
        <v>430800</v>
      </c>
      <c r="AF363" s="318" t="n">
        <f aca="false">S363-R363</f>
        <v>482496</v>
      </c>
      <c r="AG363" s="318" t="n">
        <f aca="false">T363-S363</f>
        <v>516960</v>
      </c>
      <c r="AH363" s="318" t="n">
        <f aca="false">U363-T363</f>
        <v>568656</v>
      </c>
      <c r="AI363" s="318" t="n">
        <f aca="false">V363-U363</f>
        <v>499728</v>
      </c>
      <c r="AJ363" s="318" t="n">
        <f aca="false">W363-V363</f>
        <v>499728</v>
      </c>
      <c r="AK363" s="318" t="n">
        <f aca="false">X363-W363</f>
        <v>568656</v>
      </c>
      <c r="AL363" s="318" t="n">
        <f aca="false">Y363-X363</f>
        <v>499728</v>
      </c>
      <c r="AM363" s="318" t="n">
        <f aca="false">Z363-Y363</f>
        <v>482496</v>
      </c>
      <c r="AN363" s="318" t="s">
        <v>1726</v>
      </c>
      <c r="AO363" s="318" t="n">
        <f aca="false">AB363-AA363</f>
        <v>0</v>
      </c>
      <c r="AP363" s="318" t="n">
        <f aca="false">AC363-AB363</f>
        <v>0</v>
      </c>
      <c r="AR363" s="307" t="str">
        <f aca="false">IFERROR(VLOOKUP(M363,'PL_DEC.2026'!$D$11:$D$99,1,FALSE()),"(미존재)")</f>
        <v>지급수수료</v>
      </c>
    </row>
    <row r="364" customFormat="false" ht="15" hidden="false" customHeight="false" outlineLevel="0" collapsed="false">
      <c r="A364" s="310" t="s">
        <v>841</v>
      </c>
      <c r="B364" s="307" t="n">
        <v>77030700</v>
      </c>
      <c r="C364" s="307" t="s">
        <v>453</v>
      </c>
      <c r="D364" s="307" t="s">
        <v>1926</v>
      </c>
      <c r="E364" s="307" t="s">
        <v>1929</v>
      </c>
      <c r="G364" s="307" t="s">
        <v>1793</v>
      </c>
      <c r="H364" s="307" t="s">
        <v>1536</v>
      </c>
      <c r="I364" s="307" t="s">
        <v>2241</v>
      </c>
      <c r="L364" s="317" t="s">
        <v>2130</v>
      </c>
      <c r="M364" s="317" t="s">
        <v>351</v>
      </c>
      <c r="N364" s="317" t="s">
        <v>920</v>
      </c>
      <c r="O364" s="317" t="s">
        <v>920</v>
      </c>
      <c r="P364" s="317" t="s">
        <v>2242</v>
      </c>
      <c r="Q364" s="318"/>
      <c r="R364" s="318" t="n">
        <v>0</v>
      </c>
      <c r="S364" s="318"/>
      <c r="T364" s="318"/>
      <c r="U364" s="318"/>
      <c r="V364" s="318" t="n">
        <v>-2762883260</v>
      </c>
      <c r="W364" s="318" t="n">
        <v>-2763057305</v>
      </c>
      <c r="X364" s="318" t="n">
        <v>-1874481188</v>
      </c>
      <c r="Y364" s="318" t="n">
        <v>-1874481188</v>
      </c>
      <c r="Z364" s="318" t="n">
        <v>-1874497219</v>
      </c>
      <c r="AA364" s="318"/>
      <c r="AB364" s="318"/>
      <c r="AC364" s="318"/>
      <c r="AD364" s="318"/>
      <c r="AE364" s="318" t="n">
        <f aca="false">R364</f>
        <v>0</v>
      </c>
      <c r="AF364" s="318" t="n">
        <f aca="false">S364-R364</f>
        <v>0</v>
      </c>
      <c r="AG364" s="318" t="n">
        <f aca="false">T364-S364</f>
        <v>0</v>
      </c>
      <c r="AH364" s="318" t="n">
        <f aca="false">U364-T364</f>
        <v>0</v>
      </c>
      <c r="AI364" s="318" t="n">
        <f aca="false">V364-U364</f>
        <v>-2762883260</v>
      </c>
      <c r="AJ364" s="318" t="n">
        <f aca="false">W364-V364</f>
        <v>-174045</v>
      </c>
      <c r="AK364" s="318" t="n">
        <f aca="false">X364-W364</f>
        <v>888576117</v>
      </c>
      <c r="AL364" s="318" t="n">
        <f aca="false">Y364-X364</f>
        <v>0</v>
      </c>
      <c r="AM364" s="318" t="n">
        <f aca="false">Z364-Y364</f>
        <v>-16031</v>
      </c>
      <c r="AN364" s="318" t="s">
        <v>1726</v>
      </c>
      <c r="AO364" s="318" t="n">
        <f aca="false">AB364-AA364</f>
        <v>0</v>
      </c>
      <c r="AP364" s="318" t="n">
        <f aca="false">AC364-AB364</f>
        <v>0</v>
      </c>
      <c r="AR364" s="307" t="str">
        <f aca="false">IFERROR(VLOOKUP(M364,'PL_DEC.2026'!$D$11:$D$99,1,FALSE()),"(미존재)")</f>
        <v>투자자산처분손실</v>
      </c>
    </row>
    <row r="365" customFormat="false" ht="15" hidden="false" customHeight="false" outlineLevel="0" collapsed="false">
      <c r="A365" s="310" t="s">
        <v>841</v>
      </c>
      <c r="B365" s="307" t="n">
        <v>75520700</v>
      </c>
      <c r="C365" s="307" t="s">
        <v>2243</v>
      </c>
      <c r="D365" s="307" t="s">
        <v>1926</v>
      </c>
      <c r="E365" s="307" t="s">
        <v>1929</v>
      </c>
      <c r="G365" s="307" t="s">
        <v>1793</v>
      </c>
      <c r="H365" s="307" t="s">
        <v>1536</v>
      </c>
      <c r="I365" s="307" t="s">
        <v>2244</v>
      </c>
      <c r="L365" s="317" t="s">
        <v>2130</v>
      </c>
      <c r="M365" s="317" t="s">
        <v>351</v>
      </c>
      <c r="N365" s="317" t="s">
        <v>920</v>
      </c>
      <c r="O365" s="317" t="s">
        <v>920</v>
      </c>
      <c r="P365" s="317" t="s">
        <v>2242</v>
      </c>
      <c r="Q365" s="318"/>
      <c r="R365" s="318" t="n">
        <v>0</v>
      </c>
      <c r="S365" s="318"/>
      <c r="T365" s="318"/>
      <c r="U365" s="318"/>
      <c r="V365" s="318" t="n">
        <v>4769643867</v>
      </c>
      <c r="W365" s="318" t="n">
        <v>4769643867</v>
      </c>
      <c r="X365" s="318" t="n">
        <v>3246854862</v>
      </c>
      <c r="Y365" s="318" t="n">
        <v>3246854862</v>
      </c>
      <c r="Z365" s="318" t="n">
        <v>3246854862</v>
      </c>
      <c r="AA365" s="318"/>
      <c r="AB365" s="318"/>
      <c r="AC365" s="318"/>
      <c r="AD365" s="318"/>
      <c r="AE365" s="318" t="n">
        <f aca="false">R365</f>
        <v>0</v>
      </c>
      <c r="AF365" s="318" t="n">
        <f aca="false">S365-R365</f>
        <v>0</v>
      </c>
      <c r="AG365" s="318" t="n">
        <f aca="false">T365-S365</f>
        <v>0</v>
      </c>
      <c r="AH365" s="318" t="n">
        <f aca="false">U365-T365</f>
        <v>0</v>
      </c>
      <c r="AI365" s="318" t="n">
        <f aca="false">V365-U365</f>
        <v>4769643867</v>
      </c>
      <c r="AJ365" s="318" t="n">
        <f aca="false">W365-V365</f>
        <v>0</v>
      </c>
      <c r="AK365" s="318" t="n">
        <f aca="false">X365-W365</f>
        <v>-1522789005</v>
      </c>
      <c r="AL365" s="318" t="n">
        <f aca="false">Y365-X365</f>
        <v>0</v>
      </c>
      <c r="AM365" s="318" t="n">
        <f aca="false">Z365-Y365</f>
        <v>0</v>
      </c>
      <c r="AN365" s="318" t="s">
        <v>1726</v>
      </c>
      <c r="AO365" s="318" t="n">
        <f aca="false">AB365-AA365</f>
        <v>0</v>
      </c>
      <c r="AP365" s="318" t="n">
        <f aca="false">AC365-AB365</f>
        <v>0</v>
      </c>
      <c r="AR365" s="307" t="str">
        <f aca="false">IFERROR(VLOOKUP(M365,'PL_DEC.2026'!$D$11:$D$99,1,FALSE()),"(미존재)")</f>
        <v>투자자산처분손실</v>
      </c>
    </row>
    <row r="366" customFormat="false" ht="15" hidden="false" customHeight="false" outlineLevel="0" collapsed="false">
      <c r="C366" s="324" t="s">
        <v>493</v>
      </c>
      <c r="Q366" s="325" t="n">
        <f aca="false">SUM(Q4:Q157)</f>
        <v>40760401894</v>
      </c>
      <c r="R366" s="325" t="n">
        <f aca="false">SUM(R4:R160)</f>
        <v>8501275174</v>
      </c>
      <c r="S366" s="325" t="n">
        <f aca="false">SUM(S4:S160)</f>
        <v>13936983171</v>
      </c>
      <c r="T366" s="325" t="n">
        <f aca="false">SUM(T4:T160)</f>
        <v>18373447342</v>
      </c>
      <c r="U366" s="325" t="n">
        <f aca="false">SUM(U4:U160)</f>
        <v>19249804865</v>
      </c>
      <c r="V366" s="325" t="n">
        <f aca="false">SUM(V4:V160)</f>
        <v>24507830324</v>
      </c>
      <c r="W366" s="325" t="n">
        <f aca="false">SUM(W4:W160)</f>
        <v>40357008016</v>
      </c>
      <c r="X366" s="325" t="n">
        <f aca="false">SUM(X4:X160)</f>
        <v>37222362359</v>
      </c>
      <c r="Y366" s="325" t="n">
        <f aca="false">SUM(Y4:Y160)</f>
        <v>34446358293</v>
      </c>
      <c r="Z366" s="325" t="n">
        <f aca="false">SUM(Z4:Z160)</f>
        <v>49477398953</v>
      </c>
      <c r="AA366" s="325"/>
      <c r="AB366" s="325"/>
      <c r="AC366" s="325"/>
      <c r="AD366" s="325"/>
      <c r="AE366" s="325" t="n">
        <f aca="false">SUM(AE4:AE157)</f>
        <v>9403577314</v>
      </c>
      <c r="AF366" s="325" t="n">
        <f aca="false">SUM(AF4:AF157)</f>
        <v>5436982207</v>
      </c>
      <c r="AG366" s="325" t="n">
        <f aca="false">SUM(AG4:AG157)</f>
        <v>9257623366</v>
      </c>
      <c r="AH366" s="325" t="n">
        <f aca="false">SUM(AH4:AH157)</f>
        <v>877519906</v>
      </c>
      <c r="AI366" s="325" t="n">
        <f aca="false">SUM(AI4:AI157)</f>
        <v>439656633</v>
      </c>
      <c r="AJ366" s="318" t="n">
        <f aca="false">W366-V366</f>
        <v>15849177692</v>
      </c>
      <c r="AK366" s="325" t="n">
        <f aca="false">SUM(AK4:AK157)</f>
        <v>-3075546446</v>
      </c>
      <c r="AL366" s="318" t="n">
        <f aca="false">Y366-X366</f>
        <v>-2776004066</v>
      </c>
      <c r="AM366" s="318" t="n">
        <f aca="false">Z366-Y366</f>
        <v>15031040660</v>
      </c>
      <c r="AN366" s="318" t="s">
        <v>1726</v>
      </c>
      <c r="AO366" s="318" t="n">
        <f aca="false">AB366-AA366</f>
        <v>0</v>
      </c>
      <c r="AP366" s="318" t="n">
        <f aca="false">AC366-AB366</f>
        <v>0</v>
      </c>
      <c r="AQ366" s="325"/>
    </row>
    <row r="367" customFormat="false" ht="15" hidden="false" customHeight="false" outlineLevel="0" collapsed="false">
      <c r="C367" s="324" t="s">
        <v>841</v>
      </c>
      <c r="Q367" s="325" t="n">
        <f aca="false">SUM(Q158:Q365)</f>
        <v>-40760401892</v>
      </c>
      <c r="R367" s="325" t="n">
        <f aca="false">SUM(R161:R365)</f>
        <v>-8501275172</v>
      </c>
      <c r="S367" s="325" t="n">
        <f aca="false">SUM(S161:S365)</f>
        <v>-13936983169</v>
      </c>
      <c r="T367" s="325" t="n">
        <f aca="false">SUM(T161:T365)</f>
        <v>-18373447341</v>
      </c>
      <c r="U367" s="325" t="n">
        <f aca="false">SUM(U161:U365)</f>
        <v>-19249804864</v>
      </c>
      <c r="V367" s="325" t="n">
        <f aca="false">SUM(V161:V365)</f>
        <v>-24507830323</v>
      </c>
      <c r="W367" s="325" t="n">
        <f aca="false">SUM(W161:W365)</f>
        <v>-40357008015</v>
      </c>
      <c r="X367" s="325" t="n">
        <f aca="false">SUM(X161:X365)</f>
        <v>-37222362357</v>
      </c>
      <c r="Y367" s="325" t="n">
        <f aca="false">SUM(Y161:Y365)</f>
        <v>-34446358291</v>
      </c>
      <c r="Z367" s="325" t="n">
        <f aca="false">SUM(Z161:Z365)</f>
        <v>-49477398951</v>
      </c>
      <c r="AA367" s="325"/>
      <c r="AB367" s="325"/>
      <c r="AC367" s="325"/>
      <c r="AD367" s="325"/>
      <c r="AE367" s="325" t="n">
        <f aca="false">SUM(AE158:AE365)</f>
        <v>-9403577312</v>
      </c>
      <c r="AF367" s="325" t="n">
        <f aca="false">SUM(AF158:AF365)</f>
        <v>-5436982207</v>
      </c>
      <c r="AG367" s="325" t="n">
        <f aca="false">SUM(AG158:AG365)</f>
        <v>-9257623367</v>
      </c>
      <c r="AH367" s="325" t="n">
        <f aca="false">SUM(AH158:AH365)</f>
        <v>-877519906</v>
      </c>
      <c r="AI367" s="325" t="n">
        <f aca="false">SUM(AI158:AI365)</f>
        <v>-439656633</v>
      </c>
      <c r="AJ367" s="318" t="n">
        <f aca="false">W367-V367</f>
        <v>-15849177692</v>
      </c>
      <c r="AK367" s="325" t="n">
        <f aca="false">SUM(AK158:AK365)</f>
        <v>3075546447</v>
      </c>
      <c r="AL367" s="318" t="n">
        <f aca="false">Y367-X367</f>
        <v>2776004066</v>
      </c>
      <c r="AM367" s="318" t="n">
        <f aca="false">Z367-Y367</f>
        <v>-15031040660</v>
      </c>
      <c r="AN367" s="318" t="s">
        <v>1726</v>
      </c>
      <c r="AO367" s="318" t="n">
        <f aca="false">AB367-AA367</f>
        <v>0</v>
      </c>
      <c r="AP367" s="318" t="n">
        <f aca="false">AC367-AB367</f>
        <v>0</v>
      </c>
      <c r="AQ367" s="325"/>
    </row>
    <row r="368" customFormat="false" ht="15" hidden="false" customHeight="false" outlineLevel="0" collapsed="false">
      <c r="C368" s="324"/>
      <c r="Q368" s="325" t="n">
        <f aca="false">++Q366+Q367</f>
        <v>2</v>
      </c>
      <c r="R368" s="325" t="n">
        <f aca="false">++R366+R367</f>
        <v>2</v>
      </c>
      <c r="S368" s="325" t="n">
        <f aca="false">++S366+S367</f>
        <v>2</v>
      </c>
      <c r="T368" s="325" t="n">
        <f aca="false">++T366+T367</f>
        <v>1</v>
      </c>
      <c r="U368" s="325" t="n">
        <f aca="false">++U366+U367</f>
        <v>1</v>
      </c>
      <c r="V368" s="325" t="n">
        <f aca="false">++V366+V367</f>
        <v>1</v>
      </c>
      <c r="W368" s="325" t="n">
        <v>1</v>
      </c>
      <c r="X368" s="325" t="n">
        <f aca="false">++X366+X367</f>
        <v>2</v>
      </c>
      <c r="Y368" s="325" t="n">
        <v>2</v>
      </c>
      <c r="Z368" s="325" t="n">
        <v>2</v>
      </c>
      <c r="AA368" s="325"/>
      <c r="AB368" s="325"/>
      <c r="AC368" s="325"/>
      <c r="AD368" s="325"/>
      <c r="AE368" s="325" t="n">
        <f aca="false">AE366+AE367</f>
        <v>2</v>
      </c>
      <c r="AF368" s="325" t="n">
        <f aca="false">AF366+AF367</f>
        <v>0</v>
      </c>
      <c r="AG368" s="325" t="n">
        <f aca="false">AG366+AG367</f>
        <v>-1</v>
      </c>
      <c r="AH368" s="325" t="n">
        <f aca="false">AH366+AH367</f>
        <v>0</v>
      </c>
      <c r="AI368" s="325" t="n">
        <f aca="false">AI366+AI367</f>
        <v>0</v>
      </c>
      <c r="AJ368" s="318" t="n">
        <f aca="false">W368-V368</f>
        <v>0</v>
      </c>
      <c r="AK368" s="325" t="n">
        <f aca="false">AK366+AK367</f>
        <v>1</v>
      </c>
      <c r="AL368" s="318" t="n">
        <f aca="false">Y368-X368</f>
        <v>0</v>
      </c>
      <c r="AM368" s="318" t="n">
        <f aca="false">Z368-Y368</f>
        <v>0</v>
      </c>
      <c r="AN368" s="318" t="s">
        <v>1726</v>
      </c>
      <c r="AO368" s="318" t="n">
        <f aca="false">AB368-AA368</f>
        <v>0</v>
      </c>
      <c r="AP368" s="318" t="n">
        <f aca="false">AC368-AB368</f>
        <v>0</v>
      </c>
      <c r="AQ368" s="325"/>
    </row>
    <row r="369" customFormat="false" ht="15" hidden="false" customHeight="false" outlineLevel="0" collapsed="false">
      <c r="C369" s="324"/>
      <c r="Q369" s="325"/>
      <c r="R369" s="325"/>
      <c r="S369" s="325"/>
      <c r="T369" s="325"/>
      <c r="U369" s="325"/>
      <c r="V369" s="325"/>
      <c r="W369" s="325"/>
      <c r="X369" s="325"/>
      <c r="Y369" s="325"/>
      <c r="Z369" s="318"/>
      <c r="AA369" s="325"/>
      <c r="AB369" s="325"/>
      <c r="AC369" s="325"/>
      <c r="AD369" s="325"/>
      <c r="AE369" s="325"/>
      <c r="AF369" s="325"/>
      <c r="AG369" s="325"/>
      <c r="AH369" s="325"/>
      <c r="AI369" s="325"/>
      <c r="AJ369" s="325"/>
      <c r="AK369" s="325"/>
      <c r="AL369" s="325"/>
      <c r="AM369" s="325"/>
      <c r="AN369" s="325"/>
      <c r="AO369" s="325"/>
      <c r="AP369" s="325"/>
      <c r="AQ369" s="325"/>
    </row>
    <row r="370" customFormat="false" ht="15" hidden="false" customHeight="false" outlineLevel="0" collapsed="false">
      <c r="C370" s="324"/>
      <c r="Q370" s="325"/>
      <c r="R370" s="325"/>
      <c r="S370" s="325"/>
      <c r="T370" s="325"/>
      <c r="U370" s="325"/>
      <c r="V370" s="325"/>
      <c r="W370" s="325"/>
      <c r="X370" s="325" t="s">
        <v>2245</v>
      </c>
      <c r="Y370" s="325"/>
      <c r="Z370" s="318" t="n">
        <v>-951</v>
      </c>
      <c r="AA370" s="325"/>
      <c r="AB370" s="325"/>
      <c r="AC370" s="325"/>
      <c r="AD370" s="325"/>
      <c r="AE370" s="325"/>
      <c r="AF370" s="325"/>
      <c r="AG370" s="325"/>
      <c r="AH370" s="325"/>
      <c r="AI370" s="325"/>
      <c r="AJ370" s="325"/>
      <c r="AK370" s="325"/>
      <c r="AL370" s="325"/>
      <c r="AM370" s="325"/>
      <c r="AN370" s="325"/>
      <c r="AO370" s="325"/>
      <c r="AP370" s="325"/>
      <c r="AQ370" s="325"/>
    </row>
    <row r="371" customFormat="false" ht="15" hidden="false" customHeight="false" outlineLevel="0" collapsed="false">
      <c r="C371" s="324"/>
      <c r="Q371" s="325"/>
      <c r="R371" s="325"/>
      <c r="S371" s="325"/>
      <c r="T371" s="325"/>
      <c r="U371" s="325"/>
      <c r="V371" s="325"/>
      <c r="W371" s="325"/>
      <c r="X371" s="325"/>
      <c r="Y371" s="325"/>
      <c r="Z371" s="325"/>
      <c r="AA371" s="325"/>
      <c r="AB371" s="325"/>
      <c r="AC371" s="325"/>
      <c r="AD371" s="325"/>
      <c r="AE371" s="325"/>
      <c r="AF371" s="325"/>
      <c r="AG371" s="325"/>
      <c r="AH371" s="325"/>
      <c r="AI371" s="325"/>
      <c r="AJ371" s="325"/>
      <c r="AK371" s="325"/>
      <c r="AL371" s="325"/>
      <c r="AM371" s="325"/>
      <c r="AN371" s="325"/>
      <c r="AO371" s="325"/>
      <c r="AP371" s="325"/>
      <c r="AQ371" s="325"/>
    </row>
    <row r="372" customFormat="false" ht="15" hidden="false" customHeight="false" outlineLevel="0" collapsed="false">
      <c r="C372" s="324"/>
      <c r="Q372" s="325"/>
      <c r="R372" s="325"/>
      <c r="S372" s="325"/>
      <c r="T372" s="325"/>
      <c r="U372" s="325"/>
      <c r="V372" s="325"/>
      <c r="W372" s="325"/>
      <c r="X372" s="325"/>
      <c r="Y372" s="325"/>
      <c r="Z372" s="325"/>
      <c r="AA372" s="325"/>
      <c r="AB372" s="325"/>
      <c r="AC372" s="325"/>
      <c r="AD372" s="325"/>
      <c r="AE372" s="325"/>
      <c r="AF372" s="325"/>
      <c r="AG372" s="325"/>
      <c r="AH372" s="325"/>
      <c r="AI372" s="325"/>
      <c r="AJ372" s="325"/>
      <c r="AK372" s="325"/>
      <c r="AL372" s="325"/>
      <c r="AM372" s="325"/>
      <c r="AN372" s="325"/>
      <c r="AO372" s="325"/>
      <c r="AP372" s="325"/>
      <c r="AQ372" s="325"/>
    </row>
    <row r="373" customFormat="false" ht="15" hidden="false" customHeight="false" outlineLevel="0" collapsed="false">
      <c r="C373" s="324"/>
      <c r="Q373" s="325"/>
      <c r="R373" s="325"/>
      <c r="S373" s="325"/>
      <c r="T373" s="325"/>
      <c r="U373" s="325"/>
      <c r="V373" s="325"/>
      <c r="W373" s="325"/>
      <c r="X373" s="325"/>
      <c r="Y373" s="325"/>
      <c r="Z373" s="325"/>
      <c r="AA373" s="325"/>
      <c r="AB373" s="325"/>
      <c r="AC373" s="325"/>
      <c r="AD373" s="325"/>
      <c r="AE373" s="325"/>
      <c r="AF373" s="325"/>
      <c r="AG373" s="325"/>
      <c r="AH373" s="325"/>
      <c r="AI373" s="325"/>
      <c r="AJ373" s="325"/>
      <c r="AK373" s="325"/>
      <c r="AL373" s="325"/>
      <c r="AM373" s="325"/>
      <c r="AN373" s="325"/>
      <c r="AO373" s="325"/>
      <c r="AP373" s="325"/>
      <c r="AQ373" s="325"/>
    </row>
    <row r="374" customFormat="false" ht="15" hidden="false" customHeight="false" outlineLevel="0" collapsed="false">
      <c r="C374" s="326" t="s">
        <v>2246</v>
      </c>
      <c r="Q374" s="325" t="s">
        <v>2247</v>
      </c>
      <c r="R374" s="325" t="s">
        <v>2248</v>
      </c>
      <c r="S374" s="325" t="s">
        <v>2249</v>
      </c>
      <c r="T374" s="325" t="s">
        <v>2250</v>
      </c>
      <c r="U374" s="325" t="s">
        <v>2251</v>
      </c>
      <c r="V374" s="325" t="s">
        <v>2252</v>
      </c>
      <c r="W374" s="325" t="s">
        <v>2253</v>
      </c>
      <c r="X374" s="325" t="s">
        <v>2254</v>
      </c>
      <c r="Y374" s="325" t="s">
        <v>2255</v>
      </c>
      <c r="Z374" s="325" t="s">
        <v>2256</v>
      </c>
      <c r="AA374" s="325"/>
      <c r="AB374" s="325"/>
      <c r="AC374" s="325"/>
      <c r="AD374" s="325"/>
      <c r="AE374" s="325"/>
      <c r="AF374" s="325"/>
      <c r="AG374" s="325"/>
      <c r="AH374" s="325"/>
      <c r="AI374" s="325"/>
      <c r="AJ374" s="325"/>
      <c r="AK374" s="325"/>
      <c r="AL374" s="325"/>
      <c r="AM374" s="325"/>
      <c r="AN374" s="325"/>
      <c r="AO374" s="325"/>
      <c r="AP374" s="325"/>
      <c r="AQ374" s="325"/>
    </row>
    <row r="375" customFormat="false" ht="15" hidden="false" customHeight="false" outlineLevel="0" collapsed="false">
      <c r="B375" s="307" t="n">
        <v>26000850</v>
      </c>
      <c r="C375" s="307" t="s">
        <v>2257</v>
      </c>
      <c r="Q375" s="318" t="n">
        <v>-127257000000</v>
      </c>
      <c r="R375" s="318"/>
      <c r="S375" s="318"/>
      <c r="T375" s="318"/>
      <c r="U375" s="318"/>
      <c r="V375" s="318"/>
      <c r="W375" s="318"/>
      <c r="X375" s="318"/>
      <c r="Z375" s="318" t="n">
        <v>-130267000000</v>
      </c>
    </row>
    <row r="376" customFormat="false" ht="15" hidden="false" customHeight="false" outlineLevel="0" collapsed="false">
      <c r="B376" s="307" t="n">
        <v>26000851</v>
      </c>
      <c r="C376" s="307" t="s">
        <v>2258</v>
      </c>
      <c r="Q376" s="318" t="n">
        <v>127257000000</v>
      </c>
      <c r="R376" s="318"/>
      <c r="S376" s="318"/>
      <c r="T376" s="318"/>
      <c r="U376" s="318"/>
      <c r="V376" s="318"/>
      <c r="W376" s="318"/>
      <c r="X376" s="318"/>
      <c r="Z376" s="318" t="n">
        <v>130267000000</v>
      </c>
    </row>
    <row r="377" customFormat="false" ht="15" hidden="false" customHeight="false" outlineLevel="0" collapsed="false">
      <c r="B377" s="307" t="n">
        <v>40200850</v>
      </c>
      <c r="C377" s="307" t="s">
        <v>2259</v>
      </c>
      <c r="Q377" s="318" t="n">
        <v>-42280945742</v>
      </c>
      <c r="R377" s="318"/>
      <c r="S377" s="318"/>
      <c r="T377" s="318"/>
      <c r="U377" s="318"/>
      <c r="V377" s="318"/>
      <c r="W377" s="318"/>
      <c r="X377" s="318"/>
      <c r="Y377" s="325"/>
      <c r="Z377" s="318" t="n">
        <v>-80422214058</v>
      </c>
      <c r="AA377" s="325"/>
      <c r="AB377" s="325"/>
      <c r="AC377" s="325"/>
      <c r="AD377" s="325"/>
    </row>
    <row r="378" customFormat="false" ht="15" hidden="false" customHeight="false" outlineLevel="0" collapsed="false">
      <c r="B378" s="307" t="n">
        <v>40200851</v>
      </c>
      <c r="C378" s="307" t="s">
        <v>2260</v>
      </c>
      <c r="Q378" s="318" t="n">
        <v>42280945742</v>
      </c>
      <c r="R378" s="318"/>
      <c r="S378" s="318"/>
      <c r="T378" s="318"/>
      <c r="U378" s="318"/>
      <c r="V378" s="318"/>
      <c r="W378" s="318"/>
      <c r="X378" s="318"/>
      <c r="Z378" s="318" t="n">
        <v>80422214058</v>
      </c>
    </row>
    <row r="379" customFormat="false" ht="15" hidden="false" customHeight="false" outlineLevel="0" collapsed="false">
      <c r="A379" s="310" t="s">
        <v>2261</v>
      </c>
      <c r="B379" s="307" t="n">
        <v>83142000</v>
      </c>
      <c r="C379" s="307" t="s">
        <v>2262</v>
      </c>
      <c r="Q379" s="318"/>
      <c r="R379" s="318"/>
      <c r="S379" s="318"/>
      <c r="T379" s="318"/>
      <c r="U379" s="318"/>
      <c r="V379" s="318"/>
      <c r="W379" s="318"/>
      <c r="X379" s="318"/>
      <c r="Z379" s="318" t="n">
        <v>0</v>
      </c>
      <c r="AR379" s="307" t="str">
        <f aca="false">IFERROR(VLOOKUP(M379,'PL_DEC.2026'!$D$11:$D$99,1,FALSE()),"(미존재)")</f>
        <v>(미존재)</v>
      </c>
    </row>
    <row r="380" customFormat="false" ht="15" hidden="false" customHeight="false" outlineLevel="0" collapsed="false">
      <c r="A380" s="310" t="s">
        <v>2261</v>
      </c>
      <c r="B380" s="307" t="n">
        <v>83201000</v>
      </c>
      <c r="C380" s="307" t="s">
        <v>2263</v>
      </c>
      <c r="G380" s="307" t="s">
        <v>2264</v>
      </c>
      <c r="L380" s="317" t="s">
        <v>494</v>
      </c>
      <c r="M380" s="317" t="s">
        <v>1635</v>
      </c>
      <c r="N380" s="317" t="s">
        <v>494</v>
      </c>
      <c r="O380" s="307" t="s">
        <v>2265</v>
      </c>
      <c r="P380" s="307" t="s">
        <v>2265</v>
      </c>
      <c r="Q380" s="319" t="n">
        <v>-53280567</v>
      </c>
      <c r="R380" s="318"/>
      <c r="S380" s="318"/>
      <c r="T380" s="318"/>
      <c r="U380" s="318"/>
      <c r="V380" s="318"/>
      <c r="W380" s="318"/>
      <c r="X380" s="318"/>
      <c r="Z380" s="318" t="n">
        <v>-49640922</v>
      </c>
      <c r="AR380" s="307" t="str">
        <f aca="false">IFERROR(VLOOKUP(M380,'PL_DEC.2026'!$D$11:$D$99,1,FALSE()),"(미존재)")</f>
        <v>(미존재)</v>
      </c>
    </row>
    <row r="381" customFormat="false" ht="15" hidden="false" customHeight="false" outlineLevel="0" collapsed="false">
      <c r="A381" s="310" t="s">
        <v>2261</v>
      </c>
      <c r="B381" s="307" t="n">
        <v>83260000</v>
      </c>
      <c r="C381" s="307" t="s">
        <v>2266</v>
      </c>
      <c r="Q381" s="318"/>
      <c r="R381" s="318"/>
      <c r="S381" s="318"/>
      <c r="T381" s="318"/>
      <c r="U381" s="318"/>
      <c r="V381" s="318"/>
      <c r="W381" s="318"/>
      <c r="X381" s="318"/>
      <c r="Z381" s="318" t="n">
        <v>0</v>
      </c>
      <c r="AR381" s="307" t="str">
        <f aca="false">IFERROR(VLOOKUP(M381,'PL_DEC.2026'!$D$11:$D$99,1,FALSE()),"(미존재)")</f>
        <v>(미존재)</v>
      </c>
    </row>
    <row r="382" customFormat="false" ht="15" hidden="false" customHeight="false" outlineLevel="0" collapsed="false">
      <c r="A382" s="310" t="s">
        <v>2261</v>
      </c>
      <c r="B382" s="307" t="n">
        <v>84429100</v>
      </c>
      <c r="C382" s="307" t="s">
        <v>2267</v>
      </c>
      <c r="Q382" s="318"/>
      <c r="R382" s="318"/>
      <c r="S382" s="318"/>
      <c r="T382" s="318"/>
      <c r="U382" s="318"/>
      <c r="V382" s="318"/>
      <c r="W382" s="318"/>
      <c r="X382" s="318"/>
      <c r="Z382" s="318" t="n">
        <v>0</v>
      </c>
      <c r="AR382" s="307" t="str">
        <f aca="false">IFERROR(VLOOKUP(M382,'PL_DEC.2026'!$D$11:$D$99,1,FALSE()),"(미존재)")</f>
        <v>(미존재)</v>
      </c>
    </row>
    <row r="383" customFormat="false" ht="15" hidden="false" customHeight="false" outlineLevel="0" collapsed="false">
      <c r="A383" s="310" t="s">
        <v>2261</v>
      </c>
      <c r="B383" s="307" t="n">
        <v>84429300</v>
      </c>
      <c r="C383" s="307" t="s">
        <v>2268</v>
      </c>
      <c r="G383" s="307" t="s">
        <v>2269</v>
      </c>
      <c r="L383" s="317" t="s">
        <v>157</v>
      </c>
      <c r="M383" s="317" t="s">
        <v>175</v>
      </c>
      <c r="N383" s="317" t="s">
        <v>157</v>
      </c>
      <c r="O383" s="307" t="s">
        <v>2270</v>
      </c>
      <c r="P383" s="307" t="s">
        <v>2270</v>
      </c>
      <c r="Q383" s="318" t="n">
        <v>784609459</v>
      </c>
      <c r="R383" s="318"/>
      <c r="S383" s="318"/>
      <c r="T383" s="318"/>
      <c r="U383" s="318"/>
      <c r="V383" s="318"/>
      <c r="W383" s="318"/>
      <c r="X383" s="318"/>
      <c r="Z383" s="318" t="n">
        <v>784609459</v>
      </c>
    </row>
    <row r="384" customFormat="false" ht="15" hidden="false" customHeight="false" outlineLevel="0" collapsed="false">
      <c r="A384" s="310" t="s">
        <v>2261</v>
      </c>
      <c r="B384" s="307" t="n">
        <v>86100082</v>
      </c>
      <c r="C384" s="307" t="s">
        <v>2271</v>
      </c>
      <c r="G384" s="307" t="s">
        <v>2272</v>
      </c>
      <c r="L384" s="317" t="s">
        <v>494</v>
      </c>
      <c r="M384" s="317" t="s">
        <v>103</v>
      </c>
      <c r="N384" s="317" t="s">
        <v>494</v>
      </c>
      <c r="O384" s="307" t="s">
        <v>2273</v>
      </c>
      <c r="P384" s="307" t="s">
        <v>2273</v>
      </c>
      <c r="Q384" s="318" t="n">
        <v>-11215999121</v>
      </c>
      <c r="R384" s="318"/>
      <c r="S384" s="318"/>
      <c r="T384" s="318"/>
      <c r="U384" s="318"/>
      <c r="V384" s="318"/>
      <c r="W384" s="318"/>
      <c r="X384" s="318"/>
      <c r="Z384" s="318" t="n">
        <v>-11215999121</v>
      </c>
    </row>
    <row r="385" customFormat="false" ht="15" hidden="false" customHeight="false" outlineLevel="0" collapsed="false">
      <c r="A385" s="310" t="s">
        <v>2261</v>
      </c>
      <c r="B385" s="307" t="n">
        <v>86100083</v>
      </c>
      <c r="C385" s="307" t="s">
        <v>2274</v>
      </c>
      <c r="G385" s="307" t="s">
        <v>2275</v>
      </c>
      <c r="L385" s="317" t="s">
        <v>494</v>
      </c>
      <c r="M385" s="317" t="s">
        <v>1544</v>
      </c>
      <c r="N385" s="317" t="s">
        <v>494</v>
      </c>
      <c r="O385" s="307" t="s">
        <v>2276</v>
      </c>
      <c r="P385" s="307" t="s">
        <v>2276</v>
      </c>
      <c r="Q385" s="318" t="n">
        <v>10179012274</v>
      </c>
      <c r="R385" s="318"/>
      <c r="S385" s="318"/>
      <c r="T385" s="318"/>
      <c r="U385" s="318"/>
      <c r="V385" s="318"/>
      <c r="W385" s="318"/>
      <c r="X385" s="318"/>
      <c r="Z385" s="318" t="n">
        <v>11310270634</v>
      </c>
    </row>
    <row r="386" customFormat="false" ht="15" hidden="false" customHeight="false" outlineLevel="0" collapsed="false">
      <c r="A386" s="310" t="s">
        <v>2261</v>
      </c>
      <c r="B386" s="307" t="n">
        <v>86101000</v>
      </c>
      <c r="C386" s="307" t="s">
        <v>2277</v>
      </c>
      <c r="Q386" s="318"/>
      <c r="R386" s="318"/>
      <c r="S386" s="318"/>
      <c r="T386" s="318"/>
      <c r="U386" s="318"/>
      <c r="V386" s="318"/>
      <c r="W386" s="318"/>
      <c r="X386" s="318"/>
      <c r="Z386" s="318" t="n">
        <v>0</v>
      </c>
      <c r="AR386" s="307" t="str">
        <f aca="false">IFERROR(VLOOKUP(M386,'PL_DEC.2026'!$D$11:$D$99,1,FALSE()),"(미존재)")</f>
        <v>(미존재)</v>
      </c>
    </row>
    <row r="387" customFormat="false" ht="15" hidden="false" customHeight="false" outlineLevel="0" collapsed="false">
      <c r="A387" s="310" t="s">
        <v>2261</v>
      </c>
      <c r="B387" s="307" t="n">
        <v>86101010</v>
      </c>
      <c r="C387" s="307" t="s">
        <v>2278</v>
      </c>
      <c r="Q387" s="318"/>
      <c r="R387" s="318"/>
      <c r="S387" s="318"/>
      <c r="T387" s="318"/>
      <c r="U387" s="318"/>
      <c r="V387" s="318"/>
      <c r="W387" s="318"/>
      <c r="X387" s="318"/>
      <c r="Z387" s="318" t="n">
        <v>0</v>
      </c>
      <c r="AR387" s="307" t="str">
        <f aca="false">IFERROR(VLOOKUP(M387,'PL_DEC.2026'!$D$11:$D$99,1,FALSE()),"(미존재)")</f>
        <v>(미존재)</v>
      </c>
    </row>
    <row r="388" customFormat="false" ht="15" hidden="false" customHeight="false" outlineLevel="0" collapsed="false">
      <c r="A388" s="310" t="s">
        <v>2261</v>
      </c>
      <c r="B388" s="307" t="n">
        <v>86102007</v>
      </c>
      <c r="C388" s="307" t="s">
        <v>2279</v>
      </c>
      <c r="Q388" s="318"/>
      <c r="R388" s="318"/>
      <c r="S388" s="318"/>
      <c r="T388" s="318"/>
      <c r="U388" s="318"/>
      <c r="V388" s="318"/>
      <c r="W388" s="318"/>
      <c r="X388" s="318"/>
      <c r="Z388" s="318" t="n">
        <v>0</v>
      </c>
      <c r="AR388" s="307" t="str">
        <f aca="false">IFERROR(VLOOKUP(M388,'PL_DEC.2026'!$D$11:$D$99,1,FALSE()),"(미존재)")</f>
        <v>(미존재)</v>
      </c>
    </row>
    <row r="389" customFormat="false" ht="15" hidden="false" customHeight="false" outlineLevel="0" collapsed="false">
      <c r="A389" s="310" t="s">
        <v>2261</v>
      </c>
      <c r="B389" s="307" t="n">
        <v>86104100</v>
      </c>
      <c r="C389" s="307" t="s">
        <v>2280</v>
      </c>
      <c r="Q389" s="318"/>
      <c r="R389" s="318"/>
      <c r="S389" s="318"/>
      <c r="T389" s="318"/>
      <c r="U389" s="318"/>
      <c r="V389" s="318"/>
      <c r="W389" s="318"/>
      <c r="X389" s="318"/>
      <c r="Z389" s="318" t="n">
        <v>0</v>
      </c>
      <c r="AR389" s="307" t="str">
        <f aca="false">IFERROR(VLOOKUP(M389,'PL_DEC.2026'!$D$11:$D$99,1,FALSE()),"(미존재)")</f>
        <v>(미존재)</v>
      </c>
    </row>
    <row r="390" customFormat="false" ht="15" hidden="false" customHeight="false" outlineLevel="0" collapsed="false">
      <c r="A390" s="310" t="s">
        <v>2261</v>
      </c>
      <c r="B390" s="307" t="n">
        <v>86111000</v>
      </c>
      <c r="C390" s="307" t="s">
        <v>2281</v>
      </c>
      <c r="Q390" s="318"/>
      <c r="R390" s="318"/>
      <c r="S390" s="318"/>
      <c r="T390" s="318"/>
      <c r="U390" s="318"/>
      <c r="V390" s="318"/>
      <c r="W390" s="318"/>
      <c r="X390" s="318"/>
      <c r="Z390" s="318" t="n">
        <v>0</v>
      </c>
      <c r="AR390" s="307" t="str">
        <f aca="false">IFERROR(VLOOKUP(M390,'PL_DEC.2026'!$D$11:$D$99,1,FALSE()),"(미존재)")</f>
        <v>(미존재)</v>
      </c>
    </row>
    <row r="391" customFormat="false" ht="15" hidden="false" customHeight="false" outlineLevel="0" collapsed="false">
      <c r="A391" s="310" t="s">
        <v>2261</v>
      </c>
      <c r="B391" s="307" t="n">
        <v>86111010</v>
      </c>
      <c r="C391" s="307" t="s">
        <v>2282</v>
      </c>
      <c r="Q391" s="318"/>
      <c r="R391" s="318"/>
      <c r="S391" s="318"/>
      <c r="T391" s="318"/>
      <c r="U391" s="318"/>
      <c r="V391" s="318"/>
      <c r="W391" s="318"/>
      <c r="X391" s="318"/>
      <c r="Z391" s="318" t="n">
        <v>0</v>
      </c>
      <c r="AR391" s="307" t="str">
        <f aca="false">IFERROR(VLOOKUP(M391,'PL_DEC.2026'!$D$11:$D$99,1,FALSE()),"(미존재)")</f>
        <v>(미존재)</v>
      </c>
    </row>
    <row r="392" customFormat="false" ht="15" hidden="false" customHeight="false" outlineLevel="0" collapsed="false">
      <c r="A392" s="310" t="s">
        <v>2261</v>
      </c>
      <c r="B392" s="307" t="n">
        <v>86111500</v>
      </c>
      <c r="C392" s="307" t="s">
        <v>2283</v>
      </c>
      <c r="Q392" s="318"/>
      <c r="R392" s="318"/>
      <c r="S392" s="318"/>
      <c r="T392" s="318"/>
      <c r="U392" s="318"/>
      <c r="V392" s="318"/>
      <c r="W392" s="318"/>
      <c r="X392" s="318"/>
      <c r="Z392" s="318" t="n">
        <v>0</v>
      </c>
      <c r="AR392" s="307" t="str">
        <f aca="false">IFERROR(VLOOKUP(M392,'PL_DEC.2026'!$D$11:$D$99,1,FALSE()),"(미존재)")</f>
        <v>(미존재)</v>
      </c>
    </row>
    <row r="393" customFormat="false" ht="15" hidden="false" customHeight="false" outlineLevel="0" collapsed="false">
      <c r="A393" s="310" t="s">
        <v>2261</v>
      </c>
      <c r="B393" s="307" t="n">
        <v>86112007</v>
      </c>
      <c r="C393" s="307" t="s">
        <v>2284</v>
      </c>
      <c r="Q393" s="318"/>
      <c r="R393" s="318"/>
      <c r="S393" s="318"/>
      <c r="T393" s="318"/>
      <c r="U393" s="318"/>
      <c r="V393" s="318"/>
      <c r="W393" s="318"/>
      <c r="X393" s="318"/>
      <c r="Z393" s="318" t="n">
        <v>0</v>
      </c>
      <c r="AR393" s="307" t="str">
        <f aca="false">IFERROR(VLOOKUP(M393,'PL_DEC.2026'!$D$11:$D$99,1,FALSE()),"(미존재)")</f>
        <v>(미존재)</v>
      </c>
    </row>
    <row r="394" customFormat="false" ht="15" hidden="false" customHeight="false" outlineLevel="0" collapsed="false">
      <c r="A394" s="310" t="s">
        <v>2261</v>
      </c>
      <c r="B394" s="307" t="n">
        <v>86150001</v>
      </c>
      <c r="C394" s="307" t="s">
        <v>2285</v>
      </c>
      <c r="G394" s="307" t="n">
        <v>0</v>
      </c>
      <c r="L394" s="317" t="s">
        <v>494</v>
      </c>
      <c r="M394" s="317" t="s">
        <v>90</v>
      </c>
      <c r="N394" s="317" t="s">
        <v>494</v>
      </c>
      <c r="O394" s="307" t="s">
        <v>2286</v>
      </c>
      <c r="P394" s="307" t="s">
        <v>2286</v>
      </c>
      <c r="Q394" s="318"/>
      <c r="R394" s="318"/>
      <c r="S394" s="318"/>
      <c r="T394" s="318"/>
      <c r="U394" s="318"/>
      <c r="V394" s="318"/>
      <c r="W394" s="318"/>
      <c r="X394" s="318"/>
      <c r="Z394" s="318" t="n">
        <v>0</v>
      </c>
      <c r="AR394" s="307" t="str">
        <f aca="false">IFERROR(VLOOKUP(M394,'PL_DEC.2026'!$D$11:$D$99,1,FALSE()),"(미존재)")</f>
        <v>(미존재)</v>
      </c>
    </row>
    <row r="395" customFormat="false" ht="15" hidden="false" customHeight="false" outlineLevel="0" collapsed="false">
      <c r="A395" s="310" t="s">
        <v>2261</v>
      </c>
      <c r="B395" s="307" t="n">
        <v>86158008</v>
      </c>
      <c r="C395" s="307" t="s">
        <v>2287</v>
      </c>
      <c r="Q395" s="318"/>
      <c r="R395" s="318"/>
      <c r="S395" s="318"/>
      <c r="T395" s="318"/>
      <c r="U395" s="318"/>
      <c r="V395" s="318"/>
      <c r="W395" s="318"/>
      <c r="X395" s="318"/>
      <c r="Z395" s="318" t="n">
        <v>0</v>
      </c>
      <c r="AR395" s="307" t="str">
        <f aca="false">IFERROR(VLOOKUP(M395,'PL_DEC.2026'!$D$11:$D$99,1,FALSE()),"(미존재)")</f>
        <v>(미존재)</v>
      </c>
    </row>
    <row r="396" customFormat="false" ht="15" hidden="false" customHeight="false" outlineLevel="0" collapsed="false">
      <c r="A396" s="310" t="s">
        <v>2261</v>
      </c>
      <c r="B396" s="307" t="n">
        <v>86159000</v>
      </c>
      <c r="C396" s="307" t="s">
        <v>2288</v>
      </c>
      <c r="Q396" s="318"/>
      <c r="R396" s="318"/>
      <c r="S396" s="318"/>
      <c r="T396" s="318"/>
      <c r="U396" s="318"/>
      <c r="V396" s="318"/>
      <c r="W396" s="318"/>
      <c r="X396" s="318"/>
      <c r="Z396" s="318" t="n">
        <v>0</v>
      </c>
      <c r="AR396" s="307" t="str">
        <f aca="false">IFERROR(VLOOKUP(M396,'PL_DEC.2026'!$D$11:$D$99,1,FALSE()),"(미존재)")</f>
        <v>(미존재)</v>
      </c>
    </row>
    <row r="397" customFormat="false" ht="15" hidden="false" customHeight="false" outlineLevel="0" collapsed="false">
      <c r="A397" s="310" t="s">
        <v>2261</v>
      </c>
      <c r="B397" s="307" t="n">
        <v>86200800</v>
      </c>
      <c r="C397" s="307" t="s">
        <v>2289</v>
      </c>
      <c r="G397" s="307" t="s">
        <v>2275</v>
      </c>
      <c r="L397" s="317" t="s">
        <v>157</v>
      </c>
      <c r="M397" s="317" t="s">
        <v>171</v>
      </c>
      <c r="N397" s="317" t="s">
        <v>157</v>
      </c>
      <c r="O397" s="317" t="s">
        <v>1689</v>
      </c>
      <c r="P397" s="317" t="s">
        <v>171</v>
      </c>
      <c r="Q397" s="318"/>
      <c r="R397" s="318"/>
      <c r="S397" s="318"/>
      <c r="T397" s="318"/>
      <c r="U397" s="318"/>
      <c r="V397" s="318"/>
      <c r="W397" s="318"/>
      <c r="X397" s="318"/>
      <c r="Z397" s="318" t="n">
        <v>-231643035</v>
      </c>
    </row>
    <row r="398" customFormat="false" ht="15" hidden="false" customHeight="false" outlineLevel="0" collapsed="false">
      <c r="A398" s="310" t="s">
        <v>2261</v>
      </c>
      <c r="B398" s="307" t="n">
        <v>86240007</v>
      </c>
      <c r="C398" s="307" t="s">
        <v>2290</v>
      </c>
      <c r="G398" s="307" t="n">
        <v>0</v>
      </c>
      <c r="L398" s="317" t="s">
        <v>494</v>
      </c>
      <c r="M398" s="317" t="s">
        <v>30</v>
      </c>
      <c r="N398" s="317" t="s">
        <v>494</v>
      </c>
      <c r="O398" s="307" t="s">
        <v>2291</v>
      </c>
      <c r="P398" s="307" t="s">
        <v>2291</v>
      </c>
      <c r="Q398" s="318"/>
      <c r="R398" s="318"/>
      <c r="S398" s="318"/>
      <c r="T398" s="318"/>
      <c r="U398" s="318"/>
      <c r="V398" s="318"/>
      <c r="W398" s="318"/>
      <c r="X398" s="318"/>
      <c r="Z398" s="318" t="n">
        <v>0</v>
      </c>
      <c r="AR398" s="307" t="str">
        <f aca="false">IFERROR(VLOOKUP(M398,'PL_DEC.2026'!$D$11:$D$99,1,FALSE()),"(미존재)")</f>
        <v>(미존재)</v>
      </c>
    </row>
    <row r="399" customFormat="false" ht="15" hidden="false" customHeight="false" outlineLevel="0" collapsed="false">
      <c r="A399" s="310" t="s">
        <v>2261</v>
      </c>
      <c r="B399" s="307" t="n">
        <v>86260000</v>
      </c>
      <c r="C399" s="307" t="s">
        <v>2292</v>
      </c>
      <c r="Q399" s="318"/>
      <c r="R399" s="318"/>
      <c r="S399" s="318"/>
      <c r="T399" s="318"/>
      <c r="U399" s="318"/>
      <c r="V399" s="318"/>
      <c r="W399" s="318"/>
      <c r="X399" s="318"/>
      <c r="Z399" s="318" t="n">
        <v>0</v>
      </c>
      <c r="AR399" s="307" t="str">
        <f aca="false">IFERROR(VLOOKUP(M399,'PL_DEC.2026'!$D$11:$D$99,1,FALSE()),"(미존재)")</f>
        <v>(미존재)</v>
      </c>
    </row>
    <row r="400" customFormat="false" ht="15" hidden="false" customHeight="false" outlineLevel="0" collapsed="false">
      <c r="A400" s="310" t="s">
        <v>2261</v>
      </c>
      <c r="B400" s="307" t="n">
        <v>86260008</v>
      </c>
      <c r="C400" s="307" t="s">
        <v>2293</v>
      </c>
      <c r="G400" s="307" t="n">
        <v>0</v>
      </c>
      <c r="L400" s="317" t="s">
        <v>494</v>
      </c>
      <c r="M400" s="317" t="s">
        <v>45</v>
      </c>
      <c r="N400" s="317" t="s">
        <v>494</v>
      </c>
      <c r="O400" s="307" t="s">
        <v>2294</v>
      </c>
      <c r="P400" s="307" t="s">
        <v>2294</v>
      </c>
      <c r="Q400" s="318"/>
      <c r="R400" s="318"/>
      <c r="S400" s="318"/>
      <c r="T400" s="318"/>
      <c r="U400" s="318"/>
      <c r="V400" s="318"/>
      <c r="W400" s="318"/>
      <c r="X400" s="318"/>
      <c r="Z400" s="318" t="n">
        <v>0</v>
      </c>
      <c r="AR400" s="307" t="str">
        <f aca="false">IFERROR(VLOOKUP(M400,'PL_DEC.2026'!$D$11:$D$99,1,FALSE()),"(미존재)")</f>
        <v>(미존재)</v>
      </c>
    </row>
    <row r="401" customFormat="false" ht="15" hidden="false" customHeight="false" outlineLevel="0" collapsed="false">
      <c r="A401" s="310" t="s">
        <v>2261</v>
      </c>
      <c r="B401" s="307" t="n">
        <v>86260033</v>
      </c>
      <c r="C401" s="307" t="s">
        <v>2295</v>
      </c>
      <c r="G401" s="307" t="n">
        <v>0</v>
      </c>
      <c r="L401" s="317" t="s">
        <v>494</v>
      </c>
      <c r="M401" s="317" t="s">
        <v>36</v>
      </c>
      <c r="N401" s="317" t="s">
        <v>494</v>
      </c>
      <c r="O401" s="307" t="s">
        <v>2296</v>
      </c>
      <c r="P401" s="307" t="s">
        <v>2296</v>
      </c>
      <c r="Q401" s="318" t="n">
        <v>2256858116</v>
      </c>
      <c r="R401" s="318"/>
      <c r="S401" s="318"/>
      <c r="T401" s="318"/>
      <c r="U401" s="318"/>
      <c r="V401" s="318"/>
      <c r="W401" s="318"/>
      <c r="X401" s="318"/>
      <c r="Z401" s="318" t="n">
        <v>0</v>
      </c>
      <c r="AR401" s="307" t="str">
        <f aca="false">IFERROR(VLOOKUP(M401,'PL_DEC.2026'!$D$11:$D$99,1,FALSE()),"(미존재)")</f>
        <v>(미존재)</v>
      </c>
    </row>
    <row r="402" customFormat="false" ht="15" hidden="false" customHeight="false" outlineLevel="0" collapsed="false">
      <c r="A402" s="310" t="s">
        <v>2261</v>
      </c>
      <c r="B402" s="307" t="n">
        <v>86265300</v>
      </c>
      <c r="C402" s="307" t="s">
        <v>2297</v>
      </c>
      <c r="Q402" s="318"/>
      <c r="R402" s="318"/>
      <c r="S402" s="318"/>
      <c r="T402" s="318"/>
      <c r="U402" s="318"/>
      <c r="V402" s="318"/>
      <c r="W402" s="318"/>
      <c r="X402" s="318"/>
      <c r="Z402" s="318" t="n">
        <v>0</v>
      </c>
      <c r="AR402" s="307" t="str">
        <f aca="false">IFERROR(VLOOKUP(M402,'PL_DEC.2026'!$D$11:$D$99,1,FALSE()),"(미존재)")</f>
        <v>(미존재)</v>
      </c>
    </row>
    <row r="403" customFormat="false" ht="15" hidden="false" customHeight="false" outlineLevel="0" collapsed="false">
      <c r="A403" s="310" t="s">
        <v>2261</v>
      </c>
      <c r="B403" s="307" t="n">
        <v>86266003</v>
      </c>
      <c r="C403" s="307" t="s">
        <v>2298</v>
      </c>
      <c r="G403" s="307" t="n">
        <v>0</v>
      </c>
      <c r="L403" s="317" t="s">
        <v>494</v>
      </c>
      <c r="M403" s="317" t="s">
        <v>147</v>
      </c>
      <c r="N403" s="317" t="s">
        <v>494</v>
      </c>
      <c r="O403" s="307" t="s">
        <v>2299</v>
      </c>
      <c r="P403" s="307" t="s">
        <v>2299</v>
      </c>
      <c r="Q403" s="318" t="n">
        <v>-4470720940</v>
      </c>
      <c r="R403" s="318"/>
      <c r="S403" s="318"/>
      <c r="T403" s="318"/>
      <c r="U403" s="318"/>
      <c r="V403" s="318"/>
      <c r="W403" s="318"/>
      <c r="X403" s="318"/>
      <c r="Z403" s="318" t="n">
        <v>0</v>
      </c>
      <c r="AR403" s="307" t="str">
        <f aca="false">IFERROR(VLOOKUP(M403,'PL_DEC.2026'!$D$11:$D$99,1,FALSE()),"(미존재)")</f>
        <v>(미존재)</v>
      </c>
    </row>
    <row r="404" customFormat="false" ht="15" hidden="false" customHeight="false" outlineLevel="0" collapsed="false">
      <c r="A404" s="310" t="s">
        <v>2261</v>
      </c>
      <c r="B404" s="307" t="n">
        <v>86266554</v>
      </c>
      <c r="C404" s="307" t="s">
        <v>2300</v>
      </c>
      <c r="Q404" s="318"/>
      <c r="R404" s="318"/>
      <c r="S404" s="318"/>
      <c r="T404" s="318"/>
      <c r="U404" s="318"/>
      <c r="V404" s="318"/>
      <c r="W404" s="318"/>
      <c r="X404" s="318"/>
      <c r="Z404" s="318" t="n">
        <v>0</v>
      </c>
      <c r="AR404" s="307" t="str">
        <f aca="false">IFERROR(VLOOKUP(M404,'PL_DEC.2026'!$D$11:$D$99,1,FALSE()),"(미존재)")</f>
        <v>(미존재)</v>
      </c>
    </row>
    <row r="405" customFormat="false" ht="15" hidden="false" customHeight="false" outlineLevel="0" collapsed="false">
      <c r="A405" s="310" t="s">
        <v>2261</v>
      </c>
      <c r="B405" s="307" t="n">
        <v>86291000</v>
      </c>
      <c r="C405" s="307" t="s">
        <v>2301</v>
      </c>
      <c r="G405" s="307" t="s">
        <v>2275</v>
      </c>
      <c r="L405" s="317" t="s">
        <v>494</v>
      </c>
      <c r="M405" s="317" t="s">
        <v>57</v>
      </c>
      <c r="N405" s="317" t="s">
        <v>494</v>
      </c>
      <c r="O405" s="307" t="s">
        <v>2302</v>
      </c>
      <c r="P405" s="307" t="s">
        <v>2302</v>
      </c>
      <c r="Q405" s="318" t="n">
        <v>-218849080</v>
      </c>
      <c r="R405" s="318"/>
      <c r="S405" s="318"/>
      <c r="T405" s="318"/>
      <c r="U405" s="318"/>
      <c r="V405" s="318"/>
      <c r="W405" s="318"/>
      <c r="X405" s="318"/>
      <c r="Z405" s="318" t="n">
        <v>-317032050</v>
      </c>
    </row>
    <row r="406" customFormat="false" ht="15" hidden="false" customHeight="false" outlineLevel="0" collapsed="false">
      <c r="A406" s="310" t="s">
        <v>2261</v>
      </c>
      <c r="B406" s="307" t="n">
        <v>86291502</v>
      </c>
      <c r="C406" s="307" t="s">
        <v>2303</v>
      </c>
      <c r="G406" s="307" t="n">
        <v>0</v>
      </c>
      <c r="L406" s="317" t="s">
        <v>494</v>
      </c>
      <c r="M406" s="317" t="s">
        <v>145</v>
      </c>
      <c r="N406" s="317" t="s">
        <v>494</v>
      </c>
      <c r="O406" s="307" t="s">
        <v>2304</v>
      </c>
      <c r="P406" s="307" t="s">
        <v>2304</v>
      </c>
      <c r="Q406" s="318" t="n">
        <v>422237592</v>
      </c>
      <c r="R406" s="318"/>
      <c r="S406" s="318"/>
      <c r="T406" s="318"/>
      <c r="U406" s="318"/>
      <c r="V406" s="318"/>
      <c r="W406" s="318"/>
      <c r="X406" s="318"/>
      <c r="Z406" s="318" t="n">
        <v>422237592</v>
      </c>
    </row>
    <row r="407" customFormat="false" ht="15" hidden="false" customHeight="false" outlineLevel="0" collapsed="false">
      <c r="A407" s="310" t="s">
        <v>2261</v>
      </c>
      <c r="B407" s="307" t="n">
        <v>86300001</v>
      </c>
      <c r="C407" s="307" t="s">
        <v>2305</v>
      </c>
      <c r="G407" s="317" t="s">
        <v>2306</v>
      </c>
      <c r="L407" s="317" t="s">
        <v>200</v>
      </c>
      <c r="M407" s="317" t="s">
        <v>208</v>
      </c>
      <c r="N407" s="317" t="s">
        <v>200</v>
      </c>
      <c r="O407" s="307" t="s">
        <v>2307</v>
      </c>
      <c r="P407" s="307" t="s">
        <v>2307</v>
      </c>
      <c r="Q407" s="318" t="n">
        <v>-30019790582</v>
      </c>
      <c r="R407" s="318"/>
      <c r="S407" s="318"/>
      <c r="T407" s="318"/>
      <c r="U407" s="318"/>
      <c r="V407" s="318"/>
      <c r="W407" s="318"/>
      <c r="X407" s="318"/>
      <c r="Z407" s="318" t="n">
        <v>-30019790582</v>
      </c>
    </row>
    <row r="408" customFormat="false" ht="15" hidden="false" customHeight="false" outlineLevel="0" collapsed="false">
      <c r="A408" s="310" t="s">
        <v>2261</v>
      </c>
      <c r="B408" s="307" t="n">
        <v>86310000</v>
      </c>
      <c r="C408" s="307" t="s">
        <v>2308</v>
      </c>
      <c r="G408" s="317" t="s">
        <v>2309</v>
      </c>
      <c r="L408" s="317" t="s">
        <v>200</v>
      </c>
      <c r="M408" s="317" t="s">
        <v>210</v>
      </c>
      <c r="N408" s="317" t="s">
        <v>200</v>
      </c>
      <c r="O408" s="307" t="s">
        <v>2310</v>
      </c>
      <c r="P408" s="307" t="s">
        <v>2310</v>
      </c>
      <c r="Q408" s="318" t="n">
        <v>-3154816366</v>
      </c>
      <c r="R408" s="318"/>
      <c r="S408" s="318"/>
      <c r="T408" s="318"/>
      <c r="U408" s="318"/>
      <c r="V408" s="318"/>
      <c r="W408" s="318"/>
      <c r="X408" s="318"/>
      <c r="Z408" s="318" t="n">
        <v>-3154816366</v>
      </c>
    </row>
    <row r="409" customFormat="false" ht="15" hidden="false" customHeight="false" outlineLevel="0" collapsed="false">
      <c r="A409" s="310" t="s">
        <v>2261</v>
      </c>
      <c r="B409" s="307" t="n">
        <v>86322000</v>
      </c>
      <c r="C409" s="307" t="s">
        <v>2311</v>
      </c>
      <c r="G409" s="307" t="n">
        <v>0</v>
      </c>
      <c r="L409" s="317" t="s">
        <v>200</v>
      </c>
      <c r="M409" s="317" t="s">
        <v>220</v>
      </c>
      <c r="N409" s="317" t="s">
        <v>200</v>
      </c>
      <c r="O409" s="307" t="s">
        <v>2312</v>
      </c>
      <c r="P409" s="307" t="s">
        <v>2312</v>
      </c>
      <c r="Q409" s="318" t="n">
        <v>51148825200</v>
      </c>
      <c r="R409" s="318"/>
      <c r="S409" s="318"/>
      <c r="T409" s="318"/>
      <c r="U409" s="318"/>
      <c r="V409" s="318"/>
      <c r="W409" s="318"/>
      <c r="X409" s="318"/>
      <c r="Z409" s="318" t="n">
        <v>52281765109</v>
      </c>
    </row>
    <row r="410" customFormat="false" ht="15" hidden="false" customHeight="false" outlineLevel="0" collapsed="false">
      <c r="A410" s="310" t="s">
        <v>2261</v>
      </c>
      <c r="B410" s="307" t="n">
        <v>86322007</v>
      </c>
      <c r="C410" s="307" t="s">
        <v>2313</v>
      </c>
      <c r="G410" s="317" t="s">
        <v>2306</v>
      </c>
      <c r="L410" s="317" t="s">
        <v>200</v>
      </c>
      <c r="M410" s="317" t="s">
        <v>216</v>
      </c>
      <c r="N410" s="317" t="s">
        <v>200</v>
      </c>
      <c r="O410" s="307" t="s">
        <v>2314</v>
      </c>
      <c r="P410" s="307" t="s">
        <v>2314</v>
      </c>
      <c r="Q410" s="318" t="n">
        <v>25000000</v>
      </c>
      <c r="R410" s="318"/>
      <c r="S410" s="318"/>
      <c r="T410" s="318"/>
      <c r="U410" s="318"/>
      <c r="V410" s="318"/>
      <c r="W410" s="318"/>
      <c r="X410" s="318"/>
      <c r="Z410" s="318" t="n">
        <v>25000000</v>
      </c>
    </row>
    <row r="411" customFormat="false" ht="15" hidden="false" customHeight="false" outlineLevel="0" collapsed="false">
      <c r="A411" s="310" t="s">
        <v>2261</v>
      </c>
      <c r="B411" s="307" t="n">
        <v>86322100</v>
      </c>
      <c r="C411" s="307" t="s">
        <v>2315</v>
      </c>
      <c r="G411" s="307" t="n">
        <v>0</v>
      </c>
      <c r="L411" s="317" t="s">
        <v>200</v>
      </c>
      <c r="M411" s="317" t="s">
        <v>220</v>
      </c>
      <c r="N411" s="317" t="s">
        <v>200</v>
      </c>
      <c r="O411" s="307" t="s">
        <v>2312</v>
      </c>
      <c r="P411" s="307" t="s">
        <v>2312</v>
      </c>
      <c r="Q411" s="318"/>
      <c r="R411" s="318"/>
      <c r="S411" s="318"/>
      <c r="T411" s="318"/>
      <c r="U411" s="318"/>
      <c r="V411" s="318"/>
      <c r="W411" s="318"/>
      <c r="X411" s="318"/>
      <c r="Z411" s="318" t="n">
        <v>0</v>
      </c>
      <c r="AR411" s="307" t="str">
        <f aca="false">IFERROR(VLOOKUP(M411,'PL_DEC.2026'!$D$11:$D$99,1,FALSE()),"(미존재)")</f>
        <v>(미존재)</v>
      </c>
    </row>
    <row r="412" customFormat="false" ht="15" hidden="false" customHeight="false" outlineLevel="0" collapsed="false">
      <c r="A412" s="310" t="s">
        <v>2261</v>
      </c>
      <c r="B412" s="307" t="n">
        <v>86329000</v>
      </c>
      <c r="C412" s="307" t="s">
        <v>2316</v>
      </c>
      <c r="G412" s="307" t="n">
        <v>0</v>
      </c>
      <c r="L412" s="317" t="s">
        <v>200</v>
      </c>
      <c r="M412" s="317" t="s">
        <v>220</v>
      </c>
      <c r="N412" s="317" t="s">
        <v>200</v>
      </c>
      <c r="O412" s="307" t="s">
        <v>2312</v>
      </c>
      <c r="P412" s="307" t="s">
        <v>2312</v>
      </c>
      <c r="Q412" s="318"/>
      <c r="R412" s="318"/>
      <c r="S412" s="318"/>
      <c r="T412" s="318"/>
      <c r="U412" s="318"/>
      <c r="V412" s="318"/>
      <c r="W412" s="318"/>
      <c r="X412" s="318"/>
      <c r="Z412" s="318" t="n">
        <v>0</v>
      </c>
      <c r="AR412" s="307" t="str">
        <f aca="false">IFERROR(VLOOKUP(M412,'PL_DEC.2026'!$D$11:$D$99,1,FALSE()),"(미존재)")</f>
        <v>(미존재)</v>
      </c>
    </row>
    <row r="413" customFormat="false" ht="15" hidden="false" customHeight="false" outlineLevel="0" collapsed="false">
      <c r="A413" s="310" t="s">
        <v>2261</v>
      </c>
      <c r="B413" s="307" t="n">
        <v>86424000</v>
      </c>
      <c r="C413" s="307" t="s">
        <v>2317</v>
      </c>
      <c r="Q413" s="318"/>
      <c r="R413" s="318"/>
      <c r="S413" s="318"/>
      <c r="T413" s="318"/>
      <c r="U413" s="318"/>
      <c r="V413" s="318"/>
      <c r="W413" s="318"/>
      <c r="X413" s="318"/>
      <c r="Z413" s="318" t="n">
        <v>0</v>
      </c>
      <c r="AR413" s="307" t="str">
        <f aca="false">IFERROR(VLOOKUP(M413,'PL_DEC.2026'!$D$11:$D$99,1,FALSE()),"(미존재)")</f>
        <v>(미존재)</v>
      </c>
    </row>
    <row r="414" customFormat="false" ht="15" hidden="false" customHeight="false" outlineLevel="0" collapsed="false">
      <c r="A414" s="310" t="s">
        <v>2261</v>
      </c>
      <c r="B414" s="307" t="n">
        <v>86424001</v>
      </c>
      <c r="C414" s="307" t="s">
        <v>2318</v>
      </c>
      <c r="Q414" s="318"/>
      <c r="R414" s="318"/>
      <c r="S414" s="318"/>
      <c r="T414" s="318"/>
      <c r="U414" s="318"/>
      <c r="V414" s="318"/>
      <c r="W414" s="318"/>
      <c r="X414" s="318"/>
      <c r="Z414" s="318" t="n">
        <v>0</v>
      </c>
      <c r="AR414" s="307" t="str">
        <f aca="false">IFERROR(VLOOKUP(M414,'PL_DEC.2026'!$D$11:$D$99,1,FALSE()),"(미존재)")</f>
        <v>(미존재)</v>
      </c>
    </row>
    <row r="415" customFormat="false" ht="15" hidden="false" customHeight="false" outlineLevel="0" collapsed="false">
      <c r="A415" s="310" t="s">
        <v>2261</v>
      </c>
      <c r="B415" s="307" t="n">
        <v>86429100</v>
      </c>
      <c r="C415" s="307" t="s">
        <v>2319</v>
      </c>
      <c r="G415" s="307" t="n">
        <v>0</v>
      </c>
      <c r="L415" s="317" t="s">
        <v>157</v>
      </c>
      <c r="M415" s="317" t="s">
        <v>161</v>
      </c>
      <c r="N415" s="317" t="s">
        <v>157</v>
      </c>
      <c r="O415" s="307" t="s">
        <v>2320</v>
      </c>
      <c r="P415" s="307" t="s">
        <v>2320</v>
      </c>
      <c r="Q415" s="318" t="n">
        <v>-154705481</v>
      </c>
      <c r="R415" s="318"/>
      <c r="S415" s="318"/>
      <c r="T415" s="318"/>
      <c r="U415" s="318"/>
      <c r="V415" s="318"/>
      <c r="W415" s="318"/>
      <c r="X415" s="318"/>
      <c r="Z415" s="318" t="n">
        <v>0</v>
      </c>
      <c r="AR415" s="307" t="str">
        <f aca="false">IFERROR(VLOOKUP(M415,'PL_DEC.2026'!$D$11:$D$99,1,FALSE()),"(미존재)")</f>
        <v>(미존재)</v>
      </c>
    </row>
    <row r="416" customFormat="false" ht="15" hidden="false" customHeight="false" outlineLevel="0" collapsed="false">
      <c r="A416" s="310" t="s">
        <v>2261</v>
      </c>
      <c r="B416" s="307" t="n">
        <v>86429108</v>
      </c>
      <c r="C416" s="307" t="s">
        <v>2321</v>
      </c>
      <c r="Q416" s="318"/>
      <c r="R416" s="318"/>
      <c r="S416" s="318"/>
      <c r="T416" s="318"/>
      <c r="U416" s="318"/>
      <c r="V416" s="318"/>
      <c r="W416" s="318"/>
      <c r="X416" s="318"/>
      <c r="Z416" s="318" t="n">
        <v>0</v>
      </c>
      <c r="AR416" s="307" t="str">
        <f aca="false">IFERROR(VLOOKUP(M416,'PL_DEC.2026'!$D$11:$D$99,1,FALSE()),"(미존재)")</f>
        <v>(미존재)</v>
      </c>
    </row>
    <row r="417" customFormat="false" ht="15" hidden="false" customHeight="false" outlineLevel="0" collapsed="false">
      <c r="A417" s="310" t="s">
        <v>2261</v>
      </c>
      <c r="B417" s="307" t="n">
        <v>86429208</v>
      </c>
      <c r="C417" s="307" t="s">
        <v>2322</v>
      </c>
      <c r="Q417" s="318"/>
      <c r="R417" s="318"/>
      <c r="S417" s="318"/>
      <c r="T417" s="318"/>
      <c r="U417" s="318"/>
      <c r="V417" s="318"/>
      <c r="W417" s="318"/>
      <c r="X417" s="318"/>
      <c r="Z417" s="318" t="n">
        <v>0</v>
      </c>
      <c r="AR417" s="307" t="str">
        <f aca="false">IFERROR(VLOOKUP(M417,'PL_DEC.2026'!$D$11:$D$99,1,FALSE()),"(미존재)")</f>
        <v>(미존재)</v>
      </c>
    </row>
    <row r="418" customFormat="false" ht="15" hidden="false" customHeight="false" outlineLevel="0" collapsed="false">
      <c r="A418" s="310" t="s">
        <v>2261</v>
      </c>
      <c r="B418" s="307" t="n">
        <v>86429307</v>
      </c>
      <c r="C418" s="307" t="s">
        <v>2323</v>
      </c>
      <c r="G418" s="307" t="n">
        <v>0</v>
      </c>
      <c r="L418" s="317" t="s">
        <v>157</v>
      </c>
      <c r="M418" s="317" t="s">
        <v>175</v>
      </c>
      <c r="N418" s="317" t="s">
        <v>157</v>
      </c>
      <c r="O418" s="307" t="s">
        <v>2270</v>
      </c>
      <c r="P418" s="307" t="s">
        <v>2270</v>
      </c>
      <c r="Q418" s="318" t="n">
        <v>3589508933</v>
      </c>
      <c r="R418" s="318"/>
      <c r="S418" s="318"/>
      <c r="T418" s="318"/>
      <c r="U418" s="318"/>
      <c r="V418" s="318"/>
      <c r="W418" s="318"/>
      <c r="X418" s="318"/>
      <c r="Z418" s="318" t="n">
        <v>0</v>
      </c>
      <c r="AR418" s="307" t="str">
        <f aca="false">IFERROR(VLOOKUP(M418,'PL_DEC.2026'!$D$11:$D$99,1,FALSE()),"(미존재)")</f>
        <v>(미존재)</v>
      </c>
    </row>
    <row r="419" customFormat="false" ht="15" hidden="false" customHeight="false" outlineLevel="0" collapsed="false">
      <c r="A419" s="310" t="s">
        <v>2261</v>
      </c>
      <c r="B419" s="307" t="n">
        <v>86429700</v>
      </c>
      <c r="C419" s="307" t="s">
        <v>2324</v>
      </c>
      <c r="Q419" s="318"/>
      <c r="R419" s="318"/>
      <c r="S419" s="318"/>
      <c r="T419" s="318"/>
      <c r="U419" s="318"/>
      <c r="V419" s="318"/>
      <c r="W419" s="318"/>
      <c r="X419" s="318"/>
      <c r="Z419" s="318" t="n">
        <v>0</v>
      </c>
      <c r="AR419" s="307" t="str">
        <f aca="false">IFERROR(VLOOKUP(M419,'PL_DEC.2026'!$D$11:$D$99,1,FALSE()),"(미존재)")</f>
        <v>(미존재)</v>
      </c>
    </row>
    <row r="420" customFormat="false" ht="15" hidden="false" customHeight="false" outlineLevel="0" collapsed="false">
      <c r="A420" s="310" t="s">
        <v>2261</v>
      </c>
      <c r="B420" s="307" t="n">
        <v>86429901</v>
      </c>
      <c r="C420" s="307" t="s">
        <v>2325</v>
      </c>
      <c r="Q420" s="318"/>
      <c r="R420" s="318"/>
      <c r="S420" s="318"/>
      <c r="T420" s="318"/>
      <c r="U420" s="318"/>
      <c r="V420" s="318"/>
      <c r="W420" s="318"/>
      <c r="X420" s="318"/>
      <c r="Z420" s="318" t="n">
        <v>0</v>
      </c>
      <c r="AR420" s="307" t="str">
        <f aca="false">IFERROR(VLOOKUP(M420,'PL_DEC.2026'!$D$11:$D$99,1,FALSE()),"(미존재)")</f>
        <v>(미존재)</v>
      </c>
    </row>
    <row r="421" customFormat="false" ht="15" hidden="false" customHeight="false" outlineLevel="0" collapsed="false">
      <c r="A421" s="310" t="s">
        <v>2261</v>
      </c>
      <c r="B421" s="307" t="n">
        <v>86911100</v>
      </c>
      <c r="C421" s="307" t="s">
        <v>2326</v>
      </c>
      <c r="G421" s="307" t="s">
        <v>2275</v>
      </c>
      <c r="L421" s="317" t="s">
        <v>157</v>
      </c>
      <c r="M421" s="317" t="s">
        <v>171</v>
      </c>
      <c r="N421" s="317" t="s">
        <v>157</v>
      </c>
      <c r="O421" s="307" t="s">
        <v>2327</v>
      </c>
      <c r="P421" s="307" t="s">
        <v>2327</v>
      </c>
      <c r="Q421" s="318" t="n">
        <v>1034568702</v>
      </c>
      <c r="R421" s="318"/>
      <c r="S421" s="318"/>
      <c r="T421" s="318"/>
      <c r="U421" s="318"/>
      <c r="V421" s="318"/>
      <c r="W421" s="318"/>
      <c r="X421" s="318"/>
      <c r="Z421" s="318" t="n">
        <v>130609871</v>
      </c>
    </row>
    <row r="422" customFormat="false" ht="15" hidden="false" customHeight="false" outlineLevel="0" collapsed="false">
      <c r="A422" s="310" t="s">
        <v>2261</v>
      </c>
      <c r="B422" s="307" t="n">
        <v>86911101</v>
      </c>
      <c r="C422" s="307" t="s">
        <v>2328</v>
      </c>
      <c r="G422" s="307" t="s">
        <v>2275</v>
      </c>
      <c r="L422" s="317" t="s">
        <v>157</v>
      </c>
      <c r="M422" s="317" t="s">
        <v>171</v>
      </c>
      <c r="N422" s="317" t="s">
        <v>157</v>
      </c>
      <c r="O422" s="307" t="s">
        <v>2327</v>
      </c>
      <c r="P422" s="307" t="s">
        <v>2327</v>
      </c>
      <c r="Q422" s="318" t="n">
        <v>1479860</v>
      </c>
      <c r="R422" s="318"/>
      <c r="S422" s="318"/>
      <c r="T422" s="318"/>
      <c r="U422" s="318"/>
      <c r="V422" s="318"/>
      <c r="W422" s="318"/>
      <c r="X422" s="318"/>
      <c r="Z422" s="318" t="n">
        <v>-144523</v>
      </c>
    </row>
    <row r="423" customFormat="false" ht="15" hidden="false" customHeight="false" outlineLevel="0" collapsed="false">
      <c r="A423" s="310" t="s">
        <v>2261</v>
      </c>
      <c r="B423" s="307" t="n">
        <v>95532200</v>
      </c>
      <c r="C423" s="307" t="s">
        <v>2329</v>
      </c>
      <c r="G423" s="307" t="n">
        <v>0</v>
      </c>
      <c r="L423" s="317" t="s">
        <v>200</v>
      </c>
      <c r="M423" s="317" t="s">
        <v>220</v>
      </c>
      <c r="N423" s="317" t="s">
        <v>200</v>
      </c>
      <c r="O423" s="307" t="s">
        <v>2312</v>
      </c>
      <c r="P423" s="307" t="s">
        <v>2312</v>
      </c>
      <c r="Q423" s="318" t="n">
        <v>-22053341135</v>
      </c>
      <c r="R423" s="318"/>
      <c r="S423" s="318"/>
      <c r="T423" s="318"/>
      <c r="U423" s="318"/>
      <c r="V423" s="318"/>
      <c r="W423" s="318"/>
      <c r="X423" s="318"/>
      <c r="Z423" s="318" t="n">
        <v>-20153937997</v>
      </c>
    </row>
    <row r="424" customFormat="false" ht="15" hidden="false" customHeight="false" outlineLevel="0" collapsed="false">
      <c r="A424" s="310" t="s">
        <v>2330</v>
      </c>
      <c r="B424" s="307" t="n">
        <v>86000000</v>
      </c>
      <c r="C424" s="307" t="s">
        <v>2331</v>
      </c>
      <c r="G424" s="307" t="n">
        <v>0</v>
      </c>
      <c r="L424" s="317" t="s">
        <v>368</v>
      </c>
      <c r="M424" s="317" t="s">
        <v>368</v>
      </c>
      <c r="N424" s="317" t="s">
        <v>368</v>
      </c>
      <c r="O424" s="307" t="s">
        <v>2332</v>
      </c>
      <c r="P424" s="307" t="s">
        <v>2332</v>
      </c>
      <c r="Q424" s="318" t="n">
        <v>-824172698</v>
      </c>
      <c r="R424" s="318"/>
      <c r="S424" s="318"/>
      <c r="T424" s="318"/>
      <c r="U424" s="318"/>
      <c r="V424" s="318"/>
      <c r="W424" s="318"/>
      <c r="X424" s="318"/>
      <c r="Z424" s="318" t="n">
        <v>-2014151916</v>
      </c>
      <c r="AR424" s="307" t="str">
        <f aca="false">IFERROR(VLOOKUP(M424,'PL_DEC.2026'!$D$11:$D$99,1,FALSE()),"(미존재)")</f>
        <v>(미존재)</v>
      </c>
    </row>
    <row r="425" customFormat="false" ht="15" hidden="false" customHeight="false" outlineLevel="0" collapsed="false">
      <c r="A425" s="310" t="s">
        <v>2330</v>
      </c>
      <c r="B425" s="307" t="n">
        <v>86000001</v>
      </c>
      <c r="C425" s="307" t="s">
        <v>2333</v>
      </c>
      <c r="Q425" s="318"/>
      <c r="R425" s="318"/>
      <c r="S425" s="318"/>
      <c r="T425" s="318"/>
      <c r="U425" s="318"/>
      <c r="V425" s="318"/>
      <c r="W425" s="318"/>
      <c r="X425" s="318"/>
      <c r="Z425" s="318" t="n">
        <v>0</v>
      </c>
      <c r="AR425" s="307" t="str">
        <f aca="false">IFERROR(VLOOKUP(M425,'PL_DEC.2026'!$D$11:$D$99,1,FALSE()),"(미존재)")</f>
        <v>(미존재)</v>
      </c>
    </row>
    <row r="426" customFormat="false" ht="15" hidden="false" customHeight="false" outlineLevel="0" collapsed="false">
      <c r="A426" s="310" t="s">
        <v>2330</v>
      </c>
      <c r="B426" s="307" t="n">
        <v>86000004</v>
      </c>
      <c r="C426" s="307" t="s">
        <v>2334</v>
      </c>
      <c r="Q426" s="318"/>
      <c r="R426" s="318"/>
      <c r="S426" s="318"/>
      <c r="T426" s="318"/>
      <c r="U426" s="318"/>
      <c r="V426" s="318"/>
      <c r="W426" s="318"/>
      <c r="X426" s="318"/>
      <c r="Z426" s="318" t="n">
        <v>0</v>
      </c>
      <c r="AR426" s="307" t="str">
        <f aca="false">IFERROR(VLOOKUP(M426,'PL_DEC.2026'!$D$11:$D$99,1,FALSE()),"(미존재)")</f>
        <v>(미존재)</v>
      </c>
    </row>
    <row r="427" customFormat="false" ht="15" hidden="false" customHeight="false" outlineLevel="0" collapsed="false">
      <c r="A427" s="310" t="s">
        <v>2330</v>
      </c>
      <c r="B427" s="307" t="n">
        <v>86000006</v>
      </c>
      <c r="C427" s="307" t="s">
        <v>2335</v>
      </c>
      <c r="Q427" s="318"/>
      <c r="R427" s="318"/>
      <c r="S427" s="318"/>
      <c r="T427" s="318"/>
      <c r="U427" s="318"/>
      <c r="V427" s="318"/>
      <c r="W427" s="318"/>
      <c r="X427" s="318"/>
      <c r="Z427" s="318" t="n">
        <v>0</v>
      </c>
      <c r="AR427" s="307" t="str">
        <f aca="false">IFERROR(VLOOKUP(M427,'PL_DEC.2026'!$D$11:$D$99,1,FALSE()),"(미존재)")</f>
        <v>(미존재)</v>
      </c>
    </row>
    <row r="428" customFormat="false" ht="15" hidden="false" customHeight="false" outlineLevel="0" collapsed="false">
      <c r="A428" s="310" t="s">
        <v>2330</v>
      </c>
      <c r="B428" s="307" t="n">
        <v>86000300</v>
      </c>
      <c r="C428" s="307" t="s">
        <v>2336</v>
      </c>
      <c r="G428" s="307" t="n">
        <v>0</v>
      </c>
      <c r="L428" s="317" t="s">
        <v>912</v>
      </c>
      <c r="M428" s="317" t="s">
        <v>282</v>
      </c>
      <c r="N428" s="317" t="s">
        <v>912</v>
      </c>
      <c r="O428" s="307" t="s">
        <v>2337</v>
      </c>
      <c r="P428" s="307" t="s">
        <v>2337</v>
      </c>
      <c r="Q428" s="318" t="n">
        <v>433482852</v>
      </c>
      <c r="R428" s="318"/>
      <c r="S428" s="318"/>
      <c r="T428" s="318"/>
      <c r="U428" s="318"/>
      <c r="V428" s="318"/>
      <c r="W428" s="318"/>
      <c r="X428" s="318"/>
      <c r="Z428" s="318" t="n">
        <v>0</v>
      </c>
      <c r="AR428" s="307" t="str">
        <f aca="false">IFERROR(VLOOKUP(M428,'PL_DEC.2026'!$D$11:$D$99,1,FALSE()),"(미존재)")</f>
        <v>급여</v>
      </c>
    </row>
    <row r="429" customFormat="false" ht="15" hidden="false" customHeight="false" outlineLevel="0" collapsed="false">
      <c r="A429" s="310" t="s">
        <v>2330</v>
      </c>
      <c r="B429" s="307" t="n">
        <v>86000400</v>
      </c>
      <c r="C429" s="307" t="s">
        <v>2338</v>
      </c>
      <c r="Q429" s="318"/>
      <c r="R429" s="318"/>
      <c r="S429" s="318"/>
      <c r="T429" s="318"/>
      <c r="U429" s="318"/>
      <c r="V429" s="318"/>
      <c r="W429" s="318"/>
      <c r="X429" s="318"/>
      <c r="Z429" s="318" t="n">
        <v>0</v>
      </c>
      <c r="AR429" s="307" t="str">
        <f aca="false">IFERROR(VLOOKUP(M429,'PL_DEC.2026'!$D$11:$D$99,1,FALSE()),"(미존재)")</f>
        <v>(미존재)</v>
      </c>
    </row>
    <row r="430" customFormat="false" ht="15" hidden="false" customHeight="false" outlineLevel="0" collapsed="false">
      <c r="A430" s="310" t="s">
        <v>2330</v>
      </c>
      <c r="B430" s="307" t="n">
        <v>86000800</v>
      </c>
      <c r="C430" s="307" t="s">
        <v>2339</v>
      </c>
      <c r="G430" s="307" t="n">
        <v>0</v>
      </c>
      <c r="L430" s="317" t="s">
        <v>874</v>
      </c>
      <c r="M430" s="317" t="s">
        <v>240</v>
      </c>
      <c r="N430" s="317" t="s">
        <v>874</v>
      </c>
      <c r="O430" s="307" t="s">
        <v>2340</v>
      </c>
      <c r="P430" s="307" t="s">
        <v>2340</v>
      </c>
      <c r="Q430" s="318" t="n">
        <v>408043000</v>
      </c>
      <c r="R430" s="318"/>
      <c r="S430" s="318"/>
      <c r="T430" s="318"/>
      <c r="U430" s="318"/>
      <c r="V430" s="318"/>
      <c r="W430" s="318"/>
      <c r="X430" s="318"/>
      <c r="Z430" s="318" t="n">
        <v>-408043000</v>
      </c>
      <c r="AR430" s="307" t="str">
        <f aca="false">IFERROR(VLOOKUP(M430,'PL_DEC.2026'!$D$11:$D$99,1,FALSE()),"(미존재)")</f>
        <v>상품매출원가</v>
      </c>
    </row>
    <row r="431" customFormat="false" ht="15" hidden="false" customHeight="false" outlineLevel="0" collapsed="false">
      <c r="A431" s="310" t="s">
        <v>2330</v>
      </c>
      <c r="B431" s="307" t="n">
        <v>86030002</v>
      </c>
      <c r="C431" s="307" t="s">
        <v>2341</v>
      </c>
      <c r="G431" s="307" t="n">
        <v>0</v>
      </c>
      <c r="L431" s="317" t="s">
        <v>1140</v>
      </c>
      <c r="M431" s="317" t="s">
        <v>368</v>
      </c>
      <c r="N431" s="317" t="s">
        <v>1140</v>
      </c>
      <c r="O431" s="307" t="s">
        <v>2342</v>
      </c>
      <c r="P431" s="307" t="s">
        <v>2342</v>
      </c>
      <c r="Q431" s="318" t="n">
        <v>2165556320</v>
      </c>
      <c r="R431" s="318"/>
      <c r="S431" s="318"/>
      <c r="T431" s="318"/>
      <c r="U431" s="318"/>
      <c r="V431" s="318"/>
      <c r="W431" s="318"/>
      <c r="X431" s="318"/>
      <c r="Z431" s="318" t="n">
        <v>0</v>
      </c>
      <c r="AR431" s="307" t="str">
        <f aca="false">IFERROR(VLOOKUP(M431,'PL_DEC.2026'!$D$11:$D$99,1,FALSE()),"(미존재)")</f>
        <v>(미존재)</v>
      </c>
    </row>
    <row r="432" customFormat="false" ht="15" hidden="false" customHeight="false" outlineLevel="0" collapsed="false">
      <c r="A432" s="310" t="s">
        <v>2330</v>
      </c>
      <c r="B432" s="307" t="n">
        <v>86073501</v>
      </c>
      <c r="C432" s="307" t="s">
        <v>2343</v>
      </c>
      <c r="Q432" s="318"/>
      <c r="R432" s="318"/>
      <c r="S432" s="318"/>
      <c r="T432" s="318"/>
      <c r="U432" s="318"/>
      <c r="V432" s="318"/>
      <c r="W432" s="318"/>
      <c r="X432" s="318"/>
      <c r="Z432" s="318" t="n">
        <v>0</v>
      </c>
      <c r="AR432" s="307" t="str">
        <f aca="false">IFERROR(VLOOKUP(M432,'PL_DEC.2026'!$D$11:$D$99,1,FALSE()),"(미존재)")</f>
        <v>(미존재)</v>
      </c>
    </row>
    <row r="433" customFormat="false" ht="15" hidden="false" customHeight="false" outlineLevel="0" collapsed="false">
      <c r="A433" s="310" t="s">
        <v>2330</v>
      </c>
      <c r="B433" s="307" t="n">
        <v>86100747</v>
      </c>
      <c r="C433" s="307" t="s">
        <v>2344</v>
      </c>
      <c r="Q433" s="318"/>
      <c r="R433" s="318"/>
      <c r="S433" s="318"/>
      <c r="T433" s="318"/>
      <c r="U433" s="318"/>
      <c r="V433" s="318"/>
      <c r="W433" s="318"/>
      <c r="X433" s="318"/>
      <c r="Z433" s="318" t="n">
        <v>0</v>
      </c>
      <c r="AR433" s="307" t="str">
        <f aca="false">IFERROR(VLOOKUP(M433,'PL_DEC.2026'!$D$11:$D$99,1,FALSE()),"(미존재)")</f>
        <v>(미존재)</v>
      </c>
    </row>
    <row r="434" customFormat="false" ht="15" hidden="false" customHeight="false" outlineLevel="0" collapsed="false">
      <c r="A434" s="310" t="s">
        <v>2330</v>
      </c>
      <c r="B434" s="307" t="n">
        <v>86100925</v>
      </c>
      <c r="C434" s="307" t="s">
        <v>2345</v>
      </c>
      <c r="Q434" s="318"/>
      <c r="R434" s="318"/>
      <c r="S434" s="318"/>
      <c r="T434" s="318"/>
      <c r="U434" s="318"/>
      <c r="V434" s="318"/>
      <c r="W434" s="318"/>
      <c r="X434" s="318"/>
      <c r="Z434" s="318" t="n">
        <v>0</v>
      </c>
      <c r="AR434" s="307" t="str">
        <f aca="false">IFERROR(VLOOKUP(M434,'PL_DEC.2026'!$D$11:$D$99,1,FALSE()),"(미존재)")</f>
        <v>(미존재)</v>
      </c>
    </row>
    <row r="435" customFormat="false" ht="15" hidden="false" customHeight="false" outlineLevel="0" collapsed="false">
      <c r="A435" s="310" t="s">
        <v>2330</v>
      </c>
      <c r="B435" s="307" t="n">
        <v>86132000</v>
      </c>
      <c r="C435" s="307" t="s">
        <v>2346</v>
      </c>
      <c r="G435" s="307" t="s">
        <v>2275</v>
      </c>
      <c r="L435" s="317" t="s">
        <v>912</v>
      </c>
      <c r="M435" s="317" t="s">
        <v>294</v>
      </c>
      <c r="N435" s="317" t="s">
        <v>912</v>
      </c>
      <c r="O435" s="307" t="s">
        <v>2347</v>
      </c>
      <c r="P435" s="307" t="s">
        <v>2347</v>
      </c>
      <c r="Q435" s="318" t="n">
        <v>1126894020</v>
      </c>
      <c r="R435" s="318"/>
      <c r="S435" s="318"/>
      <c r="T435" s="318"/>
      <c r="U435" s="318"/>
      <c r="V435" s="318"/>
      <c r="W435" s="318"/>
      <c r="X435" s="318"/>
      <c r="Z435" s="318" t="n">
        <v>1150558794</v>
      </c>
      <c r="AR435" s="307" t="str">
        <f aca="false">IFERROR(VLOOKUP(M435,'PL_DEC.2026'!$D$11:$D$99,1,FALSE()),"(미존재)")</f>
        <v>임차료</v>
      </c>
    </row>
    <row r="436" customFormat="false" ht="15" hidden="false" customHeight="false" outlineLevel="0" collapsed="false">
      <c r="A436" s="310" t="s">
        <v>2330</v>
      </c>
      <c r="B436" s="307" t="n">
        <v>86144000</v>
      </c>
      <c r="C436" s="307" t="s">
        <v>2348</v>
      </c>
      <c r="G436" s="307" t="s">
        <v>2275</v>
      </c>
      <c r="L436" s="317" t="s">
        <v>912</v>
      </c>
      <c r="M436" s="317" t="s">
        <v>309</v>
      </c>
      <c r="N436" s="317" t="s">
        <v>912</v>
      </c>
      <c r="O436" s="307" t="s">
        <v>2349</v>
      </c>
      <c r="P436" s="307" t="s">
        <v>2349</v>
      </c>
      <c r="Q436" s="318" t="n">
        <v>-1131258360</v>
      </c>
      <c r="R436" s="318"/>
      <c r="S436" s="318"/>
      <c r="T436" s="318"/>
      <c r="U436" s="318"/>
      <c r="V436" s="318"/>
      <c r="W436" s="318"/>
      <c r="X436" s="318"/>
      <c r="Z436" s="318" t="n">
        <v>-1131258360</v>
      </c>
      <c r="AR436" s="307" t="str">
        <f aca="false">IFERROR(VLOOKUP(M436,'PL_DEC.2026'!$D$11:$D$99,1,FALSE()),"(미존재)")</f>
        <v>감가상각비</v>
      </c>
    </row>
    <row r="437" customFormat="false" ht="15" hidden="false" customHeight="false" outlineLevel="0" collapsed="false">
      <c r="A437" s="310" t="s">
        <v>2330</v>
      </c>
      <c r="B437" s="307" t="n">
        <v>86150000</v>
      </c>
      <c r="C437" s="307" t="s">
        <v>2350</v>
      </c>
      <c r="Q437" s="318"/>
      <c r="R437" s="318"/>
      <c r="S437" s="318"/>
      <c r="T437" s="318"/>
      <c r="U437" s="318"/>
      <c r="V437" s="318"/>
      <c r="W437" s="318"/>
      <c r="X437" s="318"/>
      <c r="Z437" s="318" t="n">
        <v>0</v>
      </c>
      <c r="AR437" s="307" t="str">
        <f aca="false">IFERROR(VLOOKUP(M437,'PL_DEC.2026'!$D$11:$D$99,1,FALSE()),"(미존재)")</f>
        <v>(미존재)</v>
      </c>
    </row>
    <row r="438" customFormat="false" ht="15" hidden="false" customHeight="false" outlineLevel="0" collapsed="false">
      <c r="A438" s="310" t="s">
        <v>2330</v>
      </c>
      <c r="B438" s="307" t="n">
        <v>86200001</v>
      </c>
      <c r="C438" s="307" t="s">
        <v>2351</v>
      </c>
      <c r="Q438" s="318"/>
      <c r="R438" s="318"/>
      <c r="S438" s="318"/>
      <c r="T438" s="318"/>
      <c r="U438" s="318"/>
      <c r="V438" s="318"/>
      <c r="W438" s="318"/>
      <c r="X438" s="318"/>
      <c r="Z438" s="318" t="n">
        <v>0</v>
      </c>
      <c r="AR438" s="307" t="str">
        <f aca="false">IFERROR(VLOOKUP(M438,'PL_DEC.2026'!$D$11:$D$99,1,FALSE()),"(미존재)")</f>
        <v>(미존재)</v>
      </c>
    </row>
    <row r="439" customFormat="false" ht="15" hidden="false" customHeight="false" outlineLevel="0" collapsed="false">
      <c r="A439" s="310" t="s">
        <v>2330</v>
      </c>
      <c r="B439" s="307" t="n">
        <v>86200400</v>
      </c>
      <c r="C439" s="307" t="s">
        <v>2352</v>
      </c>
      <c r="G439" s="307" t="s">
        <v>2353</v>
      </c>
      <c r="L439" s="317" t="s">
        <v>920</v>
      </c>
      <c r="M439" s="317" t="s">
        <v>339</v>
      </c>
      <c r="N439" s="317" t="s">
        <v>920</v>
      </c>
      <c r="O439" s="307" t="s">
        <v>2354</v>
      </c>
      <c r="P439" s="307" t="s">
        <v>2354</v>
      </c>
      <c r="Q439" s="318" t="n">
        <v>-2278070394</v>
      </c>
      <c r="R439" s="318"/>
      <c r="S439" s="318"/>
      <c r="T439" s="318"/>
      <c r="U439" s="318"/>
      <c r="V439" s="318"/>
      <c r="W439" s="318"/>
      <c r="X439" s="318"/>
      <c r="Z439" s="318" t="n">
        <v>2510195635</v>
      </c>
      <c r="AR439" s="307" t="str">
        <f aca="false">IFERROR(VLOOKUP(M439,'PL_DEC.2026'!$D$11:$D$99,1,FALSE()),"(미존재)")</f>
        <v>잡이익</v>
      </c>
    </row>
    <row r="440" customFormat="false" ht="15" hidden="false" customHeight="false" outlineLevel="0" collapsed="false">
      <c r="A440" s="310" t="s">
        <v>2330</v>
      </c>
      <c r="B440" s="307" t="n">
        <v>86200702</v>
      </c>
      <c r="C440" s="307" t="s">
        <v>2355</v>
      </c>
      <c r="Q440" s="318"/>
      <c r="R440" s="318"/>
      <c r="S440" s="318"/>
      <c r="T440" s="318"/>
      <c r="U440" s="318"/>
      <c r="V440" s="318"/>
      <c r="W440" s="318"/>
      <c r="X440" s="318"/>
      <c r="Z440" s="318" t="n">
        <v>0</v>
      </c>
      <c r="AR440" s="307" t="str">
        <f aca="false">IFERROR(VLOOKUP(M440,'PL_DEC.2026'!$D$11:$D$99,1,FALSE()),"(미존재)")</f>
        <v>(미존재)</v>
      </c>
    </row>
    <row r="441" customFormat="false" ht="15" hidden="false" customHeight="false" outlineLevel="0" collapsed="false">
      <c r="A441" s="310" t="s">
        <v>2330</v>
      </c>
      <c r="B441" s="307" t="n">
        <v>86250030</v>
      </c>
      <c r="C441" s="307" t="s">
        <v>2356</v>
      </c>
      <c r="Q441" s="318"/>
      <c r="R441" s="318"/>
      <c r="S441" s="318"/>
      <c r="T441" s="318"/>
      <c r="U441" s="318"/>
      <c r="V441" s="318"/>
      <c r="W441" s="318"/>
      <c r="X441" s="318"/>
      <c r="Z441" s="318" t="n">
        <v>0</v>
      </c>
      <c r="AR441" s="307" t="str">
        <f aca="false">IFERROR(VLOOKUP(M441,'PL_DEC.2026'!$D$11:$D$99,1,FALSE()),"(미존재)")</f>
        <v>(미존재)</v>
      </c>
    </row>
    <row r="442" customFormat="false" ht="15" hidden="false" customHeight="false" outlineLevel="0" collapsed="false">
      <c r="A442" s="310" t="s">
        <v>2330</v>
      </c>
      <c r="B442" s="307" t="n">
        <v>86250110</v>
      </c>
      <c r="C442" s="307" t="s">
        <v>2357</v>
      </c>
      <c r="G442" s="307" t="s">
        <v>2275</v>
      </c>
      <c r="L442" s="317" t="s">
        <v>1140</v>
      </c>
      <c r="M442" s="317" t="s">
        <v>345</v>
      </c>
      <c r="N442" s="317" t="s">
        <v>1140</v>
      </c>
      <c r="O442" s="307" t="s">
        <v>2358</v>
      </c>
      <c r="P442" s="307" t="s">
        <v>2358</v>
      </c>
      <c r="Q442" s="318" t="n">
        <v>-27709972</v>
      </c>
      <c r="R442" s="318"/>
      <c r="S442" s="318"/>
      <c r="T442" s="318"/>
      <c r="U442" s="318"/>
      <c r="V442" s="318"/>
      <c r="W442" s="318"/>
      <c r="X442" s="318"/>
      <c r="Z442" s="318" t="n">
        <v>-13332549</v>
      </c>
      <c r="AR442" s="307" t="str">
        <f aca="false">IFERROR(VLOOKUP(M442,'PL_DEC.2026'!$D$11:$D$99,1,FALSE()),"(미존재)")</f>
        <v>이자비용</v>
      </c>
    </row>
    <row r="443" customFormat="false" ht="15" hidden="false" customHeight="false" outlineLevel="0" collapsed="false">
      <c r="A443" s="310" t="s">
        <v>2330</v>
      </c>
      <c r="B443" s="307" t="n">
        <v>86260023</v>
      </c>
      <c r="C443" s="307" t="s">
        <v>2359</v>
      </c>
      <c r="Q443" s="318"/>
      <c r="R443" s="318"/>
      <c r="S443" s="318"/>
      <c r="T443" s="318"/>
      <c r="U443" s="318"/>
      <c r="V443" s="318"/>
      <c r="W443" s="318"/>
      <c r="X443" s="318"/>
      <c r="Z443" s="318" t="n">
        <v>0</v>
      </c>
      <c r="AR443" s="307" t="str">
        <f aca="false">IFERROR(VLOOKUP(M443,'PL_DEC.2026'!$D$11:$D$99,1,FALSE()),"(미존재)")</f>
        <v>(미존재)</v>
      </c>
    </row>
    <row r="444" customFormat="false" ht="15" hidden="false" customHeight="false" outlineLevel="0" collapsed="false">
      <c r="A444" s="310" t="s">
        <v>2330</v>
      </c>
      <c r="B444" s="307" t="n">
        <v>86260025</v>
      </c>
      <c r="C444" s="307" t="s">
        <v>2360</v>
      </c>
      <c r="G444" s="307" t="n">
        <v>0</v>
      </c>
      <c r="L444" s="317" t="s">
        <v>1140</v>
      </c>
      <c r="M444" s="317" t="s">
        <v>360</v>
      </c>
      <c r="N444" s="317" t="s">
        <v>1140</v>
      </c>
      <c r="O444" s="307" t="s">
        <v>2361</v>
      </c>
      <c r="P444" s="307" t="s">
        <v>2361</v>
      </c>
      <c r="Q444" s="318" t="n">
        <v>2207843185</v>
      </c>
      <c r="R444" s="318"/>
      <c r="S444" s="318"/>
      <c r="T444" s="318"/>
      <c r="U444" s="318"/>
      <c r="V444" s="318"/>
      <c r="W444" s="318"/>
      <c r="X444" s="318"/>
      <c r="Z444" s="318" t="n">
        <v>0</v>
      </c>
      <c r="AR444" s="307" t="str">
        <f aca="false">IFERROR(VLOOKUP(M444,'PL_DEC.2026'!$D$11:$D$99,1,FALSE()),"(미존재)")</f>
        <v>잡손실</v>
      </c>
    </row>
    <row r="445" customFormat="false" ht="15" hidden="false" customHeight="false" outlineLevel="0" collapsed="false">
      <c r="A445" s="310" t="s">
        <v>2330</v>
      </c>
      <c r="B445" s="307" t="n">
        <v>86290000</v>
      </c>
      <c r="C445" s="307" t="s">
        <v>2362</v>
      </c>
      <c r="G445" s="307" t="n">
        <v>0</v>
      </c>
      <c r="L445" s="317" t="s">
        <v>912</v>
      </c>
      <c r="M445" s="317" t="s">
        <v>277</v>
      </c>
      <c r="N445" s="317" t="s">
        <v>912</v>
      </c>
      <c r="O445" s="307" t="s">
        <v>2363</v>
      </c>
      <c r="P445" s="307" t="s">
        <v>2363</v>
      </c>
      <c r="Q445" s="318" t="n">
        <v>-348460250</v>
      </c>
      <c r="R445" s="318"/>
      <c r="S445" s="318"/>
      <c r="T445" s="318"/>
      <c r="U445" s="318"/>
      <c r="V445" s="318"/>
      <c r="W445" s="318"/>
      <c r="X445" s="318"/>
      <c r="Z445" s="318" t="n">
        <v>0</v>
      </c>
      <c r="AR445" s="307" t="str">
        <f aca="false">IFERROR(VLOOKUP(M445,'PL_DEC.2026'!$D$11:$D$99,1,FALSE()),"(미존재)")</f>
        <v>하조및운임</v>
      </c>
    </row>
    <row r="446" customFormat="false" ht="15" hidden="false" customHeight="false" outlineLevel="0" collapsed="false">
      <c r="A446" s="310" t="s">
        <v>2330</v>
      </c>
      <c r="B446" s="307" t="n">
        <v>86290150</v>
      </c>
      <c r="C446" s="307" t="s">
        <v>2364</v>
      </c>
      <c r="Q446" s="318"/>
      <c r="R446" s="318"/>
      <c r="S446" s="318"/>
      <c r="T446" s="318"/>
      <c r="U446" s="318"/>
      <c r="V446" s="318"/>
      <c r="W446" s="318"/>
      <c r="X446" s="318"/>
      <c r="Z446" s="318" t="n">
        <v>0</v>
      </c>
      <c r="AR446" s="307" t="str">
        <f aca="false">IFERROR(VLOOKUP(M446,'PL_DEC.2026'!$D$11:$D$99,1,FALSE()),"(미존재)")</f>
        <v>(미존재)</v>
      </c>
    </row>
    <row r="447" customFormat="false" ht="15" hidden="false" customHeight="false" outlineLevel="0" collapsed="false">
      <c r="A447" s="310" t="s">
        <v>2330</v>
      </c>
      <c r="B447" s="307" t="n">
        <v>86300510</v>
      </c>
      <c r="C447" s="307" t="s">
        <v>2365</v>
      </c>
      <c r="Q447" s="318"/>
      <c r="R447" s="318"/>
      <c r="S447" s="318"/>
      <c r="T447" s="318"/>
      <c r="U447" s="318"/>
      <c r="V447" s="318"/>
      <c r="W447" s="318"/>
      <c r="X447" s="318"/>
      <c r="Z447" s="318" t="n">
        <v>0</v>
      </c>
      <c r="AR447" s="307" t="str">
        <f aca="false">IFERROR(VLOOKUP(M447,'PL_DEC.2026'!$D$11:$D$99,1,FALSE()),"(미존재)")</f>
        <v>(미존재)</v>
      </c>
    </row>
    <row r="448" customFormat="false" ht="15" hidden="false" customHeight="false" outlineLevel="0" collapsed="false">
      <c r="A448" s="310" t="s">
        <v>2330</v>
      </c>
      <c r="B448" s="307" t="n">
        <v>86300850</v>
      </c>
      <c r="C448" s="307" t="s">
        <v>2366</v>
      </c>
      <c r="Q448" s="318"/>
      <c r="R448" s="318"/>
      <c r="S448" s="318"/>
      <c r="T448" s="318"/>
      <c r="U448" s="318"/>
      <c r="V448" s="318"/>
      <c r="W448" s="318"/>
      <c r="X448" s="318"/>
      <c r="Z448" s="318" t="n">
        <v>0</v>
      </c>
      <c r="AR448" s="307" t="str">
        <f aca="false">IFERROR(VLOOKUP(M448,'PL_DEC.2026'!$D$11:$D$99,1,FALSE()),"(미존재)")</f>
        <v>(미존재)</v>
      </c>
    </row>
    <row r="449" customFormat="false" ht="15" hidden="false" customHeight="false" outlineLevel="0" collapsed="false">
      <c r="A449" s="310" t="s">
        <v>2330</v>
      </c>
      <c r="B449" s="307" t="n">
        <v>86400910</v>
      </c>
      <c r="C449" s="307" t="s">
        <v>2367</v>
      </c>
      <c r="Q449" s="318"/>
      <c r="R449" s="318"/>
      <c r="S449" s="318"/>
      <c r="T449" s="318"/>
      <c r="U449" s="318"/>
      <c r="V449" s="318"/>
      <c r="W449" s="318"/>
      <c r="X449" s="318"/>
      <c r="Z449" s="318" t="n">
        <v>0</v>
      </c>
      <c r="AR449" s="307" t="str">
        <f aca="false">IFERROR(VLOOKUP(M449,'PL_DEC.2026'!$D$11:$D$99,1,FALSE()),"(미존재)")</f>
        <v>(미존재)</v>
      </c>
    </row>
    <row r="450" customFormat="false" ht="15" hidden="false" customHeight="false" outlineLevel="0" collapsed="false">
      <c r="A450" s="310" t="s">
        <v>2330</v>
      </c>
      <c r="B450" s="307" t="n">
        <v>86514001</v>
      </c>
      <c r="C450" s="307" t="s">
        <v>2368</v>
      </c>
      <c r="Q450" s="318"/>
      <c r="R450" s="318"/>
      <c r="S450" s="318"/>
      <c r="T450" s="318"/>
      <c r="U450" s="318"/>
      <c r="V450" s="318"/>
      <c r="W450" s="318"/>
      <c r="X450" s="318"/>
      <c r="Z450" s="318" t="n">
        <v>0</v>
      </c>
      <c r="AR450" s="307" t="str">
        <f aca="false">IFERROR(VLOOKUP(M450,'PL_DEC.2026'!$D$11:$D$99,1,FALSE()),"(미존재)")</f>
        <v>(미존재)</v>
      </c>
    </row>
    <row r="451" customFormat="false" ht="15" hidden="false" customHeight="false" outlineLevel="0" collapsed="false">
      <c r="A451" s="310" t="s">
        <v>2330</v>
      </c>
      <c r="B451" s="307" t="n">
        <v>86590050</v>
      </c>
      <c r="C451" s="307" t="s">
        <v>2369</v>
      </c>
      <c r="Q451" s="318"/>
      <c r="R451" s="318"/>
      <c r="S451" s="318"/>
      <c r="T451" s="318"/>
      <c r="U451" s="318"/>
      <c r="V451" s="318"/>
      <c r="W451" s="318"/>
      <c r="X451" s="318"/>
      <c r="Z451" s="318" t="n">
        <v>0</v>
      </c>
      <c r="AR451" s="307" t="str">
        <f aca="false">IFERROR(VLOOKUP(M451,'PL_DEC.2026'!$D$11:$D$99,1,FALSE()),"(미존재)")</f>
        <v>(미존재)</v>
      </c>
    </row>
    <row r="452" customFormat="false" ht="15" hidden="false" customHeight="false" outlineLevel="0" collapsed="false">
      <c r="A452" s="310" t="s">
        <v>2330</v>
      </c>
      <c r="B452" s="307" t="n">
        <v>86591013</v>
      </c>
      <c r="C452" s="307" t="s">
        <v>2370</v>
      </c>
      <c r="Q452" s="318"/>
      <c r="R452" s="318"/>
      <c r="S452" s="318"/>
      <c r="T452" s="318"/>
      <c r="U452" s="318"/>
      <c r="V452" s="318"/>
      <c r="W452" s="318"/>
      <c r="X452" s="318"/>
      <c r="Z452" s="318" t="n">
        <v>0</v>
      </c>
      <c r="AR452" s="307" t="str">
        <f aca="false">IFERROR(VLOOKUP(M452,'PL_DEC.2026'!$D$11:$D$99,1,FALSE()),"(미존재)")</f>
        <v>(미존재)</v>
      </c>
    </row>
    <row r="453" customFormat="false" ht="15" hidden="false" customHeight="false" outlineLevel="0" collapsed="false">
      <c r="A453" s="310" t="s">
        <v>2330</v>
      </c>
      <c r="B453" s="307" t="n">
        <v>86600000</v>
      </c>
      <c r="C453" s="307" t="s">
        <v>2371</v>
      </c>
      <c r="Q453" s="318"/>
      <c r="R453" s="318"/>
      <c r="S453" s="318"/>
      <c r="T453" s="318"/>
      <c r="U453" s="318"/>
      <c r="V453" s="318"/>
      <c r="W453" s="318"/>
      <c r="X453" s="318"/>
      <c r="Z453" s="318" t="n">
        <v>0</v>
      </c>
      <c r="AR453" s="307" t="str">
        <f aca="false">IFERROR(VLOOKUP(M453,'PL_DEC.2026'!$D$11:$D$99,1,FALSE()),"(미존재)")</f>
        <v>(미존재)</v>
      </c>
    </row>
    <row r="454" customFormat="false" ht="15" hidden="false" customHeight="false" outlineLevel="0" collapsed="false">
      <c r="A454" s="310" t="s">
        <v>2330</v>
      </c>
      <c r="B454" s="307" t="n">
        <v>86900000</v>
      </c>
      <c r="C454" s="307" t="s">
        <v>2372</v>
      </c>
      <c r="Q454" s="318"/>
      <c r="R454" s="318"/>
      <c r="S454" s="318"/>
      <c r="T454" s="318"/>
      <c r="U454" s="318"/>
      <c r="V454" s="318"/>
      <c r="W454" s="318"/>
      <c r="X454" s="318"/>
      <c r="Z454" s="318" t="n">
        <v>0</v>
      </c>
      <c r="AR454" s="307" t="str">
        <f aca="false">IFERROR(VLOOKUP(M454,'PL_DEC.2026'!$D$11:$D$99,1,FALSE()),"(미존재)")</f>
        <v>(미존재)</v>
      </c>
    </row>
    <row r="455" customFormat="false" ht="15" hidden="false" customHeight="false" outlineLevel="0" collapsed="false">
      <c r="A455" s="310" t="s">
        <v>2330</v>
      </c>
      <c r="B455" s="307" t="n">
        <v>87530008</v>
      </c>
      <c r="C455" s="307" t="s">
        <v>2373</v>
      </c>
      <c r="G455" s="307" t="s">
        <v>2374</v>
      </c>
      <c r="L455" s="317" t="s">
        <v>874</v>
      </c>
      <c r="M455" s="317" t="s">
        <v>240</v>
      </c>
      <c r="N455" s="317" t="s">
        <v>874</v>
      </c>
      <c r="O455" s="307" t="s">
        <v>2375</v>
      </c>
      <c r="P455" s="307" t="s">
        <v>2375</v>
      </c>
      <c r="Q455" s="318" t="n">
        <v>8817720</v>
      </c>
      <c r="R455" s="318"/>
      <c r="S455" s="318"/>
      <c r="T455" s="318"/>
      <c r="U455" s="318"/>
      <c r="V455" s="318"/>
      <c r="W455" s="318"/>
      <c r="X455" s="318"/>
      <c r="Z455" s="318" t="n">
        <v>-3639645</v>
      </c>
      <c r="AR455" s="307" t="str">
        <f aca="false">IFERROR(VLOOKUP(M455,'PL_DEC.2026'!$D$11:$D$99,1,FALSE()),"(미존재)")</f>
        <v>상품매출원가</v>
      </c>
    </row>
    <row r="456" customFormat="false" ht="15" hidden="false" customHeight="false" outlineLevel="0" collapsed="false">
      <c r="A456" s="310" t="s">
        <v>2330</v>
      </c>
      <c r="B456" s="307" t="n">
        <v>89710500</v>
      </c>
      <c r="C456" s="307" t="s">
        <v>2376</v>
      </c>
      <c r="Q456" s="318"/>
      <c r="R456" s="318"/>
      <c r="S456" s="318"/>
      <c r="T456" s="318"/>
      <c r="U456" s="318"/>
      <c r="V456" s="318"/>
      <c r="W456" s="318"/>
      <c r="X456" s="318"/>
      <c r="Z456" s="318" t="n">
        <v>0</v>
      </c>
      <c r="AR456" s="307" t="str">
        <f aca="false">IFERROR(VLOOKUP(M456,'PL_DEC.2026'!$D$11:$D$99,1,FALSE()),"(미존재)")</f>
        <v>(미존재)</v>
      </c>
    </row>
    <row r="457" customFormat="false" ht="15" hidden="false" customHeight="false" outlineLevel="0" collapsed="false">
      <c r="A457" s="310" t="s">
        <v>2330</v>
      </c>
      <c r="B457" s="307" t="n">
        <v>89782000</v>
      </c>
      <c r="C457" s="307" t="s">
        <v>2377</v>
      </c>
      <c r="G457" s="307" t="s">
        <v>2378</v>
      </c>
      <c r="L457" s="317" t="s">
        <v>368</v>
      </c>
      <c r="M457" s="317" t="s">
        <v>368</v>
      </c>
      <c r="N457" s="317" t="s">
        <v>368</v>
      </c>
      <c r="O457" s="307" t="s">
        <v>2332</v>
      </c>
      <c r="P457" s="307" t="s">
        <v>2332</v>
      </c>
      <c r="Q457" s="318" t="n">
        <v>158437715</v>
      </c>
      <c r="R457" s="318"/>
      <c r="S457" s="318"/>
      <c r="T457" s="318"/>
      <c r="U457" s="318"/>
      <c r="V457" s="318"/>
      <c r="W457" s="318"/>
      <c r="X457" s="318"/>
      <c r="Z457" s="318" t="n">
        <v>98182970</v>
      </c>
      <c r="AR457" s="307" t="str">
        <f aca="false">IFERROR(VLOOKUP(M457,'PL_DEC.2026'!$D$11:$D$99,1,FALSE()),"(미존재)")</f>
        <v>(미존재)</v>
      </c>
    </row>
    <row r="458" customFormat="false" ht="15" hidden="false" customHeight="false" outlineLevel="0" collapsed="false">
      <c r="C458" s="324" t="s">
        <v>493</v>
      </c>
      <c r="Q458" s="318" t="n">
        <f aca="false">SUM(Q375:Q423)</f>
        <v>-1899403136</v>
      </c>
      <c r="R458" s="318" t="n">
        <f aca="false">SUM(R375:R423)</f>
        <v>0</v>
      </c>
      <c r="S458" s="318" t="n">
        <f aca="false">SUM(S375:S423)</f>
        <v>0</v>
      </c>
      <c r="T458" s="318" t="n">
        <f aca="false">SUM(T375:T423)</f>
        <v>0</v>
      </c>
      <c r="U458" s="318" t="n">
        <f aca="false">SUM(U375:U423)</f>
        <v>0</v>
      </c>
      <c r="V458" s="318" t="n">
        <f aca="false">SUM(V375:V423)</f>
        <v>0</v>
      </c>
      <c r="W458" s="318" t="n">
        <f aca="false">SUM(W375:W423)</f>
        <v>0</v>
      </c>
      <c r="X458" s="318" t="n">
        <f aca="false">SUM(X375:X423)</f>
        <v>0</v>
      </c>
      <c r="Y458" s="318" t="n">
        <f aca="false">SUM(Y375:Y423)</f>
        <v>0</v>
      </c>
      <c r="Z458" s="318" t="n">
        <f aca="false">SUM(Z375:Z423)</f>
        <v>-188511931</v>
      </c>
      <c r="AR458" s="307" t="str">
        <f aca="false">IFERROR(VLOOKUP(M458,'PL_DEC.2026'!$D$11:$D$99,1,FALSE()),"(미존재)")</f>
        <v>(미존재)</v>
      </c>
    </row>
    <row r="459" customFormat="false" ht="15" hidden="false" customHeight="false" outlineLevel="0" collapsed="false">
      <c r="C459" s="324" t="s">
        <v>841</v>
      </c>
      <c r="Q459" s="318" t="n">
        <f aca="false">SUM(Q424:Q457)</f>
        <v>1899403138</v>
      </c>
      <c r="R459" s="318" t="n">
        <f aca="false">SUM(R424:R457)</f>
        <v>0</v>
      </c>
      <c r="S459" s="318" t="n">
        <f aca="false">SUM(S424:S457)</f>
        <v>0</v>
      </c>
      <c r="T459" s="318" t="n">
        <f aca="false">SUM(T424:T457)</f>
        <v>0</v>
      </c>
      <c r="U459" s="318" t="n">
        <f aca="false">SUM(U424:U457)</f>
        <v>0</v>
      </c>
      <c r="V459" s="318" t="n">
        <f aca="false">SUM(V424:V457)</f>
        <v>0</v>
      </c>
      <c r="W459" s="318" t="n">
        <f aca="false">SUM(W424:W457)</f>
        <v>0</v>
      </c>
      <c r="X459" s="318" t="n">
        <f aca="false">SUM(X424:X457)</f>
        <v>0</v>
      </c>
      <c r="Y459" s="318" t="n">
        <f aca="false">SUM(Y424:Y457)</f>
        <v>0</v>
      </c>
      <c r="Z459" s="318" t="n">
        <f aca="false">SUM(Z424:Z457)</f>
        <v>188511929</v>
      </c>
      <c r="AR459" s="307" t="str">
        <f aca="false">IFERROR(VLOOKUP(M459,'PL_DEC.2026'!$D$11:$D$99,1,FALSE()),"(미존재)")</f>
        <v>(미존재)</v>
      </c>
    </row>
    <row r="460" customFormat="false" ht="15" hidden="false" customHeight="false" outlineLevel="0" collapsed="false">
      <c r="Q460" s="318" t="n">
        <f aca="false">++Q458+Q459</f>
        <v>2</v>
      </c>
      <c r="R460" s="318" t="n">
        <f aca="false">++R458+R459</f>
        <v>0</v>
      </c>
      <c r="S460" s="318" t="n">
        <f aca="false">++S458+S459</f>
        <v>0</v>
      </c>
      <c r="T460" s="318" t="n">
        <f aca="false">++T458+T459</f>
        <v>0</v>
      </c>
      <c r="U460" s="318" t="n">
        <f aca="false">++U458+U459</f>
        <v>0</v>
      </c>
      <c r="V460" s="318" t="n">
        <f aca="false">++V458+V459</f>
        <v>0</v>
      </c>
      <c r="W460" s="318" t="n">
        <f aca="false">++W458+W459</f>
        <v>0</v>
      </c>
      <c r="X460" s="318" t="n">
        <f aca="false">++X458+X459</f>
        <v>0</v>
      </c>
      <c r="Y460" s="318" t="n">
        <f aca="false">++Y458+Y459</f>
        <v>0</v>
      </c>
      <c r="Z460" s="318" t="n">
        <f aca="false">++Z458+Z459</f>
        <v>-2</v>
      </c>
      <c r="AR460" s="307" t="str">
        <f aca="false">IFERROR(VLOOKUP(M460,'PL_DEC.2026'!$D$11:$D$99,1,FALSE()),"(미존재)")</f>
        <v>(미존재)</v>
      </c>
    </row>
    <row r="461" customFormat="false" ht="15" hidden="false" customHeight="false" outlineLevel="0" collapsed="false">
      <c r="AR461" s="307" t="str">
        <f aca="false">IFERROR(VLOOKUP(M461,'PL_DEC.2026'!$D$11:$D$99,1,FALSE()),"(미존재)")</f>
        <v>(미존재)</v>
      </c>
    </row>
    <row r="464" customFormat="false" ht="15" hidden="false" customHeight="false" outlineLevel="0" collapsed="false">
      <c r="P464" s="307" t="s">
        <v>2379</v>
      </c>
      <c r="Z464" s="318" t="n">
        <f aca="false">++-(Z367+Z459)</f>
        <v>49288887022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R16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7.37"/>
    <col collapsed="false" customWidth="true" hidden="false" outlineLevel="0" max="2" min="2" style="162" width="3.18"/>
    <col collapsed="false" customWidth="true" hidden="false" outlineLevel="0" max="3" min="3" style="162" width="6.54"/>
    <col collapsed="false" customWidth="true" hidden="false" outlineLevel="0" max="4" min="4" style="162" width="21"/>
  </cols>
  <sheetData>
    <row r="1" customFormat="false" ht="22.5" hidden="false" customHeight="true" outlineLevel="0" collapsed="false">
      <c r="E1" s="327"/>
      <c r="F1" s="327"/>
      <c r="G1" s="327"/>
      <c r="H1" s="327"/>
      <c r="I1" s="327"/>
      <c r="J1" s="327"/>
      <c r="K1" s="327"/>
      <c r="L1" s="327"/>
      <c r="M1" s="327"/>
      <c r="N1" s="327"/>
    </row>
    <row r="2" customFormat="false" ht="22.5" hidden="false" customHeight="true" outlineLevel="0" collapsed="false">
      <c r="E2" s="327"/>
      <c r="F2" s="327"/>
      <c r="G2" s="327"/>
      <c r="H2" s="327"/>
      <c r="I2" s="318"/>
      <c r="J2" s="327"/>
      <c r="K2" s="327"/>
      <c r="L2" s="327"/>
      <c r="M2" s="327"/>
      <c r="N2" s="327"/>
    </row>
    <row r="3" customFormat="false" ht="22.5" hidden="false" customHeight="true" outlineLevel="0" collapsed="false">
      <c r="B3" s="328" t="s">
        <v>2380</v>
      </c>
      <c r="C3" s="328"/>
      <c r="D3" s="328"/>
      <c r="E3" s="328"/>
      <c r="F3" s="328"/>
      <c r="G3" s="328"/>
      <c r="H3" s="328"/>
      <c r="I3" s="328"/>
      <c r="J3" s="328"/>
      <c r="K3" s="329"/>
      <c r="L3" s="329"/>
      <c r="M3" s="329"/>
      <c r="N3" s="329"/>
    </row>
    <row r="4" customFormat="false" ht="15" hidden="false" customHeight="true" outlineLevel="0" collapsed="false">
      <c r="E4" s="330"/>
      <c r="F4" s="330"/>
      <c r="G4" s="330"/>
      <c r="H4" s="330"/>
      <c r="I4" s="330"/>
      <c r="J4" s="330"/>
      <c r="K4" s="330"/>
      <c r="L4" s="330"/>
      <c r="M4" s="330"/>
      <c r="N4" s="330"/>
    </row>
    <row r="5" customFormat="false" ht="16.5" hidden="false" customHeight="true" outlineLevel="0" collapsed="false">
      <c r="B5" s="331" t="s">
        <v>2381</v>
      </c>
      <c r="C5" s="331"/>
      <c r="D5" s="331"/>
      <c r="E5" s="331"/>
      <c r="F5" s="331"/>
      <c r="G5" s="331"/>
      <c r="H5" s="331"/>
      <c r="I5" s="331"/>
      <c r="J5" s="331"/>
      <c r="K5" s="332"/>
      <c r="L5" s="332"/>
      <c r="M5" s="332"/>
      <c r="N5" s="332"/>
    </row>
    <row r="6" customFormat="false" ht="16.5" hidden="false" customHeight="true" outlineLevel="0" collapsed="false">
      <c r="B6" s="331" t="s">
        <v>2382</v>
      </c>
      <c r="C6" s="331"/>
      <c r="D6" s="331"/>
      <c r="E6" s="331"/>
      <c r="F6" s="331"/>
      <c r="G6" s="331"/>
      <c r="H6" s="331"/>
      <c r="I6" s="331"/>
      <c r="J6" s="331"/>
      <c r="K6" s="332"/>
      <c r="L6" s="332"/>
      <c r="M6" s="332"/>
      <c r="N6" s="332"/>
    </row>
    <row r="7" customFormat="false" ht="18" hidden="false" customHeight="true" outlineLevel="0" collapsed="false">
      <c r="E7" s="333" t="s">
        <v>2383</v>
      </c>
      <c r="G7" s="332" t="s">
        <v>1478</v>
      </c>
      <c r="H7" s="332"/>
      <c r="I7" s="334" t="s">
        <v>2384</v>
      </c>
      <c r="J7" s="334"/>
      <c r="K7" s="330"/>
      <c r="L7" s="330"/>
      <c r="M7" s="330"/>
      <c r="N7" s="330"/>
    </row>
    <row r="8" customFormat="false" ht="16.5" hidden="false" customHeight="true" outlineLevel="0" collapsed="false">
      <c r="B8" s="335" t="s">
        <v>2385</v>
      </c>
      <c r="C8" s="335"/>
      <c r="D8" s="335"/>
      <c r="E8" s="336" t="str">
        <f aca="false">++'PL_DEC.2026'!E8</f>
        <v>제     37 (당)    기
Dec 2026</v>
      </c>
      <c r="F8" s="336"/>
      <c r="G8" s="337" t="s">
        <v>2386</v>
      </c>
      <c r="H8" s="338" t="s">
        <v>2387</v>
      </c>
      <c r="I8" s="339" t="s">
        <v>2388</v>
      </c>
      <c r="J8" s="339"/>
      <c r="K8" s="336" t="str">
        <f aca="false">++'PL_DEC.2026'!L8</f>
        <v>제     37 (당)    기
Dec 2026</v>
      </c>
      <c r="L8" s="336"/>
      <c r="M8" s="336" t="str">
        <f aca="false">++'PL_DEC.2026'!N8</f>
        <v>제    36  (전)    기
Dec 2025</v>
      </c>
      <c r="N8" s="336"/>
    </row>
    <row r="9" customFormat="false" ht="16.5" hidden="false" customHeight="true" outlineLevel="0" collapsed="false">
      <c r="B9" s="335"/>
      <c r="C9" s="335"/>
      <c r="D9" s="335"/>
      <c r="E9" s="336"/>
      <c r="F9" s="336"/>
      <c r="G9" s="340" t="s">
        <v>2255</v>
      </c>
      <c r="H9" s="341" t="s">
        <v>2389</v>
      </c>
      <c r="I9" s="342" t="s">
        <v>2390</v>
      </c>
      <c r="J9" s="342"/>
      <c r="K9" s="336"/>
      <c r="L9" s="336"/>
      <c r="M9" s="336"/>
      <c r="N9" s="336"/>
    </row>
    <row r="10" customFormat="false" ht="21" hidden="false" customHeight="true" outlineLevel="0" collapsed="false">
      <c r="B10" s="343"/>
      <c r="C10" s="344" t="s">
        <v>2391</v>
      </c>
      <c r="D10" s="345"/>
      <c r="E10" s="346"/>
      <c r="F10" s="347"/>
      <c r="G10" s="348"/>
      <c r="H10" s="349"/>
      <c r="I10" s="348"/>
      <c r="J10" s="347"/>
      <c r="K10" s="346"/>
      <c r="L10" s="347"/>
      <c r="M10" s="346"/>
      <c r="N10" s="347"/>
      <c r="O10" s="332"/>
      <c r="P10" s="332"/>
      <c r="Q10" s="332"/>
      <c r="R10" s="332"/>
    </row>
    <row r="11" customFormat="false" ht="21" hidden="false" customHeight="true" outlineLevel="0" collapsed="false">
      <c r="B11" s="343" t="s">
        <v>2392</v>
      </c>
      <c r="C11" s="344" t="s">
        <v>2393</v>
      </c>
      <c r="D11" s="345"/>
      <c r="E11" s="346"/>
      <c r="F11" s="347" t="n">
        <f aca="false">+F12+F26</f>
        <v>465905895178</v>
      </c>
      <c r="G11" s="348"/>
      <c r="H11" s="349"/>
      <c r="I11" s="348"/>
      <c r="J11" s="347"/>
      <c r="K11" s="346"/>
      <c r="L11" s="347" t="n">
        <f aca="false">+L12+L26</f>
        <v>453490085054</v>
      </c>
      <c r="M11" s="346"/>
      <c r="N11" s="347" t="n">
        <v>399003823525</v>
      </c>
      <c r="O11" s="350" t="n">
        <f aca="false">++L11-N11</f>
        <v>54486261529</v>
      </c>
      <c r="P11" s="332"/>
      <c r="Q11" s="332"/>
      <c r="R11" s="332"/>
    </row>
    <row r="12" customFormat="false" ht="21" hidden="false" customHeight="true" outlineLevel="0" collapsed="false">
      <c r="B12" s="351"/>
      <c r="C12" s="352" t="n">
        <v>-1</v>
      </c>
      <c r="D12" s="353" t="s">
        <v>2394</v>
      </c>
      <c r="E12" s="354"/>
      <c r="F12" s="355" t="n">
        <f aca="false">+E13+F15+E16+E17+E19+E20+E22+E23+E24+E18+E21</f>
        <v>270465932072</v>
      </c>
      <c r="G12" s="356"/>
      <c r="H12" s="357"/>
      <c r="I12" s="348"/>
      <c r="J12" s="347"/>
      <c r="K12" s="354"/>
      <c r="L12" s="355" t="n">
        <f aca="false">+K13+L15+K16+K17+K19+K20+K22+K23+K24+K18+K21</f>
        <v>258050121948</v>
      </c>
      <c r="M12" s="354"/>
      <c r="N12" s="355" t="n">
        <v>222568030855</v>
      </c>
      <c r="O12" s="350" t="n">
        <f aca="false">++L12-N12</f>
        <v>35482091093</v>
      </c>
      <c r="P12" s="332"/>
      <c r="Q12" s="332"/>
      <c r="R12" s="332"/>
    </row>
    <row r="13" customFormat="false" ht="21" hidden="false" customHeight="true" outlineLevel="0" collapsed="false">
      <c r="B13" s="351"/>
      <c r="C13" s="358" t="n">
        <v>1</v>
      </c>
      <c r="D13" s="359" t="s">
        <v>27</v>
      </c>
      <c r="E13" s="354" t="n">
        <f aca="false">SUMIF(BSPL2026!M:M,'BS_DEC 2026'!D13,BSPL2026!Z:Z)</f>
        <v>8328079411</v>
      </c>
      <c r="F13" s="355" t="s">
        <v>2395</v>
      </c>
      <c r="G13" s="356"/>
      <c r="H13" s="357"/>
      <c r="I13" s="348"/>
      <c r="J13" s="347"/>
      <c r="K13" s="354" t="n">
        <f aca="false">E13+I13-J13</f>
        <v>8328079411</v>
      </c>
      <c r="L13" s="355" t="s">
        <v>2395</v>
      </c>
      <c r="M13" s="354" t="n">
        <v>11105202344</v>
      </c>
      <c r="N13" s="355" t="s">
        <v>2395</v>
      </c>
      <c r="O13" s="350" t="n">
        <f aca="false">++K13-M13</f>
        <v>-2777122933</v>
      </c>
      <c r="P13" s="350"/>
      <c r="Q13" s="350"/>
      <c r="R13" s="350"/>
    </row>
    <row r="14" customFormat="false" ht="21" hidden="false" customHeight="true" outlineLevel="0" collapsed="false">
      <c r="B14" s="351"/>
      <c r="C14" s="358" t="n">
        <v>2</v>
      </c>
      <c r="D14" s="359" t="s">
        <v>30</v>
      </c>
      <c r="E14" s="354" t="n">
        <f aca="false">SUMIF(BSPL2026!M:M,'BS_DEC 2026'!D14,BSPL2026!Z:Z)</f>
        <v>227594760909</v>
      </c>
      <c r="F14" s="355"/>
      <c r="G14" s="356"/>
      <c r="H14" s="360"/>
      <c r="I14" s="348"/>
      <c r="J14" s="347" t="n">
        <f aca="false">++'statutory adj_2026 조정분개'!M34</f>
        <v>-12415810124</v>
      </c>
      <c r="K14" s="354" t="n">
        <f aca="false">E14+I14+J14+H14</f>
        <v>215178950785</v>
      </c>
      <c r="L14" s="355"/>
      <c r="M14" s="354" t="n">
        <v>166754777499</v>
      </c>
      <c r="N14" s="355"/>
      <c r="O14" s="350" t="n">
        <f aca="false">++K14-M14</f>
        <v>48424173286</v>
      </c>
      <c r="P14" s="350"/>
      <c r="Q14" s="350"/>
      <c r="R14" s="350"/>
    </row>
    <row r="15" customFormat="false" ht="21" hidden="false" customHeight="true" outlineLevel="0" collapsed="false">
      <c r="B15" s="351"/>
      <c r="C15" s="358" t="n">
        <v>3</v>
      </c>
      <c r="D15" s="359" t="s">
        <v>33</v>
      </c>
      <c r="E15" s="354" t="n">
        <f aca="false">SUMIF(BSPL2026!M:M,'BS_DEC 2026'!D15,BSPL2026!Z:Z)</f>
        <v>-118149382</v>
      </c>
      <c r="F15" s="355" t="n">
        <f aca="false">+E14+E15</f>
        <v>227476611527</v>
      </c>
      <c r="G15" s="356"/>
      <c r="H15" s="357"/>
      <c r="I15" s="348"/>
      <c r="J15" s="347"/>
      <c r="K15" s="354" t="n">
        <f aca="false">E15+I15-J15</f>
        <v>-118149382</v>
      </c>
      <c r="L15" s="355" t="n">
        <f aca="false">+K14+K15</f>
        <v>215060801403</v>
      </c>
      <c r="M15" s="354" t="n">
        <v>-122273991</v>
      </c>
      <c r="N15" s="355" t="n">
        <v>166632503508</v>
      </c>
      <c r="O15" s="350" t="n">
        <f aca="false">++K15-M15</f>
        <v>4124609</v>
      </c>
      <c r="P15" s="350"/>
      <c r="Q15" s="350"/>
      <c r="R15" s="350"/>
    </row>
    <row r="16" customFormat="false" ht="21" hidden="false" customHeight="true" outlineLevel="0" collapsed="false">
      <c r="B16" s="351"/>
      <c r="C16" s="358" t="n">
        <v>4</v>
      </c>
      <c r="D16" s="359" t="s">
        <v>36</v>
      </c>
      <c r="E16" s="354" t="n">
        <f aca="false">SUMIF(BSPL2026!M:M,'BS_DEC 2026'!D16,BSPL2026!Z:Z)</f>
        <v>12002662102</v>
      </c>
      <c r="F16" s="355" t="s">
        <v>2395</v>
      </c>
      <c r="G16" s="354"/>
      <c r="H16" s="357"/>
      <c r="I16" s="348"/>
      <c r="J16" s="347"/>
      <c r="K16" s="354" t="n">
        <f aca="false">E16+I16-J16-G16</f>
        <v>12002662102</v>
      </c>
      <c r="L16" s="355" t="s">
        <v>2395</v>
      </c>
      <c r="M16" s="354" t="n">
        <v>19254727447</v>
      </c>
      <c r="N16" s="355" t="s">
        <v>2395</v>
      </c>
      <c r="O16" s="350" t="n">
        <f aca="false">++K16-M16</f>
        <v>-7252065345</v>
      </c>
      <c r="P16" s="350"/>
      <c r="Q16" s="350"/>
      <c r="R16" s="350"/>
    </row>
    <row r="17" customFormat="false" ht="21" hidden="false" customHeight="true" outlineLevel="0" collapsed="false">
      <c r="B17" s="351"/>
      <c r="C17" s="358" t="n">
        <v>5</v>
      </c>
      <c r="D17" s="359" t="s">
        <v>39</v>
      </c>
      <c r="E17" s="354" t="n">
        <f aca="false">SUMIF(BSPL2026!M:M,'BS_DEC 2026'!D17,BSPL2026!Z:Z)</f>
        <v>0</v>
      </c>
      <c r="F17" s="355"/>
      <c r="G17" s="356"/>
      <c r="H17" s="357"/>
      <c r="I17" s="348"/>
      <c r="J17" s="347"/>
      <c r="K17" s="354" t="n">
        <f aca="false">E17+I17+J17</f>
        <v>0</v>
      </c>
      <c r="L17" s="355"/>
      <c r="M17" s="354" t="n">
        <v>0</v>
      </c>
      <c r="N17" s="355"/>
      <c r="O17" s="350" t="n">
        <f aca="false">++K17-M17</f>
        <v>0</v>
      </c>
      <c r="P17" s="350"/>
      <c r="Q17" s="350"/>
      <c r="R17" s="350"/>
    </row>
    <row r="18" customFormat="false" ht="21" hidden="false" customHeight="true" outlineLevel="0" collapsed="false">
      <c r="B18" s="351"/>
      <c r="C18" s="358" t="n">
        <v>6</v>
      </c>
      <c r="D18" s="359" t="s">
        <v>42</v>
      </c>
      <c r="E18" s="354" t="n">
        <f aca="false">SUMIF(BSPL2026!M:M,'BS_DEC 2026'!D18,BSPL2026!Z:Z)</f>
        <v>981690770</v>
      </c>
      <c r="F18" s="355"/>
      <c r="G18" s="356"/>
      <c r="H18" s="357"/>
      <c r="I18" s="348"/>
      <c r="J18" s="347"/>
      <c r="K18" s="354" t="n">
        <f aca="false">E18+I18-J18</f>
        <v>981690770</v>
      </c>
      <c r="L18" s="355"/>
      <c r="M18" s="354" t="n">
        <v>979522461</v>
      </c>
      <c r="N18" s="355"/>
      <c r="O18" s="350" t="n">
        <f aca="false">++K18-M18</f>
        <v>2168309</v>
      </c>
      <c r="R18" s="350"/>
    </row>
    <row r="19" customFormat="false" ht="21" hidden="false" customHeight="true" outlineLevel="0" collapsed="false">
      <c r="B19" s="351"/>
      <c r="C19" s="358" t="n">
        <v>7</v>
      </c>
      <c r="D19" s="359" t="s">
        <v>45</v>
      </c>
      <c r="E19" s="354" t="n">
        <f aca="false">SUMIF(BSPL2026!M:M,'BS_DEC 2026'!D19,BSPL2026!Z:Z)</f>
        <v>1159433436</v>
      </c>
      <c r="F19" s="355"/>
      <c r="G19" s="356"/>
      <c r="H19" s="357"/>
      <c r="I19" s="348"/>
      <c r="J19" s="347"/>
      <c r="K19" s="354" t="n">
        <f aca="false">E19+I19-J19</f>
        <v>1159433436</v>
      </c>
      <c r="L19" s="355"/>
      <c r="M19" s="354" t="n">
        <v>93970356</v>
      </c>
      <c r="N19" s="355"/>
      <c r="O19" s="350" t="n">
        <f aca="false">++K19-M19</f>
        <v>1065463080</v>
      </c>
      <c r="R19" s="350"/>
    </row>
    <row r="20" customFormat="false" ht="21" hidden="false" customHeight="true" outlineLevel="0" collapsed="false">
      <c r="B20" s="351"/>
      <c r="C20" s="358" t="n">
        <v>8</v>
      </c>
      <c r="D20" s="359" t="s">
        <v>48</v>
      </c>
      <c r="E20" s="354" t="n">
        <f aca="false">SUMIF(BSPL2026!M:M,'BS_DEC 2026'!D20,BSPL2026!Z:Z)</f>
        <v>0</v>
      </c>
      <c r="F20" s="355"/>
      <c r="G20" s="356"/>
      <c r="H20" s="357"/>
      <c r="I20" s="348"/>
      <c r="J20" s="347"/>
      <c r="K20" s="354" t="n">
        <f aca="false">E20+I20-J20</f>
        <v>0</v>
      </c>
      <c r="L20" s="355"/>
      <c r="M20" s="354" t="n">
        <v>0</v>
      </c>
      <c r="N20" s="355"/>
      <c r="O20" s="350" t="n">
        <f aca="false">++K20-M20</f>
        <v>0</v>
      </c>
      <c r="R20" s="350"/>
    </row>
    <row r="21" customFormat="false" ht="21" hidden="false" customHeight="true" outlineLevel="0" collapsed="false">
      <c r="B21" s="351"/>
      <c r="C21" s="358" t="n">
        <v>9</v>
      </c>
      <c r="D21" s="359" t="s">
        <v>51</v>
      </c>
      <c r="E21" s="354" t="n">
        <f aca="false">SUMIF(BSPL2026!M:M,'BS_DEC 2026'!D21,BSPL2026!Z:Z)</f>
        <v>0</v>
      </c>
      <c r="F21" s="355"/>
      <c r="G21" s="356"/>
      <c r="H21" s="357"/>
      <c r="I21" s="348"/>
      <c r="J21" s="347"/>
      <c r="K21" s="354" t="n">
        <f aca="false">E21+I21-J21</f>
        <v>0</v>
      </c>
      <c r="L21" s="355"/>
      <c r="M21" s="354" t="n">
        <v>0</v>
      </c>
      <c r="N21" s="355"/>
      <c r="O21" s="350" t="n">
        <f aca="false">++K21-M21</f>
        <v>0</v>
      </c>
      <c r="R21" s="350"/>
    </row>
    <row r="22" customFormat="false" ht="21" hidden="false" customHeight="true" outlineLevel="0" collapsed="false">
      <c r="B22" s="351"/>
      <c r="C22" s="358" t="n">
        <v>10</v>
      </c>
      <c r="D22" s="359" t="s">
        <v>54</v>
      </c>
      <c r="E22" s="354" t="n">
        <f aca="false">SUMIF(BSPL2026!M:M,'BS_DEC 2026'!D22,BSPL2026!Z:Z)</f>
        <v>1049728634</v>
      </c>
      <c r="F22" s="355"/>
      <c r="G22" s="356"/>
      <c r="H22" s="357"/>
      <c r="I22" s="348"/>
      <c r="J22" s="347"/>
      <c r="K22" s="354" t="n">
        <f aca="false">E22+I22-J22</f>
        <v>1049728634</v>
      </c>
      <c r="L22" s="355"/>
      <c r="M22" s="354" t="n">
        <v>307501499</v>
      </c>
      <c r="N22" s="355"/>
      <c r="O22" s="350" t="n">
        <f aca="false">++K22-M22</f>
        <v>742227135</v>
      </c>
      <c r="R22" s="350"/>
    </row>
    <row r="23" customFormat="false" ht="21" hidden="false" customHeight="true" outlineLevel="0" collapsed="false">
      <c r="B23" s="351"/>
      <c r="C23" s="358" t="n">
        <v>11</v>
      </c>
      <c r="D23" s="359" t="s">
        <v>57</v>
      </c>
      <c r="E23" s="354" t="n">
        <f aca="false">SUMIF(BSPL2026!M:M,'BS_DEC 2026'!D23,BSPL2026!Z:Z)</f>
        <v>19467726192</v>
      </c>
      <c r="F23" s="355"/>
      <c r="G23" s="356"/>
      <c r="H23" s="360"/>
      <c r="I23" s="348"/>
      <c r="J23" s="347"/>
      <c r="K23" s="354" t="n">
        <f aca="false">E23+G23-J23+H23+I23</f>
        <v>19467726192</v>
      </c>
      <c r="L23" s="355"/>
      <c r="M23" s="354" t="n">
        <v>24194603240</v>
      </c>
      <c r="N23" s="355"/>
      <c r="O23" s="350" t="n">
        <f aca="false">++K23-M23</f>
        <v>-4726877048</v>
      </c>
      <c r="R23" s="350"/>
    </row>
    <row r="24" customFormat="false" ht="21" hidden="false" customHeight="true" outlineLevel="0" collapsed="false">
      <c r="B24" s="351"/>
      <c r="C24" s="358" t="n">
        <v>12</v>
      </c>
      <c r="D24" s="359" t="s">
        <v>60</v>
      </c>
      <c r="E24" s="354" t="n">
        <f aca="false">SUMIF(BSPL2026!M:M,'BS_DEC 2026'!D24,BSPL2026!Z:Z)</f>
        <v>0</v>
      </c>
      <c r="F24" s="355"/>
      <c r="G24" s="356"/>
      <c r="H24" s="357"/>
      <c r="I24" s="348"/>
      <c r="J24" s="347"/>
      <c r="K24" s="354" t="n">
        <f aca="false">E24+I24-J24</f>
        <v>0</v>
      </c>
      <c r="L24" s="355"/>
      <c r="M24" s="354" t="n">
        <v>0</v>
      </c>
      <c r="N24" s="355"/>
      <c r="O24" s="350" t="n">
        <f aca="false">++K24-M24</f>
        <v>0</v>
      </c>
      <c r="P24" s="361"/>
      <c r="R24" s="350"/>
    </row>
    <row r="25" customFormat="false" ht="21" hidden="false" customHeight="true" outlineLevel="0" collapsed="false">
      <c r="B25" s="351"/>
      <c r="C25" s="358" t="n">
        <v>13</v>
      </c>
      <c r="D25" s="359" t="s">
        <v>62</v>
      </c>
      <c r="E25" s="354"/>
      <c r="F25" s="355"/>
      <c r="G25" s="356"/>
      <c r="H25" s="357"/>
      <c r="I25" s="348"/>
      <c r="J25" s="347"/>
      <c r="K25" s="354"/>
      <c r="L25" s="355"/>
      <c r="M25" s="354"/>
      <c r="N25" s="355"/>
      <c r="O25" s="350" t="n">
        <f aca="false">++K25-M25</f>
        <v>0</v>
      </c>
      <c r="P25" s="361"/>
      <c r="R25" s="350"/>
    </row>
    <row r="26" customFormat="false" ht="21" hidden="false" customHeight="true" outlineLevel="0" collapsed="false">
      <c r="B26" s="351"/>
      <c r="C26" s="352" t="n">
        <v>-2</v>
      </c>
      <c r="D26" s="353" t="s">
        <v>2396</v>
      </c>
      <c r="E26" s="354"/>
      <c r="F26" s="355" t="n">
        <f aca="false">+F28+E29+E30+E31+E32+E33+E34+E35+E36</f>
        <v>195439963106</v>
      </c>
      <c r="G26" s="356"/>
      <c r="H26" s="357"/>
      <c r="I26" s="348"/>
      <c r="J26" s="347"/>
      <c r="K26" s="354"/>
      <c r="L26" s="355" t="n">
        <f aca="false">+L28+K29+K30+K31+K32+K33+K34+K35+K36</f>
        <v>195439963106</v>
      </c>
      <c r="M26" s="354"/>
      <c r="N26" s="355" t="n">
        <v>176435792670</v>
      </c>
      <c r="O26" s="350" t="n">
        <f aca="false">++L26-N26</f>
        <v>19004170436</v>
      </c>
      <c r="R26" s="350"/>
    </row>
    <row r="27" customFormat="false" ht="21" hidden="false" customHeight="true" outlineLevel="0" collapsed="false">
      <c r="B27" s="351"/>
      <c r="C27" s="358" t="n">
        <v>1</v>
      </c>
      <c r="D27" s="359" t="s">
        <v>66</v>
      </c>
      <c r="E27" s="354" t="n">
        <f aca="false">SUMIF(BSPL2026!M:M,'BS_DEC 2026'!D27,BSPL2026!Z:Z)</f>
        <v>180063595464</v>
      </c>
      <c r="F27" s="355"/>
      <c r="G27" s="356"/>
      <c r="H27" s="357"/>
      <c r="I27" s="348"/>
      <c r="J27" s="347"/>
      <c r="K27" s="354" t="n">
        <f aca="false">E27+I27-J27</f>
        <v>180063595464</v>
      </c>
      <c r="L27" s="355"/>
      <c r="M27" s="354" t="n">
        <v>160568039290</v>
      </c>
      <c r="N27" s="355"/>
      <c r="O27" s="350" t="n">
        <f aca="false">++K27-M27</f>
        <v>19495556174</v>
      </c>
      <c r="R27" s="350"/>
    </row>
    <row r="28" customFormat="false" ht="21" hidden="false" customHeight="true" outlineLevel="0" collapsed="false">
      <c r="B28" s="351"/>
      <c r="C28" s="358"/>
      <c r="D28" s="359" t="s">
        <v>2397</v>
      </c>
      <c r="E28" s="354" t="n">
        <f aca="false">SUMIF(BSPL2026!M:M,'BS_DEC 2026'!D28,BSPL2026!Z:Z)</f>
        <v>-2420155943</v>
      </c>
      <c r="F28" s="355" t="n">
        <f aca="false">+E27+E28</f>
        <v>177643439521</v>
      </c>
      <c r="G28" s="356"/>
      <c r="H28" s="357"/>
      <c r="I28" s="348"/>
      <c r="J28" s="347"/>
      <c r="K28" s="354" t="n">
        <f aca="false">E28+G28-J28</f>
        <v>-2420155943</v>
      </c>
      <c r="L28" s="355" t="n">
        <f aca="false">+K27+K28</f>
        <v>177643439521</v>
      </c>
      <c r="M28" s="354" t="n">
        <v>-4823897784</v>
      </c>
      <c r="N28" s="355" t="n">
        <v>155744141506</v>
      </c>
      <c r="O28" s="350" t="n">
        <f aca="false">++K28-M28</f>
        <v>2403741841</v>
      </c>
      <c r="R28" s="350"/>
    </row>
    <row r="29" customFormat="false" ht="21" hidden="false" customHeight="true" outlineLevel="0" collapsed="false">
      <c r="B29" s="351"/>
      <c r="C29" s="358" t="n">
        <v>2</v>
      </c>
      <c r="D29" s="359" t="s">
        <v>70</v>
      </c>
      <c r="E29" s="354" t="n">
        <f aca="false">SUMIF(BSPL2026!M:M,'BS_DEC 2026'!D29,BSPL2026!Z:Z)</f>
        <v>0</v>
      </c>
      <c r="F29" s="355"/>
      <c r="G29" s="356"/>
      <c r="H29" s="357"/>
      <c r="I29" s="348"/>
      <c r="J29" s="347"/>
      <c r="K29" s="354" t="n">
        <f aca="false">E29+I29-J29</f>
        <v>0</v>
      </c>
      <c r="L29" s="355"/>
      <c r="M29" s="354" t="n">
        <v>0</v>
      </c>
      <c r="N29" s="355"/>
      <c r="O29" s="350" t="n">
        <f aca="false">++K29-M29</f>
        <v>0</v>
      </c>
      <c r="R29" s="350"/>
    </row>
    <row r="30" customFormat="false" ht="21" hidden="false" customHeight="true" outlineLevel="0" collapsed="false">
      <c r="B30" s="351"/>
      <c r="C30" s="358" t="n">
        <v>3</v>
      </c>
      <c r="D30" s="359" t="s">
        <v>2398</v>
      </c>
      <c r="E30" s="354" t="n">
        <f aca="false">SUMIF(BSPL2026!M:M,'BS_DEC 2026'!D30,BSPL2026!Z:Z)</f>
        <v>0</v>
      </c>
      <c r="F30" s="355"/>
      <c r="G30" s="356"/>
      <c r="H30" s="357"/>
      <c r="I30" s="348"/>
      <c r="J30" s="347"/>
      <c r="K30" s="354" t="n">
        <f aca="false">E30+I30-J30</f>
        <v>0</v>
      </c>
      <c r="L30" s="355"/>
      <c r="M30" s="354" t="n">
        <v>0</v>
      </c>
      <c r="N30" s="355"/>
      <c r="O30" s="350" t="n">
        <f aca="false">++K30-M30</f>
        <v>0</v>
      </c>
      <c r="R30" s="350"/>
    </row>
    <row r="31" customFormat="false" ht="21" hidden="false" customHeight="true" outlineLevel="0" collapsed="false">
      <c r="B31" s="351"/>
      <c r="C31" s="358" t="n">
        <v>4</v>
      </c>
      <c r="D31" s="362" t="s">
        <v>73</v>
      </c>
      <c r="E31" s="354" t="n">
        <f aca="false">SUMIF(BSPL2026!M:M,'BS_DEC 2026'!D31,BSPL2026!Z:Z)</f>
        <v>0</v>
      </c>
      <c r="F31" s="355"/>
      <c r="G31" s="356"/>
      <c r="H31" s="357"/>
      <c r="I31" s="348"/>
      <c r="J31" s="347"/>
      <c r="K31" s="354" t="n">
        <f aca="false">E31+I31-J31</f>
        <v>0</v>
      </c>
      <c r="L31" s="355"/>
      <c r="M31" s="354" t="n">
        <v>0</v>
      </c>
      <c r="N31" s="355"/>
      <c r="O31" s="350" t="n">
        <f aca="false">++K31-M31</f>
        <v>0</v>
      </c>
      <c r="R31" s="350"/>
    </row>
    <row r="32" customFormat="false" ht="21" hidden="false" customHeight="true" outlineLevel="0" collapsed="false">
      <c r="B32" s="351"/>
      <c r="C32" s="358" t="n">
        <v>5</v>
      </c>
      <c r="D32" s="362" t="s">
        <v>75</v>
      </c>
      <c r="E32" s="354" t="n">
        <f aca="false">SUMIF(BSPL2026!M:M,'BS_DEC 2026'!D32,BSPL2026!Z:Z)</f>
        <v>0</v>
      </c>
      <c r="F32" s="355"/>
      <c r="G32" s="356"/>
      <c r="H32" s="357"/>
      <c r="I32" s="348"/>
      <c r="J32" s="347"/>
      <c r="K32" s="354" t="n">
        <f aca="false">E32+I32-J32</f>
        <v>0</v>
      </c>
      <c r="L32" s="355"/>
      <c r="M32" s="354" t="n">
        <v>0</v>
      </c>
      <c r="N32" s="355"/>
      <c r="O32" s="350" t="n">
        <f aca="false">++K32-M32</f>
        <v>0</v>
      </c>
      <c r="R32" s="350"/>
    </row>
    <row r="33" customFormat="false" ht="21" hidden="false" customHeight="true" outlineLevel="0" collapsed="false">
      <c r="B33" s="351"/>
      <c r="C33" s="358" t="n">
        <v>6</v>
      </c>
      <c r="D33" s="362" t="s">
        <v>2399</v>
      </c>
      <c r="E33" s="354" t="n">
        <f aca="false">SUMIF(BSPL2026!M:M,'BS_DEC 2026'!D33,BSPL2026!Z:Z)</f>
        <v>0</v>
      </c>
      <c r="F33" s="355"/>
      <c r="G33" s="356"/>
      <c r="H33" s="357"/>
      <c r="I33" s="348"/>
      <c r="J33" s="347"/>
      <c r="K33" s="354" t="n">
        <f aca="false">E33+I33-J33</f>
        <v>0</v>
      </c>
      <c r="L33" s="355"/>
      <c r="M33" s="354" t="n">
        <v>0</v>
      </c>
      <c r="N33" s="355"/>
      <c r="O33" s="350" t="n">
        <f aca="false">++K33-M33</f>
        <v>0</v>
      </c>
      <c r="R33" s="350"/>
    </row>
    <row r="34" customFormat="false" ht="21" hidden="false" customHeight="true" outlineLevel="0" collapsed="false">
      <c r="B34" s="351"/>
      <c r="C34" s="358" t="n">
        <v>7</v>
      </c>
      <c r="D34" s="362" t="s">
        <v>79</v>
      </c>
      <c r="E34" s="354" t="n">
        <f aca="false">SUMIF(BSPL2026!M:M,'BS_DEC 2026'!D34,BSPL2026!Z:Z)</f>
        <v>0</v>
      </c>
      <c r="F34" s="355"/>
      <c r="G34" s="356"/>
      <c r="H34" s="357"/>
      <c r="I34" s="348"/>
      <c r="J34" s="347"/>
      <c r="K34" s="354" t="n">
        <f aca="false">E34+I34-J34</f>
        <v>0</v>
      </c>
      <c r="L34" s="355"/>
      <c r="M34" s="354" t="n">
        <v>0</v>
      </c>
      <c r="N34" s="355"/>
      <c r="O34" s="350" t="n">
        <f aca="false">++K34-M34</f>
        <v>0</v>
      </c>
      <c r="R34" s="350"/>
    </row>
    <row r="35" customFormat="false" ht="21" hidden="false" customHeight="true" outlineLevel="0" collapsed="false">
      <c r="B35" s="351"/>
      <c r="C35" s="358" t="n">
        <v>8</v>
      </c>
      <c r="D35" s="362" t="s">
        <v>2400</v>
      </c>
      <c r="E35" s="354" t="n">
        <f aca="false">SUMIF(BSPL2026!M:M,'BS_DEC 2026'!D35,BSPL2026!Z:Z)</f>
        <v>0</v>
      </c>
      <c r="F35" s="355"/>
      <c r="G35" s="356"/>
      <c r="H35" s="357"/>
      <c r="I35" s="348"/>
      <c r="J35" s="347"/>
      <c r="K35" s="354" t="n">
        <f aca="false">E35+I35-J35</f>
        <v>0</v>
      </c>
      <c r="L35" s="355"/>
      <c r="M35" s="354" t="n">
        <v>0</v>
      </c>
      <c r="N35" s="355"/>
      <c r="O35" s="350" t="n">
        <f aca="false">++K35-M35</f>
        <v>0</v>
      </c>
      <c r="R35" s="350"/>
    </row>
    <row r="36" customFormat="false" ht="21" hidden="false" customHeight="true" outlineLevel="0" collapsed="false">
      <c r="B36" s="351"/>
      <c r="C36" s="358" t="n">
        <v>9</v>
      </c>
      <c r="D36" s="362" t="s">
        <v>83</v>
      </c>
      <c r="E36" s="354" t="n">
        <f aca="false">SUMIF(BSPL2026!M:M,'BS_DEC 2026'!D36,BSPL2026!Z:Z)</f>
        <v>17796523585</v>
      </c>
      <c r="F36" s="355"/>
      <c r="G36" s="356"/>
      <c r="H36" s="357"/>
      <c r="I36" s="348"/>
      <c r="J36" s="347"/>
      <c r="K36" s="354" t="n">
        <f aca="false">E36+I36-J36</f>
        <v>17796523585</v>
      </c>
      <c r="L36" s="355"/>
      <c r="M36" s="354" t="n">
        <v>20691651164</v>
      </c>
      <c r="N36" s="355"/>
      <c r="O36" s="350" t="n">
        <f aca="false">++K36-M36</f>
        <v>-2895127579</v>
      </c>
      <c r="R36" s="350"/>
    </row>
    <row r="37" customFormat="false" ht="21" hidden="false" customHeight="true" outlineLevel="0" collapsed="false">
      <c r="B37" s="343" t="s">
        <v>2401</v>
      </c>
      <c r="C37" s="344" t="s">
        <v>2402</v>
      </c>
      <c r="D37" s="345"/>
      <c r="E37" s="354"/>
      <c r="F37" s="347" t="n">
        <f aca="false">+F38+F42+F64+F56+F71</f>
        <v>3546064105</v>
      </c>
      <c r="G37" s="348"/>
      <c r="H37" s="349"/>
      <c r="I37" s="348"/>
      <c r="J37" s="347"/>
      <c r="K37" s="354" t="n">
        <f aca="false">E37+I37-J37</f>
        <v>0</v>
      </c>
      <c r="L37" s="347" t="n">
        <f aca="false">+L38+L42+L64+L56+L71</f>
        <v>3546064105</v>
      </c>
      <c r="M37" s="354" t="n">
        <v>0</v>
      </c>
      <c r="N37" s="347" t="n">
        <v>3167547191</v>
      </c>
      <c r="O37" s="350" t="n">
        <f aca="false">++L37-N37</f>
        <v>378516914</v>
      </c>
      <c r="P37" s="362"/>
      <c r="R37" s="350"/>
    </row>
    <row r="38" customFormat="false" ht="21" hidden="false" customHeight="true" outlineLevel="0" collapsed="false">
      <c r="B38" s="351"/>
      <c r="C38" s="352" t="n">
        <v>-1</v>
      </c>
      <c r="D38" s="353" t="s">
        <v>2403</v>
      </c>
      <c r="E38" s="354"/>
      <c r="F38" s="363" t="n">
        <f aca="false">SUM(E39:E41)</f>
        <v>0</v>
      </c>
      <c r="G38" s="356"/>
      <c r="H38" s="357"/>
      <c r="I38" s="348"/>
      <c r="J38" s="347"/>
      <c r="K38" s="354"/>
      <c r="L38" s="355" t="n">
        <f aca="false">+K39+K40+K41</f>
        <v>30000000</v>
      </c>
      <c r="M38" s="354"/>
      <c r="N38" s="355" t="n">
        <v>30000000</v>
      </c>
      <c r="O38" s="350" t="n">
        <f aca="false">++L38-N38</f>
        <v>0</v>
      </c>
      <c r="R38" s="350"/>
    </row>
    <row r="39" customFormat="false" ht="21" hidden="false" customHeight="true" outlineLevel="0" collapsed="false">
      <c r="B39" s="351"/>
      <c r="C39" s="358" t="s">
        <v>26</v>
      </c>
      <c r="D39" s="359" t="s">
        <v>89</v>
      </c>
      <c r="E39" s="354" t="n">
        <f aca="false">SUMIF(BSPL2026!M:M,'BS_DEC 2026'!D39,BSPL2026!Z:Z)</f>
        <v>0</v>
      </c>
      <c r="F39" s="355"/>
      <c r="G39" s="356"/>
      <c r="H39" s="357"/>
      <c r="I39" s="348"/>
      <c r="J39" s="347"/>
      <c r="K39" s="354" t="n">
        <f aca="false">E39+I39-J39</f>
        <v>0</v>
      </c>
      <c r="L39" s="355"/>
      <c r="M39" s="354" t="n">
        <v>0</v>
      </c>
      <c r="N39" s="355"/>
      <c r="O39" s="350" t="n">
        <f aca="false">++L39-N39</f>
        <v>0</v>
      </c>
      <c r="R39" s="350"/>
    </row>
    <row r="40" customFormat="false" ht="21" hidden="false" customHeight="true" outlineLevel="0" collapsed="false">
      <c r="B40" s="351"/>
      <c r="C40" s="358" t="s">
        <v>29</v>
      </c>
      <c r="D40" s="359" t="s">
        <v>90</v>
      </c>
      <c r="E40" s="354" t="n">
        <f aca="false">SUMIF(BSPL2026!M:M,'BS_DEC 2026'!D40,BSPL2026!Z:Z)</f>
        <v>0</v>
      </c>
      <c r="F40" s="355"/>
      <c r="G40" s="356"/>
      <c r="H40" s="357"/>
      <c r="I40" s="348"/>
      <c r="J40" s="347"/>
      <c r="K40" s="354" t="n">
        <f aca="false">E40+I40-J40</f>
        <v>0</v>
      </c>
      <c r="L40" s="355"/>
      <c r="M40" s="354" t="n">
        <v>0</v>
      </c>
      <c r="N40" s="355"/>
      <c r="O40" s="350" t="n">
        <f aca="false">++L40-N40</f>
        <v>0</v>
      </c>
      <c r="R40" s="350"/>
    </row>
    <row r="41" customFormat="false" ht="21" hidden="false" customHeight="true" outlineLevel="0" collapsed="false">
      <c r="B41" s="351"/>
      <c r="C41" s="358" t="s">
        <v>32</v>
      </c>
      <c r="D41" s="359" t="s">
        <v>92</v>
      </c>
      <c r="E41" s="354" t="n">
        <f aca="false">SUMIF(BSPL2026!M:M,'BS_DEC 2026'!D41,BSPL2026!Z:Z)</f>
        <v>0</v>
      </c>
      <c r="F41" s="355"/>
      <c r="G41" s="356"/>
      <c r="H41" s="357"/>
      <c r="I41" s="347" t="n">
        <f aca="false">++'statutory adj_2026 조정분개'!K7</f>
        <v>30000000</v>
      </c>
      <c r="J41" s="347"/>
      <c r="K41" s="354" t="n">
        <f aca="false">E41+I41-J41</f>
        <v>30000000</v>
      </c>
      <c r="L41" s="355"/>
      <c r="M41" s="354" t="n">
        <v>30000000</v>
      </c>
      <c r="N41" s="355"/>
      <c r="O41" s="350" t="n">
        <f aca="false">++K41-M41</f>
        <v>0</v>
      </c>
      <c r="R41" s="350"/>
    </row>
    <row r="42" customFormat="false" ht="21" hidden="false" customHeight="true" outlineLevel="0" collapsed="false">
      <c r="B42" s="351"/>
      <c r="C42" s="352" t="n">
        <v>-2</v>
      </c>
      <c r="D42" s="353" t="s">
        <v>2404</v>
      </c>
      <c r="E42" s="354"/>
      <c r="F42" s="363" t="n">
        <f aca="false">+F44+F46+F48+F50+F52+F54</f>
        <v>1118160218</v>
      </c>
      <c r="G42" s="356"/>
      <c r="H42" s="357"/>
      <c r="I42" s="348"/>
      <c r="J42" s="347"/>
      <c r="K42" s="354" t="n">
        <f aca="false">E42+I42-J42</f>
        <v>0</v>
      </c>
      <c r="L42" s="363" t="n">
        <f aca="false">+L44+L46+L48+L50+L52+L54</f>
        <v>1118160218</v>
      </c>
      <c r="M42" s="354" t="n">
        <v>0</v>
      </c>
      <c r="N42" s="363" t="n">
        <v>1525937673</v>
      </c>
      <c r="O42" s="350" t="n">
        <f aca="false">++K42-M42</f>
        <v>0</v>
      </c>
      <c r="R42" s="350"/>
    </row>
    <row r="43" customFormat="false" ht="21" hidden="false" customHeight="true" outlineLevel="0" collapsed="false">
      <c r="B43" s="351"/>
      <c r="C43" s="358" t="s">
        <v>26</v>
      </c>
      <c r="D43" s="359" t="s">
        <v>97</v>
      </c>
      <c r="E43" s="354" t="n">
        <f aca="false">SUMIF(BSPL2026!M:M,'BS_DEC 2026'!D43,BSPL2026!Z:Z)</f>
        <v>0</v>
      </c>
      <c r="F43" s="355"/>
      <c r="G43" s="356"/>
      <c r="H43" s="357"/>
      <c r="I43" s="348"/>
      <c r="J43" s="347"/>
      <c r="K43" s="354" t="n">
        <f aca="false">E43+I43-J43</f>
        <v>0</v>
      </c>
      <c r="L43" s="355"/>
      <c r="M43" s="354" t="n">
        <v>0</v>
      </c>
      <c r="N43" s="355"/>
      <c r="O43" s="350" t="n">
        <f aca="false">++K43-M43</f>
        <v>0</v>
      </c>
      <c r="R43" s="350"/>
    </row>
    <row r="44" customFormat="false" ht="21" hidden="false" customHeight="true" outlineLevel="0" collapsed="false">
      <c r="B44" s="351"/>
      <c r="C44" s="358" t="s">
        <v>29</v>
      </c>
      <c r="D44" s="359" t="s">
        <v>99</v>
      </c>
      <c r="E44" s="354" t="n">
        <f aca="false">SUMIF(BSPL2026!M:M,'BS_DEC 2026'!D44,BSPL2026!Z:Z)</f>
        <v>0</v>
      </c>
      <c r="F44" s="355"/>
      <c r="G44" s="356"/>
      <c r="H44" s="357"/>
      <c r="I44" s="348"/>
      <c r="J44" s="347"/>
      <c r="K44" s="354" t="n">
        <f aca="false">E44+I44-J44</f>
        <v>0</v>
      </c>
      <c r="L44" s="355"/>
      <c r="M44" s="354" t="n">
        <v>0</v>
      </c>
      <c r="N44" s="355"/>
      <c r="O44" s="350" t="n">
        <f aca="false">++K44-M44</f>
        <v>0</v>
      </c>
      <c r="R44" s="350"/>
    </row>
    <row r="45" customFormat="false" ht="21" hidden="false" customHeight="true" outlineLevel="0" collapsed="false">
      <c r="B45" s="351"/>
      <c r="C45" s="358"/>
      <c r="D45" s="359" t="s">
        <v>2405</v>
      </c>
      <c r="E45" s="354" t="n">
        <f aca="false">SUMIF(BSPL2026!M:M,'BS_DEC 2026'!D45,BSPL2026!Z:Z)</f>
        <v>0</v>
      </c>
      <c r="F45" s="355"/>
      <c r="G45" s="356"/>
      <c r="H45" s="357"/>
      <c r="I45" s="348"/>
      <c r="J45" s="347"/>
      <c r="K45" s="354" t="n">
        <f aca="false">E45+I45-J45</f>
        <v>0</v>
      </c>
      <c r="L45" s="355"/>
      <c r="M45" s="354" t="n">
        <v>0</v>
      </c>
      <c r="N45" s="355"/>
      <c r="O45" s="350" t="n">
        <f aca="false">++K45-M45</f>
        <v>0</v>
      </c>
      <c r="R45" s="350"/>
    </row>
    <row r="46" customFormat="false" ht="21" hidden="false" customHeight="true" outlineLevel="0" collapsed="false">
      <c r="B46" s="351"/>
      <c r="C46" s="358" t="s">
        <v>32</v>
      </c>
      <c r="D46" s="359" t="s">
        <v>103</v>
      </c>
      <c r="E46" s="354" t="n">
        <f aca="false">SUMIF(BSPL2026!M:M,'BS_DEC 2026'!D46,BSPL2026!Z:Z)</f>
        <v>2388145890</v>
      </c>
      <c r="F46" s="355" t="n">
        <f aca="false">+E46+E47</f>
        <v>400068790</v>
      </c>
      <c r="G46" s="356"/>
      <c r="H46" s="357"/>
      <c r="I46" s="348"/>
      <c r="J46" s="347"/>
      <c r="K46" s="354" t="n">
        <f aca="false">E46+G46-J46</f>
        <v>2388145890</v>
      </c>
      <c r="L46" s="355" t="n">
        <f aca="false">+K46+K47</f>
        <v>400068790</v>
      </c>
      <c r="M46" s="354" t="n">
        <v>2388145890</v>
      </c>
      <c r="N46" s="355" t="n">
        <v>644898211</v>
      </c>
      <c r="O46" s="350" t="n">
        <f aca="false">++K46-M46</f>
        <v>0</v>
      </c>
      <c r="R46" s="350"/>
    </row>
    <row r="47" customFormat="false" ht="21" hidden="false" customHeight="true" outlineLevel="0" collapsed="false">
      <c r="B47" s="351"/>
      <c r="C47" s="358"/>
      <c r="D47" s="359" t="s">
        <v>2406</v>
      </c>
      <c r="E47" s="354" t="n">
        <f aca="false">SUMIF(BSPL2026!M:M,'BS_DEC 2026'!D47,BSPL2026!Z:Z)</f>
        <v>-1988077100</v>
      </c>
      <c r="F47" s="355"/>
      <c r="G47" s="356"/>
      <c r="H47" s="357"/>
      <c r="I47" s="348"/>
      <c r="J47" s="347"/>
      <c r="K47" s="354" t="n">
        <f aca="false">E47+G47-J47</f>
        <v>-1988077100</v>
      </c>
      <c r="L47" s="355"/>
      <c r="M47" s="354" t="n">
        <v>-1743247679</v>
      </c>
      <c r="N47" s="355"/>
      <c r="O47" s="350" t="n">
        <f aca="false">++K47-M47</f>
        <v>-244829421</v>
      </c>
      <c r="R47" s="350"/>
    </row>
    <row r="48" customFormat="false" ht="21" hidden="false" customHeight="true" outlineLevel="0" collapsed="false">
      <c r="B48" s="351"/>
      <c r="C48" s="358" t="s">
        <v>35</v>
      </c>
      <c r="D48" s="359" t="s">
        <v>107</v>
      </c>
      <c r="E48" s="354" t="n">
        <f aca="false">SUMIF(BSPL2026!M:M,'BS_DEC 2026'!D48,BSPL2026!Z:Z)</f>
        <v>1434004742</v>
      </c>
      <c r="F48" s="355" t="n">
        <f aca="false">+E48+E49</f>
        <v>412406050</v>
      </c>
      <c r="G48" s="356"/>
      <c r="H48" s="357"/>
      <c r="I48" s="348"/>
      <c r="J48" s="347" t="n">
        <f aca="false">++'statutory adj_2026 조정분개'!M40</f>
        <v>-485029742</v>
      </c>
      <c r="K48" s="354" t="n">
        <f aca="false">E48+I48+J48</f>
        <v>948975000</v>
      </c>
      <c r="L48" s="355" t="n">
        <f aca="false">+K48+K49</f>
        <v>349906050</v>
      </c>
      <c r="M48" s="354" t="n">
        <v>948975000</v>
      </c>
      <c r="N48" s="355" t="n">
        <v>454953824</v>
      </c>
      <c r="O48" s="350" t="n">
        <f aca="false">++K48-M48</f>
        <v>0</v>
      </c>
      <c r="R48" s="350"/>
    </row>
    <row r="49" customFormat="false" ht="21" hidden="false" customHeight="true" outlineLevel="0" collapsed="false">
      <c r="B49" s="351"/>
      <c r="C49" s="358"/>
      <c r="D49" s="362" t="s">
        <v>2407</v>
      </c>
      <c r="E49" s="354" t="n">
        <f aca="false">SUMIF(BSPL2026!M:M,'BS_DEC 2026'!D49,BSPL2026!Z:Z)</f>
        <v>-1021598692</v>
      </c>
      <c r="F49" s="355"/>
      <c r="G49" s="356"/>
      <c r="H49" s="357"/>
      <c r="I49" s="348" t="n">
        <f aca="false">++'statutory adj_2026 조정분개'!M41</f>
        <v>422529742</v>
      </c>
      <c r="J49" s="347"/>
      <c r="K49" s="354" t="n">
        <f aca="false">E49+I49-J49</f>
        <v>-599068950</v>
      </c>
      <c r="L49" s="355"/>
      <c r="M49" s="354" t="n">
        <v>-494021176</v>
      </c>
      <c r="N49" s="355"/>
      <c r="O49" s="350" t="n">
        <f aca="false">++K49-M49</f>
        <v>-105047774</v>
      </c>
      <c r="R49" s="350"/>
    </row>
    <row r="50" customFormat="false" ht="21" hidden="false" customHeight="true" outlineLevel="0" collapsed="false">
      <c r="B50" s="351"/>
      <c r="C50" s="358" t="s">
        <v>38</v>
      </c>
      <c r="D50" s="362" t="s">
        <v>111</v>
      </c>
      <c r="E50" s="354"/>
      <c r="F50" s="355" t="n">
        <f aca="false">+E50+E51</f>
        <v>0</v>
      </c>
      <c r="G50" s="356"/>
      <c r="H50" s="357"/>
      <c r="I50" s="348"/>
      <c r="J50" s="347"/>
      <c r="K50" s="354" t="n">
        <f aca="false">E50+I50-J50</f>
        <v>0</v>
      </c>
      <c r="L50" s="355" t="n">
        <f aca="false">+K50+K51</f>
        <v>0</v>
      </c>
      <c r="M50" s="354" t="n">
        <v>0</v>
      </c>
      <c r="N50" s="355" t="n">
        <v>0</v>
      </c>
      <c r="O50" s="350" t="n">
        <f aca="false">++K50-M50</f>
        <v>0</v>
      </c>
      <c r="R50" s="350"/>
    </row>
    <row r="51" customFormat="false" ht="21" hidden="false" customHeight="true" outlineLevel="0" collapsed="false">
      <c r="B51" s="351"/>
      <c r="C51" s="358"/>
      <c r="D51" s="362" t="s">
        <v>2408</v>
      </c>
      <c r="E51" s="354" t="n">
        <f aca="false">SUMIF(BSPL2026!M:M,'BS_DEC 2026'!D51,BSPL2026!Z:Z)</f>
        <v>0</v>
      </c>
      <c r="F51" s="355"/>
      <c r="G51" s="356"/>
      <c r="H51" s="357"/>
      <c r="I51" s="348"/>
      <c r="J51" s="347"/>
      <c r="K51" s="354" t="n">
        <f aca="false">E51+I51-J51</f>
        <v>0</v>
      </c>
      <c r="L51" s="355"/>
      <c r="M51" s="354" t="n">
        <v>0</v>
      </c>
      <c r="N51" s="355"/>
      <c r="O51" s="350" t="n">
        <f aca="false">++K51-M51</f>
        <v>0</v>
      </c>
      <c r="R51" s="350"/>
    </row>
    <row r="52" customFormat="false" ht="21" hidden="false" customHeight="true" outlineLevel="0" collapsed="false">
      <c r="B52" s="351"/>
      <c r="C52" s="358" t="s">
        <v>41</v>
      </c>
      <c r="D52" s="362" t="s">
        <v>115</v>
      </c>
      <c r="E52" s="354" t="n">
        <f aca="false">SUMIF(BSPL2026!M:M,'BS_DEC 2026'!D52,BSPL2026!Z:Z)</f>
        <v>76984016</v>
      </c>
      <c r="F52" s="355" t="n">
        <f aca="false">+E52+E53</f>
        <v>1733333</v>
      </c>
      <c r="G52" s="356"/>
      <c r="H52" s="357"/>
      <c r="I52" s="348" t="n">
        <f aca="false">++'statutory adj_2026 조정분개'!M42</f>
        <v>485029742</v>
      </c>
      <c r="J52" s="347"/>
      <c r="K52" s="354" t="n">
        <f aca="false">E52+I52-J52</f>
        <v>562013758</v>
      </c>
      <c r="L52" s="355" t="n">
        <f aca="false">+K52+K53</f>
        <v>64233333</v>
      </c>
      <c r="M52" s="354" t="n">
        <v>562013758</v>
      </c>
      <c r="N52" s="355" t="n">
        <v>82195833</v>
      </c>
      <c r="O52" s="350" t="n">
        <f aca="false">++K52-M52</f>
        <v>0</v>
      </c>
      <c r="R52" s="350"/>
    </row>
    <row r="53" customFormat="false" ht="21" hidden="false" customHeight="true" outlineLevel="0" collapsed="false">
      <c r="B53" s="351"/>
      <c r="C53" s="358"/>
      <c r="D53" s="362" t="s">
        <v>2409</v>
      </c>
      <c r="E53" s="354" t="n">
        <f aca="false">SUMIF(BSPL2026!M:M,'BS_DEC 2026'!D53,BSPL2026!Z:Z)</f>
        <v>-75250683</v>
      </c>
      <c r="F53" s="355"/>
      <c r="G53" s="356"/>
      <c r="H53" s="357"/>
      <c r="I53" s="348"/>
      <c r="J53" s="347" t="n">
        <f aca="false">++'statutory adj_2026 조정분개'!M43</f>
        <v>-422529742</v>
      </c>
      <c r="K53" s="354" t="n">
        <f aca="false">E53+I53+J53</f>
        <v>-497780425</v>
      </c>
      <c r="L53" s="355"/>
      <c r="M53" s="354" t="n">
        <v>-479817925</v>
      </c>
      <c r="N53" s="355"/>
      <c r="O53" s="350" t="n">
        <f aca="false">++K53-M53</f>
        <v>-17962500</v>
      </c>
      <c r="R53" s="350"/>
    </row>
    <row r="54" customFormat="false" ht="21" hidden="false" customHeight="true" outlineLevel="0" collapsed="false">
      <c r="B54" s="351"/>
      <c r="C54" s="358" t="s">
        <v>44</v>
      </c>
      <c r="D54" s="362" t="s">
        <v>119</v>
      </c>
      <c r="E54" s="354" t="n">
        <f aca="false">SUMIF(BSPL2026!M:M,'BS_DEC 2026'!D54,BSPL2026!Z:Z)</f>
        <v>1719424779</v>
      </c>
      <c r="F54" s="355" t="n">
        <f aca="false">+E54+E55</f>
        <v>303952045</v>
      </c>
      <c r="G54" s="356"/>
      <c r="H54" s="357"/>
      <c r="I54" s="348"/>
      <c r="J54" s="347"/>
      <c r="K54" s="354" t="n">
        <f aca="false">E54+I54-J54</f>
        <v>1719424779</v>
      </c>
      <c r="L54" s="355" t="n">
        <f aca="false">+K54+K55</f>
        <v>303952045</v>
      </c>
      <c r="M54" s="354" t="n">
        <v>1632938339</v>
      </c>
      <c r="N54" s="355" t="n">
        <v>343889805</v>
      </c>
      <c r="O54" s="350" t="n">
        <f aca="false">++K54-M54</f>
        <v>86486440</v>
      </c>
      <c r="R54" s="350"/>
    </row>
    <row r="55" customFormat="false" ht="21" hidden="false" customHeight="true" outlineLevel="0" collapsed="false">
      <c r="B55" s="351"/>
      <c r="C55" s="358"/>
      <c r="D55" s="362" t="s">
        <v>2410</v>
      </c>
      <c r="E55" s="354" t="n">
        <f aca="false">SUMIF(BSPL2026!M:M,'BS_DEC 2026'!D55,BSPL2026!Z:Z)</f>
        <v>-1415472734</v>
      </c>
      <c r="F55" s="355"/>
      <c r="G55" s="356"/>
      <c r="H55" s="357"/>
      <c r="I55" s="348"/>
      <c r="J55" s="347"/>
      <c r="K55" s="354" t="n">
        <f aca="false">E55+I55-J55</f>
        <v>-1415472734</v>
      </c>
      <c r="L55" s="355"/>
      <c r="M55" s="354" t="n">
        <v>-1289048534</v>
      </c>
      <c r="N55" s="355"/>
      <c r="O55" s="350" t="n">
        <f aca="false">++K55-M55</f>
        <v>-126424200</v>
      </c>
      <c r="R55" s="350"/>
    </row>
    <row r="56" customFormat="false" ht="21" hidden="false" customHeight="true" outlineLevel="0" collapsed="false">
      <c r="B56" s="351"/>
      <c r="C56" s="333" t="s">
        <v>2411</v>
      </c>
      <c r="D56" s="345"/>
      <c r="E56" s="354"/>
      <c r="F56" s="355" t="n">
        <f aca="false">++F57+F59</f>
        <v>22468609</v>
      </c>
      <c r="G56" s="356"/>
      <c r="H56" s="357"/>
      <c r="I56" s="348"/>
      <c r="J56" s="347"/>
      <c r="K56" s="354" t="n">
        <f aca="false">E56+I56-J56</f>
        <v>0</v>
      </c>
      <c r="L56" s="355" t="n">
        <f aca="false">++L57+L59</f>
        <v>22468609</v>
      </c>
      <c r="M56" s="354" t="n">
        <v>0</v>
      </c>
      <c r="N56" s="355" t="n">
        <v>0</v>
      </c>
      <c r="O56" s="350" t="n">
        <f aca="false">++K56-M56</f>
        <v>0</v>
      </c>
      <c r="R56" s="350"/>
    </row>
    <row r="57" customFormat="false" ht="21" hidden="false" customHeight="true" outlineLevel="0" collapsed="false">
      <c r="B57" s="351"/>
      <c r="C57" s="358" t="s">
        <v>26</v>
      </c>
      <c r="D57" s="359" t="s">
        <v>125</v>
      </c>
      <c r="E57" s="354" t="n">
        <f aca="false">SUMIF(BSPL2026!M:M,'BS_DEC 2026'!D57,BSPL2026!Z:Z)</f>
        <v>378228066</v>
      </c>
      <c r="F57" s="355" t="n">
        <f aca="false">+E57+E58</f>
        <v>22468609</v>
      </c>
      <c r="G57" s="356"/>
      <c r="H57" s="357"/>
      <c r="I57" s="348"/>
      <c r="J57" s="347"/>
      <c r="K57" s="354" t="n">
        <f aca="false">E57+I57-J57</f>
        <v>378228066</v>
      </c>
      <c r="L57" s="355" t="n">
        <f aca="false">+K57+K58</f>
        <v>22468609</v>
      </c>
      <c r="M57" s="354" t="n">
        <v>355759457</v>
      </c>
      <c r="N57" s="355" t="n">
        <v>0</v>
      </c>
      <c r="O57" s="350" t="n">
        <f aca="false">++K57-M57</f>
        <v>22468609</v>
      </c>
      <c r="R57" s="350"/>
    </row>
    <row r="58" customFormat="false" ht="21" hidden="false" customHeight="true" outlineLevel="0" collapsed="false">
      <c r="B58" s="351"/>
      <c r="C58" s="358"/>
      <c r="D58" s="362" t="s">
        <v>2412</v>
      </c>
      <c r="E58" s="354" t="n">
        <f aca="false">SUMIF(BSPL2026!M:M,'BS_DEC 2026'!D58,BSPL2026!Z:Z)</f>
        <v>-355759457</v>
      </c>
      <c r="F58" s="356"/>
      <c r="G58" s="356"/>
      <c r="H58" s="357"/>
      <c r="I58" s="348"/>
      <c r="J58" s="347"/>
      <c r="K58" s="354" t="n">
        <f aca="false">E58+I58-J58</f>
        <v>-355759457</v>
      </c>
      <c r="L58" s="356"/>
      <c r="M58" s="354" t="n">
        <v>-355759457</v>
      </c>
      <c r="N58" s="356"/>
      <c r="O58" s="350" t="n">
        <f aca="false">++K58-M58</f>
        <v>0</v>
      </c>
      <c r="R58" s="350"/>
    </row>
    <row r="59" customFormat="false" ht="21" hidden="false" customHeight="true" outlineLevel="0" collapsed="false">
      <c r="B59" s="351"/>
      <c r="C59" s="358" t="s">
        <v>29</v>
      </c>
      <c r="D59" s="362" t="s">
        <v>129</v>
      </c>
      <c r="E59" s="354" t="n">
        <f aca="false">SUMIF(BSPL2026!M:M,'BS_DEC 2026'!D59,BSPL2026!Z:Z)</f>
        <v>2706860500</v>
      </c>
      <c r="F59" s="355" t="n">
        <f aca="false">+E59+E60+E61</f>
        <v>0</v>
      </c>
      <c r="G59" s="356"/>
      <c r="H59" s="357"/>
      <c r="I59" s="348"/>
      <c r="J59" s="347"/>
      <c r="K59" s="354" t="n">
        <f aca="false">E59+I59-J59</f>
        <v>2706860500</v>
      </c>
      <c r="L59" s="355" t="n">
        <f aca="false">+K59+K60+K61</f>
        <v>0</v>
      </c>
      <c r="M59" s="354" t="n">
        <v>3706860500</v>
      </c>
      <c r="N59" s="355" t="n">
        <v>0</v>
      </c>
      <c r="O59" s="350" t="n">
        <f aca="false">++K59-M59</f>
        <v>-1000000000</v>
      </c>
      <c r="R59" s="350"/>
    </row>
    <row r="60" customFormat="false" ht="21" hidden="false" customHeight="true" outlineLevel="0" collapsed="false">
      <c r="B60" s="351"/>
      <c r="C60" s="358"/>
      <c r="D60" s="362" t="s">
        <v>131</v>
      </c>
      <c r="E60" s="354" t="n">
        <f aca="false">SUMIF(BSPL2026!M:M,'BS_DEC 2026'!D60,BSPL2026!Z:Z)</f>
        <v>-2706860500</v>
      </c>
      <c r="F60" s="356"/>
      <c r="G60" s="356"/>
      <c r="H60" s="357"/>
      <c r="I60" s="348"/>
      <c r="J60" s="347"/>
      <c r="K60" s="354" t="n">
        <f aca="false">E60+I60-J60</f>
        <v>-2706860500</v>
      </c>
      <c r="L60" s="356"/>
      <c r="M60" s="354" t="n">
        <v>-3111195178</v>
      </c>
      <c r="N60" s="356"/>
      <c r="O60" s="350" t="n">
        <f aca="false">++K60-M60</f>
        <v>404334678</v>
      </c>
      <c r="R60" s="350"/>
    </row>
    <row r="61" customFormat="false" ht="21" hidden="false" customHeight="true" outlineLevel="0" collapsed="false">
      <c r="B61" s="351"/>
      <c r="C61" s="358"/>
      <c r="D61" s="362" t="s">
        <v>133</v>
      </c>
      <c r="E61" s="354" t="n">
        <f aca="false">SUMIF(BSPL2026!M:M,'BS_DEC 2026'!D61,BSPL2026!Z:Z)</f>
        <v>0</v>
      </c>
      <c r="F61" s="356"/>
      <c r="G61" s="356"/>
      <c r="H61" s="357"/>
      <c r="I61" s="348"/>
      <c r="J61" s="347"/>
      <c r="K61" s="354" t="n">
        <f aca="false">E61+I61-J61</f>
        <v>0</v>
      </c>
      <c r="L61" s="355"/>
      <c r="M61" s="354" t="n">
        <v>-595665322</v>
      </c>
      <c r="N61" s="355"/>
      <c r="O61" s="350" t="n">
        <f aca="false">++K61-M61</f>
        <v>595665322</v>
      </c>
      <c r="R61" s="350"/>
    </row>
    <row r="62" customFormat="false" ht="21" hidden="false" customHeight="true" outlineLevel="0" collapsed="false">
      <c r="B62" s="351"/>
      <c r="C62" s="358" t="s">
        <v>32</v>
      </c>
      <c r="D62" s="362" t="s">
        <v>135</v>
      </c>
      <c r="E62" s="354" t="n">
        <f aca="false">SUMIF(BSPL2026!M:M,'BS_DEC 2026'!D62,BSPL2026!Z:Z)</f>
        <v>0</v>
      </c>
      <c r="F62" s="356"/>
      <c r="G62" s="356"/>
      <c r="H62" s="357"/>
      <c r="I62" s="348"/>
      <c r="J62" s="347"/>
      <c r="K62" s="354" t="n">
        <f aca="false">E62+I62-J62</f>
        <v>0</v>
      </c>
      <c r="L62" s="355"/>
      <c r="M62" s="354" t="n">
        <v>0</v>
      </c>
      <c r="N62" s="355"/>
      <c r="O62" s="350" t="n">
        <f aca="false">++K62-M62</f>
        <v>0</v>
      </c>
      <c r="R62" s="350"/>
    </row>
    <row r="63" customFormat="false" ht="21" hidden="false" customHeight="true" outlineLevel="0" collapsed="false">
      <c r="B63" s="351"/>
      <c r="C63" s="358"/>
      <c r="D63" s="362" t="s">
        <v>137</v>
      </c>
      <c r="E63" s="354" t="n">
        <f aca="false">SUMIF(BSPL2026!M:M,'BS_DEC 2026'!D63,BSPL2026!Z:Z)</f>
        <v>0</v>
      </c>
      <c r="F63" s="355"/>
      <c r="G63" s="356"/>
      <c r="H63" s="357"/>
      <c r="I63" s="348"/>
      <c r="J63" s="347"/>
      <c r="K63" s="354" t="n">
        <f aca="false">E63+I63-J63</f>
        <v>0</v>
      </c>
      <c r="L63" s="355"/>
      <c r="M63" s="354" t="n">
        <v>0</v>
      </c>
      <c r="N63" s="355"/>
      <c r="O63" s="350" t="n">
        <f aca="false">++K63-M63</f>
        <v>0</v>
      </c>
      <c r="R63" s="350"/>
    </row>
    <row r="64" customFormat="false" ht="21" hidden="false" customHeight="true" outlineLevel="0" collapsed="false">
      <c r="B64" s="351"/>
      <c r="C64" s="333" t="s">
        <v>2413</v>
      </c>
      <c r="D64" s="345"/>
      <c r="E64" s="354" t="n">
        <f aca="false">SUMIF(BSPL2026!M:M,'BS_DEC 2026'!D64,BSPL2026!Z:Z)</f>
        <v>0</v>
      </c>
      <c r="F64" s="355" t="n">
        <f aca="false">SUM(E65:E70)</f>
        <v>2353872442</v>
      </c>
      <c r="G64" s="356"/>
      <c r="H64" s="357"/>
      <c r="I64" s="348"/>
      <c r="J64" s="347"/>
      <c r="K64" s="354" t="n">
        <f aca="false">E64+I64-J64</f>
        <v>0</v>
      </c>
      <c r="L64" s="355" t="n">
        <f aca="false">SUM(K65:K70)</f>
        <v>2323872442</v>
      </c>
      <c r="M64" s="354" t="n">
        <v>0</v>
      </c>
      <c r="N64" s="355" t="n">
        <v>1603371682</v>
      </c>
      <c r="O64" s="350" t="n">
        <f aca="false">++K64-M64</f>
        <v>0</v>
      </c>
      <c r="R64" s="350"/>
    </row>
    <row r="65" customFormat="false" ht="21" hidden="false" customHeight="true" outlineLevel="0" collapsed="false">
      <c r="B65" s="351"/>
      <c r="C65" s="358" t="s">
        <v>26</v>
      </c>
      <c r="D65" s="359" t="s">
        <v>141</v>
      </c>
      <c r="E65" s="354" t="n">
        <f aca="false">SUMIF(BSPL2026!M:M,'BS_DEC 2026'!D65,BSPL2026!Z:Z)</f>
        <v>1931634850</v>
      </c>
      <c r="F65" s="355" t="s">
        <v>2395</v>
      </c>
      <c r="G65" s="356"/>
      <c r="H65" s="357"/>
      <c r="I65" s="348"/>
      <c r="J65" s="347" t="n">
        <f aca="false">++'statutory adj_2026 조정분개'!M8</f>
        <v>-30000000</v>
      </c>
      <c r="K65" s="354" t="n">
        <f aca="false">E65+I65+J65</f>
        <v>1901634850</v>
      </c>
      <c r="L65" s="355" t="s">
        <v>2395</v>
      </c>
      <c r="M65" s="354" t="n">
        <v>1181134090</v>
      </c>
      <c r="N65" s="355" t="s">
        <v>2395</v>
      </c>
      <c r="O65" s="350" t="n">
        <f aca="false">++K65-M65</f>
        <v>720500760</v>
      </c>
      <c r="R65" s="350"/>
    </row>
    <row r="66" customFormat="false" ht="21" hidden="false" customHeight="true" outlineLevel="0" collapsed="false">
      <c r="B66" s="351"/>
      <c r="C66" s="358" t="s">
        <v>29</v>
      </c>
      <c r="D66" s="359" t="s">
        <v>143</v>
      </c>
      <c r="E66" s="354" t="n">
        <f aca="false">SUMIF(BSPL2026!M:M,'BS_DEC 2026'!D66,BSPL2026!Z:Z)</f>
        <v>0</v>
      </c>
      <c r="F66" s="355" t="s">
        <v>2395</v>
      </c>
      <c r="G66" s="356"/>
      <c r="H66" s="357"/>
      <c r="I66" s="348"/>
      <c r="J66" s="347"/>
      <c r="K66" s="354" t="n">
        <f aca="false">E66+I66-J66</f>
        <v>0</v>
      </c>
      <c r="L66" s="355" t="s">
        <v>2395</v>
      </c>
      <c r="M66" s="354" t="n">
        <v>0</v>
      </c>
      <c r="N66" s="355" t="s">
        <v>2395</v>
      </c>
      <c r="O66" s="350" t="n">
        <f aca="false">++K66-M66</f>
        <v>0</v>
      </c>
      <c r="R66" s="350"/>
    </row>
    <row r="67" customFormat="false" ht="21" hidden="false" customHeight="true" outlineLevel="0" collapsed="false">
      <c r="B67" s="351"/>
      <c r="C67" s="358" t="s">
        <v>32</v>
      </c>
      <c r="D67" s="362" t="s">
        <v>145</v>
      </c>
      <c r="E67" s="354" t="n">
        <f aca="false">SUMIF(BSPL2026!M:M,'BS_DEC 2026'!D67,BSPL2026!Z:Z)</f>
        <v>422237592</v>
      </c>
      <c r="F67" s="355"/>
      <c r="G67" s="356"/>
      <c r="H67" s="360"/>
      <c r="I67" s="348"/>
      <c r="J67" s="347"/>
      <c r="K67" s="354" t="n">
        <f aca="false">E67+I67+J67+H67</f>
        <v>422237592</v>
      </c>
      <c r="L67" s="355"/>
      <c r="M67" s="354" t="n">
        <v>422237592</v>
      </c>
      <c r="N67" s="355"/>
      <c r="O67" s="350" t="n">
        <f aca="false">++K67-M67</f>
        <v>0</v>
      </c>
      <c r="R67" s="350"/>
    </row>
    <row r="68" customFormat="false" ht="21" hidden="false" customHeight="true" outlineLevel="0" collapsed="false">
      <c r="B68" s="351"/>
      <c r="C68" s="358" t="s">
        <v>35</v>
      </c>
      <c r="D68" s="362" t="s">
        <v>147</v>
      </c>
      <c r="E68" s="354" t="n">
        <f aca="false">SUMIF(BSPL2026!M:M,'BS_DEC 2026'!D68,BSPL2026!Z:Z)</f>
        <v>0</v>
      </c>
      <c r="F68" s="355"/>
      <c r="G68" s="356"/>
      <c r="H68" s="357"/>
      <c r="I68" s="348"/>
      <c r="J68" s="347"/>
      <c r="K68" s="354" t="n">
        <f aca="false">E68+I68+J68</f>
        <v>0</v>
      </c>
      <c r="L68" s="355"/>
      <c r="M68" s="354" t="n">
        <v>0</v>
      </c>
      <c r="N68" s="355"/>
      <c r="O68" s="350" t="n">
        <f aca="false">++K68-M68</f>
        <v>0</v>
      </c>
      <c r="R68" s="350"/>
    </row>
    <row r="69" customFormat="false" ht="21" hidden="false" customHeight="true" outlineLevel="0" collapsed="false">
      <c r="B69" s="351"/>
      <c r="C69" s="358" t="s">
        <v>148</v>
      </c>
      <c r="D69" s="362" t="s">
        <v>149</v>
      </c>
      <c r="E69" s="354" t="n">
        <f aca="false">SUMIF(BSPL2026!M:M,'BS_DEC 2026'!D69,BSPL2026!Z:Z)</f>
        <v>0</v>
      </c>
      <c r="F69" s="355"/>
      <c r="G69" s="356"/>
      <c r="H69" s="357"/>
      <c r="I69" s="356"/>
      <c r="J69" s="355"/>
      <c r="K69" s="354" t="n">
        <f aca="false">E69+I69-J69</f>
        <v>0</v>
      </c>
      <c r="L69" s="355"/>
      <c r="M69" s="354" t="n">
        <v>0</v>
      </c>
      <c r="N69" s="355"/>
      <c r="O69" s="350" t="n">
        <f aca="false">++K69-M69</f>
        <v>0</v>
      </c>
      <c r="R69" s="350"/>
    </row>
    <row r="70" customFormat="false" ht="21" hidden="false" customHeight="true" outlineLevel="0" collapsed="false">
      <c r="B70" s="351"/>
      <c r="C70" s="358" t="s">
        <v>150</v>
      </c>
      <c r="D70" s="362" t="s">
        <v>2414</v>
      </c>
      <c r="E70" s="354" t="n">
        <f aca="false">SUMIF(BSPL2026!M:M,'BS_DEC 2026'!D70,BSPL2026!Z:Z)</f>
        <v>0</v>
      </c>
      <c r="F70" s="355"/>
      <c r="G70" s="356"/>
      <c r="H70" s="357"/>
      <c r="I70" s="356"/>
      <c r="J70" s="355"/>
      <c r="K70" s="354" t="n">
        <f aca="false">E70+I70-J70</f>
        <v>0</v>
      </c>
      <c r="L70" s="355"/>
      <c r="M70" s="354" t="n">
        <v>0</v>
      </c>
      <c r="N70" s="355"/>
      <c r="O70" s="350" t="n">
        <f aca="false">++K70-M70</f>
        <v>0</v>
      </c>
      <c r="R70" s="350"/>
    </row>
    <row r="71" customFormat="false" ht="21" hidden="false" customHeight="true" outlineLevel="0" collapsed="false">
      <c r="B71" s="351"/>
      <c r="C71" s="364" t="s">
        <v>153</v>
      </c>
      <c r="D71" s="344" t="s">
        <v>154</v>
      </c>
      <c r="E71" s="354"/>
      <c r="F71" s="365" t="n">
        <f aca="false">SUMIF(BSPL2026!M:M,'BS_DEC 2026'!D71,BSPL2026!Z:Z)</f>
        <v>51562836</v>
      </c>
      <c r="G71" s="356"/>
      <c r="H71" s="357"/>
      <c r="I71" s="356"/>
      <c r="J71" s="355"/>
      <c r="K71" s="354"/>
      <c r="L71" s="355" t="n">
        <f aca="false">++F71</f>
        <v>51562836</v>
      </c>
      <c r="M71" s="354"/>
      <c r="N71" s="355" t="n">
        <v>8237836</v>
      </c>
      <c r="O71" s="350" t="n">
        <f aca="false">++L71-N71</f>
        <v>43325000</v>
      </c>
      <c r="R71" s="350"/>
    </row>
    <row r="72" customFormat="false" ht="21" hidden="false" customHeight="true" outlineLevel="0" collapsed="false">
      <c r="B72" s="343"/>
      <c r="C72" s="344" t="s">
        <v>2415</v>
      </c>
      <c r="D72" s="345"/>
      <c r="E72" s="346"/>
      <c r="F72" s="347" t="n">
        <f aca="false">+F11+F37</f>
        <v>469451959283</v>
      </c>
      <c r="G72" s="348"/>
      <c r="H72" s="349"/>
      <c r="I72" s="348"/>
      <c r="J72" s="347"/>
      <c r="K72" s="346"/>
      <c r="L72" s="347" t="n">
        <f aca="false">+L11+L37</f>
        <v>457036149159</v>
      </c>
      <c r="M72" s="346"/>
      <c r="N72" s="347" t="n">
        <v>402171370716</v>
      </c>
      <c r="O72" s="350" t="n">
        <f aca="false">++L72-N72</f>
        <v>54864778443</v>
      </c>
      <c r="R72" s="350"/>
    </row>
    <row r="73" customFormat="false" ht="21" hidden="false" customHeight="true" outlineLevel="0" collapsed="false">
      <c r="B73" s="366"/>
      <c r="C73" s="367"/>
      <c r="D73" s="368"/>
      <c r="E73" s="369"/>
      <c r="F73" s="370"/>
      <c r="G73" s="371"/>
      <c r="H73" s="372"/>
      <c r="I73" s="371"/>
      <c r="J73" s="370"/>
      <c r="K73" s="369"/>
      <c r="L73" s="370"/>
      <c r="M73" s="369"/>
      <c r="N73" s="370"/>
      <c r="O73" s="350"/>
      <c r="R73" s="350"/>
    </row>
    <row r="74" customFormat="false" ht="21" hidden="false" customHeight="true" outlineLevel="0" collapsed="false">
      <c r="B74" s="373"/>
      <c r="C74" s="374" t="s">
        <v>2416</v>
      </c>
      <c r="D74" s="375"/>
      <c r="E74" s="376"/>
      <c r="F74" s="377"/>
      <c r="G74" s="378"/>
      <c r="H74" s="379"/>
      <c r="I74" s="378"/>
      <c r="J74" s="377"/>
      <c r="K74" s="376"/>
      <c r="L74" s="377"/>
      <c r="M74" s="376"/>
      <c r="N74" s="377"/>
      <c r="O74" s="350"/>
      <c r="R74" s="350"/>
    </row>
    <row r="75" customFormat="false" ht="21" hidden="false" customHeight="true" outlineLevel="0" collapsed="false">
      <c r="B75" s="343" t="s">
        <v>2392</v>
      </c>
      <c r="C75" s="344" t="s">
        <v>2417</v>
      </c>
      <c r="D75" s="345"/>
      <c r="E75" s="346"/>
      <c r="F75" s="347" t="n">
        <f aca="false">SUM(E76:E87)</f>
        <v>212685219604</v>
      </c>
      <c r="G75" s="348"/>
      <c r="H75" s="349"/>
      <c r="I75" s="348"/>
      <c r="J75" s="347"/>
      <c r="K75" s="346"/>
      <c r="L75" s="347" t="n">
        <f aca="false">SUM(K76:K87)</f>
        <v>199623153058</v>
      </c>
      <c r="M75" s="346"/>
      <c r="N75" s="347" t="n">
        <v>140791861473</v>
      </c>
      <c r="O75" s="350" t="n">
        <f aca="false">++L75-N75</f>
        <v>58831291585</v>
      </c>
      <c r="R75" s="350"/>
    </row>
    <row r="76" customFormat="false" ht="21" hidden="false" customHeight="true" outlineLevel="0" collapsed="false">
      <c r="B76" s="351"/>
      <c r="C76" s="358" t="n">
        <v>1</v>
      </c>
      <c r="D76" s="359" t="s">
        <v>161</v>
      </c>
      <c r="E76" s="354" t="n">
        <f aca="false">-SUMIF(BSPL2026!M:M,'BS_DEC 2026'!D76,BSPL2026!Z:Z)</f>
        <v>90624050033</v>
      </c>
      <c r="F76" s="355"/>
      <c r="G76" s="380"/>
      <c r="H76" s="360"/>
      <c r="I76" s="356"/>
      <c r="J76" s="355"/>
      <c r="K76" s="354" t="n">
        <f aca="false">E76+G76-J76-H76+I76</f>
        <v>90624050033</v>
      </c>
      <c r="L76" s="355"/>
      <c r="M76" s="354" t="n">
        <v>13684687580</v>
      </c>
      <c r="N76" s="355"/>
      <c r="O76" s="350" t="n">
        <f aca="false">++K76-M76</f>
        <v>76939362453</v>
      </c>
      <c r="R76" s="350"/>
    </row>
    <row r="77" customFormat="false" ht="21" hidden="false" customHeight="true" outlineLevel="0" collapsed="false">
      <c r="B77" s="351"/>
      <c r="C77" s="358" t="n">
        <v>2</v>
      </c>
      <c r="D77" s="359" t="s">
        <v>163</v>
      </c>
      <c r="E77" s="354" t="n">
        <f aca="false">-SUMIF(BSPL2026!M:M,'BS_DEC 2026'!D77,BSPL2026!Z:Z)</f>
        <v>-0</v>
      </c>
      <c r="F77" s="355"/>
      <c r="G77" s="356"/>
      <c r="H77" s="357"/>
      <c r="I77" s="348"/>
      <c r="J77" s="347"/>
      <c r="K77" s="354" t="n">
        <f aca="false">E77+I77-J77</f>
        <v>0</v>
      </c>
      <c r="L77" s="355"/>
      <c r="M77" s="354" t="n">
        <v>0</v>
      </c>
      <c r="N77" s="355"/>
      <c r="O77" s="350" t="n">
        <f aca="false">++K77-M77</f>
        <v>0</v>
      </c>
      <c r="R77" s="350"/>
    </row>
    <row r="78" customFormat="false" ht="21" hidden="false" customHeight="true" outlineLevel="0" collapsed="false">
      <c r="B78" s="351"/>
      <c r="C78" s="358" t="n">
        <v>3</v>
      </c>
      <c r="D78" s="359" t="s">
        <v>165</v>
      </c>
      <c r="E78" s="354" t="n">
        <f aca="false">-SUMIF(BSPL2026!M:M,'BS_DEC 2026'!D78,BSPL2026!Z:Z)</f>
        <v>11973774324</v>
      </c>
      <c r="F78" s="355"/>
      <c r="G78" s="356"/>
      <c r="H78" s="357"/>
      <c r="I78" s="356"/>
      <c r="J78" s="355" t="n">
        <f aca="false">++-'statutory adj_2026 조정분개'!N46</f>
        <v>-612260090</v>
      </c>
      <c r="K78" s="354" t="n">
        <f aca="false">E78+J78+78+I78</f>
        <v>11361514312</v>
      </c>
      <c r="L78" s="355"/>
      <c r="M78" s="354" t="n">
        <v>14114112505</v>
      </c>
      <c r="N78" s="355"/>
      <c r="O78" s="350" t="n">
        <f aca="false">++K78-M78</f>
        <v>-2752598193</v>
      </c>
      <c r="R78" s="350"/>
    </row>
    <row r="79" customFormat="false" ht="21" hidden="false" customHeight="true" outlineLevel="0" collapsed="false">
      <c r="B79" s="351"/>
      <c r="C79" s="358" t="n">
        <v>4</v>
      </c>
      <c r="D79" s="359" t="s">
        <v>167</v>
      </c>
      <c r="E79" s="354" t="n">
        <f aca="false">-SUMIF(BSPL2026!M:M,'BS_DEC 2026'!D79,BSPL2026!Z:Z)</f>
        <v>-0</v>
      </c>
      <c r="F79" s="355"/>
      <c r="G79" s="356"/>
      <c r="H79" s="357"/>
      <c r="I79" s="348"/>
      <c r="J79" s="347"/>
      <c r="K79" s="354" t="n">
        <f aca="false">E79+I79-J79</f>
        <v>0</v>
      </c>
      <c r="L79" s="355"/>
      <c r="M79" s="354" t="n">
        <v>2737532</v>
      </c>
      <c r="N79" s="355"/>
      <c r="O79" s="350" t="n">
        <f aca="false">++K79-M79</f>
        <v>-2737532</v>
      </c>
      <c r="R79" s="350"/>
    </row>
    <row r="80" customFormat="false" ht="21" hidden="false" customHeight="true" outlineLevel="0" collapsed="false">
      <c r="B80" s="351"/>
      <c r="C80" s="358" t="n">
        <v>5</v>
      </c>
      <c r="D80" s="359" t="s">
        <v>169</v>
      </c>
      <c r="E80" s="354" t="n">
        <f aca="false">-SUMIF(BSPL2026!M:M,'BS_DEC 2026'!D80,BSPL2026!Z:Z)</f>
        <v>2221411285</v>
      </c>
      <c r="F80" s="355"/>
      <c r="G80" s="356"/>
      <c r="H80" s="357"/>
      <c r="I80" s="356"/>
      <c r="J80" s="355"/>
      <c r="K80" s="354" t="n">
        <f aca="false">E80+I80-J80</f>
        <v>2221411285</v>
      </c>
      <c r="L80" s="355"/>
      <c r="M80" s="354" t="n">
        <v>1217627633</v>
      </c>
      <c r="N80" s="355"/>
      <c r="O80" s="350" t="n">
        <f aca="false">++K80-M80</f>
        <v>1003783652</v>
      </c>
      <c r="P80" s="350"/>
      <c r="R80" s="350"/>
    </row>
    <row r="81" customFormat="false" ht="21" hidden="false" customHeight="true" outlineLevel="0" collapsed="false">
      <c r="B81" s="351"/>
      <c r="C81" s="358" t="n">
        <v>6</v>
      </c>
      <c r="D81" s="359" t="s">
        <v>171</v>
      </c>
      <c r="E81" s="354" t="n">
        <f aca="false">-SUMIF(BSPL2026!M:M,'BS_DEC 2026'!D81,BSPL2026!Z:Z)</f>
        <v>94434209558</v>
      </c>
      <c r="F81" s="355"/>
      <c r="G81" s="356"/>
      <c r="H81" s="357"/>
      <c r="I81" s="348" t="n">
        <f aca="false">++'statutory adj_2026 조정분개'!N31+'statutory adj_2026 조정분개'!N32+'statutory adj_2026 조정분개'!N33</f>
        <v>12415810124</v>
      </c>
      <c r="J81" s="347" t="n">
        <f aca="false">++-'statutory adj_2026 조정분개'!N45</f>
        <v>612260090</v>
      </c>
      <c r="K81" s="354" t="n">
        <f aca="false">E81+G81-I81+J81</f>
        <v>82630659524</v>
      </c>
      <c r="L81" s="355"/>
      <c r="M81" s="354" t="n">
        <v>93900348921</v>
      </c>
      <c r="N81" s="355"/>
      <c r="O81" s="350" t="n">
        <f aca="false">++K81-M81</f>
        <v>-11269689397</v>
      </c>
      <c r="R81" s="350"/>
    </row>
    <row r="82" customFormat="false" ht="21" hidden="false" customHeight="true" outlineLevel="0" collapsed="false">
      <c r="B82" s="351"/>
      <c r="C82" s="358" t="n">
        <v>7</v>
      </c>
      <c r="D82" s="359" t="s">
        <v>173</v>
      </c>
      <c r="E82" s="354" t="n">
        <f aca="false">-SUMIF(BSPL2026!M:M,'BS_DEC 2026'!D82,BSPL2026!Z:Z)</f>
        <v>3833429789</v>
      </c>
      <c r="F82" s="355"/>
      <c r="G82" s="356"/>
      <c r="H82" s="357"/>
      <c r="I82" s="356"/>
      <c r="J82" s="355"/>
      <c r="K82" s="354" t="n">
        <f aca="false">E82+-I82-J82</f>
        <v>3833429789</v>
      </c>
      <c r="L82" s="355"/>
      <c r="M82" s="354" t="n">
        <v>4357240088</v>
      </c>
      <c r="N82" s="355"/>
      <c r="O82" s="350" t="n">
        <f aca="false">++K82-M82</f>
        <v>-523810299</v>
      </c>
      <c r="R82" s="350"/>
    </row>
    <row r="83" customFormat="false" ht="21" hidden="false" customHeight="true" outlineLevel="0" collapsed="false">
      <c r="B83" s="351"/>
      <c r="C83" s="358" t="n">
        <v>8</v>
      </c>
      <c r="D83" s="359" t="s">
        <v>175</v>
      </c>
      <c r="E83" s="354" t="n">
        <f aca="false">-SUMIF(BSPL2026!M:M,'BS_DEC 2026'!D83,BSPL2026!Z:Z)</f>
        <v>2668049829</v>
      </c>
      <c r="F83" s="355"/>
      <c r="G83" s="356"/>
      <c r="H83" s="360"/>
      <c r="I83" s="348"/>
      <c r="J83" s="347"/>
      <c r="K83" s="354" t="n">
        <f aca="false">E83+G83-J83-H83-I83</f>
        <v>2668049829</v>
      </c>
      <c r="L83" s="355"/>
      <c r="M83" s="354" t="n">
        <v>6632631113</v>
      </c>
      <c r="N83" s="355"/>
      <c r="O83" s="350" t="n">
        <f aca="false">++K83-M83</f>
        <v>-3964581284</v>
      </c>
      <c r="R83" s="350"/>
    </row>
    <row r="84" customFormat="false" ht="21" hidden="false" customHeight="true" outlineLevel="0" collapsed="false">
      <c r="B84" s="351"/>
      <c r="C84" s="358" t="n">
        <v>9</v>
      </c>
      <c r="D84" s="359" t="s">
        <v>177</v>
      </c>
      <c r="E84" s="354" t="n">
        <f aca="false">-SUMIF(BSPL2026!M:M,'BS_DEC 2026'!D84,BSPL2026!Z:Z)</f>
        <v>-0</v>
      </c>
      <c r="F84" s="355"/>
      <c r="G84" s="356"/>
      <c r="H84" s="357"/>
      <c r="I84" s="356"/>
      <c r="J84" s="355"/>
      <c r="K84" s="354" t="n">
        <f aca="false">E84+I84-J84</f>
        <v>0</v>
      </c>
      <c r="L84" s="355"/>
      <c r="M84" s="354" t="n">
        <v>0</v>
      </c>
      <c r="N84" s="355"/>
      <c r="O84" s="350" t="n">
        <f aca="false">++K84-M84</f>
        <v>0</v>
      </c>
      <c r="R84" s="350"/>
    </row>
    <row r="85" customFormat="false" ht="21" hidden="false" customHeight="true" outlineLevel="0" collapsed="false">
      <c r="B85" s="351"/>
      <c r="C85" s="358" t="n">
        <v>10</v>
      </c>
      <c r="D85" s="359" t="s">
        <v>179</v>
      </c>
      <c r="E85" s="354" t="n">
        <f aca="false">-SUMIF(BSPL2026!M:M,'BS_DEC 2026'!D85,BSPL2026!Z:Z)</f>
        <v>-0</v>
      </c>
      <c r="F85" s="355" t="s">
        <v>2395</v>
      </c>
      <c r="G85" s="354"/>
      <c r="H85" s="357"/>
      <c r="I85" s="348"/>
      <c r="J85" s="347"/>
      <c r="K85" s="354" t="n">
        <f aca="false">E85+I85-J85</f>
        <v>0</v>
      </c>
      <c r="L85" s="355" t="s">
        <v>2395</v>
      </c>
      <c r="M85" s="354" t="n">
        <v>0</v>
      </c>
      <c r="N85" s="355" t="s">
        <v>2395</v>
      </c>
      <c r="O85" s="350" t="n">
        <f aca="false">++K85-M85</f>
        <v>0</v>
      </c>
      <c r="Q85" s="381"/>
      <c r="R85" s="350"/>
    </row>
    <row r="86" customFormat="false" ht="21" hidden="false" customHeight="true" outlineLevel="0" collapsed="false">
      <c r="B86" s="351"/>
      <c r="C86" s="358" t="n">
        <v>11</v>
      </c>
      <c r="D86" s="359" t="s">
        <v>181</v>
      </c>
      <c r="E86" s="354" t="n">
        <f aca="false">-SUMIF(BSPL2026!M:M,'BS_DEC 2026'!D86,BSPL2026!Z:Z)</f>
        <v>-0</v>
      </c>
      <c r="F86" s="355"/>
      <c r="G86" s="354"/>
      <c r="H86" s="357"/>
      <c r="I86" s="356"/>
      <c r="J86" s="355"/>
      <c r="K86" s="354" t="n">
        <f aca="false">E86+I86-J86</f>
        <v>0</v>
      </c>
      <c r="L86" s="355"/>
      <c r="M86" s="354" t="n">
        <v>0</v>
      </c>
      <c r="N86" s="355"/>
      <c r="O86" s="350" t="n">
        <f aca="false">++K86-M86</f>
        <v>0</v>
      </c>
      <c r="R86" s="350"/>
    </row>
    <row r="87" customFormat="false" ht="21" hidden="false" customHeight="true" outlineLevel="0" collapsed="false">
      <c r="A87" s="362" t="s">
        <v>2418</v>
      </c>
      <c r="B87" s="351"/>
      <c r="C87" s="358" t="n">
        <v>12</v>
      </c>
      <c r="D87" s="362" t="s">
        <v>183</v>
      </c>
      <c r="E87" s="354" t="n">
        <f aca="false">-SUMIF(BSPL2026!M:M,'BS_DEC 2026'!D87,BSPL2026!Z:Z)</f>
        <v>6930294786</v>
      </c>
      <c r="F87" s="355"/>
      <c r="G87" s="354"/>
      <c r="H87" s="357"/>
      <c r="I87" s="348" t="n">
        <f aca="false">++'statutory adj_2026 조정분개'!N28</f>
        <v>646256500</v>
      </c>
      <c r="J87" s="347"/>
      <c r="K87" s="354" t="n">
        <f aca="false">E87+-I87+J87</f>
        <v>6284038286</v>
      </c>
      <c r="L87" s="355"/>
      <c r="M87" s="354" t="n">
        <v>6882476101</v>
      </c>
      <c r="N87" s="355"/>
      <c r="O87" s="350" t="n">
        <f aca="false">++K87-M87</f>
        <v>-598437815</v>
      </c>
      <c r="R87" s="350"/>
    </row>
    <row r="88" customFormat="false" ht="21" hidden="false" customHeight="true" outlineLevel="0" collapsed="false">
      <c r="B88" s="343" t="s">
        <v>2401</v>
      </c>
      <c r="C88" s="344" t="s">
        <v>2419</v>
      </c>
      <c r="D88" s="345"/>
      <c r="E88" s="354"/>
      <c r="F88" s="347" t="n">
        <f aca="false">+E89+E90+E91+F94+E95</f>
        <v>912409574</v>
      </c>
      <c r="G88" s="346"/>
      <c r="H88" s="349"/>
      <c r="I88" s="356"/>
      <c r="J88" s="355"/>
      <c r="K88" s="354" t="n">
        <f aca="false">E88+I88-J88</f>
        <v>0</v>
      </c>
      <c r="L88" s="347" t="n">
        <f aca="false">+K89+K90+K91+L94+K95</f>
        <v>1558666074</v>
      </c>
      <c r="M88" s="354" t="n">
        <v>0</v>
      </c>
      <c r="N88" s="347" t="n">
        <v>1681126243</v>
      </c>
      <c r="O88" s="350" t="n">
        <f aca="false">++L88-N88</f>
        <v>-122460169</v>
      </c>
      <c r="R88" s="350"/>
    </row>
    <row r="89" customFormat="false" ht="21" hidden="false" customHeight="true" outlineLevel="0" collapsed="false">
      <c r="B89" s="351"/>
      <c r="C89" s="358" t="n">
        <v>1</v>
      </c>
      <c r="D89" s="359" t="s">
        <v>187</v>
      </c>
      <c r="E89" s="354" t="n">
        <f aca="false">-SUMIF(BSPL2026!M:M,'BS_DEC 2026'!D89,BSPL2026!Z:Z)</f>
        <v>-0</v>
      </c>
      <c r="F89" s="355"/>
      <c r="G89" s="354"/>
      <c r="H89" s="357"/>
      <c r="I89" s="348"/>
      <c r="J89" s="347"/>
      <c r="K89" s="354" t="n">
        <f aca="false">E89+I89-J89</f>
        <v>0</v>
      </c>
      <c r="L89" s="355"/>
      <c r="M89" s="354" t="n">
        <v>0</v>
      </c>
      <c r="N89" s="355"/>
      <c r="O89" s="350" t="n">
        <f aca="false">++K89-M89</f>
        <v>0</v>
      </c>
      <c r="R89" s="350"/>
    </row>
    <row r="90" customFormat="false" ht="21" hidden="false" customHeight="true" outlineLevel="0" collapsed="false">
      <c r="B90" s="351"/>
      <c r="C90" s="358" t="n">
        <v>2</v>
      </c>
      <c r="D90" s="359" t="s">
        <v>189</v>
      </c>
      <c r="E90" s="354" t="n">
        <f aca="false">-SUMIF(BSPL2026!M:M,'BS_DEC 2026'!D90,BSPL2026!Z:Z)</f>
        <v>-0</v>
      </c>
      <c r="F90" s="355"/>
      <c r="G90" s="354"/>
      <c r="H90" s="357"/>
      <c r="I90" s="356"/>
      <c r="J90" s="355"/>
      <c r="K90" s="354" t="n">
        <f aca="false">E90+I90-J90</f>
        <v>0</v>
      </c>
      <c r="L90" s="355"/>
      <c r="M90" s="354" t="n">
        <v>0</v>
      </c>
      <c r="N90" s="355"/>
      <c r="O90" s="350" t="n">
        <f aca="false">++K90-M90</f>
        <v>0</v>
      </c>
      <c r="R90" s="350"/>
    </row>
    <row r="91" customFormat="false" ht="21" hidden="false" customHeight="true" outlineLevel="0" collapsed="false">
      <c r="B91" s="351"/>
      <c r="C91" s="358" t="n">
        <v>3</v>
      </c>
      <c r="D91" s="359" t="s">
        <v>191</v>
      </c>
      <c r="E91" s="354" t="n">
        <f aca="false">-SUMIF(BSPL2026!M:M,'BS_DEC 2026'!D91,BSPL2026!Z:Z)</f>
        <v>-0</v>
      </c>
      <c r="F91" s="355"/>
      <c r="G91" s="356"/>
      <c r="H91" s="357"/>
      <c r="I91" s="348"/>
      <c r="J91" s="347"/>
      <c r="K91" s="354" t="n">
        <f aca="false">E91+I91-J91</f>
        <v>0</v>
      </c>
      <c r="L91" s="355"/>
      <c r="M91" s="354" t="n">
        <v>0</v>
      </c>
      <c r="N91" s="355"/>
      <c r="O91" s="350" t="n">
        <f aca="false">++K91-M91</f>
        <v>0</v>
      </c>
      <c r="R91" s="350"/>
    </row>
    <row r="92" customFormat="false" ht="21" hidden="false" customHeight="true" outlineLevel="0" collapsed="false">
      <c r="A92" s="362" t="s">
        <v>2420</v>
      </c>
      <c r="B92" s="351"/>
      <c r="C92" s="358" t="n">
        <v>4</v>
      </c>
      <c r="D92" s="359" t="s">
        <v>193</v>
      </c>
      <c r="E92" s="354" t="n">
        <f aca="false">-SUMIF(BSPL2026!M:M,'BS_DEC 2026'!D92,BSPL2026!Z:Z)</f>
        <v>-0</v>
      </c>
      <c r="F92" s="355"/>
      <c r="G92" s="356"/>
      <c r="H92" s="357"/>
      <c r="I92" s="356"/>
      <c r="J92" s="355" t="n">
        <f aca="false">++'statutory adj_2026 조정분개'!N29</f>
        <v>-646256500</v>
      </c>
      <c r="K92" s="354" t="n">
        <f aca="false">E92+I92-J92</f>
        <v>646256500</v>
      </c>
      <c r="L92" s="355"/>
      <c r="M92" s="354" t="n">
        <v>779863000</v>
      </c>
      <c r="N92" s="355"/>
      <c r="O92" s="350" t="n">
        <f aca="false">++K92-M92</f>
        <v>-133606500</v>
      </c>
      <c r="R92" s="350"/>
    </row>
    <row r="93" customFormat="false" ht="21" hidden="false" customHeight="true" outlineLevel="0" collapsed="false">
      <c r="B93" s="351"/>
      <c r="C93" s="358"/>
      <c r="D93" s="359" t="s">
        <v>194</v>
      </c>
      <c r="E93" s="354" t="n">
        <f aca="false">-SUMIF(BSPL2026!M:M,'BS_DEC 2026'!D93,BSPL2026!Z:Z)</f>
        <v>912409574</v>
      </c>
      <c r="F93" s="355"/>
      <c r="G93" s="356"/>
      <c r="H93" s="357"/>
      <c r="I93" s="348"/>
      <c r="J93" s="347"/>
      <c r="K93" s="354" t="n">
        <f aca="false">E93+I93-J93</f>
        <v>912409574</v>
      </c>
      <c r="L93" s="355"/>
      <c r="M93" s="354" t="n">
        <v>901263243</v>
      </c>
      <c r="N93" s="355"/>
      <c r="O93" s="350" t="n">
        <f aca="false">++K93-M93</f>
        <v>11146331</v>
      </c>
      <c r="R93" s="350"/>
    </row>
    <row r="94" customFormat="false" ht="21" hidden="false" customHeight="true" outlineLevel="0" collapsed="false">
      <c r="B94" s="351"/>
      <c r="C94" s="358"/>
      <c r="D94" s="359" t="s">
        <v>195</v>
      </c>
      <c r="E94" s="354" t="n">
        <f aca="false">-SUMIF(BSPL2026!M:M,'BS_DEC 2026'!D94,BSPL2026!Z:Z)</f>
        <v>-0</v>
      </c>
      <c r="F94" s="363" t="n">
        <f aca="false">SUM(E92:E94)</f>
        <v>912409574</v>
      </c>
      <c r="G94" s="356"/>
      <c r="H94" s="357"/>
      <c r="I94" s="356"/>
      <c r="J94" s="355"/>
      <c r="K94" s="354" t="n">
        <f aca="false">E94+I94-J94</f>
        <v>0</v>
      </c>
      <c r="L94" s="363" t="n">
        <f aca="false">SUM(K92:K94)</f>
        <v>1558666074</v>
      </c>
      <c r="M94" s="354" t="n">
        <v>0</v>
      </c>
      <c r="N94" s="363" t="n">
        <v>1681126243</v>
      </c>
      <c r="O94" s="350" t="n">
        <f aca="false">++L94-N94</f>
        <v>-122460169</v>
      </c>
      <c r="R94" s="350"/>
    </row>
    <row r="95" customFormat="false" ht="21" hidden="false" customHeight="true" outlineLevel="0" collapsed="false">
      <c r="B95" s="351"/>
      <c r="C95" s="358" t="n">
        <v>5</v>
      </c>
      <c r="D95" s="359" t="s">
        <v>196</v>
      </c>
      <c r="E95" s="354" t="n">
        <f aca="false">-SUMIF(BSPL2026!M:M,'BS_DEC 2026'!D95,BSPL2026!Z:Z)</f>
        <v>-0</v>
      </c>
      <c r="F95" s="355"/>
      <c r="G95" s="356"/>
      <c r="H95" s="357"/>
      <c r="I95" s="356"/>
      <c r="J95" s="355"/>
      <c r="K95" s="354" t="n">
        <f aca="false">E95+I95-J95</f>
        <v>0</v>
      </c>
      <c r="L95" s="355"/>
      <c r="M95" s="354" t="n">
        <v>0</v>
      </c>
      <c r="N95" s="355"/>
      <c r="O95" s="350" t="n">
        <f aca="false">++K95-M95</f>
        <v>0</v>
      </c>
      <c r="R95" s="350"/>
    </row>
    <row r="96" customFormat="false" ht="21" hidden="false" customHeight="true" outlineLevel="0" collapsed="false">
      <c r="B96" s="343"/>
      <c r="C96" s="344" t="s">
        <v>2421</v>
      </c>
      <c r="D96" s="345"/>
      <c r="E96" s="354"/>
      <c r="F96" s="347" t="n">
        <f aca="false">+F75+F88</f>
        <v>213597629178</v>
      </c>
      <c r="G96" s="348"/>
      <c r="H96" s="349"/>
      <c r="I96" s="348"/>
      <c r="J96" s="347"/>
      <c r="K96" s="354"/>
      <c r="L96" s="347" t="n">
        <f aca="false">+L75+L88</f>
        <v>201181819132</v>
      </c>
      <c r="M96" s="354"/>
      <c r="N96" s="347" t="n">
        <v>142472987716</v>
      </c>
      <c r="O96" s="350" t="n">
        <f aca="false">++L96-N96</f>
        <v>58708831416</v>
      </c>
      <c r="R96" s="350"/>
    </row>
    <row r="97" customFormat="false" ht="21" hidden="false" customHeight="true" outlineLevel="0" collapsed="false">
      <c r="B97" s="343"/>
      <c r="C97" s="344" t="s">
        <v>2422</v>
      </c>
      <c r="D97" s="345"/>
      <c r="E97" s="354"/>
      <c r="F97" s="347"/>
      <c r="G97" s="348"/>
      <c r="H97" s="349"/>
      <c r="I97" s="348"/>
      <c r="J97" s="347"/>
      <c r="K97" s="354"/>
      <c r="L97" s="347"/>
      <c r="M97" s="354"/>
      <c r="N97" s="347"/>
      <c r="O97" s="350"/>
      <c r="R97" s="350"/>
    </row>
    <row r="98" customFormat="false" ht="21" hidden="false" customHeight="true" outlineLevel="0" collapsed="false">
      <c r="B98" s="343" t="s">
        <v>2392</v>
      </c>
      <c r="C98" s="344" t="s">
        <v>2423</v>
      </c>
      <c r="D98" s="345"/>
      <c r="E98" s="354"/>
      <c r="F98" s="347" t="n">
        <f aca="false">+E99+E100</f>
        <v>138868021795</v>
      </c>
      <c r="G98" s="348"/>
      <c r="H98" s="349"/>
      <c r="I98" s="348"/>
      <c r="J98" s="347"/>
      <c r="K98" s="354"/>
      <c r="L98" s="347" t="n">
        <f aca="false">+K99+K100</f>
        <v>138868021795</v>
      </c>
      <c r="M98" s="354"/>
      <c r="N98" s="347" t="n">
        <v>138868021795</v>
      </c>
      <c r="O98" s="350" t="n">
        <f aca="false">++L98-N98</f>
        <v>0</v>
      </c>
      <c r="R98" s="350"/>
    </row>
    <row r="99" customFormat="false" ht="21" hidden="false" customHeight="true" outlineLevel="0" collapsed="false">
      <c r="B99" s="351"/>
      <c r="C99" s="358" t="n">
        <v>1</v>
      </c>
      <c r="D99" s="359" t="s">
        <v>204</v>
      </c>
      <c r="E99" s="354" t="n">
        <f aca="false">-SUMIF(BSPL2026!M:M,'BS_DEC 2026'!D99,BSPL2026!Z:Z)</f>
        <v>4287180000</v>
      </c>
      <c r="F99" s="355" t="s">
        <v>2395</v>
      </c>
      <c r="G99" s="356"/>
      <c r="H99" s="357"/>
      <c r="I99" s="356"/>
      <c r="J99" s="355"/>
      <c r="K99" s="354" t="n">
        <f aca="false">E99+I99-J99</f>
        <v>4287180000</v>
      </c>
      <c r="L99" s="355" t="s">
        <v>2395</v>
      </c>
      <c r="M99" s="354" t="n">
        <v>4287180000</v>
      </c>
      <c r="N99" s="355" t="s">
        <v>2395</v>
      </c>
      <c r="O99" s="350" t="n">
        <f aca="false">++K99-M99</f>
        <v>0</v>
      </c>
      <c r="R99" s="350"/>
    </row>
    <row r="100" customFormat="false" ht="21" hidden="false" customHeight="true" outlineLevel="0" collapsed="false">
      <c r="B100" s="351"/>
      <c r="C100" s="358" t="n">
        <v>2</v>
      </c>
      <c r="D100" s="359" t="s">
        <v>1740</v>
      </c>
      <c r="E100" s="354" t="n">
        <f aca="false">SUM(E101:E102)</f>
        <v>134580841795</v>
      </c>
      <c r="F100" s="355"/>
      <c r="G100" s="356"/>
      <c r="H100" s="357"/>
      <c r="I100" s="356"/>
      <c r="J100" s="355"/>
      <c r="K100" s="354" t="n">
        <f aca="false">SUM(K101:K102)</f>
        <v>134580841795</v>
      </c>
      <c r="L100" s="355"/>
      <c r="M100" s="354" t="n">
        <v>134580841795</v>
      </c>
      <c r="N100" s="355"/>
      <c r="O100" s="350" t="n">
        <f aca="false">++K100-M100</f>
        <v>0</v>
      </c>
      <c r="R100" s="350"/>
    </row>
    <row r="101" customFormat="false" ht="21" hidden="false" customHeight="true" outlineLevel="0" collapsed="false">
      <c r="B101" s="351"/>
      <c r="C101" s="358"/>
      <c r="D101" s="362" t="s">
        <v>208</v>
      </c>
      <c r="E101" s="354" t="n">
        <f aca="false">-SUMIF(BSPL2026!M:M,'BS_DEC 2026'!D101,BSPL2026!Z:Z)</f>
        <v>152461603149</v>
      </c>
      <c r="F101" s="355"/>
      <c r="G101" s="356"/>
      <c r="H101" s="357"/>
      <c r="I101" s="356"/>
      <c r="J101" s="355"/>
      <c r="K101" s="354" t="n">
        <f aca="false">E101+G101+J101</f>
        <v>152461603149</v>
      </c>
      <c r="L101" s="355"/>
      <c r="M101" s="354" t="n">
        <v>152461603149</v>
      </c>
      <c r="N101" s="355"/>
      <c r="O101" s="350" t="n">
        <f aca="false">++K101-M101</f>
        <v>0</v>
      </c>
      <c r="R101" s="350"/>
    </row>
    <row r="102" customFormat="false" ht="21" hidden="false" customHeight="true" outlineLevel="0" collapsed="false">
      <c r="B102" s="351"/>
      <c r="C102" s="358"/>
      <c r="D102" s="362" t="s">
        <v>210</v>
      </c>
      <c r="E102" s="354" t="n">
        <f aca="false">-SUMIF(BSPL2026!M:M,'BS_DEC 2026'!D102,BSPL2026!Z:Z)</f>
        <v>-17880761354</v>
      </c>
      <c r="F102" s="355"/>
      <c r="G102" s="356"/>
      <c r="H102" s="357"/>
      <c r="I102" s="356"/>
      <c r="J102" s="355"/>
      <c r="K102" s="354" t="n">
        <f aca="false">E102+G102+J102</f>
        <v>-17880761354</v>
      </c>
      <c r="L102" s="355"/>
      <c r="M102" s="354" t="n">
        <v>-17880761354</v>
      </c>
      <c r="N102" s="355"/>
      <c r="O102" s="350" t="n">
        <f aca="false">++K102-M102</f>
        <v>0</v>
      </c>
      <c r="R102" s="350"/>
    </row>
    <row r="103" customFormat="false" ht="21" hidden="false" customHeight="true" outlineLevel="0" collapsed="false">
      <c r="B103" s="343" t="s">
        <v>2401</v>
      </c>
      <c r="C103" s="344" t="s">
        <v>2424</v>
      </c>
      <c r="D103" s="345"/>
      <c r="E103" s="354"/>
      <c r="F103" s="347" t="n">
        <f aca="false">+E104+E105</f>
        <v>116986308310</v>
      </c>
      <c r="G103" s="348"/>
      <c r="H103" s="349"/>
      <c r="I103" s="356"/>
      <c r="J103" s="355"/>
      <c r="K103" s="354" t="n">
        <f aca="false">E103+I103-J103</f>
        <v>0</v>
      </c>
      <c r="L103" s="347" t="n">
        <f aca="false">+K104+K105</f>
        <v>116986308308</v>
      </c>
      <c r="M103" s="354" t="n">
        <v>0</v>
      </c>
      <c r="N103" s="347" t="n">
        <v>120830361203.924</v>
      </c>
      <c r="O103" s="350" t="n">
        <f aca="false">++L103-N103</f>
        <v>-3844052895.924</v>
      </c>
      <c r="R103" s="350"/>
    </row>
    <row r="104" customFormat="false" ht="21" hidden="false" customHeight="true" outlineLevel="0" collapsed="false">
      <c r="B104" s="351"/>
      <c r="C104" s="358" t="n">
        <v>1</v>
      </c>
      <c r="D104" s="359" t="s">
        <v>216</v>
      </c>
      <c r="E104" s="354" t="n">
        <f aca="false">-SUMIF(BSPL2026!M:M,'BS_DEC 2026'!D104,BSPL2026!Z:Z)</f>
        <v>2143590000</v>
      </c>
      <c r="F104" s="355" t="s">
        <v>2395</v>
      </c>
      <c r="G104" s="356"/>
      <c r="H104" s="357"/>
      <c r="I104" s="356"/>
      <c r="J104" s="355"/>
      <c r="K104" s="354" t="n">
        <f aca="false">E104+G104-J104</f>
        <v>2143590000</v>
      </c>
      <c r="L104" s="355" t="s">
        <v>2395</v>
      </c>
      <c r="M104" s="354" t="n">
        <v>1861200000</v>
      </c>
      <c r="N104" s="355" t="s">
        <v>2395</v>
      </c>
      <c r="O104" s="350" t="n">
        <f aca="false">++K104-M104</f>
        <v>282390000</v>
      </c>
      <c r="R104" s="350"/>
    </row>
    <row r="105" customFormat="false" ht="21" hidden="false" customHeight="true" outlineLevel="0" collapsed="false">
      <c r="B105" s="351"/>
      <c r="C105" s="358" t="n">
        <v>2</v>
      </c>
      <c r="D105" s="359" t="s">
        <v>218</v>
      </c>
      <c r="E105" s="365" t="n">
        <f aca="false">SUM(E106:E107)</f>
        <v>114842718310</v>
      </c>
      <c r="F105" s="355"/>
      <c r="G105" s="356"/>
      <c r="H105" s="357"/>
      <c r="I105" s="356"/>
      <c r="J105" s="355"/>
      <c r="K105" s="365" t="n">
        <f aca="false">SUM(K106:K107)</f>
        <v>114842718308</v>
      </c>
      <c r="L105" s="363"/>
      <c r="M105" s="365" t="n">
        <v>118969161203.924</v>
      </c>
      <c r="N105" s="355"/>
      <c r="O105" s="350" t="n">
        <f aca="false">++K105-M105</f>
        <v>-4126442895.924</v>
      </c>
      <c r="R105" s="350"/>
    </row>
    <row r="106" customFormat="false" ht="21" hidden="false" customHeight="true" outlineLevel="0" collapsed="false">
      <c r="B106" s="351"/>
      <c r="C106" s="358"/>
      <c r="D106" s="359" t="s">
        <v>220</v>
      </c>
      <c r="E106" s="354" t="n">
        <f aca="false">-SUMIF(BSPL2026!M:M,'BS_DEC 2026'!D106,BSPL2026!Z:Z)</f>
        <v>65553831288</v>
      </c>
      <c r="F106" s="355" t="s">
        <v>2395</v>
      </c>
      <c r="G106" s="382"/>
      <c r="H106" s="360"/>
      <c r="I106" s="356"/>
      <c r="J106" s="355"/>
      <c r="K106" s="354" t="n">
        <f aca="false">E106+G106-J106+H106</f>
        <v>65553831288</v>
      </c>
      <c r="L106" s="355" t="s">
        <v>2395</v>
      </c>
      <c r="M106" s="354" t="n">
        <v>81009322866.924</v>
      </c>
      <c r="N106" s="355" t="s">
        <v>2395</v>
      </c>
      <c r="O106" s="350" t="n">
        <f aca="false">++K106-M106</f>
        <v>-15455491578.924</v>
      </c>
      <c r="P106" s="381"/>
      <c r="R106" s="350"/>
    </row>
    <row r="107" customFormat="false" ht="21" hidden="false" customHeight="true" outlineLevel="0" collapsed="false">
      <c r="B107" s="351"/>
      <c r="C107" s="358"/>
      <c r="D107" s="362" t="s">
        <v>222</v>
      </c>
      <c r="E107" s="354" t="n">
        <f aca="false">++'PL_DEC.2026'!F99</f>
        <v>49288887022</v>
      </c>
      <c r="F107" s="355"/>
      <c r="G107" s="383"/>
      <c r="H107" s="357" t="n">
        <v>-2</v>
      </c>
      <c r="I107" s="356"/>
      <c r="J107" s="355"/>
      <c r="K107" s="354" t="n">
        <f aca="false">E107+G107-J107+H107</f>
        <v>49288887020</v>
      </c>
      <c r="L107" s="355"/>
      <c r="M107" s="354" t="n">
        <v>37959838337</v>
      </c>
      <c r="N107" s="355"/>
      <c r="O107" s="350" t="n">
        <f aca="false">++K107-M107</f>
        <v>11329048683</v>
      </c>
      <c r="R107" s="350"/>
    </row>
    <row r="108" customFormat="false" ht="20.25" hidden="false" customHeight="true" outlineLevel="0" collapsed="false">
      <c r="B108" s="343"/>
      <c r="C108" s="344" t="s">
        <v>2425</v>
      </c>
      <c r="D108" s="345"/>
      <c r="E108" s="346"/>
      <c r="F108" s="347" t="n">
        <f aca="false">+F98+F103</f>
        <v>255854330105</v>
      </c>
      <c r="G108" s="348"/>
      <c r="H108" s="349"/>
      <c r="I108" s="348"/>
      <c r="J108" s="347"/>
      <c r="K108" s="346"/>
      <c r="L108" s="347" t="n">
        <f aca="false">+L98+L103</f>
        <v>255854330103</v>
      </c>
      <c r="M108" s="346"/>
      <c r="N108" s="347" t="n">
        <v>259698382998.924</v>
      </c>
      <c r="O108" s="350" t="n">
        <f aca="false">++L108-N108</f>
        <v>-3844052895.92401</v>
      </c>
      <c r="P108" s="384"/>
      <c r="R108" s="350"/>
    </row>
    <row r="109" customFormat="false" ht="21" hidden="false" customHeight="true" outlineLevel="0" collapsed="false">
      <c r="B109" s="385"/>
      <c r="C109" s="386" t="s">
        <v>2426</v>
      </c>
      <c r="D109" s="387"/>
      <c r="E109" s="388"/>
      <c r="F109" s="389" t="n">
        <f aca="false">+F96+F108</f>
        <v>469451959283</v>
      </c>
      <c r="G109" s="390"/>
      <c r="H109" s="391"/>
      <c r="I109" s="390"/>
      <c r="J109" s="389"/>
      <c r="K109" s="388"/>
      <c r="L109" s="389" t="n">
        <f aca="false">+L96+L108</f>
        <v>457036149235</v>
      </c>
      <c r="M109" s="388"/>
      <c r="N109" s="389" t="n">
        <v>402171370714.924</v>
      </c>
      <c r="O109" s="350" t="n">
        <f aca="false">++L109-N109</f>
        <v>54864778520.076</v>
      </c>
      <c r="R109" s="350"/>
    </row>
    <row r="110" customFormat="false" ht="15" hidden="false" customHeight="false" outlineLevel="0" collapsed="false">
      <c r="E110" s="381"/>
      <c r="F110" s="392"/>
      <c r="G110" s="392"/>
      <c r="H110" s="392"/>
      <c r="I110" s="392"/>
      <c r="J110" s="392"/>
      <c r="K110" s="381"/>
      <c r="L110" s="392"/>
      <c r="M110" s="381"/>
      <c r="N110" s="392"/>
      <c r="O110" s="381"/>
    </row>
    <row r="111" customFormat="false" ht="15" hidden="false" customHeight="false" outlineLevel="0" collapsed="false"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81"/>
    </row>
    <row r="112" customFormat="false" ht="15" hidden="false" customHeight="false" outlineLevel="0" collapsed="false">
      <c r="E112" s="393" t="s">
        <v>2427</v>
      </c>
      <c r="F112" s="394" t="n">
        <f aca="false">F109-F72</f>
        <v>0</v>
      </c>
      <c r="G112" s="393"/>
      <c r="H112" s="393"/>
      <c r="I112" s="393"/>
      <c r="J112" s="393"/>
      <c r="K112" s="393"/>
      <c r="L112" s="394" t="n">
        <f aca="false">L109-L72</f>
        <v>76</v>
      </c>
      <c r="M112" s="393"/>
      <c r="N112" s="394" t="n">
        <f aca="false">N109-N72</f>
        <v>-1.07598876953125</v>
      </c>
      <c r="O112" s="381"/>
    </row>
    <row r="113" customFormat="false" ht="15" hidden="false" customHeight="false" outlineLevel="0" collapsed="false">
      <c r="E113" s="393"/>
      <c r="F113" s="393"/>
      <c r="G113" s="393"/>
      <c r="H113" s="393"/>
      <c r="I113" s="393"/>
      <c r="J113" s="393"/>
      <c r="K113" s="393"/>
      <c r="L113" s="393"/>
      <c r="M113" s="393"/>
      <c r="N113" s="393"/>
      <c r="O113" s="381"/>
    </row>
    <row r="114" customFormat="false" ht="15" hidden="false" customHeight="true" outlineLevel="0" collapsed="false">
      <c r="D114" s="358"/>
      <c r="E114" s="361" t="s">
        <v>2428</v>
      </c>
      <c r="F114" s="395" t="n">
        <v>469451959283</v>
      </c>
      <c r="G114" s="395" t="s">
        <v>2429</v>
      </c>
      <c r="H114" s="395"/>
      <c r="I114" s="381"/>
      <c r="J114" s="393"/>
      <c r="L114" s="395" t="n">
        <v>457036149235</v>
      </c>
      <c r="M114" s="361" t="s">
        <v>2428</v>
      </c>
      <c r="N114" s="361" t="n">
        <v>402171370714.924</v>
      </c>
      <c r="O114" s="381"/>
    </row>
    <row r="115" customFormat="false" ht="15" hidden="false" customHeight="false" outlineLevel="0" collapsed="false">
      <c r="D115" s="358"/>
      <c r="E115" s="361"/>
      <c r="F115" s="396" t="n">
        <f aca="false">++F109-F114</f>
        <v>0</v>
      </c>
      <c r="G115" s="361"/>
      <c r="H115" s="361"/>
      <c r="I115" s="397"/>
      <c r="J115" s="392"/>
      <c r="L115" s="361" t="n">
        <f aca="false">++L109-L114</f>
        <v>0</v>
      </c>
      <c r="M115" s="361"/>
      <c r="N115" s="361" t="n">
        <f aca="false">++N109-N114</f>
        <v>0</v>
      </c>
      <c r="O115" s="381"/>
    </row>
    <row r="116" customFormat="false" ht="15" hidden="false" customHeight="false" outlineLevel="0" collapsed="false">
      <c r="F116" s="361"/>
      <c r="I116" s="398"/>
      <c r="K116" s="381"/>
      <c r="O116" s="381"/>
    </row>
    <row r="117" customFormat="false" ht="15" hidden="false" customHeight="false" outlineLevel="0" collapsed="false">
      <c r="E117" s="361"/>
      <c r="F117" s="392"/>
      <c r="G117" s="392"/>
      <c r="H117" s="392"/>
      <c r="I117" s="392"/>
      <c r="J117" s="392"/>
      <c r="L117" s="392"/>
      <c r="N117" s="392"/>
      <c r="O117" s="381"/>
    </row>
    <row r="118" customFormat="false" ht="15" hidden="false" customHeight="false" outlineLevel="0" collapsed="false">
      <c r="E118" s="361"/>
      <c r="L118" s="399"/>
      <c r="O118" s="381"/>
    </row>
    <row r="119" customFormat="false" ht="15" hidden="false" customHeight="false" outlineLevel="0" collapsed="false">
      <c r="E119" s="381"/>
      <c r="F119" s="361"/>
      <c r="G119" s="381"/>
      <c r="H119" s="381"/>
      <c r="I119" s="400" t="s">
        <v>220</v>
      </c>
      <c r="J119" s="401" t="s">
        <v>11</v>
      </c>
      <c r="M119" s="381"/>
    </row>
    <row r="120" customFormat="false" ht="15" hidden="false" customHeight="false" outlineLevel="0" collapsed="false">
      <c r="E120" s="392"/>
      <c r="F120" s="361"/>
      <c r="I120" s="402" t="s">
        <v>2430</v>
      </c>
      <c r="J120" s="401" t="n">
        <f aca="false">++N103</f>
        <v>120830361203.924</v>
      </c>
      <c r="M120" s="381"/>
    </row>
    <row r="121" customFormat="false" ht="15" hidden="false" customHeight="false" outlineLevel="0" collapsed="false">
      <c r="I121" s="400" t="s">
        <v>222</v>
      </c>
      <c r="J121" s="403" t="n">
        <f aca="false">K107</f>
        <v>49288887020</v>
      </c>
    </row>
    <row r="122" customFormat="false" ht="15" hidden="false" customHeight="false" outlineLevel="0" collapsed="false">
      <c r="E122" s="393"/>
      <c r="I122" s="400" t="s">
        <v>2431</v>
      </c>
      <c r="J122" s="401" t="n">
        <v>-6453000000</v>
      </c>
    </row>
    <row r="123" customFormat="false" ht="15" hidden="false" customHeight="false" outlineLevel="0" collapsed="false">
      <c r="I123" s="402" t="s">
        <v>1422</v>
      </c>
      <c r="J123" s="401" t="n">
        <f aca="false">SUM(J120:J122)</f>
        <v>163666248223.924</v>
      </c>
    </row>
    <row r="124" customFormat="false" ht="15" hidden="false" customHeight="false" outlineLevel="0" collapsed="false">
      <c r="I124" s="400" t="s">
        <v>2432</v>
      </c>
      <c r="J124" s="401" t="n">
        <f aca="false">++L103</f>
        <v>116986308308</v>
      </c>
    </row>
    <row r="125" customFormat="false" ht="15" hidden="false" customHeight="false" outlineLevel="0" collapsed="false">
      <c r="I125" s="404" t="s">
        <v>2433</v>
      </c>
      <c r="J125" s="405" t="n">
        <f aca="false">++J123-J124</f>
        <v>46679939915.924</v>
      </c>
    </row>
    <row r="127" customFormat="false" ht="15" hidden="false" customHeight="false" outlineLevel="0" collapsed="false">
      <c r="I127" s="392" t="s">
        <v>2434</v>
      </c>
      <c r="J127" s="392"/>
      <c r="L127" s="406" t="s">
        <v>2435</v>
      </c>
    </row>
    <row r="128" customFormat="false" ht="15" hidden="false" customHeight="false" outlineLevel="0" collapsed="false">
      <c r="H128" s="406" t="s">
        <v>2436</v>
      </c>
      <c r="I128" s="392" t="s">
        <v>2331</v>
      </c>
      <c r="J128" s="392" t="n">
        <v>111822252</v>
      </c>
      <c r="L128" s="392" t="n">
        <f aca="false">++-J128</f>
        <v>-111822252</v>
      </c>
    </row>
    <row r="129" customFormat="false" ht="15" hidden="false" customHeight="false" outlineLevel="0" collapsed="false">
      <c r="H129" s="406" t="s">
        <v>2437</v>
      </c>
      <c r="I129" s="392" t="s">
        <v>2336</v>
      </c>
      <c r="J129" s="392" t="n">
        <v>-433482852</v>
      </c>
      <c r="L129" s="392"/>
    </row>
    <row r="130" customFormat="false" ht="15" hidden="false" customHeight="false" outlineLevel="0" collapsed="false">
      <c r="H130" s="406" t="s">
        <v>2438</v>
      </c>
      <c r="I130" s="392" t="s">
        <v>2341</v>
      </c>
      <c r="J130" s="392" t="n">
        <v>-2165556320</v>
      </c>
      <c r="L130" s="392" t="n">
        <f aca="false">++-J130</f>
        <v>2165556320</v>
      </c>
    </row>
    <row r="131" customFormat="false" ht="15" hidden="false" customHeight="false" outlineLevel="0" collapsed="false">
      <c r="H131" s="406" t="s">
        <v>2439</v>
      </c>
      <c r="I131" s="392" t="s">
        <v>2362</v>
      </c>
      <c r="J131" s="392" t="n">
        <v>348460250</v>
      </c>
      <c r="L131" s="392"/>
    </row>
    <row r="132" customFormat="false" ht="15" hidden="false" customHeight="false" outlineLevel="0" collapsed="false">
      <c r="I132" s="407" t="s">
        <v>1422</v>
      </c>
      <c r="J132" s="407" t="n">
        <f aca="false">SUM(J128:J131)</f>
        <v>-2138756670</v>
      </c>
    </row>
    <row r="133" customFormat="false" ht="15" hidden="false" customHeight="false" outlineLevel="0" collapsed="false">
      <c r="I133" s="392"/>
      <c r="J133" s="392"/>
    </row>
    <row r="137" customFormat="false" ht="15" hidden="false" customHeight="true" outlineLevel="0" collapsed="false">
      <c r="D137" s="406"/>
    </row>
    <row r="138" customFormat="false" ht="15.75" hidden="false" customHeight="true" outlineLevel="0" collapsed="false">
      <c r="D138" s="406"/>
      <c r="G138" s="408" t="s">
        <v>1436</v>
      </c>
      <c r="H138" s="409" t="s">
        <v>1437</v>
      </c>
      <c r="I138" s="409" t="s">
        <v>1438</v>
      </c>
      <c r="J138" s="409" t="s">
        <v>1439</v>
      </c>
      <c r="K138" s="409" t="s">
        <v>1440</v>
      </c>
      <c r="L138" s="409" t="s">
        <v>1441</v>
      </c>
      <c r="M138" s="409" t="s">
        <v>1442</v>
      </c>
    </row>
    <row r="139" customFormat="false" ht="15" hidden="false" customHeight="true" outlineLevel="0" collapsed="false">
      <c r="D139" s="406"/>
      <c r="H139" s="361"/>
      <c r="I139" s="361"/>
      <c r="J139" s="361"/>
      <c r="K139" s="361"/>
      <c r="L139" s="361"/>
    </row>
    <row r="140" customFormat="false" ht="15" hidden="false" customHeight="true" outlineLevel="0" collapsed="false">
      <c r="D140" s="406"/>
      <c r="E140" s="410" t="s">
        <v>494</v>
      </c>
      <c r="F140" s="411" t="s">
        <v>147</v>
      </c>
      <c r="G140" s="412" t="n">
        <v>86266003</v>
      </c>
      <c r="H140" s="413"/>
      <c r="I140" s="413" t="n">
        <v>4493279100</v>
      </c>
      <c r="J140" s="413" t="n">
        <f aca="false">++-I140</f>
        <v>-4493279100</v>
      </c>
      <c r="K140" s="413"/>
      <c r="L140" s="413"/>
      <c r="M140" s="414"/>
      <c r="N140" s="415" t="s">
        <v>2440</v>
      </c>
    </row>
    <row r="141" customFormat="false" ht="15" hidden="false" customHeight="true" outlineLevel="0" collapsed="false">
      <c r="D141" s="406"/>
      <c r="E141" s="416" t="s">
        <v>368</v>
      </c>
      <c r="F141" s="417" t="s">
        <v>368</v>
      </c>
      <c r="G141" s="418" t="n">
        <v>86000000</v>
      </c>
      <c r="H141" s="419" t="n">
        <v>4493279100</v>
      </c>
      <c r="I141" s="419"/>
      <c r="J141" s="419"/>
      <c r="K141" s="419"/>
      <c r="L141" s="419"/>
      <c r="M141" s="420" t="n">
        <v>4493279100</v>
      </c>
      <c r="N141" s="421" t="s">
        <v>2440</v>
      </c>
    </row>
    <row r="142" customFormat="false" ht="15" hidden="false" customHeight="true" outlineLevel="0" collapsed="false">
      <c r="D142" s="406"/>
      <c r="E142" s="422"/>
      <c r="F142" s="423"/>
      <c r="G142" s="424"/>
      <c r="H142" s="361"/>
      <c r="I142" s="361"/>
      <c r="J142" s="361"/>
      <c r="K142" s="361"/>
      <c r="L142" s="361"/>
      <c r="M142" s="425"/>
      <c r="N142" s="426"/>
    </row>
    <row r="143" customFormat="false" ht="15" hidden="false" customHeight="true" outlineLevel="0" collapsed="false">
      <c r="D143" s="406"/>
      <c r="E143" s="410" t="s">
        <v>494</v>
      </c>
      <c r="F143" s="411" t="s">
        <v>57</v>
      </c>
      <c r="G143" s="412" t="n">
        <v>86291000</v>
      </c>
      <c r="H143" s="413" t="n">
        <v>2433597536</v>
      </c>
      <c r="I143" s="413"/>
      <c r="J143" s="413" t="n">
        <f aca="false">++H143</f>
        <v>2433597536</v>
      </c>
      <c r="K143" s="413"/>
      <c r="L143" s="413"/>
      <c r="M143" s="414"/>
      <c r="N143" s="427" t="s">
        <v>2441</v>
      </c>
    </row>
    <row r="144" customFormat="false" ht="15" hidden="false" customHeight="true" outlineLevel="0" collapsed="false">
      <c r="D144" s="406"/>
      <c r="E144" s="428" t="s">
        <v>494</v>
      </c>
      <c r="F144" s="429" t="s">
        <v>145</v>
      </c>
      <c r="G144" s="430" t="n">
        <v>86291502</v>
      </c>
      <c r="H144" s="361" t="n">
        <v>1909466258</v>
      </c>
      <c r="I144" s="361"/>
      <c r="J144" s="361" t="n">
        <f aca="false">++H144</f>
        <v>1909466258</v>
      </c>
      <c r="K144" s="361"/>
      <c r="L144" s="361"/>
      <c r="M144" s="425"/>
      <c r="N144" s="431" t="s">
        <v>2441</v>
      </c>
    </row>
    <row r="145" customFormat="false" ht="15" hidden="false" customHeight="true" outlineLevel="0" collapsed="false">
      <c r="D145" s="406"/>
      <c r="E145" s="432" t="s">
        <v>157</v>
      </c>
      <c r="F145" s="429" t="s">
        <v>175</v>
      </c>
      <c r="G145" s="430" t="n">
        <v>86429307</v>
      </c>
      <c r="H145" s="361" t="n">
        <v>2203949374</v>
      </c>
      <c r="I145" s="361"/>
      <c r="J145" s="361"/>
      <c r="K145" s="361" t="n">
        <f aca="false">++H145</f>
        <v>2203949374</v>
      </c>
      <c r="L145" s="361"/>
      <c r="M145" s="425"/>
      <c r="N145" s="431" t="s">
        <v>2441</v>
      </c>
    </row>
    <row r="146" customFormat="false" ht="15" hidden="false" customHeight="true" outlineLevel="0" collapsed="false">
      <c r="D146" s="406"/>
      <c r="E146" s="416" t="s">
        <v>368</v>
      </c>
      <c r="F146" s="417" t="s">
        <v>368</v>
      </c>
      <c r="G146" s="418" t="n">
        <v>86000000</v>
      </c>
      <c r="H146" s="419"/>
      <c r="I146" s="419" t="n">
        <v>6547013168</v>
      </c>
      <c r="J146" s="419"/>
      <c r="K146" s="419"/>
      <c r="L146" s="419"/>
      <c r="M146" s="433" t="n">
        <f aca="false">++-I146</f>
        <v>-6547013168</v>
      </c>
      <c r="N146" s="434" t="s">
        <v>2441</v>
      </c>
    </row>
    <row r="147" customFormat="false" ht="15" hidden="false" customHeight="true" outlineLevel="0" collapsed="false">
      <c r="D147" s="406"/>
      <c r="H147" s="361"/>
      <c r="I147" s="361"/>
      <c r="J147" s="361"/>
      <c r="K147" s="361"/>
      <c r="L147" s="361"/>
    </row>
    <row r="148" customFormat="false" ht="15" hidden="false" customHeight="true" outlineLevel="0" collapsed="false">
      <c r="D148" s="406"/>
      <c r="H148" s="361"/>
      <c r="I148" s="361"/>
      <c r="J148" s="361"/>
      <c r="K148" s="361"/>
      <c r="L148" s="361"/>
    </row>
    <row r="149" customFormat="false" ht="15" hidden="false" customHeight="true" outlineLevel="0" collapsed="false">
      <c r="D149" s="406"/>
      <c r="E149" s="426"/>
      <c r="F149" s="435" t="s">
        <v>355</v>
      </c>
      <c r="G149" s="426" t="n">
        <v>86030002</v>
      </c>
      <c r="H149" s="361"/>
      <c r="I149" s="361" t="n">
        <v>2165556320</v>
      </c>
      <c r="J149" s="361"/>
      <c r="K149" s="361"/>
      <c r="L149" s="361"/>
      <c r="M149" s="425" t="n">
        <v>-2165556320</v>
      </c>
      <c r="N149" s="426" t="s">
        <v>2442</v>
      </c>
    </row>
    <row r="150" customFormat="false" ht="15" hidden="false" customHeight="true" outlineLevel="0" collapsed="false">
      <c r="D150" s="406"/>
      <c r="E150" s="426"/>
      <c r="F150" s="435" t="s">
        <v>368</v>
      </c>
      <c r="G150" s="426" t="n">
        <v>86000000</v>
      </c>
      <c r="H150" s="361" t="n">
        <v>2165556320</v>
      </c>
      <c r="I150" s="361"/>
      <c r="J150" s="361"/>
      <c r="K150" s="361"/>
      <c r="L150" s="361"/>
      <c r="M150" s="425" t="n">
        <v>2165556320</v>
      </c>
      <c r="N150" s="426" t="s">
        <v>2442</v>
      </c>
    </row>
    <row r="151" customFormat="false" ht="15" hidden="false" customHeight="true" outlineLevel="0" collapsed="false">
      <c r="D151" s="406"/>
      <c r="H151" s="361"/>
      <c r="I151" s="361"/>
      <c r="J151" s="361"/>
      <c r="K151" s="361"/>
      <c r="L151" s="361"/>
    </row>
    <row r="152" customFormat="false" ht="15" hidden="false" customHeight="true" outlineLevel="0" collapsed="false">
      <c r="C152" s="431"/>
      <c r="H152" s="361"/>
      <c r="I152" s="361"/>
      <c r="J152" s="361"/>
      <c r="K152" s="361"/>
      <c r="L152" s="361"/>
    </row>
    <row r="153" customFormat="false" ht="15" hidden="false" customHeight="true" outlineLevel="0" collapsed="false">
      <c r="C153" s="431"/>
      <c r="E153" s="436" t="s">
        <v>157</v>
      </c>
      <c r="F153" s="437" t="s">
        <v>171</v>
      </c>
      <c r="G153" s="437" t="n">
        <v>86424000</v>
      </c>
      <c r="H153" s="413" t="n">
        <v>433482852</v>
      </c>
      <c r="I153" s="413"/>
      <c r="J153" s="413"/>
      <c r="K153" s="413" t="n">
        <v>433482852</v>
      </c>
      <c r="L153" s="413"/>
      <c r="M153" s="437"/>
      <c r="N153" s="438" t="s">
        <v>2443</v>
      </c>
    </row>
    <row r="154" customFormat="false" ht="15" hidden="false" customHeight="true" outlineLevel="0" collapsed="false">
      <c r="E154" s="439" t="s">
        <v>912</v>
      </c>
      <c r="F154" s="440" t="s">
        <v>282</v>
      </c>
      <c r="G154" s="440" t="n">
        <v>86000300</v>
      </c>
      <c r="H154" s="419"/>
      <c r="I154" s="419" t="n">
        <v>433482852</v>
      </c>
      <c r="J154" s="419"/>
      <c r="K154" s="419"/>
      <c r="L154" s="419"/>
      <c r="M154" s="441" t="n">
        <v>-433482852</v>
      </c>
      <c r="N154" s="442" t="s">
        <v>2443</v>
      </c>
    </row>
    <row r="155" customFormat="false" ht="15" hidden="false" customHeight="false" outlineLevel="0" collapsed="false">
      <c r="H155" s="361"/>
      <c r="I155" s="361"/>
      <c r="J155" s="361"/>
      <c r="K155" s="361"/>
      <c r="L155" s="361"/>
    </row>
    <row r="156" customFormat="false" ht="15" hidden="false" customHeight="false" outlineLevel="0" collapsed="false">
      <c r="H156" s="361"/>
      <c r="I156" s="361"/>
      <c r="J156" s="361"/>
      <c r="K156" s="361"/>
      <c r="L156" s="361"/>
    </row>
    <row r="157" customFormat="false" ht="15" hidden="false" customHeight="false" outlineLevel="0" collapsed="false">
      <c r="E157" s="436"/>
      <c r="F157" s="437"/>
      <c r="G157" s="437"/>
      <c r="H157" s="413"/>
      <c r="I157" s="413"/>
      <c r="J157" s="413"/>
      <c r="K157" s="413"/>
      <c r="L157" s="413"/>
      <c r="M157" s="437"/>
      <c r="N157" s="437"/>
    </row>
    <row r="158" customFormat="false" ht="15" hidden="false" customHeight="false" outlineLevel="0" collapsed="false">
      <c r="E158" s="443" t="s">
        <v>157</v>
      </c>
      <c r="F158" s="362" t="s">
        <v>173</v>
      </c>
      <c r="G158" s="406" t="n">
        <v>86265300</v>
      </c>
      <c r="H158" s="361"/>
      <c r="I158" s="361" t="n">
        <v>348460250</v>
      </c>
      <c r="J158" s="361" t="n">
        <v>-348460250</v>
      </c>
      <c r="K158" s="361"/>
      <c r="L158" s="361"/>
      <c r="N158" s="362" t="s">
        <v>2444</v>
      </c>
    </row>
    <row r="159" customFormat="false" ht="15" hidden="false" customHeight="true" outlineLevel="0" collapsed="false">
      <c r="E159" s="439" t="s">
        <v>912</v>
      </c>
      <c r="F159" s="440" t="s">
        <v>299</v>
      </c>
      <c r="G159" s="440" t="n">
        <v>86290000</v>
      </c>
      <c r="H159" s="419" t="n">
        <v>348460250</v>
      </c>
      <c r="I159" s="419"/>
      <c r="J159" s="419"/>
      <c r="K159" s="419"/>
      <c r="L159" s="419"/>
      <c r="M159" s="441" t="n">
        <v>348460250</v>
      </c>
      <c r="N159" s="440" t="s">
        <v>2444</v>
      </c>
    </row>
    <row r="160" customFormat="false" ht="15" hidden="false" customHeight="false" outlineLevel="0" collapsed="false">
      <c r="H160" s="361"/>
      <c r="I160" s="361"/>
      <c r="J160" s="361"/>
      <c r="K160" s="361"/>
      <c r="L160" s="361"/>
    </row>
    <row r="161" customFormat="false" ht="15" hidden="false" customHeight="false" outlineLevel="0" collapsed="false">
      <c r="H161" s="361"/>
      <c r="I161" s="361"/>
      <c r="J161" s="361"/>
      <c r="K161" s="361"/>
      <c r="L161" s="361"/>
    </row>
    <row r="162" customFormat="false" ht="15" hidden="false" customHeight="false" outlineLevel="0" collapsed="false">
      <c r="H162" s="361"/>
      <c r="I162" s="361"/>
      <c r="J162" s="361"/>
      <c r="K162" s="361"/>
      <c r="L162" s="361"/>
    </row>
    <row r="164" customFormat="false" ht="15" hidden="false" customHeight="false" outlineLevel="0" collapsed="false">
      <c r="J164" s="381" t="n">
        <f aca="false">SUM(J140:J160)</f>
        <v>-498675556</v>
      </c>
      <c r="K164" s="381" t="n">
        <f aca="false">SUM(K140:K160)</f>
        <v>2637432226</v>
      </c>
      <c r="L164" s="381" t="n">
        <f aca="false">SUM(L140:L160)</f>
        <v>0</v>
      </c>
      <c r="M164" s="444" t="n">
        <f aca="false">SUM(M140:M160)</f>
        <v>-2138756670</v>
      </c>
    </row>
  </sheetData>
  <mergeCells count="10">
    <mergeCell ref="B3:J3"/>
    <mergeCell ref="B5:J5"/>
    <mergeCell ref="B6:J6"/>
    <mergeCell ref="I7:J7"/>
    <mergeCell ref="B8:D9"/>
    <mergeCell ref="E8:F9"/>
    <mergeCell ref="I8:J8"/>
    <mergeCell ref="K8:L9"/>
    <mergeCell ref="M8:N9"/>
    <mergeCell ref="I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AC11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81" topLeftCell="B82" activePane="bottomRight" state="frozen"/>
      <selection pane="topLeft" activeCell="A1" activeCellId="0" sqref="A1"/>
      <selection pane="topRight" activeCell="B1" activeCellId="0" sqref="B1"/>
      <selection pane="bottomLeft" activeCell="A82" activeCellId="0" sqref="A8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3.63"/>
    <col collapsed="false" customWidth="true" hidden="false" outlineLevel="0" max="4" min="4" style="162" width="25.64"/>
    <col collapsed="false" customWidth="true" hidden="false" outlineLevel="0" max="5" min="5" style="162" width="15.63"/>
    <col collapsed="false" customWidth="true" hidden="false" outlineLevel="0" max="6" min="6" style="162" width="18.63"/>
    <col collapsed="false" customWidth="true" hidden="false" outlineLevel="0" max="7" min="7" style="162" width="15.63"/>
    <col collapsed="false" customWidth="true" hidden="true" outlineLevel="0" max="9" min="9" style="162" width="9.01"/>
    <col collapsed="false" customWidth="true" hidden="false" outlineLevel="0" max="10" min="10" style="162" width="15.63"/>
    <col collapsed="false" customWidth="true" hidden="false" outlineLevel="0" max="12" min="12" style="162" width="19.37"/>
    <col collapsed="false" customWidth="true" hidden="false" outlineLevel="0" max="13" min="13" style="162" width="18.63"/>
    <col collapsed="false" customWidth="true" hidden="false" outlineLevel="0" max="14" min="14" style="162" width="19.73"/>
    <col collapsed="false" customWidth="true" hidden="false" outlineLevel="0" max="15" min="15" style="162" width="18.63"/>
    <col collapsed="false" customWidth="true" hidden="false" outlineLevel="0" max="16" min="16" style="162" width="20"/>
    <col collapsed="false" customWidth="true" hidden="false" outlineLevel="0" max="17" min="17" style="162" width="20.45"/>
    <col collapsed="false" customWidth="true" hidden="false" outlineLevel="0" max="18" min="18" style="162" width="24.27"/>
    <col collapsed="false" customWidth="true" hidden="false" outlineLevel="0" max="19" min="19" style="162" width="23"/>
    <col collapsed="false" customWidth="true" hidden="false" outlineLevel="0" max="20" min="20" style="162" width="19.73"/>
    <col collapsed="false" customWidth="true" hidden="false" outlineLevel="0" max="21" min="21" style="162" width="15.63"/>
    <col collapsed="false" customWidth="true" hidden="false" outlineLevel="0" max="22" min="22" style="162" width="3.63"/>
    <col collapsed="false" customWidth="true" hidden="false" outlineLevel="0" max="23" min="23" style="162" width="19.73"/>
    <col collapsed="false" customWidth="true" hidden="false" outlineLevel="0" max="24" min="24" style="162" width="15.63"/>
    <col collapsed="false" customWidth="true" hidden="false" outlineLevel="0" max="28" min="28" style="162" width="18.63"/>
    <col collapsed="false" customWidth="true" hidden="false" outlineLevel="0" max="29" min="29" style="162" width="16.45"/>
    <col collapsed="false" customWidth="true" hidden="false" outlineLevel="0" max="30" min="30" style="162" width="15.63"/>
  </cols>
  <sheetData>
    <row r="1" customFormat="false" ht="22.5" hidden="false" customHeight="true" outlineLevel="0" collapsed="false">
      <c r="P1" s="445"/>
      <c r="Q1" s="446" t="s">
        <v>2445</v>
      </c>
      <c r="R1" s="447"/>
      <c r="S1" s="445"/>
      <c r="AA1" s="446" t="s">
        <v>2445</v>
      </c>
      <c r="AB1" s="447"/>
    </row>
    <row r="2" customFormat="false" ht="22.5" hidden="false" customHeight="true" outlineLevel="0" collapsed="false">
      <c r="P2" s="445"/>
      <c r="Q2" s="448" t="s">
        <v>242</v>
      </c>
      <c r="R2" s="449" t="s">
        <v>2446</v>
      </c>
      <c r="S2" s="445"/>
      <c r="AA2" s="448" t="s">
        <v>242</v>
      </c>
      <c r="AB2" s="449" t="s">
        <v>2447</v>
      </c>
    </row>
    <row r="3" customFormat="false" ht="22.5" hidden="false" customHeight="true" outlineLevel="0" collapsed="false">
      <c r="B3" s="328" t="s">
        <v>2448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445"/>
      <c r="Q3" s="450" t="s">
        <v>245</v>
      </c>
      <c r="R3" s="451" t="n">
        <f aca="false">N19*-1</f>
        <v>155744141506</v>
      </c>
      <c r="S3" s="452"/>
      <c r="W3" s="453" t="n">
        <v>64550000</v>
      </c>
      <c r="X3" s="454" t="s">
        <v>2449</v>
      </c>
      <c r="Y3" s="455" t="n">
        <f aca="false">VLOOKUP(W3,BSPL2026!B:Z,25,FALSE())</f>
        <v>0</v>
      </c>
      <c r="AA3" s="450" t="s">
        <v>245</v>
      </c>
      <c r="AB3" s="451" t="n">
        <v>160701424589</v>
      </c>
    </row>
    <row r="4" customFormat="false" ht="15" hidden="false" customHeight="true" outlineLevel="0" collapsed="false">
      <c r="N4" s="384"/>
      <c r="P4" s="445"/>
      <c r="Q4" s="450" t="s">
        <v>247</v>
      </c>
      <c r="R4" s="456" t="n">
        <f aca="false">+R5+R6</f>
        <v>423703487976</v>
      </c>
      <c r="S4" s="452"/>
      <c r="W4" s="453" t="n">
        <v>68231100</v>
      </c>
      <c r="X4" s="454" t="s">
        <v>2450</v>
      </c>
      <c r="Y4" s="455" t="n">
        <f aca="false">VLOOKUP(W4,BSPL2026!B:Z,25,FALSE())</f>
        <v>5349677</v>
      </c>
      <c r="AA4" s="450" t="s">
        <v>247</v>
      </c>
      <c r="AB4" s="456" t="n">
        <v>496634725832</v>
      </c>
    </row>
    <row r="5" customFormat="false" ht="16.5" hidden="false" customHeight="true" outlineLevel="0" collapsed="false">
      <c r="B5" s="457" t="s">
        <v>2451</v>
      </c>
      <c r="C5" s="457"/>
      <c r="D5" s="457"/>
      <c r="E5" s="457"/>
      <c r="F5" s="457"/>
      <c r="G5" s="457"/>
      <c r="H5" s="457"/>
      <c r="I5" s="457"/>
      <c r="J5" s="457"/>
      <c r="K5" s="457"/>
      <c r="L5" s="457"/>
      <c r="M5" s="457"/>
      <c r="N5" s="457"/>
      <c r="O5" s="457"/>
      <c r="P5" s="445"/>
      <c r="Q5" s="458" t="s">
        <v>249</v>
      </c>
      <c r="R5" s="459" t="n">
        <v>424753563203</v>
      </c>
      <c r="S5" s="445" t="s">
        <v>250</v>
      </c>
      <c r="U5" s="333" t="s">
        <v>2452</v>
      </c>
      <c r="W5" s="453" t="n">
        <v>68231300</v>
      </c>
      <c r="X5" s="454" t="s">
        <v>2449</v>
      </c>
      <c r="Y5" s="455" t="n">
        <f aca="false">VLOOKUP(W5,BSPL2026!B:Z,25,FALSE())</f>
        <v>27017806</v>
      </c>
      <c r="AA5" s="458" t="s">
        <v>249</v>
      </c>
      <c r="AB5" s="455" t="n">
        <v>500932927846</v>
      </c>
    </row>
    <row r="6" customFormat="false" ht="16.5" hidden="false" customHeight="true" outlineLevel="0" collapsed="false">
      <c r="B6" s="457" t="s">
        <v>2453</v>
      </c>
      <c r="C6" s="457"/>
      <c r="D6" s="457"/>
      <c r="E6" s="457"/>
      <c r="F6" s="457"/>
      <c r="G6" s="457"/>
      <c r="H6" s="457"/>
      <c r="I6" s="457"/>
      <c r="J6" s="457"/>
      <c r="K6" s="457"/>
      <c r="L6" s="457"/>
      <c r="M6" s="457"/>
      <c r="N6" s="457"/>
      <c r="O6" s="457"/>
      <c r="P6" s="445"/>
      <c r="Q6" s="458" t="s">
        <v>260</v>
      </c>
      <c r="R6" s="459" t="n">
        <f aca="false">++-532824837-517516755+266365</f>
        <v>-1050075227</v>
      </c>
      <c r="S6" s="460" t="s">
        <v>2454</v>
      </c>
      <c r="T6" s="344" t="s">
        <v>2455</v>
      </c>
      <c r="U6" s="333" t="s">
        <v>2452</v>
      </c>
      <c r="W6" s="453"/>
      <c r="X6" s="453"/>
      <c r="Y6" s="455" t="n">
        <f aca="false">Y3+Y4+Y5</f>
        <v>32367483</v>
      </c>
      <c r="AA6" s="458" t="s">
        <v>260</v>
      </c>
      <c r="AB6" s="455" t="n">
        <v>-4298202014</v>
      </c>
    </row>
    <row r="7" customFormat="false" ht="18" hidden="false" customHeight="true" outlineLevel="0" collapsed="false">
      <c r="E7" s="333" t="s">
        <v>2383</v>
      </c>
      <c r="G7" s="334" t="s">
        <v>1478</v>
      </c>
      <c r="H7" s="334"/>
      <c r="I7" s="334"/>
      <c r="J7" s="334" t="s">
        <v>2456</v>
      </c>
      <c r="K7" s="334"/>
      <c r="N7" s="384"/>
      <c r="P7" s="460"/>
      <c r="Q7" s="450" t="s">
        <v>255</v>
      </c>
      <c r="R7" s="456" t="n">
        <f aca="false">+R8+R9</f>
        <v>401804189961</v>
      </c>
      <c r="S7" s="460"/>
      <c r="AA7" s="450" t="s">
        <v>255</v>
      </c>
      <c r="AB7" s="456" t="n">
        <v>501592008939</v>
      </c>
    </row>
    <row r="8" customFormat="false" ht="16.5" hidden="false" customHeight="true" outlineLevel="0" collapsed="false">
      <c r="B8" s="335" t="s">
        <v>2385</v>
      </c>
      <c r="C8" s="335"/>
      <c r="D8" s="335"/>
      <c r="E8" s="461" t="s">
        <v>2457</v>
      </c>
      <c r="F8" s="461"/>
      <c r="G8" s="462" t="s">
        <v>2388</v>
      </c>
      <c r="H8" s="462"/>
      <c r="I8" s="462" t="s">
        <v>2387</v>
      </c>
      <c r="J8" s="339" t="s">
        <v>2388</v>
      </c>
      <c r="K8" s="339"/>
      <c r="L8" s="336" t="str">
        <f aca="false">E8</f>
        <v>제     37 (당)    기
Dec 2026</v>
      </c>
      <c r="M8" s="336"/>
      <c r="N8" s="463" t="s">
        <v>2458</v>
      </c>
      <c r="O8" s="463"/>
      <c r="P8" s="460"/>
      <c r="Q8" s="464" t="s">
        <v>257</v>
      </c>
      <c r="R8" s="465" t="n">
        <v>401771822478</v>
      </c>
      <c r="S8" s="445" t="s">
        <v>258</v>
      </c>
      <c r="T8" s="344" t="s">
        <v>2455</v>
      </c>
      <c r="U8" s="333" t="s">
        <v>2459</v>
      </c>
      <c r="AA8" s="464" t="s">
        <v>257</v>
      </c>
      <c r="AB8" s="466" t="n">
        <v>501294219546</v>
      </c>
      <c r="AC8" s="467"/>
    </row>
    <row r="9" customFormat="false" ht="16.5" hidden="false" customHeight="true" outlineLevel="0" collapsed="false">
      <c r="B9" s="335"/>
      <c r="C9" s="335"/>
      <c r="D9" s="335"/>
      <c r="E9" s="461"/>
      <c r="F9" s="461"/>
      <c r="G9" s="468" t="s">
        <v>2255</v>
      </c>
      <c r="H9" s="468"/>
      <c r="I9" s="468" t="s">
        <v>2389</v>
      </c>
      <c r="J9" s="342" t="s">
        <v>2390</v>
      </c>
      <c r="K9" s="342"/>
      <c r="L9" s="336"/>
      <c r="M9" s="336"/>
      <c r="N9" s="463"/>
      <c r="O9" s="463"/>
      <c r="P9" s="460"/>
      <c r="Q9" s="458" t="s">
        <v>260</v>
      </c>
      <c r="R9" s="459" t="n">
        <v>32367483</v>
      </c>
      <c r="S9" s="445" t="s">
        <v>261</v>
      </c>
      <c r="T9" s="344" t="s">
        <v>2455</v>
      </c>
      <c r="U9" s="333" t="s">
        <v>2459</v>
      </c>
      <c r="AA9" s="458" t="s">
        <v>260</v>
      </c>
      <c r="AB9" s="455" t="n">
        <v>297789393</v>
      </c>
    </row>
    <row r="10" customFormat="false" ht="16.5" hidden="false" customHeight="true" outlineLevel="0" collapsed="false">
      <c r="B10" s="469"/>
      <c r="C10" s="470"/>
      <c r="D10" s="470"/>
      <c r="E10" s="470"/>
      <c r="F10" s="470"/>
      <c r="G10" s="471"/>
      <c r="H10" s="339"/>
      <c r="I10" s="462"/>
      <c r="J10" s="472"/>
      <c r="K10" s="472"/>
      <c r="L10" s="471"/>
      <c r="M10" s="339"/>
      <c r="N10" s="469"/>
      <c r="O10" s="473"/>
      <c r="P10" s="460"/>
      <c r="Q10" s="450" t="s">
        <v>263</v>
      </c>
      <c r="R10" s="459" t="n">
        <f aca="false">R3+R4-R7</f>
        <v>177643439521</v>
      </c>
      <c r="S10" s="460"/>
      <c r="AA10" s="450" t="s">
        <v>263</v>
      </c>
      <c r="AB10" s="459" t="n">
        <v>155744141482</v>
      </c>
    </row>
    <row r="11" customFormat="false" ht="21" hidden="false" customHeight="true" outlineLevel="0" collapsed="false">
      <c r="B11" s="343" t="s">
        <v>2392</v>
      </c>
      <c r="C11" s="344" t="s">
        <v>235</v>
      </c>
      <c r="D11" s="345"/>
      <c r="E11" s="474"/>
      <c r="F11" s="474" t="n">
        <f aca="false">SUM(E12:E13)</f>
        <v>532321516164</v>
      </c>
      <c r="G11" s="475"/>
      <c r="H11" s="476"/>
      <c r="I11" s="477"/>
      <c r="J11" s="474"/>
      <c r="K11" s="474"/>
      <c r="L11" s="475"/>
      <c r="M11" s="476" t="n">
        <f aca="false">SUM(L12:L13)</f>
        <v>532321516164</v>
      </c>
      <c r="N11" s="475"/>
      <c r="O11" s="476" t="n">
        <v>645754460671</v>
      </c>
      <c r="P11" s="478" t="n">
        <f aca="false">++M11-O11</f>
        <v>-113432944507</v>
      </c>
      <c r="Q11" s="478"/>
      <c r="R11" s="479" t="n">
        <v>177643439521</v>
      </c>
      <c r="S11" s="460"/>
      <c r="AA11" s="460"/>
      <c r="AB11" s="479" t="n">
        <v>155744141506</v>
      </c>
    </row>
    <row r="12" customFormat="false" ht="21" hidden="false" customHeight="true" outlineLevel="0" collapsed="false">
      <c r="B12" s="351"/>
      <c r="C12" s="358" t="n">
        <v>1</v>
      </c>
      <c r="D12" s="359" t="s">
        <v>235</v>
      </c>
      <c r="E12" s="480" t="n">
        <f aca="false">-SUMIF(BSPL2026!$M:$M,'PL_DEC.2026'!$D12,BSPL2026!$Z:$Z)</f>
        <v>532321516164</v>
      </c>
      <c r="F12" s="480"/>
      <c r="G12" s="475"/>
      <c r="H12" s="481"/>
      <c r="I12" s="482"/>
      <c r="J12" s="480"/>
      <c r="K12" s="480"/>
      <c r="L12" s="483" t="n">
        <f aca="false">+E12-G12</f>
        <v>532321516164</v>
      </c>
      <c r="M12" s="481"/>
      <c r="N12" s="483" t="n">
        <v>645754460671</v>
      </c>
      <c r="O12" s="481"/>
      <c r="P12" s="478" t="n">
        <f aca="false">L12-N12</f>
        <v>-113432944507</v>
      </c>
      <c r="Q12" s="384"/>
      <c r="R12" s="384" t="n">
        <f aca="false">R10-R11</f>
        <v>0</v>
      </c>
      <c r="S12" s="384"/>
      <c r="T12" s="384"/>
      <c r="AA12" s="384"/>
      <c r="AB12" s="384" t="n">
        <v>-24</v>
      </c>
    </row>
    <row r="13" customFormat="false" ht="21" hidden="false" customHeight="true" outlineLevel="0" collapsed="false">
      <c r="B13" s="351"/>
      <c r="C13" s="358" t="n">
        <v>2</v>
      </c>
      <c r="D13" s="359" t="s">
        <v>236</v>
      </c>
      <c r="E13" s="480" t="n">
        <f aca="false">-SUMIF(BSPL2026!$M:$M,'PL_DEC.2026'!$D13,BSPL2026!$Z:$Z)</f>
        <v>-0</v>
      </c>
      <c r="F13" s="480"/>
      <c r="G13" s="483"/>
      <c r="H13" s="481"/>
      <c r="I13" s="482"/>
      <c r="J13" s="480"/>
      <c r="K13" s="480"/>
      <c r="L13" s="483" t="n">
        <f aca="false">+E13-G13</f>
        <v>-0</v>
      </c>
      <c r="M13" s="481"/>
      <c r="N13" s="483" t="n">
        <v>0</v>
      </c>
      <c r="O13" s="481"/>
      <c r="P13" s="478" t="n">
        <f aca="false">L13-N13</f>
        <v>-0</v>
      </c>
      <c r="Q13" s="384"/>
      <c r="R13" s="484" t="n">
        <v>517516755.181335</v>
      </c>
      <c r="S13" s="484" t="s">
        <v>2460</v>
      </c>
      <c r="T13" s="484"/>
      <c r="U13" s="485"/>
    </row>
    <row r="14" customFormat="false" ht="21" hidden="false" customHeight="true" outlineLevel="0" collapsed="false">
      <c r="B14" s="343" t="s">
        <v>2401</v>
      </c>
      <c r="C14" s="344" t="s">
        <v>874</v>
      </c>
      <c r="D14" s="345"/>
      <c r="E14" s="474"/>
      <c r="F14" s="474" t="n">
        <f aca="false">SUM(E15:E20)</f>
        <v>401363779478</v>
      </c>
      <c r="G14" s="475"/>
      <c r="H14" s="476"/>
      <c r="I14" s="477"/>
      <c r="J14" s="474"/>
      <c r="K14" s="474"/>
      <c r="L14" s="475"/>
      <c r="M14" s="476" t="n">
        <f aca="false">F14+G14+J14+1</f>
        <v>401363779479</v>
      </c>
      <c r="N14" s="475"/>
      <c r="O14" s="476" t="n">
        <v>501702262547</v>
      </c>
      <c r="P14" s="478" t="n">
        <f aca="false">M14-O14</f>
        <v>-100338483068</v>
      </c>
      <c r="Q14" s="384"/>
      <c r="R14" s="384"/>
      <c r="S14" s="384"/>
      <c r="T14" s="384"/>
    </row>
    <row r="15" customFormat="false" ht="21" hidden="false" customHeight="true" outlineLevel="0" collapsed="false">
      <c r="B15" s="351"/>
      <c r="C15" s="358" t="n">
        <v>1</v>
      </c>
      <c r="D15" s="359" t="s">
        <v>240</v>
      </c>
      <c r="E15" s="480" t="n">
        <f aca="false">SUMIF(BSPL2026!$M:$M,'PL_DEC.2026'!$D15,BSPL2026!$Z:$Z)</f>
        <v>401363779478</v>
      </c>
      <c r="F15" s="480"/>
      <c r="G15" s="475"/>
      <c r="H15" s="476"/>
      <c r="I15" s="477"/>
      <c r="J15" s="474"/>
      <c r="K15" s="474"/>
      <c r="L15" s="486" t="n">
        <f aca="false">SUM(L16:L20)</f>
        <v>401771822503</v>
      </c>
      <c r="M15" s="487"/>
      <c r="N15" s="486" t="n">
        <v>501702262547</v>
      </c>
      <c r="O15" s="481"/>
      <c r="P15" s="478" t="n">
        <f aca="false">++L15-N15</f>
        <v>-99930440044</v>
      </c>
      <c r="Q15" s="384"/>
      <c r="R15" s="488" t="s">
        <v>2461</v>
      </c>
      <c r="S15" s="384"/>
      <c r="T15" s="384"/>
    </row>
    <row r="16" customFormat="false" ht="21" hidden="false" customHeight="true" outlineLevel="0" collapsed="false">
      <c r="B16" s="351"/>
      <c r="C16" s="358"/>
      <c r="D16" s="359" t="s">
        <v>244</v>
      </c>
      <c r="E16" s="480" t="n">
        <f aca="false">SUMIF(BSPL2026!$M:$M,'PL_DEC.2026'!$D16,BSPL2026!$Z:$Z)</f>
        <v>0</v>
      </c>
      <c r="F16" s="480"/>
      <c r="G16" s="483"/>
      <c r="H16" s="481"/>
      <c r="I16" s="482"/>
      <c r="J16" s="480"/>
      <c r="K16" s="480"/>
      <c r="L16" s="483" t="n">
        <f aca="false">R3</f>
        <v>155744141506</v>
      </c>
      <c r="M16" s="481"/>
      <c r="N16" s="483" t="n">
        <v>160701424589</v>
      </c>
      <c r="O16" s="481"/>
      <c r="P16" s="478" t="n">
        <f aca="false">L16-N16</f>
        <v>-4957283083</v>
      </c>
      <c r="Q16" s="384"/>
      <c r="R16" s="384" t="n">
        <v>178160956275.86</v>
      </c>
      <c r="S16" s="384" t="s">
        <v>2462</v>
      </c>
      <c r="T16" s="384"/>
    </row>
    <row r="17" customFormat="false" ht="21" hidden="false" customHeight="true" outlineLevel="0" collapsed="false">
      <c r="B17" s="351"/>
      <c r="C17" s="358"/>
      <c r="D17" s="359" t="s">
        <v>248</v>
      </c>
      <c r="E17" s="480" t="n">
        <f aca="false">SUMIF(BSPL2026!$M:$M,'PL_DEC.2026'!$D17,BSPL2026!$Z:$Z)</f>
        <v>0</v>
      </c>
      <c r="F17" s="480"/>
      <c r="G17" s="475"/>
      <c r="H17" s="481"/>
      <c r="I17" s="482"/>
      <c r="J17" s="480"/>
      <c r="K17" s="480"/>
      <c r="L17" s="483" t="n">
        <f aca="false">R4+J14+25</f>
        <v>423703488001</v>
      </c>
      <c r="M17" s="481"/>
      <c r="N17" s="483" t="n">
        <v>497042768857</v>
      </c>
      <c r="O17" s="481"/>
      <c r="P17" s="478" t="n">
        <f aca="false">L17-N17</f>
        <v>-73339280856</v>
      </c>
      <c r="Q17" s="384"/>
      <c r="R17" s="384" t="n">
        <v>177643439520.679</v>
      </c>
      <c r="S17" s="384" t="s">
        <v>2463</v>
      </c>
      <c r="T17" s="384"/>
    </row>
    <row r="18" customFormat="false" ht="21" hidden="false" customHeight="true" outlineLevel="0" collapsed="false">
      <c r="B18" s="351"/>
      <c r="C18" s="358"/>
      <c r="D18" s="489" t="s">
        <v>2464</v>
      </c>
      <c r="E18" s="480" t="n">
        <f aca="false">SUMIF(BSPL2026!$M:$M,'PL_DEC.2026'!$D18,BSPL2026!$Z:$Z)</f>
        <v>0</v>
      </c>
      <c r="F18" s="480"/>
      <c r="G18" s="475"/>
      <c r="H18" s="481"/>
      <c r="I18" s="482"/>
      <c r="J18" s="480"/>
      <c r="K18" s="480"/>
      <c r="L18" s="483" t="n">
        <f aca="false">-R9-G18</f>
        <v>-32367483</v>
      </c>
      <c r="M18" s="481"/>
      <c r="N18" s="483" t="n">
        <v>-297789393</v>
      </c>
      <c r="O18" s="481"/>
      <c r="P18" s="478" t="n">
        <f aca="false">L18-N18</f>
        <v>265421910</v>
      </c>
      <c r="Q18" s="384"/>
      <c r="R18" s="490" t="n">
        <f aca="false">++R16-R17</f>
        <v>517516755.181397</v>
      </c>
      <c r="S18" s="490" t="s">
        <v>1422</v>
      </c>
      <c r="T18" s="384"/>
    </row>
    <row r="19" customFormat="false" ht="21" hidden="false" customHeight="true" outlineLevel="0" collapsed="false">
      <c r="B19" s="351"/>
      <c r="C19" s="358"/>
      <c r="D19" s="359" t="s">
        <v>262</v>
      </c>
      <c r="E19" s="480" t="n">
        <f aca="false">SUMIF(BSPL2026!$M:$M,'PL_DEC.2026'!$D19,BSPL2026!$Z:$Z)</f>
        <v>0</v>
      </c>
      <c r="F19" s="480"/>
      <c r="G19" s="483"/>
      <c r="H19" s="481"/>
      <c r="I19" s="482"/>
      <c r="J19" s="480"/>
      <c r="K19" s="480"/>
      <c r="L19" s="483" t="n">
        <f aca="false">-'BS_DEC 2026'!L28</f>
        <v>-177643439521</v>
      </c>
      <c r="M19" s="481"/>
      <c r="N19" s="483" t="n">
        <v>-155744141506</v>
      </c>
      <c r="O19" s="481"/>
      <c r="P19" s="478" t="n">
        <f aca="false">L19-N19</f>
        <v>-21899298015</v>
      </c>
      <c r="Q19" s="384"/>
      <c r="R19" s="384"/>
      <c r="S19" s="384"/>
      <c r="T19" s="384"/>
    </row>
    <row r="20" customFormat="false" ht="21" hidden="false" customHeight="true" outlineLevel="0" collapsed="false">
      <c r="B20" s="343" t="s">
        <v>2465</v>
      </c>
      <c r="C20" s="344" t="s">
        <v>271</v>
      </c>
      <c r="D20" s="345"/>
      <c r="E20" s="480" t="n">
        <f aca="false">SUMIF(BSPL2026!$M:$M,'PL_DEC.2026'!$D20,BSPL2026!$Z:$Z)</f>
        <v>0</v>
      </c>
      <c r="F20" s="474"/>
      <c r="G20" s="475"/>
      <c r="H20" s="476"/>
      <c r="I20" s="477"/>
      <c r="J20" s="474"/>
      <c r="K20" s="474"/>
      <c r="L20" s="483" t="n">
        <f aca="false">+E20+G20</f>
        <v>0</v>
      </c>
      <c r="M20" s="476"/>
      <c r="N20" s="483" t="n">
        <v>0</v>
      </c>
      <c r="O20" s="476"/>
      <c r="P20" s="478" t="n">
        <f aca="false">L20-N20</f>
        <v>0</v>
      </c>
      <c r="Q20" s="384"/>
      <c r="R20" s="384"/>
      <c r="S20" s="384"/>
      <c r="T20" s="384"/>
    </row>
    <row r="21" customFormat="false" ht="21" hidden="false" customHeight="true" outlineLevel="0" collapsed="false">
      <c r="B21" s="343" t="s">
        <v>2466</v>
      </c>
      <c r="C21" s="344" t="s">
        <v>2467</v>
      </c>
      <c r="D21" s="345"/>
      <c r="E21" s="474"/>
      <c r="F21" s="474" t="n">
        <f aca="false">F11-F14</f>
        <v>130957736686</v>
      </c>
      <c r="G21" s="475"/>
      <c r="H21" s="476"/>
      <c r="I21" s="477"/>
      <c r="J21" s="474"/>
      <c r="K21" s="474"/>
      <c r="L21" s="483"/>
      <c r="M21" s="476" t="n">
        <f aca="false">M11-M14</f>
        <v>130957736685</v>
      </c>
      <c r="N21" s="475"/>
      <c r="O21" s="476" t="n">
        <v>144052198124</v>
      </c>
      <c r="P21" s="478" t="n">
        <f aca="false">M21-O21</f>
        <v>-13094461439</v>
      </c>
      <c r="Q21" s="384"/>
      <c r="R21" s="384"/>
      <c r="S21" s="384"/>
      <c r="T21" s="384"/>
    </row>
    <row r="22" customFormat="false" ht="21" hidden="false" customHeight="true" outlineLevel="0" collapsed="false">
      <c r="B22" s="343" t="s">
        <v>2466</v>
      </c>
      <c r="C22" s="344" t="s">
        <v>2468</v>
      </c>
      <c r="D22" s="345"/>
      <c r="E22" s="474"/>
      <c r="F22" s="474" t="n">
        <f aca="false">SUM(E24:E63)</f>
        <v>90107200362</v>
      </c>
      <c r="G22" s="475"/>
      <c r="H22" s="476"/>
      <c r="I22" s="477"/>
      <c r="J22" s="474"/>
      <c r="K22" s="474"/>
      <c r="L22" s="483"/>
      <c r="M22" s="476" t="n">
        <f aca="false">SUM(L24:L63)</f>
        <v>69362864046</v>
      </c>
      <c r="N22" s="475"/>
      <c r="O22" s="476" t="n">
        <v>114570413852</v>
      </c>
      <c r="P22" s="478" t="n">
        <f aca="false">M22-O22</f>
        <v>-45207549806</v>
      </c>
      <c r="Q22" s="384"/>
      <c r="R22" s="384"/>
      <c r="S22" s="384"/>
      <c r="T22" s="384"/>
    </row>
    <row r="23" customFormat="false" ht="21" hidden="false" customHeight="true" outlineLevel="0" collapsed="false">
      <c r="B23" s="491" t="s">
        <v>2469</v>
      </c>
      <c r="C23" s="344" t="s">
        <v>2470</v>
      </c>
      <c r="E23" s="474"/>
      <c r="F23" s="474" t="n">
        <f aca="false">SUM(E24:E28)</f>
        <v>15965818075</v>
      </c>
      <c r="G23" s="475"/>
      <c r="H23" s="476"/>
      <c r="I23" s="477"/>
      <c r="J23" s="474"/>
      <c r="K23" s="474"/>
      <c r="L23" s="483"/>
      <c r="M23" s="476"/>
      <c r="N23" s="475"/>
      <c r="O23" s="476"/>
      <c r="P23" s="478" t="n">
        <f aca="false">L23-N23</f>
        <v>0</v>
      </c>
      <c r="Q23" s="384"/>
      <c r="R23" s="384"/>
      <c r="S23" s="384"/>
      <c r="T23" s="384"/>
    </row>
    <row r="24" customFormat="false" ht="21" hidden="false" customHeight="true" outlineLevel="0" collapsed="false">
      <c r="B24" s="351"/>
      <c r="C24" s="358" t="n">
        <v>1</v>
      </c>
      <c r="D24" s="359" t="s">
        <v>275</v>
      </c>
      <c r="E24" s="480" t="n">
        <f aca="false">SUMIF(BSPL2026!$M:$M,'PL_DEC.2026'!$D24,BSPL2026!$Z:$Z)</f>
        <v>3354728043</v>
      </c>
      <c r="F24" s="480"/>
      <c r="G24" s="483"/>
      <c r="H24" s="481"/>
      <c r="I24" s="482"/>
      <c r="J24" s="480"/>
      <c r="K24" s="480"/>
      <c r="L24" s="483" t="n">
        <f aca="false">+E24+G24</f>
        <v>3354728043</v>
      </c>
      <c r="M24" s="481"/>
      <c r="N24" s="483" t="n">
        <v>4150097232</v>
      </c>
      <c r="O24" s="481"/>
      <c r="P24" s="478" t="n">
        <f aca="false">L24-N24</f>
        <v>-795369189</v>
      </c>
      <c r="Q24" s="384"/>
      <c r="R24" s="384"/>
      <c r="S24" s="384"/>
      <c r="T24" s="384"/>
      <c r="U24" s="333"/>
      <c r="V24" s="333"/>
      <c r="W24" s="333"/>
      <c r="X24" s="333"/>
    </row>
    <row r="25" customFormat="false" ht="21" hidden="false" customHeight="true" outlineLevel="0" collapsed="false">
      <c r="B25" s="351"/>
      <c r="C25" s="358" t="n">
        <v>2</v>
      </c>
      <c r="D25" s="359" t="s">
        <v>276</v>
      </c>
      <c r="E25" s="480" t="n">
        <f aca="false">SUMIF(BSPL2026!$M:$M,'PL_DEC.2026'!$D25,BSPL2026!$Z:$Z)</f>
        <v>0</v>
      </c>
      <c r="F25" s="480"/>
      <c r="G25" s="475"/>
      <c r="H25" s="476"/>
      <c r="I25" s="482"/>
      <c r="J25" s="480"/>
      <c r="K25" s="480"/>
      <c r="L25" s="483" t="n">
        <f aca="false">+E25+G25</f>
        <v>0</v>
      </c>
      <c r="M25" s="481"/>
      <c r="N25" s="483" t="n">
        <v>0</v>
      </c>
      <c r="O25" s="481"/>
      <c r="P25" s="478" t="n">
        <f aca="false">L25-N25</f>
        <v>0</v>
      </c>
      <c r="Q25" s="384"/>
      <c r="R25" s="384"/>
      <c r="S25" s="384"/>
      <c r="T25" s="384"/>
      <c r="U25" s="333"/>
      <c r="V25" s="333"/>
      <c r="W25" s="333"/>
      <c r="X25" s="333"/>
    </row>
    <row r="26" customFormat="false" ht="21" hidden="false" customHeight="true" outlineLevel="0" collapsed="false">
      <c r="B26" s="351"/>
      <c r="C26" s="358" t="n">
        <v>3</v>
      </c>
      <c r="D26" s="359" t="s">
        <v>277</v>
      </c>
      <c r="E26" s="480" t="n">
        <f aca="false">SUMIF(BSPL2026!$M:$M,'PL_DEC.2026'!$D26,BSPL2026!$Z:$Z)</f>
        <v>1641883650</v>
      </c>
      <c r="F26" s="480"/>
      <c r="G26" s="483"/>
      <c r="H26" s="481"/>
      <c r="I26" s="482"/>
      <c r="J26" s="480"/>
      <c r="K26" s="480"/>
      <c r="L26" s="483" t="n">
        <f aca="false">+E26+H26</f>
        <v>1641883650</v>
      </c>
      <c r="M26" s="481"/>
      <c r="N26" s="483" t="n">
        <v>2701698214</v>
      </c>
      <c r="O26" s="481"/>
      <c r="P26" s="478" t="n">
        <f aca="false">L26-N26</f>
        <v>-1059814564</v>
      </c>
      <c r="Q26" s="384"/>
      <c r="R26" s="384"/>
      <c r="S26" s="384"/>
      <c r="T26" s="384"/>
      <c r="U26" s="333"/>
      <c r="V26" s="333"/>
      <c r="W26" s="333"/>
      <c r="X26" s="333"/>
    </row>
    <row r="27" customFormat="false" ht="21" hidden="false" customHeight="true" outlineLevel="0" collapsed="false">
      <c r="B27" s="351"/>
      <c r="C27" s="358" t="n">
        <v>4</v>
      </c>
      <c r="D27" s="359" t="s">
        <v>278</v>
      </c>
      <c r="E27" s="480" t="n">
        <f aca="false">SUMIF(BSPL2026!$M:$M,'PL_DEC.2026'!$D27,BSPL2026!$Z:$Z)</f>
        <v>0</v>
      </c>
      <c r="F27" s="480"/>
      <c r="G27" s="475"/>
      <c r="H27" s="476"/>
      <c r="I27" s="482"/>
      <c r="J27" s="480"/>
      <c r="K27" s="480"/>
      <c r="L27" s="483" t="n">
        <f aca="false">+E27+G27</f>
        <v>0</v>
      </c>
      <c r="M27" s="481"/>
      <c r="N27" s="483" t="n">
        <v>0</v>
      </c>
      <c r="O27" s="481"/>
      <c r="P27" s="478" t="n">
        <f aca="false">L27-N27</f>
        <v>0</v>
      </c>
      <c r="Q27" s="384"/>
      <c r="R27" s="384"/>
      <c r="S27" s="384"/>
      <c r="T27" s="384"/>
      <c r="U27" s="333"/>
      <c r="V27" s="333"/>
      <c r="W27" s="333"/>
      <c r="X27" s="333"/>
    </row>
    <row r="28" customFormat="false" ht="21" hidden="false" customHeight="true" outlineLevel="0" collapsed="false">
      <c r="B28" s="351"/>
      <c r="C28" s="358" t="n">
        <v>5</v>
      </c>
      <c r="D28" s="359" t="s">
        <v>279</v>
      </c>
      <c r="E28" s="480" t="n">
        <f aca="false">SUMIF(BSPL2026!$M:$M,'PL_DEC.2026'!$D28,BSPL2026!$Z:$Z)</f>
        <v>10969206382</v>
      </c>
      <c r="F28" s="480"/>
      <c r="G28" s="483"/>
      <c r="H28" s="481"/>
      <c r="I28" s="482"/>
      <c r="J28" s="480"/>
      <c r="K28" s="480" t="n">
        <f aca="false">VLOOKUP(D28,'statutory adj_2026 조정분개'!$J$12:$P$26,7,FALSE())</f>
        <v>-7481129</v>
      </c>
      <c r="L28" s="483" t="n">
        <f aca="false">+E28+G28+K28</f>
        <v>10961725253</v>
      </c>
      <c r="M28" s="481"/>
      <c r="N28" s="483" t="n">
        <v>17485003789</v>
      </c>
      <c r="O28" s="481"/>
      <c r="P28" s="478" t="n">
        <f aca="false">L28-N28</f>
        <v>-6523278536</v>
      </c>
      <c r="Q28" s="384"/>
      <c r="R28" s="384"/>
      <c r="S28" s="384"/>
      <c r="T28" s="384"/>
      <c r="U28" s="333"/>
      <c r="V28" s="333"/>
      <c r="W28" s="333"/>
      <c r="X28" s="333"/>
    </row>
    <row r="29" customFormat="false" ht="21" hidden="false" customHeight="true" outlineLevel="0" collapsed="false">
      <c r="B29" s="492" t="s">
        <v>2471</v>
      </c>
      <c r="C29" s="493" t="s">
        <v>2472</v>
      </c>
      <c r="D29" s="359"/>
      <c r="E29" s="480"/>
      <c r="F29" s="494" t="n">
        <f aca="false">SUM(E30:E36)</f>
        <v>34547108797</v>
      </c>
      <c r="G29" s="475"/>
      <c r="H29" s="476"/>
      <c r="I29" s="482"/>
      <c r="J29" s="480"/>
      <c r="K29" s="480"/>
      <c r="L29" s="483"/>
      <c r="M29" s="487" t="n">
        <f aca="false">SUM(L30:L36)</f>
        <v>31494645340</v>
      </c>
      <c r="N29" s="483"/>
      <c r="O29" s="487" t="n">
        <v>59889099005</v>
      </c>
      <c r="P29" s="478" t="n">
        <f aca="false">M29-O29</f>
        <v>-28394453665</v>
      </c>
      <c r="Q29" s="384"/>
      <c r="R29" s="384"/>
      <c r="S29" s="384"/>
      <c r="T29" s="384"/>
      <c r="U29" s="333"/>
      <c r="V29" s="333"/>
      <c r="W29" s="333"/>
      <c r="X29" s="333"/>
    </row>
    <row r="30" customFormat="false" ht="21" hidden="false" customHeight="true" outlineLevel="0" collapsed="false">
      <c r="B30" s="351"/>
      <c r="C30" s="358" t="n">
        <v>6</v>
      </c>
      <c r="D30" s="359" t="s">
        <v>281</v>
      </c>
      <c r="E30" s="480" t="n">
        <f aca="false">SUMIF(BSPL2026!$M:$M,'PL_DEC.2026'!$D30,BSPL2026!$Z:$Z)</f>
        <v>0</v>
      </c>
      <c r="F30" s="480"/>
      <c r="G30" s="483"/>
      <c r="H30" s="481"/>
      <c r="I30" s="482"/>
      <c r="J30" s="480"/>
      <c r="K30" s="480"/>
      <c r="L30" s="483" t="n">
        <f aca="false">+E30+G30</f>
        <v>0</v>
      </c>
      <c r="M30" s="481"/>
      <c r="N30" s="483" t="n">
        <v>0</v>
      </c>
      <c r="O30" s="481"/>
      <c r="P30" s="478" t="n">
        <f aca="false">L30-N30</f>
        <v>0</v>
      </c>
      <c r="Q30" s="384"/>
      <c r="R30" s="384"/>
      <c r="S30" s="384"/>
      <c r="T30" s="384"/>
      <c r="U30" s="333"/>
      <c r="V30" s="333"/>
      <c r="W30" s="333"/>
      <c r="X30" s="333"/>
    </row>
    <row r="31" customFormat="false" ht="21" hidden="false" customHeight="true" outlineLevel="0" collapsed="false">
      <c r="B31" s="351"/>
      <c r="C31" s="358" t="n">
        <v>7</v>
      </c>
      <c r="D31" s="359" t="s">
        <v>282</v>
      </c>
      <c r="E31" s="480" t="n">
        <f aca="false">SUMIF(BSPL2026!$M:$M,'PL_DEC.2026'!$D31,BSPL2026!$Z:$Z)</f>
        <v>27029848823</v>
      </c>
      <c r="F31" s="480"/>
      <c r="G31" s="475"/>
      <c r="H31" s="476"/>
      <c r="I31" s="482"/>
      <c r="J31" s="480"/>
      <c r="K31" s="480" t="n">
        <f aca="false">++'statutory adj_2026 조정분개'!P12</f>
        <v>-2369648232</v>
      </c>
      <c r="L31" s="495" t="n">
        <f aca="false">+E31+G31+K31-I31</f>
        <v>24660200591</v>
      </c>
      <c r="M31" s="481"/>
      <c r="N31" s="483" t="n">
        <v>51357142027</v>
      </c>
      <c r="O31" s="481"/>
      <c r="P31" s="478" t="n">
        <f aca="false">L31-N31</f>
        <v>-26696941436</v>
      </c>
      <c r="Q31" s="384"/>
      <c r="R31" s="384"/>
      <c r="S31" s="384"/>
      <c r="T31" s="384"/>
      <c r="U31" s="333"/>
      <c r="V31" s="333"/>
      <c r="W31" s="333"/>
      <c r="X31" s="333"/>
    </row>
    <row r="32" customFormat="false" ht="21" hidden="false" customHeight="true" outlineLevel="0" collapsed="false">
      <c r="B32" s="351"/>
      <c r="C32" s="358" t="n">
        <v>8</v>
      </c>
      <c r="D32" s="359" t="s">
        <v>283</v>
      </c>
      <c r="E32" s="480" t="n">
        <f aca="false">SUMIF(BSPL2026!$M:$M,'PL_DEC.2026'!$D32,BSPL2026!$Z:$Z)</f>
        <v>2514418581</v>
      </c>
      <c r="F32" s="480"/>
      <c r="G32" s="483"/>
      <c r="H32" s="481"/>
      <c r="I32" s="482"/>
      <c r="J32" s="480"/>
      <c r="K32" s="480"/>
      <c r="L32" s="483" t="n">
        <f aca="false">+E32+G32+K32</f>
        <v>2514418581</v>
      </c>
      <c r="M32" s="481"/>
      <c r="N32" s="483" t="n">
        <v>3105838674</v>
      </c>
      <c r="O32" s="481"/>
      <c r="P32" s="478" t="n">
        <f aca="false">L32-N32</f>
        <v>-591420093</v>
      </c>
      <c r="Q32" s="384"/>
      <c r="R32" s="384"/>
      <c r="S32" s="384"/>
      <c r="T32" s="384"/>
      <c r="U32" s="333"/>
      <c r="V32" s="333"/>
      <c r="W32" s="333"/>
      <c r="X32" s="333"/>
    </row>
    <row r="33" customFormat="false" ht="21" hidden="false" customHeight="true" outlineLevel="0" collapsed="false">
      <c r="B33" s="351"/>
      <c r="C33" s="358" t="n">
        <v>9</v>
      </c>
      <c r="D33" s="359" t="s">
        <v>284</v>
      </c>
      <c r="E33" s="480" t="n">
        <f aca="false">SUMIF(BSPL2026!$M:$M,'PL_DEC.2026'!$D33,BSPL2026!$Z:$Z)</f>
        <v>342470945</v>
      </c>
      <c r="F33" s="480"/>
      <c r="G33" s="483"/>
      <c r="H33" s="481"/>
      <c r="I33" s="482"/>
      <c r="J33" s="480"/>
      <c r="K33" s="480" t="n">
        <f aca="false">VLOOKUP(D33,'statutory adj_2026 조정분개'!$J$12:$P$26,7,FALSE())</f>
        <v>-333409964</v>
      </c>
      <c r="L33" s="483" t="n">
        <f aca="false">+E33+G33+K33</f>
        <v>9060981</v>
      </c>
      <c r="M33" s="481"/>
      <c r="N33" s="483" t="n">
        <v>238756591</v>
      </c>
      <c r="O33" s="481"/>
      <c r="P33" s="478" t="n">
        <f aca="false">L33-N33</f>
        <v>-229695610</v>
      </c>
      <c r="Q33" s="384"/>
      <c r="R33" s="384"/>
      <c r="S33" s="384"/>
      <c r="T33" s="384"/>
      <c r="U33" s="333"/>
      <c r="V33" s="333"/>
      <c r="W33" s="333"/>
      <c r="X33" s="333"/>
    </row>
    <row r="34" customFormat="false" ht="21" hidden="false" customHeight="true" outlineLevel="0" collapsed="false">
      <c r="B34" s="351"/>
      <c r="C34" s="358" t="n">
        <v>10</v>
      </c>
      <c r="D34" s="359" t="s">
        <v>285</v>
      </c>
      <c r="E34" s="480" t="n">
        <f aca="false">SUMIF(BSPL2026!$M:$M,'PL_DEC.2026'!$D34,BSPL2026!$Z:$Z)</f>
        <v>4660370448</v>
      </c>
      <c r="F34" s="480"/>
      <c r="G34" s="483"/>
      <c r="H34" s="481"/>
      <c r="I34" s="482"/>
      <c r="J34" s="480"/>
      <c r="K34" s="480" t="n">
        <f aca="false">VLOOKUP(D34,'statutory adj_2026 조정분개'!$J$12:$P$26,7,FALSE())</f>
        <v>-349405261</v>
      </c>
      <c r="L34" s="483" t="n">
        <f aca="false">+E34+G34+K34</f>
        <v>4310965187</v>
      </c>
      <c r="M34" s="481"/>
      <c r="N34" s="483" t="n">
        <v>5187361713</v>
      </c>
      <c r="O34" s="481"/>
      <c r="P34" s="478" t="n">
        <f aca="false">L34-N34</f>
        <v>-876396526</v>
      </c>
      <c r="Q34" s="384"/>
      <c r="R34" s="384"/>
      <c r="S34" s="384"/>
      <c r="T34" s="384"/>
      <c r="U34" s="333"/>
      <c r="V34" s="333"/>
      <c r="W34" s="333"/>
      <c r="X34" s="333"/>
    </row>
    <row r="35" customFormat="false" ht="21" hidden="false" customHeight="true" outlineLevel="0" collapsed="false">
      <c r="B35" s="351"/>
      <c r="C35" s="358" t="n">
        <v>11</v>
      </c>
      <c r="D35" s="359" t="s">
        <v>286</v>
      </c>
      <c r="E35" s="480" t="n">
        <f aca="false">SUMIF(BSPL2026!$M:$M,'PL_DEC.2026'!$D35,BSPL2026!$Z:$Z)</f>
        <v>0</v>
      </c>
      <c r="F35" s="480"/>
      <c r="G35" s="483"/>
      <c r="H35" s="481"/>
      <c r="I35" s="482"/>
      <c r="J35" s="480"/>
      <c r="K35" s="480"/>
      <c r="L35" s="483" t="n">
        <f aca="false">+E35+G35+K35</f>
        <v>0</v>
      </c>
      <c r="M35" s="481"/>
      <c r="N35" s="483" t="n">
        <v>0</v>
      </c>
      <c r="O35" s="481"/>
      <c r="P35" s="478" t="n">
        <f aca="false">L35-N35</f>
        <v>0</v>
      </c>
      <c r="Q35" s="384"/>
      <c r="R35" s="384"/>
      <c r="S35" s="384"/>
      <c r="T35" s="384"/>
      <c r="U35" s="333"/>
      <c r="V35" s="333"/>
      <c r="W35" s="333"/>
      <c r="X35" s="333"/>
    </row>
    <row r="36" customFormat="false" ht="21" hidden="false" customHeight="true" outlineLevel="0" collapsed="false">
      <c r="B36" s="351"/>
      <c r="C36" s="358" t="n">
        <v>12</v>
      </c>
      <c r="D36" s="359" t="s">
        <v>287</v>
      </c>
      <c r="E36" s="480" t="n">
        <f aca="false">SUMIF(BSPL2026!$M:$M,'PL_DEC.2026'!$D36,BSPL2026!$Z:$Z)</f>
        <v>0</v>
      </c>
      <c r="F36" s="480"/>
      <c r="G36" s="483"/>
      <c r="H36" s="481"/>
      <c r="I36" s="482"/>
      <c r="J36" s="480"/>
      <c r="K36" s="480"/>
      <c r="L36" s="483" t="n">
        <f aca="false">+E36+G36+K36</f>
        <v>0</v>
      </c>
      <c r="M36" s="481"/>
      <c r="N36" s="483" t="n">
        <v>0</v>
      </c>
      <c r="O36" s="481"/>
      <c r="P36" s="478" t="n">
        <f aca="false">L36-N36</f>
        <v>0</v>
      </c>
      <c r="Q36" s="384"/>
      <c r="U36" s="333"/>
      <c r="V36" s="333"/>
      <c r="W36" s="333"/>
      <c r="X36" s="333"/>
    </row>
    <row r="37" customFormat="false" ht="21" hidden="false" customHeight="true" outlineLevel="0" collapsed="false">
      <c r="B37" s="496" t="s">
        <v>2473</v>
      </c>
      <c r="C37" s="497" t="s">
        <v>2474</v>
      </c>
      <c r="D37" s="359"/>
      <c r="E37" s="480"/>
      <c r="F37" s="494" t="n">
        <f aca="false">SUM(E38:E62)</f>
        <v>39594273490</v>
      </c>
      <c r="G37" s="483"/>
      <c r="H37" s="481"/>
      <c r="I37" s="482"/>
      <c r="J37" s="480"/>
      <c r="K37" s="480"/>
      <c r="L37" s="483"/>
      <c r="M37" s="487" t="n">
        <f aca="false">SUM(L38:L62)</f>
        <v>21909881760</v>
      </c>
      <c r="N37" s="483"/>
      <c r="O37" s="487" t="n">
        <v>30344515612</v>
      </c>
      <c r="P37" s="478" t="n">
        <f aca="false">M37-O37</f>
        <v>-8434633852</v>
      </c>
      <c r="Q37" s="384"/>
      <c r="U37" s="333"/>
      <c r="V37" s="333"/>
      <c r="W37" s="333"/>
      <c r="X37" s="333"/>
    </row>
    <row r="38" customFormat="false" ht="21" hidden="false" customHeight="true" outlineLevel="0" collapsed="false">
      <c r="B38" s="351"/>
      <c r="C38" s="358" t="n">
        <v>13</v>
      </c>
      <c r="D38" s="359" t="s">
        <v>289</v>
      </c>
      <c r="E38" s="480" t="n">
        <f aca="false">SUMIF(BSPL2026!$M:$M,'PL_DEC.2026'!$D38,BSPL2026!$Z:$Z)</f>
        <v>2631063371</v>
      </c>
      <c r="F38" s="480"/>
      <c r="G38" s="483"/>
      <c r="H38" s="481"/>
      <c r="I38" s="482"/>
      <c r="J38" s="480"/>
      <c r="K38" s="480" t="n">
        <f aca="false">VLOOKUP(D38,'statutory adj_2026 조정분개'!$J$12:$P$26,7,FALSE())</f>
        <v>-155357637</v>
      </c>
      <c r="L38" s="483" t="n">
        <f aca="false">+E38+G38+K38</f>
        <v>2475705734</v>
      </c>
      <c r="M38" s="481"/>
      <c r="N38" s="483" t="n">
        <v>3449415516</v>
      </c>
      <c r="O38" s="481"/>
      <c r="P38" s="478" t="n">
        <f aca="false">L38-N38</f>
        <v>-973709782</v>
      </c>
      <c r="Q38" s="384"/>
    </row>
    <row r="39" customFormat="false" ht="21" hidden="false" customHeight="true" outlineLevel="0" collapsed="false">
      <c r="B39" s="351"/>
      <c r="C39" s="358" t="n">
        <v>14</v>
      </c>
      <c r="D39" s="359" t="s">
        <v>290</v>
      </c>
      <c r="E39" s="480" t="n">
        <f aca="false">SUMIF(BSPL2026!$M:$M,'PL_DEC.2026'!$D39,BSPL2026!$Z:$Z)</f>
        <v>3180643883</v>
      </c>
      <c r="F39" s="480"/>
      <c r="G39" s="483"/>
      <c r="H39" s="481"/>
      <c r="I39" s="482"/>
      <c r="J39" s="480"/>
      <c r="K39" s="480" t="n">
        <f aca="false">VLOOKUP(D39,'statutory adj_2026 조정분개'!$J$12:$P$26,7,FALSE())</f>
        <v>-128225390</v>
      </c>
      <c r="L39" s="483" t="n">
        <f aca="false">+E39+G39+K39</f>
        <v>3052418493</v>
      </c>
      <c r="M39" s="481"/>
      <c r="N39" s="483" t="n">
        <v>4880498630</v>
      </c>
      <c r="O39" s="481"/>
      <c r="P39" s="478" t="n">
        <f aca="false">L39-N39</f>
        <v>-1828080137</v>
      </c>
      <c r="Q39" s="384"/>
    </row>
    <row r="40" customFormat="false" ht="21" hidden="false" customHeight="true" outlineLevel="0" collapsed="false">
      <c r="B40" s="351"/>
      <c r="C40" s="358" t="n">
        <v>15</v>
      </c>
      <c r="D40" s="359" t="s">
        <v>291</v>
      </c>
      <c r="E40" s="480" t="n">
        <f aca="false">SUMIF(BSPL2026!$M:$M,'PL_DEC.2026'!$D40,BSPL2026!$Z:$Z)</f>
        <v>286038515</v>
      </c>
      <c r="F40" s="480"/>
      <c r="G40" s="483"/>
      <c r="H40" s="481"/>
      <c r="I40" s="482"/>
      <c r="J40" s="480"/>
      <c r="K40" s="480" t="n">
        <f aca="false">VLOOKUP(D40,'statutory adj_2026 조정분개'!$J$12:$P$26,7,FALSE())</f>
        <v>-15020622</v>
      </c>
      <c r="L40" s="483" t="n">
        <f aca="false">+E40+G40+K40</f>
        <v>271017893</v>
      </c>
      <c r="M40" s="481"/>
      <c r="N40" s="483" t="n">
        <v>376080533</v>
      </c>
      <c r="O40" s="481"/>
      <c r="P40" s="478" t="n">
        <f aca="false">L40-N40</f>
        <v>-105062640</v>
      </c>
      <c r="Q40" s="384"/>
    </row>
    <row r="41" customFormat="false" ht="21" hidden="false" customHeight="true" outlineLevel="0" collapsed="false">
      <c r="B41" s="351"/>
      <c r="C41" s="358" t="n">
        <v>16</v>
      </c>
      <c r="D41" s="359" t="s">
        <v>292</v>
      </c>
      <c r="E41" s="480" t="n">
        <f aca="false">SUMIF(BSPL2026!$M:$M,'PL_DEC.2026'!$D41,BSPL2026!$Z:$Z)</f>
        <v>52610582</v>
      </c>
      <c r="F41" s="480"/>
      <c r="G41" s="483"/>
      <c r="H41" s="481"/>
      <c r="I41" s="482"/>
      <c r="J41" s="480"/>
      <c r="K41" s="480" t="n">
        <f aca="false">VLOOKUP(D41,'statutory adj_2026 조정분개'!$J$12:$P$26,7,FALSE())</f>
        <v>-17966376</v>
      </c>
      <c r="L41" s="483" t="n">
        <f aca="false">+E41+G41+K41</f>
        <v>34644206</v>
      </c>
      <c r="M41" s="481"/>
      <c r="N41" s="483" t="n">
        <v>88805964</v>
      </c>
      <c r="O41" s="481"/>
      <c r="P41" s="478" t="n">
        <f aca="false">L41-N41</f>
        <v>-54161758</v>
      </c>
      <c r="Q41" s="384"/>
    </row>
    <row r="42" customFormat="false" ht="21" hidden="false" customHeight="true" outlineLevel="0" collapsed="false">
      <c r="B42" s="351"/>
      <c r="C42" s="358" t="n">
        <v>17</v>
      </c>
      <c r="D42" s="359" t="s">
        <v>293</v>
      </c>
      <c r="E42" s="480" t="n">
        <f aca="false">SUMIF(BSPL2026!$M:$M,'PL_DEC.2026'!$D42,BSPL2026!$Z:$Z)</f>
        <v>473528691</v>
      </c>
      <c r="F42" s="480"/>
      <c r="G42" s="483"/>
      <c r="H42" s="481"/>
      <c r="I42" s="482"/>
      <c r="J42" s="480"/>
      <c r="K42" s="480" t="n">
        <f aca="false">VLOOKUP(D42,'statutory adj_2026 조정분개'!$J$12:$P$26,7,FALSE())</f>
        <v>-473087</v>
      </c>
      <c r="L42" s="483" t="n">
        <f aca="false">+E42+G42+K42</f>
        <v>473055604</v>
      </c>
      <c r="M42" s="481"/>
      <c r="N42" s="483" t="n">
        <v>327254962</v>
      </c>
      <c r="O42" s="481"/>
      <c r="P42" s="478" t="n">
        <f aca="false">L42-N42</f>
        <v>145800642</v>
      </c>
      <c r="Q42" s="384"/>
    </row>
    <row r="43" customFormat="false" ht="21" hidden="false" customHeight="true" outlineLevel="0" collapsed="false">
      <c r="B43" s="351"/>
      <c r="C43" s="358" t="n">
        <v>18</v>
      </c>
      <c r="D43" s="359" t="s">
        <v>294</v>
      </c>
      <c r="E43" s="480" t="n">
        <f aca="false">SUMIF(BSPL2026!$M:$M,'PL_DEC.2026'!$D43,BSPL2026!$Z:$Z)</f>
        <v>1596899456</v>
      </c>
      <c r="F43" s="480"/>
      <c r="G43" s="498"/>
      <c r="H43" s="481"/>
      <c r="I43" s="482"/>
      <c r="J43" s="480"/>
      <c r="K43" s="480"/>
      <c r="L43" s="483" t="n">
        <f aca="false">+E43+G43</f>
        <v>1596899456</v>
      </c>
      <c r="M43" s="481"/>
      <c r="N43" s="483" t="n">
        <v>1464303590</v>
      </c>
      <c r="O43" s="481"/>
      <c r="P43" s="478" t="n">
        <f aca="false">L43-N43</f>
        <v>132595866</v>
      </c>
      <c r="Q43" s="384"/>
    </row>
    <row r="44" customFormat="false" ht="21" hidden="false" customHeight="true" outlineLevel="0" collapsed="false">
      <c r="B44" s="351"/>
      <c r="C44" s="358" t="n">
        <v>19</v>
      </c>
      <c r="D44" s="359" t="s">
        <v>295</v>
      </c>
      <c r="E44" s="480" t="n">
        <f aca="false">SUMIF(BSPL2026!$M:$M,'PL_DEC.2026'!$D44,BSPL2026!$Z:$Z)</f>
        <v>0</v>
      </c>
      <c r="F44" s="480"/>
      <c r="G44" s="483"/>
      <c r="H44" s="481"/>
      <c r="I44" s="482"/>
      <c r="J44" s="480"/>
      <c r="K44" s="480"/>
      <c r="L44" s="483" t="n">
        <f aca="false">+E44+G44</f>
        <v>0</v>
      </c>
      <c r="M44" s="481"/>
      <c r="N44" s="483" t="n">
        <v>0</v>
      </c>
      <c r="O44" s="481"/>
      <c r="P44" s="478" t="n">
        <f aca="false">L44-N44</f>
        <v>0</v>
      </c>
      <c r="Q44" s="384"/>
    </row>
    <row r="45" customFormat="false" ht="21" hidden="false" customHeight="true" outlineLevel="0" collapsed="false">
      <c r="B45" s="351"/>
      <c r="C45" s="358" t="n">
        <v>20</v>
      </c>
      <c r="D45" s="359" t="s">
        <v>296</v>
      </c>
      <c r="E45" s="480" t="n">
        <f aca="false">SUMIF(BSPL2026!$M:$M,'PL_DEC.2026'!$D45,BSPL2026!$Z:$Z)</f>
        <v>71728174</v>
      </c>
      <c r="F45" s="480"/>
      <c r="G45" s="483"/>
      <c r="H45" s="481"/>
      <c r="I45" s="482"/>
      <c r="J45" s="480"/>
      <c r="K45" s="480"/>
      <c r="L45" s="483" t="n">
        <f aca="false">+E45+G45</f>
        <v>71728174</v>
      </c>
      <c r="M45" s="481"/>
      <c r="N45" s="483" t="n">
        <v>96139930</v>
      </c>
      <c r="O45" s="481"/>
      <c r="P45" s="478" t="n">
        <f aca="false">L45-N45</f>
        <v>-24411756</v>
      </c>
      <c r="Q45" s="384"/>
    </row>
    <row r="46" customFormat="false" ht="21" hidden="false" customHeight="true" outlineLevel="0" collapsed="false">
      <c r="B46" s="351"/>
      <c r="C46" s="358" t="n">
        <v>21</v>
      </c>
      <c r="D46" s="359" t="s">
        <v>297</v>
      </c>
      <c r="E46" s="480" t="n">
        <f aca="false">SUMIF(BSPL2026!$M:$M,'PL_DEC.2026'!$D46,BSPL2026!$Z:$Z)</f>
        <v>16172820</v>
      </c>
      <c r="F46" s="480"/>
      <c r="G46" s="483"/>
      <c r="H46" s="481"/>
      <c r="I46" s="482"/>
      <c r="J46" s="480"/>
      <c r="K46" s="480"/>
      <c r="L46" s="483" t="n">
        <f aca="false">+E46+G46</f>
        <v>16172820</v>
      </c>
      <c r="M46" s="481"/>
      <c r="N46" s="483" t="n">
        <v>26593320</v>
      </c>
      <c r="O46" s="481"/>
      <c r="P46" s="478" t="n">
        <f aca="false">L46-N46</f>
        <v>-10420500</v>
      </c>
      <c r="Q46" s="384"/>
    </row>
    <row r="47" customFormat="false" ht="21" hidden="false" customHeight="true" outlineLevel="0" collapsed="false">
      <c r="B47" s="351"/>
      <c r="C47" s="358" t="n">
        <v>22</v>
      </c>
      <c r="D47" s="359" t="s">
        <v>298</v>
      </c>
      <c r="E47" s="480" t="n">
        <f aca="false">SUMIF(BSPL2026!$M:$M,'PL_DEC.2026'!$D47,BSPL2026!$Z:$Z)</f>
        <v>0</v>
      </c>
      <c r="F47" s="480"/>
      <c r="G47" s="483"/>
      <c r="H47" s="481"/>
      <c r="I47" s="482"/>
      <c r="J47" s="480"/>
      <c r="K47" s="480"/>
      <c r="L47" s="483" t="n">
        <f aca="false">+E47+G47</f>
        <v>0</v>
      </c>
      <c r="M47" s="481"/>
      <c r="N47" s="483" t="n">
        <v>0</v>
      </c>
      <c r="O47" s="481"/>
      <c r="P47" s="478" t="n">
        <f aca="false">L47-N47</f>
        <v>0</v>
      </c>
      <c r="Q47" s="384"/>
    </row>
    <row r="48" customFormat="false" ht="21" hidden="false" customHeight="true" outlineLevel="0" collapsed="false">
      <c r="B48" s="351"/>
      <c r="C48" s="358" t="n">
        <v>23</v>
      </c>
      <c r="D48" s="359" t="s">
        <v>299</v>
      </c>
      <c r="E48" s="480" t="n">
        <f aca="false">SUMIF(BSPL2026!$M:$M,'PL_DEC.2026'!$D48,BSPL2026!$Z:$Z)</f>
        <v>14049051551</v>
      </c>
      <c r="F48" s="480"/>
      <c r="G48" s="483"/>
      <c r="H48" s="481"/>
      <c r="I48" s="482"/>
      <c r="J48" s="480"/>
      <c r="K48" s="480" t="n">
        <f aca="false">VLOOKUP(D48,'statutory adj_2026 조정분개'!$J$12:$P$26,7,FALSE())</f>
        <v>-61682684</v>
      </c>
      <c r="L48" s="483" t="n">
        <f aca="false">+E48+G48+K48-I48+H48</f>
        <v>13987368867</v>
      </c>
      <c r="M48" s="481"/>
      <c r="N48" s="483" t="n">
        <v>10883770009</v>
      </c>
      <c r="O48" s="481"/>
      <c r="P48" s="478" t="n">
        <f aca="false">L48-N48</f>
        <v>3103598858</v>
      </c>
      <c r="Q48" s="384"/>
    </row>
    <row r="49" customFormat="false" ht="21" hidden="false" customHeight="true" outlineLevel="0" collapsed="false">
      <c r="B49" s="351"/>
      <c r="C49" s="358" t="n">
        <v>23</v>
      </c>
      <c r="D49" s="359" t="s">
        <v>300</v>
      </c>
      <c r="E49" s="480" t="n">
        <f aca="false">SUMIF(BSPL2026!$M:$M,'PL_DEC.2026'!$D49,BSPL2026!$Z:$Z)</f>
        <v>1609276386</v>
      </c>
      <c r="F49" s="480"/>
      <c r="G49" s="483"/>
      <c r="H49" s="481"/>
      <c r="I49" s="482"/>
      <c r="J49" s="480"/>
      <c r="K49" s="480"/>
      <c r="L49" s="483" t="n">
        <f aca="false">+E49+G49</f>
        <v>1609276386</v>
      </c>
      <c r="M49" s="481"/>
      <c r="N49" s="483" t="n">
        <v>2776269144</v>
      </c>
      <c r="O49" s="481"/>
      <c r="P49" s="478" t="n">
        <f aca="false">L49-N49</f>
        <v>-1166992758</v>
      </c>
      <c r="Q49" s="384"/>
    </row>
    <row r="50" customFormat="false" ht="21" hidden="false" customHeight="true" outlineLevel="0" collapsed="false">
      <c r="B50" s="351"/>
      <c r="C50" s="358" t="n">
        <v>23</v>
      </c>
      <c r="D50" s="359" t="s">
        <v>301</v>
      </c>
      <c r="E50" s="480" t="n">
        <f aca="false">SUMIF(BSPL2026!$M:$M,'PL_DEC.2026'!$D50,BSPL2026!$Z:$Z)</f>
        <v>417021348</v>
      </c>
      <c r="F50" s="480"/>
      <c r="G50" s="483"/>
      <c r="H50" s="481"/>
      <c r="I50" s="482"/>
      <c r="J50" s="480"/>
      <c r="K50" s="480" t="n">
        <f aca="false">VLOOKUP(D50,'statutory adj_2026 조정분개'!$J$12:$P$26,7,FALSE())</f>
        <v>-7044189</v>
      </c>
      <c r="L50" s="483" t="n">
        <f aca="false">+E50+G50+K50</f>
        <v>409977159</v>
      </c>
      <c r="M50" s="481"/>
      <c r="N50" s="483" t="n">
        <v>799707733</v>
      </c>
      <c r="O50" s="481"/>
      <c r="P50" s="478" t="n">
        <f aca="false">L50-N50</f>
        <v>-389730574</v>
      </c>
      <c r="Q50" s="384"/>
    </row>
    <row r="51" customFormat="false" ht="21" hidden="false" customHeight="true" outlineLevel="0" collapsed="false">
      <c r="B51" s="351"/>
      <c r="C51" s="358" t="n">
        <v>23</v>
      </c>
      <c r="D51" s="359" t="s">
        <v>303</v>
      </c>
      <c r="E51" s="480" t="n">
        <f aca="false">SUMIF(BSPL2026!$M:$M,'PL_DEC.2026'!$D51,BSPL2026!$Z:$Z)</f>
        <v>0</v>
      </c>
      <c r="F51" s="480"/>
      <c r="G51" s="483"/>
      <c r="H51" s="481"/>
      <c r="I51" s="482"/>
      <c r="J51" s="480"/>
      <c r="K51" s="480"/>
      <c r="L51" s="483" t="n">
        <f aca="false">+E51+G51</f>
        <v>0</v>
      </c>
      <c r="M51" s="481"/>
      <c r="N51" s="483" t="n">
        <v>0</v>
      </c>
      <c r="O51" s="481"/>
      <c r="P51" s="478" t="n">
        <f aca="false">L51-N51</f>
        <v>0</v>
      </c>
      <c r="Q51" s="384"/>
    </row>
    <row r="52" customFormat="false" ht="21" hidden="false" customHeight="true" outlineLevel="0" collapsed="false">
      <c r="B52" s="351"/>
      <c r="C52" s="358" t="n">
        <v>23</v>
      </c>
      <c r="D52" s="359" t="s">
        <v>305</v>
      </c>
      <c r="E52" s="480" t="n">
        <f aca="false">SUMIF(BSPL2026!$M:$M,'PL_DEC.2026'!$D52,BSPL2026!$Z:$Z)</f>
        <v>274311</v>
      </c>
      <c r="F52" s="480"/>
      <c r="G52" s="483"/>
      <c r="H52" s="481"/>
      <c r="I52" s="482"/>
      <c r="J52" s="480"/>
      <c r="K52" s="480"/>
      <c r="L52" s="483" t="n">
        <f aca="false">+E52+G52</f>
        <v>274311</v>
      </c>
      <c r="M52" s="481"/>
      <c r="N52" s="483" t="n">
        <v>1991992</v>
      </c>
      <c r="O52" s="481"/>
      <c r="P52" s="478" t="n">
        <f aca="false">L52-N52</f>
        <v>-1717681</v>
      </c>
      <c r="Q52" s="384"/>
    </row>
    <row r="53" customFormat="false" ht="21" hidden="false" customHeight="true" outlineLevel="0" collapsed="false">
      <c r="B53" s="351"/>
      <c r="C53" s="358" t="n">
        <v>23</v>
      </c>
      <c r="D53" s="359" t="s">
        <v>307</v>
      </c>
      <c r="E53" s="480" t="n">
        <f aca="false">SUMIF(BSPL2026!$M:$M,'PL_DEC.2026'!$D53,BSPL2026!$Z:$Z)</f>
        <v>13638965984</v>
      </c>
      <c r="F53" s="480"/>
      <c r="G53" s="483"/>
      <c r="H53" s="481"/>
      <c r="I53" s="482"/>
      <c r="J53" s="480"/>
      <c r="K53" s="480" t="n">
        <f aca="false">VLOOKUP(D53,'statutory adj_2026 조정분개'!$J$12:$P$26,7,FALSE())</f>
        <v>-13314198758</v>
      </c>
      <c r="L53" s="483" t="n">
        <f aca="false">+E53+G53+K53</f>
        <v>324767226</v>
      </c>
      <c r="M53" s="481"/>
      <c r="N53" s="483" t="n">
        <v>2352493481</v>
      </c>
      <c r="O53" s="481"/>
      <c r="P53" s="478" t="n">
        <f aca="false">L53-N53</f>
        <v>-2027726255</v>
      </c>
      <c r="Q53" s="384"/>
    </row>
    <row r="54" customFormat="false" ht="21" hidden="false" customHeight="true" outlineLevel="0" collapsed="false">
      <c r="B54" s="351"/>
      <c r="C54" s="358" t="n">
        <v>23</v>
      </c>
      <c r="D54" s="359" t="s">
        <v>309</v>
      </c>
      <c r="E54" s="480" t="n">
        <f aca="false">SUMIF(BSPL2026!$M:$M,'PL_DEC.2026'!$D54,BSPL2026!$Z:$Z)</f>
        <v>494263895</v>
      </c>
      <c r="F54" s="480"/>
      <c r="G54" s="483"/>
      <c r="H54" s="499"/>
      <c r="I54" s="482"/>
      <c r="J54" s="480"/>
      <c r="K54" s="480"/>
      <c r="L54" s="483" t="n">
        <f aca="false">+E54+H54</f>
        <v>494263895</v>
      </c>
      <c r="M54" s="481"/>
      <c r="N54" s="483" t="n">
        <v>1118402963</v>
      </c>
      <c r="O54" s="481"/>
      <c r="P54" s="478" t="n">
        <f aca="false">L54-N54</f>
        <v>-624139068</v>
      </c>
      <c r="Q54" s="384"/>
    </row>
    <row r="55" customFormat="false" ht="21" hidden="false" customHeight="true" outlineLevel="0" collapsed="false">
      <c r="B55" s="351"/>
      <c r="C55" s="358" t="n">
        <v>23</v>
      </c>
      <c r="D55" s="359" t="s">
        <v>311</v>
      </c>
      <c r="E55" s="480" t="n">
        <f aca="false">SUMIF(BSPL2026!$M:$M,'PL_DEC.2026'!$D55,BSPL2026!$Z:$Z)</f>
        <v>943115504</v>
      </c>
      <c r="F55" s="480"/>
      <c r="G55" s="483"/>
      <c r="H55" s="481"/>
      <c r="I55" s="482"/>
      <c r="J55" s="480"/>
      <c r="K55" s="480" t="n">
        <f aca="false">VLOOKUP(D55,'statutory adj_2026 조정분개'!$J$12:$P$26,7,FALSE())</f>
        <v>-3977948983</v>
      </c>
      <c r="L55" s="483" t="n">
        <f aca="false">+E55+G55+K55</f>
        <v>-3034833479</v>
      </c>
      <c r="M55" s="481"/>
      <c r="N55" s="483" t="n">
        <v>1412322391</v>
      </c>
      <c r="O55" s="481"/>
      <c r="P55" s="478" t="n">
        <f aca="false">L55-N55</f>
        <v>-4447155870</v>
      </c>
      <c r="Q55" s="384"/>
    </row>
    <row r="56" customFormat="false" ht="21" hidden="false" customHeight="true" outlineLevel="0" collapsed="false">
      <c r="B56" s="351"/>
      <c r="C56" s="358" t="n">
        <v>23</v>
      </c>
      <c r="D56" s="359" t="s">
        <v>313</v>
      </c>
      <c r="E56" s="480" t="n">
        <f aca="false">SUMIF(BSPL2026!$M:$M,'PL_DEC.2026'!$D56,BSPL2026!$Z:$Z)</f>
        <v>137743628</v>
      </c>
      <c r="F56" s="480"/>
      <c r="G56" s="483"/>
      <c r="H56" s="481"/>
      <c r="I56" s="482"/>
      <c r="J56" s="480"/>
      <c r="K56" s="480" t="n">
        <f aca="false">VLOOKUP(D56,'statutory adj_2026 조정분개'!$J$12:$P$26,7,FALSE())</f>
        <v>-6474004</v>
      </c>
      <c r="L56" s="483" t="n">
        <f aca="false">+E56+G56+K56</f>
        <v>131269624</v>
      </c>
      <c r="M56" s="481"/>
      <c r="N56" s="483" t="n">
        <v>229334737</v>
      </c>
      <c r="O56" s="481"/>
      <c r="P56" s="478" t="n">
        <f aca="false">L56-N56</f>
        <v>-98065113</v>
      </c>
      <c r="Q56" s="384"/>
    </row>
    <row r="57" customFormat="false" ht="21" hidden="false" customHeight="true" outlineLevel="0" collapsed="false">
      <c r="B57" s="351"/>
      <c r="C57" s="358" t="n">
        <v>23</v>
      </c>
      <c r="D57" s="359" t="s">
        <v>315</v>
      </c>
      <c r="E57" s="480" t="n">
        <f aca="false">SUMIF(BSPL2026!$M:$M,'PL_DEC.2026'!$D57,BSPL2026!$Z:$Z)</f>
        <v>0</v>
      </c>
      <c r="F57" s="480"/>
      <c r="G57" s="483"/>
      <c r="H57" s="481"/>
      <c r="I57" s="482"/>
      <c r="J57" s="480"/>
      <c r="K57" s="480"/>
      <c r="L57" s="483" t="n">
        <f aca="false">+E57+G57+K57</f>
        <v>0</v>
      </c>
      <c r="M57" s="481"/>
      <c r="N57" s="483" t="n">
        <v>0</v>
      </c>
      <c r="O57" s="481"/>
      <c r="P57" s="478" t="n">
        <f aca="false">L57-N57</f>
        <v>0</v>
      </c>
      <c r="Q57" s="384"/>
    </row>
    <row r="58" customFormat="false" ht="21" hidden="false" customHeight="true" outlineLevel="0" collapsed="false">
      <c r="B58" s="351"/>
      <c r="C58" s="358" t="n">
        <v>23</v>
      </c>
      <c r="D58" s="359" t="s">
        <v>317</v>
      </c>
      <c r="E58" s="480" t="n">
        <f aca="false">SUMIF(BSPL2026!$M:$M,'PL_DEC.2026'!$D58,BSPL2026!$Z:$Z)</f>
        <v>0</v>
      </c>
      <c r="F58" s="480"/>
      <c r="G58" s="483"/>
      <c r="H58" s="481"/>
      <c r="I58" s="482"/>
      <c r="J58" s="480"/>
      <c r="K58" s="480"/>
      <c r="L58" s="483" t="n">
        <f aca="false">+E58+G58+K58</f>
        <v>0</v>
      </c>
      <c r="M58" s="481"/>
      <c r="N58" s="483" t="n">
        <v>0</v>
      </c>
      <c r="O58" s="481"/>
      <c r="P58" s="478" t="n">
        <f aca="false">L58-N58</f>
        <v>0</v>
      </c>
      <c r="Q58" s="384"/>
    </row>
    <row r="59" customFormat="false" ht="21" hidden="false" customHeight="true" outlineLevel="0" collapsed="false">
      <c r="B59" s="351"/>
      <c r="C59" s="358" t="n">
        <v>23</v>
      </c>
      <c r="D59" s="359" t="s">
        <v>319</v>
      </c>
      <c r="E59" s="480" t="n">
        <f aca="false">SUMIF(BSPL2026!$M:$M,'PL_DEC.2026'!$D59,BSPL2026!$Z:$Z)</f>
        <v>0</v>
      </c>
      <c r="F59" s="480"/>
      <c r="G59" s="483"/>
      <c r="H59" s="481"/>
      <c r="I59" s="482"/>
      <c r="J59" s="480"/>
      <c r="K59" s="480"/>
      <c r="L59" s="483" t="n">
        <f aca="false">+E59+G59+K59</f>
        <v>0</v>
      </c>
      <c r="M59" s="481"/>
      <c r="N59" s="483" t="n">
        <v>0</v>
      </c>
      <c r="O59" s="481"/>
      <c r="P59" s="478" t="n">
        <f aca="false">L59-N59</f>
        <v>0</v>
      </c>
      <c r="Q59" s="384"/>
    </row>
    <row r="60" customFormat="false" ht="21" hidden="false" customHeight="true" outlineLevel="0" collapsed="false">
      <c r="B60" s="351"/>
      <c r="C60" s="358" t="n">
        <v>23</v>
      </c>
      <c r="D60" s="359" t="s">
        <v>321</v>
      </c>
      <c r="E60" s="480" t="n">
        <f aca="false">SUMIF(BSPL2026!$M:$M,'PL_DEC.2026'!$D60,BSPL2026!$Z:$Z)</f>
        <v>0</v>
      </c>
      <c r="F60" s="480"/>
      <c r="G60" s="483"/>
      <c r="H60" s="481"/>
      <c r="I60" s="482"/>
      <c r="J60" s="480"/>
      <c r="K60" s="480"/>
      <c r="L60" s="483" t="n">
        <f aca="false">+E60+G60+K60</f>
        <v>0</v>
      </c>
      <c r="M60" s="481"/>
      <c r="N60" s="483" t="n">
        <v>0</v>
      </c>
      <c r="O60" s="481"/>
      <c r="P60" s="478" t="n">
        <f aca="false">L60-N60</f>
        <v>0</v>
      </c>
      <c r="Q60" s="384"/>
    </row>
    <row r="61" customFormat="false" ht="21" hidden="false" customHeight="true" outlineLevel="0" collapsed="false">
      <c r="B61" s="351"/>
      <c r="C61" s="358" t="n">
        <v>23</v>
      </c>
      <c r="D61" s="359" t="s">
        <v>323</v>
      </c>
      <c r="E61" s="480" t="n">
        <f aca="false">SUMIF(BSPL2026!$M:$M,'PL_DEC.2026'!$D61,BSPL2026!$Z:$Z)</f>
        <v>-4124609</v>
      </c>
      <c r="F61" s="480"/>
      <c r="G61" s="483"/>
      <c r="H61" s="481"/>
      <c r="I61" s="482"/>
      <c r="J61" s="480"/>
      <c r="K61" s="480"/>
      <c r="L61" s="483" t="n">
        <f aca="false">+E61+G61+K61</f>
        <v>-4124609</v>
      </c>
      <c r="M61" s="481"/>
      <c r="N61" s="483" t="n">
        <v>61130717</v>
      </c>
      <c r="O61" s="481"/>
      <c r="P61" s="478" t="n">
        <f aca="false">L61-N61</f>
        <v>-65255326</v>
      </c>
      <c r="Q61" s="384"/>
      <c r="R61" s="333"/>
      <c r="S61" s="333"/>
    </row>
    <row r="62" customFormat="false" ht="21" hidden="false" customHeight="true" outlineLevel="0" collapsed="false">
      <c r="B62" s="351"/>
      <c r="C62" s="358" t="n">
        <v>23</v>
      </c>
      <c r="D62" s="359" t="s">
        <v>325</v>
      </c>
      <c r="E62" s="480" t="n">
        <f aca="false">SUMIF(BSPL2026!$M:$M,'PL_DEC.2026'!$D62,BSPL2026!$Z:$Z)</f>
        <v>0</v>
      </c>
      <c r="F62" s="480"/>
      <c r="G62" s="483"/>
      <c r="H62" s="481"/>
      <c r="I62" s="482"/>
      <c r="J62" s="480"/>
      <c r="K62" s="480"/>
      <c r="L62" s="483" t="n">
        <f aca="false">+E62+G62+K62</f>
        <v>0</v>
      </c>
      <c r="M62" s="481"/>
      <c r="N62" s="483" t="n">
        <v>0</v>
      </c>
      <c r="O62" s="481"/>
      <c r="P62" s="478" t="n">
        <f aca="false">L62-N62</f>
        <v>0</v>
      </c>
      <c r="Q62" s="384"/>
      <c r="R62" s="333"/>
      <c r="S62" s="333"/>
      <c r="T62" s="333"/>
    </row>
    <row r="63" customFormat="false" ht="21" hidden="false" customHeight="true" outlineLevel="0" collapsed="false">
      <c r="B63" s="496" t="s">
        <v>2475</v>
      </c>
      <c r="C63" s="497" t="s">
        <v>2476</v>
      </c>
      <c r="E63" s="480" t="n">
        <f aca="false">SUMIF(BSPL2026!$M:$M,'PL_DEC.2026'!$D63,BSPL2026!$Z:$Z)</f>
        <v>0</v>
      </c>
      <c r="F63" s="480"/>
      <c r="G63" s="483"/>
      <c r="H63" s="481"/>
      <c r="I63" s="482"/>
      <c r="J63" s="480"/>
      <c r="K63" s="480"/>
      <c r="L63" s="483" t="n">
        <f aca="false">+E63+G63+K63</f>
        <v>0</v>
      </c>
      <c r="M63" s="481"/>
      <c r="N63" s="483" t="n">
        <v>0</v>
      </c>
      <c r="O63" s="481"/>
      <c r="P63" s="478" t="n">
        <f aca="false">L63-N63</f>
        <v>0</v>
      </c>
      <c r="Q63" s="384"/>
      <c r="T63" s="333"/>
    </row>
    <row r="64" customFormat="false" ht="21" hidden="false" customHeight="true" outlineLevel="0" collapsed="false">
      <c r="B64" s="343" t="s">
        <v>2477</v>
      </c>
      <c r="C64" s="344" t="s">
        <v>2478</v>
      </c>
      <c r="D64" s="345"/>
      <c r="E64" s="474"/>
      <c r="F64" s="474" t="n">
        <f aca="false">F21-F22</f>
        <v>40850536324</v>
      </c>
      <c r="G64" s="475"/>
      <c r="H64" s="476"/>
      <c r="I64" s="477"/>
      <c r="J64" s="474"/>
      <c r="K64" s="474"/>
      <c r="L64" s="483"/>
      <c r="M64" s="476" t="n">
        <f aca="false">M21-M22</f>
        <v>61594872639</v>
      </c>
      <c r="N64" s="475"/>
      <c r="O64" s="476" t="n">
        <v>29481784272</v>
      </c>
      <c r="P64" s="478" t="n">
        <f aca="false">M64-O64</f>
        <v>32113088367</v>
      </c>
      <c r="Q64" s="384"/>
      <c r="R64" s="406"/>
      <c r="S64" s="406"/>
      <c r="T64" s="406"/>
    </row>
    <row r="65" customFormat="false" ht="21" hidden="false" customHeight="true" outlineLevel="0" collapsed="false">
      <c r="B65" s="343" t="s">
        <v>2479</v>
      </c>
      <c r="C65" s="344" t="s">
        <v>920</v>
      </c>
      <c r="D65" s="345"/>
      <c r="E65" s="474"/>
      <c r="F65" s="474" t="n">
        <f aca="false">SUM(E66:E79)</f>
        <v>21799718927</v>
      </c>
      <c r="G65" s="475"/>
      <c r="H65" s="476"/>
      <c r="I65" s="477"/>
      <c r="J65" s="474"/>
      <c r="K65" s="474"/>
      <c r="L65" s="483"/>
      <c r="M65" s="476" t="n">
        <f aca="false">SUM(L66:L79)</f>
        <v>954170351</v>
      </c>
      <c r="N65" s="475"/>
      <c r="O65" s="476" t="n">
        <v>19209610002</v>
      </c>
      <c r="P65" s="478" t="n">
        <f aca="false">M65-O65</f>
        <v>-18255439651</v>
      </c>
      <c r="Q65" s="384"/>
      <c r="R65" s="406"/>
      <c r="S65" s="406"/>
      <c r="T65" s="406"/>
    </row>
    <row r="66" customFormat="false" ht="21" hidden="false" customHeight="true" outlineLevel="0" collapsed="false">
      <c r="B66" s="351"/>
      <c r="C66" s="358" t="n">
        <v>1</v>
      </c>
      <c r="D66" s="359" t="s">
        <v>329</v>
      </c>
      <c r="E66" s="480" t="n">
        <f aca="false">-SUMIF(BSPL2026!$M:$M,'PL_DEC.2026'!$D66,BSPL2026!$Z:$Z)</f>
        <v>201226458</v>
      </c>
      <c r="F66" s="480"/>
      <c r="G66" s="483"/>
      <c r="H66" s="481"/>
      <c r="I66" s="482"/>
      <c r="J66" s="480"/>
      <c r="K66" s="480"/>
      <c r="L66" s="483" t="n">
        <f aca="false">+E66+G66</f>
        <v>201226458</v>
      </c>
      <c r="M66" s="481"/>
      <c r="N66" s="483" t="n">
        <v>238441022</v>
      </c>
      <c r="O66" s="481"/>
      <c r="P66" s="478" t="n">
        <f aca="false">L66-N66</f>
        <v>-37214564</v>
      </c>
      <c r="Q66" s="384"/>
    </row>
    <row r="67" customFormat="false" ht="21" hidden="false" customHeight="true" outlineLevel="0" collapsed="false">
      <c r="B67" s="351"/>
      <c r="C67" s="358" t="n">
        <v>2</v>
      </c>
      <c r="D67" s="359" t="s">
        <v>330</v>
      </c>
      <c r="E67" s="480" t="n">
        <f aca="false">-SUMIF(BSPL2026!$M:$M,'PL_DEC.2026'!$D67,BSPL2026!$Z:$Z)</f>
        <v>-0</v>
      </c>
      <c r="F67" s="480"/>
      <c r="G67" s="483"/>
      <c r="H67" s="481"/>
      <c r="I67" s="482"/>
      <c r="J67" s="480"/>
      <c r="K67" s="480"/>
      <c r="L67" s="483" t="n">
        <f aca="false">+E67+G67</f>
        <v>0</v>
      </c>
      <c r="M67" s="481"/>
      <c r="N67" s="483" t="n">
        <v>0</v>
      </c>
      <c r="O67" s="481"/>
      <c r="P67" s="478" t="n">
        <f aca="false">L67-N67</f>
        <v>0</v>
      </c>
      <c r="Q67" s="384"/>
    </row>
    <row r="68" customFormat="false" ht="21" hidden="false" customHeight="true" outlineLevel="0" collapsed="false">
      <c r="B68" s="351"/>
      <c r="C68" s="358" t="n">
        <v>3</v>
      </c>
      <c r="D68" s="359" t="s">
        <v>331</v>
      </c>
      <c r="E68" s="480" t="n">
        <f aca="false">-SUMIF(BSPL2026!$M:$M,'PL_DEC.2026'!$D68,BSPL2026!$Z:$Z)</f>
        <v>123781136</v>
      </c>
      <c r="F68" s="480"/>
      <c r="G68" s="483"/>
      <c r="H68" s="481"/>
      <c r="I68" s="482"/>
      <c r="J68" s="480"/>
      <c r="K68" s="480"/>
      <c r="L68" s="483" t="n">
        <f aca="false">+E68+G68</f>
        <v>123781136</v>
      </c>
      <c r="M68" s="481"/>
      <c r="N68" s="483" t="n">
        <v>24481540</v>
      </c>
      <c r="O68" s="481"/>
      <c r="P68" s="478" t="n">
        <f aca="false">L68-N68</f>
        <v>99299596</v>
      </c>
      <c r="Q68" s="384"/>
    </row>
    <row r="69" customFormat="false" ht="21" hidden="false" customHeight="true" outlineLevel="0" collapsed="false">
      <c r="B69" s="351"/>
      <c r="C69" s="358" t="n">
        <v>4</v>
      </c>
      <c r="D69" s="359" t="s">
        <v>332</v>
      </c>
      <c r="E69" s="480" t="n">
        <f aca="false">-SUMIF(BSPL2026!$M:$M,'PL_DEC.2026'!$D69,BSPL2026!$Z:$Z)</f>
        <v>-0</v>
      </c>
      <c r="F69" s="480"/>
      <c r="G69" s="483"/>
      <c r="H69" s="481"/>
      <c r="I69" s="482"/>
      <c r="J69" s="480"/>
      <c r="K69" s="480"/>
      <c r="L69" s="483" t="n">
        <f aca="false">+E69+K69</f>
        <v>0</v>
      </c>
      <c r="M69" s="481"/>
      <c r="N69" s="483" t="n">
        <v>0</v>
      </c>
      <c r="O69" s="481"/>
      <c r="P69" s="478" t="n">
        <f aca="false">L69-N69</f>
        <v>0</v>
      </c>
      <c r="Q69" s="384"/>
    </row>
    <row r="70" customFormat="false" ht="21" hidden="false" customHeight="true" outlineLevel="0" collapsed="false">
      <c r="B70" s="351"/>
      <c r="C70" s="358" t="n">
        <v>5</v>
      </c>
      <c r="D70" s="359" t="s">
        <v>333</v>
      </c>
      <c r="E70" s="480" t="n">
        <f aca="false">-SUMIF(BSPL2026!$M:$M,'PL_DEC.2026'!$D70,BSPL2026!$Z:$Z)</f>
        <v>-0</v>
      </c>
      <c r="F70" s="480"/>
      <c r="G70" s="483"/>
      <c r="H70" s="481"/>
      <c r="I70" s="482"/>
      <c r="J70" s="480"/>
      <c r="K70" s="480"/>
      <c r="L70" s="483" t="n">
        <f aca="false">+E70+G70</f>
        <v>0</v>
      </c>
      <c r="M70" s="481"/>
      <c r="N70" s="483" t="n">
        <v>0</v>
      </c>
      <c r="O70" s="481"/>
      <c r="P70" s="478" t="n">
        <f aca="false">L70-N70</f>
        <v>0</v>
      </c>
      <c r="Q70" s="384"/>
    </row>
    <row r="71" customFormat="false" ht="21" hidden="false" customHeight="true" outlineLevel="0" collapsed="false">
      <c r="B71" s="351"/>
      <c r="C71" s="358" t="n">
        <v>6</v>
      </c>
      <c r="D71" s="359" t="s">
        <v>334</v>
      </c>
      <c r="E71" s="480" t="n">
        <f aca="false">-SUMIF(BSPL2026!$M:$M,'PL_DEC.2026'!$D71,BSPL2026!$Z:$Z)</f>
        <v>-0</v>
      </c>
      <c r="F71" s="480"/>
      <c r="G71" s="483"/>
      <c r="H71" s="481"/>
      <c r="I71" s="482"/>
      <c r="J71" s="480"/>
      <c r="K71" s="480"/>
      <c r="L71" s="483" t="n">
        <f aca="false">+E71+G71</f>
        <v>0</v>
      </c>
      <c r="M71" s="481"/>
      <c r="N71" s="483" t="n">
        <v>0</v>
      </c>
      <c r="O71" s="481"/>
      <c r="P71" s="478" t="n">
        <f aca="false">L71-N71</f>
        <v>0</v>
      </c>
      <c r="Q71" s="384"/>
    </row>
    <row r="72" customFormat="false" ht="21" hidden="false" customHeight="true" outlineLevel="0" collapsed="false">
      <c r="B72" s="351"/>
      <c r="C72" s="358" t="n">
        <v>7</v>
      </c>
      <c r="D72" s="359" t="s">
        <v>335</v>
      </c>
      <c r="E72" s="480" t="n">
        <f aca="false">-SUMIF(BSPL2026!$M:$M,'PL_DEC.2026'!$D72,BSPL2026!$Z:$Z)</f>
        <v>-0</v>
      </c>
      <c r="F72" s="480"/>
      <c r="G72" s="483"/>
      <c r="H72" s="481"/>
      <c r="I72" s="482"/>
      <c r="J72" s="480"/>
      <c r="K72" s="480"/>
      <c r="L72" s="483" t="n">
        <f aca="false">+E72+G72+H72</f>
        <v>0</v>
      </c>
      <c r="M72" s="481"/>
      <c r="N72" s="483" t="n">
        <v>0</v>
      </c>
      <c r="O72" s="481"/>
      <c r="P72" s="478" t="n">
        <f aca="false">L72-N72</f>
        <v>0</v>
      </c>
      <c r="Q72" s="384"/>
    </row>
    <row r="73" customFormat="false" ht="21" hidden="false" customHeight="true" outlineLevel="0" collapsed="false">
      <c r="B73" s="351"/>
      <c r="C73" s="358" t="n">
        <v>8</v>
      </c>
      <c r="D73" s="359" t="s">
        <v>336</v>
      </c>
      <c r="E73" s="480" t="n">
        <f aca="false">-SUMIF(BSPL2026!$M:$M,'PL_DEC.2026'!$D73,BSPL2026!$Z:$Z)</f>
        <v>-0</v>
      </c>
      <c r="F73" s="480"/>
      <c r="G73" s="483"/>
      <c r="H73" s="481"/>
      <c r="I73" s="482"/>
      <c r="J73" s="480"/>
      <c r="K73" s="480"/>
      <c r="L73" s="483" t="n">
        <f aca="false">+E73+G73</f>
        <v>0</v>
      </c>
      <c r="M73" s="481"/>
      <c r="N73" s="483" t="n">
        <v>0</v>
      </c>
      <c r="O73" s="481"/>
      <c r="P73" s="478" t="n">
        <f aca="false">L73-N73</f>
        <v>0</v>
      </c>
      <c r="Q73" s="384"/>
    </row>
    <row r="74" customFormat="false" ht="21" hidden="false" customHeight="true" outlineLevel="0" collapsed="false">
      <c r="B74" s="351"/>
      <c r="C74" s="358" t="n">
        <v>8</v>
      </c>
      <c r="D74" s="359" t="s">
        <v>337</v>
      </c>
      <c r="E74" s="480" t="n">
        <f aca="false">-SUMIF(BSPL2026!$M:$M,'PL_DEC.2026'!$D74,BSPL2026!$Z:$Z)</f>
        <v>-0</v>
      </c>
      <c r="F74" s="480"/>
      <c r="G74" s="483"/>
      <c r="H74" s="481"/>
      <c r="I74" s="482"/>
      <c r="J74" s="480"/>
      <c r="K74" s="480"/>
      <c r="L74" s="483" t="n">
        <f aca="false">+E74+G74</f>
        <v>0</v>
      </c>
      <c r="M74" s="481"/>
      <c r="N74" s="483" t="n">
        <v>0</v>
      </c>
      <c r="O74" s="481"/>
      <c r="P74" s="478" t="n">
        <f aca="false">L74-N74</f>
        <v>0</v>
      </c>
      <c r="Q74" s="384"/>
    </row>
    <row r="75" customFormat="false" ht="21" hidden="false" customHeight="true" outlineLevel="0" collapsed="false">
      <c r="B75" s="351"/>
      <c r="C75" s="358" t="n">
        <v>8</v>
      </c>
      <c r="D75" s="359" t="s">
        <v>338</v>
      </c>
      <c r="E75" s="480" t="n">
        <f aca="false">-SUMIF(BSPL2026!$M:$M,'PL_DEC.2026'!$D75,BSPL2026!$Z:$Z)</f>
        <v>-0</v>
      </c>
      <c r="F75" s="480"/>
      <c r="G75" s="483"/>
      <c r="H75" s="481"/>
      <c r="I75" s="482"/>
      <c r="J75" s="480"/>
      <c r="K75" s="480"/>
      <c r="L75" s="483" t="n">
        <f aca="false">+E75+G75</f>
        <v>0</v>
      </c>
      <c r="M75" s="481"/>
      <c r="N75" s="483" t="n">
        <v>0</v>
      </c>
      <c r="O75" s="481"/>
      <c r="P75" s="478" t="n">
        <f aca="false">L75-N75</f>
        <v>0</v>
      </c>
      <c r="Q75" s="384"/>
    </row>
    <row r="76" customFormat="false" ht="21" hidden="false" customHeight="true" outlineLevel="0" collapsed="false">
      <c r="B76" s="351"/>
      <c r="C76" s="358" t="n">
        <v>8</v>
      </c>
      <c r="D76" s="359" t="s">
        <v>339</v>
      </c>
      <c r="E76" s="480" t="n">
        <f aca="false">-SUMIF(BSPL2026!$M:$M,'PL_DEC.2026'!$D76,BSPL2026!$Z:$Z)</f>
        <v>21474711333</v>
      </c>
      <c r="F76" s="480"/>
      <c r="G76" s="498"/>
      <c r="H76" s="481"/>
      <c r="I76" s="482"/>
      <c r="J76" s="480" t="n">
        <f aca="false">++'statutory adj_2026 조정분개'!P11</f>
        <v>20794942446</v>
      </c>
      <c r="K76" s="480" t="n">
        <f aca="false">VLOOKUP(D76,'statutory adj_2026 조정분개'!$J$12:$P$26,7,FALSE())</f>
        <v>-50606130</v>
      </c>
      <c r="L76" s="483" t="n">
        <f aca="false">+E76+G76-J76+K76</f>
        <v>629162757</v>
      </c>
      <c r="M76" s="481"/>
      <c r="N76" s="483" t="n">
        <v>18946687440</v>
      </c>
      <c r="O76" s="481"/>
      <c r="P76" s="478" t="n">
        <f aca="false">L76-N76</f>
        <v>-18317524683</v>
      </c>
      <c r="Q76" s="384"/>
    </row>
    <row r="77" customFormat="false" ht="21" hidden="false" customHeight="true" outlineLevel="0" collapsed="false">
      <c r="B77" s="351"/>
      <c r="C77" s="358" t="n">
        <v>8</v>
      </c>
      <c r="D77" s="359" t="s">
        <v>340</v>
      </c>
      <c r="E77" s="480" t="n">
        <f aca="false">-SUMIF(BSPL2026!$M:$M,'PL_DEC.2026'!$D77,BSPL2026!$Z:$Z)</f>
        <v>-0</v>
      </c>
      <c r="F77" s="480"/>
      <c r="G77" s="483"/>
      <c r="H77" s="481"/>
      <c r="I77" s="482"/>
      <c r="J77" s="480"/>
      <c r="K77" s="480"/>
      <c r="L77" s="483" t="n">
        <f aca="false">+E77+G77</f>
        <v>0</v>
      </c>
      <c r="M77" s="481"/>
      <c r="N77" s="483" t="n">
        <v>0</v>
      </c>
      <c r="O77" s="481"/>
      <c r="P77" s="478" t="n">
        <f aca="false">L77-N77</f>
        <v>0</v>
      </c>
      <c r="Q77" s="384"/>
      <c r="R77" s="333"/>
      <c r="S77" s="333"/>
    </row>
    <row r="78" customFormat="false" ht="21" hidden="false" customHeight="true" outlineLevel="0" collapsed="false">
      <c r="B78" s="351"/>
      <c r="C78" s="358" t="n">
        <v>8</v>
      </c>
      <c r="D78" s="359" t="s">
        <v>341</v>
      </c>
      <c r="E78" s="480" t="n">
        <f aca="false">-SUMIF(BSPL2026!$M:$M,'PL_DEC.2026'!$D78,BSPL2026!$Z:$Z)</f>
        <v>-0</v>
      </c>
      <c r="F78" s="480"/>
      <c r="G78" s="483"/>
      <c r="H78" s="481"/>
      <c r="I78" s="482"/>
      <c r="J78" s="480"/>
      <c r="K78" s="480"/>
      <c r="L78" s="483" t="n">
        <f aca="false">+E78+G78</f>
        <v>0</v>
      </c>
      <c r="M78" s="481"/>
      <c r="N78" s="483" t="n">
        <v>0</v>
      </c>
      <c r="O78" s="481"/>
      <c r="P78" s="478" t="n">
        <f aca="false">L78-N78</f>
        <v>0</v>
      </c>
      <c r="Q78" s="384"/>
      <c r="T78" s="333"/>
    </row>
    <row r="79" customFormat="false" ht="21" hidden="false" customHeight="true" outlineLevel="0" collapsed="false">
      <c r="B79" s="351"/>
      <c r="C79" s="358" t="n">
        <v>8</v>
      </c>
      <c r="D79" s="359" t="s">
        <v>343</v>
      </c>
      <c r="E79" s="480" t="n">
        <f aca="false">-SUMIF(BSPL2026!$M:$M,'PL_DEC.2026'!$D79,BSPL2026!$Z:$Z)</f>
        <v>-0</v>
      </c>
      <c r="F79" s="480"/>
      <c r="G79" s="483"/>
      <c r="H79" s="481"/>
      <c r="I79" s="482"/>
      <c r="J79" s="480"/>
      <c r="K79" s="480"/>
      <c r="L79" s="483" t="n">
        <f aca="false">+E79+G79</f>
        <v>0</v>
      </c>
      <c r="M79" s="481"/>
      <c r="N79" s="483" t="n">
        <v>0</v>
      </c>
      <c r="O79" s="481"/>
      <c r="P79" s="478" t="n">
        <f aca="false">L79-N79</f>
        <v>0</v>
      </c>
      <c r="Q79" s="384"/>
    </row>
    <row r="80" customFormat="false" ht="21" hidden="false" customHeight="true" outlineLevel="0" collapsed="false">
      <c r="B80" s="343" t="s">
        <v>2480</v>
      </c>
      <c r="C80" s="344" t="s">
        <v>1140</v>
      </c>
      <c r="D80" s="345"/>
      <c r="E80" s="474"/>
      <c r="F80" s="474" t="n">
        <f aca="false">SUM(E81:E96)</f>
        <v>2174644784</v>
      </c>
      <c r="G80" s="475"/>
      <c r="H80" s="476"/>
      <c r="I80" s="477"/>
      <c r="J80" s="474"/>
      <c r="K80" s="474"/>
      <c r="L80" s="483"/>
      <c r="M80" s="476" t="n">
        <f aca="false">SUM(L81:L96)</f>
        <v>2174644784</v>
      </c>
      <c r="N80" s="483"/>
      <c r="O80" s="476" t="n">
        <v>483100924</v>
      </c>
      <c r="P80" s="478" t="n">
        <f aca="false">M80-O80</f>
        <v>1691543860</v>
      </c>
      <c r="Q80" s="384"/>
      <c r="R80" s="406"/>
      <c r="S80" s="406"/>
      <c r="T80" s="406"/>
    </row>
    <row r="81" customFormat="false" ht="21" hidden="false" customHeight="true" outlineLevel="0" collapsed="false">
      <c r="B81" s="351"/>
      <c r="C81" s="358" t="n">
        <v>1</v>
      </c>
      <c r="D81" s="359" t="s">
        <v>345</v>
      </c>
      <c r="E81" s="480" t="n">
        <f aca="false">SUMIF(BSPL2026!$M:$M,'PL_DEC.2026'!$D81,BSPL2026!$Z:$Z)</f>
        <v>149258988</v>
      </c>
      <c r="F81" s="480"/>
      <c r="G81" s="483"/>
      <c r="H81" s="499"/>
      <c r="I81" s="482"/>
      <c r="J81" s="480"/>
      <c r="K81" s="480"/>
      <c r="L81" s="483" t="n">
        <f aca="false">+E81+H81</f>
        <v>149258988</v>
      </c>
      <c r="M81" s="481"/>
      <c r="N81" s="483" t="n">
        <v>92801999</v>
      </c>
      <c r="O81" s="481"/>
      <c r="P81" s="478" t="n">
        <f aca="false">L81-N81</f>
        <v>56456989</v>
      </c>
      <c r="Q81" s="384"/>
    </row>
    <row r="82" customFormat="false" ht="21" hidden="false" customHeight="true" outlineLevel="0" collapsed="false">
      <c r="B82" s="351"/>
      <c r="C82" s="358" t="n">
        <v>2</v>
      </c>
      <c r="D82" s="359" t="s">
        <v>346</v>
      </c>
      <c r="E82" s="480" t="n">
        <f aca="false">SUMIF(BSPL2026!$M:$M,'PL_DEC.2026'!$D82,BSPL2026!$Z:$Z)</f>
        <v>0</v>
      </c>
      <c r="F82" s="480"/>
      <c r="G82" s="483"/>
      <c r="H82" s="481"/>
      <c r="I82" s="482"/>
      <c r="J82" s="480"/>
      <c r="K82" s="480"/>
      <c r="L82" s="483" t="n">
        <f aca="false">+E82+G82</f>
        <v>0</v>
      </c>
      <c r="M82" s="481"/>
      <c r="N82" s="483" t="n">
        <v>0</v>
      </c>
      <c r="O82" s="481"/>
      <c r="P82" s="478" t="n">
        <f aca="false">L82-N82</f>
        <v>0</v>
      </c>
      <c r="Q82" s="384"/>
    </row>
    <row r="83" customFormat="false" ht="21" hidden="false" customHeight="true" outlineLevel="0" collapsed="false">
      <c r="B83" s="351"/>
      <c r="C83" s="358" t="n">
        <v>3</v>
      </c>
      <c r="D83" s="359" t="s">
        <v>347</v>
      </c>
      <c r="E83" s="480" t="n">
        <f aca="false">SUMIF(BSPL2026!$M:$M,'PL_DEC.2026'!$D83,BSPL2026!$Z:$Z)</f>
        <v>-37435248</v>
      </c>
      <c r="F83" s="480"/>
      <c r="G83" s="483"/>
      <c r="H83" s="481"/>
      <c r="I83" s="482"/>
      <c r="J83" s="480"/>
      <c r="K83" s="480"/>
      <c r="L83" s="483" t="n">
        <f aca="false">+E83+G83</f>
        <v>-37435248</v>
      </c>
      <c r="M83" s="481"/>
      <c r="N83" s="483" t="n">
        <v>33586551</v>
      </c>
      <c r="O83" s="481"/>
      <c r="P83" s="478" t="n">
        <f aca="false">L83-N83</f>
        <v>-71021799</v>
      </c>
      <c r="Q83" s="384"/>
    </row>
    <row r="84" customFormat="false" ht="21" hidden="false" customHeight="true" outlineLevel="0" collapsed="false">
      <c r="B84" s="351"/>
      <c r="C84" s="358" t="n">
        <v>4</v>
      </c>
      <c r="D84" s="359" t="s">
        <v>348</v>
      </c>
      <c r="E84" s="480" t="n">
        <f aca="false">SUMIF(BSPL2026!$M:$M,'PL_DEC.2026'!$D84,BSPL2026!$Z:$Z)</f>
        <v>0</v>
      </c>
      <c r="F84" s="480"/>
      <c r="G84" s="483"/>
      <c r="H84" s="481"/>
      <c r="I84" s="482"/>
      <c r="J84" s="480"/>
      <c r="K84" s="480"/>
      <c r="L84" s="483" t="n">
        <f aca="false">+E84+G84</f>
        <v>0</v>
      </c>
      <c r="M84" s="481"/>
      <c r="N84" s="483" t="n">
        <v>0</v>
      </c>
      <c r="O84" s="481"/>
      <c r="P84" s="478" t="n">
        <f aca="false">L84-N84</f>
        <v>0</v>
      </c>
      <c r="Q84" s="384"/>
    </row>
    <row r="85" customFormat="false" ht="21" hidden="false" customHeight="true" outlineLevel="0" collapsed="false">
      <c r="B85" s="351"/>
      <c r="C85" s="358" t="n">
        <v>5</v>
      </c>
      <c r="D85" s="359" t="s">
        <v>349</v>
      </c>
      <c r="E85" s="480" t="n">
        <f aca="false">SUMIF(BSPL2026!$M:$M,'PL_DEC.2026'!$D85,BSPL2026!$Z:$Z)</f>
        <v>290797619</v>
      </c>
      <c r="F85" s="480"/>
      <c r="G85" s="483"/>
      <c r="H85" s="481"/>
      <c r="I85" s="482"/>
      <c r="J85" s="480"/>
      <c r="K85" s="480"/>
      <c r="L85" s="483" t="n">
        <f aca="false">+E85+G85</f>
        <v>290797619</v>
      </c>
      <c r="M85" s="481"/>
      <c r="N85" s="483" t="n">
        <v>259053818</v>
      </c>
      <c r="O85" s="481"/>
      <c r="P85" s="478" t="n">
        <f aca="false">L85-N85</f>
        <v>31743801</v>
      </c>
      <c r="Q85" s="384"/>
    </row>
    <row r="86" customFormat="false" ht="21" hidden="false" customHeight="true" outlineLevel="0" collapsed="false">
      <c r="B86" s="351"/>
      <c r="C86" s="358" t="n">
        <v>5</v>
      </c>
      <c r="D86" s="359" t="s">
        <v>350</v>
      </c>
      <c r="E86" s="480" t="n">
        <f aca="false">SUMIF(BSPL2026!$M:$M,'PL_DEC.2026'!$D86,BSPL2026!$Z:$Z)</f>
        <v>0</v>
      </c>
      <c r="F86" s="480"/>
      <c r="G86" s="483"/>
      <c r="H86" s="481"/>
      <c r="I86" s="482"/>
      <c r="J86" s="480"/>
      <c r="K86" s="480"/>
      <c r="L86" s="483" t="n">
        <f aca="false">+E86+G86</f>
        <v>0</v>
      </c>
      <c r="M86" s="481"/>
      <c r="N86" s="483" t="n">
        <v>0</v>
      </c>
      <c r="O86" s="481"/>
      <c r="P86" s="478" t="n">
        <f aca="false">L86-N86</f>
        <v>0</v>
      </c>
      <c r="Q86" s="384"/>
    </row>
    <row r="87" customFormat="false" ht="21" hidden="false" customHeight="true" outlineLevel="0" collapsed="false">
      <c r="B87" s="351"/>
      <c r="C87" s="358" t="n">
        <v>5</v>
      </c>
      <c r="D87" s="359" t="s">
        <v>351</v>
      </c>
      <c r="E87" s="480" t="n">
        <f aca="false">SUMIF(BSPL2026!$M:$M,'PL_DEC.2026'!$D87,BSPL2026!$Z:$Z)</f>
        <v>1372357643</v>
      </c>
      <c r="F87" s="480"/>
      <c r="G87" s="483"/>
      <c r="H87" s="481"/>
      <c r="I87" s="482"/>
      <c r="J87" s="480"/>
      <c r="K87" s="480"/>
      <c r="L87" s="483" t="n">
        <f aca="false">+E87+G87</f>
        <v>1372357643</v>
      </c>
      <c r="M87" s="481"/>
      <c r="N87" s="483" t="n">
        <v>0</v>
      </c>
      <c r="O87" s="481"/>
      <c r="P87" s="478" t="n">
        <f aca="false">L87-N87</f>
        <v>1372357643</v>
      </c>
      <c r="Q87" s="384"/>
    </row>
    <row r="88" customFormat="false" ht="21" hidden="false" customHeight="true" outlineLevel="0" collapsed="false">
      <c r="B88" s="351"/>
      <c r="C88" s="358" t="n">
        <v>5</v>
      </c>
      <c r="D88" s="359" t="s">
        <v>352</v>
      </c>
      <c r="E88" s="480" t="n">
        <f aca="false">SUMIF(BSPL2026!$M:$M,'PL_DEC.2026'!$D88,BSPL2026!$Z:$Z)</f>
        <v>0</v>
      </c>
      <c r="F88" s="480"/>
      <c r="G88" s="483"/>
      <c r="H88" s="481"/>
      <c r="I88" s="482"/>
      <c r="J88" s="480"/>
      <c r="K88" s="480"/>
      <c r="L88" s="483" t="n">
        <f aca="false">+E88+G88</f>
        <v>0</v>
      </c>
      <c r="M88" s="481"/>
      <c r="N88" s="483" t="n">
        <v>0</v>
      </c>
      <c r="O88" s="481"/>
      <c r="P88" s="478" t="n">
        <f aca="false">L88-N88</f>
        <v>0</v>
      </c>
      <c r="Q88" s="384"/>
    </row>
    <row r="89" customFormat="false" ht="21" hidden="false" customHeight="true" outlineLevel="0" collapsed="false">
      <c r="B89" s="351"/>
      <c r="C89" s="358" t="n">
        <v>5</v>
      </c>
      <c r="D89" s="359" t="s">
        <v>353</v>
      </c>
      <c r="E89" s="480" t="n">
        <f aca="false">SUMIF(BSPL2026!$M:$M,'PL_DEC.2026'!$D89,BSPL2026!$Z:$Z)</f>
        <v>0</v>
      </c>
      <c r="F89" s="480"/>
      <c r="G89" s="483"/>
      <c r="H89" s="481"/>
      <c r="I89" s="482"/>
      <c r="J89" s="480"/>
      <c r="K89" s="480"/>
      <c r="L89" s="483" t="n">
        <f aca="false">+E89+G89</f>
        <v>0</v>
      </c>
      <c r="M89" s="481"/>
      <c r="N89" s="483" t="n">
        <v>0</v>
      </c>
      <c r="O89" s="481"/>
      <c r="P89" s="478" t="n">
        <f aca="false">L89-N89</f>
        <v>0</v>
      </c>
      <c r="Q89" s="384"/>
    </row>
    <row r="90" customFormat="false" ht="21" hidden="false" customHeight="true" outlineLevel="0" collapsed="false">
      <c r="B90" s="351"/>
      <c r="C90" s="358" t="n">
        <v>5</v>
      </c>
      <c r="D90" s="359" t="s">
        <v>354</v>
      </c>
      <c r="E90" s="480" t="n">
        <f aca="false">SUMIF(BSPL2026!$M:$M,'PL_DEC.2026'!$D90,BSPL2026!$Z:$Z)</f>
        <v>0</v>
      </c>
      <c r="F90" s="480"/>
      <c r="G90" s="483"/>
      <c r="H90" s="481"/>
      <c r="I90" s="482"/>
      <c r="J90" s="480"/>
      <c r="K90" s="480"/>
      <c r="L90" s="483" t="n">
        <f aca="false">+E90+G90</f>
        <v>0</v>
      </c>
      <c r="M90" s="481"/>
      <c r="N90" s="483" t="n">
        <v>0</v>
      </c>
      <c r="O90" s="481"/>
      <c r="P90" s="478" t="n">
        <f aca="false">L90-N90</f>
        <v>0</v>
      </c>
      <c r="Q90" s="384"/>
    </row>
    <row r="91" customFormat="false" ht="21" hidden="false" customHeight="true" outlineLevel="0" collapsed="false">
      <c r="B91" s="351"/>
      <c r="C91" s="358" t="n">
        <v>5</v>
      </c>
      <c r="D91" s="359" t="s">
        <v>355</v>
      </c>
      <c r="E91" s="480" t="n">
        <f aca="false">SUMIF(BSPL2026!$M:$M,'PL_DEC.2026'!$D91,BSPL2026!$Z:$Z)</f>
        <v>0</v>
      </c>
      <c r="F91" s="480"/>
      <c r="G91" s="483"/>
      <c r="H91" s="481"/>
      <c r="I91" s="482"/>
      <c r="J91" s="480"/>
      <c r="K91" s="480"/>
      <c r="L91" s="483" t="n">
        <f aca="false">+E91+G91+I91</f>
        <v>0</v>
      </c>
      <c r="M91" s="481"/>
      <c r="N91" s="483" t="n">
        <v>0</v>
      </c>
      <c r="O91" s="481"/>
      <c r="P91" s="478" t="n">
        <f aca="false">L91-N91</f>
        <v>0</v>
      </c>
      <c r="Q91" s="384"/>
    </row>
    <row r="92" customFormat="false" ht="21" hidden="false" customHeight="true" outlineLevel="0" collapsed="false">
      <c r="B92" s="351"/>
      <c r="C92" s="358" t="n">
        <v>6</v>
      </c>
      <c r="D92" s="359" t="s">
        <v>356</v>
      </c>
      <c r="E92" s="480" t="n">
        <f aca="false">SUMIF(BSPL2026!$M:$M,'PL_DEC.2026'!$D92,BSPL2026!$Z:$Z)</f>
        <v>0</v>
      </c>
      <c r="F92" s="480"/>
      <c r="G92" s="483"/>
      <c r="H92" s="481"/>
      <c r="I92" s="482"/>
      <c r="J92" s="480"/>
      <c r="K92" s="480"/>
      <c r="L92" s="483" t="n">
        <f aca="false">+E92+G92</f>
        <v>0</v>
      </c>
      <c r="M92" s="481"/>
      <c r="N92" s="483" t="n">
        <v>0</v>
      </c>
      <c r="O92" s="481"/>
      <c r="P92" s="478" t="n">
        <f aca="false">L92-N92</f>
        <v>0</v>
      </c>
      <c r="Q92" s="384"/>
    </row>
    <row r="93" customFormat="false" ht="21" hidden="false" customHeight="true" outlineLevel="0" collapsed="false">
      <c r="B93" s="351"/>
      <c r="C93" s="358" t="n">
        <v>7</v>
      </c>
      <c r="D93" s="359" t="s">
        <v>357</v>
      </c>
      <c r="E93" s="480" t="n">
        <f aca="false">SUMIF(BSPL2026!$M:$M,'PL_DEC.2026'!$D93,BSPL2026!$Z:$Z)</f>
        <v>0</v>
      </c>
      <c r="F93" s="480"/>
      <c r="G93" s="483"/>
      <c r="H93" s="481"/>
      <c r="I93" s="482"/>
      <c r="J93" s="480"/>
      <c r="K93" s="480"/>
      <c r="L93" s="483" t="n">
        <f aca="false">+E93+G93</f>
        <v>0</v>
      </c>
      <c r="M93" s="481"/>
      <c r="N93" s="483" t="n">
        <v>0</v>
      </c>
      <c r="O93" s="481"/>
      <c r="P93" s="478" t="n">
        <f aca="false">L93-N93</f>
        <v>0</v>
      </c>
      <c r="Q93" s="384"/>
    </row>
    <row r="94" customFormat="false" ht="21" hidden="false" customHeight="true" outlineLevel="0" collapsed="false">
      <c r="B94" s="351"/>
      <c r="C94" s="358" t="n">
        <v>8</v>
      </c>
      <c r="D94" s="359" t="s">
        <v>358</v>
      </c>
      <c r="E94" s="480" t="n">
        <f aca="false">SUMIF(BSPL2026!$M:$M,'PL_DEC.2026'!$D94,BSPL2026!$Z:$Z)</f>
        <v>0</v>
      </c>
      <c r="F94" s="480"/>
      <c r="G94" s="483"/>
      <c r="H94" s="481"/>
      <c r="I94" s="482"/>
      <c r="J94" s="480"/>
      <c r="K94" s="480"/>
      <c r="L94" s="483" t="n">
        <f aca="false">+E94+G94</f>
        <v>0</v>
      </c>
      <c r="M94" s="481"/>
      <c r="N94" s="483" t="n">
        <v>0</v>
      </c>
      <c r="O94" s="481"/>
      <c r="P94" s="478" t="n">
        <f aca="false">L94-N94</f>
        <v>0</v>
      </c>
      <c r="Q94" s="384"/>
      <c r="R94" s="333"/>
      <c r="S94" s="333"/>
    </row>
    <row r="95" customFormat="false" ht="21" hidden="false" customHeight="true" outlineLevel="0" collapsed="false">
      <c r="B95" s="351"/>
      <c r="C95" s="358" t="n">
        <v>9</v>
      </c>
      <c r="D95" s="359" t="s">
        <v>359</v>
      </c>
      <c r="E95" s="480" t="n">
        <f aca="false">SUMIF(BSPL2026!$M:$M,'PL_DEC.2026'!$D95,BSPL2026!$Z:$Z)</f>
        <v>0</v>
      </c>
      <c r="F95" s="480"/>
      <c r="G95" s="483"/>
      <c r="H95" s="481"/>
      <c r="I95" s="482"/>
      <c r="J95" s="480"/>
      <c r="K95" s="480"/>
      <c r="L95" s="483" t="n">
        <f aca="false">+E95+G95</f>
        <v>0</v>
      </c>
      <c r="M95" s="481"/>
      <c r="N95" s="483" t="n">
        <v>0</v>
      </c>
      <c r="O95" s="481"/>
      <c r="P95" s="478" t="n">
        <f aca="false">L95-N95</f>
        <v>0</v>
      </c>
      <c r="Q95" s="384"/>
      <c r="R95" s="333"/>
      <c r="S95" s="333"/>
      <c r="T95" s="333"/>
    </row>
    <row r="96" customFormat="false" ht="21" hidden="false" customHeight="true" outlineLevel="0" collapsed="false">
      <c r="B96" s="351"/>
      <c r="C96" s="358" t="n">
        <v>10</v>
      </c>
      <c r="D96" s="359" t="s">
        <v>360</v>
      </c>
      <c r="E96" s="480" t="n">
        <f aca="false">SUMIF(BSPL2026!$M:$M,'PL_DEC.2026'!$D96,BSPL2026!$Z:$Z)</f>
        <v>399665782</v>
      </c>
      <c r="F96" s="480"/>
      <c r="G96" s="483"/>
      <c r="H96" s="481"/>
      <c r="I96" s="482"/>
      <c r="J96" s="480"/>
      <c r="K96" s="480"/>
      <c r="L96" s="483" t="n">
        <f aca="false">+E96+G96-H96</f>
        <v>399665782</v>
      </c>
      <c r="M96" s="481"/>
      <c r="N96" s="483" t="n">
        <v>97658556</v>
      </c>
      <c r="O96" s="481"/>
      <c r="P96" s="478" t="n">
        <f aca="false">L96-N96</f>
        <v>302007226</v>
      </c>
      <c r="Q96" s="384"/>
      <c r="R96" s="333"/>
      <c r="S96" s="333"/>
      <c r="T96" s="333"/>
    </row>
    <row r="97" customFormat="false" ht="21" hidden="false" customHeight="true" outlineLevel="0" collapsed="false">
      <c r="B97" s="343" t="s">
        <v>2481</v>
      </c>
      <c r="C97" s="344" t="s">
        <v>2482</v>
      </c>
      <c r="D97" s="345"/>
      <c r="E97" s="474"/>
      <c r="F97" s="474" t="n">
        <f aca="false">F64+F65-F80</f>
        <v>60475610467</v>
      </c>
      <c r="G97" s="483"/>
      <c r="H97" s="481"/>
      <c r="I97" s="482"/>
      <c r="J97" s="480"/>
      <c r="K97" s="480"/>
      <c r="L97" s="483"/>
      <c r="M97" s="476" t="n">
        <f aca="false">M64+M65-M80</f>
        <v>60374398206</v>
      </c>
      <c r="N97" s="475"/>
      <c r="O97" s="476" t="n">
        <v>48208293350</v>
      </c>
      <c r="P97" s="478" t="n">
        <f aca="false">M97-O97</f>
        <v>12166104856</v>
      </c>
      <c r="Q97" s="384"/>
      <c r="R97" s="406"/>
      <c r="S97" s="406"/>
    </row>
    <row r="98" customFormat="false" ht="21" hidden="false" customHeight="true" outlineLevel="0" collapsed="false">
      <c r="B98" s="343" t="s">
        <v>2483</v>
      </c>
      <c r="C98" s="344" t="s">
        <v>368</v>
      </c>
      <c r="D98" s="345"/>
      <c r="E98" s="474"/>
      <c r="F98" s="480" t="n">
        <f aca="false">SUMIF(BSPL2026!$M:$M,$C98,BSPL2026!$Z:$Z)</f>
        <v>11186723445</v>
      </c>
      <c r="G98" s="483"/>
      <c r="H98" s="481"/>
      <c r="I98" s="482"/>
      <c r="J98" s="480"/>
      <c r="K98" s="480"/>
      <c r="L98" s="483"/>
      <c r="M98" s="481" t="n">
        <f aca="false">+F98+G98+K98</f>
        <v>11186723445</v>
      </c>
      <c r="N98" s="483"/>
      <c r="O98" s="481" t="n">
        <v>10248455012</v>
      </c>
      <c r="P98" s="478" t="n">
        <f aca="false">M98-O98</f>
        <v>938268433</v>
      </c>
      <c r="Q98" s="384"/>
      <c r="R98" s="406"/>
      <c r="S98" s="406"/>
      <c r="T98" s="406"/>
    </row>
    <row r="99" customFormat="false" ht="21" hidden="false" customHeight="true" outlineLevel="0" collapsed="false">
      <c r="B99" s="385" t="s">
        <v>2484</v>
      </c>
      <c r="C99" s="386" t="s">
        <v>222</v>
      </c>
      <c r="D99" s="387"/>
      <c r="E99" s="500"/>
      <c r="F99" s="500" t="n">
        <f aca="false">F97-F98</f>
        <v>49288887022</v>
      </c>
      <c r="G99" s="501"/>
      <c r="H99" s="502"/>
      <c r="I99" s="503"/>
      <c r="J99" s="500"/>
      <c r="K99" s="500"/>
      <c r="L99" s="501"/>
      <c r="M99" s="502" t="n">
        <f aca="false">M97-M98</f>
        <v>49187674761</v>
      </c>
      <c r="N99" s="504"/>
      <c r="O99" s="502" t="n">
        <v>37959838338</v>
      </c>
      <c r="P99" s="478" t="n">
        <f aca="false">M99-O99</f>
        <v>11227836423</v>
      </c>
      <c r="Q99" s="384"/>
      <c r="R99" s="393"/>
      <c r="S99" s="393"/>
      <c r="T99" s="406"/>
    </row>
    <row r="100" customFormat="false" ht="15" hidden="false" customHeight="false" outlineLevel="0" collapsed="false">
      <c r="F100" s="392"/>
      <c r="G100" s="392"/>
      <c r="H100" s="392"/>
      <c r="I100" s="392"/>
      <c r="J100" s="392"/>
      <c r="K100" s="392"/>
      <c r="L100" s="392"/>
      <c r="M100" s="392"/>
      <c r="O100" s="392"/>
      <c r="R100" s="393"/>
      <c r="S100" s="393"/>
      <c r="T100" s="393"/>
    </row>
    <row r="101" customFormat="false" ht="15" hidden="false" customHeight="false" outlineLevel="0" collapsed="false">
      <c r="E101" s="406" t="s">
        <v>2428</v>
      </c>
      <c r="F101" s="381" t="n">
        <v>-49288887022</v>
      </c>
      <c r="G101" s="392" t="s">
        <v>2485</v>
      </c>
      <c r="H101" s="392"/>
      <c r="I101" s="392"/>
      <c r="J101" s="392"/>
      <c r="K101" s="392"/>
      <c r="L101" s="392"/>
      <c r="M101" s="381" t="n">
        <v>49187674761</v>
      </c>
      <c r="O101" s="392" t="n">
        <v>37959838338</v>
      </c>
      <c r="T101" s="393"/>
    </row>
    <row r="102" customFormat="false" ht="15" hidden="false" customHeight="false" outlineLevel="0" collapsed="false">
      <c r="E102" s="393" t="s">
        <v>2428</v>
      </c>
      <c r="F102" s="393" t="n">
        <f aca="false">++F99+F101</f>
        <v>0</v>
      </c>
      <c r="G102" s="474"/>
      <c r="H102" s="474"/>
      <c r="I102" s="474"/>
      <c r="J102" s="474"/>
      <c r="K102" s="474"/>
      <c r="L102" s="474"/>
      <c r="M102" s="474" t="n">
        <f aca="false">++M99-M101</f>
        <v>0</v>
      </c>
      <c r="R102" s="406"/>
      <c r="S102" s="406"/>
      <c r="T102" s="406"/>
    </row>
    <row r="103" customFormat="false" ht="15" hidden="false" customHeight="false" outlineLevel="0" collapsed="false">
      <c r="G103" s="474"/>
      <c r="H103" s="474"/>
      <c r="I103" s="474"/>
      <c r="J103" s="474"/>
      <c r="K103" s="474"/>
      <c r="L103" s="474"/>
      <c r="M103" s="474"/>
      <c r="R103" s="406"/>
      <c r="S103" s="406"/>
      <c r="T103" s="406"/>
    </row>
    <row r="104" customFormat="false" ht="15" hidden="false" customHeight="false" outlineLevel="0" collapsed="false">
      <c r="K104" s="474" t="n">
        <f aca="false">++F99-M99</f>
        <v>101212261</v>
      </c>
      <c r="L104" s="474"/>
      <c r="M104" s="474"/>
    </row>
    <row r="105" customFormat="false" ht="15" hidden="false" customHeight="false" outlineLevel="0" collapsed="false">
      <c r="K105" s="474"/>
      <c r="L105" s="474"/>
      <c r="M105" s="474"/>
    </row>
    <row r="106" customFormat="false" ht="15" hidden="false" customHeight="false" outlineLevel="0" collapsed="false">
      <c r="K106" s="474"/>
      <c r="L106" s="474"/>
      <c r="M106" s="474"/>
    </row>
    <row r="107" customFormat="false" ht="15" hidden="false" customHeight="false" outlineLevel="0" collapsed="false">
      <c r="K107" s="474"/>
      <c r="L107" s="474"/>
      <c r="M107" s="474"/>
    </row>
    <row r="108" customFormat="false" ht="15" hidden="false" customHeight="false" outlineLevel="0" collapsed="false">
      <c r="K108" s="474"/>
      <c r="L108" s="474"/>
      <c r="M108" s="474"/>
    </row>
    <row r="109" customFormat="false" ht="15" hidden="false" customHeight="false" outlineLevel="0" collapsed="false">
      <c r="K109" s="474"/>
      <c r="L109" s="474"/>
      <c r="M109" s="474"/>
    </row>
    <row r="110" customFormat="false" ht="15" hidden="false" customHeight="false" outlineLevel="0" collapsed="false">
      <c r="K110" s="474"/>
      <c r="L110" s="474"/>
      <c r="M110" s="474"/>
    </row>
    <row r="111" customFormat="false" ht="15" hidden="false" customHeight="false" outlineLevel="0" collapsed="false">
      <c r="K111" s="474"/>
      <c r="L111" s="474"/>
      <c r="M111" s="474"/>
    </row>
    <row r="112" customFormat="false" ht="15" hidden="false" customHeight="false" outlineLevel="0" collapsed="false">
      <c r="K112" s="474"/>
      <c r="L112" s="474"/>
      <c r="M112" s="474"/>
    </row>
    <row r="113" customFormat="false" ht="15" hidden="false" customHeight="false" outlineLevel="0" collapsed="false">
      <c r="I113" s="474"/>
    </row>
    <row r="114" customFormat="false" ht="15" hidden="false" customHeight="false" outlineLevel="0" collapsed="false">
      <c r="I114" s="474"/>
    </row>
    <row r="118" customFormat="false" ht="15" hidden="false" customHeight="false" outlineLevel="0" collapsed="false">
      <c r="H118" s="381" t="n">
        <f aca="false">++G98+G96+H81+G76+H54+G43+G31+H26+G14</f>
        <v>0</v>
      </c>
    </row>
  </sheetData>
  <mergeCells count="13">
    <mergeCell ref="B3:O3"/>
    <mergeCell ref="B5:O5"/>
    <mergeCell ref="B6:O6"/>
    <mergeCell ref="G7:H7"/>
    <mergeCell ref="J7:K7"/>
    <mergeCell ref="B8:D9"/>
    <mergeCell ref="E8:F9"/>
    <mergeCell ref="G8:H8"/>
    <mergeCell ref="J8:K8"/>
    <mergeCell ref="L8:M9"/>
    <mergeCell ref="N8:O9"/>
    <mergeCell ref="G9:H9"/>
    <mergeCell ref="J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2.63"/>
    <col collapsed="false" customWidth="true" hidden="false" outlineLevel="0" max="3" min="3" style="162" width="4.63"/>
    <col collapsed="false" customWidth="true" hidden="false" outlineLevel="0" max="4" min="4" style="162" width="20.63"/>
    <col collapsed="false" customWidth="true" hidden="true" outlineLevel="0" max="5" min="5" style="162" width="15.63"/>
    <col collapsed="false" customWidth="true" hidden="false" outlineLevel="0" max="12" min="11" style="162" width="15.63"/>
    <col collapsed="false" customWidth="true" hidden="false" outlineLevel="0" max="15" min="15" style="162" width="15.63"/>
    <col collapsed="false" customWidth="true" hidden="false" outlineLevel="0" max="17" min="17" style="162" width="8.63"/>
    <col collapsed="false" customWidth="true" hidden="false" outlineLevel="0" max="20" min="19" style="162" width="45.63"/>
    <col collapsed="false" customWidth="true" hidden="false" outlineLevel="0" max="23" min="22" style="162" width="15.63"/>
  </cols>
  <sheetData>
    <row r="1" customFormat="false" ht="14.25" hidden="false" customHeight="true" outlineLevel="0" collapsed="false">
      <c r="A1" s="505" t="s">
        <v>2486</v>
      </c>
      <c r="I1" s="506"/>
    </row>
    <row r="2" customFormat="false" ht="15" hidden="false" customHeight="false" outlineLevel="0" collapsed="false">
      <c r="B2" s="507" t="s">
        <v>2380</v>
      </c>
      <c r="K2" s="508" t="s">
        <v>2487</v>
      </c>
      <c r="L2" s="509" t="n">
        <v>0.01</v>
      </c>
      <c r="M2" s="510" t="n">
        <v>6457544606.71</v>
      </c>
      <c r="N2" s="511"/>
      <c r="O2" s="512"/>
      <c r="P2" s="512"/>
      <c r="Q2" s="513"/>
      <c r="R2" s="513"/>
      <c r="S2" s="514"/>
      <c r="T2" s="512"/>
      <c r="U2" s="512"/>
      <c r="V2" s="515"/>
    </row>
    <row r="3" customFormat="false" ht="15" hidden="false" customHeight="false" outlineLevel="0" collapsed="false">
      <c r="B3" s="516" t="s">
        <v>2488</v>
      </c>
      <c r="K3" s="517" t="s">
        <v>2489</v>
      </c>
      <c r="L3" s="518" t="n">
        <v>0.8</v>
      </c>
      <c r="M3" s="519" t="n">
        <v>5166035685.368</v>
      </c>
      <c r="N3" s="511"/>
      <c r="O3" s="512"/>
      <c r="P3" s="512"/>
      <c r="Q3" s="513"/>
      <c r="R3" s="513"/>
      <c r="S3" s="514"/>
      <c r="T3" s="512"/>
      <c r="U3" s="512"/>
      <c r="V3" s="515"/>
    </row>
    <row r="4" customFormat="false" ht="14.25" hidden="false" customHeight="true" outlineLevel="0" collapsed="false">
      <c r="B4" s="516" t="s">
        <v>2490</v>
      </c>
      <c r="H4" s="515"/>
      <c r="K4" s="520" t="s">
        <v>2491</v>
      </c>
      <c r="L4" s="521" t="n">
        <v>0.03</v>
      </c>
      <c r="M4" s="522" t="n">
        <v>193726338.2013</v>
      </c>
      <c r="N4" s="511"/>
      <c r="O4" s="512"/>
      <c r="P4" s="512"/>
      <c r="Q4" s="513"/>
      <c r="R4" s="513"/>
      <c r="S4" s="514"/>
      <c r="T4" s="512"/>
      <c r="U4" s="512"/>
      <c r="V4" s="515"/>
    </row>
    <row r="5" customFormat="false" ht="15" hidden="false" customHeight="false" outlineLevel="0" collapsed="false">
      <c r="E5" s="515"/>
      <c r="F5" s="515"/>
      <c r="G5" s="511" t="s">
        <v>1478</v>
      </c>
      <c r="H5" s="511"/>
      <c r="I5" s="523" t="s">
        <v>2384</v>
      </c>
      <c r="J5" s="523"/>
      <c r="K5" s="515"/>
      <c r="L5" s="515"/>
      <c r="M5" s="515"/>
      <c r="N5" s="515"/>
      <c r="O5" s="512"/>
      <c r="P5" s="512"/>
      <c r="Q5" s="513"/>
      <c r="R5" s="513"/>
      <c r="S5" s="514"/>
      <c r="T5" s="512"/>
      <c r="U5" s="512"/>
      <c r="V5" s="515"/>
    </row>
    <row r="6" customFormat="false" ht="15" hidden="false" customHeight="true" outlineLevel="0" collapsed="false">
      <c r="B6" s="524" t="s">
        <v>2385</v>
      </c>
      <c r="C6" s="524"/>
      <c r="D6" s="524"/>
      <c r="E6" s="525" t="s">
        <v>2492</v>
      </c>
      <c r="F6" s="525"/>
      <c r="G6" s="526" t="s">
        <v>2386</v>
      </c>
      <c r="H6" s="527" t="s">
        <v>2387</v>
      </c>
      <c r="I6" s="528" t="s">
        <v>2388</v>
      </c>
      <c r="J6" s="528"/>
      <c r="K6" s="525" t="s">
        <v>2492</v>
      </c>
      <c r="L6" s="525"/>
      <c r="M6" s="525" t="s">
        <v>2493</v>
      </c>
      <c r="N6" s="525"/>
      <c r="O6" s="529" t="s">
        <v>2494</v>
      </c>
      <c r="P6" s="529"/>
      <c r="Q6" s="525" t="s">
        <v>2495</v>
      </c>
      <c r="R6" s="530" t="s">
        <v>2496</v>
      </c>
      <c r="S6" s="525" t="s">
        <v>2497</v>
      </c>
      <c r="T6" s="525" t="s">
        <v>2498</v>
      </c>
      <c r="U6" s="525" t="s">
        <v>2499</v>
      </c>
      <c r="V6" s="515"/>
    </row>
    <row r="7" customFormat="false" ht="15" hidden="false" customHeight="false" outlineLevel="0" collapsed="false">
      <c r="B7" s="524"/>
      <c r="C7" s="524"/>
      <c r="D7" s="524"/>
      <c r="E7" s="525"/>
      <c r="F7" s="525"/>
      <c r="G7" s="531" t="s">
        <v>2255</v>
      </c>
      <c r="H7" s="532" t="s">
        <v>2389</v>
      </c>
      <c r="I7" s="533" t="s">
        <v>2390</v>
      </c>
      <c r="J7" s="533"/>
      <c r="K7" s="525"/>
      <c r="L7" s="525"/>
      <c r="M7" s="525"/>
      <c r="N7" s="525"/>
      <c r="O7" s="534" t="s">
        <v>11</v>
      </c>
      <c r="P7" s="535" t="s">
        <v>2500</v>
      </c>
      <c r="Q7" s="525"/>
      <c r="R7" s="525"/>
      <c r="S7" s="525"/>
      <c r="T7" s="525"/>
      <c r="U7" s="525"/>
    </row>
    <row r="8" customFormat="false" ht="15" hidden="false" customHeight="false" outlineLevel="0" collapsed="false">
      <c r="B8" s="536"/>
      <c r="C8" s="537" t="s">
        <v>2391</v>
      </c>
      <c r="D8" s="538"/>
      <c r="E8" s="539"/>
      <c r="F8" s="540"/>
      <c r="G8" s="541"/>
      <c r="H8" s="542"/>
      <c r="I8" s="541"/>
      <c r="J8" s="540"/>
      <c r="K8" s="539"/>
      <c r="L8" s="540"/>
      <c r="M8" s="539"/>
      <c r="N8" s="540"/>
      <c r="O8" s="539"/>
      <c r="P8" s="540"/>
      <c r="Q8" s="543"/>
      <c r="R8" s="543"/>
      <c r="S8" s="544"/>
      <c r="T8" s="542"/>
      <c r="U8" s="542"/>
      <c r="V8" s="511"/>
      <c r="W8" s="545"/>
      <c r="X8" s="545"/>
      <c r="Y8" s="545"/>
      <c r="Z8" s="545"/>
    </row>
    <row r="9" customFormat="false" ht="15" hidden="false" customHeight="false" outlineLevel="0" collapsed="false">
      <c r="B9" s="536" t="s">
        <v>2392</v>
      </c>
      <c r="C9" s="537" t="s">
        <v>2393</v>
      </c>
      <c r="D9" s="538"/>
      <c r="E9" s="539"/>
      <c r="F9" s="540" t="n">
        <v>404185071807</v>
      </c>
      <c r="G9" s="541"/>
      <c r="H9" s="542"/>
      <c r="I9" s="541"/>
      <c r="J9" s="540"/>
      <c r="K9" s="539"/>
      <c r="L9" s="540" t="n">
        <v>399003823525</v>
      </c>
      <c r="M9" s="539"/>
      <c r="N9" s="540" t="n">
        <v>389444572154</v>
      </c>
      <c r="O9" s="539" t="n">
        <v>9559251371</v>
      </c>
      <c r="P9" s="546" t="n">
        <v>0.0245458585239184</v>
      </c>
      <c r="Q9" s="543"/>
      <c r="R9" s="543"/>
      <c r="S9" s="544"/>
      <c r="T9" s="542"/>
      <c r="U9" s="542"/>
      <c r="V9" s="511"/>
      <c r="W9" s="545"/>
      <c r="X9" s="545"/>
      <c r="Y9" s="545"/>
      <c r="Z9" s="545"/>
    </row>
    <row r="10" customFormat="false" ht="15" hidden="false" customHeight="false" outlineLevel="0" collapsed="false">
      <c r="B10" s="536"/>
      <c r="C10" s="547" t="n">
        <v>-1</v>
      </c>
      <c r="D10" s="548" t="s">
        <v>2394</v>
      </c>
      <c r="E10" s="539"/>
      <c r="F10" s="540" t="n">
        <v>227695998570</v>
      </c>
      <c r="G10" s="541"/>
      <c r="H10" s="542"/>
      <c r="I10" s="541"/>
      <c r="J10" s="540"/>
      <c r="K10" s="539"/>
      <c r="L10" s="540" t="n">
        <v>222568030855</v>
      </c>
      <c r="M10" s="539"/>
      <c r="N10" s="540" t="n">
        <v>193617654983</v>
      </c>
      <c r="O10" s="539" t="n">
        <v>28950375872</v>
      </c>
      <c r="P10" s="546" t="n">
        <v>0.149523429950342</v>
      </c>
      <c r="Q10" s="543"/>
      <c r="R10" s="543"/>
      <c r="S10" s="544"/>
      <c r="T10" s="542"/>
      <c r="U10" s="542"/>
      <c r="V10" s="511"/>
      <c r="W10" s="545"/>
      <c r="X10" s="545"/>
      <c r="Y10" s="545"/>
      <c r="Z10" s="545"/>
    </row>
    <row r="11" customFormat="false" ht="94.5" hidden="false" customHeight="true" outlineLevel="0" collapsed="false">
      <c r="B11" s="549"/>
      <c r="C11" s="550" t="n">
        <v>1</v>
      </c>
      <c r="D11" s="551" t="s">
        <v>27</v>
      </c>
      <c r="E11" s="552" t="n">
        <v>11105202344</v>
      </c>
      <c r="F11" s="553" t="s">
        <v>2395</v>
      </c>
      <c r="G11" s="51"/>
      <c r="H11" s="554"/>
      <c r="I11" s="51"/>
      <c r="J11" s="553"/>
      <c r="K11" s="552" t="n">
        <v>11105202344</v>
      </c>
      <c r="L11" s="553" t="s">
        <v>2395</v>
      </c>
      <c r="M11" s="552" t="n">
        <v>4700617833</v>
      </c>
      <c r="N11" s="553" t="s">
        <v>2395</v>
      </c>
      <c r="O11" s="552" t="n">
        <v>6404584511</v>
      </c>
      <c r="P11" s="555" t="n">
        <v>1.3624984498926</v>
      </c>
      <c r="Q11" s="556" t="s">
        <v>2501</v>
      </c>
      <c r="R11" s="557" t="s">
        <v>2502</v>
      </c>
      <c r="S11" s="558"/>
      <c r="T11" s="559" t="s">
        <v>2503</v>
      </c>
      <c r="U11" s="558" t="s">
        <v>2504</v>
      </c>
      <c r="V11" s="511"/>
      <c r="W11" s="560"/>
      <c r="X11" s="560"/>
      <c r="Y11" s="560"/>
      <c r="Z11" s="560"/>
    </row>
    <row r="12" customFormat="false" ht="202.5" hidden="false" customHeight="true" outlineLevel="0" collapsed="false">
      <c r="B12" s="549"/>
      <c r="C12" s="550" t="n">
        <v>2</v>
      </c>
      <c r="D12" s="551" t="s">
        <v>30</v>
      </c>
      <c r="E12" s="552" t="n">
        <v>173947218023</v>
      </c>
      <c r="F12" s="553"/>
      <c r="G12" s="51"/>
      <c r="H12" s="554"/>
      <c r="I12" s="51"/>
      <c r="J12" s="553" t="n">
        <v>-7192440524</v>
      </c>
      <c r="K12" s="552" t="n">
        <v>166754777499</v>
      </c>
      <c r="L12" s="553"/>
      <c r="M12" s="552" t="n">
        <v>158110132809</v>
      </c>
      <c r="N12" s="553"/>
      <c r="O12" s="552" t="n">
        <v>8644644690</v>
      </c>
      <c r="P12" s="555" t="n">
        <v>0.054674830362978</v>
      </c>
      <c r="Q12" s="556" t="s">
        <v>2501</v>
      </c>
      <c r="R12" s="557" t="s">
        <v>2505</v>
      </c>
      <c r="S12" s="558" t="s">
        <v>2506</v>
      </c>
      <c r="T12" s="558" t="s">
        <v>2507</v>
      </c>
      <c r="U12" s="558"/>
      <c r="V12" s="511"/>
      <c r="W12" s="560"/>
      <c r="X12" s="560"/>
      <c r="Y12" s="560"/>
      <c r="Z12" s="560"/>
    </row>
    <row r="13" customFormat="false" ht="108" hidden="false" customHeight="true" outlineLevel="0" collapsed="false">
      <c r="B13" s="549"/>
      <c r="C13" s="550" t="n">
        <v>3</v>
      </c>
      <c r="D13" s="551" t="s">
        <v>33</v>
      </c>
      <c r="E13" s="552" t="n">
        <v>-122273991</v>
      </c>
      <c r="F13" s="553" t="n">
        <v>173824944032</v>
      </c>
      <c r="G13" s="51"/>
      <c r="H13" s="554"/>
      <c r="I13" s="51"/>
      <c r="J13" s="553"/>
      <c r="K13" s="552" t="n">
        <v>-122273991</v>
      </c>
      <c r="L13" s="553" t="n">
        <v>166632503508</v>
      </c>
      <c r="M13" s="552" t="n">
        <v>-61143274</v>
      </c>
      <c r="N13" s="553" t="n">
        <v>158048989535</v>
      </c>
      <c r="O13" s="552" t="n">
        <v>-61130717</v>
      </c>
      <c r="P13" s="555" t="n">
        <v>0.999794629904836</v>
      </c>
      <c r="Q13" s="556"/>
      <c r="R13" s="557" t="s">
        <v>2505</v>
      </c>
      <c r="S13" s="559" t="s">
        <v>2508</v>
      </c>
      <c r="T13" s="558"/>
      <c r="U13" s="559" t="s">
        <v>2509</v>
      </c>
      <c r="V13" s="511"/>
      <c r="W13" s="560"/>
      <c r="X13" s="560"/>
      <c r="Y13" s="560"/>
      <c r="Z13" s="560"/>
    </row>
    <row r="14" customFormat="false" ht="94.5" hidden="false" customHeight="true" outlineLevel="0" collapsed="false">
      <c r="B14" s="549"/>
      <c r="C14" s="550" t="n">
        <v>4</v>
      </c>
      <c r="D14" s="551" t="s">
        <v>36</v>
      </c>
      <c r="E14" s="552" t="n">
        <v>16997869331</v>
      </c>
      <c r="F14" s="553" t="s">
        <v>2395</v>
      </c>
      <c r="G14" s="552"/>
      <c r="H14" s="554"/>
      <c r="I14" s="51" t="n">
        <v>2256858116</v>
      </c>
      <c r="J14" s="553"/>
      <c r="K14" s="552" t="n">
        <v>19254727447</v>
      </c>
      <c r="L14" s="553" t="s">
        <v>2395</v>
      </c>
      <c r="M14" s="552" t="n">
        <v>9707924824</v>
      </c>
      <c r="N14" s="553" t="s">
        <v>2395</v>
      </c>
      <c r="O14" s="552" t="n">
        <v>9546802623</v>
      </c>
      <c r="P14" s="555" t="n">
        <v>0.983403023414265</v>
      </c>
      <c r="Q14" s="556" t="s">
        <v>2501</v>
      </c>
      <c r="R14" s="557" t="s">
        <v>2505</v>
      </c>
      <c r="S14" s="559" t="s">
        <v>2510</v>
      </c>
      <c r="T14" s="558"/>
      <c r="U14" s="559" t="s">
        <v>2511</v>
      </c>
      <c r="V14" s="561"/>
      <c r="W14" s="560"/>
      <c r="X14" s="560"/>
      <c r="Y14" s="560"/>
      <c r="Z14" s="560"/>
    </row>
    <row r="15" customFormat="false" ht="15" hidden="false" customHeight="false" outlineLevel="0" collapsed="false">
      <c r="B15" s="549"/>
      <c r="C15" s="550" t="n">
        <v>5</v>
      </c>
      <c r="D15" s="551" t="s">
        <v>39</v>
      </c>
      <c r="E15" s="552" t="n">
        <v>9</v>
      </c>
      <c r="F15" s="553"/>
      <c r="G15" s="51"/>
      <c r="H15" s="554"/>
      <c r="I15" s="51"/>
      <c r="J15" s="553" t="n">
        <v>9</v>
      </c>
      <c r="K15" s="552" t="n">
        <v>0</v>
      </c>
      <c r="L15" s="553"/>
      <c r="M15" s="552" t="n">
        <v>0</v>
      </c>
      <c r="N15" s="553"/>
      <c r="O15" s="552" t="n">
        <v>0</v>
      </c>
      <c r="P15" s="555" t="n">
        <v>0</v>
      </c>
      <c r="Q15" s="556"/>
      <c r="R15" s="557" t="s">
        <v>2502</v>
      </c>
      <c r="S15" s="558"/>
      <c r="T15" s="558"/>
      <c r="U15" s="558"/>
      <c r="V15" s="511"/>
      <c r="W15" s="560"/>
      <c r="X15" s="560"/>
      <c r="Y15" s="560"/>
      <c r="Z15" s="560"/>
    </row>
    <row r="16" customFormat="false" ht="81" hidden="false" customHeight="true" outlineLevel="0" collapsed="false">
      <c r="B16" s="549"/>
      <c r="C16" s="550" t="n">
        <v>6</v>
      </c>
      <c r="D16" s="551" t="s">
        <v>42</v>
      </c>
      <c r="E16" s="552" t="n">
        <v>979522379</v>
      </c>
      <c r="F16" s="553"/>
      <c r="G16" s="51"/>
      <c r="H16" s="554"/>
      <c r="I16" s="562" t="n">
        <v>82</v>
      </c>
      <c r="J16" s="553"/>
      <c r="K16" s="552" t="n">
        <v>979522461</v>
      </c>
      <c r="L16" s="553"/>
      <c r="M16" s="552" t="n">
        <v>113711529</v>
      </c>
      <c r="N16" s="553"/>
      <c r="O16" s="552" t="n">
        <v>865810932</v>
      </c>
      <c r="P16" s="555" t="n">
        <v>7.6140998156836</v>
      </c>
      <c r="Q16" s="556"/>
      <c r="R16" s="557" t="s">
        <v>2502</v>
      </c>
      <c r="S16" s="559" t="s">
        <v>2512</v>
      </c>
      <c r="T16" s="559" t="s">
        <v>2513</v>
      </c>
      <c r="U16" s="558"/>
      <c r="V16" s="511"/>
      <c r="W16" s="563"/>
      <c r="Z16" s="560"/>
    </row>
    <row r="17" customFormat="false" ht="108" hidden="false" customHeight="true" outlineLevel="0" collapsed="false">
      <c r="B17" s="549"/>
      <c r="C17" s="550" t="n">
        <v>7</v>
      </c>
      <c r="D17" s="551" t="s">
        <v>45</v>
      </c>
      <c r="E17" s="552" t="n">
        <v>67506656</v>
      </c>
      <c r="F17" s="553"/>
      <c r="G17" s="51"/>
      <c r="H17" s="554"/>
      <c r="I17" s="51" t="n">
        <v>26463700</v>
      </c>
      <c r="J17" s="553"/>
      <c r="K17" s="552" t="n">
        <v>93970356</v>
      </c>
      <c r="L17" s="553"/>
      <c r="M17" s="552" t="n">
        <v>699908984</v>
      </c>
      <c r="N17" s="553"/>
      <c r="O17" s="552" t="n">
        <v>-605938628</v>
      </c>
      <c r="P17" s="555" t="n">
        <v>-0.865739177309946</v>
      </c>
      <c r="Q17" s="556"/>
      <c r="R17" s="557" t="s">
        <v>2502</v>
      </c>
      <c r="S17" s="559" t="s">
        <v>2514</v>
      </c>
      <c r="T17" s="559" t="s">
        <v>2515</v>
      </c>
      <c r="U17" s="559" t="s">
        <v>2516</v>
      </c>
      <c r="V17" s="511"/>
      <c r="W17" s="563"/>
      <c r="Z17" s="560"/>
    </row>
    <row r="18" customFormat="false" ht="15" hidden="false" customHeight="false" outlineLevel="0" collapsed="false">
      <c r="B18" s="549"/>
      <c r="C18" s="550" t="n">
        <v>8</v>
      </c>
      <c r="D18" s="551" t="s">
        <v>48</v>
      </c>
      <c r="E18" s="552" t="n">
        <v>0</v>
      </c>
      <c r="F18" s="553"/>
      <c r="G18" s="51"/>
      <c r="H18" s="554"/>
      <c r="I18" s="51"/>
      <c r="J18" s="553"/>
      <c r="K18" s="552" t="n">
        <v>0</v>
      </c>
      <c r="L18" s="553"/>
      <c r="M18" s="552" t="n">
        <v>0</v>
      </c>
      <c r="N18" s="553"/>
      <c r="O18" s="552" t="n">
        <v>0</v>
      </c>
      <c r="P18" s="555" t="s">
        <v>2517</v>
      </c>
      <c r="Q18" s="556"/>
      <c r="R18" s="556"/>
      <c r="S18" s="558"/>
      <c r="T18" s="558"/>
      <c r="U18" s="558"/>
      <c r="V18" s="511"/>
      <c r="W18" s="563"/>
      <c r="Z18" s="560"/>
    </row>
    <row r="19" customFormat="false" ht="15" hidden="false" customHeight="false" outlineLevel="0" collapsed="false">
      <c r="B19" s="549"/>
      <c r="C19" s="550" t="n">
        <v>9</v>
      </c>
      <c r="D19" s="551" t="s">
        <v>51</v>
      </c>
      <c r="E19" s="552" t="n">
        <v>0</v>
      </c>
      <c r="F19" s="553"/>
      <c r="G19" s="51"/>
      <c r="H19" s="554"/>
      <c r="I19" s="51"/>
      <c r="J19" s="553"/>
      <c r="K19" s="552" t="n">
        <v>0</v>
      </c>
      <c r="L19" s="553"/>
      <c r="M19" s="552" t="n">
        <v>0</v>
      </c>
      <c r="N19" s="553"/>
      <c r="O19" s="552" t="n">
        <v>0</v>
      </c>
      <c r="P19" s="555" t="s">
        <v>2517</v>
      </c>
      <c r="Q19" s="556"/>
      <c r="R19" s="556"/>
      <c r="S19" s="558"/>
      <c r="T19" s="558"/>
      <c r="U19" s="558"/>
      <c r="V19" s="511"/>
      <c r="W19" s="563"/>
      <c r="Z19" s="560"/>
    </row>
    <row r="20" customFormat="false" ht="15" hidden="false" customHeight="false" outlineLevel="0" collapsed="false">
      <c r="B20" s="549"/>
      <c r="C20" s="550" t="n">
        <v>10</v>
      </c>
      <c r="D20" s="551" t="s">
        <v>54</v>
      </c>
      <c r="E20" s="552" t="n">
        <v>307501499</v>
      </c>
      <c r="F20" s="553"/>
      <c r="G20" s="51"/>
      <c r="H20" s="554"/>
      <c r="I20" s="51"/>
      <c r="J20" s="553"/>
      <c r="K20" s="552" t="n">
        <v>307501499</v>
      </c>
      <c r="L20" s="553"/>
      <c r="M20" s="552" t="n">
        <v>285160922</v>
      </c>
      <c r="N20" s="553"/>
      <c r="O20" s="552" t="n">
        <v>22340577</v>
      </c>
      <c r="P20" s="555" t="n">
        <v>0.0783437535666265</v>
      </c>
      <c r="Q20" s="556"/>
      <c r="R20" s="557" t="s">
        <v>2502</v>
      </c>
      <c r="S20" s="558"/>
      <c r="T20" s="558"/>
      <c r="U20" s="558"/>
      <c r="V20" s="511"/>
      <c r="W20" s="563"/>
      <c r="Z20" s="560"/>
    </row>
    <row r="21" customFormat="false" ht="15" hidden="false" customHeight="false" outlineLevel="0" collapsed="false">
      <c r="B21" s="549"/>
      <c r="C21" s="550" t="n">
        <v>11</v>
      </c>
      <c r="D21" s="551" t="s">
        <v>57</v>
      </c>
      <c r="E21" s="552" t="n">
        <v>24413452320</v>
      </c>
      <c r="F21" s="553"/>
      <c r="G21" s="51" t="n">
        <v>-4234961041</v>
      </c>
      <c r="H21" s="554"/>
      <c r="I21" s="51" t="n">
        <v>4016111961</v>
      </c>
      <c r="J21" s="553"/>
      <c r="K21" s="552" t="n">
        <v>24194603240</v>
      </c>
      <c r="L21" s="553"/>
      <c r="M21" s="552" t="n">
        <v>20061341356</v>
      </c>
      <c r="N21" s="553"/>
      <c r="O21" s="552" t="n">
        <v>4133261884</v>
      </c>
      <c r="P21" s="555" t="n">
        <v>0.20603118259407</v>
      </c>
      <c r="Q21" s="556"/>
      <c r="R21" s="557" t="s">
        <v>2518</v>
      </c>
      <c r="S21" s="564"/>
      <c r="T21" s="558"/>
      <c r="U21" s="558"/>
      <c r="V21" s="511"/>
      <c r="W21" s="563"/>
      <c r="Z21" s="560"/>
    </row>
    <row r="22" customFormat="false" ht="15" hidden="false" customHeight="false" outlineLevel="0" collapsed="false">
      <c r="B22" s="549"/>
      <c r="C22" s="550" t="n">
        <v>12</v>
      </c>
      <c r="D22" s="551" t="s">
        <v>60</v>
      </c>
      <c r="E22" s="552" t="n">
        <v>0</v>
      </c>
      <c r="F22" s="553"/>
      <c r="G22" s="51"/>
      <c r="H22" s="554"/>
      <c r="I22" s="51"/>
      <c r="J22" s="553"/>
      <c r="K22" s="552" t="n">
        <v>0</v>
      </c>
      <c r="L22" s="553"/>
      <c r="M22" s="552" t="n">
        <v>0</v>
      </c>
      <c r="N22" s="553"/>
      <c r="O22" s="552" t="n">
        <v>0</v>
      </c>
      <c r="P22" s="555" t="s">
        <v>2517</v>
      </c>
      <c r="Q22" s="556"/>
      <c r="R22" s="556"/>
      <c r="S22" s="558"/>
      <c r="T22" s="558"/>
      <c r="U22" s="558"/>
      <c r="V22" s="511"/>
      <c r="W22" s="563"/>
      <c r="X22" s="565"/>
      <c r="Z22" s="560"/>
    </row>
    <row r="23" customFormat="false" ht="15" hidden="false" customHeight="false" outlineLevel="0" collapsed="false">
      <c r="B23" s="549"/>
      <c r="C23" s="550" t="n">
        <v>13</v>
      </c>
      <c r="D23" s="551" t="s">
        <v>62</v>
      </c>
      <c r="E23" s="552"/>
      <c r="F23" s="553"/>
      <c r="G23" s="51"/>
      <c r="H23" s="554"/>
      <c r="I23" s="51"/>
      <c r="J23" s="553"/>
      <c r="K23" s="552"/>
      <c r="L23" s="553"/>
      <c r="M23" s="552" t="n">
        <v>0</v>
      </c>
      <c r="N23" s="553"/>
      <c r="O23" s="552" t="n">
        <v>0</v>
      </c>
      <c r="P23" s="555" t="s">
        <v>2517</v>
      </c>
      <c r="Q23" s="556"/>
      <c r="R23" s="556"/>
      <c r="S23" s="558"/>
      <c r="T23" s="558"/>
      <c r="U23" s="558"/>
      <c r="V23" s="511"/>
      <c r="W23" s="563"/>
      <c r="X23" s="565"/>
      <c r="Z23" s="560"/>
    </row>
    <row r="24" customFormat="false" ht="15" hidden="false" customHeight="false" outlineLevel="0" collapsed="false">
      <c r="B24" s="536"/>
      <c r="C24" s="547" t="n">
        <v>-2</v>
      </c>
      <c r="D24" s="548" t="s">
        <v>2396</v>
      </c>
      <c r="E24" s="539"/>
      <c r="F24" s="540" t="n">
        <v>176489073237</v>
      </c>
      <c r="G24" s="541"/>
      <c r="H24" s="542"/>
      <c r="I24" s="541"/>
      <c r="J24" s="540"/>
      <c r="K24" s="539"/>
      <c r="L24" s="540" t="n">
        <v>176435792670</v>
      </c>
      <c r="M24" s="539"/>
      <c r="N24" s="540" t="n">
        <v>195826917171</v>
      </c>
      <c r="O24" s="539" t="n">
        <v>-19391124501</v>
      </c>
      <c r="P24" s="546" t="n">
        <v>-0.0990217523777249</v>
      </c>
      <c r="Q24" s="543"/>
      <c r="R24" s="543"/>
      <c r="S24" s="544"/>
      <c r="T24" s="544"/>
      <c r="U24" s="544"/>
      <c r="V24" s="511"/>
      <c r="W24" s="563"/>
      <c r="Z24" s="560"/>
    </row>
    <row r="25" customFormat="false" ht="121.5" hidden="false" customHeight="true" outlineLevel="0" collapsed="false">
      <c r="B25" s="549"/>
      <c r="C25" s="550" t="n">
        <v>1</v>
      </c>
      <c r="D25" s="551" t="s">
        <v>66</v>
      </c>
      <c r="E25" s="552" t="n">
        <v>160568039290</v>
      </c>
      <c r="F25" s="553"/>
      <c r="G25" s="51"/>
      <c r="H25" s="554"/>
      <c r="I25" s="51"/>
      <c r="J25" s="553"/>
      <c r="K25" s="552" t="n">
        <v>160568039290</v>
      </c>
      <c r="L25" s="553"/>
      <c r="M25" s="552" t="n">
        <v>165872046968</v>
      </c>
      <c r="N25" s="553"/>
      <c r="O25" s="552" t="n">
        <v>-5304007678</v>
      </c>
      <c r="P25" s="555" t="n">
        <v>-0.031976501013599</v>
      </c>
      <c r="Q25" s="556"/>
      <c r="R25" s="557" t="s">
        <v>2519</v>
      </c>
      <c r="S25" s="558"/>
      <c r="T25" s="559" t="s">
        <v>2520</v>
      </c>
      <c r="U25" s="559" t="s">
        <v>2521</v>
      </c>
      <c r="V25" s="511"/>
      <c r="W25" s="563"/>
      <c r="Z25" s="560"/>
    </row>
    <row r="26" customFormat="false" ht="324" hidden="false" customHeight="true" outlineLevel="0" collapsed="false">
      <c r="B26" s="549"/>
      <c r="C26" s="550"/>
      <c r="D26" s="551" t="s">
        <v>68</v>
      </c>
      <c r="E26" s="552" t="n">
        <v>-4770617217</v>
      </c>
      <c r="F26" s="553" t="n">
        <v>155797422073</v>
      </c>
      <c r="G26" s="51" t="n">
        <v>-53280567</v>
      </c>
      <c r="H26" s="554"/>
      <c r="I26" s="51"/>
      <c r="J26" s="553"/>
      <c r="K26" s="552" t="n">
        <v>-4823897784</v>
      </c>
      <c r="L26" s="553" t="n">
        <v>155744141506</v>
      </c>
      <c r="M26" s="552" t="n">
        <v>-5170622379</v>
      </c>
      <c r="N26" s="553" t="n">
        <v>160701424589</v>
      </c>
      <c r="O26" s="552" t="n">
        <v>346724595</v>
      </c>
      <c r="P26" s="555" t="n">
        <v>-0.0670566461028347</v>
      </c>
      <c r="Q26" s="556"/>
      <c r="R26" s="557" t="s">
        <v>2519</v>
      </c>
      <c r="S26" s="559" t="s">
        <v>2522</v>
      </c>
      <c r="T26" s="558" t="s">
        <v>2523</v>
      </c>
      <c r="U26" s="559" t="s">
        <v>2524</v>
      </c>
      <c r="V26" s="511"/>
      <c r="W26" s="563"/>
      <c r="Z26" s="560"/>
    </row>
    <row r="27" customFormat="false" ht="15" hidden="false" customHeight="false" outlineLevel="0" collapsed="false">
      <c r="B27" s="549"/>
      <c r="C27" s="550" t="n">
        <v>2</v>
      </c>
      <c r="D27" s="551" t="s">
        <v>70</v>
      </c>
      <c r="E27" s="552" t="n">
        <v>0</v>
      </c>
      <c r="F27" s="553"/>
      <c r="G27" s="51"/>
      <c r="H27" s="554"/>
      <c r="I27" s="51"/>
      <c r="J27" s="553"/>
      <c r="K27" s="552" t="n">
        <v>0</v>
      </c>
      <c r="L27" s="553"/>
      <c r="M27" s="552" t="n">
        <v>0</v>
      </c>
      <c r="N27" s="553"/>
      <c r="O27" s="552" t="n">
        <v>0</v>
      </c>
      <c r="P27" s="555" t="s">
        <v>2517</v>
      </c>
      <c r="Q27" s="556"/>
      <c r="R27" s="556"/>
      <c r="S27" s="558"/>
      <c r="T27" s="558"/>
      <c r="U27" s="558"/>
      <c r="V27" s="511"/>
      <c r="W27" s="563"/>
      <c r="Z27" s="560"/>
    </row>
    <row r="28" customFormat="false" ht="15" hidden="false" customHeight="false" outlineLevel="0" collapsed="false">
      <c r="B28" s="549"/>
      <c r="C28" s="550" t="n">
        <v>3</v>
      </c>
      <c r="D28" s="551" t="s">
        <v>71</v>
      </c>
      <c r="E28" s="552" t="n">
        <v>0</v>
      </c>
      <c r="F28" s="553"/>
      <c r="G28" s="51"/>
      <c r="H28" s="554"/>
      <c r="I28" s="51"/>
      <c r="J28" s="553"/>
      <c r="K28" s="552" t="n">
        <v>0</v>
      </c>
      <c r="L28" s="553"/>
      <c r="M28" s="552" t="n">
        <v>0</v>
      </c>
      <c r="N28" s="553"/>
      <c r="O28" s="552" t="n">
        <v>0</v>
      </c>
      <c r="P28" s="555" t="s">
        <v>2517</v>
      </c>
      <c r="Q28" s="556"/>
      <c r="R28" s="556"/>
      <c r="S28" s="558"/>
      <c r="T28" s="558"/>
      <c r="U28" s="558"/>
      <c r="V28" s="511"/>
      <c r="W28" s="563"/>
      <c r="Z28" s="560"/>
    </row>
    <row r="29" customFormat="false" ht="15" hidden="false" customHeight="false" outlineLevel="0" collapsed="false">
      <c r="B29" s="549"/>
      <c r="C29" s="550" t="n">
        <v>4</v>
      </c>
      <c r="D29" s="54" t="s">
        <v>73</v>
      </c>
      <c r="E29" s="552" t="n">
        <v>0</v>
      </c>
      <c r="F29" s="553"/>
      <c r="G29" s="51"/>
      <c r="H29" s="554"/>
      <c r="I29" s="51"/>
      <c r="J29" s="553"/>
      <c r="K29" s="552" t="n">
        <v>0</v>
      </c>
      <c r="L29" s="553"/>
      <c r="M29" s="552" t="n">
        <v>0</v>
      </c>
      <c r="N29" s="553"/>
      <c r="O29" s="552" t="n">
        <v>0</v>
      </c>
      <c r="P29" s="555" t="s">
        <v>2517</v>
      </c>
      <c r="Q29" s="556"/>
      <c r="R29" s="556"/>
      <c r="S29" s="558"/>
      <c r="T29" s="558"/>
      <c r="U29" s="558"/>
      <c r="V29" s="511"/>
      <c r="W29" s="563"/>
      <c r="Z29" s="560"/>
    </row>
    <row r="30" customFormat="false" ht="15" hidden="false" customHeight="false" outlineLevel="0" collapsed="false">
      <c r="B30" s="549"/>
      <c r="C30" s="550" t="n">
        <v>5</v>
      </c>
      <c r="D30" s="54" t="s">
        <v>75</v>
      </c>
      <c r="E30" s="552" t="n">
        <v>0</v>
      </c>
      <c r="F30" s="553"/>
      <c r="G30" s="51"/>
      <c r="H30" s="554"/>
      <c r="I30" s="51"/>
      <c r="J30" s="553"/>
      <c r="K30" s="552" t="n">
        <v>0</v>
      </c>
      <c r="L30" s="553"/>
      <c r="M30" s="552" t="n">
        <v>0</v>
      </c>
      <c r="N30" s="553"/>
      <c r="O30" s="552" t="n">
        <v>0</v>
      </c>
      <c r="P30" s="555" t="s">
        <v>2517</v>
      </c>
      <c r="Q30" s="556"/>
      <c r="R30" s="556"/>
      <c r="S30" s="558"/>
      <c r="T30" s="558"/>
      <c r="U30" s="558"/>
      <c r="V30" s="511"/>
      <c r="W30" s="563"/>
      <c r="Z30" s="560"/>
    </row>
    <row r="31" customFormat="false" ht="15" hidden="false" customHeight="false" outlineLevel="0" collapsed="false">
      <c r="B31" s="549"/>
      <c r="C31" s="550" t="n">
        <v>6</v>
      </c>
      <c r="D31" s="54" t="s">
        <v>77</v>
      </c>
      <c r="E31" s="552" t="n">
        <v>0</v>
      </c>
      <c r="F31" s="553"/>
      <c r="G31" s="51"/>
      <c r="H31" s="554"/>
      <c r="I31" s="51"/>
      <c r="J31" s="553"/>
      <c r="K31" s="552" t="n">
        <v>0</v>
      </c>
      <c r="L31" s="553"/>
      <c r="M31" s="552" t="n">
        <v>0</v>
      </c>
      <c r="N31" s="553"/>
      <c r="O31" s="552" t="n">
        <v>0</v>
      </c>
      <c r="P31" s="555" t="s">
        <v>2517</v>
      </c>
      <c r="Q31" s="556"/>
      <c r="R31" s="556"/>
      <c r="S31" s="558"/>
      <c r="T31" s="558"/>
      <c r="U31" s="558"/>
      <c r="V31" s="511"/>
      <c r="W31" s="563"/>
      <c r="Z31" s="560"/>
    </row>
    <row r="32" customFormat="false" ht="15" hidden="false" customHeight="false" outlineLevel="0" collapsed="false">
      <c r="B32" s="549"/>
      <c r="C32" s="550" t="n">
        <v>7</v>
      </c>
      <c r="D32" s="54" t="s">
        <v>79</v>
      </c>
      <c r="E32" s="552" t="n">
        <v>0</v>
      </c>
      <c r="F32" s="553"/>
      <c r="G32" s="51"/>
      <c r="H32" s="554"/>
      <c r="I32" s="51"/>
      <c r="J32" s="553"/>
      <c r="K32" s="552" t="n">
        <v>0</v>
      </c>
      <c r="L32" s="553"/>
      <c r="M32" s="552" t="n">
        <v>0</v>
      </c>
      <c r="N32" s="553"/>
      <c r="O32" s="552" t="n">
        <v>0</v>
      </c>
      <c r="P32" s="555" t="s">
        <v>2517</v>
      </c>
      <c r="Q32" s="556"/>
      <c r="R32" s="556"/>
      <c r="S32" s="558"/>
      <c r="T32" s="558"/>
      <c r="U32" s="558"/>
      <c r="V32" s="511"/>
      <c r="W32" s="563"/>
      <c r="Z32" s="560"/>
    </row>
    <row r="33" customFormat="false" ht="15" hidden="false" customHeight="false" outlineLevel="0" collapsed="false">
      <c r="B33" s="549"/>
      <c r="C33" s="550" t="n">
        <v>8</v>
      </c>
      <c r="D33" s="54" t="s">
        <v>81</v>
      </c>
      <c r="E33" s="552" t="n">
        <v>0</v>
      </c>
      <c r="F33" s="553"/>
      <c r="G33" s="51"/>
      <c r="H33" s="554"/>
      <c r="I33" s="51"/>
      <c r="J33" s="553"/>
      <c r="K33" s="552" t="n">
        <v>0</v>
      </c>
      <c r="L33" s="553"/>
      <c r="M33" s="552" t="n">
        <v>0</v>
      </c>
      <c r="N33" s="553"/>
      <c r="O33" s="552" t="n">
        <v>0</v>
      </c>
      <c r="P33" s="555" t="s">
        <v>2517</v>
      </c>
      <c r="Q33" s="556"/>
      <c r="R33" s="556"/>
      <c r="S33" s="558"/>
      <c r="T33" s="558"/>
      <c r="U33" s="558"/>
      <c r="V33" s="511"/>
      <c r="W33" s="563"/>
      <c r="Z33" s="560"/>
    </row>
    <row r="34" customFormat="false" ht="54" hidden="false" customHeight="true" outlineLevel="0" collapsed="false">
      <c r="B34" s="549"/>
      <c r="C34" s="550" t="n">
        <v>9</v>
      </c>
      <c r="D34" s="54" t="s">
        <v>83</v>
      </c>
      <c r="E34" s="552" t="n">
        <v>20691651164</v>
      </c>
      <c r="F34" s="553"/>
      <c r="G34" s="51"/>
      <c r="H34" s="554"/>
      <c r="I34" s="51"/>
      <c r="J34" s="553"/>
      <c r="K34" s="552" t="n">
        <v>20691651164</v>
      </c>
      <c r="L34" s="553"/>
      <c r="M34" s="552" t="n">
        <v>35125492582</v>
      </c>
      <c r="N34" s="553"/>
      <c r="O34" s="552" t="n">
        <v>-14433841418</v>
      </c>
      <c r="P34" s="555" t="n">
        <v>-0.410922106908662</v>
      </c>
      <c r="Q34" s="556" t="s">
        <v>2501</v>
      </c>
      <c r="R34" s="557" t="s">
        <v>2519</v>
      </c>
      <c r="S34" s="558" t="s">
        <v>2525</v>
      </c>
      <c r="T34" s="558"/>
      <c r="U34" s="559" t="s">
        <v>2526</v>
      </c>
      <c r="V34" s="511"/>
      <c r="W34" s="563"/>
      <c r="Z34" s="560"/>
    </row>
    <row r="35" customFormat="false" ht="15" hidden="false" customHeight="false" outlineLevel="0" collapsed="false">
      <c r="B35" s="536" t="s">
        <v>2401</v>
      </c>
      <c r="C35" s="537" t="s">
        <v>2402</v>
      </c>
      <c r="D35" s="548"/>
      <c r="E35" s="539"/>
      <c r="F35" s="540" t="n">
        <v>8253017386</v>
      </c>
      <c r="G35" s="541"/>
      <c r="H35" s="542"/>
      <c r="I35" s="541"/>
      <c r="J35" s="540"/>
      <c r="K35" s="539" t="n">
        <v>0</v>
      </c>
      <c r="L35" s="540" t="n">
        <v>3167547191</v>
      </c>
      <c r="M35" s="539"/>
      <c r="N35" s="540" t="n">
        <v>15647456165</v>
      </c>
      <c r="O35" s="539" t="n">
        <v>-12479908974</v>
      </c>
      <c r="P35" s="546" t="n">
        <v>-0.79756791406867</v>
      </c>
      <c r="Q35" s="543"/>
      <c r="R35" s="543"/>
      <c r="S35" s="544"/>
      <c r="T35" s="544"/>
      <c r="U35" s="544"/>
      <c r="V35" s="511"/>
      <c r="W35" s="563"/>
      <c r="Z35" s="560"/>
    </row>
    <row r="36" customFormat="false" ht="15" hidden="false" customHeight="false" outlineLevel="0" collapsed="false">
      <c r="B36" s="536"/>
      <c r="C36" s="547" t="n">
        <v>-1</v>
      </c>
      <c r="D36" s="548" t="s">
        <v>2403</v>
      </c>
      <c r="E36" s="539"/>
      <c r="F36" s="540" t="n">
        <v>0</v>
      </c>
      <c r="G36" s="541"/>
      <c r="H36" s="542"/>
      <c r="I36" s="541"/>
      <c r="J36" s="540"/>
      <c r="K36" s="539"/>
      <c r="L36" s="540" t="n">
        <v>30000000</v>
      </c>
      <c r="M36" s="539"/>
      <c r="N36" s="540" t="n">
        <v>30000000</v>
      </c>
      <c r="O36" s="539" t="n">
        <v>0</v>
      </c>
      <c r="P36" s="546" t="n">
        <v>0</v>
      </c>
      <c r="Q36" s="543"/>
      <c r="R36" s="543"/>
      <c r="S36" s="544"/>
      <c r="T36" s="544"/>
      <c r="U36" s="544"/>
      <c r="V36" s="511"/>
      <c r="W36" s="563"/>
      <c r="Z36" s="560"/>
    </row>
    <row r="37" customFormat="false" ht="27" hidden="false" customHeight="true" outlineLevel="0" collapsed="false">
      <c r="B37" s="549"/>
      <c r="C37" s="550" t="s">
        <v>26</v>
      </c>
      <c r="D37" s="551" t="s">
        <v>89</v>
      </c>
      <c r="E37" s="552" t="n">
        <v>0</v>
      </c>
      <c r="F37" s="553"/>
      <c r="G37" s="51"/>
      <c r="H37" s="554"/>
      <c r="I37" s="51"/>
      <c r="J37" s="553"/>
      <c r="K37" s="552" t="n">
        <v>0</v>
      </c>
      <c r="L37" s="553"/>
      <c r="M37" s="552" t="n">
        <v>0</v>
      </c>
      <c r="N37" s="553"/>
      <c r="O37" s="552" t="n">
        <v>0</v>
      </c>
      <c r="P37" s="555" t="s">
        <v>2517</v>
      </c>
      <c r="Q37" s="556"/>
      <c r="R37" s="556"/>
      <c r="S37" s="558"/>
      <c r="T37" s="559" t="s">
        <v>2527</v>
      </c>
      <c r="U37" s="558"/>
      <c r="V37" s="511"/>
      <c r="W37" s="563"/>
      <c r="Z37" s="560"/>
    </row>
    <row r="38" customFormat="false" ht="26.85" hidden="false" customHeight="false" outlineLevel="0" collapsed="false">
      <c r="B38" s="549"/>
      <c r="C38" s="550" t="s">
        <v>29</v>
      </c>
      <c r="D38" s="551" t="s">
        <v>90</v>
      </c>
      <c r="E38" s="552" t="n">
        <v>0</v>
      </c>
      <c r="F38" s="553"/>
      <c r="G38" s="51"/>
      <c r="H38" s="554"/>
      <c r="I38" s="51"/>
      <c r="J38" s="553"/>
      <c r="K38" s="552" t="n">
        <v>0</v>
      </c>
      <c r="L38" s="553"/>
      <c r="M38" s="552" t="n">
        <v>0</v>
      </c>
      <c r="N38" s="553"/>
      <c r="O38" s="552" t="n">
        <v>0</v>
      </c>
      <c r="P38" s="555" t="s">
        <v>2517</v>
      </c>
      <c r="Q38" s="556"/>
      <c r="R38" s="556"/>
      <c r="S38" s="558"/>
      <c r="T38" s="558"/>
      <c r="U38" s="559" t="s">
        <v>2528</v>
      </c>
      <c r="V38" s="511"/>
      <c r="W38" s="563"/>
      <c r="Z38" s="560"/>
    </row>
    <row r="39" customFormat="false" ht="51.45" hidden="false" customHeight="false" outlineLevel="0" collapsed="false">
      <c r="B39" s="549"/>
      <c r="C39" s="550" t="s">
        <v>32</v>
      </c>
      <c r="D39" s="551" t="s">
        <v>92</v>
      </c>
      <c r="E39" s="552" t="n">
        <v>0</v>
      </c>
      <c r="F39" s="553"/>
      <c r="G39" s="51"/>
      <c r="H39" s="554"/>
      <c r="I39" s="51" t="n">
        <v>30000000</v>
      </c>
      <c r="J39" s="553"/>
      <c r="K39" s="552" t="n">
        <v>30000000</v>
      </c>
      <c r="L39" s="553"/>
      <c r="M39" s="552" t="n">
        <v>30000000</v>
      </c>
      <c r="N39" s="553"/>
      <c r="O39" s="552" t="n">
        <v>0</v>
      </c>
      <c r="P39" s="555" t="n">
        <v>0</v>
      </c>
      <c r="Q39" s="556"/>
      <c r="R39" s="557" t="s">
        <v>2502</v>
      </c>
      <c r="S39" s="558"/>
      <c r="T39" s="558"/>
      <c r="U39" s="559" t="s">
        <v>93</v>
      </c>
      <c r="V39" s="511"/>
      <c r="W39" s="563"/>
      <c r="Z39" s="560"/>
    </row>
    <row r="40" customFormat="false" ht="15" hidden="false" customHeight="false" outlineLevel="0" collapsed="false">
      <c r="B40" s="536"/>
      <c r="C40" s="547" t="n">
        <v>-2</v>
      </c>
      <c r="D40" s="548" t="s">
        <v>2404</v>
      </c>
      <c r="E40" s="539"/>
      <c r="F40" s="540" t="n">
        <v>2562924520</v>
      </c>
      <c r="G40" s="541"/>
      <c r="H40" s="542"/>
      <c r="I40" s="541"/>
      <c r="J40" s="540"/>
      <c r="K40" s="539" t="n">
        <v>0</v>
      </c>
      <c r="L40" s="540" t="n">
        <v>1525937673</v>
      </c>
      <c r="M40" s="539"/>
      <c r="N40" s="540" t="n">
        <v>2447516612</v>
      </c>
      <c r="O40" s="539" t="n">
        <v>-921578939</v>
      </c>
      <c r="P40" s="546" t="n">
        <v>-0.376536336661236</v>
      </c>
      <c r="Q40" s="543"/>
      <c r="R40" s="543"/>
      <c r="S40" s="544"/>
      <c r="T40" s="544"/>
      <c r="U40" s="544"/>
      <c r="V40" s="511"/>
      <c r="W40" s="563"/>
      <c r="Z40" s="560"/>
    </row>
    <row r="41" customFormat="false" ht="15" hidden="false" customHeight="false" outlineLevel="0" collapsed="false">
      <c r="B41" s="549"/>
      <c r="C41" s="550" t="s">
        <v>26</v>
      </c>
      <c r="D41" s="551" t="s">
        <v>97</v>
      </c>
      <c r="E41" s="552" t="n">
        <v>0</v>
      </c>
      <c r="F41" s="553"/>
      <c r="G41" s="51"/>
      <c r="H41" s="554"/>
      <c r="I41" s="51"/>
      <c r="J41" s="553"/>
      <c r="K41" s="552" t="n">
        <v>0</v>
      </c>
      <c r="L41" s="553"/>
      <c r="M41" s="552" t="n">
        <v>0</v>
      </c>
      <c r="N41" s="553"/>
      <c r="O41" s="552" t="n">
        <v>0</v>
      </c>
      <c r="P41" s="555" t="s">
        <v>2517</v>
      </c>
      <c r="Q41" s="556"/>
      <c r="R41" s="556"/>
      <c r="S41" s="558"/>
      <c r="T41" s="558"/>
      <c r="U41" s="558"/>
      <c r="V41" s="511"/>
      <c r="W41" s="563"/>
      <c r="Z41" s="560"/>
    </row>
    <row r="42" customFormat="false" ht="15" hidden="false" customHeight="false" outlineLevel="0" collapsed="false">
      <c r="B42" s="549"/>
      <c r="C42" s="550" t="s">
        <v>29</v>
      </c>
      <c r="D42" s="551" t="s">
        <v>99</v>
      </c>
      <c r="E42" s="552" t="n">
        <v>0</v>
      </c>
      <c r="F42" s="553"/>
      <c r="G42" s="51"/>
      <c r="H42" s="554"/>
      <c r="I42" s="51"/>
      <c r="J42" s="553"/>
      <c r="K42" s="552" t="n">
        <v>0</v>
      </c>
      <c r="L42" s="553"/>
      <c r="M42" s="552" t="n">
        <v>0</v>
      </c>
      <c r="N42" s="553"/>
      <c r="O42" s="552" t="n">
        <v>0</v>
      </c>
      <c r="P42" s="555" t="s">
        <v>2517</v>
      </c>
      <c r="Q42" s="556"/>
      <c r="R42" s="556"/>
      <c r="S42" s="558"/>
      <c r="T42" s="558"/>
      <c r="U42" s="558"/>
      <c r="V42" s="511"/>
      <c r="W42" s="563"/>
      <c r="Z42" s="560"/>
    </row>
    <row r="43" customFormat="false" ht="15" hidden="false" customHeight="false" outlineLevel="0" collapsed="false">
      <c r="B43" s="549"/>
      <c r="C43" s="550"/>
      <c r="D43" s="551" t="s">
        <v>101</v>
      </c>
      <c r="E43" s="552" t="n">
        <v>0</v>
      </c>
      <c r="F43" s="553"/>
      <c r="G43" s="51"/>
      <c r="H43" s="554"/>
      <c r="I43" s="51"/>
      <c r="J43" s="553"/>
      <c r="K43" s="552" t="n">
        <v>0</v>
      </c>
      <c r="L43" s="553"/>
      <c r="M43" s="552" t="n">
        <v>0</v>
      </c>
      <c r="N43" s="553"/>
      <c r="O43" s="552" t="n">
        <v>0</v>
      </c>
      <c r="P43" s="555" t="s">
        <v>2517</v>
      </c>
      <c r="Q43" s="556"/>
      <c r="R43" s="556"/>
      <c r="S43" s="558"/>
      <c r="T43" s="558"/>
      <c r="U43" s="558"/>
      <c r="V43" s="511"/>
      <c r="W43" s="563"/>
      <c r="Z43" s="560"/>
    </row>
    <row r="44" customFormat="false" ht="15" hidden="false" customHeight="false" outlineLevel="0" collapsed="false">
      <c r="B44" s="549"/>
      <c r="C44" s="550" t="s">
        <v>32</v>
      </c>
      <c r="D44" s="551" t="s">
        <v>103</v>
      </c>
      <c r="E44" s="552" t="n">
        <v>13604145011</v>
      </c>
      <c r="F44" s="553" t="n">
        <v>1681885058</v>
      </c>
      <c r="G44" s="51" t="n">
        <v>-11215999121</v>
      </c>
      <c r="H44" s="554"/>
      <c r="I44" s="51"/>
      <c r="J44" s="553"/>
      <c r="K44" s="552" t="n">
        <v>2388145890</v>
      </c>
      <c r="L44" s="553" t="n">
        <v>644898211</v>
      </c>
      <c r="M44" s="552" t="n">
        <v>2388145890</v>
      </c>
      <c r="N44" s="553" t="n">
        <v>1348423558</v>
      </c>
      <c r="O44" s="552" t="n">
        <v>0</v>
      </c>
      <c r="P44" s="555" t="n">
        <v>0</v>
      </c>
      <c r="Q44" s="556"/>
      <c r="R44" s="557" t="s">
        <v>2502</v>
      </c>
      <c r="S44" s="558"/>
      <c r="T44" s="558"/>
      <c r="U44" s="558"/>
      <c r="V44" s="511"/>
      <c r="W44" s="563"/>
      <c r="Z44" s="560"/>
    </row>
    <row r="45" customFormat="false" ht="27" hidden="false" customHeight="true" outlineLevel="0" collapsed="false">
      <c r="B45" s="549"/>
      <c r="C45" s="550"/>
      <c r="D45" s="551" t="s">
        <v>105</v>
      </c>
      <c r="E45" s="552" t="n">
        <v>-11922259953</v>
      </c>
      <c r="F45" s="553"/>
      <c r="G45" s="51" t="n">
        <v>10179012274</v>
      </c>
      <c r="H45" s="554"/>
      <c r="I45" s="51"/>
      <c r="J45" s="553"/>
      <c r="K45" s="552" t="n">
        <v>-1743247679</v>
      </c>
      <c r="L45" s="553"/>
      <c r="M45" s="552" t="n">
        <v>-1039722332</v>
      </c>
      <c r="N45" s="553"/>
      <c r="O45" s="552" t="n">
        <v>-703525347</v>
      </c>
      <c r="P45" s="555" t="n">
        <v>0.676647336839159</v>
      </c>
      <c r="Q45" s="556"/>
      <c r="R45" s="557" t="s">
        <v>2502</v>
      </c>
      <c r="S45" s="558"/>
      <c r="T45" s="558"/>
      <c r="U45" s="559" t="s">
        <v>2529</v>
      </c>
      <c r="V45" s="511"/>
      <c r="W45" s="563"/>
      <c r="Z45" s="560"/>
    </row>
    <row r="46" customFormat="false" ht="27" hidden="false" customHeight="true" outlineLevel="0" collapsed="false">
      <c r="B46" s="549"/>
      <c r="C46" s="550" t="s">
        <v>35</v>
      </c>
      <c r="D46" s="551" t="s">
        <v>107</v>
      </c>
      <c r="E46" s="552" t="n">
        <v>1434004742</v>
      </c>
      <c r="F46" s="553" t="n">
        <v>531516324</v>
      </c>
      <c r="G46" s="51"/>
      <c r="H46" s="554"/>
      <c r="I46" s="51"/>
      <c r="J46" s="553" t="n">
        <v>-485029742</v>
      </c>
      <c r="K46" s="552" t="n">
        <v>948975000</v>
      </c>
      <c r="L46" s="553" t="n">
        <v>454953824</v>
      </c>
      <c r="M46" s="552" t="n">
        <v>948975000</v>
      </c>
      <c r="N46" s="553" t="n">
        <v>598844928</v>
      </c>
      <c r="O46" s="552" t="n">
        <v>0</v>
      </c>
      <c r="P46" s="555" t="n">
        <v>0</v>
      </c>
      <c r="Q46" s="556"/>
      <c r="R46" s="557" t="s">
        <v>2502</v>
      </c>
      <c r="S46" s="558"/>
      <c r="T46" s="558"/>
      <c r="U46" s="559" t="s">
        <v>2530</v>
      </c>
      <c r="V46" s="511"/>
      <c r="W46" s="563"/>
      <c r="Z46" s="560"/>
    </row>
    <row r="47" customFormat="false" ht="27" hidden="false" customHeight="true" outlineLevel="0" collapsed="false">
      <c r="B47" s="549"/>
      <c r="C47" s="550"/>
      <c r="D47" s="54" t="s">
        <v>109</v>
      </c>
      <c r="E47" s="552" t="n">
        <v>-902488418</v>
      </c>
      <c r="F47" s="553"/>
      <c r="G47" s="51"/>
      <c r="H47" s="554"/>
      <c r="I47" s="51" t="n">
        <v>408467242</v>
      </c>
      <c r="J47" s="553"/>
      <c r="K47" s="552" t="n">
        <v>-494021176</v>
      </c>
      <c r="L47" s="553"/>
      <c r="M47" s="552" t="n">
        <v>-350130072</v>
      </c>
      <c r="N47" s="553"/>
      <c r="O47" s="552" t="n">
        <v>-143891104</v>
      </c>
      <c r="P47" s="555" t="n">
        <v>0.410964711423017</v>
      </c>
      <c r="Q47" s="556"/>
      <c r="R47" s="557" t="s">
        <v>2502</v>
      </c>
      <c r="S47" s="558"/>
      <c r="T47" s="558"/>
      <c r="U47" s="559" t="s">
        <v>2531</v>
      </c>
      <c r="V47" s="511"/>
      <c r="W47" s="563"/>
      <c r="Z47" s="560"/>
    </row>
    <row r="48" customFormat="false" ht="15" hidden="false" customHeight="false" outlineLevel="0" collapsed="false">
      <c r="B48" s="549"/>
      <c r="C48" s="550" t="s">
        <v>38</v>
      </c>
      <c r="D48" s="54" t="s">
        <v>111</v>
      </c>
      <c r="E48" s="552"/>
      <c r="F48" s="553" t="n">
        <v>0</v>
      </c>
      <c r="G48" s="51"/>
      <c r="H48" s="554"/>
      <c r="I48" s="51"/>
      <c r="J48" s="553"/>
      <c r="K48" s="552" t="n">
        <v>0</v>
      </c>
      <c r="L48" s="553" t="n">
        <v>0</v>
      </c>
      <c r="M48" s="552" t="n">
        <v>0</v>
      </c>
      <c r="N48" s="553" t="n">
        <v>0</v>
      </c>
      <c r="O48" s="552" t="n">
        <v>0</v>
      </c>
      <c r="P48" s="555" t="s">
        <v>2517</v>
      </c>
      <c r="Q48" s="556"/>
      <c r="R48" s="556"/>
      <c r="S48" s="558"/>
      <c r="T48" s="558"/>
      <c r="U48" s="558"/>
      <c r="V48" s="511"/>
      <c r="W48" s="563"/>
      <c r="Z48" s="560"/>
    </row>
    <row r="49" customFormat="false" ht="15" hidden="false" customHeight="false" outlineLevel="0" collapsed="false">
      <c r="B49" s="549"/>
      <c r="C49" s="550"/>
      <c r="D49" s="54" t="s">
        <v>113</v>
      </c>
      <c r="E49" s="552" t="n">
        <v>0</v>
      </c>
      <c r="F49" s="553"/>
      <c r="G49" s="51"/>
      <c r="H49" s="554"/>
      <c r="I49" s="51"/>
      <c r="J49" s="553"/>
      <c r="K49" s="552" t="n">
        <v>0</v>
      </c>
      <c r="L49" s="553"/>
      <c r="M49" s="552" t="n">
        <v>0</v>
      </c>
      <c r="N49" s="553"/>
      <c r="O49" s="552" t="n">
        <v>0</v>
      </c>
      <c r="P49" s="555" t="s">
        <v>2517</v>
      </c>
      <c r="Q49" s="556"/>
      <c r="R49" s="556"/>
      <c r="S49" s="558"/>
      <c r="T49" s="558"/>
      <c r="U49" s="558"/>
      <c r="V49" s="511"/>
      <c r="W49" s="563"/>
      <c r="Z49" s="560"/>
    </row>
    <row r="50" customFormat="false" ht="15" hidden="false" customHeight="false" outlineLevel="0" collapsed="false">
      <c r="B50" s="549"/>
      <c r="C50" s="550" t="s">
        <v>41</v>
      </c>
      <c r="D50" s="54" t="s">
        <v>115</v>
      </c>
      <c r="E50" s="552" t="n">
        <v>76984016</v>
      </c>
      <c r="F50" s="553" t="n">
        <v>5633333</v>
      </c>
      <c r="G50" s="51"/>
      <c r="H50" s="554"/>
      <c r="I50" s="51" t="n">
        <v>485029742</v>
      </c>
      <c r="J50" s="553"/>
      <c r="K50" s="552" t="n">
        <v>562013758</v>
      </c>
      <c r="L50" s="553" t="n">
        <v>82195833</v>
      </c>
      <c r="M50" s="552" t="n">
        <v>562013758</v>
      </c>
      <c r="N50" s="553" t="n">
        <v>109590569</v>
      </c>
      <c r="O50" s="552" t="n">
        <v>0</v>
      </c>
      <c r="P50" s="555" t="n">
        <v>0</v>
      </c>
      <c r="Q50" s="556"/>
      <c r="R50" s="557" t="s">
        <v>2502</v>
      </c>
      <c r="S50" s="558"/>
      <c r="T50" s="558"/>
      <c r="U50" s="558"/>
      <c r="V50" s="511"/>
      <c r="W50" s="563"/>
      <c r="Z50" s="560"/>
    </row>
    <row r="51" customFormat="false" ht="15" hidden="false" customHeight="false" outlineLevel="0" collapsed="false">
      <c r="B51" s="549"/>
      <c r="C51" s="550"/>
      <c r="D51" s="54" t="s">
        <v>117</v>
      </c>
      <c r="E51" s="552" t="n">
        <v>-71350683</v>
      </c>
      <c r="F51" s="553"/>
      <c r="G51" s="51"/>
      <c r="H51" s="554"/>
      <c r="I51" s="51"/>
      <c r="J51" s="553" t="n">
        <v>-408467242</v>
      </c>
      <c r="K51" s="552" t="n">
        <v>-479817925</v>
      </c>
      <c r="L51" s="553"/>
      <c r="M51" s="552" t="n">
        <v>-452423189</v>
      </c>
      <c r="N51" s="553"/>
      <c r="O51" s="552" t="n">
        <v>-27394736</v>
      </c>
      <c r="P51" s="555" t="n">
        <v>0.0605511314761543</v>
      </c>
      <c r="Q51" s="556"/>
      <c r="R51" s="557" t="s">
        <v>2502</v>
      </c>
      <c r="S51" s="558"/>
      <c r="T51" s="558"/>
      <c r="U51" s="558"/>
      <c r="V51" s="511"/>
      <c r="W51" s="563"/>
      <c r="Z51" s="560"/>
    </row>
    <row r="52" customFormat="false" ht="15" hidden="false" customHeight="false" outlineLevel="0" collapsed="false">
      <c r="B52" s="549"/>
      <c r="C52" s="550" t="s">
        <v>44</v>
      </c>
      <c r="D52" s="54" t="s">
        <v>119</v>
      </c>
      <c r="E52" s="552" t="n">
        <v>1632938339</v>
      </c>
      <c r="F52" s="553" t="n">
        <v>343889805</v>
      </c>
      <c r="G52" s="51"/>
      <c r="H52" s="554"/>
      <c r="I52" s="51"/>
      <c r="J52" s="553"/>
      <c r="K52" s="552" t="n">
        <v>1632938339</v>
      </c>
      <c r="L52" s="553" t="n">
        <v>343889805</v>
      </c>
      <c r="M52" s="552" t="n">
        <v>1580099270</v>
      </c>
      <c r="N52" s="553" t="n">
        <v>390657557</v>
      </c>
      <c r="O52" s="552" t="n">
        <v>52839069</v>
      </c>
      <c r="P52" s="555" t="n">
        <v>0.0334403477067615</v>
      </c>
      <c r="Q52" s="556"/>
      <c r="R52" s="557" t="s">
        <v>2502</v>
      </c>
      <c r="S52" s="558"/>
      <c r="T52" s="558"/>
      <c r="U52" s="558"/>
      <c r="V52" s="511"/>
      <c r="W52" s="563"/>
      <c r="Z52" s="560"/>
    </row>
    <row r="53" customFormat="false" ht="40.5" hidden="false" customHeight="true" outlineLevel="0" collapsed="false">
      <c r="B53" s="549"/>
      <c r="C53" s="550"/>
      <c r="D53" s="54" t="s">
        <v>121</v>
      </c>
      <c r="E53" s="552" t="n">
        <v>-1289048534</v>
      </c>
      <c r="F53" s="553"/>
      <c r="G53" s="51"/>
      <c r="H53" s="554"/>
      <c r="I53" s="51"/>
      <c r="J53" s="553"/>
      <c r="K53" s="552" t="n">
        <v>-1289048534</v>
      </c>
      <c r="L53" s="553"/>
      <c r="M53" s="552" t="n">
        <v>-1189441713</v>
      </c>
      <c r="N53" s="553"/>
      <c r="O53" s="552" t="n">
        <v>-99606821</v>
      </c>
      <c r="P53" s="555" t="n">
        <v>0.0837424986120358</v>
      </c>
      <c r="Q53" s="556"/>
      <c r="R53" s="557" t="s">
        <v>2502</v>
      </c>
      <c r="S53" s="558"/>
      <c r="T53" s="558"/>
      <c r="U53" s="559" t="s">
        <v>2532</v>
      </c>
      <c r="V53" s="511"/>
      <c r="W53" s="563"/>
      <c r="Z53" s="560"/>
    </row>
    <row r="54" customFormat="false" ht="15" hidden="false" customHeight="false" outlineLevel="0" collapsed="false">
      <c r="B54" s="536"/>
      <c r="C54" s="31" t="s">
        <v>2533</v>
      </c>
      <c r="D54" s="548"/>
      <c r="E54" s="539"/>
      <c r="F54" s="540" t="n">
        <v>0</v>
      </c>
      <c r="G54" s="541"/>
      <c r="H54" s="542"/>
      <c r="I54" s="541"/>
      <c r="J54" s="540"/>
      <c r="K54" s="539" t="n">
        <v>0</v>
      </c>
      <c r="L54" s="540" t="n">
        <v>0</v>
      </c>
      <c r="M54" s="539"/>
      <c r="N54" s="540" t="n">
        <v>0</v>
      </c>
      <c r="O54" s="539" t="n">
        <v>0</v>
      </c>
      <c r="P54" s="555" t="n">
        <v>0</v>
      </c>
      <c r="Q54" s="543"/>
      <c r="R54" s="543"/>
      <c r="S54" s="544"/>
      <c r="T54" s="544"/>
      <c r="U54" s="544"/>
      <c r="V54" s="511"/>
      <c r="W54" s="563"/>
      <c r="Z54" s="560"/>
    </row>
    <row r="55" customFormat="false" ht="15" hidden="false" customHeight="false" outlineLevel="0" collapsed="false">
      <c r="B55" s="549"/>
      <c r="C55" s="550" t="s">
        <v>26</v>
      </c>
      <c r="D55" s="551" t="s">
        <v>125</v>
      </c>
      <c r="E55" s="552" t="n">
        <v>355759457</v>
      </c>
      <c r="F55" s="553" t="n">
        <v>0</v>
      </c>
      <c r="G55" s="51"/>
      <c r="H55" s="554"/>
      <c r="I55" s="51"/>
      <c r="J55" s="553"/>
      <c r="K55" s="552" t="n">
        <v>355759457</v>
      </c>
      <c r="L55" s="553" t="n">
        <v>0</v>
      </c>
      <c r="M55" s="552" t="n">
        <v>355759457</v>
      </c>
      <c r="N55" s="553" t="n">
        <v>0</v>
      </c>
      <c r="O55" s="552" t="n">
        <v>0</v>
      </c>
      <c r="P55" s="555" t="n">
        <v>0</v>
      </c>
      <c r="Q55" s="556"/>
      <c r="R55" s="556"/>
      <c r="S55" s="558"/>
      <c r="T55" s="558"/>
      <c r="U55" s="558"/>
      <c r="V55" s="511"/>
      <c r="W55" s="563"/>
      <c r="Z55" s="560"/>
    </row>
    <row r="56" customFormat="false" ht="15" hidden="false" customHeight="false" outlineLevel="0" collapsed="false">
      <c r="B56" s="549"/>
      <c r="C56" s="550"/>
      <c r="D56" s="54" t="s">
        <v>127</v>
      </c>
      <c r="E56" s="552" t="n">
        <v>-355759457</v>
      </c>
      <c r="F56" s="553"/>
      <c r="G56" s="51"/>
      <c r="H56" s="554"/>
      <c r="I56" s="51"/>
      <c r="J56" s="553"/>
      <c r="K56" s="552" t="n">
        <v>-355759457</v>
      </c>
      <c r="L56" s="553"/>
      <c r="M56" s="552" t="n">
        <v>-355759457</v>
      </c>
      <c r="N56" s="553"/>
      <c r="O56" s="552" t="n">
        <v>0</v>
      </c>
      <c r="P56" s="555" t="n">
        <v>0</v>
      </c>
      <c r="Q56" s="556"/>
      <c r="R56" s="556"/>
      <c r="S56" s="558"/>
      <c r="T56" s="558"/>
      <c r="U56" s="558"/>
      <c r="V56" s="511"/>
      <c r="W56" s="563"/>
      <c r="Z56" s="560"/>
    </row>
    <row r="57" customFormat="false" ht="15" hidden="false" customHeight="false" outlineLevel="0" collapsed="false">
      <c r="B57" s="549"/>
      <c r="C57" s="550" t="s">
        <v>29</v>
      </c>
      <c r="D57" s="54" t="s">
        <v>129</v>
      </c>
      <c r="E57" s="552" t="n">
        <v>3706860500</v>
      </c>
      <c r="F57" s="553" t="n">
        <v>0</v>
      </c>
      <c r="G57" s="51"/>
      <c r="H57" s="554"/>
      <c r="I57" s="51"/>
      <c r="J57" s="553"/>
      <c r="K57" s="552" t="n">
        <v>3706860500</v>
      </c>
      <c r="L57" s="553" t="n">
        <v>0</v>
      </c>
      <c r="M57" s="552" t="n">
        <v>3706860500</v>
      </c>
      <c r="N57" s="553" t="n">
        <v>0</v>
      </c>
      <c r="O57" s="552" t="n">
        <v>0</v>
      </c>
      <c r="P57" s="555" t="n">
        <v>0</v>
      </c>
      <c r="Q57" s="556"/>
      <c r="R57" s="556"/>
      <c r="S57" s="558"/>
      <c r="T57" s="558"/>
      <c r="U57" s="558"/>
      <c r="V57" s="511"/>
      <c r="W57" s="563"/>
      <c r="Z57" s="560"/>
    </row>
    <row r="58" customFormat="false" ht="15" hidden="false" customHeight="false" outlineLevel="0" collapsed="false">
      <c r="B58" s="549"/>
      <c r="C58" s="550"/>
      <c r="D58" s="54" t="s">
        <v>131</v>
      </c>
      <c r="E58" s="552" t="n">
        <v>-3111195178</v>
      </c>
      <c r="F58" s="553"/>
      <c r="G58" s="51"/>
      <c r="H58" s="554"/>
      <c r="I58" s="51"/>
      <c r="J58" s="553"/>
      <c r="K58" s="552" t="n">
        <v>-3111195178</v>
      </c>
      <c r="L58" s="553"/>
      <c r="M58" s="552" t="n">
        <v>-3111195178</v>
      </c>
      <c r="N58" s="553"/>
      <c r="O58" s="552" t="n">
        <v>0</v>
      </c>
      <c r="P58" s="555" t="n">
        <v>0</v>
      </c>
      <c r="Q58" s="556"/>
      <c r="R58" s="556"/>
      <c r="S58" s="558"/>
      <c r="T58" s="558"/>
      <c r="U58" s="558"/>
      <c r="V58" s="511"/>
      <c r="W58" s="563"/>
      <c r="Z58" s="560"/>
    </row>
    <row r="59" customFormat="false" ht="15" hidden="false" customHeight="false" outlineLevel="0" collapsed="false">
      <c r="B59" s="549"/>
      <c r="C59" s="550"/>
      <c r="D59" s="54" t="s">
        <v>133</v>
      </c>
      <c r="E59" s="552" t="n">
        <v>-595665322</v>
      </c>
      <c r="F59" s="553"/>
      <c r="G59" s="51"/>
      <c r="H59" s="554"/>
      <c r="I59" s="51"/>
      <c r="J59" s="553"/>
      <c r="K59" s="552" t="n">
        <v>-595665322</v>
      </c>
      <c r="L59" s="553"/>
      <c r="M59" s="552" t="n">
        <v>-595665322</v>
      </c>
      <c r="N59" s="553"/>
      <c r="O59" s="552" t="n">
        <v>0</v>
      </c>
      <c r="P59" s="555" t="n">
        <v>0</v>
      </c>
      <c r="Q59" s="556"/>
      <c r="R59" s="556"/>
      <c r="S59" s="558"/>
      <c r="T59" s="558"/>
      <c r="U59" s="558"/>
      <c r="V59" s="511"/>
      <c r="W59" s="563"/>
      <c r="Z59" s="560"/>
    </row>
    <row r="60" customFormat="false" ht="15" hidden="false" customHeight="false" outlineLevel="0" collapsed="false">
      <c r="B60" s="549"/>
      <c r="C60" s="550" t="s">
        <v>32</v>
      </c>
      <c r="D60" s="54" t="s">
        <v>135</v>
      </c>
      <c r="E60" s="552" t="n">
        <v>0</v>
      </c>
      <c r="F60" s="553"/>
      <c r="G60" s="51"/>
      <c r="H60" s="554"/>
      <c r="I60" s="51"/>
      <c r="J60" s="553"/>
      <c r="K60" s="552" t="n">
        <v>0</v>
      </c>
      <c r="L60" s="553"/>
      <c r="M60" s="552" t="n">
        <v>0</v>
      </c>
      <c r="N60" s="553"/>
      <c r="O60" s="552" t="n">
        <v>0</v>
      </c>
      <c r="P60" s="555" t="s">
        <v>2517</v>
      </c>
      <c r="Q60" s="556"/>
      <c r="R60" s="556"/>
      <c r="S60" s="558"/>
      <c r="T60" s="558"/>
      <c r="U60" s="558"/>
      <c r="V60" s="511"/>
      <c r="W60" s="563"/>
      <c r="Z60" s="560"/>
    </row>
    <row r="61" customFormat="false" ht="15" hidden="false" customHeight="false" outlineLevel="0" collapsed="false">
      <c r="B61" s="549"/>
      <c r="C61" s="550"/>
      <c r="D61" s="54" t="s">
        <v>137</v>
      </c>
      <c r="E61" s="552" t="n">
        <v>0</v>
      </c>
      <c r="F61" s="553"/>
      <c r="G61" s="51"/>
      <c r="H61" s="554"/>
      <c r="I61" s="51"/>
      <c r="J61" s="553"/>
      <c r="K61" s="552" t="n">
        <v>0</v>
      </c>
      <c r="L61" s="553"/>
      <c r="M61" s="552" t="n">
        <v>0</v>
      </c>
      <c r="N61" s="553"/>
      <c r="O61" s="552" t="n">
        <v>0</v>
      </c>
      <c r="P61" s="555" t="s">
        <v>2517</v>
      </c>
      <c r="Q61" s="556"/>
      <c r="R61" s="556"/>
      <c r="S61" s="558"/>
      <c r="T61" s="558"/>
      <c r="U61" s="558"/>
      <c r="V61" s="511"/>
      <c r="W61" s="563"/>
      <c r="Z61" s="560"/>
    </row>
    <row r="62" customFormat="false" ht="15" hidden="false" customHeight="false" outlineLevel="0" collapsed="false">
      <c r="B62" s="536"/>
      <c r="C62" s="31" t="s">
        <v>2534</v>
      </c>
      <c r="D62" s="548"/>
      <c r="E62" s="539" t="n">
        <v>0</v>
      </c>
      <c r="F62" s="540" t="n">
        <v>5681855030</v>
      </c>
      <c r="G62" s="541"/>
      <c r="H62" s="542"/>
      <c r="I62" s="541"/>
      <c r="J62" s="540"/>
      <c r="K62" s="539" t="n">
        <v>0</v>
      </c>
      <c r="L62" s="540" t="n">
        <v>1603371682</v>
      </c>
      <c r="M62" s="539"/>
      <c r="N62" s="540" t="n">
        <v>13169939553</v>
      </c>
      <c r="O62" s="539"/>
      <c r="P62" s="546" t="n">
        <v>0</v>
      </c>
      <c r="Q62" s="543"/>
      <c r="R62" s="543"/>
      <c r="S62" s="544"/>
      <c r="T62" s="544"/>
      <c r="U62" s="544"/>
      <c r="V62" s="511"/>
      <c r="W62" s="563"/>
      <c r="Z62" s="560"/>
    </row>
    <row r="63" customFormat="false" ht="40.5" hidden="false" customHeight="true" outlineLevel="0" collapsed="false">
      <c r="B63" s="549"/>
      <c r="C63" s="550" t="s">
        <v>26</v>
      </c>
      <c r="D63" s="551" t="s">
        <v>141</v>
      </c>
      <c r="E63" s="552" t="n">
        <v>1211134090</v>
      </c>
      <c r="F63" s="553" t="s">
        <v>2395</v>
      </c>
      <c r="G63" s="51"/>
      <c r="H63" s="554"/>
      <c r="I63" s="51"/>
      <c r="J63" s="553" t="n">
        <v>-30000000</v>
      </c>
      <c r="K63" s="552" t="n">
        <v>1181134090</v>
      </c>
      <c r="L63" s="553" t="s">
        <v>2395</v>
      </c>
      <c r="M63" s="552" t="n">
        <v>9548626104</v>
      </c>
      <c r="N63" s="553" t="s">
        <v>2395</v>
      </c>
      <c r="O63" s="552" t="n">
        <v>-8367492014</v>
      </c>
      <c r="P63" s="555" t="n">
        <v>-0.876303242253332</v>
      </c>
      <c r="Q63" s="556" t="s">
        <v>2501</v>
      </c>
      <c r="R63" s="557" t="s">
        <v>2502</v>
      </c>
      <c r="S63" s="559" t="s">
        <v>2535</v>
      </c>
      <c r="T63" s="559" t="s">
        <v>2536</v>
      </c>
      <c r="U63" s="559" t="s">
        <v>2537</v>
      </c>
      <c r="V63" s="561"/>
      <c r="W63" s="563"/>
      <c r="Z63" s="560"/>
    </row>
    <row r="64" customFormat="false" ht="15" hidden="false" customHeight="false" outlineLevel="0" collapsed="false">
      <c r="B64" s="549"/>
      <c r="C64" s="550" t="s">
        <v>29</v>
      </c>
      <c r="D64" s="551" t="s">
        <v>143</v>
      </c>
      <c r="E64" s="552" t="n">
        <v>0</v>
      </c>
      <c r="F64" s="553" t="s">
        <v>2395</v>
      </c>
      <c r="G64" s="51"/>
      <c r="H64" s="554"/>
      <c r="I64" s="51"/>
      <c r="J64" s="553"/>
      <c r="K64" s="552" t="n">
        <v>0</v>
      </c>
      <c r="L64" s="553" t="s">
        <v>2395</v>
      </c>
      <c r="M64" s="552" t="n">
        <v>0</v>
      </c>
      <c r="N64" s="553" t="s">
        <v>2395</v>
      </c>
      <c r="O64" s="552" t="n">
        <v>0</v>
      </c>
      <c r="P64" s="555" t="s">
        <v>2517</v>
      </c>
      <c r="Q64" s="556"/>
      <c r="R64" s="556"/>
      <c r="S64" s="558"/>
      <c r="T64" s="558"/>
      <c r="U64" s="558"/>
      <c r="V64" s="511"/>
      <c r="W64" s="563"/>
      <c r="Z64" s="560"/>
    </row>
    <row r="65" customFormat="false" ht="15" hidden="false" customHeight="false" outlineLevel="0" collapsed="false">
      <c r="B65" s="549"/>
      <c r="C65" s="550" t="s">
        <v>32</v>
      </c>
      <c r="D65" s="54" t="s">
        <v>145</v>
      </c>
      <c r="E65" s="552" t="n">
        <v>0</v>
      </c>
      <c r="F65" s="553"/>
      <c r="G65" s="51" t="n">
        <v>1711847191</v>
      </c>
      <c r="H65" s="554"/>
      <c r="I65" s="51"/>
      <c r="J65" s="553" t="n">
        <v>-1289609599</v>
      </c>
      <c r="K65" s="552" t="n">
        <v>422237592</v>
      </c>
      <c r="L65" s="553"/>
      <c r="M65" s="552" t="n">
        <v>3621313449</v>
      </c>
      <c r="N65" s="553"/>
      <c r="O65" s="552" t="n">
        <v>-3199075857</v>
      </c>
      <c r="P65" s="555" t="n">
        <v>-0.883402086578118</v>
      </c>
      <c r="Q65" s="556"/>
      <c r="R65" s="557" t="s">
        <v>2518</v>
      </c>
      <c r="S65" s="564"/>
      <c r="T65" s="558"/>
      <c r="U65" s="558"/>
      <c r="V65" s="511"/>
      <c r="W65" s="563"/>
      <c r="Z65" s="560"/>
    </row>
    <row r="66" customFormat="false" ht="15" hidden="false" customHeight="false" outlineLevel="0" collapsed="false">
      <c r="B66" s="549"/>
      <c r="C66" s="550" t="s">
        <v>35</v>
      </c>
      <c r="D66" s="54" t="s">
        <v>147</v>
      </c>
      <c r="E66" s="552" t="n">
        <v>4470720940</v>
      </c>
      <c r="F66" s="553"/>
      <c r="G66" s="51"/>
      <c r="H66" s="554"/>
      <c r="I66" s="51"/>
      <c r="J66" s="553" t="n">
        <v>-4470720940</v>
      </c>
      <c r="K66" s="552" t="n">
        <v>0</v>
      </c>
      <c r="L66" s="553"/>
      <c r="M66" s="552" t="n">
        <v>0</v>
      </c>
      <c r="N66" s="553"/>
      <c r="O66" s="552" t="n">
        <v>0</v>
      </c>
      <c r="P66" s="555" t="n">
        <v>0</v>
      </c>
      <c r="Q66" s="556"/>
      <c r="R66" s="557" t="s">
        <v>2518</v>
      </c>
      <c r="S66" s="558"/>
      <c r="T66" s="558"/>
      <c r="U66" s="558"/>
      <c r="V66" s="511"/>
      <c r="W66" s="563"/>
      <c r="Z66" s="560"/>
    </row>
    <row r="67" customFormat="false" ht="121.5" hidden="false" customHeight="true" outlineLevel="0" collapsed="false">
      <c r="B67" s="549"/>
      <c r="C67" s="550" t="s">
        <v>148</v>
      </c>
      <c r="D67" s="54" t="s">
        <v>149</v>
      </c>
      <c r="E67" s="552" t="n">
        <v>0</v>
      </c>
      <c r="F67" s="553"/>
      <c r="G67" s="51"/>
      <c r="H67" s="554"/>
      <c r="I67" s="51"/>
      <c r="J67" s="553"/>
      <c r="K67" s="552" t="n">
        <v>0</v>
      </c>
      <c r="L67" s="553"/>
      <c r="M67" s="552" t="n">
        <v>6829150284</v>
      </c>
      <c r="N67" s="553"/>
      <c r="O67" s="552" t="n">
        <v>-6829150284</v>
      </c>
      <c r="P67" s="555" t="n">
        <v>-1</v>
      </c>
      <c r="Q67" s="556" t="s">
        <v>2501</v>
      </c>
      <c r="R67" s="557" t="s">
        <v>2502</v>
      </c>
      <c r="S67" s="559" t="s">
        <v>2538</v>
      </c>
      <c r="T67" s="559" t="s">
        <v>2538</v>
      </c>
      <c r="U67" s="558" t="s">
        <v>2539</v>
      </c>
      <c r="V67" s="511"/>
      <c r="W67" s="563"/>
      <c r="Z67" s="560"/>
    </row>
    <row r="68" customFormat="false" ht="67.5" hidden="false" customHeight="true" outlineLevel="0" collapsed="false">
      <c r="B68" s="549"/>
      <c r="C68" s="550" t="s">
        <v>150</v>
      </c>
      <c r="D68" s="54" t="s">
        <v>151</v>
      </c>
      <c r="E68" s="552" t="n">
        <v>0</v>
      </c>
      <c r="F68" s="553"/>
      <c r="G68" s="51"/>
      <c r="H68" s="554"/>
      <c r="I68" s="51"/>
      <c r="J68" s="553"/>
      <c r="K68" s="552" t="n">
        <v>0</v>
      </c>
      <c r="L68" s="553"/>
      <c r="M68" s="552" t="n">
        <v>-6829150284</v>
      </c>
      <c r="N68" s="553"/>
      <c r="O68" s="552" t="n">
        <v>6829150284</v>
      </c>
      <c r="P68" s="555" t="n">
        <v>-1</v>
      </c>
      <c r="Q68" s="556" t="s">
        <v>2501</v>
      </c>
      <c r="R68" s="557" t="s">
        <v>2502</v>
      </c>
      <c r="S68" s="559" t="s">
        <v>2540</v>
      </c>
      <c r="T68" s="559" t="s">
        <v>2540</v>
      </c>
      <c r="U68" s="558" t="s">
        <v>2541</v>
      </c>
      <c r="V68" s="511"/>
      <c r="W68" s="563"/>
      <c r="Z68" s="560"/>
    </row>
    <row r="69" customFormat="false" ht="15" hidden="false" customHeight="false" outlineLevel="0" collapsed="false">
      <c r="B69" s="549"/>
      <c r="C69" s="566" t="s">
        <v>153</v>
      </c>
      <c r="D69" s="537" t="s">
        <v>154</v>
      </c>
      <c r="E69" s="539"/>
      <c r="F69" s="540" t="n">
        <v>8237836</v>
      </c>
      <c r="G69" s="541"/>
      <c r="H69" s="542"/>
      <c r="I69" s="541"/>
      <c r="J69" s="540"/>
      <c r="K69" s="539"/>
      <c r="L69" s="540" t="n">
        <v>8237836</v>
      </c>
      <c r="M69" s="539"/>
      <c r="N69" s="540" t="n">
        <v>0</v>
      </c>
      <c r="O69" s="539" t="n">
        <v>8237836</v>
      </c>
      <c r="P69" s="546" t="n">
        <v>1</v>
      </c>
      <c r="Q69" s="543"/>
      <c r="R69" s="567" t="s">
        <v>2502</v>
      </c>
      <c r="S69" s="544"/>
      <c r="T69" s="544"/>
      <c r="U69" s="544"/>
      <c r="V69" s="511"/>
      <c r="W69" s="563"/>
      <c r="Z69" s="560"/>
    </row>
    <row r="70" customFormat="false" ht="15" hidden="false" customHeight="false" outlineLevel="0" collapsed="false">
      <c r="B70" s="536"/>
      <c r="C70" s="537" t="s">
        <v>2415</v>
      </c>
      <c r="D70" s="548"/>
      <c r="E70" s="539"/>
      <c r="F70" s="540" t="n">
        <v>412438089193</v>
      </c>
      <c r="G70" s="541"/>
      <c r="H70" s="542"/>
      <c r="I70" s="541"/>
      <c r="J70" s="540"/>
      <c r="K70" s="539"/>
      <c r="L70" s="540" t="n">
        <v>402171370716</v>
      </c>
      <c r="M70" s="539"/>
      <c r="N70" s="540" t="n">
        <v>405092028319</v>
      </c>
      <c r="O70" s="539" t="n">
        <v>-2920657603</v>
      </c>
      <c r="P70" s="546" t="n">
        <v>-0.00720986195438053</v>
      </c>
      <c r="Q70" s="567"/>
      <c r="R70" s="567"/>
      <c r="S70" s="544"/>
      <c r="T70" s="544"/>
      <c r="U70" s="544"/>
      <c r="V70" s="511"/>
      <c r="W70" s="563"/>
      <c r="Z70" s="560"/>
    </row>
    <row r="71" customFormat="false" ht="14.25" hidden="false" customHeight="true" outlineLevel="0" collapsed="false">
      <c r="B71" s="568"/>
      <c r="C71" s="569"/>
      <c r="D71" s="570"/>
      <c r="E71" s="571"/>
      <c r="F71" s="572"/>
      <c r="G71" s="573"/>
      <c r="H71" s="574"/>
      <c r="I71" s="573"/>
      <c r="J71" s="572"/>
      <c r="K71" s="571"/>
      <c r="L71" s="572"/>
      <c r="M71" s="571"/>
      <c r="N71" s="572"/>
      <c r="O71" s="571"/>
      <c r="P71" s="575"/>
      <c r="Q71" s="576"/>
      <c r="R71" s="576"/>
      <c r="S71" s="577"/>
      <c r="T71" s="577"/>
      <c r="U71" s="577"/>
      <c r="V71" s="511"/>
      <c r="W71" s="563"/>
      <c r="Z71" s="560"/>
    </row>
    <row r="72" customFormat="false" ht="15" hidden="false" customHeight="false" outlineLevel="0" collapsed="false">
      <c r="B72" s="578"/>
      <c r="C72" s="579" t="s">
        <v>2416</v>
      </c>
      <c r="D72" s="580"/>
      <c r="E72" s="581"/>
      <c r="F72" s="582"/>
      <c r="G72" s="541"/>
      <c r="H72" s="542"/>
      <c r="I72" s="541"/>
      <c r="J72" s="582"/>
      <c r="K72" s="581"/>
      <c r="L72" s="582"/>
      <c r="M72" s="581"/>
      <c r="N72" s="582"/>
      <c r="O72" s="581"/>
      <c r="P72" s="583"/>
      <c r="Q72" s="584"/>
      <c r="R72" s="584"/>
      <c r="S72" s="585"/>
      <c r="T72" s="585"/>
      <c r="U72" s="585"/>
      <c r="V72" s="511"/>
      <c r="W72" s="563"/>
      <c r="Z72" s="560"/>
    </row>
    <row r="73" customFormat="false" ht="15" hidden="false" customHeight="false" outlineLevel="0" collapsed="false">
      <c r="B73" s="536" t="s">
        <v>2392</v>
      </c>
      <c r="C73" s="537" t="s">
        <v>2417</v>
      </c>
      <c r="D73" s="548"/>
      <c r="E73" s="539"/>
      <c r="F73" s="540" t="n">
        <v>154019626401</v>
      </c>
      <c r="G73" s="541"/>
      <c r="H73" s="542"/>
      <c r="I73" s="541"/>
      <c r="J73" s="540"/>
      <c r="K73" s="539"/>
      <c r="L73" s="540" t="n">
        <v>140791861473</v>
      </c>
      <c r="M73" s="539"/>
      <c r="N73" s="540" t="n">
        <v>165898001260</v>
      </c>
      <c r="O73" s="539" t="n">
        <v>-25106139787</v>
      </c>
      <c r="P73" s="546" t="n">
        <v>-0.151334793646205</v>
      </c>
      <c r="Q73" s="567"/>
      <c r="R73" s="567"/>
      <c r="S73" s="544"/>
      <c r="T73" s="544"/>
      <c r="U73" s="544"/>
      <c r="V73" s="511"/>
      <c r="W73" s="563"/>
      <c r="Z73" s="560"/>
    </row>
    <row r="74" customFormat="false" ht="94.5" hidden="false" customHeight="true" outlineLevel="0" collapsed="false">
      <c r="B74" s="549"/>
      <c r="C74" s="550" t="n">
        <v>1</v>
      </c>
      <c r="D74" s="551" t="s">
        <v>161</v>
      </c>
      <c r="E74" s="552" t="n">
        <v>13529982099</v>
      </c>
      <c r="F74" s="553"/>
      <c r="G74" s="51"/>
      <c r="H74" s="554"/>
      <c r="I74" s="51" t="n">
        <v>253337519</v>
      </c>
      <c r="J74" s="553" t="n">
        <v>-408043000</v>
      </c>
      <c r="K74" s="552" t="n">
        <v>13684687580</v>
      </c>
      <c r="L74" s="553"/>
      <c r="M74" s="552" t="n">
        <v>72729419025</v>
      </c>
      <c r="N74" s="553"/>
      <c r="O74" s="552" t="n">
        <v>-59044731445</v>
      </c>
      <c r="P74" s="555" t="n">
        <v>-0.811841098644057</v>
      </c>
      <c r="Q74" s="556" t="s">
        <v>2501</v>
      </c>
      <c r="R74" s="557" t="s">
        <v>2519</v>
      </c>
      <c r="S74" s="559" t="s">
        <v>2542</v>
      </c>
      <c r="T74" s="559" t="s">
        <v>2543</v>
      </c>
      <c r="U74" s="559" t="s">
        <v>2544</v>
      </c>
      <c r="V74" s="586"/>
      <c r="W74" s="563"/>
      <c r="Z74" s="560"/>
    </row>
    <row r="75" customFormat="false" ht="15" hidden="false" customHeight="false" outlineLevel="0" collapsed="false">
      <c r="B75" s="549"/>
      <c r="C75" s="550" t="n">
        <v>2</v>
      </c>
      <c r="D75" s="551" t="s">
        <v>163</v>
      </c>
      <c r="E75" s="552" t="n">
        <v>0</v>
      </c>
      <c r="F75" s="553"/>
      <c r="G75" s="51"/>
      <c r="H75" s="554"/>
      <c r="I75" s="51"/>
      <c r="J75" s="553"/>
      <c r="K75" s="552" t="n">
        <v>0</v>
      </c>
      <c r="L75" s="553"/>
      <c r="M75" s="552" t="n">
        <v>0</v>
      </c>
      <c r="N75" s="553"/>
      <c r="O75" s="552" t="n">
        <v>0</v>
      </c>
      <c r="P75" s="555" t="s">
        <v>2517</v>
      </c>
      <c r="Q75" s="556"/>
      <c r="R75" s="556"/>
      <c r="S75" s="558"/>
      <c r="T75" s="558"/>
      <c r="U75" s="558"/>
      <c r="V75" s="511"/>
      <c r="W75" s="563"/>
      <c r="Z75" s="560"/>
    </row>
    <row r="76" customFormat="false" ht="108" hidden="false" customHeight="true" outlineLevel="0" collapsed="false">
      <c r="B76" s="549"/>
      <c r="C76" s="550" t="n">
        <v>3</v>
      </c>
      <c r="D76" s="551" t="s">
        <v>165</v>
      </c>
      <c r="E76" s="552" t="n">
        <v>14719686537</v>
      </c>
      <c r="F76" s="553"/>
      <c r="G76" s="51"/>
      <c r="H76" s="554"/>
      <c r="I76" s="51" t="n">
        <v>605574110</v>
      </c>
      <c r="J76" s="553"/>
      <c r="K76" s="552" t="n">
        <v>14114112505</v>
      </c>
      <c r="L76" s="553"/>
      <c r="M76" s="552" t="n">
        <v>11171705926</v>
      </c>
      <c r="N76" s="553"/>
      <c r="O76" s="552" t="n">
        <v>2942406579</v>
      </c>
      <c r="P76" s="555" t="n">
        <v>0.263380239194456</v>
      </c>
      <c r="Q76" s="556"/>
      <c r="R76" s="557" t="s">
        <v>2519</v>
      </c>
      <c r="S76" s="559" t="s">
        <v>2545</v>
      </c>
      <c r="T76" s="558"/>
      <c r="U76" s="559" t="s">
        <v>2546</v>
      </c>
      <c r="V76" s="511"/>
      <c r="W76" s="563"/>
      <c r="Z76" s="560"/>
    </row>
    <row r="77" customFormat="false" ht="15" hidden="false" customHeight="false" outlineLevel="0" collapsed="false">
      <c r="B77" s="549"/>
      <c r="C77" s="550" t="n">
        <v>4</v>
      </c>
      <c r="D77" s="551" t="s">
        <v>167</v>
      </c>
      <c r="E77" s="552" t="n">
        <v>2737532</v>
      </c>
      <c r="F77" s="553"/>
      <c r="G77" s="51"/>
      <c r="H77" s="554"/>
      <c r="I77" s="51"/>
      <c r="J77" s="553"/>
      <c r="K77" s="552" t="n">
        <v>2737532</v>
      </c>
      <c r="L77" s="553"/>
      <c r="M77" s="552" t="n">
        <v>13647651</v>
      </c>
      <c r="N77" s="553"/>
      <c r="O77" s="552" t="n">
        <v>-10910119</v>
      </c>
      <c r="P77" s="555" t="n">
        <v>-0.799413686648347</v>
      </c>
      <c r="Q77" s="556"/>
      <c r="R77" s="557" t="s">
        <v>2502</v>
      </c>
      <c r="S77" s="558"/>
      <c r="T77" s="558"/>
      <c r="U77" s="558"/>
      <c r="V77" s="511"/>
      <c r="W77" s="563"/>
      <c r="Z77" s="560"/>
    </row>
    <row r="78" customFormat="false" ht="27" hidden="false" customHeight="true" outlineLevel="0" collapsed="false">
      <c r="B78" s="549"/>
      <c r="C78" s="550" t="n">
        <v>5</v>
      </c>
      <c r="D78" s="551" t="s">
        <v>169</v>
      </c>
      <c r="E78" s="552" t="n">
        <v>1217627633</v>
      </c>
      <c r="F78" s="553"/>
      <c r="G78" s="51"/>
      <c r="H78" s="554"/>
      <c r="I78" s="51"/>
      <c r="J78" s="553"/>
      <c r="K78" s="552" t="n">
        <v>1217627633</v>
      </c>
      <c r="L78" s="553"/>
      <c r="M78" s="552" t="n">
        <v>1167577946</v>
      </c>
      <c r="N78" s="553"/>
      <c r="O78" s="552" t="n">
        <v>50049687</v>
      </c>
      <c r="P78" s="555" t="n">
        <v>0.0428662490341352</v>
      </c>
      <c r="Q78" s="556"/>
      <c r="R78" s="557" t="s">
        <v>2502</v>
      </c>
      <c r="S78" s="558"/>
      <c r="T78" s="558"/>
      <c r="U78" s="559" t="s">
        <v>2547</v>
      </c>
      <c r="V78" s="511"/>
      <c r="W78" s="563"/>
      <c r="Z78" s="560"/>
    </row>
    <row r="79" customFormat="false" ht="108" hidden="false" customHeight="true" outlineLevel="0" collapsed="false">
      <c r="B79" s="549"/>
      <c r="C79" s="550" t="n">
        <v>6</v>
      </c>
      <c r="D79" s="551" t="s">
        <v>171</v>
      </c>
      <c r="E79" s="552" t="n">
        <v>101523263897</v>
      </c>
      <c r="F79" s="553"/>
      <c r="G79" s="51" t="n">
        <v>-1036048562</v>
      </c>
      <c r="H79" s="554"/>
      <c r="I79" s="51" t="n">
        <v>7192440524</v>
      </c>
      <c r="J79" s="553" t="n">
        <v>-605574110</v>
      </c>
      <c r="K79" s="552" t="n">
        <v>93900348921</v>
      </c>
      <c r="L79" s="553"/>
      <c r="M79" s="552" t="n">
        <v>69921870021</v>
      </c>
      <c r="N79" s="553"/>
      <c r="O79" s="552" t="n">
        <v>23978478900</v>
      </c>
      <c r="P79" s="555" t="n">
        <v>0.342932460084354</v>
      </c>
      <c r="Q79" s="556" t="s">
        <v>2501</v>
      </c>
      <c r="R79" s="557" t="s">
        <v>2502</v>
      </c>
      <c r="S79" s="559" t="s">
        <v>2548</v>
      </c>
      <c r="T79" s="558"/>
      <c r="U79" s="559" t="s">
        <v>2549</v>
      </c>
      <c r="V79" s="511"/>
      <c r="W79" s="563"/>
      <c r="Z79" s="560"/>
    </row>
    <row r="80" customFormat="false" ht="15" hidden="false" customHeight="false" outlineLevel="0" collapsed="false">
      <c r="B80" s="549"/>
      <c r="C80" s="550" t="n">
        <v>7</v>
      </c>
      <c r="D80" s="551" t="s">
        <v>173</v>
      </c>
      <c r="E80" s="552" t="n">
        <v>4357240097</v>
      </c>
      <c r="F80" s="553"/>
      <c r="G80" s="51"/>
      <c r="H80" s="554"/>
      <c r="I80" s="51" t="n">
        <v>9</v>
      </c>
      <c r="J80" s="553"/>
      <c r="K80" s="552" t="n">
        <v>4357240088</v>
      </c>
      <c r="L80" s="553"/>
      <c r="M80" s="552" t="n">
        <v>2191517225</v>
      </c>
      <c r="N80" s="553"/>
      <c r="O80" s="552" t="n">
        <v>2165722863</v>
      </c>
      <c r="P80" s="555" t="n">
        <v>0.988229906794367</v>
      </c>
      <c r="Q80" s="556"/>
      <c r="R80" s="557" t="s">
        <v>2502</v>
      </c>
      <c r="S80" s="559" t="s">
        <v>2550</v>
      </c>
      <c r="T80" s="558"/>
      <c r="U80" s="558"/>
      <c r="V80" s="511"/>
      <c r="W80" s="563"/>
      <c r="Z80" s="560"/>
    </row>
    <row r="81" customFormat="false" ht="15" hidden="false" customHeight="false" outlineLevel="0" collapsed="false">
      <c r="B81" s="549"/>
      <c r="C81" s="550" t="n">
        <v>8</v>
      </c>
      <c r="D81" s="551" t="s">
        <v>175</v>
      </c>
      <c r="E81" s="552" t="n">
        <v>11006749505</v>
      </c>
      <c r="F81" s="553"/>
      <c r="G81" s="51" t="n">
        <v>-1917549368</v>
      </c>
      <c r="H81" s="554"/>
      <c r="I81" s="51" t="n">
        <v>2456569024</v>
      </c>
      <c r="J81" s="553"/>
      <c r="K81" s="552" t="n">
        <v>6632631113</v>
      </c>
      <c r="L81" s="553"/>
      <c r="M81" s="552" t="n">
        <v>5287930869</v>
      </c>
      <c r="N81" s="553"/>
      <c r="O81" s="552" t="n">
        <v>1344700244</v>
      </c>
      <c r="P81" s="555" t="n">
        <v>0.254296108877516</v>
      </c>
      <c r="Q81" s="556"/>
      <c r="R81" s="557" t="s">
        <v>2518</v>
      </c>
      <c r="S81" s="564"/>
      <c r="T81" s="558"/>
      <c r="U81" s="558"/>
      <c r="V81" s="511"/>
      <c r="W81" s="563"/>
      <c r="Z81" s="560"/>
    </row>
    <row r="82" customFormat="false" ht="15" hidden="false" customHeight="false" outlineLevel="0" collapsed="false">
      <c r="B82" s="549"/>
      <c r="C82" s="550" t="n">
        <v>9</v>
      </c>
      <c r="D82" s="551" t="s">
        <v>177</v>
      </c>
      <c r="E82" s="552" t="n">
        <v>0</v>
      </c>
      <c r="F82" s="553"/>
      <c r="G82" s="51"/>
      <c r="H82" s="554"/>
      <c r="I82" s="51"/>
      <c r="J82" s="553"/>
      <c r="K82" s="552" t="n">
        <v>0</v>
      </c>
      <c r="L82" s="553"/>
      <c r="M82" s="552" t="n">
        <v>0</v>
      </c>
      <c r="N82" s="553"/>
      <c r="O82" s="552" t="n">
        <v>0</v>
      </c>
      <c r="P82" s="555" t="s">
        <v>2517</v>
      </c>
      <c r="Q82" s="556"/>
      <c r="R82" s="556"/>
      <c r="S82" s="558"/>
      <c r="T82" s="558"/>
      <c r="U82" s="558"/>
      <c r="V82" s="511"/>
      <c r="W82" s="563"/>
      <c r="Z82" s="560"/>
    </row>
    <row r="83" customFormat="false" ht="15" hidden="false" customHeight="false" outlineLevel="0" collapsed="false">
      <c r="B83" s="549"/>
      <c r="C83" s="550" t="n">
        <v>10</v>
      </c>
      <c r="D83" s="551" t="s">
        <v>179</v>
      </c>
      <c r="E83" s="552" t="n">
        <v>0</v>
      </c>
      <c r="F83" s="553" t="s">
        <v>2395</v>
      </c>
      <c r="G83" s="51"/>
      <c r="H83" s="554"/>
      <c r="I83" s="51"/>
      <c r="J83" s="553"/>
      <c r="K83" s="552" t="n">
        <v>0</v>
      </c>
      <c r="L83" s="553" t="s">
        <v>2395</v>
      </c>
      <c r="M83" s="552" t="n">
        <v>0</v>
      </c>
      <c r="N83" s="553" t="s">
        <v>2395</v>
      </c>
      <c r="O83" s="552" t="n">
        <v>0</v>
      </c>
      <c r="P83" s="555" t="s">
        <v>2517</v>
      </c>
      <c r="Q83" s="556"/>
      <c r="R83" s="556"/>
      <c r="S83" s="558"/>
      <c r="T83" s="558"/>
      <c r="U83" s="558"/>
      <c r="V83" s="511"/>
      <c r="W83" s="563"/>
      <c r="Z83" s="560"/>
    </row>
    <row r="84" customFormat="false" ht="15" hidden="false" customHeight="false" outlineLevel="0" collapsed="false">
      <c r="B84" s="549"/>
      <c r="C84" s="550" t="n">
        <v>11</v>
      </c>
      <c r="D84" s="551" t="s">
        <v>181</v>
      </c>
      <c r="E84" s="552" t="n">
        <v>0</v>
      </c>
      <c r="F84" s="553"/>
      <c r="G84" s="51"/>
      <c r="H84" s="554"/>
      <c r="I84" s="51"/>
      <c r="J84" s="553"/>
      <c r="K84" s="552" t="n">
        <v>0</v>
      </c>
      <c r="L84" s="553"/>
      <c r="M84" s="552" t="n">
        <v>1529212</v>
      </c>
      <c r="N84" s="553"/>
      <c r="O84" s="552" t="n">
        <v>-1529212</v>
      </c>
      <c r="P84" s="555" t="n">
        <v>-1</v>
      </c>
      <c r="Q84" s="556"/>
      <c r="R84" s="557" t="s">
        <v>2502</v>
      </c>
      <c r="S84" s="558"/>
      <c r="T84" s="558"/>
      <c r="U84" s="558"/>
      <c r="V84" s="511"/>
      <c r="W84" s="563"/>
      <c r="Z84" s="560"/>
    </row>
    <row r="85" customFormat="false" ht="108" hidden="false" customHeight="true" outlineLevel="0" collapsed="false">
      <c r="B85" s="587" t="s">
        <v>2418</v>
      </c>
      <c r="C85" s="550" t="n">
        <v>12</v>
      </c>
      <c r="D85" s="54" t="s">
        <v>183</v>
      </c>
      <c r="E85" s="552" t="n">
        <v>7662339101</v>
      </c>
      <c r="F85" s="553"/>
      <c r="G85" s="51"/>
      <c r="H85" s="554"/>
      <c r="I85" s="51" t="n">
        <v>779863000</v>
      </c>
      <c r="J85" s="553"/>
      <c r="K85" s="552" t="n">
        <v>6882476101</v>
      </c>
      <c r="L85" s="553"/>
      <c r="M85" s="552" t="n">
        <v>3412803385</v>
      </c>
      <c r="N85" s="553"/>
      <c r="O85" s="552" t="n">
        <v>3469672716</v>
      </c>
      <c r="P85" s="555" t="n">
        <v>1.01666352396682</v>
      </c>
      <c r="Q85" s="556"/>
      <c r="R85" s="557" t="s">
        <v>2505</v>
      </c>
      <c r="S85" s="559" t="s">
        <v>2551</v>
      </c>
      <c r="T85" s="559" t="s">
        <v>2552</v>
      </c>
      <c r="U85" s="559" t="s">
        <v>2553</v>
      </c>
      <c r="V85" s="511"/>
      <c r="W85" s="563"/>
      <c r="Z85" s="560"/>
    </row>
    <row r="86" customFormat="false" ht="15" hidden="false" customHeight="false" outlineLevel="0" collapsed="false">
      <c r="B86" s="536" t="s">
        <v>2401</v>
      </c>
      <c r="C86" s="537" t="s">
        <v>2419</v>
      </c>
      <c r="D86" s="548"/>
      <c r="E86" s="539"/>
      <c r="F86" s="540" t="n">
        <v>874799543</v>
      </c>
      <c r="G86" s="541"/>
      <c r="H86" s="542"/>
      <c r="I86" s="541"/>
      <c r="J86" s="540"/>
      <c r="K86" s="539" t="n">
        <v>0</v>
      </c>
      <c r="L86" s="540" t="n">
        <v>1681126243</v>
      </c>
      <c r="M86" s="539"/>
      <c r="N86" s="540" t="n">
        <v>11002482397</v>
      </c>
      <c r="O86" s="539" t="n">
        <v>-9321356154</v>
      </c>
      <c r="P86" s="546" t="n">
        <v>-0.847204823208044</v>
      </c>
      <c r="Q86" s="567"/>
      <c r="R86" s="567"/>
      <c r="S86" s="544"/>
      <c r="T86" s="544"/>
      <c r="U86" s="544"/>
      <c r="V86" s="511"/>
      <c r="W86" s="563"/>
      <c r="Z86" s="560"/>
    </row>
    <row r="87" customFormat="false" ht="15" hidden="false" customHeight="false" outlineLevel="0" collapsed="false">
      <c r="B87" s="549"/>
      <c r="C87" s="550" t="n">
        <v>1</v>
      </c>
      <c r="D87" s="551" t="s">
        <v>187</v>
      </c>
      <c r="E87" s="552" t="n">
        <v>0</v>
      </c>
      <c r="F87" s="553"/>
      <c r="G87" s="51"/>
      <c r="H87" s="554"/>
      <c r="I87" s="51"/>
      <c r="J87" s="553"/>
      <c r="K87" s="552" t="n">
        <v>0</v>
      </c>
      <c r="L87" s="553"/>
      <c r="M87" s="552" t="n">
        <v>0</v>
      </c>
      <c r="N87" s="553"/>
      <c r="O87" s="552" t="n">
        <v>0</v>
      </c>
      <c r="P87" s="555" t="s">
        <v>2517</v>
      </c>
      <c r="Q87" s="556"/>
      <c r="R87" s="556"/>
      <c r="S87" s="558"/>
      <c r="T87" s="558"/>
      <c r="U87" s="558"/>
      <c r="V87" s="511"/>
      <c r="W87" s="563"/>
      <c r="Z87" s="560"/>
    </row>
    <row r="88" customFormat="false" ht="15" hidden="false" customHeight="false" outlineLevel="0" collapsed="false">
      <c r="B88" s="549"/>
      <c r="C88" s="550" t="n">
        <v>2</v>
      </c>
      <c r="D88" s="551" t="s">
        <v>189</v>
      </c>
      <c r="E88" s="552" t="n">
        <v>0</v>
      </c>
      <c r="F88" s="553"/>
      <c r="G88" s="51"/>
      <c r="H88" s="554"/>
      <c r="I88" s="51"/>
      <c r="J88" s="553"/>
      <c r="K88" s="552" t="n">
        <v>0</v>
      </c>
      <c r="L88" s="553"/>
      <c r="M88" s="552" t="n">
        <v>0</v>
      </c>
      <c r="N88" s="553"/>
      <c r="O88" s="552" t="n">
        <v>0</v>
      </c>
      <c r="P88" s="555" t="s">
        <v>2517</v>
      </c>
      <c r="Q88" s="556"/>
      <c r="R88" s="556"/>
      <c r="S88" s="558"/>
      <c r="T88" s="558"/>
      <c r="U88" s="558"/>
      <c r="V88" s="511"/>
      <c r="W88" s="563"/>
      <c r="Z88" s="560"/>
    </row>
    <row r="89" customFormat="false" ht="15" hidden="false" customHeight="false" outlineLevel="0" collapsed="false">
      <c r="B89" s="549"/>
      <c r="C89" s="550" t="n">
        <v>3</v>
      </c>
      <c r="D89" s="551" t="s">
        <v>191</v>
      </c>
      <c r="E89" s="552" t="n">
        <v>-26463700</v>
      </c>
      <c r="F89" s="553"/>
      <c r="G89" s="51"/>
      <c r="H89" s="554"/>
      <c r="I89" s="51"/>
      <c r="J89" s="553" t="n">
        <v>-26463700</v>
      </c>
      <c r="K89" s="552" t="n">
        <v>0</v>
      </c>
      <c r="L89" s="553"/>
      <c r="M89" s="552" t="n">
        <v>0</v>
      </c>
      <c r="N89" s="553"/>
      <c r="O89" s="552" t="n">
        <v>0</v>
      </c>
      <c r="P89" s="555" t="s">
        <v>2517</v>
      </c>
      <c r="Q89" s="556"/>
      <c r="R89" s="556"/>
      <c r="S89" s="558"/>
      <c r="T89" s="558"/>
      <c r="U89" s="558"/>
      <c r="V89" s="511"/>
      <c r="W89" s="563"/>
      <c r="Z89" s="560"/>
    </row>
    <row r="90" customFormat="false" ht="27" hidden="false" customHeight="true" outlineLevel="0" collapsed="false">
      <c r="B90" s="587" t="s">
        <v>2420</v>
      </c>
      <c r="C90" s="550" t="n">
        <v>4</v>
      </c>
      <c r="D90" s="551" t="s">
        <v>193</v>
      </c>
      <c r="E90" s="552" t="n">
        <v>0</v>
      </c>
      <c r="F90" s="553"/>
      <c r="G90" s="51"/>
      <c r="H90" s="554"/>
      <c r="I90" s="51"/>
      <c r="J90" s="553" t="n">
        <v>-779863000</v>
      </c>
      <c r="K90" s="552" t="n">
        <v>779863000</v>
      </c>
      <c r="L90" s="553"/>
      <c r="M90" s="552" t="n">
        <v>942103739</v>
      </c>
      <c r="N90" s="553"/>
      <c r="O90" s="552" t="n">
        <v>-162240739</v>
      </c>
      <c r="P90" s="555" t="n">
        <v>-0.172211118886134</v>
      </c>
      <c r="Q90" s="556"/>
      <c r="R90" s="557" t="s">
        <v>2505</v>
      </c>
      <c r="S90" s="559" t="s">
        <v>2554</v>
      </c>
      <c r="T90" s="559" t="s">
        <v>2554</v>
      </c>
      <c r="U90" s="558"/>
      <c r="V90" s="561"/>
      <c r="W90" s="563"/>
      <c r="Z90" s="560"/>
    </row>
    <row r="91" customFormat="false" ht="15" hidden="false" customHeight="false" outlineLevel="0" collapsed="false">
      <c r="B91" s="549"/>
      <c r="C91" s="550"/>
      <c r="D91" s="551" t="s">
        <v>194</v>
      </c>
      <c r="E91" s="552" t="n">
        <v>901263243</v>
      </c>
      <c r="F91" s="553"/>
      <c r="G91" s="51"/>
      <c r="H91" s="554"/>
      <c r="I91" s="51"/>
      <c r="J91" s="553"/>
      <c r="K91" s="552" t="n">
        <v>901263243</v>
      </c>
      <c r="L91" s="553"/>
      <c r="M91" s="552" t="n">
        <v>886612996</v>
      </c>
      <c r="N91" s="553"/>
      <c r="O91" s="552" t="n">
        <v>14650247</v>
      </c>
      <c r="P91" s="555" t="n">
        <v>0.0165238351638148</v>
      </c>
      <c r="Q91" s="556"/>
      <c r="R91" s="557" t="s">
        <v>2502</v>
      </c>
      <c r="S91" s="558"/>
      <c r="T91" s="558"/>
      <c r="U91" s="558"/>
      <c r="V91" s="511"/>
      <c r="W91" s="563"/>
      <c r="Z91" s="560"/>
    </row>
    <row r="92" customFormat="false" ht="15" hidden="false" customHeight="false" outlineLevel="0" collapsed="false">
      <c r="B92" s="549"/>
      <c r="C92" s="550"/>
      <c r="D92" s="551" t="s">
        <v>195</v>
      </c>
      <c r="E92" s="552" t="n">
        <v>0</v>
      </c>
      <c r="F92" s="553"/>
      <c r="G92" s="51"/>
      <c r="H92" s="554"/>
      <c r="I92" s="51"/>
      <c r="J92" s="553"/>
      <c r="K92" s="552" t="n">
        <v>0</v>
      </c>
      <c r="L92" s="553"/>
      <c r="M92" s="552" t="n">
        <v>0</v>
      </c>
      <c r="N92" s="553"/>
      <c r="O92" s="552" t="n">
        <v>0</v>
      </c>
      <c r="P92" s="555" t="s">
        <v>2517</v>
      </c>
      <c r="Q92" s="556"/>
      <c r="R92" s="556"/>
      <c r="S92" s="558"/>
      <c r="T92" s="558"/>
      <c r="U92" s="558"/>
      <c r="V92" s="511"/>
      <c r="W92" s="563"/>
      <c r="Z92" s="560"/>
    </row>
    <row r="93" customFormat="false" ht="67.5" hidden="false" customHeight="true" outlineLevel="0" collapsed="false">
      <c r="B93" s="549"/>
      <c r="C93" s="550" t="n">
        <v>5</v>
      </c>
      <c r="D93" s="551" t="s">
        <v>196</v>
      </c>
      <c r="E93" s="552" t="n">
        <v>0</v>
      </c>
      <c r="F93" s="553"/>
      <c r="G93" s="51"/>
      <c r="H93" s="554"/>
      <c r="I93" s="51"/>
      <c r="J93" s="553"/>
      <c r="K93" s="552" t="n">
        <v>0</v>
      </c>
      <c r="L93" s="553"/>
      <c r="M93" s="552" t="n">
        <v>9173765662</v>
      </c>
      <c r="N93" s="553"/>
      <c r="O93" s="552" t="n">
        <v>-9173765662</v>
      </c>
      <c r="P93" s="555" t="n">
        <v>-1</v>
      </c>
      <c r="Q93" s="556" t="s">
        <v>2501</v>
      </c>
      <c r="R93" s="557" t="s">
        <v>2502</v>
      </c>
      <c r="S93" s="559" t="s">
        <v>2555</v>
      </c>
      <c r="T93" s="559" t="s">
        <v>2555</v>
      </c>
      <c r="U93" s="559" t="s">
        <v>2556</v>
      </c>
      <c r="V93" s="561"/>
      <c r="W93" s="563"/>
      <c r="Z93" s="560"/>
    </row>
    <row r="94" customFormat="false" ht="15" hidden="false" customHeight="false" outlineLevel="0" collapsed="false">
      <c r="B94" s="536"/>
      <c r="C94" s="537" t="s">
        <v>2421</v>
      </c>
      <c r="D94" s="548"/>
      <c r="E94" s="539"/>
      <c r="F94" s="540" t="n">
        <v>154894425944</v>
      </c>
      <c r="G94" s="541"/>
      <c r="H94" s="542"/>
      <c r="I94" s="541"/>
      <c r="J94" s="540"/>
      <c r="K94" s="539"/>
      <c r="L94" s="540" t="n">
        <v>142472987716</v>
      </c>
      <c r="M94" s="539"/>
      <c r="N94" s="540" t="n">
        <v>176900483657</v>
      </c>
      <c r="O94" s="539" t="n">
        <v>-34427495941</v>
      </c>
      <c r="P94" s="546" t="n">
        <v>-0.194615046998701</v>
      </c>
      <c r="Q94" s="567"/>
      <c r="R94" s="567"/>
      <c r="S94" s="544"/>
      <c r="T94" s="544"/>
      <c r="U94" s="544"/>
      <c r="V94" s="511"/>
      <c r="W94" s="563"/>
      <c r="Z94" s="560"/>
    </row>
    <row r="95" customFormat="false" ht="15" hidden="false" customHeight="false" outlineLevel="0" collapsed="false">
      <c r="B95" s="536"/>
      <c r="C95" s="537" t="s">
        <v>2422</v>
      </c>
      <c r="D95" s="548"/>
      <c r="E95" s="539"/>
      <c r="F95" s="540"/>
      <c r="G95" s="541"/>
      <c r="H95" s="542"/>
      <c r="I95" s="541"/>
      <c r="J95" s="540"/>
      <c r="K95" s="539"/>
      <c r="L95" s="540"/>
      <c r="M95" s="539"/>
      <c r="N95" s="540"/>
      <c r="O95" s="539"/>
      <c r="P95" s="546"/>
      <c r="Q95" s="567"/>
      <c r="R95" s="567"/>
      <c r="S95" s="544"/>
      <c r="T95" s="544"/>
      <c r="U95" s="544"/>
      <c r="V95" s="511"/>
      <c r="W95" s="563"/>
      <c r="Z95" s="560"/>
    </row>
    <row r="96" customFormat="false" ht="15" hidden="false" customHeight="false" outlineLevel="0" collapsed="false">
      <c r="B96" s="536" t="s">
        <v>2392</v>
      </c>
      <c r="C96" s="537" t="s">
        <v>2423</v>
      </c>
      <c r="D96" s="548"/>
      <c r="E96" s="539"/>
      <c r="F96" s="540" t="n">
        <v>105693414847</v>
      </c>
      <c r="G96" s="541"/>
      <c r="H96" s="542"/>
      <c r="I96" s="541"/>
      <c r="J96" s="540"/>
      <c r="K96" s="539"/>
      <c r="L96" s="540" t="n">
        <v>138868021795</v>
      </c>
      <c r="M96" s="539"/>
      <c r="N96" s="540" t="n">
        <v>138868021795</v>
      </c>
      <c r="O96" s="539" t="n">
        <v>0</v>
      </c>
      <c r="P96" s="546" t="n">
        <v>0</v>
      </c>
      <c r="Q96" s="567"/>
      <c r="R96" s="567"/>
      <c r="S96" s="544"/>
      <c r="T96" s="544"/>
      <c r="U96" s="544"/>
      <c r="V96" s="511"/>
      <c r="W96" s="563"/>
      <c r="Z96" s="560"/>
    </row>
    <row r="97" customFormat="false" ht="38.8" hidden="false" customHeight="false" outlineLevel="0" collapsed="false">
      <c r="B97" s="549"/>
      <c r="C97" s="550" t="n">
        <v>1</v>
      </c>
      <c r="D97" s="551" t="s">
        <v>204</v>
      </c>
      <c r="E97" s="552" t="n">
        <v>4287180000</v>
      </c>
      <c r="F97" s="553" t="s">
        <v>2395</v>
      </c>
      <c r="G97" s="51"/>
      <c r="H97" s="554"/>
      <c r="I97" s="51"/>
      <c r="J97" s="553"/>
      <c r="K97" s="552" t="n">
        <v>4287180000</v>
      </c>
      <c r="L97" s="553" t="s">
        <v>2395</v>
      </c>
      <c r="M97" s="552" t="n">
        <v>4287180000</v>
      </c>
      <c r="N97" s="553" t="s">
        <v>2395</v>
      </c>
      <c r="O97" s="552" t="n">
        <v>0</v>
      </c>
      <c r="P97" s="555" t="n">
        <v>0</v>
      </c>
      <c r="Q97" s="556"/>
      <c r="R97" s="556"/>
      <c r="S97" s="558"/>
      <c r="T97" s="558"/>
      <c r="U97" s="558" t="s">
        <v>2557</v>
      </c>
      <c r="V97" s="511"/>
      <c r="W97" s="563"/>
      <c r="Z97" s="560"/>
    </row>
    <row r="98" customFormat="false" ht="15" hidden="false" customHeight="false" outlineLevel="0" collapsed="false">
      <c r="B98" s="549"/>
      <c r="C98" s="550" t="n">
        <v>2</v>
      </c>
      <c r="D98" s="551" t="s">
        <v>1740</v>
      </c>
      <c r="E98" s="552" t="n">
        <v>101406234847</v>
      </c>
      <c r="F98" s="553"/>
      <c r="G98" s="51"/>
      <c r="H98" s="554"/>
      <c r="I98" s="51"/>
      <c r="J98" s="553"/>
      <c r="K98" s="552" t="n">
        <v>134580841795</v>
      </c>
      <c r="L98" s="553"/>
      <c r="M98" s="552" t="n">
        <v>134580841795</v>
      </c>
      <c r="N98" s="553"/>
      <c r="O98" s="552" t="n">
        <v>0</v>
      </c>
      <c r="P98" s="555" t="n">
        <v>0</v>
      </c>
      <c r="Q98" s="556"/>
      <c r="R98" s="556"/>
      <c r="S98" s="558"/>
      <c r="T98" s="558"/>
      <c r="U98" s="558"/>
      <c r="V98" s="511"/>
      <c r="W98" s="563"/>
      <c r="Z98" s="560"/>
    </row>
    <row r="99" customFormat="false" ht="38.8" hidden="false" customHeight="false" outlineLevel="0" collapsed="false">
      <c r="B99" s="549"/>
      <c r="C99" s="550"/>
      <c r="D99" s="54" t="s">
        <v>208</v>
      </c>
      <c r="E99" s="552" t="n">
        <v>122441812567</v>
      </c>
      <c r="F99" s="553"/>
      <c r="G99" s="51" t="n">
        <v>30019790582</v>
      </c>
      <c r="H99" s="554"/>
      <c r="I99" s="51"/>
      <c r="J99" s="553"/>
      <c r="K99" s="552" t="n">
        <v>152461603149</v>
      </c>
      <c r="L99" s="553"/>
      <c r="M99" s="552" t="n">
        <v>152461603149</v>
      </c>
      <c r="N99" s="553"/>
      <c r="O99" s="552" t="n">
        <v>0</v>
      </c>
      <c r="P99" s="555" t="n">
        <v>0</v>
      </c>
      <c r="Q99" s="556"/>
      <c r="R99" s="556"/>
      <c r="S99" s="558"/>
      <c r="T99" s="558"/>
      <c r="U99" s="558" t="s">
        <v>2557</v>
      </c>
      <c r="V99" s="511"/>
      <c r="W99" s="563"/>
      <c r="Z99" s="560"/>
    </row>
    <row r="100" customFormat="false" ht="38.8" hidden="false" customHeight="false" outlineLevel="0" collapsed="false">
      <c r="B100" s="549"/>
      <c r="C100" s="550"/>
      <c r="D100" s="54" t="s">
        <v>210</v>
      </c>
      <c r="E100" s="552" t="n">
        <v>-21035577720</v>
      </c>
      <c r="F100" s="553"/>
      <c r="G100" s="51" t="n">
        <v>3154816366</v>
      </c>
      <c r="H100" s="554"/>
      <c r="I100" s="51"/>
      <c r="J100" s="553"/>
      <c r="K100" s="552" t="n">
        <v>-17880761354</v>
      </c>
      <c r="L100" s="553"/>
      <c r="M100" s="552" t="n">
        <v>-17880761354</v>
      </c>
      <c r="N100" s="553"/>
      <c r="O100" s="552" t="n">
        <v>0</v>
      </c>
      <c r="P100" s="555" t="n">
        <v>0</v>
      </c>
      <c r="Q100" s="556"/>
      <c r="R100" s="556"/>
      <c r="S100" s="558"/>
      <c r="T100" s="558"/>
      <c r="U100" s="558" t="s">
        <v>2558</v>
      </c>
      <c r="V100" s="511"/>
      <c r="W100" s="563"/>
      <c r="Z100" s="560"/>
    </row>
    <row r="101" customFormat="false" ht="15" hidden="false" customHeight="false" outlineLevel="0" collapsed="false">
      <c r="B101" s="536" t="s">
        <v>2401</v>
      </c>
      <c r="C101" s="537" t="s">
        <v>2559</v>
      </c>
      <c r="D101" s="548"/>
      <c r="E101" s="539"/>
      <c r="F101" s="540" t="n">
        <v>151850248399</v>
      </c>
      <c r="G101" s="541"/>
      <c r="H101" s="542"/>
      <c r="I101" s="541"/>
      <c r="J101" s="540"/>
      <c r="K101" s="539"/>
      <c r="L101" s="540" t="n">
        <v>120830361205</v>
      </c>
      <c r="M101" s="539"/>
      <c r="N101" s="540" t="n">
        <v>89323522867</v>
      </c>
      <c r="O101" s="539" t="n">
        <v>31506838338</v>
      </c>
      <c r="P101" s="546" t="n">
        <v>0.352727224886917</v>
      </c>
      <c r="Q101" s="567"/>
      <c r="R101" s="567"/>
      <c r="S101" s="544"/>
      <c r="T101" s="544"/>
      <c r="U101" s="544"/>
      <c r="V101" s="511"/>
      <c r="W101" s="563"/>
      <c r="Z101" s="560"/>
    </row>
    <row r="102" customFormat="false" ht="15" hidden="false" customHeight="false" outlineLevel="0" collapsed="false">
      <c r="B102" s="549"/>
      <c r="C102" s="550" t="n">
        <v>1</v>
      </c>
      <c r="D102" s="551" t="s">
        <v>216</v>
      </c>
      <c r="E102" s="552" t="n">
        <v>1886200000</v>
      </c>
      <c r="F102" s="553" t="s">
        <v>2395</v>
      </c>
      <c r="G102" s="51" t="n">
        <v>-25000000</v>
      </c>
      <c r="H102" s="554"/>
      <c r="I102" s="51"/>
      <c r="J102" s="553"/>
      <c r="K102" s="552" t="n">
        <v>1861200000</v>
      </c>
      <c r="L102" s="553" t="s">
        <v>2395</v>
      </c>
      <c r="M102" s="552" t="n">
        <v>1861200000</v>
      </c>
      <c r="N102" s="553" t="s">
        <v>2395</v>
      </c>
      <c r="O102" s="552" t="n">
        <v>0</v>
      </c>
      <c r="P102" s="555" t="n">
        <v>0</v>
      </c>
      <c r="Q102" s="556"/>
      <c r="R102" s="556"/>
      <c r="S102" s="558"/>
      <c r="T102" s="558"/>
      <c r="U102" s="558"/>
      <c r="V102" s="511"/>
      <c r="W102" s="563"/>
      <c r="Z102" s="560"/>
    </row>
    <row r="103" customFormat="false" ht="15" hidden="false" customHeight="false" outlineLevel="0" collapsed="false">
      <c r="B103" s="549"/>
      <c r="C103" s="550" t="n">
        <v>2</v>
      </c>
      <c r="D103" s="551" t="s">
        <v>218</v>
      </c>
      <c r="E103" s="552" t="n">
        <v>118969161205</v>
      </c>
      <c r="F103" s="553"/>
      <c r="G103" s="51"/>
      <c r="H103" s="554"/>
      <c r="I103" s="51"/>
      <c r="J103" s="553"/>
      <c r="K103" s="552" t="n">
        <v>118969161205</v>
      </c>
      <c r="L103" s="553"/>
      <c r="M103" s="552" t="n">
        <v>87462322867</v>
      </c>
      <c r="N103" s="553"/>
      <c r="O103" s="552" t="n">
        <v>31506838338</v>
      </c>
      <c r="P103" s="555" t="n">
        <v>0.360233267368293</v>
      </c>
      <c r="Q103" s="556"/>
      <c r="R103" s="556"/>
      <c r="S103" s="558"/>
      <c r="T103" s="558"/>
      <c r="U103" s="558"/>
      <c r="V103" s="511"/>
      <c r="W103" s="563"/>
      <c r="Z103" s="560"/>
    </row>
    <row r="104" customFormat="false" ht="67.5" hidden="false" customHeight="true" outlineLevel="0" collapsed="false">
      <c r="B104" s="549"/>
      <c r="C104" s="550"/>
      <c r="D104" s="551" t="s">
        <v>220</v>
      </c>
      <c r="E104" s="552" t="n">
        <v>81009322867</v>
      </c>
      <c r="F104" s="553" t="s">
        <v>2395</v>
      </c>
      <c r="G104" s="51"/>
      <c r="H104" s="554"/>
      <c r="I104" s="51"/>
      <c r="J104" s="553"/>
      <c r="K104" s="552" t="n">
        <v>81009322867</v>
      </c>
      <c r="L104" s="553" t="s">
        <v>2395</v>
      </c>
      <c r="M104" s="552" t="n">
        <v>65994559868</v>
      </c>
      <c r="N104" s="553" t="s">
        <v>2395</v>
      </c>
      <c r="O104" s="552" t="n">
        <v>15014762999</v>
      </c>
      <c r="P104" s="555" t="n">
        <v>0.22751516229568</v>
      </c>
      <c r="Q104" s="556" t="s">
        <v>2501</v>
      </c>
      <c r="R104" s="557" t="s">
        <v>2518</v>
      </c>
      <c r="S104" s="559" t="s">
        <v>2560</v>
      </c>
      <c r="T104" s="559" t="s">
        <v>2561</v>
      </c>
      <c r="U104" s="558"/>
      <c r="V104" s="511"/>
      <c r="W104" s="563"/>
      <c r="X104" s="588"/>
      <c r="Z104" s="560"/>
    </row>
    <row r="105" customFormat="false" ht="15" hidden="false" customHeight="false" outlineLevel="0" collapsed="false">
      <c r="B105" s="549"/>
      <c r="C105" s="550"/>
      <c r="D105" s="54" t="s">
        <v>222</v>
      </c>
      <c r="E105" s="552" t="n">
        <v>37959838338</v>
      </c>
      <c r="F105" s="553"/>
      <c r="G105" s="51"/>
      <c r="H105" s="554"/>
      <c r="I105" s="51"/>
      <c r="J105" s="553"/>
      <c r="K105" s="552" t="n">
        <v>37959838338</v>
      </c>
      <c r="L105" s="553"/>
      <c r="M105" s="552" t="n">
        <v>21467762999</v>
      </c>
      <c r="N105" s="553"/>
      <c r="O105" s="552" t="n">
        <v>16492075339</v>
      </c>
      <c r="P105" s="555" t="n">
        <v>0.768225144826139</v>
      </c>
      <c r="Q105" s="556" t="s">
        <v>2501</v>
      </c>
      <c r="R105" s="557" t="s">
        <v>2518</v>
      </c>
      <c r="S105" s="558" t="s">
        <v>2562</v>
      </c>
      <c r="T105" s="558"/>
      <c r="U105" s="558"/>
      <c r="V105" s="511"/>
      <c r="W105" s="563"/>
      <c r="Z105" s="560"/>
    </row>
    <row r="106" customFormat="false" ht="15" hidden="false" customHeight="false" outlineLevel="0" collapsed="false">
      <c r="B106" s="536"/>
      <c r="C106" s="537" t="s">
        <v>2425</v>
      </c>
      <c r="D106" s="548"/>
      <c r="E106" s="539"/>
      <c r="F106" s="540" t="n">
        <v>257543663246</v>
      </c>
      <c r="G106" s="51"/>
      <c r="H106" s="554"/>
      <c r="I106" s="51"/>
      <c r="J106" s="540"/>
      <c r="K106" s="539"/>
      <c r="L106" s="540" t="n">
        <v>259698383000</v>
      </c>
      <c r="M106" s="539"/>
      <c r="N106" s="540" t="n">
        <v>228191544662</v>
      </c>
      <c r="O106" s="539" t="n">
        <v>31506838338</v>
      </c>
      <c r="P106" s="546" t="n">
        <v>0.138071892123209</v>
      </c>
      <c r="Q106" s="567"/>
      <c r="R106" s="567"/>
      <c r="S106" s="544"/>
      <c r="T106" s="544"/>
      <c r="U106" s="544"/>
      <c r="V106" s="511"/>
      <c r="W106" s="563"/>
      <c r="X106" s="563"/>
      <c r="Z106" s="560"/>
    </row>
    <row r="107" customFormat="false" ht="15" hidden="false" customHeight="false" outlineLevel="0" collapsed="false">
      <c r="B107" s="589"/>
      <c r="C107" s="590" t="s">
        <v>2426</v>
      </c>
      <c r="D107" s="591"/>
      <c r="E107" s="592"/>
      <c r="F107" s="593" t="n">
        <v>412438089190</v>
      </c>
      <c r="G107" s="594"/>
      <c r="H107" s="595"/>
      <c r="I107" s="596"/>
      <c r="J107" s="593"/>
      <c r="K107" s="592"/>
      <c r="L107" s="593" t="n">
        <v>402171370716</v>
      </c>
      <c r="M107" s="592"/>
      <c r="N107" s="593" t="n">
        <v>405092028319</v>
      </c>
      <c r="O107" s="592" t="n">
        <v>-2920657603</v>
      </c>
      <c r="P107" s="597" t="n">
        <v>-0.00720986195438053</v>
      </c>
      <c r="Q107" s="598"/>
      <c r="R107" s="598"/>
      <c r="S107" s="599"/>
      <c r="T107" s="599"/>
      <c r="U107" s="599"/>
      <c r="V107" s="511"/>
      <c r="W107" s="563"/>
      <c r="Z107" s="560"/>
    </row>
    <row r="108" customFormat="false" ht="15" hidden="false" customHeight="false" outlineLevel="0" collapsed="false">
      <c r="F108" s="506" t="n">
        <v>-3</v>
      </c>
      <c r="L108" s="51" t="n">
        <v>0</v>
      </c>
      <c r="M108" s="51"/>
      <c r="N108" s="506" t="n">
        <v>0</v>
      </c>
      <c r="T108" s="514"/>
      <c r="U108" s="514"/>
      <c r="W108" s="588"/>
    </row>
    <row r="109" customFormat="false" ht="15" hidden="false" customHeight="false" outlineLevel="0" collapsed="false">
      <c r="D109" s="600"/>
      <c r="E109" s="506" t="s">
        <v>2428</v>
      </c>
      <c r="F109" s="601" t="n">
        <v>412438089193</v>
      </c>
      <c r="G109" s="601"/>
      <c r="H109" s="601"/>
      <c r="L109" s="601" t="n">
        <v>412438089193</v>
      </c>
      <c r="M109" s="506" t="s">
        <v>2428</v>
      </c>
      <c r="N109" s="506" t="n">
        <v>405092028319</v>
      </c>
      <c r="T109" s="514"/>
      <c r="U109" s="514"/>
      <c r="W109" s="588"/>
    </row>
    <row r="110" customFormat="false" ht="15" hidden="false" customHeight="false" outlineLevel="0" collapsed="false">
      <c r="D110" s="600"/>
      <c r="F110" s="506" t="n">
        <v>-3</v>
      </c>
      <c r="I110" s="513"/>
      <c r="J110" s="506"/>
      <c r="L110" s="506" t="n">
        <v>-10266718477</v>
      </c>
      <c r="N110" s="506" t="n">
        <v>0</v>
      </c>
      <c r="T110" s="514"/>
      <c r="U110" s="514"/>
      <c r="W110" s="588"/>
    </row>
    <row r="111" customFormat="false" ht="15" hidden="false" customHeight="false" outlineLevel="0" collapsed="false">
      <c r="K111" s="506" t="n">
        <v>15014762999</v>
      </c>
      <c r="T111" s="514"/>
      <c r="W111" s="588"/>
    </row>
    <row r="112" customFormat="false" ht="15" hidden="false" customHeight="false" outlineLevel="0" collapsed="false">
      <c r="T112" s="514"/>
      <c r="W112" s="588"/>
    </row>
    <row r="113" customFormat="false" ht="15" hidden="false" customHeight="false" outlineLevel="0" collapsed="false">
      <c r="B113" s="602" t="s">
        <v>2563</v>
      </c>
      <c r="C113" s="516"/>
      <c r="D113" s="565"/>
      <c r="E113" s="506"/>
      <c r="F113" s="506"/>
      <c r="G113" s="506"/>
      <c r="H113" s="506"/>
      <c r="I113" s="506"/>
      <c r="J113" s="506"/>
      <c r="K113" s="506"/>
      <c r="L113" s="506"/>
      <c r="M113" s="506"/>
      <c r="N113" s="506"/>
      <c r="O113" s="512"/>
      <c r="P113" s="512"/>
      <c r="Q113" s="513"/>
      <c r="R113" s="513"/>
      <c r="S113" s="514"/>
      <c r="T113" s="514"/>
      <c r="U113" s="512"/>
      <c r="V113" s="506"/>
      <c r="W113" s="588"/>
    </row>
    <row r="114" customFormat="false" ht="15" hidden="false" customHeight="false" outlineLevel="0" collapsed="false">
      <c r="B114" s="516" t="s">
        <v>2564</v>
      </c>
      <c r="E114" s="506"/>
      <c r="M114" s="506"/>
      <c r="T114" s="514"/>
      <c r="W114" s="588"/>
    </row>
    <row r="115" customFormat="false" ht="15" hidden="false" customHeight="false" outlineLevel="0" collapsed="false">
      <c r="W115" s="588"/>
    </row>
    <row r="116" customFormat="false" ht="15" hidden="false" customHeight="false" outlineLevel="0" collapsed="false">
      <c r="W116" s="588"/>
    </row>
    <row r="117" customFormat="false" ht="15" hidden="false" customHeight="false" outlineLevel="0" collapsed="false">
      <c r="F117" s="506"/>
      <c r="G117" s="506"/>
      <c r="H117" s="506"/>
      <c r="I117" s="506"/>
      <c r="J117" s="506"/>
      <c r="L117" s="506"/>
      <c r="N117" s="506"/>
      <c r="O117" s="512"/>
      <c r="P117" s="512"/>
      <c r="Q117" s="513"/>
      <c r="R117" s="513"/>
      <c r="S117" s="514"/>
      <c r="T117" s="512"/>
      <c r="U117" s="512"/>
      <c r="W117" s="588"/>
    </row>
    <row r="118" customFormat="false" ht="15" hidden="false" customHeight="false" outlineLevel="0" collapsed="false">
      <c r="W118" s="588"/>
    </row>
    <row r="119" customFormat="false" ht="15" hidden="false" customHeight="false" outlineLevel="0" collapsed="false">
      <c r="W119" s="588"/>
    </row>
    <row r="121" customFormat="false" ht="15" hidden="false" customHeight="false" outlineLevel="0" collapsed="false">
      <c r="E121" s="506"/>
    </row>
  </sheetData>
  <mergeCells count="13">
    <mergeCell ref="I5:J5"/>
    <mergeCell ref="B6:D7"/>
    <mergeCell ref="E6:F7"/>
    <mergeCell ref="I6:J6"/>
    <mergeCell ref="K6:L7"/>
    <mergeCell ref="M6:N7"/>
    <mergeCell ref="O6:P6"/>
    <mergeCell ref="Q6:Q7"/>
    <mergeCell ref="R6:R7"/>
    <mergeCell ref="S6:S7"/>
    <mergeCell ref="T6:T7"/>
    <mergeCell ref="U6:U7"/>
    <mergeCell ref="I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Y1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1" style="162" width="2.63"/>
    <col collapsed="false" customWidth="true" hidden="false" outlineLevel="0" max="3" min="3" style="162" width="4.63"/>
    <col collapsed="false" customWidth="true" hidden="false" outlineLevel="0" max="4" min="4" style="162" width="20.63"/>
    <col collapsed="false" customWidth="true" hidden="true" outlineLevel="0" max="5" min="5" style="162" width="15.63"/>
    <col collapsed="false" customWidth="true" hidden="false" outlineLevel="0" max="36" min="35" style="162" width="15.63"/>
    <col collapsed="false" customWidth="true" hidden="false" outlineLevel="0" max="41" min="41" style="162" width="8.63"/>
    <col collapsed="false" customWidth="true" hidden="false" outlineLevel="0" max="43" min="43" style="162" width="45.63"/>
    <col collapsed="false" customWidth="true" hidden="false" outlineLevel="0" max="46" min="46" style="162" width="15.63"/>
  </cols>
  <sheetData>
    <row r="1" customFormat="false" ht="14.25" hidden="false" customHeight="true" outlineLevel="0" collapsed="false">
      <c r="A1" s="505" t="s">
        <v>2486</v>
      </c>
      <c r="AU1" s="603"/>
    </row>
    <row r="2" customFormat="false" ht="25.35" hidden="false" customHeight="false" outlineLevel="0" collapsed="false">
      <c r="A2" s="604"/>
      <c r="B2" s="507" t="s">
        <v>2448</v>
      </c>
      <c r="D2" s="604"/>
      <c r="E2" s="604"/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4"/>
      <c r="S2" s="604"/>
      <c r="T2" s="604"/>
      <c r="U2" s="604"/>
      <c r="V2" s="604"/>
      <c r="W2" s="604"/>
      <c r="X2" s="604"/>
      <c r="Y2" s="604"/>
      <c r="Z2" s="604"/>
      <c r="AA2" s="604"/>
      <c r="AB2" s="604"/>
      <c r="AC2" s="604"/>
      <c r="AD2" s="604"/>
      <c r="AE2" s="604"/>
      <c r="AF2" s="604"/>
      <c r="AG2" s="604"/>
      <c r="AH2" s="604"/>
      <c r="AI2" s="605" t="s">
        <v>2487</v>
      </c>
      <c r="AJ2" s="606" t="n">
        <v>0.01</v>
      </c>
      <c r="AK2" s="607" t="n">
        <v>6457544606.71</v>
      </c>
      <c r="AL2" s="604"/>
      <c r="AM2" s="608"/>
      <c r="AN2" s="608"/>
      <c r="AO2" s="609"/>
      <c r="AP2" s="609"/>
      <c r="AQ2" s="608"/>
      <c r="AR2" s="608"/>
      <c r="AS2" s="608"/>
      <c r="AU2" s="603"/>
    </row>
    <row r="3" customFormat="false" ht="25.35" hidden="false" customHeight="false" outlineLevel="0" collapsed="false">
      <c r="A3" s="604"/>
      <c r="B3" s="516" t="s">
        <v>2565</v>
      </c>
      <c r="C3" s="516"/>
      <c r="D3" s="610"/>
      <c r="E3" s="610"/>
      <c r="F3" s="610"/>
      <c r="G3" s="610"/>
      <c r="H3" s="610"/>
      <c r="I3" s="610"/>
      <c r="J3" s="610"/>
      <c r="K3" s="610"/>
      <c r="L3" s="610"/>
      <c r="M3" s="610"/>
      <c r="N3" s="610"/>
      <c r="O3" s="610"/>
      <c r="P3" s="610"/>
      <c r="Q3" s="610"/>
      <c r="R3" s="610"/>
      <c r="S3" s="610"/>
      <c r="T3" s="610"/>
      <c r="U3" s="610"/>
      <c r="V3" s="610"/>
      <c r="W3" s="610"/>
      <c r="X3" s="610"/>
      <c r="Y3" s="610"/>
      <c r="Z3" s="610"/>
      <c r="AA3" s="610"/>
      <c r="AB3" s="610"/>
      <c r="AC3" s="610"/>
      <c r="AD3" s="610"/>
      <c r="AE3" s="610"/>
      <c r="AF3" s="610"/>
      <c r="AG3" s="610"/>
      <c r="AH3" s="610"/>
      <c r="AI3" s="611" t="s">
        <v>2489</v>
      </c>
      <c r="AJ3" s="612" t="n">
        <v>0.8</v>
      </c>
      <c r="AK3" s="613" t="n">
        <v>5166035685.368</v>
      </c>
      <c r="AL3" s="610"/>
      <c r="AM3" s="604"/>
      <c r="AN3" s="608"/>
      <c r="AO3" s="609"/>
      <c r="AP3" s="609"/>
      <c r="AQ3" s="608"/>
      <c r="AR3" s="608"/>
      <c r="AS3" s="608"/>
      <c r="AU3" s="603"/>
    </row>
    <row r="4" customFormat="false" ht="14.25" hidden="false" customHeight="true" outlineLevel="0" collapsed="false">
      <c r="A4" s="604"/>
      <c r="B4" s="516" t="s">
        <v>2566</v>
      </c>
      <c r="C4" s="516"/>
      <c r="D4" s="610"/>
      <c r="E4" s="610"/>
      <c r="F4" s="610"/>
      <c r="G4" s="610"/>
      <c r="H4" s="610"/>
      <c r="I4" s="610"/>
      <c r="J4" s="610"/>
      <c r="K4" s="610"/>
      <c r="L4" s="610"/>
      <c r="M4" s="610"/>
      <c r="N4" s="610"/>
      <c r="O4" s="610"/>
      <c r="P4" s="610"/>
      <c r="Q4" s="610"/>
      <c r="R4" s="610"/>
      <c r="S4" s="610"/>
      <c r="T4" s="610"/>
      <c r="U4" s="610"/>
      <c r="V4" s="610"/>
      <c r="W4" s="610"/>
      <c r="X4" s="610"/>
      <c r="Y4" s="610"/>
      <c r="Z4" s="610"/>
      <c r="AA4" s="610"/>
      <c r="AB4" s="610"/>
      <c r="AC4" s="610"/>
      <c r="AD4" s="610"/>
      <c r="AE4" s="610"/>
      <c r="AF4" s="610"/>
      <c r="AG4" s="610"/>
      <c r="AH4" s="610"/>
      <c r="AI4" s="614" t="s">
        <v>2491</v>
      </c>
      <c r="AJ4" s="615" t="n">
        <v>0.03</v>
      </c>
      <c r="AK4" s="616" t="n">
        <v>193726338.2013</v>
      </c>
      <c r="AL4" s="610"/>
      <c r="AM4" s="608"/>
      <c r="AN4" s="608"/>
      <c r="AO4" s="609"/>
      <c r="AP4" s="609"/>
      <c r="AQ4" s="608"/>
      <c r="AR4" s="608"/>
      <c r="AS4" s="608"/>
      <c r="AU4" s="603"/>
    </row>
    <row r="5" customFormat="false" ht="15" hidden="false" customHeight="true" outlineLevel="0" collapsed="false">
      <c r="A5" s="604"/>
      <c r="D5" s="604"/>
      <c r="E5" s="608"/>
      <c r="F5" s="608"/>
      <c r="G5" s="608"/>
      <c r="H5" s="608"/>
      <c r="I5" s="608"/>
      <c r="J5" s="608"/>
      <c r="K5" s="608"/>
      <c r="L5" s="608"/>
      <c r="M5" s="608"/>
      <c r="N5" s="608"/>
      <c r="O5" s="608"/>
      <c r="P5" s="608"/>
      <c r="Q5" s="608"/>
      <c r="R5" s="608"/>
      <c r="S5" s="608"/>
      <c r="T5" s="608"/>
      <c r="U5" s="608"/>
      <c r="V5" s="608"/>
      <c r="W5" s="608"/>
      <c r="X5" s="608"/>
      <c r="Y5" s="608"/>
      <c r="Z5" s="608"/>
      <c r="AA5" s="608"/>
      <c r="AB5" s="608"/>
      <c r="AC5" s="608"/>
      <c r="AD5" s="608"/>
      <c r="AE5" s="617" t="s">
        <v>1478</v>
      </c>
      <c r="AF5" s="617"/>
      <c r="AG5" s="617" t="s">
        <v>2567</v>
      </c>
      <c r="AH5" s="617"/>
      <c r="AI5" s="608"/>
      <c r="AJ5" s="608"/>
      <c r="AK5" s="608"/>
      <c r="AL5" s="608"/>
      <c r="AM5" s="608"/>
      <c r="AN5" s="608"/>
      <c r="AO5" s="609"/>
      <c r="AP5" s="609"/>
      <c r="AQ5" s="608"/>
      <c r="AR5" s="608"/>
      <c r="AS5" s="608"/>
      <c r="AU5" s="603"/>
    </row>
    <row r="6" customFormat="false" ht="13.5" hidden="false" customHeight="true" outlineLevel="0" collapsed="false">
      <c r="A6" s="604"/>
      <c r="B6" s="618" t="s">
        <v>2385</v>
      </c>
      <c r="C6" s="618"/>
      <c r="D6" s="618"/>
      <c r="E6" s="525" t="s">
        <v>2492</v>
      </c>
      <c r="F6" s="525"/>
      <c r="G6" s="527" t="s">
        <v>2568</v>
      </c>
      <c r="H6" s="527"/>
      <c r="I6" s="527" t="s">
        <v>2568</v>
      </c>
      <c r="J6" s="527"/>
      <c r="K6" s="527" t="s">
        <v>2568</v>
      </c>
      <c r="L6" s="527"/>
      <c r="M6" s="527" t="s">
        <v>2568</v>
      </c>
      <c r="N6" s="527"/>
      <c r="O6" s="527" t="s">
        <v>2568</v>
      </c>
      <c r="P6" s="527"/>
      <c r="Q6" s="527" t="s">
        <v>2568</v>
      </c>
      <c r="R6" s="527"/>
      <c r="S6" s="527" t="s">
        <v>2568</v>
      </c>
      <c r="T6" s="527"/>
      <c r="U6" s="527" t="s">
        <v>2568</v>
      </c>
      <c r="V6" s="527"/>
      <c r="W6" s="527" t="s">
        <v>2568</v>
      </c>
      <c r="X6" s="527"/>
      <c r="Y6" s="527" t="s">
        <v>2568</v>
      </c>
      <c r="Z6" s="527"/>
      <c r="AA6" s="527" t="s">
        <v>2568</v>
      </c>
      <c r="AB6" s="527"/>
      <c r="AC6" s="527" t="s">
        <v>2568</v>
      </c>
      <c r="AD6" s="527"/>
      <c r="AE6" s="527" t="s">
        <v>2388</v>
      </c>
      <c r="AF6" s="527"/>
      <c r="AG6" s="527" t="s">
        <v>2388</v>
      </c>
      <c r="AH6" s="527"/>
      <c r="AI6" s="525" t="s">
        <v>2492</v>
      </c>
      <c r="AJ6" s="525"/>
      <c r="AK6" s="525" t="s">
        <v>2493</v>
      </c>
      <c r="AL6" s="525"/>
      <c r="AM6" s="529" t="s">
        <v>2494</v>
      </c>
      <c r="AN6" s="529"/>
      <c r="AO6" s="525" t="s">
        <v>2495</v>
      </c>
      <c r="AP6" s="530" t="s">
        <v>2496</v>
      </c>
      <c r="AQ6" s="525" t="s">
        <v>2497</v>
      </c>
      <c r="AR6" s="525" t="s">
        <v>2498</v>
      </c>
      <c r="AS6" s="525" t="s">
        <v>2499</v>
      </c>
      <c r="AU6" s="603"/>
    </row>
    <row r="7" customFormat="false" ht="15" hidden="false" customHeight="true" outlineLevel="0" collapsed="false">
      <c r="B7" s="618"/>
      <c r="C7" s="618"/>
      <c r="D7" s="618"/>
      <c r="E7" s="525"/>
      <c r="F7" s="525"/>
      <c r="G7" s="532" t="s">
        <v>2569</v>
      </c>
      <c r="H7" s="532"/>
      <c r="I7" s="532" t="s">
        <v>2570</v>
      </c>
      <c r="J7" s="532"/>
      <c r="K7" s="532" t="s">
        <v>2571</v>
      </c>
      <c r="L7" s="532"/>
      <c r="M7" s="532" t="s">
        <v>2572</v>
      </c>
      <c r="N7" s="532"/>
      <c r="O7" s="532" t="s">
        <v>2573</v>
      </c>
      <c r="P7" s="532"/>
      <c r="Q7" s="532" t="s">
        <v>2574</v>
      </c>
      <c r="R7" s="532"/>
      <c r="S7" s="532" t="s">
        <v>2575</v>
      </c>
      <c r="T7" s="532"/>
      <c r="U7" s="532" t="s">
        <v>2576</v>
      </c>
      <c r="V7" s="532"/>
      <c r="W7" s="532" t="s">
        <v>2577</v>
      </c>
      <c r="X7" s="532"/>
      <c r="Y7" s="532" t="s">
        <v>2578</v>
      </c>
      <c r="Z7" s="532"/>
      <c r="AA7" s="532" t="s">
        <v>2579</v>
      </c>
      <c r="AB7" s="532"/>
      <c r="AC7" s="532" t="s">
        <v>2580</v>
      </c>
      <c r="AD7" s="532"/>
      <c r="AE7" s="532" t="s">
        <v>2255</v>
      </c>
      <c r="AF7" s="532"/>
      <c r="AG7" s="532" t="s">
        <v>2390</v>
      </c>
      <c r="AH7" s="532"/>
      <c r="AI7" s="525"/>
      <c r="AJ7" s="525"/>
      <c r="AK7" s="525"/>
      <c r="AL7" s="525"/>
      <c r="AM7" s="534" t="s">
        <v>11</v>
      </c>
      <c r="AN7" s="535" t="s">
        <v>2500</v>
      </c>
      <c r="AO7" s="525"/>
      <c r="AP7" s="525"/>
      <c r="AQ7" s="525"/>
      <c r="AR7" s="525"/>
      <c r="AS7" s="525"/>
      <c r="AU7" s="603"/>
    </row>
    <row r="8" customFormat="false" ht="25.35" hidden="false" customHeight="false" outlineLevel="0" collapsed="false">
      <c r="A8" s="604"/>
      <c r="B8" s="536" t="s">
        <v>2392</v>
      </c>
      <c r="C8" s="537" t="s">
        <v>235</v>
      </c>
      <c r="D8" s="619"/>
      <c r="E8" s="620"/>
      <c r="F8" s="621" t="n">
        <v>645754460671</v>
      </c>
      <c r="G8" s="620"/>
      <c r="H8" s="621" t="n">
        <v>46020477220</v>
      </c>
      <c r="I8" s="620"/>
      <c r="J8" s="621" t="n">
        <v>45356581997</v>
      </c>
      <c r="K8" s="620"/>
      <c r="L8" s="621" t="n">
        <v>55316289641</v>
      </c>
      <c r="M8" s="620"/>
      <c r="N8" s="621" t="n">
        <v>94738385986</v>
      </c>
      <c r="O8" s="620"/>
      <c r="P8" s="621" t="n">
        <v>54210001008</v>
      </c>
      <c r="Q8" s="620"/>
      <c r="R8" s="621" t="n">
        <v>50122666020</v>
      </c>
      <c r="S8" s="622"/>
      <c r="T8" s="621" t="n">
        <v>52202159534</v>
      </c>
      <c r="U8" s="620"/>
      <c r="V8" s="621" t="n">
        <v>46835371660</v>
      </c>
      <c r="W8" s="620"/>
      <c r="X8" s="621" t="n">
        <v>49803839930</v>
      </c>
      <c r="Y8" s="620"/>
      <c r="Z8" s="621" t="n">
        <v>52505980349</v>
      </c>
      <c r="AA8" s="620"/>
      <c r="AB8" s="621" t="n">
        <v>51060645625</v>
      </c>
      <c r="AC8" s="620"/>
      <c r="AD8" s="621" t="n">
        <v>47582061701</v>
      </c>
      <c r="AE8" s="620"/>
      <c r="AF8" s="621"/>
      <c r="AG8" s="620"/>
      <c r="AH8" s="620"/>
      <c r="AI8" s="622"/>
      <c r="AJ8" s="621" t="n">
        <v>645754460671</v>
      </c>
      <c r="AK8" s="622"/>
      <c r="AL8" s="621" t="n">
        <v>592621609815</v>
      </c>
      <c r="AM8" s="622" t="n">
        <v>53132850856</v>
      </c>
      <c r="AN8" s="623" t="n">
        <v>0.0896572956099029</v>
      </c>
      <c r="AO8" s="556"/>
      <c r="AP8" s="624"/>
      <c r="AQ8" s="544"/>
      <c r="AR8" s="544"/>
      <c r="AS8" s="544"/>
      <c r="AT8" s="563"/>
      <c r="AU8" s="603"/>
      <c r="AV8" s="603"/>
      <c r="AX8" s="603"/>
    </row>
    <row r="9" customFormat="false" ht="409.5" hidden="false" customHeight="true" outlineLevel="0" collapsed="false">
      <c r="B9" s="549"/>
      <c r="C9" s="550" t="n">
        <v>1</v>
      </c>
      <c r="D9" s="625" t="s">
        <v>235</v>
      </c>
      <c r="E9" s="626" t="n">
        <v>645754460671</v>
      </c>
      <c r="F9" s="627"/>
      <c r="G9" s="626" t="n">
        <v>46020477220</v>
      </c>
      <c r="H9" s="627"/>
      <c r="I9" s="626" t="n">
        <v>45356581997</v>
      </c>
      <c r="J9" s="627"/>
      <c r="K9" s="626" t="n">
        <v>55316289641</v>
      </c>
      <c r="L9" s="627"/>
      <c r="M9" s="626" t="n">
        <v>94738385986</v>
      </c>
      <c r="N9" s="627"/>
      <c r="O9" s="626" t="n">
        <v>54210001008</v>
      </c>
      <c r="P9" s="627"/>
      <c r="Q9" s="626" t="n">
        <v>50122666020</v>
      </c>
      <c r="R9" s="627"/>
      <c r="S9" s="626" t="n">
        <v>52202159534</v>
      </c>
      <c r="T9" s="627"/>
      <c r="U9" s="626" t="n">
        <v>46835371660</v>
      </c>
      <c r="V9" s="627"/>
      <c r="W9" s="626" t="n">
        <v>49803839930</v>
      </c>
      <c r="X9" s="627"/>
      <c r="Y9" s="626" t="n">
        <v>52505980349</v>
      </c>
      <c r="Z9" s="627"/>
      <c r="AA9" s="626" t="n">
        <v>51060645625</v>
      </c>
      <c r="AB9" s="627"/>
      <c r="AC9" s="626" t="n">
        <v>47582061701</v>
      </c>
      <c r="AD9" s="627"/>
      <c r="AE9" s="620"/>
      <c r="AF9" s="627"/>
      <c r="AG9" s="626"/>
      <c r="AH9" s="626"/>
      <c r="AI9" s="628" t="n">
        <v>645754460671</v>
      </c>
      <c r="AJ9" s="627"/>
      <c r="AK9" s="628" t="n">
        <v>592313731639</v>
      </c>
      <c r="AL9" s="627"/>
      <c r="AM9" s="628" t="n">
        <v>53440729032</v>
      </c>
      <c r="AN9" s="629" t="n">
        <v>0.090223687511217</v>
      </c>
      <c r="AO9" s="556" t="s">
        <v>2501</v>
      </c>
      <c r="AP9" s="630" t="s">
        <v>2505</v>
      </c>
      <c r="AQ9" s="558" t="s">
        <v>2581</v>
      </c>
      <c r="AR9" s="558" t="s">
        <v>2582</v>
      </c>
      <c r="AS9" s="558" t="s">
        <v>2583</v>
      </c>
      <c r="AT9" s="563"/>
      <c r="AU9" s="563"/>
      <c r="AV9" s="563"/>
      <c r="AX9" s="563"/>
      <c r="AY9" s="563"/>
    </row>
    <row r="10" customFormat="false" ht="54" hidden="false" customHeight="true" outlineLevel="0" collapsed="false">
      <c r="B10" s="549"/>
      <c r="C10" s="550" t="n">
        <v>2</v>
      </c>
      <c r="D10" s="625" t="s">
        <v>236</v>
      </c>
      <c r="E10" s="626" t="n">
        <v>0</v>
      </c>
      <c r="F10" s="627"/>
      <c r="G10" s="626" t="n">
        <v>0</v>
      </c>
      <c r="H10" s="627"/>
      <c r="I10" s="626" t="n">
        <v>0</v>
      </c>
      <c r="J10" s="627"/>
      <c r="K10" s="626" t="n">
        <v>0</v>
      </c>
      <c r="L10" s="627"/>
      <c r="M10" s="626" t="n">
        <v>0</v>
      </c>
      <c r="N10" s="627"/>
      <c r="O10" s="626" t="n">
        <v>0</v>
      </c>
      <c r="P10" s="627"/>
      <c r="Q10" s="626" t="n">
        <v>0</v>
      </c>
      <c r="R10" s="627"/>
      <c r="S10" s="626" t="n">
        <v>0</v>
      </c>
      <c r="T10" s="627"/>
      <c r="U10" s="626" t="n">
        <v>0</v>
      </c>
      <c r="V10" s="627"/>
      <c r="W10" s="626" t="n">
        <v>0</v>
      </c>
      <c r="X10" s="627"/>
      <c r="Y10" s="626" t="n">
        <v>0</v>
      </c>
      <c r="Z10" s="627"/>
      <c r="AA10" s="626" t="n">
        <v>0</v>
      </c>
      <c r="AB10" s="627"/>
      <c r="AC10" s="626" t="n">
        <v>0</v>
      </c>
      <c r="AD10" s="627"/>
      <c r="AE10" s="626"/>
      <c r="AF10" s="627"/>
      <c r="AG10" s="626"/>
      <c r="AH10" s="626"/>
      <c r="AI10" s="628" t="n">
        <v>0</v>
      </c>
      <c r="AJ10" s="627"/>
      <c r="AK10" s="628" t="n">
        <v>307878176</v>
      </c>
      <c r="AL10" s="627"/>
      <c r="AM10" s="628" t="n">
        <v>-307878176</v>
      </c>
      <c r="AN10" s="629" t="n">
        <v>-1</v>
      </c>
      <c r="AO10" s="556"/>
      <c r="AP10" s="630" t="s">
        <v>2505</v>
      </c>
      <c r="AQ10" s="559" t="s">
        <v>2584</v>
      </c>
      <c r="AR10" s="559" t="s">
        <v>2584</v>
      </c>
      <c r="AS10" s="558" t="s">
        <v>2585</v>
      </c>
      <c r="AT10" s="563"/>
      <c r="AU10" s="563"/>
      <c r="AV10" s="563"/>
      <c r="AW10" s="563"/>
      <c r="AX10" s="563"/>
      <c r="AY10" s="563"/>
    </row>
    <row r="11" customFormat="false" ht="25.35" hidden="false" customHeight="false" outlineLevel="0" collapsed="false">
      <c r="A11" s="604"/>
      <c r="B11" s="536" t="s">
        <v>2401</v>
      </c>
      <c r="C11" s="537" t="s">
        <v>874</v>
      </c>
      <c r="D11" s="619"/>
      <c r="E11" s="620"/>
      <c r="F11" s="621" t="n">
        <v>501285401826</v>
      </c>
      <c r="G11" s="626" t="n">
        <v>0</v>
      </c>
      <c r="H11" s="621" t="n">
        <v>39209925542</v>
      </c>
      <c r="I11" s="626" t="n">
        <v>0</v>
      </c>
      <c r="J11" s="621" t="n">
        <v>39050757693</v>
      </c>
      <c r="K11" s="626" t="n">
        <v>0</v>
      </c>
      <c r="L11" s="621" t="n">
        <v>48226160467</v>
      </c>
      <c r="M11" s="626" t="n">
        <v>0</v>
      </c>
      <c r="N11" s="621" t="n">
        <v>75616025107</v>
      </c>
      <c r="O11" s="626" t="n">
        <v>0</v>
      </c>
      <c r="P11" s="621" t="n">
        <v>40435168688</v>
      </c>
      <c r="Q11" s="620"/>
      <c r="R11" s="621" t="n">
        <v>37063746549</v>
      </c>
      <c r="S11" s="622"/>
      <c r="T11" s="621" t="n">
        <v>37315345845</v>
      </c>
      <c r="U11" s="620"/>
      <c r="V11" s="621" t="n">
        <v>35567126606</v>
      </c>
      <c r="W11" s="620"/>
      <c r="X11" s="621" t="n">
        <v>37695594665</v>
      </c>
      <c r="Y11" s="620"/>
      <c r="Z11" s="621" t="n">
        <v>37293912036</v>
      </c>
      <c r="AA11" s="626" t="n">
        <v>0</v>
      </c>
      <c r="AB11" s="621" t="n">
        <v>37290725789</v>
      </c>
      <c r="AC11" s="620"/>
      <c r="AD11" s="621" t="n">
        <v>36520912839</v>
      </c>
      <c r="AE11" s="620" t="n">
        <v>8817720</v>
      </c>
      <c r="AF11" s="621"/>
      <c r="AG11" s="620"/>
      <c r="AH11" s="620"/>
      <c r="AI11" s="622"/>
      <c r="AJ11" s="621" t="n">
        <v>501702262547</v>
      </c>
      <c r="AK11" s="622"/>
      <c r="AL11" s="621" t="n">
        <v>451824849209</v>
      </c>
      <c r="AM11" s="622" t="n">
        <v>49877413338</v>
      </c>
      <c r="AN11" s="623" t="n">
        <v>0.110391036317102</v>
      </c>
      <c r="AO11" s="556"/>
      <c r="AP11" s="624"/>
      <c r="AQ11" s="544"/>
      <c r="AR11" s="544"/>
      <c r="AS11" s="544"/>
      <c r="AT11" s="563"/>
      <c r="AU11" s="563"/>
      <c r="AV11" s="563"/>
      <c r="AW11" s="563"/>
      <c r="AX11" s="563"/>
      <c r="AY11" s="563"/>
    </row>
    <row r="12" customFormat="false" ht="162" hidden="false" customHeight="true" outlineLevel="0" collapsed="false">
      <c r="A12" s="604"/>
      <c r="B12" s="536"/>
      <c r="C12" s="566" t="n">
        <v>1</v>
      </c>
      <c r="D12" s="631" t="s">
        <v>240</v>
      </c>
      <c r="E12" s="620" t="n">
        <v>501285401826</v>
      </c>
      <c r="F12" s="621"/>
      <c r="G12" s="620" t="n">
        <v>39209925542</v>
      </c>
      <c r="H12" s="621"/>
      <c r="I12" s="620" t="n">
        <v>39050757693</v>
      </c>
      <c r="J12" s="621"/>
      <c r="K12" s="620" t="n">
        <v>48226160467</v>
      </c>
      <c r="L12" s="621"/>
      <c r="M12" s="620" t="n">
        <v>75616025107</v>
      </c>
      <c r="N12" s="621"/>
      <c r="O12" s="620" t="n">
        <v>40435168688</v>
      </c>
      <c r="P12" s="621"/>
      <c r="Q12" s="620" t="n">
        <v>37063746549</v>
      </c>
      <c r="R12" s="621"/>
      <c r="S12" s="620" t="n">
        <v>37315345845</v>
      </c>
      <c r="T12" s="621"/>
      <c r="U12" s="620" t="n">
        <v>35567126606</v>
      </c>
      <c r="V12" s="621"/>
      <c r="W12" s="620" t="n">
        <v>37695594665</v>
      </c>
      <c r="X12" s="621"/>
      <c r="Y12" s="620" t="n">
        <v>37293912036</v>
      </c>
      <c r="Z12" s="621"/>
      <c r="AA12" s="620" t="n">
        <v>37290725789</v>
      </c>
      <c r="AB12" s="621"/>
      <c r="AC12" s="620" t="n">
        <v>36520912839</v>
      </c>
      <c r="AD12" s="621"/>
      <c r="AE12" s="620"/>
      <c r="AF12" s="621"/>
      <c r="AG12" s="620"/>
      <c r="AH12" s="620"/>
      <c r="AI12" s="622" t="n">
        <v>501702262547</v>
      </c>
      <c r="AJ12" s="621"/>
      <c r="AK12" s="622" t="n">
        <v>451824849209</v>
      </c>
      <c r="AL12" s="621"/>
      <c r="AM12" s="622" t="n">
        <v>49877413338</v>
      </c>
      <c r="AN12" s="623" t="n">
        <v>0.110391036317102</v>
      </c>
      <c r="AO12" s="624" t="s">
        <v>2501</v>
      </c>
      <c r="AP12" s="632" t="s">
        <v>2519</v>
      </c>
      <c r="AQ12" s="544"/>
      <c r="AR12" s="544" t="s">
        <v>2586</v>
      </c>
      <c r="AS12" s="544"/>
      <c r="AT12" s="563"/>
      <c r="AU12" s="563"/>
      <c r="AV12" s="563"/>
      <c r="AW12" s="563"/>
      <c r="AX12" s="563"/>
      <c r="AY12" s="563"/>
    </row>
    <row r="13" customFormat="false" ht="25.35" hidden="false" customHeight="false" outlineLevel="0" collapsed="false">
      <c r="B13" s="549"/>
      <c r="C13" s="550"/>
      <c r="D13" s="625" t="s">
        <v>244</v>
      </c>
      <c r="E13" s="626" t="n">
        <v>0</v>
      </c>
      <c r="F13" s="627"/>
      <c r="G13" s="626" t="n">
        <v>0</v>
      </c>
      <c r="H13" s="627"/>
      <c r="I13" s="626" t="n">
        <v>0</v>
      </c>
      <c r="J13" s="627"/>
      <c r="K13" s="626" t="n">
        <v>0</v>
      </c>
      <c r="L13" s="627"/>
      <c r="M13" s="626" t="n">
        <v>0</v>
      </c>
      <c r="N13" s="627"/>
      <c r="O13" s="626" t="n">
        <v>0</v>
      </c>
      <c r="P13" s="627"/>
      <c r="Q13" s="626" t="n">
        <v>0</v>
      </c>
      <c r="R13" s="627"/>
      <c r="S13" s="626" t="n">
        <v>0</v>
      </c>
      <c r="T13" s="627"/>
      <c r="U13" s="626" t="n">
        <v>0</v>
      </c>
      <c r="V13" s="627"/>
      <c r="W13" s="626" t="n">
        <v>0</v>
      </c>
      <c r="X13" s="627"/>
      <c r="Y13" s="626" t="n">
        <v>0</v>
      </c>
      <c r="Z13" s="627"/>
      <c r="AA13" s="626" t="n">
        <v>0</v>
      </c>
      <c r="AB13" s="627"/>
      <c r="AC13" s="626" t="n">
        <v>0</v>
      </c>
      <c r="AD13" s="627"/>
      <c r="AE13" s="626"/>
      <c r="AF13" s="627"/>
      <c r="AG13" s="626"/>
      <c r="AH13" s="626"/>
      <c r="AI13" s="628" t="n">
        <v>160701424589</v>
      </c>
      <c r="AJ13" s="627"/>
      <c r="AK13" s="628" t="n">
        <v>99371496025</v>
      </c>
      <c r="AL13" s="627"/>
      <c r="AM13" s="628" t="n">
        <v>61329928564</v>
      </c>
      <c r="AN13" s="629" t="n">
        <v>0.617178275635204</v>
      </c>
      <c r="AO13" s="630"/>
      <c r="AP13" s="630" t="s">
        <v>2519</v>
      </c>
      <c r="AQ13" s="558"/>
      <c r="AR13" s="558"/>
      <c r="AS13" s="558"/>
      <c r="AT13" s="563"/>
      <c r="AU13" s="563"/>
      <c r="AV13" s="563"/>
      <c r="AW13" s="563"/>
      <c r="AX13" s="563"/>
      <c r="AY13" s="563"/>
    </row>
    <row r="14" customFormat="false" ht="40.5" hidden="false" customHeight="true" outlineLevel="0" collapsed="false">
      <c r="B14" s="549"/>
      <c r="C14" s="550"/>
      <c r="D14" s="625" t="s">
        <v>248</v>
      </c>
      <c r="E14" s="626" t="n">
        <v>0</v>
      </c>
      <c r="F14" s="627"/>
      <c r="G14" s="626" t="n">
        <v>0</v>
      </c>
      <c r="H14" s="627"/>
      <c r="I14" s="626" t="n">
        <v>0</v>
      </c>
      <c r="J14" s="627"/>
      <c r="K14" s="626" t="n">
        <v>0</v>
      </c>
      <c r="L14" s="627"/>
      <c r="M14" s="626" t="n">
        <v>0</v>
      </c>
      <c r="N14" s="627"/>
      <c r="O14" s="626" t="n">
        <v>0</v>
      </c>
      <c r="P14" s="627"/>
      <c r="Q14" s="626" t="n">
        <v>0</v>
      </c>
      <c r="R14" s="627"/>
      <c r="S14" s="626" t="n">
        <v>0</v>
      </c>
      <c r="T14" s="627"/>
      <c r="U14" s="626" t="n">
        <v>0</v>
      </c>
      <c r="V14" s="627"/>
      <c r="W14" s="626" t="n">
        <v>0</v>
      </c>
      <c r="X14" s="627"/>
      <c r="Y14" s="626" t="n">
        <v>0</v>
      </c>
      <c r="Z14" s="627"/>
      <c r="AA14" s="626" t="n">
        <v>0</v>
      </c>
      <c r="AB14" s="627"/>
      <c r="AC14" s="626" t="n">
        <v>0</v>
      </c>
      <c r="AD14" s="627"/>
      <c r="AE14" s="620"/>
      <c r="AF14" s="627"/>
      <c r="AG14" s="626" t="n">
        <v>408043000</v>
      </c>
      <c r="AH14" s="626"/>
      <c r="AI14" s="628" t="n">
        <v>497042768857</v>
      </c>
      <c r="AJ14" s="627"/>
      <c r="AK14" s="628" t="n">
        <v>513216181813</v>
      </c>
      <c r="AL14" s="627"/>
      <c r="AM14" s="628" t="n">
        <v>-16173412956</v>
      </c>
      <c r="AN14" s="629" t="n">
        <v>-0.0315138406175452</v>
      </c>
      <c r="AO14" s="630"/>
      <c r="AP14" s="630" t="s">
        <v>2519</v>
      </c>
      <c r="AQ14" s="558"/>
      <c r="AR14" s="558"/>
      <c r="AS14" s="559" t="s">
        <v>2587</v>
      </c>
      <c r="AT14" s="563"/>
      <c r="AU14" s="563"/>
      <c r="AV14" s="563"/>
      <c r="AW14" s="563"/>
      <c r="AX14" s="563"/>
      <c r="AY14" s="563"/>
    </row>
    <row r="15" customFormat="false" ht="25.35" hidden="false" customHeight="false" outlineLevel="0" collapsed="false">
      <c r="B15" s="549"/>
      <c r="C15" s="550"/>
      <c r="D15" s="625" t="s">
        <v>259</v>
      </c>
      <c r="E15" s="626" t="n">
        <v>0</v>
      </c>
      <c r="F15" s="627"/>
      <c r="G15" s="626" t="n">
        <v>0</v>
      </c>
      <c r="H15" s="627"/>
      <c r="I15" s="626" t="n">
        <v>0</v>
      </c>
      <c r="J15" s="627"/>
      <c r="K15" s="626" t="n">
        <v>0</v>
      </c>
      <c r="L15" s="627"/>
      <c r="M15" s="626" t="n">
        <v>0</v>
      </c>
      <c r="N15" s="627"/>
      <c r="O15" s="626" t="n">
        <v>0</v>
      </c>
      <c r="P15" s="627"/>
      <c r="Q15" s="626" t="n">
        <v>0</v>
      </c>
      <c r="R15" s="627"/>
      <c r="S15" s="626" t="n">
        <v>0</v>
      </c>
      <c r="T15" s="627"/>
      <c r="U15" s="626" t="n">
        <v>0</v>
      </c>
      <c r="V15" s="627"/>
      <c r="W15" s="626" t="n">
        <v>0</v>
      </c>
      <c r="X15" s="627"/>
      <c r="Y15" s="626" t="n">
        <v>0</v>
      </c>
      <c r="Z15" s="627"/>
      <c r="AA15" s="626" t="n">
        <v>0</v>
      </c>
      <c r="AB15" s="627"/>
      <c r="AC15" s="626" t="n">
        <v>0</v>
      </c>
      <c r="AD15" s="627"/>
      <c r="AE15" s="620"/>
      <c r="AF15" s="627"/>
      <c r="AG15" s="626"/>
      <c r="AH15" s="626"/>
      <c r="AI15" s="628" t="n">
        <v>-297789393</v>
      </c>
      <c r="AJ15" s="627"/>
      <c r="AK15" s="628" t="n">
        <v>-355654745</v>
      </c>
      <c r="AL15" s="627"/>
      <c r="AM15" s="628" t="n">
        <v>57865352</v>
      </c>
      <c r="AN15" s="629" t="n">
        <v>-0.16270091377524</v>
      </c>
      <c r="AO15" s="630"/>
      <c r="AP15" s="630" t="s">
        <v>2519</v>
      </c>
      <c r="AQ15" s="558"/>
      <c r="AR15" s="558"/>
      <c r="AS15" s="558"/>
      <c r="AT15" s="563"/>
      <c r="AU15" s="563"/>
      <c r="AV15" s="563"/>
      <c r="AW15" s="563"/>
      <c r="AX15" s="563"/>
      <c r="AY15" s="563"/>
    </row>
    <row r="16" customFormat="false" ht="81" hidden="false" customHeight="true" outlineLevel="0" collapsed="false">
      <c r="B16" s="549"/>
      <c r="C16" s="550"/>
      <c r="D16" s="625" t="s">
        <v>262</v>
      </c>
      <c r="E16" s="626" t="n">
        <v>0</v>
      </c>
      <c r="F16" s="627"/>
      <c r="G16" s="626" t="n">
        <v>0</v>
      </c>
      <c r="H16" s="627"/>
      <c r="I16" s="626" t="n">
        <v>0</v>
      </c>
      <c r="J16" s="627"/>
      <c r="K16" s="626" t="n">
        <v>0</v>
      </c>
      <c r="L16" s="627"/>
      <c r="M16" s="626" t="n">
        <v>0</v>
      </c>
      <c r="N16" s="627"/>
      <c r="O16" s="626" t="n">
        <v>0</v>
      </c>
      <c r="P16" s="627"/>
      <c r="Q16" s="626" t="n">
        <v>0</v>
      </c>
      <c r="R16" s="627"/>
      <c r="S16" s="626" t="n">
        <v>0</v>
      </c>
      <c r="T16" s="627"/>
      <c r="U16" s="626" t="n">
        <v>0</v>
      </c>
      <c r="V16" s="627"/>
      <c r="W16" s="626" t="n">
        <v>0</v>
      </c>
      <c r="X16" s="627"/>
      <c r="Y16" s="626" t="n">
        <v>0</v>
      </c>
      <c r="Z16" s="627"/>
      <c r="AA16" s="626" t="n">
        <v>0</v>
      </c>
      <c r="AB16" s="627"/>
      <c r="AC16" s="626" t="n">
        <v>0</v>
      </c>
      <c r="AD16" s="627"/>
      <c r="AE16" s="620"/>
      <c r="AF16" s="627"/>
      <c r="AG16" s="626"/>
      <c r="AH16" s="626"/>
      <c r="AI16" s="628" t="n">
        <v>-155744141506</v>
      </c>
      <c r="AJ16" s="627"/>
      <c r="AK16" s="628" t="n">
        <v>-160701424589</v>
      </c>
      <c r="AL16" s="627"/>
      <c r="AM16" s="628" t="n">
        <v>4957283083</v>
      </c>
      <c r="AN16" s="629" t="n">
        <v>-0.0308477855481272</v>
      </c>
      <c r="AO16" s="630"/>
      <c r="AP16" s="630" t="s">
        <v>2519</v>
      </c>
      <c r="AQ16" s="558"/>
      <c r="AR16" s="559" t="s">
        <v>2588</v>
      </c>
      <c r="AS16" s="558"/>
      <c r="AT16" s="563"/>
      <c r="AU16" s="563"/>
      <c r="AV16" s="563"/>
      <c r="AW16" s="563"/>
      <c r="AX16" s="563"/>
      <c r="AY16" s="563"/>
    </row>
    <row r="17" customFormat="false" ht="40.5" hidden="false" customHeight="true" outlineLevel="0" collapsed="false">
      <c r="A17" s="604"/>
      <c r="B17" s="536" t="s">
        <v>2465</v>
      </c>
      <c r="C17" s="537" t="s">
        <v>271</v>
      </c>
      <c r="D17" s="631"/>
      <c r="E17" s="620" t="n">
        <v>0</v>
      </c>
      <c r="F17" s="621"/>
      <c r="G17" s="620" t="n">
        <v>0</v>
      </c>
      <c r="H17" s="621"/>
      <c r="I17" s="620" t="n">
        <v>0</v>
      </c>
      <c r="J17" s="621"/>
      <c r="K17" s="620" t="n">
        <v>0</v>
      </c>
      <c r="L17" s="621"/>
      <c r="M17" s="620" t="n">
        <v>0</v>
      </c>
      <c r="N17" s="621"/>
      <c r="O17" s="620" t="n">
        <v>0</v>
      </c>
      <c r="P17" s="621"/>
      <c r="Q17" s="620" t="n">
        <v>0</v>
      </c>
      <c r="R17" s="621"/>
      <c r="S17" s="620" t="n">
        <v>0</v>
      </c>
      <c r="T17" s="621"/>
      <c r="U17" s="620" t="n">
        <v>0</v>
      </c>
      <c r="V17" s="621"/>
      <c r="W17" s="620" t="n">
        <v>0</v>
      </c>
      <c r="X17" s="621"/>
      <c r="Y17" s="620" t="n">
        <v>0</v>
      </c>
      <c r="Z17" s="621"/>
      <c r="AA17" s="620" t="n">
        <v>0</v>
      </c>
      <c r="AB17" s="621"/>
      <c r="AC17" s="620"/>
      <c r="AD17" s="621"/>
      <c r="AE17" s="620"/>
      <c r="AF17" s="621"/>
      <c r="AG17" s="620"/>
      <c r="AH17" s="620"/>
      <c r="AI17" s="622" t="n">
        <v>0</v>
      </c>
      <c r="AJ17" s="621"/>
      <c r="AK17" s="622" t="n">
        <v>294250705</v>
      </c>
      <c r="AL17" s="621"/>
      <c r="AM17" s="622" t="n">
        <v>-294250705</v>
      </c>
      <c r="AN17" s="623" t="n">
        <v>-1</v>
      </c>
      <c r="AO17" s="632"/>
      <c r="AP17" s="632" t="s">
        <v>2519</v>
      </c>
      <c r="AQ17" s="633" t="s">
        <v>2589</v>
      </c>
      <c r="AR17" s="633" t="s">
        <v>2589</v>
      </c>
      <c r="AS17" s="633" t="s">
        <v>2590</v>
      </c>
      <c r="AT17" s="563"/>
      <c r="AU17" s="563"/>
      <c r="AV17" s="563"/>
      <c r="AW17" s="563"/>
      <c r="AX17" s="563"/>
      <c r="AY17" s="563"/>
    </row>
    <row r="18" customFormat="false" ht="25.35" hidden="false" customHeight="false" outlineLevel="0" collapsed="false">
      <c r="A18" s="604"/>
      <c r="B18" s="536" t="s">
        <v>2466</v>
      </c>
      <c r="C18" s="537" t="s">
        <v>2467</v>
      </c>
      <c r="D18" s="631"/>
      <c r="E18" s="620"/>
      <c r="F18" s="621" t="n">
        <v>144469058845</v>
      </c>
      <c r="G18" s="626" t="n">
        <v>0</v>
      </c>
      <c r="H18" s="621" t="n">
        <v>6810551678</v>
      </c>
      <c r="I18" s="626" t="n">
        <v>0</v>
      </c>
      <c r="J18" s="621" t="n">
        <v>6305824304</v>
      </c>
      <c r="K18" s="626" t="n">
        <v>0</v>
      </c>
      <c r="L18" s="621" t="n">
        <v>7090129174</v>
      </c>
      <c r="M18" s="626" t="n">
        <v>0</v>
      </c>
      <c r="N18" s="621" t="n">
        <v>19122360879</v>
      </c>
      <c r="O18" s="626" t="n">
        <v>0</v>
      </c>
      <c r="P18" s="621" t="n">
        <v>13774832320</v>
      </c>
      <c r="Q18" s="626" t="n">
        <v>0</v>
      </c>
      <c r="R18" s="621" t="n">
        <v>13058919471</v>
      </c>
      <c r="S18" s="626" t="n">
        <v>0</v>
      </c>
      <c r="T18" s="621" t="n">
        <v>14886813689</v>
      </c>
      <c r="U18" s="626" t="n">
        <v>0</v>
      </c>
      <c r="V18" s="621" t="n">
        <v>11268245054</v>
      </c>
      <c r="W18" s="626" t="n">
        <v>0</v>
      </c>
      <c r="X18" s="621" t="n">
        <v>12108245265</v>
      </c>
      <c r="Y18" s="626" t="n">
        <v>0</v>
      </c>
      <c r="Z18" s="621" t="n">
        <v>15212068313</v>
      </c>
      <c r="AA18" s="626" t="n">
        <v>0</v>
      </c>
      <c r="AB18" s="621" t="n">
        <v>13769919836</v>
      </c>
      <c r="AC18" s="620"/>
      <c r="AD18" s="621" t="n">
        <v>11061148862</v>
      </c>
      <c r="AE18" s="620"/>
      <c r="AF18" s="621"/>
      <c r="AG18" s="620"/>
      <c r="AH18" s="620"/>
      <c r="AI18" s="628"/>
      <c r="AJ18" s="621" t="n">
        <v>144052198124</v>
      </c>
      <c r="AK18" s="622"/>
      <c r="AL18" s="621" t="n">
        <v>140796760606</v>
      </c>
      <c r="AM18" s="622" t="n">
        <v>3255437518</v>
      </c>
      <c r="AN18" s="623" t="n">
        <v>0.0231215370580143</v>
      </c>
      <c r="AO18" s="632"/>
      <c r="AP18" s="632"/>
      <c r="AQ18" s="633"/>
      <c r="AR18" s="633"/>
      <c r="AS18" s="633"/>
      <c r="AT18" s="563"/>
      <c r="AU18" s="563"/>
      <c r="AV18" s="563"/>
      <c r="AW18" s="563"/>
      <c r="AX18" s="563"/>
      <c r="AY18" s="563"/>
    </row>
    <row r="19" customFormat="false" ht="25.35" hidden="false" customHeight="false" outlineLevel="0" collapsed="false">
      <c r="A19" s="604"/>
      <c r="B19" s="536" t="s">
        <v>2466</v>
      </c>
      <c r="C19" s="537" t="s">
        <v>2468</v>
      </c>
      <c r="D19" s="631"/>
      <c r="E19" s="620"/>
      <c r="F19" s="621" t="n">
        <v>136739838813</v>
      </c>
      <c r="G19" s="626" t="n">
        <v>0</v>
      </c>
      <c r="H19" s="621" t="n">
        <v>9162171794</v>
      </c>
      <c r="I19" s="626" t="n">
        <v>0</v>
      </c>
      <c r="J19" s="621" t="n">
        <v>24797543432</v>
      </c>
      <c r="K19" s="626" t="n">
        <v>0</v>
      </c>
      <c r="L19" s="621" t="n">
        <v>7523371170</v>
      </c>
      <c r="M19" s="626" t="n">
        <v>0</v>
      </c>
      <c r="N19" s="621" t="n">
        <v>9493454864</v>
      </c>
      <c r="O19" s="626" t="n">
        <v>0</v>
      </c>
      <c r="P19" s="621" t="n">
        <v>8977881807</v>
      </c>
      <c r="Q19" s="626" t="n">
        <v>0</v>
      </c>
      <c r="R19" s="621" t="n">
        <v>7537067539</v>
      </c>
      <c r="S19" s="626" t="n">
        <v>0</v>
      </c>
      <c r="T19" s="621" t="n">
        <v>9859708833</v>
      </c>
      <c r="U19" s="626" t="n">
        <v>0</v>
      </c>
      <c r="V19" s="621" t="n">
        <v>8530452986</v>
      </c>
      <c r="W19" s="626" t="n">
        <v>0</v>
      </c>
      <c r="X19" s="621" t="n">
        <v>8345742743</v>
      </c>
      <c r="Y19" s="626" t="n">
        <v>0</v>
      </c>
      <c r="Z19" s="621" t="n">
        <v>11435742384</v>
      </c>
      <c r="AA19" s="626" t="n">
        <v>0</v>
      </c>
      <c r="AB19" s="621" t="n">
        <v>6471235284</v>
      </c>
      <c r="AC19" s="620"/>
      <c r="AD19" s="621" t="n">
        <v>6463864299</v>
      </c>
      <c r="AE19" s="620"/>
      <c r="AF19" s="621"/>
      <c r="AG19" s="620"/>
      <c r="AH19" s="620"/>
      <c r="AI19" s="628"/>
      <c r="AJ19" s="621" t="n">
        <v>114570413852</v>
      </c>
      <c r="AK19" s="622"/>
      <c r="AL19" s="621" t="n">
        <v>115796295849</v>
      </c>
      <c r="AM19" s="622" t="n">
        <v>-1225881997</v>
      </c>
      <c r="AN19" s="623" t="n">
        <v>-0.0105865389562941</v>
      </c>
      <c r="AO19" s="632"/>
      <c r="AP19" s="632"/>
      <c r="AQ19" s="633"/>
      <c r="AR19" s="633"/>
      <c r="AS19" s="633"/>
      <c r="AT19" s="563"/>
      <c r="AU19" s="563"/>
      <c r="AV19" s="563"/>
      <c r="AW19" s="563"/>
      <c r="AX19" s="563"/>
      <c r="AY19" s="563"/>
    </row>
    <row r="20" customFormat="false" ht="25.35" hidden="false" customHeight="false" outlineLevel="0" collapsed="false">
      <c r="A20" s="604"/>
      <c r="B20" s="634" t="s">
        <v>2469</v>
      </c>
      <c r="C20" s="537" t="s">
        <v>2008</v>
      </c>
      <c r="D20" s="631"/>
      <c r="E20" s="626"/>
      <c r="F20" s="621" t="n">
        <v>24691207712</v>
      </c>
      <c r="G20" s="626" t="n">
        <v>0</v>
      </c>
      <c r="H20" s="621"/>
      <c r="I20" s="626" t="n">
        <v>0</v>
      </c>
      <c r="J20" s="621"/>
      <c r="K20" s="626" t="n">
        <v>0</v>
      </c>
      <c r="L20" s="621"/>
      <c r="M20" s="626" t="n">
        <v>0</v>
      </c>
      <c r="N20" s="621"/>
      <c r="O20" s="626" t="n">
        <v>0</v>
      </c>
      <c r="P20" s="621"/>
      <c r="Q20" s="626" t="n">
        <v>0</v>
      </c>
      <c r="R20" s="621"/>
      <c r="S20" s="626" t="n">
        <v>0</v>
      </c>
      <c r="T20" s="621"/>
      <c r="U20" s="626" t="n">
        <v>0</v>
      </c>
      <c r="V20" s="621"/>
      <c r="W20" s="626" t="n">
        <v>0</v>
      </c>
      <c r="X20" s="621"/>
      <c r="Y20" s="626" t="n">
        <v>0</v>
      </c>
      <c r="Z20" s="621"/>
      <c r="AA20" s="626" t="n">
        <v>0</v>
      </c>
      <c r="AB20" s="621"/>
      <c r="AC20" s="620"/>
      <c r="AD20" s="621"/>
      <c r="AE20" s="620"/>
      <c r="AF20" s="621"/>
      <c r="AG20" s="620"/>
      <c r="AH20" s="620"/>
      <c r="AI20" s="628"/>
      <c r="AJ20" s="621" t="n">
        <v>24336799235</v>
      </c>
      <c r="AK20" s="628"/>
      <c r="AL20" s="621" t="n">
        <v>17965951062</v>
      </c>
      <c r="AM20" s="622" t="n">
        <v>6370848173</v>
      </c>
      <c r="AN20" s="623" t="n">
        <v>0.354606786527158</v>
      </c>
      <c r="AO20" s="624" t="s">
        <v>2501</v>
      </c>
      <c r="AP20" s="630"/>
      <c r="AQ20" s="558"/>
      <c r="AR20" s="558"/>
      <c r="AS20" s="558"/>
      <c r="AT20" s="563"/>
      <c r="AU20" s="563"/>
      <c r="AV20" s="563"/>
      <c r="AW20" s="563"/>
      <c r="AX20" s="563"/>
      <c r="AY20" s="563"/>
    </row>
    <row r="21" customFormat="false" ht="40.5" hidden="false" customHeight="true" outlineLevel="0" collapsed="false">
      <c r="B21" s="549"/>
      <c r="C21" s="550" t="n">
        <v>1</v>
      </c>
      <c r="D21" s="625" t="s">
        <v>275</v>
      </c>
      <c r="E21" s="626" t="n">
        <v>4150097232</v>
      </c>
      <c r="F21" s="627"/>
      <c r="G21" s="626" t="n">
        <v>317701536</v>
      </c>
      <c r="H21" s="627"/>
      <c r="I21" s="626" t="n">
        <v>317701546</v>
      </c>
      <c r="J21" s="627"/>
      <c r="K21" s="626" t="n">
        <v>278673256</v>
      </c>
      <c r="L21" s="627"/>
      <c r="M21" s="626" t="n">
        <v>322038013</v>
      </c>
      <c r="N21" s="627"/>
      <c r="O21" s="626" t="n">
        <v>322038013</v>
      </c>
      <c r="P21" s="627"/>
      <c r="Q21" s="626" t="n">
        <v>322038013</v>
      </c>
      <c r="R21" s="627"/>
      <c r="S21" s="626" t="n">
        <v>322038014</v>
      </c>
      <c r="T21" s="627"/>
      <c r="U21" s="626" t="n">
        <v>365498533</v>
      </c>
      <c r="V21" s="627"/>
      <c r="W21" s="626" t="n">
        <v>318795226</v>
      </c>
      <c r="X21" s="627"/>
      <c r="Y21" s="626" t="n">
        <v>649560878</v>
      </c>
      <c r="Z21" s="627"/>
      <c r="AA21" s="626" t="n">
        <v>248882102</v>
      </c>
      <c r="AB21" s="627"/>
      <c r="AC21" s="626" t="n">
        <v>365132102</v>
      </c>
      <c r="AD21" s="627"/>
      <c r="AE21" s="626"/>
      <c r="AF21" s="627"/>
      <c r="AG21" s="626"/>
      <c r="AH21" s="626"/>
      <c r="AI21" s="628" t="n">
        <v>4150097232</v>
      </c>
      <c r="AJ21" s="627"/>
      <c r="AK21" s="628" t="n">
        <v>1897442310</v>
      </c>
      <c r="AL21" s="627"/>
      <c r="AM21" s="628" t="n">
        <v>2252654922</v>
      </c>
      <c r="AN21" s="629" t="n">
        <v>1.18720601418443</v>
      </c>
      <c r="AO21" s="630"/>
      <c r="AP21" s="630" t="s">
        <v>2518</v>
      </c>
      <c r="AQ21" s="558" t="s">
        <v>2591</v>
      </c>
      <c r="AR21" s="558" t="s">
        <v>2591</v>
      </c>
      <c r="AS21" s="558" t="s">
        <v>2592</v>
      </c>
      <c r="AT21" s="563"/>
      <c r="AU21" s="563"/>
      <c r="AV21" s="563"/>
      <c r="AW21" s="563"/>
      <c r="AX21" s="563"/>
      <c r="AY21" s="563"/>
    </row>
    <row r="22" customFormat="false" ht="15" hidden="false" customHeight="false" outlineLevel="0" collapsed="false">
      <c r="B22" s="549"/>
      <c r="C22" s="550" t="n">
        <v>2</v>
      </c>
      <c r="D22" s="625" t="s">
        <v>276</v>
      </c>
      <c r="E22" s="626" t="n">
        <v>0</v>
      </c>
      <c r="F22" s="627"/>
      <c r="G22" s="626" t="n">
        <v>0</v>
      </c>
      <c r="H22" s="627"/>
      <c r="I22" s="626" t="n">
        <v>0</v>
      </c>
      <c r="J22" s="627"/>
      <c r="K22" s="626" t="n">
        <v>0</v>
      </c>
      <c r="L22" s="627"/>
      <c r="M22" s="626" t="n">
        <v>0</v>
      </c>
      <c r="N22" s="627"/>
      <c r="O22" s="626" t="n">
        <v>0</v>
      </c>
      <c r="P22" s="627"/>
      <c r="Q22" s="626" t="n">
        <v>0</v>
      </c>
      <c r="R22" s="627"/>
      <c r="S22" s="626" t="n">
        <v>0</v>
      </c>
      <c r="T22" s="627"/>
      <c r="U22" s="626" t="n">
        <v>0</v>
      </c>
      <c r="V22" s="627"/>
      <c r="W22" s="626" t="n">
        <v>0</v>
      </c>
      <c r="X22" s="627"/>
      <c r="Y22" s="626" t="n">
        <v>0</v>
      </c>
      <c r="Z22" s="627"/>
      <c r="AA22" s="626" t="n">
        <v>0</v>
      </c>
      <c r="AB22" s="627"/>
      <c r="AC22" s="626" t="n">
        <v>0</v>
      </c>
      <c r="AD22" s="627"/>
      <c r="AE22" s="626"/>
      <c r="AF22" s="627"/>
      <c r="AG22" s="626"/>
      <c r="AH22" s="626"/>
      <c r="AI22" s="628" t="n">
        <v>0</v>
      </c>
      <c r="AJ22" s="627"/>
      <c r="AK22" s="628" t="n">
        <v>0</v>
      </c>
      <c r="AL22" s="627"/>
      <c r="AM22" s="628" t="n">
        <v>0</v>
      </c>
      <c r="AN22" s="629" t="n">
        <v>0</v>
      </c>
      <c r="AO22" s="630"/>
      <c r="AP22" s="630"/>
      <c r="AQ22" s="558"/>
      <c r="AR22" s="558"/>
      <c r="AS22" s="558"/>
      <c r="AT22" s="563"/>
      <c r="AU22" s="563"/>
      <c r="AV22" s="563"/>
      <c r="AW22" s="563"/>
      <c r="AX22" s="563"/>
      <c r="AY22" s="563"/>
    </row>
    <row r="23" customFormat="false" ht="27" hidden="false" customHeight="true" outlineLevel="0" collapsed="false">
      <c r="B23" s="549"/>
      <c r="C23" s="550" t="n">
        <v>3</v>
      </c>
      <c r="D23" s="625" t="s">
        <v>277</v>
      </c>
      <c r="E23" s="626" t="n">
        <v>3050158464</v>
      </c>
      <c r="F23" s="627"/>
      <c r="G23" s="626" t="n">
        <v>177524544</v>
      </c>
      <c r="H23" s="627"/>
      <c r="I23" s="626" t="n">
        <v>387213880</v>
      </c>
      <c r="J23" s="627"/>
      <c r="K23" s="626" t="n">
        <v>614993963</v>
      </c>
      <c r="L23" s="627"/>
      <c r="M23" s="626" t="n">
        <v>166524431</v>
      </c>
      <c r="N23" s="627"/>
      <c r="O23" s="626" t="n">
        <v>185415175</v>
      </c>
      <c r="P23" s="627"/>
      <c r="Q23" s="626" t="n">
        <v>173385354</v>
      </c>
      <c r="R23" s="627"/>
      <c r="S23" s="626" t="n">
        <v>188579749</v>
      </c>
      <c r="T23" s="627"/>
      <c r="U23" s="626" t="n">
        <v>128196777</v>
      </c>
      <c r="V23" s="627"/>
      <c r="W23" s="626" t="n">
        <v>162121227</v>
      </c>
      <c r="X23" s="627"/>
      <c r="Y23" s="626" t="n">
        <v>159216320</v>
      </c>
      <c r="Z23" s="627"/>
      <c r="AA23" s="626" t="n">
        <v>164996288</v>
      </c>
      <c r="AB23" s="627"/>
      <c r="AC23" s="626" t="n">
        <v>541990756</v>
      </c>
      <c r="AD23" s="627"/>
      <c r="AE23" s="626"/>
      <c r="AF23" s="627" t="n">
        <v>-348460250</v>
      </c>
      <c r="AG23" s="626"/>
      <c r="AH23" s="626"/>
      <c r="AI23" s="628" t="n">
        <v>2701698214</v>
      </c>
      <c r="AJ23" s="627"/>
      <c r="AK23" s="628" t="n">
        <v>1564765825</v>
      </c>
      <c r="AL23" s="627"/>
      <c r="AM23" s="628" t="n">
        <v>1136932389</v>
      </c>
      <c r="AN23" s="629" t="n">
        <v>0.726583090476174</v>
      </c>
      <c r="AO23" s="630"/>
      <c r="AP23" s="630" t="s">
        <v>2518</v>
      </c>
      <c r="AQ23" s="559" t="s">
        <v>2593</v>
      </c>
      <c r="AR23" s="558"/>
      <c r="AS23" s="558"/>
      <c r="AT23" s="563"/>
      <c r="AU23" s="563"/>
      <c r="AV23" s="563"/>
      <c r="AW23" s="563"/>
      <c r="AX23" s="563"/>
      <c r="AY23" s="563"/>
    </row>
    <row r="24" customFormat="false" ht="15" hidden="false" customHeight="false" outlineLevel="0" collapsed="false">
      <c r="B24" s="549"/>
      <c r="C24" s="550" t="n">
        <v>4</v>
      </c>
      <c r="D24" s="625" t="s">
        <v>278</v>
      </c>
      <c r="E24" s="626" t="n">
        <v>0</v>
      </c>
      <c r="F24" s="627"/>
      <c r="G24" s="626" t="n">
        <v>0</v>
      </c>
      <c r="H24" s="627"/>
      <c r="I24" s="626" t="n">
        <v>0</v>
      </c>
      <c r="J24" s="627"/>
      <c r="K24" s="626" t="n">
        <v>0</v>
      </c>
      <c r="L24" s="627"/>
      <c r="M24" s="626" t="n">
        <v>0</v>
      </c>
      <c r="N24" s="627"/>
      <c r="O24" s="626" t="n">
        <v>0</v>
      </c>
      <c r="P24" s="627"/>
      <c r="Q24" s="626" t="n">
        <v>0</v>
      </c>
      <c r="R24" s="627"/>
      <c r="S24" s="626" t="n">
        <v>0</v>
      </c>
      <c r="T24" s="627"/>
      <c r="U24" s="626" t="n">
        <v>0</v>
      </c>
      <c r="V24" s="627"/>
      <c r="W24" s="626" t="n">
        <v>0</v>
      </c>
      <c r="X24" s="627"/>
      <c r="Y24" s="626" t="n">
        <v>0</v>
      </c>
      <c r="Z24" s="627"/>
      <c r="AA24" s="626" t="n">
        <v>0</v>
      </c>
      <c r="AB24" s="627"/>
      <c r="AC24" s="626" t="n">
        <v>0</v>
      </c>
      <c r="AD24" s="627"/>
      <c r="AE24" s="626"/>
      <c r="AF24" s="627"/>
      <c r="AG24" s="626"/>
      <c r="AH24" s="626"/>
      <c r="AI24" s="628" t="n">
        <v>0</v>
      </c>
      <c r="AJ24" s="627"/>
      <c r="AK24" s="628" t="n">
        <v>0</v>
      </c>
      <c r="AL24" s="627"/>
      <c r="AM24" s="628" t="n">
        <v>0</v>
      </c>
      <c r="AN24" s="629" t="n">
        <v>0</v>
      </c>
      <c r="AO24" s="630"/>
      <c r="AP24" s="630"/>
      <c r="AQ24" s="558"/>
      <c r="AR24" s="558"/>
      <c r="AS24" s="558"/>
      <c r="AT24" s="563"/>
      <c r="AU24" s="563"/>
      <c r="AV24" s="563"/>
      <c r="AW24" s="563"/>
      <c r="AX24" s="563"/>
      <c r="AY24" s="563"/>
    </row>
    <row r="25" customFormat="false" ht="54" hidden="false" customHeight="true" outlineLevel="0" collapsed="false">
      <c r="B25" s="549"/>
      <c r="C25" s="550" t="n">
        <v>5</v>
      </c>
      <c r="D25" s="625" t="s">
        <v>279</v>
      </c>
      <c r="E25" s="626" t="n">
        <v>17490952016</v>
      </c>
      <c r="F25" s="627"/>
      <c r="G25" s="626" t="n">
        <v>2046547645</v>
      </c>
      <c r="H25" s="627"/>
      <c r="I25" s="626" t="n">
        <v>2022525964</v>
      </c>
      <c r="J25" s="627"/>
      <c r="K25" s="626" t="n">
        <v>1244620337</v>
      </c>
      <c r="L25" s="627"/>
      <c r="M25" s="626" t="n">
        <v>2733216950</v>
      </c>
      <c r="N25" s="627"/>
      <c r="O25" s="626" t="n">
        <v>1375158747</v>
      </c>
      <c r="P25" s="627"/>
      <c r="Q25" s="626" t="n">
        <v>458395064</v>
      </c>
      <c r="R25" s="627"/>
      <c r="S25" s="626" t="n">
        <v>2185817243</v>
      </c>
      <c r="T25" s="627"/>
      <c r="U25" s="626" t="n">
        <v>1253263866</v>
      </c>
      <c r="V25" s="627"/>
      <c r="W25" s="626" t="n">
        <v>1547673754</v>
      </c>
      <c r="X25" s="627"/>
      <c r="Y25" s="626" t="n">
        <v>1777154492</v>
      </c>
      <c r="Z25" s="627"/>
      <c r="AA25" s="626" t="n">
        <v>583966836</v>
      </c>
      <c r="AB25" s="627"/>
      <c r="AC25" s="626" t="n">
        <v>262611118</v>
      </c>
      <c r="AD25" s="627"/>
      <c r="AE25" s="626"/>
      <c r="AF25" s="627"/>
      <c r="AG25" s="626"/>
      <c r="AH25" s="626" t="n">
        <v>-5948227</v>
      </c>
      <c r="AI25" s="628" t="n">
        <v>17485003789</v>
      </c>
      <c r="AJ25" s="627"/>
      <c r="AK25" s="628" t="n">
        <v>14503742927</v>
      </c>
      <c r="AL25" s="627"/>
      <c r="AM25" s="628" t="n">
        <v>2981260862</v>
      </c>
      <c r="AN25" s="629" t="n">
        <v>0.205551137868703</v>
      </c>
      <c r="AO25" s="630"/>
      <c r="AP25" s="630" t="s">
        <v>2518</v>
      </c>
      <c r="AQ25" s="558" t="s">
        <v>2594</v>
      </c>
      <c r="AR25" s="558"/>
      <c r="AS25" s="558"/>
      <c r="AT25" s="563"/>
    </row>
    <row r="26" customFormat="false" ht="25.35" hidden="false" customHeight="false" outlineLevel="0" collapsed="false">
      <c r="A26" s="604"/>
      <c r="B26" s="634" t="s">
        <v>2471</v>
      </c>
      <c r="C26" s="635" t="s">
        <v>2472</v>
      </c>
      <c r="D26" s="631"/>
      <c r="E26" s="620"/>
      <c r="F26" s="621" t="n">
        <v>64999629837</v>
      </c>
      <c r="G26" s="620" t="n">
        <v>0</v>
      </c>
      <c r="H26" s="621"/>
      <c r="I26" s="620" t="n">
        <v>0</v>
      </c>
      <c r="J26" s="621"/>
      <c r="K26" s="620" t="n">
        <v>0</v>
      </c>
      <c r="L26" s="621"/>
      <c r="M26" s="620" t="n">
        <v>0</v>
      </c>
      <c r="N26" s="621"/>
      <c r="O26" s="620" t="n">
        <v>0</v>
      </c>
      <c r="P26" s="621"/>
      <c r="Q26" s="620" t="n">
        <v>0</v>
      </c>
      <c r="R26" s="621"/>
      <c r="S26" s="620" t="n">
        <v>0</v>
      </c>
      <c r="T26" s="621"/>
      <c r="U26" s="620" t="n">
        <v>0</v>
      </c>
      <c r="V26" s="621"/>
      <c r="W26" s="620" t="n">
        <v>0</v>
      </c>
      <c r="X26" s="621"/>
      <c r="Y26" s="620" t="n">
        <v>0</v>
      </c>
      <c r="Z26" s="621"/>
      <c r="AA26" s="620" t="n">
        <v>0</v>
      </c>
      <c r="AB26" s="621"/>
      <c r="AC26" s="620" t="n">
        <v>0</v>
      </c>
      <c r="AD26" s="621"/>
      <c r="AE26" s="620"/>
      <c r="AF26" s="621"/>
      <c r="AG26" s="620"/>
      <c r="AH26" s="620"/>
      <c r="AI26" s="622"/>
      <c r="AJ26" s="621" t="n">
        <v>59889099005</v>
      </c>
      <c r="AK26" s="622"/>
      <c r="AL26" s="621" t="n">
        <v>65373770262</v>
      </c>
      <c r="AM26" s="622" t="n">
        <v>-5484671257</v>
      </c>
      <c r="AN26" s="623" t="n">
        <v>-0.0838971231889939</v>
      </c>
      <c r="AO26" s="624" t="s">
        <v>2501</v>
      </c>
      <c r="AP26" s="632"/>
      <c r="AQ26" s="633"/>
      <c r="AR26" s="636" t="n">
        <v>0.97</v>
      </c>
      <c r="AS26" s="633"/>
      <c r="AT26" s="563"/>
    </row>
    <row r="27" customFormat="false" ht="15" hidden="false" customHeight="false" outlineLevel="0" collapsed="false">
      <c r="B27" s="549"/>
      <c r="C27" s="550" t="n">
        <v>6</v>
      </c>
      <c r="D27" s="625" t="s">
        <v>281</v>
      </c>
      <c r="E27" s="626" t="n">
        <v>0</v>
      </c>
      <c r="F27" s="627"/>
      <c r="G27" s="626" t="n">
        <v>0</v>
      </c>
      <c r="H27" s="627"/>
      <c r="I27" s="626" t="n">
        <v>0</v>
      </c>
      <c r="J27" s="627"/>
      <c r="K27" s="626" t="n">
        <v>0</v>
      </c>
      <c r="L27" s="627"/>
      <c r="M27" s="626" t="n">
        <v>0</v>
      </c>
      <c r="N27" s="627"/>
      <c r="O27" s="626" t="n">
        <v>0</v>
      </c>
      <c r="P27" s="627"/>
      <c r="Q27" s="626" t="n">
        <v>0</v>
      </c>
      <c r="R27" s="627"/>
      <c r="S27" s="626" t="n">
        <v>0</v>
      </c>
      <c r="T27" s="627"/>
      <c r="U27" s="626" t="n">
        <v>0</v>
      </c>
      <c r="V27" s="627"/>
      <c r="W27" s="626" t="n">
        <v>0</v>
      </c>
      <c r="X27" s="627"/>
      <c r="Y27" s="626" t="n">
        <v>0</v>
      </c>
      <c r="Z27" s="627"/>
      <c r="AA27" s="626" t="n">
        <v>0</v>
      </c>
      <c r="AB27" s="627"/>
      <c r="AC27" s="626" t="n">
        <v>0</v>
      </c>
      <c r="AD27" s="627"/>
      <c r="AE27" s="626"/>
      <c r="AF27" s="627"/>
      <c r="AG27" s="626"/>
      <c r="AH27" s="626"/>
      <c r="AI27" s="628" t="n">
        <v>0</v>
      </c>
      <c r="AJ27" s="627"/>
      <c r="AK27" s="628" t="n">
        <v>0</v>
      </c>
      <c r="AL27" s="627"/>
      <c r="AM27" s="628" t="n">
        <v>0</v>
      </c>
      <c r="AN27" s="629" t="n">
        <v>0</v>
      </c>
      <c r="AO27" s="630"/>
      <c r="AP27" s="630"/>
      <c r="AQ27" s="558"/>
      <c r="AR27" s="558"/>
      <c r="AS27" s="558"/>
      <c r="AT27" s="563"/>
    </row>
    <row r="28" customFormat="false" ht="67.5" hidden="false" customHeight="true" outlineLevel="0" collapsed="false">
      <c r="B28" s="549"/>
      <c r="C28" s="550" t="n">
        <v>7</v>
      </c>
      <c r="D28" s="625" t="s">
        <v>282</v>
      </c>
      <c r="E28" s="626" t="n">
        <v>55159077244</v>
      </c>
      <c r="F28" s="627"/>
      <c r="G28" s="626" t="n">
        <v>3053932843</v>
      </c>
      <c r="H28" s="627"/>
      <c r="I28" s="626" t="n">
        <v>19280891610</v>
      </c>
      <c r="J28" s="627"/>
      <c r="K28" s="626" t="n">
        <v>2810301819</v>
      </c>
      <c r="L28" s="627"/>
      <c r="M28" s="626" t="n">
        <v>3688868147</v>
      </c>
      <c r="N28" s="627"/>
      <c r="O28" s="626" t="n">
        <v>3081105776</v>
      </c>
      <c r="P28" s="627"/>
      <c r="Q28" s="626" t="n">
        <v>3229670620</v>
      </c>
      <c r="R28" s="627"/>
      <c r="S28" s="626" t="n">
        <v>4080609596</v>
      </c>
      <c r="T28" s="627"/>
      <c r="U28" s="626" t="n">
        <v>3617955954</v>
      </c>
      <c r="V28" s="627"/>
      <c r="W28" s="626" t="n">
        <v>2819930296</v>
      </c>
      <c r="X28" s="627"/>
      <c r="Y28" s="626" t="n">
        <v>3313223716</v>
      </c>
      <c r="Z28" s="627"/>
      <c r="AA28" s="626" t="n">
        <v>3111500351</v>
      </c>
      <c r="AB28" s="627"/>
      <c r="AC28" s="626" t="n">
        <v>3071086516</v>
      </c>
      <c r="AD28" s="627"/>
      <c r="AE28" s="626" t="n">
        <v>433482852</v>
      </c>
      <c r="AF28" s="627"/>
      <c r="AG28" s="626"/>
      <c r="AH28" s="626" t="n">
        <v>-4235418069</v>
      </c>
      <c r="AI28" s="628" t="n">
        <v>51357142027</v>
      </c>
      <c r="AJ28" s="627"/>
      <c r="AK28" s="628" t="n">
        <v>53622546005</v>
      </c>
      <c r="AL28" s="627"/>
      <c r="AM28" s="628" t="n">
        <v>-2265403978</v>
      </c>
      <c r="AN28" s="629" t="n">
        <v>-0.0422472289508365</v>
      </c>
      <c r="AO28" s="630"/>
      <c r="AP28" s="630" t="s">
        <v>2502</v>
      </c>
      <c r="AQ28" s="559" t="s">
        <v>2595</v>
      </c>
      <c r="AR28" s="559" t="s">
        <v>2596</v>
      </c>
      <c r="AS28" s="559" t="s">
        <v>2597</v>
      </c>
      <c r="AT28" s="515"/>
    </row>
    <row r="29" customFormat="false" ht="25.35" hidden="false" customHeight="false" outlineLevel="0" collapsed="false">
      <c r="B29" s="549"/>
      <c r="C29" s="550" t="n">
        <v>8</v>
      </c>
      <c r="D29" s="625" t="s">
        <v>283</v>
      </c>
      <c r="E29" s="626" t="n">
        <v>3105838674</v>
      </c>
      <c r="F29" s="627"/>
      <c r="G29" s="626" t="n">
        <v>-117936156</v>
      </c>
      <c r="H29" s="627"/>
      <c r="I29" s="626" t="n">
        <v>225812206</v>
      </c>
      <c r="J29" s="627"/>
      <c r="K29" s="626" t="n">
        <v>193878193</v>
      </c>
      <c r="L29" s="627"/>
      <c r="M29" s="626" t="n">
        <v>357994910</v>
      </c>
      <c r="N29" s="627"/>
      <c r="O29" s="626" t="n">
        <v>308606688</v>
      </c>
      <c r="P29" s="627"/>
      <c r="Q29" s="626" t="n">
        <v>359478283</v>
      </c>
      <c r="R29" s="627"/>
      <c r="S29" s="626" t="n">
        <v>317815364</v>
      </c>
      <c r="T29" s="627"/>
      <c r="U29" s="626" t="n">
        <v>238533679</v>
      </c>
      <c r="V29" s="627"/>
      <c r="W29" s="626" t="n">
        <v>265400881</v>
      </c>
      <c r="X29" s="627"/>
      <c r="Y29" s="626" t="n">
        <v>284835234</v>
      </c>
      <c r="Z29" s="627"/>
      <c r="AA29" s="626" t="n">
        <v>388310988</v>
      </c>
      <c r="AB29" s="627"/>
      <c r="AC29" s="626" t="n">
        <v>283108404</v>
      </c>
      <c r="AD29" s="627"/>
      <c r="AE29" s="626"/>
      <c r="AF29" s="627"/>
      <c r="AG29" s="626"/>
      <c r="AH29" s="626"/>
      <c r="AI29" s="628" t="n">
        <v>3105838674</v>
      </c>
      <c r="AJ29" s="627"/>
      <c r="AK29" s="628" t="n">
        <v>3059105019</v>
      </c>
      <c r="AL29" s="627"/>
      <c r="AM29" s="628" t="n">
        <v>46733655</v>
      </c>
      <c r="AN29" s="629" t="n">
        <v>0.0152769044245748</v>
      </c>
      <c r="AO29" s="630"/>
      <c r="AP29" s="630" t="s">
        <v>2502</v>
      </c>
      <c r="AQ29" s="558"/>
      <c r="AR29" s="558"/>
      <c r="AS29" s="558"/>
      <c r="AT29" s="515"/>
    </row>
    <row r="30" customFormat="false" ht="54" hidden="false" customHeight="true" outlineLevel="0" collapsed="false">
      <c r="B30" s="549"/>
      <c r="C30" s="550" t="n">
        <v>9</v>
      </c>
      <c r="D30" s="625" t="s">
        <v>284</v>
      </c>
      <c r="E30" s="626" t="n">
        <v>925510319</v>
      </c>
      <c r="F30" s="627"/>
      <c r="G30" s="626" t="n">
        <v>181852907</v>
      </c>
      <c r="H30" s="627"/>
      <c r="I30" s="626" t="n">
        <v>-247347967</v>
      </c>
      <c r="J30" s="627"/>
      <c r="K30" s="626" t="n">
        <v>62850000</v>
      </c>
      <c r="L30" s="627"/>
      <c r="M30" s="626" t="n">
        <v>-273092918</v>
      </c>
      <c r="N30" s="627"/>
      <c r="O30" s="626" t="n">
        <v>116395000</v>
      </c>
      <c r="P30" s="627"/>
      <c r="Q30" s="626" t="n">
        <v>151115131</v>
      </c>
      <c r="R30" s="627"/>
      <c r="S30" s="626" t="n">
        <v>104350000</v>
      </c>
      <c r="T30" s="627"/>
      <c r="U30" s="626" t="n">
        <v>196002217</v>
      </c>
      <c r="V30" s="627"/>
      <c r="W30" s="626" t="n">
        <v>293988090</v>
      </c>
      <c r="X30" s="627"/>
      <c r="Y30" s="626" t="n">
        <v>114647859</v>
      </c>
      <c r="Z30" s="627"/>
      <c r="AA30" s="626" t="n">
        <v>168875000</v>
      </c>
      <c r="AB30" s="627"/>
      <c r="AC30" s="626" t="n">
        <v>55875000</v>
      </c>
      <c r="AD30" s="627"/>
      <c r="AE30" s="626"/>
      <c r="AF30" s="627"/>
      <c r="AG30" s="626"/>
      <c r="AH30" s="626" t="n">
        <v>-686753728</v>
      </c>
      <c r="AI30" s="628" t="n">
        <v>238756591</v>
      </c>
      <c r="AJ30" s="627"/>
      <c r="AK30" s="628" t="n">
        <v>3492344581</v>
      </c>
      <c r="AL30" s="627"/>
      <c r="AM30" s="628" t="n">
        <v>-3253587990</v>
      </c>
      <c r="AN30" s="629" t="n">
        <v>-0.931634297400392</v>
      </c>
      <c r="AO30" s="630"/>
      <c r="AP30" s="630" t="s">
        <v>2502</v>
      </c>
      <c r="AQ30" s="559" t="s">
        <v>2598</v>
      </c>
      <c r="AR30" s="559" t="s">
        <v>2598</v>
      </c>
      <c r="AS30" s="558" t="s">
        <v>2599</v>
      </c>
      <c r="AT30" s="515"/>
    </row>
    <row r="31" customFormat="false" ht="25.35" hidden="false" customHeight="false" outlineLevel="0" collapsed="false">
      <c r="B31" s="549"/>
      <c r="C31" s="550" t="n">
        <v>10</v>
      </c>
      <c r="D31" s="625" t="s">
        <v>285</v>
      </c>
      <c r="E31" s="626" t="n">
        <v>5809203600</v>
      </c>
      <c r="F31" s="627"/>
      <c r="G31" s="626" t="n">
        <v>560209251</v>
      </c>
      <c r="H31" s="627"/>
      <c r="I31" s="626" t="n">
        <v>422730498</v>
      </c>
      <c r="J31" s="627"/>
      <c r="K31" s="626" t="n">
        <v>-332263311</v>
      </c>
      <c r="L31" s="627"/>
      <c r="M31" s="626" t="n">
        <v>644455723</v>
      </c>
      <c r="N31" s="627"/>
      <c r="O31" s="626" t="n">
        <v>737833381</v>
      </c>
      <c r="P31" s="627"/>
      <c r="Q31" s="626" t="n">
        <v>641837448</v>
      </c>
      <c r="R31" s="627"/>
      <c r="S31" s="626" t="n">
        <v>409734045</v>
      </c>
      <c r="T31" s="627"/>
      <c r="U31" s="626" t="n">
        <v>424093088</v>
      </c>
      <c r="V31" s="627"/>
      <c r="W31" s="626" t="n">
        <v>470253236</v>
      </c>
      <c r="X31" s="627"/>
      <c r="Y31" s="626" t="n">
        <v>910784210</v>
      </c>
      <c r="Z31" s="627"/>
      <c r="AA31" s="626" t="n">
        <v>377381750</v>
      </c>
      <c r="AB31" s="627"/>
      <c r="AC31" s="626" t="n">
        <v>542154281</v>
      </c>
      <c r="AD31" s="627"/>
      <c r="AE31" s="626"/>
      <c r="AF31" s="627"/>
      <c r="AG31" s="626"/>
      <c r="AH31" s="626" t="n">
        <v>-621841887</v>
      </c>
      <c r="AI31" s="628" t="n">
        <v>5187361713</v>
      </c>
      <c r="AJ31" s="627"/>
      <c r="AK31" s="628" t="n">
        <v>5199774657</v>
      </c>
      <c r="AL31" s="627"/>
      <c r="AM31" s="628" t="n">
        <v>-12412944</v>
      </c>
      <c r="AN31" s="629" t="n">
        <v>-0.00238720806550521</v>
      </c>
      <c r="AO31" s="630"/>
      <c r="AP31" s="630" t="s">
        <v>2502</v>
      </c>
      <c r="AQ31" s="558"/>
      <c r="AR31" s="558"/>
      <c r="AS31" s="558"/>
      <c r="AT31" s="515"/>
    </row>
    <row r="32" customFormat="false" ht="15" hidden="false" customHeight="false" outlineLevel="0" collapsed="false">
      <c r="B32" s="549"/>
      <c r="C32" s="550" t="n">
        <v>11</v>
      </c>
      <c r="D32" s="625" t="s">
        <v>286</v>
      </c>
      <c r="E32" s="626" t="n">
        <v>0</v>
      </c>
      <c r="F32" s="627"/>
      <c r="G32" s="626" t="n">
        <v>0</v>
      </c>
      <c r="H32" s="627"/>
      <c r="I32" s="626" t="n">
        <v>0</v>
      </c>
      <c r="J32" s="627"/>
      <c r="K32" s="626" t="n">
        <v>0</v>
      </c>
      <c r="L32" s="627"/>
      <c r="M32" s="626" t="n">
        <v>0</v>
      </c>
      <c r="N32" s="627"/>
      <c r="O32" s="626" t="n">
        <v>0</v>
      </c>
      <c r="P32" s="627"/>
      <c r="Q32" s="626" t="n">
        <v>0</v>
      </c>
      <c r="R32" s="627"/>
      <c r="S32" s="626" t="n">
        <v>0</v>
      </c>
      <c r="T32" s="627"/>
      <c r="U32" s="626" t="n">
        <v>0</v>
      </c>
      <c r="V32" s="627"/>
      <c r="W32" s="626" t="n">
        <v>0</v>
      </c>
      <c r="X32" s="627"/>
      <c r="Y32" s="626" t="n">
        <v>0</v>
      </c>
      <c r="Z32" s="627"/>
      <c r="AA32" s="626" t="n">
        <v>0</v>
      </c>
      <c r="AB32" s="627"/>
      <c r="AC32" s="626" t="n">
        <v>0</v>
      </c>
      <c r="AD32" s="627"/>
      <c r="AE32" s="626"/>
      <c r="AF32" s="627"/>
      <c r="AG32" s="626"/>
      <c r="AH32" s="626"/>
      <c r="AI32" s="628" t="n">
        <v>0</v>
      </c>
      <c r="AJ32" s="627"/>
      <c r="AK32" s="628" t="n">
        <v>0</v>
      </c>
      <c r="AL32" s="627"/>
      <c r="AM32" s="628" t="n">
        <v>0</v>
      </c>
      <c r="AN32" s="629" t="n">
        <v>0</v>
      </c>
      <c r="AO32" s="630"/>
      <c r="AP32" s="630"/>
      <c r="AQ32" s="558"/>
      <c r="AR32" s="558"/>
      <c r="AS32" s="558"/>
      <c r="AT32" s="563"/>
    </row>
    <row r="33" customFormat="false" ht="15" hidden="false" customHeight="false" outlineLevel="0" collapsed="false">
      <c r="B33" s="549"/>
      <c r="C33" s="550" t="n">
        <v>12</v>
      </c>
      <c r="D33" s="625" t="s">
        <v>287</v>
      </c>
      <c r="E33" s="626" t="n">
        <v>0</v>
      </c>
      <c r="F33" s="627"/>
      <c r="G33" s="626" t="n">
        <v>0</v>
      </c>
      <c r="H33" s="627"/>
      <c r="I33" s="626" t="n">
        <v>0</v>
      </c>
      <c r="J33" s="627"/>
      <c r="K33" s="626" t="n">
        <v>0</v>
      </c>
      <c r="L33" s="627"/>
      <c r="M33" s="626" t="n">
        <v>0</v>
      </c>
      <c r="N33" s="627"/>
      <c r="O33" s="626" t="n">
        <v>0</v>
      </c>
      <c r="P33" s="627"/>
      <c r="Q33" s="626" t="n">
        <v>0</v>
      </c>
      <c r="R33" s="627"/>
      <c r="S33" s="626" t="n">
        <v>0</v>
      </c>
      <c r="T33" s="627"/>
      <c r="U33" s="626" t="n">
        <v>0</v>
      </c>
      <c r="V33" s="627"/>
      <c r="W33" s="626" t="n">
        <v>0</v>
      </c>
      <c r="X33" s="627"/>
      <c r="Y33" s="626" t="n">
        <v>0</v>
      </c>
      <c r="Z33" s="627"/>
      <c r="AA33" s="626" t="n">
        <v>0</v>
      </c>
      <c r="AB33" s="627"/>
      <c r="AC33" s="626" t="n">
        <v>0</v>
      </c>
      <c r="AD33" s="627"/>
      <c r="AE33" s="626"/>
      <c r="AF33" s="627"/>
      <c r="AG33" s="626"/>
      <c r="AH33" s="626"/>
      <c r="AI33" s="628" t="n">
        <v>0</v>
      </c>
      <c r="AJ33" s="627"/>
      <c r="AK33" s="628" t="n">
        <v>0</v>
      </c>
      <c r="AL33" s="627"/>
      <c r="AM33" s="628" t="n">
        <v>0</v>
      </c>
      <c r="AN33" s="629" t="n">
        <v>0</v>
      </c>
      <c r="AO33" s="630"/>
      <c r="AP33" s="630"/>
      <c r="AQ33" s="558"/>
      <c r="AR33" s="558"/>
      <c r="AS33" s="558"/>
      <c r="AT33" s="563"/>
    </row>
    <row r="34" customFormat="false" ht="25.35" hidden="false" customHeight="false" outlineLevel="0" collapsed="false">
      <c r="A34" s="604"/>
      <c r="B34" s="634" t="s">
        <v>2473</v>
      </c>
      <c r="C34" s="635" t="s">
        <v>2474</v>
      </c>
      <c r="D34" s="631"/>
      <c r="E34" s="620"/>
      <c r="F34" s="621" t="n">
        <v>47049001264</v>
      </c>
      <c r="G34" s="620" t="n">
        <v>0</v>
      </c>
      <c r="H34" s="621"/>
      <c r="I34" s="620" t="n">
        <v>0</v>
      </c>
      <c r="J34" s="621"/>
      <c r="K34" s="620" t="n">
        <v>0</v>
      </c>
      <c r="L34" s="621"/>
      <c r="M34" s="620" t="n">
        <v>0</v>
      </c>
      <c r="N34" s="621"/>
      <c r="O34" s="620" t="n">
        <v>0</v>
      </c>
      <c r="P34" s="621"/>
      <c r="Q34" s="620" t="n">
        <v>0</v>
      </c>
      <c r="R34" s="621"/>
      <c r="S34" s="620" t="n">
        <v>0</v>
      </c>
      <c r="T34" s="621"/>
      <c r="U34" s="620" t="n">
        <v>0</v>
      </c>
      <c r="V34" s="621"/>
      <c r="W34" s="620" t="n">
        <v>0</v>
      </c>
      <c r="X34" s="621"/>
      <c r="Y34" s="620" t="n">
        <v>0</v>
      </c>
      <c r="Z34" s="621"/>
      <c r="AA34" s="620" t="n">
        <v>0</v>
      </c>
      <c r="AB34" s="621"/>
      <c r="AC34" s="620" t="n">
        <v>0</v>
      </c>
      <c r="AD34" s="621"/>
      <c r="AE34" s="620"/>
      <c r="AF34" s="621"/>
      <c r="AG34" s="620"/>
      <c r="AH34" s="620"/>
      <c r="AI34" s="622"/>
      <c r="AJ34" s="621" t="n">
        <v>30344515612</v>
      </c>
      <c r="AK34" s="622"/>
      <c r="AL34" s="621" t="n">
        <v>32456574525</v>
      </c>
      <c r="AM34" s="622" t="n">
        <v>-2112058913</v>
      </c>
      <c r="AN34" s="623" t="n">
        <v>-0.0650733770864564</v>
      </c>
      <c r="AO34" s="632"/>
      <c r="AP34" s="632"/>
      <c r="AQ34" s="633"/>
      <c r="AR34" s="633"/>
      <c r="AS34" s="633"/>
      <c r="AT34" s="563"/>
    </row>
    <row r="35" customFormat="false" ht="25.35" hidden="false" customHeight="false" outlineLevel="0" collapsed="false">
      <c r="B35" s="549"/>
      <c r="C35" s="550" t="n">
        <v>13</v>
      </c>
      <c r="D35" s="625" t="s">
        <v>289</v>
      </c>
      <c r="E35" s="626" t="n">
        <v>3755056372</v>
      </c>
      <c r="F35" s="627"/>
      <c r="G35" s="626" t="n">
        <v>439579224</v>
      </c>
      <c r="H35" s="627"/>
      <c r="I35" s="626" t="n">
        <v>300811325</v>
      </c>
      <c r="J35" s="627"/>
      <c r="K35" s="626" t="n">
        <v>238008989</v>
      </c>
      <c r="L35" s="627"/>
      <c r="M35" s="626" t="n">
        <v>351705456</v>
      </c>
      <c r="N35" s="627"/>
      <c r="O35" s="626" t="n">
        <v>217193663</v>
      </c>
      <c r="P35" s="627"/>
      <c r="Q35" s="626" t="n">
        <v>113907921</v>
      </c>
      <c r="R35" s="627"/>
      <c r="S35" s="626" t="n">
        <v>302171375</v>
      </c>
      <c r="T35" s="627"/>
      <c r="U35" s="626" t="n">
        <v>135175993</v>
      </c>
      <c r="V35" s="627"/>
      <c r="W35" s="626" t="n">
        <v>422612687</v>
      </c>
      <c r="X35" s="627"/>
      <c r="Y35" s="626" t="n">
        <v>590394871</v>
      </c>
      <c r="Z35" s="627"/>
      <c r="AA35" s="626" t="n">
        <v>281994828</v>
      </c>
      <c r="AB35" s="627"/>
      <c r="AC35" s="626" t="n">
        <v>361500040</v>
      </c>
      <c r="AD35" s="627"/>
      <c r="AE35" s="626"/>
      <c r="AF35" s="627"/>
      <c r="AG35" s="626"/>
      <c r="AH35" s="626" t="n">
        <v>-305640856</v>
      </c>
      <c r="AI35" s="628" t="n">
        <v>3449415516</v>
      </c>
      <c r="AJ35" s="627"/>
      <c r="AK35" s="628" t="n">
        <v>3517295861</v>
      </c>
      <c r="AL35" s="627"/>
      <c r="AM35" s="628" t="n">
        <v>-67880345</v>
      </c>
      <c r="AN35" s="629" t="n">
        <v>-0.0192990148348513</v>
      </c>
      <c r="AO35" s="630"/>
      <c r="AP35" s="630" t="s">
        <v>2518</v>
      </c>
      <c r="AQ35" s="558"/>
      <c r="AR35" s="558"/>
      <c r="AS35" s="558"/>
      <c r="AT35" s="563"/>
    </row>
    <row r="36" customFormat="false" ht="27" hidden="false" customHeight="true" outlineLevel="0" collapsed="false">
      <c r="B36" s="549"/>
      <c r="C36" s="550" t="n">
        <v>14</v>
      </c>
      <c r="D36" s="625" t="s">
        <v>290</v>
      </c>
      <c r="E36" s="626" t="n">
        <v>4971147841</v>
      </c>
      <c r="F36" s="627"/>
      <c r="G36" s="626" t="n">
        <v>754889035</v>
      </c>
      <c r="H36" s="627"/>
      <c r="I36" s="626" t="n">
        <v>355372105</v>
      </c>
      <c r="J36" s="627"/>
      <c r="K36" s="626" t="n">
        <v>348007037</v>
      </c>
      <c r="L36" s="627"/>
      <c r="M36" s="626" t="n">
        <v>471978636</v>
      </c>
      <c r="N36" s="627"/>
      <c r="O36" s="626" t="n">
        <v>389316218</v>
      </c>
      <c r="P36" s="627"/>
      <c r="Q36" s="626" t="n">
        <v>343738394</v>
      </c>
      <c r="R36" s="627"/>
      <c r="S36" s="626" t="n">
        <v>433370800</v>
      </c>
      <c r="T36" s="627"/>
      <c r="U36" s="626" t="n">
        <v>383515215</v>
      </c>
      <c r="V36" s="627"/>
      <c r="W36" s="626" t="n">
        <v>547551201</v>
      </c>
      <c r="X36" s="627"/>
      <c r="Y36" s="626" t="n">
        <v>366190305</v>
      </c>
      <c r="Z36" s="627"/>
      <c r="AA36" s="626" t="n">
        <v>466244947</v>
      </c>
      <c r="AB36" s="627"/>
      <c r="AC36" s="626" t="n">
        <v>110973948</v>
      </c>
      <c r="AD36" s="627"/>
      <c r="AE36" s="626"/>
      <c r="AF36" s="627"/>
      <c r="AG36" s="626"/>
      <c r="AH36" s="626" t="n">
        <v>-90649211</v>
      </c>
      <c r="AI36" s="628" t="n">
        <v>4880498630</v>
      </c>
      <c r="AJ36" s="627"/>
      <c r="AK36" s="628" t="n">
        <v>4270752256</v>
      </c>
      <c r="AL36" s="627"/>
      <c r="AM36" s="628" t="n">
        <v>609746374</v>
      </c>
      <c r="AN36" s="629" t="n">
        <v>0.142772593082018</v>
      </c>
      <c r="AO36" s="630"/>
      <c r="AP36" s="630" t="s">
        <v>2518</v>
      </c>
      <c r="AQ36" s="559" t="s">
        <v>2600</v>
      </c>
      <c r="AR36" s="558"/>
      <c r="AS36" s="558"/>
      <c r="AT36" s="563"/>
    </row>
    <row r="37" customFormat="false" ht="25.35" hidden="false" customHeight="false" outlineLevel="0" collapsed="false">
      <c r="B37" s="549"/>
      <c r="C37" s="550" t="n">
        <v>15</v>
      </c>
      <c r="D37" s="625" t="s">
        <v>291</v>
      </c>
      <c r="E37" s="626" t="n">
        <v>404907362</v>
      </c>
      <c r="F37" s="627"/>
      <c r="G37" s="626" t="n">
        <v>42135715</v>
      </c>
      <c r="H37" s="627"/>
      <c r="I37" s="626" t="n">
        <v>34821576</v>
      </c>
      <c r="J37" s="627"/>
      <c r="K37" s="626" t="n">
        <v>32965228</v>
      </c>
      <c r="L37" s="627"/>
      <c r="M37" s="626" t="n">
        <v>33873863</v>
      </c>
      <c r="N37" s="627"/>
      <c r="O37" s="626" t="n">
        <v>32907924</v>
      </c>
      <c r="P37" s="627"/>
      <c r="Q37" s="626" t="n">
        <v>34617304</v>
      </c>
      <c r="R37" s="627"/>
      <c r="S37" s="626" t="n">
        <v>33806912</v>
      </c>
      <c r="T37" s="627"/>
      <c r="U37" s="626" t="n">
        <v>34372104</v>
      </c>
      <c r="V37" s="627"/>
      <c r="W37" s="626" t="n">
        <v>32915691</v>
      </c>
      <c r="X37" s="627"/>
      <c r="Y37" s="626" t="n">
        <v>38341096</v>
      </c>
      <c r="Z37" s="627"/>
      <c r="AA37" s="626" t="n">
        <v>42431712</v>
      </c>
      <c r="AB37" s="627"/>
      <c r="AC37" s="626" t="n">
        <v>11718237</v>
      </c>
      <c r="AD37" s="627"/>
      <c r="AE37" s="626"/>
      <c r="AF37" s="627"/>
      <c r="AG37" s="626"/>
      <c r="AH37" s="626" t="n">
        <v>-28826829</v>
      </c>
      <c r="AI37" s="628" t="n">
        <v>376080533</v>
      </c>
      <c r="AJ37" s="627"/>
      <c r="AK37" s="628" t="n">
        <v>453946365</v>
      </c>
      <c r="AL37" s="627"/>
      <c r="AM37" s="628" t="n">
        <v>-77865832</v>
      </c>
      <c r="AN37" s="629" t="n">
        <v>-0.171530907621653</v>
      </c>
      <c r="AO37" s="630"/>
      <c r="AP37" s="630" t="s">
        <v>2518</v>
      </c>
      <c r="AQ37" s="558"/>
      <c r="AR37" s="558"/>
      <c r="AS37" s="558"/>
      <c r="AT37" s="563"/>
    </row>
    <row r="38" customFormat="false" ht="25.35" hidden="false" customHeight="false" outlineLevel="0" collapsed="false">
      <c r="B38" s="549"/>
      <c r="C38" s="550" t="n">
        <v>16</v>
      </c>
      <c r="D38" s="625" t="s">
        <v>292</v>
      </c>
      <c r="E38" s="626" t="n">
        <v>137917999</v>
      </c>
      <c r="F38" s="627"/>
      <c r="G38" s="626" t="n">
        <v>15452338</v>
      </c>
      <c r="H38" s="627"/>
      <c r="I38" s="626" t="n">
        <v>26389192</v>
      </c>
      <c r="J38" s="627"/>
      <c r="K38" s="626" t="n">
        <v>3912682</v>
      </c>
      <c r="L38" s="627"/>
      <c r="M38" s="626" t="n">
        <v>16358570</v>
      </c>
      <c r="N38" s="627"/>
      <c r="O38" s="626" t="n">
        <v>11255014</v>
      </c>
      <c r="P38" s="627"/>
      <c r="Q38" s="626" t="n">
        <v>-2437452</v>
      </c>
      <c r="R38" s="627"/>
      <c r="S38" s="626" t="n">
        <v>17370549</v>
      </c>
      <c r="T38" s="627"/>
      <c r="U38" s="626" t="n">
        <v>3178678</v>
      </c>
      <c r="V38" s="627"/>
      <c r="W38" s="626" t="n">
        <v>10931288</v>
      </c>
      <c r="X38" s="627"/>
      <c r="Y38" s="626" t="n">
        <v>23417564</v>
      </c>
      <c r="Z38" s="627"/>
      <c r="AA38" s="626" t="n">
        <v>6592796</v>
      </c>
      <c r="AB38" s="627"/>
      <c r="AC38" s="626" t="n">
        <v>5496780</v>
      </c>
      <c r="AD38" s="627"/>
      <c r="AE38" s="626"/>
      <c r="AF38" s="627"/>
      <c r="AG38" s="626"/>
      <c r="AH38" s="626" t="n">
        <v>-49112035</v>
      </c>
      <c r="AI38" s="628" t="n">
        <v>88805964</v>
      </c>
      <c r="AJ38" s="627"/>
      <c r="AK38" s="628" t="n">
        <v>278624152</v>
      </c>
      <c r="AL38" s="627"/>
      <c r="AM38" s="628" t="n">
        <v>-189818188</v>
      </c>
      <c r="AN38" s="629" t="n">
        <v>-0.681269684043758</v>
      </c>
      <c r="AO38" s="630"/>
      <c r="AP38" s="630" t="s">
        <v>2518</v>
      </c>
      <c r="AQ38" s="558"/>
      <c r="AR38" s="558"/>
      <c r="AS38" s="558"/>
      <c r="AT38" s="563"/>
    </row>
    <row r="39" customFormat="false" ht="25.35" hidden="false" customHeight="false" outlineLevel="0" collapsed="false">
      <c r="B39" s="549"/>
      <c r="C39" s="550" t="n">
        <v>17</v>
      </c>
      <c r="D39" s="625" t="s">
        <v>293</v>
      </c>
      <c r="E39" s="626" t="n">
        <v>327354962</v>
      </c>
      <c r="F39" s="627"/>
      <c r="G39" s="626" t="n">
        <v>32703597</v>
      </c>
      <c r="H39" s="627"/>
      <c r="I39" s="626" t="n">
        <v>16835778</v>
      </c>
      <c r="J39" s="627"/>
      <c r="K39" s="626" t="n">
        <v>20881191</v>
      </c>
      <c r="L39" s="627"/>
      <c r="M39" s="626" t="n">
        <v>27164260</v>
      </c>
      <c r="N39" s="627"/>
      <c r="O39" s="626" t="n">
        <v>23592167</v>
      </c>
      <c r="P39" s="627"/>
      <c r="Q39" s="626" t="n">
        <v>37795249</v>
      </c>
      <c r="R39" s="627"/>
      <c r="S39" s="626" t="n">
        <v>39205344</v>
      </c>
      <c r="T39" s="627"/>
      <c r="U39" s="626" t="n">
        <v>16994311</v>
      </c>
      <c r="V39" s="627"/>
      <c r="W39" s="626" t="n">
        <v>52632792</v>
      </c>
      <c r="X39" s="627"/>
      <c r="Y39" s="626" t="n">
        <v>25903177</v>
      </c>
      <c r="Z39" s="627"/>
      <c r="AA39" s="626" t="n">
        <v>23671308</v>
      </c>
      <c r="AB39" s="627"/>
      <c r="AC39" s="626" t="n">
        <v>9975788</v>
      </c>
      <c r="AD39" s="627"/>
      <c r="AE39" s="626"/>
      <c r="AF39" s="627"/>
      <c r="AG39" s="626"/>
      <c r="AH39" s="626" t="n">
        <v>-100000</v>
      </c>
      <c r="AI39" s="628" t="n">
        <v>327254962</v>
      </c>
      <c r="AJ39" s="627"/>
      <c r="AK39" s="628" t="n">
        <v>221418960</v>
      </c>
      <c r="AL39" s="627"/>
      <c r="AM39" s="628" t="n">
        <v>105836002</v>
      </c>
      <c r="AN39" s="629" t="n">
        <v>0.477989789130976</v>
      </c>
      <c r="AO39" s="630"/>
      <c r="AP39" s="630" t="s">
        <v>2518</v>
      </c>
      <c r="AQ39" s="558"/>
      <c r="AR39" s="558"/>
      <c r="AS39" s="558"/>
      <c r="AT39" s="563"/>
    </row>
    <row r="40" customFormat="false" ht="54" hidden="false" customHeight="true" outlineLevel="0" collapsed="false">
      <c r="B40" s="549"/>
      <c r="C40" s="550" t="n">
        <v>18</v>
      </c>
      <c r="D40" s="625" t="s">
        <v>294</v>
      </c>
      <c r="E40" s="626" t="n">
        <v>337409570</v>
      </c>
      <c r="F40" s="627"/>
      <c r="G40" s="626" t="n">
        <v>-112689402</v>
      </c>
      <c r="H40" s="627"/>
      <c r="I40" s="626" t="n">
        <v>209092138</v>
      </c>
      <c r="J40" s="627"/>
      <c r="K40" s="626" t="n">
        <v>48201368</v>
      </c>
      <c r="L40" s="627"/>
      <c r="M40" s="626" t="n">
        <v>48201368</v>
      </c>
      <c r="N40" s="627"/>
      <c r="O40" s="626" t="n">
        <v>48201368</v>
      </c>
      <c r="P40" s="627"/>
      <c r="Q40" s="626" t="n">
        <v>48201368</v>
      </c>
      <c r="R40" s="627"/>
      <c r="S40" s="626" t="n">
        <v>48201368</v>
      </c>
      <c r="T40" s="627"/>
      <c r="U40" s="626" t="n">
        <v>-2</v>
      </c>
      <c r="V40" s="627"/>
      <c r="W40" s="626" t="n">
        <v>-2</v>
      </c>
      <c r="X40" s="627"/>
      <c r="Y40" s="626" t="n">
        <v>0</v>
      </c>
      <c r="Z40" s="627"/>
      <c r="AA40" s="626" t="n">
        <v>0</v>
      </c>
      <c r="AB40" s="627"/>
      <c r="AC40" s="626" t="n">
        <v>-2</v>
      </c>
      <c r="AD40" s="627"/>
      <c r="AE40" s="626" t="n">
        <v>1126894020</v>
      </c>
      <c r="AF40" s="627"/>
      <c r="AG40" s="626"/>
      <c r="AH40" s="626"/>
      <c r="AI40" s="628" t="n">
        <v>1464303590</v>
      </c>
      <c r="AJ40" s="627"/>
      <c r="AK40" s="628" t="n">
        <v>919488259</v>
      </c>
      <c r="AL40" s="627"/>
      <c r="AM40" s="628" t="n">
        <v>544815331</v>
      </c>
      <c r="AN40" s="629" t="n">
        <v>0.592520160716919</v>
      </c>
      <c r="AO40" s="630"/>
      <c r="AP40" s="630" t="s">
        <v>2518</v>
      </c>
      <c r="AQ40" s="559" t="s">
        <v>2601</v>
      </c>
      <c r="AR40" s="559" t="s">
        <v>2601</v>
      </c>
      <c r="AS40" s="559" t="s">
        <v>2602</v>
      </c>
      <c r="AT40" s="563"/>
    </row>
    <row r="41" customFormat="false" ht="15" hidden="false" customHeight="false" outlineLevel="0" collapsed="false">
      <c r="B41" s="549"/>
      <c r="C41" s="550" t="n">
        <v>19</v>
      </c>
      <c r="D41" s="625" t="s">
        <v>295</v>
      </c>
      <c r="E41" s="626" t="n">
        <v>0</v>
      </c>
      <c r="F41" s="627"/>
      <c r="G41" s="626" t="n">
        <v>0</v>
      </c>
      <c r="H41" s="627"/>
      <c r="I41" s="626" t="n">
        <v>0</v>
      </c>
      <c r="J41" s="627"/>
      <c r="K41" s="626" t="n">
        <v>0</v>
      </c>
      <c r="L41" s="627"/>
      <c r="M41" s="626" t="n">
        <v>0</v>
      </c>
      <c r="N41" s="627"/>
      <c r="O41" s="626" t="n">
        <v>0</v>
      </c>
      <c r="P41" s="627"/>
      <c r="Q41" s="626" t="n">
        <v>0</v>
      </c>
      <c r="R41" s="627"/>
      <c r="S41" s="626" t="n">
        <v>0</v>
      </c>
      <c r="T41" s="627"/>
      <c r="U41" s="626" t="n">
        <v>0</v>
      </c>
      <c r="V41" s="627"/>
      <c r="W41" s="626" t="n">
        <v>0</v>
      </c>
      <c r="X41" s="627"/>
      <c r="Y41" s="626" t="n">
        <v>0</v>
      </c>
      <c r="Z41" s="627"/>
      <c r="AA41" s="626" t="n">
        <v>0</v>
      </c>
      <c r="AB41" s="627"/>
      <c r="AC41" s="626" t="n">
        <v>0</v>
      </c>
      <c r="AD41" s="627"/>
      <c r="AE41" s="626"/>
      <c r="AF41" s="627"/>
      <c r="AG41" s="626"/>
      <c r="AH41" s="626"/>
      <c r="AI41" s="628" t="n">
        <v>0</v>
      </c>
      <c r="AJ41" s="627"/>
      <c r="AK41" s="628" t="n">
        <v>0</v>
      </c>
      <c r="AL41" s="627"/>
      <c r="AM41" s="628" t="n">
        <v>0</v>
      </c>
      <c r="AN41" s="629" t="n">
        <v>0</v>
      </c>
      <c r="AO41" s="630"/>
      <c r="AP41" s="630"/>
      <c r="AQ41" s="558"/>
      <c r="AR41" s="558"/>
      <c r="AS41" s="558"/>
      <c r="AT41" s="563"/>
    </row>
    <row r="42" customFormat="false" ht="25.35" hidden="false" customHeight="false" outlineLevel="0" collapsed="false">
      <c r="B42" s="549"/>
      <c r="C42" s="550" t="n">
        <v>20</v>
      </c>
      <c r="D42" s="625" t="s">
        <v>296</v>
      </c>
      <c r="E42" s="626" t="n">
        <v>96139930</v>
      </c>
      <c r="F42" s="627"/>
      <c r="G42" s="626" t="n">
        <v>6730000</v>
      </c>
      <c r="H42" s="627"/>
      <c r="I42" s="626" t="n">
        <v>15457311</v>
      </c>
      <c r="J42" s="627"/>
      <c r="K42" s="626" t="n">
        <v>3863335</v>
      </c>
      <c r="L42" s="627"/>
      <c r="M42" s="626" t="n">
        <v>14560000</v>
      </c>
      <c r="N42" s="627"/>
      <c r="O42" s="626" t="n">
        <v>1100000</v>
      </c>
      <c r="P42" s="627"/>
      <c r="Q42" s="626" t="n">
        <v>10428122</v>
      </c>
      <c r="R42" s="627"/>
      <c r="S42" s="626" t="n">
        <v>2200000</v>
      </c>
      <c r="T42" s="627"/>
      <c r="U42" s="626" t="n">
        <v>17060000</v>
      </c>
      <c r="V42" s="627"/>
      <c r="W42" s="626" t="n">
        <v>8336798</v>
      </c>
      <c r="X42" s="627"/>
      <c r="Y42" s="626" t="n">
        <v>10593335</v>
      </c>
      <c r="Z42" s="627"/>
      <c r="AA42" s="626" t="n">
        <v>7830000</v>
      </c>
      <c r="AB42" s="627"/>
      <c r="AC42" s="626" t="n">
        <v>-2018971</v>
      </c>
      <c r="AD42" s="627"/>
      <c r="AE42" s="626"/>
      <c r="AF42" s="627"/>
      <c r="AG42" s="626"/>
      <c r="AH42" s="626"/>
      <c r="AI42" s="628" t="n">
        <v>96139930</v>
      </c>
      <c r="AJ42" s="627"/>
      <c r="AK42" s="628" t="n">
        <v>178110388</v>
      </c>
      <c r="AL42" s="627"/>
      <c r="AM42" s="628" t="n">
        <v>-81970458</v>
      </c>
      <c r="AN42" s="629" t="n">
        <v>-0.460222780492736</v>
      </c>
      <c r="AO42" s="630"/>
      <c r="AP42" s="630" t="s">
        <v>2518</v>
      </c>
      <c r="AQ42" s="558"/>
      <c r="AR42" s="558"/>
      <c r="AS42" s="558"/>
      <c r="AT42" s="563"/>
    </row>
    <row r="43" customFormat="false" ht="15" hidden="false" customHeight="false" outlineLevel="0" collapsed="false">
      <c r="B43" s="549"/>
      <c r="C43" s="550" t="n">
        <v>21</v>
      </c>
      <c r="D43" s="625" t="s">
        <v>297</v>
      </c>
      <c r="E43" s="626" t="n">
        <v>26593320</v>
      </c>
      <c r="F43" s="627"/>
      <c r="G43" s="626" t="n">
        <v>1776290</v>
      </c>
      <c r="H43" s="627"/>
      <c r="I43" s="626" t="n">
        <v>1803100</v>
      </c>
      <c r="J43" s="627"/>
      <c r="K43" s="626" t="n">
        <v>1655220</v>
      </c>
      <c r="L43" s="627"/>
      <c r="M43" s="626" t="n">
        <v>2316440</v>
      </c>
      <c r="N43" s="627"/>
      <c r="O43" s="626" t="n">
        <v>3507690</v>
      </c>
      <c r="P43" s="627"/>
      <c r="Q43" s="626" t="n">
        <v>1736858</v>
      </c>
      <c r="R43" s="627"/>
      <c r="S43" s="626" t="n">
        <v>1700970</v>
      </c>
      <c r="T43" s="627"/>
      <c r="U43" s="626" t="n">
        <v>1563890</v>
      </c>
      <c r="V43" s="627"/>
      <c r="W43" s="626" t="n">
        <v>8148360</v>
      </c>
      <c r="X43" s="627"/>
      <c r="Y43" s="626" t="n">
        <v>857572</v>
      </c>
      <c r="Z43" s="627"/>
      <c r="AA43" s="626" t="n">
        <v>686040</v>
      </c>
      <c r="AB43" s="627"/>
      <c r="AC43" s="626" t="n">
        <v>840890</v>
      </c>
      <c r="AD43" s="627"/>
      <c r="AE43" s="626"/>
      <c r="AF43" s="627"/>
      <c r="AG43" s="626"/>
      <c r="AH43" s="626"/>
      <c r="AI43" s="628" t="n">
        <v>26593320</v>
      </c>
      <c r="AJ43" s="627"/>
      <c r="AK43" s="628" t="n">
        <v>26975857</v>
      </c>
      <c r="AL43" s="627"/>
      <c r="AM43" s="628" t="n">
        <v>-382537</v>
      </c>
      <c r="AN43" s="629" t="n">
        <v>-0.0141807172242943</v>
      </c>
      <c r="AO43" s="630"/>
      <c r="AP43" s="630" t="s">
        <v>2518</v>
      </c>
      <c r="AQ43" s="558"/>
      <c r="AR43" s="558"/>
      <c r="AS43" s="558"/>
      <c r="AT43" s="563"/>
    </row>
    <row r="44" customFormat="false" ht="15" hidden="false" customHeight="false" outlineLevel="0" collapsed="false">
      <c r="B44" s="549"/>
      <c r="C44" s="550" t="n">
        <v>22</v>
      </c>
      <c r="D44" s="625" t="s">
        <v>298</v>
      </c>
      <c r="E44" s="626" t="n">
        <v>0</v>
      </c>
      <c r="F44" s="627"/>
      <c r="G44" s="626" t="n">
        <v>0</v>
      </c>
      <c r="H44" s="627"/>
      <c r="I44" s="626" t="n">
        <v>0</v>
      </c>
      <c r="J44" s="627"/>
      <c r="K44" s="626" t="n">
        <v>0</v>
      </c>
      <c r="L44" s="627"/>
      <c r="M44" s="626" t="n">
        <v>0</v>
      </c>
      <c r="N44" s="627"/>
      <c r="O44" s="626" t="n">
        <v>0</v>
      </c>
      <c r="P44" s="627"/>
      <c r="Q44" s="626" t="n">
        <v>0</v>
      </c>
      <c r="R44" s="627"/>
      <c r="S44" s="626" t="n">
        <v>0</v>
      </c>
      <c r="T44" s="627"/>
      <c r="U44" s="626" t="n">
        <v>0</v>
      </c>
      <c r="V44" s="627"/>
      <c r="W44" s="626" t="n">
        <v>0</v>
      </c>
      <c r="X44" s="627"/>
      <c r="Y44" s="626" t="n">
        <v>0</v>
      </c>
      <c r="Z44" s="627"/>
      <c r="AA44" s="626" t="n">
        <v>0</v>
      </c>
      <c r="AB44" s="627"/>
      <c r="AC44" s="626" t="n">
        <v>0</v>
      </c>
      <c r="AD44" s="627"/>
      <c r="AE44" s="626"/>
      <c r="AF44" s="627"/>
      <c r="AG44" s="626"/>
      <c r="AH44" s="626"/>
      <c r="AI44" s="628" t="n">
        <v>0</v>
      </c>
      <c r="AJ44" s="627"/>
      <c r="AK44" s="628" t="n">
        <v>0</v>
      </c>
      <c r="AL44" s="627"/>
      <c r="AM44" s="628" t="n">
        <v>0</v>
      </c>
      <c r="AN44" s="629" t="n">
        <v>0</v>
      </c>
      <c r="AO44" s="630"/>
      <c r="AP44" s="630"/>
      <c r="AQ44" s="558"/>
      <c r="AR44" s="558"/>
      <c r="AS44" s="558"/>
      <c r="AT44" s="563"/>
    </row>
    <row r="45" customFormat="false" ht="81" hidden="false" customHeight="true" outlineLevel="0" collapsed="false">
      <c r="B45" s="549"/>
      <c r="C45" s="550" t="n">
        <v>23</v>
      </c>
      <c r="D45" s="625" t="s">
        <v>299</v>
      </c>
      <c r="E45" s="626" t="n">
        <v>18850872230</v>
      </c>
      <c r="F45" s="627"/>
      <c r="G45" s="626" t="n">
        <v>1761762427</v>
      </c>
      <c r="H45" s="627"/>
      <c r="I45" s="626" t="n">
        <v>1427433170</v>
      </c>
      <c r="J45" s="627"/>
      <c r="K45" s="626" t="n">
        <v>1952821863</v>
      </c>
      <c r="L45" s="627"/>
      <c r="M45" s="626" t="n">
        <v>887291015</v>
      </c>
      <c r="N45" s="627"/>
      <c r="O45" s="626" t="n">
        <v>2124254983</v>
      </c>
      <c r="P45" s="627"/>
      <c r="Q45" s="626" t="n">
        <v>1613159862</v>
      </c>
      <c r="R45" s="627"/>
      <c r="S45" s="626" t="n">
        <v>1372737504</v>
      </c>
      <c r="T45" s="627"/>
      <c r="U45" s="626" t="n">
        <v>1715048683</v>
      </c>
      <c r="V45" s="627"/>
      <c r="W45" s="626" t="n">
        <v>1384451218</v>
      </c>
      <c r="X45" s="627"/>
      <c r="Y45" s="626" t="n">
        <v>3170621755</v>
      </c>
      <c r="Z45" s="627"/>
      <c r="AA45" s="626" t="n">
        <v>597870338</v>
      </c>
      <c r="AB45" s="627"/>
      <c r="AC45" s="626" t="n">
        <v>843419412</v>
      </c>
      <c r="AD45" s="627"/>
      <c r="AE45" s="626"/>
      <c r="AF45" s="627"/>
      <c r="AG45" s="626"/>
      <c r="AH45" s="626" t="n">
        <v>-7967102221</v>
      </c>
      <c r="AI45" s="628" t="n">
        <v>10883770009</v>
      </c>
      <c r="AJ45" s="627"/>
      <c r="AK45" s="628" t="n">
        <v>13862303125</v>
      </c>
      <c r="AL45" s="627"/>
      <c r="AM45" s="628" t="n">
        <v>-2978533116</v>
      </c>
      <c r="AN45" s="629" t="n">
        <v>-0.214865674855166</v>
      </c>
      <c r="AO45" s="630"/>
      <c r="AP45" s="630" t="s">
        <v>2518</v>
      </c>
      <c r="AQ45" s="558" t="s">
        <v>2603</v>
      </c>
      <c r="AR45" s="558"/>
      <c r="AS45" s="559" t="s">
        <v>2604</v>
      </c>
      <c r="AT45" s="515"/>
    </row>
    <row r="46" customFormat="false" ht="40.5" hidden="false" customHeight="true" outlineLevel="0" collapsed="false">
      <c r="B46" s="549"/>
      <c r="C46" s="550" t="n">
        <v>23</v>
      </c>
      <c r="D46" s="625" t="s">
        <v>300</v>
      </c>
      <c r="E46" s="626" t="n">
        <v>2776269144</v>
      </c>
      <c r="F46" s="627"/>
      <c r="G46" s="626" t="n">
        <v>167139456</v>
      </c>
      <c r="H46" s="627"/>
      <c r="I46" s="626" t="n">
        <v>54876330</v>
      </c>
      <c r="J46" s="627"/>
      <c r="K46" s="626" t="n">
        <v>937153045</v>
      </c>
      <c r="L46" s="627"/>
      <c r="M46" s="626" t="n">
        <v>176443230</v>
      </c>
      <c r="N46" s="627"/>
      <c r="O46" s="626" t="n">
        <v>167642347</v>
      </c>
      <c r="P46" s="627"/>
      <c r="Q46" s="626" t="n">
        <v>190459451</v>
      </c>
      <c r="R46" s="627"/>
      <c r="S46" s="626" t="n">
        <v>167004720</v>
      </c>
      <c r="T46" s="627"/>
      <c r="U46" s="626" t="n">
        <v>173912801</v>
      </c>
      <c r="V46" s="627"/>
      <c r="W46" s="626" t="n">
        <v>224151570</v>
      </c>
      <c r="X46" s="627"/>
      <c r="Y46" s="626" t="n">
        <v>205066871</v>
      </c>
      <c r="Z46" s="627"/>
      <c r="AA46" s="626" t="n">
        <v>149611634</v>
      </c>
      <c r="AB46" s="627"/>
      <c r="AC46" s="626" t="n">
        <v>162807689</v>
      </c>
      <c r="AD46" s="627"/>
      <c r="AE46" s="626"/>
      <c r="AF46" s="627"/>
      <c r="AG46" s="626"/>
      <c r="AH46" s="626"/>
      <c r="AI46" s="628" t="n">
        <v>2776269144</v>
      </c>
      <c r="AJ46" s="627"/>
      <c r="AK46" s="628" t="n">
        <v>2130702898</v>
      </c>
      <c r="AL46" s="627"/>
      <c r="AM46" s="628" t="n">
        <v>645566246</v>
      </c>
      <c r="AN46" s="629" t="n">
        <v>0.30298276057444</v>
      </c>
      <c r="AO46" s="630"/>
      <c r="AP46" s="630" t="s">
        <v>2518</v>
      </c>
      <c r="AQ46" s="559" t="s">
        <v>2605</v>
      </c>
      <c r="AR46" s="558"/>
      <c r="AS46" s="558"/>
      <c r="AT46" s="515"/>
    </row>
    <row r="47" customFormat="false" ht="25.35" hidden="false" customHeight="false" outlineLevel="0" collapsed="false">
      <c r="B47" s="549"/>
      <c r="C47" s="550" t="n">
        <v>23</v>
      </c>
      <c r="D47" s="625" t="s">
        <v>301</v>
      </c>
      <c r="E47" s="626" t="n">
        <v>808759233</v>
      </c>
      <c r="F47" s="627"/>
      <c r="G47" s="626" t="n">
        <v>61291790</v>
      </c>
      <c r="H47" s="627"/>
      <c r="I47" s="626" t="n">
        <v>112394188</v>
      </c>
      <c r="J47" s="627"/>
      <c r="K47" s="626" t="n">
        <v>59741360</v>
      </c>
      <c r="L47" s="627"/>
      <c r="M47" s="626" t="n">
        <v>68761813</v>
      </c>
      <c r="N47" s="627"/>
      <c r="O47" s="626" t="n">
        <v>112445637</v>
      </c>
      <c r="P47" s="627"/>
      <c r="Q47" s="626" t="n">
        <v>61109540</v>
      </c>
      <c r="R47" s="627"/>
      <c r="S47" s="626" t="n">
        <v>53743804</v>
      </c>
      <c r="T47" s="627"/>
      <c r="U47" s="626" t="n">
        <v>74642301</v>
      </c>
      <c r="V47" s="627"/>
      <c r="W47" s="626" t="n">
        <v>55031401</v>
      </c>
      <c r="X47" s="627"/>
      <c r="Y47" s="626" t="n">
        <v>67121664</v>
      </c>
      <c r="Z47" s="627"/>
      <c r="AA47" s="626" t="n">
        <v>45012815</v>
      </c>
      <c r="AB47" s="627"/>
      <c r="AC47" s="626" t="n">
        <v>37462920</v>
      </c>
      <c r="AD47" s="627"/>
      <c r="AE47" s="626"/>
      <c r="AF47" s="627"/>
      <c r="AG47" s="626"/>
      <c r="AH47" s="626" t="n">
        <v>-9051500</v>
      </c>
      <c r="AI47" s="628" t="n">
        <v>799707733</v>
      </c>
      <c r="AJ47" s="627"/>
      <c r="AK47" s="628" t="n">
        <v>614567548</v>
      </c>
      <c r="AL47" s="627"/>
      <c r="AM47" s="628" t="n">
        <v>185140185</v>
      </c>
      <c r="AN47" s="629" t="n">
        <v>0.301252784339989</v>
      </c>
      <c r="AO47" s="630"/>
      <c r="AP47" s="630" t="s">
        <v>2518</v>
      </c>
      <c r="AQ47" s="558"/>
      <c r="AR47" s="558"/>
      <c r="AS47" s="558"/>
      <c r="AT47" s="515"/>
    </row>
    <row r="48" customFormat="false" ht="15" hidden="false" customHeight="false" outlineLevel="0" collapsed="false">
      <c r="B48" s="549"/>
      <c r="C48" s="550" t="n">
        <v>23</v>
      </c>
      <c r="D48" s="625" t="s">
        <v>303</v>
      </c>
      <c r="E48" s="626" t="n">
        <v>0</v>
      </c>
      <c r="F48" s="627"/>
      <c r="G48" s="626" t="n">
        <v>0</v>
      </c>
      <c r="H48" s="627"/>
      <c r="I48" s="626" t="n">
        <v>0</v>
      </c>
      <c r="J48" s="627"/>
      <c r="K48" s="626" t="n">
        <v>0</v>
      </c>
      <c r="L48" s="627"/>
      <c r="M48" s="626" t="n">
        <v>0</v>
      </c>
      <c r="N48" s="627"/>
      <c r="O48" s="626" t="n">
        <v>0</v>
      </c>
      <c r="P48" s="627"/>
      <c r="Q48" s="626" t="n">
        <v>0</v>
      </c>
      <c r="R48" s="627"/>
      <c r="S48" s="626" t="n">
        <v>0</v>
      </c>
      <c r="T48" s="627"/>
      <c r="U48" s="626" t="n">
        <v>0</v>
      </c>
      <c r="V48" s="627"/>
      <c r="W48" s="626" t="n">
        <v>0</v>
      </c>
      <c r="X48" s="627"/>
      <c r="Y48" s="626" t="n">
        <v>0</v>
      </c>
      <c r="Z48" s="627"/>
      <c r="AA48" s="626" t="n">
        <v>0</v>
      </c>
      <c r="AB48" s="627"/>
      <c r="AC48" s="626" t="n">
        <v>0</v>
      </c>
      <c r="AD48" s="627"/>
      <c r="AE48" s="626"/>
      <c r="AF48" s="627"/>
      <c r="AG48" s="626"/>
      <c r="AH48" s="626"/>
      <c r="AI48" s="628" t="n">
        <v>0</v>
      </c>
      <c r="AJ48" s="627"/>
      <c r="AK48" s="628" t="n">
        <v>0</v>
      </c>
      <c r="AL48" s="627"/>
      <c r="AM48" s="628" t="n">
        <v>0</v>
      </c>
      <c r="AN48" s="629" t="n">
        <v>0</v>
      </c>
      <c r="AO48" s="630"/>
      <c r="AP48" s="630"/>
      <c r="AQ48" s="558"/>
      <c r="AR48" s="558"/>
      <c r="AS48" s="558"/>
      <c r="AT48" s="515"/>
    </row>
    <row r="49" customFormat="false" ht="15" hidden="false" customHeight="false" outlineLevel="0" collapsed="false">
      <c r="B49" s="549"/>
      <c r="C49" s="550" t="n">
        <v>23</v>
      </c>
      <c r="D49" s="625" t="s">
        <v>305</v>
      </c>
      <c r="E49" s="626" t="n">
        <v>1991992</v>
      </c>
      <c r="F49" s="627"/>
      <c r="G49" s="626" t="n">
        <v>261870</v>
      </c>
      <c r="H49" s="627"/>
      <c r="I49" s="626" t="n">
        <v>481563</v>
      </c>
      <c r="J49" s="627"/>
      <c r="K49" s="626" t="n">
        <v>273871</v>
      </c>
      <c r="L49" s="627"/>
      <c r="M49" s="626" t="n">
        <v>-1081967</v>
      </c>
      <c r="N49" s="627"/>
      <c r="O49" s="626" t="n">
        <v>243578</v>
      </c>
      <c r="P49" s="627"/>
      <c r="Q49" s="626" t="n">
        <v>664846</v>
      </c>
      <c r="R49" s="627"/>
      <c r="S49" s="626" t="n">
        <v>188808</v>
      </c>
      <c r="T49" s="627"/>
      <c r="U49" s="626" t="n">
        <v>317417</v>
      </c>
      <c r="V49" s="627"/>
      <c r="W49" s="626" t="n">
        <v>184931</v>
      </c>
      <c r="X49" s="627"/>
      <c r="Y49" s="626" t="n">
        <v>99537</v>
      </c>
      <c r="Z49" s="627"/>
      <c r="AA49" s="626" t="n">
        <v>204000</v>
      </c>
      <c r="AB49" s="627"/>
      <c r="AC49" s="626" t="n">
        <v>153538</v>
      </c>
      <c r="AD49" s="627"/>
      <c r="AE49" s="626"/>
      <c r="AF49" s="627"/>
      <c r="AG49" s="626"/>
      <c r="AH49" s="626"/>
      <c r="AI49" s="628" t="n">
        <v>1991992</v>
      </c>
      <c r="AJ49" s="627"/>
      <c r="AK49" s="628" t="n">
        <v>1482605</v>
      </c>
      <c r="AL49" s="627"/>
      <c r="AM49" s="628" t="n">
        <v>509387</v>
      </c>
      <c r="AN49" s="629" t="n">
        <v>0.343575665804446</v>
      </c>
      <c r="AO49" s="630"/>
      <c r="AP49" s="630" t="s">
        <v>2518</v>
      </c>
      <c r="AQ49" s="558"/>
      <c r="AR49" s="558"/>
      <c r="AS49" s="558"/>
      <c r="AT49" s="515"/>
    </row>
    <row r="50" customFormat="false" ht="81" hidden="false" customHeight="true" outlineLevel="0" collapsed="false">
      <c r="B50" s="549"/>
      <c r="C50" s="550" t="n">
        <v>23</v>
      </c>
      <c r="D50" s="625" t="s">
        <v>307</v>
      </c>
      <c r="E50" s="626" t="n">
        <v>10244831411</v>
      </c>
      <c r="F50" s="627"/>
      <c r="G50" s="626" t="n">
        <v>1798325900</v>
      </c>
      <c r="H50" s="627"/>
      <c r="I50" s="626" t="n">
        <v>988172222</v>
      </c>
      <c r="J50" s="627"/>
      <c r="K50" s="626" t="n">
        <v>2319868517</v>
      </c>
      <c r="L50" s="627"/>
      <c r="M50" s="626" t="n">
        <v>735070829</v>
      </c>
      <c r="N50" s="627"/>
      <c r="O50" s="626" t="n">
        <v>772119467</v>
      </c>
      <c r="P50" s="627"/>
      <c r="Q50" s="626" t="n">
        <v>804789861</v>
      </c>
      <c r="R50" s="627"/>
      <c r="S50" s="626" t="n">
        <v>2159322133</v>
      </c>
      <c r="T50" s="627"/>
      <c r="U50" s="626" t="n">
        <v>1673391088</v>
      </c>
      <c r="V50" s="627"/>
      <c r="W50" s="626" t="n">
        <v>1269425056</v>
      </c>
      <c r="X50" s="627"/>
      <c r="Y50" s="626" t="n">
        <v>394330015</v>
      </c>
      <c r="Z50" s="627"/>
      <c r="AA50" s="626" t="n">
        <v>-2897733343</v>
      </c>
      <c r="AB50" s="627"/>
      <c r="AC50" s="626" t="n">
        <v>227749666</v>
      </c>
      <c r="AD50" s="627"/>
      <c r="AE50" s="626"/>
      <c r="AF50" s="627"/>
      <c r="AG50" s="626"/>
      <c r="AH50" s="626" t="n">
        <v>-7892337930</v>
      </c>
      <c r="AI50" s="628" t="n">
        <v>2352493481</v>
      </c>
      <c r="AJ50" s="627"/>
      <c r="AK50" s="628" t="n">
        <v>4186227987</v>
      </c>
      <c r="AL50" s="627"/>
      <c r="AM50" s="628" t="n">
        <v>-1833734506</v>
      </c>
      <c r="AN50" s="629" t="n">
        <v>-0.438039808556657</v>
      </c>
      <c r="AO50" s="630"/>
      <c r="AP50" s="630" t="s">
        <v>2518</v>
      </c>
      <c r="AQ50" s="558"/>
      <c r="AR50" s="559" t="s">
        <v>2606</v>
      </c>
      <c r="AS50" s="559" t="s">
        <v>2607</v>
      </c>
      <c r="AT50" s="515"/>
    </row>
    <row r="51" customFormat="false" ht="54" hidden="false" customHeight="true" outlineLevel="0" collapsed="false">
      <c r="B51" s="549"/>
      <c r="C51" s="550" t="n">
        <v>23</v>
      </c>
      <c r="D51" s="625" t="s">
        <v>309</v>
      </c>
      <c r="E51" s="626" t="n">
        <v>2249661323</v>
      </c>
      <c r="F51" s="627"/>
      <c r="G51" s="626" t="n">
        <v>186167282</v>
      </c>
      <c r="H51" s="627"/>
      <c r="I51" s="626" t="n">
        <v>186167266</v>
      </c>
      <c r="J51" s="627"/>
      <c r="K51" s="626" t="n">
        <v>182440881</v>
      </c>
      <c r="L51" s="627"/>
      <c r="M51" s="626" t="n">
        <v>186663305</v>
      </c>
      <c r="N51" s="627"/>
      <c r="O51" s="626" t="n">
        <v>189173730</v>
      </c>
      <c r="P51" s="627"/>
      <c r="Q51" s="626" t="n">
        <v>190033427</v>
      </c>
      <c r="R51" s="627"/>
      <c r="S51" s="626" t="n">
        <v>189750957</v>
      </c>
      <c r="T51" s="627"/>
      <c r="U51" s="626" t="n">
        <v>315028281</v>
      </c>
      <c r="V51" s="627"/>
      <c r="W51" s="626" t="n">
        <v>156297109</v>
      </c>
      <c r="X51" s="627"/>
      <c r="Y51" s="626" t="n">
        <v>157249345</v>
      </c>
      <c r="Z51" s="627"/>
      <c r="AA51" s="626" t="n">
        <v>155344882</v>
      </c>
      <c r="AB51" s="627"/>
      <c r="AC51" s="626" t="n">
        <v>155344858</v>
      </c>
      <c r="AD51" s="627"/>
      <c r="AE51" s="626"/>
      <c r="AF51" s="627" t="n">
        <v>-1131258360</v>
      </c>
      <c r="AG51" s="626"/>
      <c r="AH51" s="626"/>
      <c r="AI51" s="628" t="n">
        <v>1118402963</v>
      </c>
      <c r="AJ51" s="627"/>
      <c r="AK51" s="628" t="n">
        <v>711145446</v>
      </c>
      <c r="AL51" s="627"/>
      <c r="AM51" s="628" t="n">
        <v>407257517</v>
      </c>
      <c r="AN51" s="629" t="n">
        <v>0.572678232407608</v>
      </c>
      <c r="AO51" s="630"/>
      <c r="AP51" s="630" t="s">
        <v>2502</v>
      </c>
      <c r="AQ51" s="559" t="s">
        <v>2608</v>
      </c>
      <c r="AR51" s="558"/>
      <c r="AS51" s="558"/>
      <c r="AT51" s="563"/>
    </row>
    <row r="52" customFormat="false" ht="25.35" hidden="false" customHeight="false" outlineLevel="0" collapsed="false">
      <c r="B52" s="549"/>
      <c r="C52" s="550" t="n">
        <v>23</v>
      </c>
      <c r="D52" s="625" t="s">
        <v>311</v>
      </c>
      <c r="E52" s="626" t="n">
        <v>1744874153</v>
      </c>
      <c r="F52" s="627"/>
      <c r="G52" s="626" t="n">
        <v>130776772</v>
      </c>
      <c r="H52" s="627"/>
      <c r="I52" s="626" t="n">
        <v>130684768</v>
      </c>
      <c r="J52" s="627"/>
      <c r="K52" s="626" t="n">
        <v>126997808</v>
      </c>
      <c r="L52" s="627"/>
      <c r="M52" s="626" t="n">
        <v>131177109</v>
      </c>
      <c r="N52" s="627"/>
      <c r="O52" s="626" t="n">
        <v>245916447</v>
      </c>
      <c r="P52" s="627"/>
      <c r="Q52" s="626" t="n">
        <v>131866183</v>
      </c>
      <c r="R52" s="627"/>
      <c r="S52" s="626" t="n">
        <v>129206150</v>
      </c>
      <c r="T52" s="627"/>
      <c r="U52" s="626" t="n">
        <v>135419533</v>
      </c>
      <c r="V52" s="627"/>
      <c r="W52" s="626" t="n">
        <v>283100093</v>
      </c>
      <c r="X52" s="627"/>
      <c r="Y52" s="626" t="n">
        <v>102288760</v>
      </c>
      <c r="Z52" s="627"/>
      <c r="AA52" s="626" t="n">
        <v>98131200</v>
      </c>
      <c r="AB52" s="627"/>
      <c r="AC52" s="626" t="n">
        <v>99309330</v>
      </c>
      <c r="AD52" s="627"/>
      <c r="AE52" s="626"/>
      <c r="AF52" s="627"/>
      <c r="AG52" s="626"/>
      <c r="AH52" s="626" t="n">
        <v>-332551762</v>
      </c>
      <c r="AI52" s="628" t="n">
        <v>1412322391</v>
      </c>
      <c r="AJ52" s="627"/>
      <c r="AK52" s="628" t="n">
        <v>886016844</v>
      </c>
      <c r="AL52" s="627"/>
      <c r="AM52" s="628" t="n">
        <v>526305547</v>
      </c>
      <c r="AN52" s="629" t="n">
        <v>0.594013026461154</v>
      </c>
      <c r="AO52" s="630"/>
      <c r="AP52" s="630" t="s">
        <v>2518</v>
      </c>
      <c r="AQ52" s="558"/>
      <c r="AR52" s="558"/>
      <c r="AS52" s="558"/>
      <c r="AT52" s="563"/>
    </row>
    <row r="53" customFormat="false" ht="25.35" hidden="false" customHeight="false" outlineLevel="0" collapsed="false">
      <c r="B53" s="549"/>
      <c r="C53" s="550" t="n">
        <v>23</v>
      </c>
      <c r="D53" s="625" t="s">
        <v>313</v>
      </c>
      <c r="E53" s="626" t="n">
        <v>254083705</v>
      </c>
      <c r="F53" s="627"/>
      <c r="G53" s="626" t="n">
        <v>29950896</v>
      </c>
      <c r="H53" s="627"/>
      <c r="I53" s="626" t="n">
        <v>30139965</v>
      </c>
      <c r="J53" s="627"/>
      <c r="K53" s="626" t="n">
        <v>17318718</v>
      </c>
      <c r="L53" s="627"/>
      <c r="M53" s="626" t="n">
        <v>19901610</v>
      </c>
      <c r="N53" s="627"/>
      <c r="O53" s="626" t="n">
        <v>16918676</v>
      </c>
      <c r="P53" s="627"/>
      <c r="Q53" s="626" t="n">
        <v>20188130</v>
      </c>
      <c r="R53" s="627"/>
      <c r="S53" s="626" t="n">
        <v>25873302</v>
      </c>
      <c r="T53" s="627"/>
      <c r="U53" s="626" t="n">
        <v>25685888</v>
      </c>
      <c r="V53" s="627"/>
      <c r="W53" s="626" t="n">
        <v>19278987</v>
      </c>
      <c r="X53" s="627"/>
      <c r="Y53" s="626" t="n">
        <v>20242719</v>
      </c>
      <c r="Z53" s="627"/>
      <c r="AA53" s="626" t="n">
        <v>17779252</v>
      </c>
      <c r="AB53" s="627"/>
      <c r="AC53" s="626" t="n">
        <v>10805562</v>
      </c>
      <c r="AD53" s="627"/>
      <c r="AE53" s="626"/>
      <c r="AF53" s="627"/>
      <c r="AG53" s="626"/>
      <c r="AH53" s="626" t="n">
        <v>-24748968</v>
      </c>
      <c r="AI53" s="628" t="n">
        <v>229334737</v>
      </c>
      <c r="AJ53" s="627"/>
      <c r="AK53" s="628" t="n">
        <v>194615562</v>
      </c>
      <c r="AL53" s="627"/>
      <c r="AM53" s="628" t="n">
        <v>34719175</v>
      </c>
      <c r="AN53" s="629" t="n">
        <v>0.17839876032113</v>
      </c>
      <c r="AO53" s="630"/>
      <c r="AP53" s="630" t="s">
        <v>2518</v>
      </c>
      <c r="AQ53" s="558"/>
      <c r="AR53" s="558"/>
      <c r="AS53" s="558"/>
      <c r="AT53" s="563"/>
    </row>
    <row r="54" customFormat="false" ht="15" hidden="false" customHeight="false" outlineLevel="0" collapsed="false">
      <c r="B54" s="549"/>
      <c r="C54" s="550" t="n">
        <v>23</v>
      </c>
      <c r="D54" s="625" t="s">
        <v>315</v>
      </c>
      <c r="E54" s="626" t="n">
        <v>0</v>
      </c>
      <c r="F54" s="627"/>
      <c r="G54" s="626" t="n">
        <v>0</v>
      </c>
      <c r="H54" s="627"/>
      <c r="I54" s="626" t="n">
        <v>0</v>
      </c>
      <c r="J54" s="627"/>
      <c r="K54" s="626" t="n">
        <v>0</v>
      </c>
      <c r="L54" s="627"/>
      <c r="M54" s="626" t="n">
        <v>0</v>
      </c>
      <c r="N54" s="627"/>
      <c r="O54" s="626" t="n">
        <v>0</v>
      </c>
      <c r="P54" s="627"/>
      <c r="Q54" s="626" t="n">
        <v>0</v>
      </c>
      <c r="R54" s="627"/>
      <c r="S54" s="626" t="n">
        <v>0</v>
      </c>
      <c r="T54" s="627"/>
      <c r="U54" s="626" t="n">
        <v>0</v>
      </c>
      <c r="V54" s="627"/>
      <c r="W54" s="626" t="n">
        <v>0</v>
      </c>
      <c r="X54" s="627"/>
      <c r="Y54" s="626" t="n">
        <v>0</v>
      </c>
      <c r="Z54" s="627"/>
      <c r="AA54" s="626" t="n">
        <v>0</v>
      </c>
      <c r="AB54" s="627"/>
      <c r="AC54" s="626" t="n">
        <v>0</v>
      </c>
      <c r="AD54" s="627"/>
      <c r="AE54" s="626"/>
      <c r="AF54" s="627"/>
      <c r="AG54" s="626"/>
      <c r="AH54" s="626"/>
      <c r="AI54" s="628" t="n">
        <v>0</v>
      </c>
      <c r="AJ54" s="627"/>
      <c r="AK54" s="628" t="n">
        <v>0</v>
      </c>
      <c r="AL54" s="627"/>
      <c r="AM54" s="628" t="n">
        <v>0</v>
      </c>
      <c r="AN54" s="629" t="n">
        <v>0</v>
      </c>
      <c r="AO54" s="630"/>
      <c r="AP54" s="630"/>
      <c r="AQ54" s="558"/>
      <c r="AR54" s="558"/>
      <c r="AS54" s="558"/>
      <c r="AT54" s="563"/>
    </row>
    <row r="55" customFormat="false" ht="15" hidden="false" customHeight="false" outlineLevel="0" collapsed="false">
      <c r="B55" s="549"/>
      <c r="C55" s="550" t="n">
        <v>23</v>
      </c>
      <c r="D55" s="625" t="s">
        <v>317</v>
      </c>
      <c r="E55" s="626" t="n">
        <v>0</v>
      </c>
      <c r="F55" s="627"/>
      <c r="G55" s="626" t="n">
        <v>0</v>
      </c>
      <c r="H55" s="627"/>
      <c r="I55" s="626" t="n">
        <v>0</v>
      </c>
      <c r="J55" s="627"/>
      <c r="K55" s="626" t="n">
        <v>0</v>
      </c>
      <c r="L55" s="627"/>
      <c r="M55" s="626" t="n">
        <v>0</v>
      </c>
      <c r="N55" s="627"/>
      <c r="O55" s="626" t="n">
        <v>0</v>
      </c>
      <c r="P55" s="627"/>
      <c r="Q55" s="626" t="n">
        <v>0</v>
      </c>
      <c r="R55" s="627"/>
      <c r="S55" s="626" t="n">
        <v>0</v>
      </c>
      <c r="T55" s="627"/>
      <c r="U55" s="626" t="n">
        <v>0</v>
      </c>
      <c r="V55" s="627"/>
      <c r="W55" s="626" t="n">
        <v>0</v>
      </c>
      <c r="X55" s="627"/>
      <c r="Y55" s="626" t="n">
        <v>0</v>
      </c>
      <c r="Z55" s="627"/>
      <c r="AA55" s="626" t="n">
        <v>0</v>
      </c>
      <c r="AB55" s="627"/>
      <c r="AC55" s="626" t="n">
        <v>0</v>
      </c>
      <c r="AD55" s="627"/>
      <c r="AE55" s="626"/>
      <c r="AF55" s="627"/>
      <c r="AG55" s="626"/>
      <c r="AH55" s="626"/>
      <c r="AI55" s="628" t="n">
        <v>0</v>
      </c>
      <c r="AJ55" s="627"/>
      <c r="AK55" s="628" t="n">
        <v>0</v>
      </c>
      <c r="AL55" s="627"/>
      <c r="AM55" s="628" t="n">
        <v>0</v>
      </c>
      <c r="AN55" s="629" t="n">
        <v>0</v>
      </c>
      <c r="AO55" s="630"/>
      <c r="AP55" s="630"/>
      <c r="AQ55" s="558"/>
      <c r="AR55" s="558"/>
      <c r="AS55" s="558"/>
      <c r="AT55" s="563"/>
    </row>
    <row r="56" customFormat="false" ht="15" hidden="false" customHeight="false" outlineLevel="0" collapsed="false">
      <c r="B56" s="549"/>
      <c r="C56" s="550" t="n">
        <v>23</v>
      </c>
      <c r="D56" s="625" t="s">
        <v>319</v>
      </c>
      <c r="E56" s="626" t="n">
        <v>0</v>
      </c>
      <c r="F56" s="627"/>
      <c r="G56" s="626" t="n">
        <v>0</v>
      </c>
      <c r="H56" s="627"/>
      <c r="I56" s="626" t="n">
        <v>0</v>
      </c>
      <c r="J56" s="627"/>
      <c r="K56" s="626" t="n">
        <v>0</v>
      </c>
      <c r="L56" s="627"/>
      <c r="M56" s="626" t="n">
        <v>0</v>
      </c>
      <c r="N56" s="627"/>
      <c r="O56" s="626" t="n">
        <v>0</v>
      </c>
      <c r="P56" s="627"/>
      <c r="Q56" s="626" t="n">
        <v>0</v>
      </c>
      <c r="R56" s="627"/>
      <c r="S56" s="626" t="n">
        <v>0</v>
      </c>
      <c r="T56" s="627"/>
      <c r="U56" s="626" t="n">
        <v>0</v>
      </c>
      <c r="V56" s="627"/>
      <c r="W56" s="626" t="n">
        <v>0</v>
      </c>
      <c r="X56" s="627"/>
      <c r="Y56" s="626" t="n">
        <v>0</v>
      </c>
      <c r="Z56" s="627"/>
      <c r="AA56" s="626" t="n">
        <v>0</v>
      </c>
      <c r="AB56" s="627"/>
      <c r="AC56" s="626" t="n">
        <v>0</v>
      </c>
      <c r="AD56" s="627"/>
      <c r="AE56" s="626"/>
      <c r="AF56" s="627"/>
      <c r="AG56" s="626"/>
      <c r="AH56" s="626"/>
      <c r="AI56" s="628" t="n">
        <v>0</v>
      </c>
      <c r="AJ56" s="627"/>
      <c r="AK56" s="628" t="n">
        <v>0</v>
      </c>
      <c r="AL56" s="627"/>
      <c r="AM56" s="628" t="n">
        <v>0</v>
      </c>
      <c r="AN56" s="629" t="n">
        <v>0</v>
      </c>
      <c r="AO56" s="630"/>
      <c r="AP56" s="630"/>
      <c r="AQ56" s="558"/>
      <c r="AR56" s="558"/>
      <c r="AS56" s="558"/>
      <c r="AT56" s="563"/>
    </row>
    <row r="57" customFormat="false" ht="15" hidden="false" customHeight="false" outlineLevel="0" collapsed="false">
      <c r="B57" s="549"/>
      <c r="C57" s="550" t="n">
        <v>23</v>
      </c>
      <c r="D57" s="625" t="s">
        <v>321</v>
      </c>
      <c r="E57" s="626" t="n">
        <v>0</v>
      </c>
      <c r="F57" s="627"/>
      <c r="G57" s="626" t="n">
        <v>0</v>
      </c>
      <c r="H57" s="627"/>
      <c r="I57" s="626" t="n">
        <v>0</v>
      </c>
      <c r="J57" s="627"/>
      <c r="K57" s="626" t="n">
        <v>0</v>
      </c>
      <c r="L57" s="627"/>
      <c r="M57" s="626" t="n">
        <v>0</v>
      </c>
      <c r="N57" s="627"/>
      <c r="O57" s="626" t="n">
        <v>0</v>
      </c>
      <c r="P57" s="627"/>
      <c r="Q57" s="626" t="n">
        <v>0</v>
      </c>
      <c r="R57" s="627"/>
      <c r="S57" s="626" t="n">
        <v>0</v>
      </c>
      <c r="T57" s="627"/>
      <c r="U57" s="626" t="n">
        <v>0</v>
      </c>
      <c r="V57" s="627"/>
      <c r="W57" s="626" t="n">
        <v>0</v>
      </c>
      <c r="X57" s="627"/>
      <c r="Y57" s="626" t="n">
        <v>0</v>
      </c>
      <c r="Z57" s="627"/>
      <c r="AA57" s="626" t="n">
        <v>0</v>
      </c>
      <c r="AB57" s="627"/>
      <c r="AC57" s="626" t="n">
        <v>0</v>
      </c>
      <c r="AD57" s="627"/>
      <c r="AE57" s="626"/>
      <c r="AF57" s="627"/>
      <c r="AG57" s="626"/>
      <c r="AH57" s="626"/>
      <c r="AI57" s="628" t="n">
        <v>0</v>
      </c>
      <c r="AJ57" s="627"/>
      <c r="AK57" s="628" t="n">
        <v>0</v>
      </c>
      <c r="AL57" s="627"/>
      <c r="AM57" s="628" t="n">
        <v>0</v>
      </c>
      <c r="AN57" s="629" t="n">
        <v>0</v>
      </c>
      <c r="AO57" s="630"/>
      <c r="AP57" s="630"/>
      <c r="AQ57" s="558"/>
      <c r="AR57" s="558"/>
      <c r="AS57" s="558"/>
      <c r="AT57" s="563"/>
    </row>
    <row r="58" customFormat="false" ht="25.35" hidden="false" customHeight="false" outlineLevel="0" collapsed="false">
      <c r="B58" s="549"/>
      <c r="C58" s="550" t="n">
        <v>23</v>
      </c>
      <c r="D58" s="625" t="s">
        <v>323</v>
      </c>
      <c r="E58" s="626" t="n">
        <v>61130717</v>
      </c>
      <c r="F58" s="627"/>
      <c r="G58" s="626" t="n">
        <v>14595736</v>
      </c>
      <c r="H58" s="627"/>
      <c r="I58" s="626" t="n">
        <v>4612240</v>
      </c>
      <c r="J58" s="627"/>
      <c r="K58" s="626" t="n">
        <v>0</v>
      </c>
      <c r="L58" s="627"/>
      <c r="M58" s="626" t="n">
        <v>34734923</v>
      </c>
      <c r="N58" s="627"/>
      <c r="O58" s="626" t="n">
        <v>0</v>
      </c>
      <c r="P58" s="627"/>
      <c r="Q58" s="626" t="n">
        <v>0</v>
      </c>
      <c r="R58" s="627"/>
      <c r="S58" s="626" t="n">
        <v>7510518</v>
      </c>
      <c r="T58" s="627"/>
      <c r="U58" s="626" t="n">
        <v>0</v>
      </c>
      <c r="V58" s="627"/>
      <c r="W58" s="626" t="n">
        <v>0</v>
      </c>
      <c r="X58" s="627"/>
      <c r="Y58" s="626" t="n">
        <v>-322700</v>
      </c>
      <c r="Z58" s="627"/>
      <c r="AA58" s="626" t="n">
        <v>0</v>
      </c>
      <c r="AB58" s="627"/>
      <c r="AC58" s="626" t="n">
        <v>0</v>
      </c>
      <c r="AD58" s="627"/>
      <c r="AE58" s="626"/>
      <c r="AF58" s="627"/>
      <c r="AG58" s="626"/>
      <c r="AH58" s="626"/>
      <c r="AI58" s="628" t="n">
        <v>61130717</v>
      </c>
      <c r="AJ58" s="627"/>
      <c r="AK58" s="628" t="n">
        <v>2900412</v>
      </c>
      <c r="AL58" s="627"/>
      <c r="AM58" s="628" t="n">
        <v>58230305</v>
      </c>
      <c r="AN58" s="629" t="n">
        <v>20.0765632606678</v>
      </c>
      <c r="AO58" s="630"/>
      <c r="AP58" s="630" t="s">
        <v>2505</v>
      </c>
      <c r="AQ58" s="558"/>
      <c r="AR58" s="558"/>
      <c r="AS58" s="558"/>
      <c r="AT58" s="563"/>
    </row>
    <row r="59" customFormat="false" ht="15" hidden="false" customHeight="false" outlineLevel="0" collapsed="false">
      <c r="B59" s="549"/>
      <c r="C59" s="550" t="n">
        <v>23</v>
      </c>
      <c r="D59" s="625" t="s">
        <v>325</v>
      </c>
      <c r="E59" s="626" t="n">
        <v>0</v>
      </c>
      <c r="F59" s="627"/>
      <c r="G59" s="626" t="n">
        <v>0</v>
      </c>
      <c r="H59" s="627"/>
      <c r="I59" s="626" t="n">
        <v>0</v>
      </c>
      <c r="J59" s="627"/>
      <c r="K59" s="626" t="n">
        <v>0</v>
      </c>
      <c r="L59" s="627"/>
      <c r="M59" s="626" t="n">
        <v>0</v>
      </c>
      <c r="N59" s="627"/>
      <c r="O59" s="626" t="n">
        <v>0</v>
      </c>
      <c r="P59" s="627"/>
      <c r="Q59" s="626" t="n">
        <v>0</v>
      </c>
      <c r="R59" s="627"/>
      <c r="S59" s="626" t="n">
        <v>0</v>
      </c>
      <c r="T59" s="627"/>
      <c r="U59" s="626" t="n">
        <v>0</v>
      </c>
      <c r="V59" s="627"/>
      <c r="W59" s="626" t="n">
        <v>0</v>
      </c>
      <c r="X59" s="627"/>
      <c r="Y59" s="626" t="n">
        <v>0</v>
      </c>
      <c r="Z59" s="627"/>
      <c r="AA59" s="626" t="n">
        <v>0</v>
      </c>
      <c r="AB59" s="627"/>
      <c r="AC59" s="626" t="n">
        <v>0</v>
      </c>
      <c r="AD59" s="627"/>
      <c r="AE59" s="626"/>
      <c r="AF59" s="627"/>
      <c r="AG59" s="626"/>
      <c r="AH59" s="626"/>
      <c r="AI59" s="628" t="n">
        <v>0</v>
      </c>
      <c r="AJ59" s="627"/>
      <c r="AK59" s="628" t="n">
        <v>0</v>
      </c>
      <c r="AL59" s="627"/>
      <c r="AM59" s="628" t="n">
        <v>0</v>
      </c>
      <c r="AN59" s="629" t="n">
        <v>0</v>
      </c>
      <c r="AO59" s="630"/>
      <c r="AP59" s="630"/>
      <c r="AQ59" s="558"/>
      <c r="AR59" s="558"/>
      <c r="AS59" s="558"/>
      <c r="AT59" s="563"/>
    </row>
    <row r="60" customFormat="false" ht="15" hidden="false" customHeight="false" outlineLevel="0" collapsed="false">
      <c r="A60" s="604"/>
      <c r="B60" s="634" t="s">
        <v>2475</v>
      </c>
      <c r="C60" s="635" t="s">
        <v>2476</v>
      </c>
      <c r="D60" s="631"/>
      <c r="E60" s="620" t="n">
        <v>0</v>
      </c>
      <c r="F60" s="621"/>
      <c r="G60" s="620" t="n">
        <v>0</v>
      </c>
      <c r="H60" s="621"/>
      <c r="I60" s="620" t="n">
        <v>0</v>
      </c>
      <c r="J60" s="621"/>
      <c r="K60" s="620" t="n">
        <v>0</v>
      </c>
      <c r="L60" s="621"/>
      <c r="M60" s="620" t="n">
        <v>0</v>
      </c>
      <c r="N60" s="621"/>
      <c r="O60" s="620" t="n">
        <v>0</v>
      </c>
      <c r="P60" s="621"/>
      <c r="Q60" s="620" t="n">
        <v>0</v>
      </c>
      <c r="R60" s="621"/>
      <c r="S60" s="620" t="n">
        <v>0</v>
      </c>
      <c r="T60" s="621"/>
      <c r="U60" s="620" t="n">
        <v>0</v>
      </c>
      <c r="V60" s="621"/>
      <c r="W60" s="620" t="n">
        <v>0</v>
      </c>
      <c r="X60" s="621"/>
      <c r="Y60" s="620" t="n">
        <v>0</v>
      </c>
      <c r="Z60" s="621"/>
      <c r="AA60" s="620" t="n">
        <v>0</v>
      </c>
      <c r="AB60" s="621"/>
      <c r="AC60" s="620" t="n">
        <v>0</v>
      </c>
      <c r="AD60" s="621"/>
      <c r="AE60" s="620"/>
      <c r="AF60" s="621"/>
      <c r="AG60" s="620"/>
      <c r="AH60" s="620"/>
      <c r="AI60" s="622" t="n">
        <v>0</v>
      </c>
      <c r="AJ60" s="621"/>
      <c r="AK60" s="622" t="n">
        <v>0</v>
      </c>
      <c r="AL60" s="621"/>
      <c r="AM60" s="628" t="n">
        <v>0</v>
      </c>
      <c r="AN60" s="629" t="n">
        <v>0</v>
      </c>
      <c r="AO60" s="630"/>
      <c r="AP60" s="630"/>
      <c r="AQ60" s="558"/>
      <c r="AR60" s="558"/>
      <c r="AS60" s="558"/>
      <c r="AT60" s="563"/>
    </row>
    <row r="61" customFormat="false" ht="25.35" hidden="false" customHeight="false" outlineLevel="0" collapsed="false">
      <c r="A61" s="604"/>
      <c r="B61" s="536" t="s">
        <v>2477</v>
      </c>
      <c r="C61" s="537" t="s">
        <v>2478</v>
      </c>
      <c r="D61" s="631"/>
      <c r="E61" s="620"/>
      <c r="F61" s="621" t="n">
        <v>7729220032</v>
      </c>
      <c r="G61" s="620" t="n">
        <v>0</v>
      </c>
      <c r="H61" s="621" t="n">
        <v>-2351620116</v>
      </c>
      <c r="I61" s="620" t="n">
        <v>0</v>
      </c>
      <c r="J61" s="621" t="n">
        <v>-18491719128</v>
      </c>
      <c r="K61" s="620" t="n">
        <v>0</v>
      </c>
      <c r="L61" s="621" t="n">
        <v>-433241996</v>
      </c>
      <c r="M61" s="620" t="n">
        <v>0</v>
      </c>
      <c r="N61" s="621" t="n">
        <v>9628906015</v>
      </c>
      <c r="O61" s="620" t="n">
        <v>0</v>
      </c>
      <c r="P61" s="621" t="n">
        <v>4796950513</v>
      </c>
      <c r="Q61" s="620" t="n">
        <v>0</v>
      </c>
      <c r="R61" s="621" t="n">
        <v>5521851932</v>
      </c>
      <c r="S61" s="620" t="n">
        <v>0</v>
      </c>
      <c r="T61" s="621" t="n">
        <v>5027104856</v>
      </c>
      <c r="U61" s="620" t="n">
        <v>0</v>
      </c>
      <c r="V61" s="621" t="n">
        <v>2737792068</v>
      </c>
      <c r="W61" s="620" t="n">
        <v>0</v>
      </c>
      <c r="X61" s="621" t="n">
        <v>3762502522</v>
      </c>
      <c r="Y61" s="620" t="n">
        <v>0</v>
      </c>
      <c r="Z61" s="621" t="n">
        <v>3776325929</v>
      </c>
      <c r="AA61" s="620" t="n">
        <v>0</v>
      </c>
      <c r="AB61" s="621" t="n">
        <v>7298684552</v>
      </c>
      <c r="AC61" s="620" t="n">
        <v>0</v>
      </c>
      <c r="AD61" s="621" t="n">
        <v>4597284563</v>
      </c>
      <c r="AE61" s="620"/>
      <c r="AF61" s="621"/>
      <c r="AG61" s="620"/>
      <c r="AH61" s="620"/>
      <c r="AI61" s="622"/>
      <c r="AJ61" s="621" t="n">
        <v>29481784272</v>
      </c>
      <c r="AK61" s="622"/>
      <c r="AL61" s="621" t="n">
        <v>25000464757</v>
      </c>
      <c r="AM61" s="622" t="n">
        <v>4481319515</v>
      </c>
      <c r="AN61" s="623" t="n">
        <v>0.179249448302566</v>
      </c>
      <c r="AO61" s="632"/>
      <c r="AP61" s="632"/>
      <c r="AQ61" s="633"/>
      <c r="AR61" s="633"/>
      <c r="AS61" s="633"/>
      <c r="AT61" s="563"/>
    </row>
    <row r="62" customFormat="false" ht="25.35" hidden="false" customHeight="false" outlineLevel="0" collapsed="false">
      <c r="A62" s="604"/>
      <c r="B62" s="536" t="s">
        <v>2479</v>
      </c>
      <c r="C62" s="537" t="s">
        <v>920</v>
      </c>
      <c r="D62" s="631"/>
      <c r="E62" s="620"/>
      <c r="F62" s="621" t="n">
        <v>39181622831</v>
      </c>
      <c r="G62" s="620" t="n">
        <v>0</v>
      </c>
      <c r="H62" s="621" t="n">
        <v>7651797605</v>
      </c>
      <c r="I62" s="620" t="n">
        <v>0</v>
      </c>
      <c r="J62" s="621" t="n">
        <v>122627132</v>
      </c>
      <c r="K62" s="620" t="n">
        <v>0</v>
      </c>
      <c r="L62" s="621" t="n">
        <v>83185869</v>
      </c>
      <c r="M62" s="620" t="n">
        <v>0</v>
      </c>
      <c r="N62" s="621" t="n">
        <v>9861345946</v>
      </c>
      <c r="O62" s="620" t="n">
        <v>0</v>
      </c>
      <c r="P62" s="621" t="n">
        <v>93642910</v>
      </c>
      <c r="Q62" s="620" t="n">
        <v>0</v>
      </c>
      <c r="R62" s="621" t="n">
        <v>73577106</v>
      </c>
      <c r="S62" s="620" t="n">
        <v>0</v>
      </c>
      <c r="T62" s="621" t="n">
        <v>249827169</v>
      </c>
      <c r="U62" s="620" t="n">
        <v>0</v>
      </c>
      <c r="V62" s="621" t="n">
        <v>87408972</v>
      </c>
      <c r="W62" s="620" t="n">
        <v>0</v>
      </c>
      <c r="X62" s="621" t="n">
        <v>15628387049</v>
      </c>
      <c r="Y62" s="620" t="n">
        <v>0</v>
      </c>
      <c r="Z62" s="621" t="n">
        <v>5146858855</v>
      </c>
      <c r="AA62" s="620" t="n">
        <v>0</v>
      </c>
      <c r="AB62" s="621" t="n">
        <v>212552757</v>
      </c>
      <c r="AC62" s="620" t="n">
        <v>0</v>
      </c>
      <c r="AD62" s="621" t="n">
        <v>-29588539</v>
      </c>
      <c r="AE62" s="620"/>
      <c r="AF62" s="621"/>
      <c r="AG62" s="620"/>
      <c r="AH62" s="620"/>
      <c r="AI62" s="622"/>
      <c r="AJ62" s="621" t="n">
        <v>19209610002</v>
      </c>
      <c r="AK62" s="622"/>
      <c r="AL62" s="621" t="n">
        <v>11485958558</v>
      </c>
      <c r="AM62" s="622" t="n">
        <v>7723651444</v>
      </c>
      <c r="AN62" s="623" t="n">
        <v>0.67244291410232</v>
      </c>
      <c r="AO62" s="632"/>
      <c r="AP62" s="632"/>
      <c r="AQ62" s="633"/>
      <c r="AR62" s="633"/>
      <c r="AS62" s="633"/>
      <c r="AT62" s="563"/>
    </row>
    <row r="63" customFormat="false" ht="27" hidden="false" customHeight="true" outlineLevel="0" collapsed="false">
      <c r="B63" s="549"/>
      <c r="C63" s="550" t="n">
        <v>1</v>
      </c>
      <c r="D63" s="625" t="s">
        <v>329</v>
      </c>
      <c r="E63" s="626" t="n">
        <v>238441022</v>
      </c>
      <c r="F63" s="627"/>
      <c r="G63" s="626" t="n">
        <v>13628215</v>
      </c>
      <c r="H63" s="627"/>
      <c r="I63" s="626" t="n">
        <v>28613637</v>
      </c>
      <c r="J63" s="627"/>
      <c r="K63" s="626" t="n">
        <v>16744135</v>
      </c>
      <c r="L63" s="627"/>
      <c r="M63" s="626" t="n">
        <v>8218215</v>
      </c>
      <c r="N63" s="627"/>
      <c r="O63" s="626" t="n">
        <v>20113474</v>
      </c>
      <c r="P63" s="627"/>
      <c r="Q63" s="626" t="n">
        <v>12822588</v>
      </c>
      <c r="R63" s="627"/>
      <c r="S63" s="626" t="n">
        <v>19602607</v>
      </c>
      <c r="T63" s="627"/>
      <c r="U63" s="626" t="n">
        <v>22599388</v>
      </c>
      <c r="V63" s="627"/>
      <c r="W63" s="626" t="n">
        <v>81311459</v>
      </c>
      <c r="X63" s="627"/>
      <c r="Y63" s="626" t="n">
        <v>14787259</v>
      </c>
      <c r="Z63" s="627"/>
      <c r="AA63" s="626" t="n">
        <v>18</v>
      </c>
      <c r="AB63" s="627"/>
      <c r="AC63" s="626" t="n">
        <v>27</v>
      </c>
      <c r="AD63" s="627"/>
      <c r="AE63" s="626"/>
      <c r="AF63" s="627"/>
      <c r="AG63" s="626"/>
      <c r="AH63" s="626"/>
      <c r="AI63" s="628" t="n">
        <v>238441022</v>
      </c>
      <c r="AJ63" s="627"/>
      <c r="AK63" s="628" t="n">
        <v>50239170</v>
      </c>
      <c r="AL63" s="627"/>
      <c r="AM63" s="628" t="n">
        <v>188201852</v>
      </c>
      <c r="AN63" s="629" t="n">
        <v>3.74611785982929</v>
      </c>
      <c r="AO63" s="630"/>
      <c r="AP63" s="630" t="s">
        <v>2502</v>
      </c>
      <c r="AQ63" s="559" t="s">
        <v>2609</v>
      </c>
      <c r="AR63" s="558"/>
      <c r="AS63" s="558"/>
      <c r="AT63" s="563"/>
    </row>
    <row r="64" customFormat="false" ht="40.5" hidden="false" customHeight="true" outlineLevel="0" collapsed="false">
      <c r="B64" s="549"/>
      <c r="C64" s="550" t="n">
        <v>2</v>
      </c>
      <c r="D64" s="625" t="s">
        <v>330</v>
      </c>
      <c r="E64" s="626" t="n">
        <v>0</v>
      </c>
      <c r="F64" s="627"/>
      <c r="G64" s="626" t="n">
        <v>0</v>
      </c>
      <c r="H64" s="627"/>
      <c r="I64" s="626" t="n">
        <v>0</v>
      </c>
      <c r="J64" s="627"/>
      <c r="K64" s="626" t="n">
        <v>0</v>
      </c>
      <c r="L64" s="627"/>
      <c r="M64" s="626" t="n">
        <v>0</v>
      </c>
      <c r="N64" s="627"/>
      <c r="O64" s="626" t="n">
        <v>0</v>
      </c>
      <c r="P64" s="627"/>
      <c r="Q64" s="626" t="n">
        <v>0</v>
      </c>
      <c r="R64" s="627"/>
      <c r="S64" s="626" t="n">
        <v>0</v>
      </c>
      <c r="T64" s="627"/>
      <c r="U64" s="626" t="n">
        <v>0</v>
      </c>
      <c r="V64" s="627"/>
      <c r="W64" s="626" t="n">
        <v>0</v>
      </c>
      <c r="X64" s="627"/>
      <c r="Y64" s="626" t="n">
        <v>0</v>
      </c>
      <c r="Z64" s="627"/>
      <c r="AA64" s="626" t="n">
        <v>0</v>
      </c>
      <c r="AB64" s="627"/>
      <c r="AC64" s="626" t="n">
        <v>0</v>
      </c>
      <c r="AD64" s="627"/>
      <c r="AE64" s="626"/>
      <c r="AF64" s="627"/>
      <c r="AG64" s="626"/>
      <c r="AH64" s="626"/>
      <c r="AI64" s="628" t="n">
        <v>0</v>
      </c>
      <c r="AJ64" s="627"/>
      <c r="AK64" s="628" t="n">
        <v>950550566</v>
      </c>
      <c r="AL64" s="627"/>
      <c r="AM64" s="628" t="n">
        <v>-950550566</v>
      </c>
      <c r="AN64" s="629" t="n">
        <v>-1</v>
      </c>
      <c r="AO64" s="630"/>
      <c r="AP64" s="630" t="s">
        <v>2518</v>
      </c>
      <c r="AQ64" s="559" t="s">
        <v>2610</v>
      </c>
      <c r="AR64" s="559" t="s">
        <v>2610</v>
      </c>
      <c r="AS64" s="559" t="s">
        <v>2611</v>
      </c>
      <c r="AT64" s="563"/>
    </row>
    <row r="65" customFormat="false" ht="15" hidden="false" customHeight="false" outlineLevel="0" collapsed="false">
      <c r="B65" s="549"/>
      <c r="C65" s="550" t="n">
        <v>3</v>
      </c>
      <c r="D65" s="625" t="s">
        <v>331</v>
      </c>
      <c r="E65" s="626" t="n">
        <v>24481540</v>
      </c>
      <c r="F65" s="627"/>
      <c r="G65" s="626" t="n">
        <v>6107287</v>
      </c>
      <c r="H65" s="627"/>
      <c r="I65" s="626" t="n">
        <v>3340573</v>
      </c>
      <c r="J65" s="627"/>
      <c r="K65" s="626" t="n">
        <v>-6685528</v>
      </c>
      <c r="L65" s="627"/>
      <c r="M65" s="626" t="n">
        <v>-1547866</v>
      </c>
      <c r="N65" s="627"/>
      <c r="O65" s="626" t="n">
        <v>-4125055</v>
      </c>
      <c r="P65" s="627"/>
      <c r="Q65" s="626" t="n">
        <v>-662292</v>
      </c>
      <c r="R65" s="627"/>
      <c r="S65" s="626" t="n">
        <v>1078451</v>
      </c>
      <c r="T65" s="627"/>
      <c r="U65" s="626" t="n">
        <v>3755621</v>
      </c>
      <c r="V65" s="627"/>
      <c r="W65" s="626" t="n">
        <v>532961</v>
      </c>
      <c r="X65" s="627"/>
      <c r="Y65" s="626" t="n">
        <v>382279</v>
      </c>
      <c r="Z65" s="627"/>
      <c r="AA65" s="626" t="n">
        <v>1315033</v>
      </c>
      <c r="AB65" s="627"/>
      <c r="AC65" s="626" t="n">
        <v>20990076</v>
      </c>
      <c r="AD65" s="627"/>
      <c r="AE65" s="626"/>
      <c r="AF65" s="627"/>
      <c r="AG65" s="626"/>
      <c r="AH65" s="626"/>
      <c r="AI65" s="628" t="n">
        <v>24481540</v>
      </c>
      <c r="AJ65" s="627"/>
      <c r="AK65" s="628" t="n">
        <v>0</v>
      </c>
      <c r="AL65" s="627"/>
      <c r="AM65" s="628" t="n">
        <v>24481540</v>
      </c>
      <c r="AN65" s="629" t="n">
        <v>1</v>
      </c>
      <c r="AO65" s="630"/>
      <c r="AP65" s="630" t="s">
        <v>2518</v>
      </c>
      <c r="AQ65" s="558"/>
      <c r="AR65" s="558"/>
      <c r="AS65" s="558"/>
      <c r="AT65" s="563"/>
    </row>
    <row r="66" customFormat="false" ht="25.35" hidden="false" customHeight="false" outlineLevel="0" collapsed="false">
      <c r="A66" s="637"/>
      <c r="B66" s="549"/>
      <c r="C66" s="550" t="n">
        <v>4</v>
      </c>
      <c r="D66" s="625" t="s">
        <v>332</v>
      </c>
      <c r="E66" s="626" t="n">
        <v>7432120758</v>
      </c>
      <c r="F66" s="627"/>
      <c r="G66" s="626" t="n">
        <v>0</v>
      </c>
      <c r="H66" s="627"/>
      <c r="I66" s="626" t="n">
        <v>0</v>
      </c>
      <c r="J66" s="627"/>
      <c r="K66" s="626" t="n">
        <v>0</v>
      </c>
      <c r="L66" s="627"/>
      <c r="M66" s="626" t="n">
        <v>0</v>
      </c>
      <c r="N66" s="627"/>
      <c r="O66" s="626" t="n">
        <v>0</v>
      </c>
      <c r="P66" s="627"/>
      <c r="Q66" s="626" t="n">
        <v>0</v>
      </c>
      <c r="R66" s="627"/>
      <c r="S66" s="626" t="n">
        <v>322660601</v>
      </c>
      <c r="T66" s="627"/>
      <c r="U66" s="626" t="n">
        <v>0</v>
      </c>
      <c r="V66" s="627"/>
      <c r="W66" s="626" t="n">
        <v>7109460157</v>
      </c>
      <c r="X66" s="627"/>
      <c r="Y66" s="626" t="n">
        <v>0</v>
      </c>
      <c r="Z66" s="627"/>
      <c r="AA66" s="626" t="n">
        <v>0</v>
      </c>
      <c r="AB66" s="627"/>
      <c r="AC66" s="626" t="n">
        <v>0</v>
      </c>
      <c r="AD66" s="627"/>
      <c r="AE66" s="626"/>
      <c r="AF66" s="627"/>
      <c r="AG66" s="626" t="n">
        <v>7432120758</v>
      </c>
      <c r="AH66" s="626"/>
      <c r="AI66" s="628" t="n">
        <v>0</v>
      </c>
      <c r="AJ66" s="627"/>
      <c r="AK66" s="628" t="n">
        <v>0</v>
      </c>
      <c r="AL66" s="627"/>
      <c r="AM66" s="628" t="n">
        <v>0</v>
      </c>
      <c r="AN66" s="629" t="n">
        <v>0</v>
      </c>
      <c r="AO66" s="630"/>
      <c r="AP66" s="630" t="s">
        <v>2518</v>
      </c>
      <c r="AQ66" s="558"/>
      <c r="AR66" s="558"/>
      <c r="AS66" s="558"/>
      <c r="AT66" s="541"/>
    </row>
    <row r="67" customFormat="false" ht="15" hidden="false" customHeight="false" outlineLevel="0" collapsed="false">
      <c r="A67" s="637"/>
      <c r="B67" s="549"/>
      <c r="C67" s="550" t="n">
        <v>5</v>
      </c>
      <c r="D67" s="625" t="s">
        <v>333</v>
      </c>
      <c r="E67" s="626" t="n">
        <v>0</v>
      </c>
      <c r="F67" s="627"/>
      <c r="G67" s="626" t="n">
        <v>0</v>
      </c>
      <c r="H67" s="627"/>
      <c r="I67" s="626" t="n">
        <v>0</v>
      </c>
      <c r="J67" s="627"/>
      <c r="K67" s="626" t="n">
        <v>0</v>
      </c>
      <c r="L67" s="627"/>
      <c r="M67" s="626" t="n">
        <v>0</v>
      </c>
      <c r="N67" s="627"/>
      <c r="O67" s="626" t="n">
        <v>0</v>
      </c>
      <c r="P67" s="627"/>
      <c r="Q67" s="626" t="n">
        <v>0</v>
      </c>
      <c r="R67" s="627"/>
      <c r="S67" s="626" t="n">
        <v>0</v>
      </c>
      <c r="T67" s="627"/>
      <c r="U67" s="626" t="n">
        <v>0</v>
      </c>
      <c r="V67" s="627"/>
      <c r="W67" s="626" t="n">
        <v>0</v>
      </c>
      <c r="X67" s="627"/>
      <c r="Y67" s="626" t="n">
        <v>0</v>
      </c>
      <c r="Z67" s="627"/>
      <c r="AA67" s="626" t="n">
        <v>0</v>
      </c>
      <c r="AB67" s="627"/>
      <c r="AC67" s="626" t="n">
        <v>0</v>
      </c>
      <c r="AD67" s="627"/>
      <c r="AE67" s="626"/>
      <c r="AF67" s="627"/>
      <c r="AG67" s="626"/>
      <c r="AH67" s="626"/>
      <c r="AI67" s="628" t="n">
        <v>0</v>
      </c>
      <c r="AJ67" s="627"/>
      <c r="AK67" s="628" t="n">
        <v>0</v>
      </c>
      <c r="AL67" s="627"/>
      <c r="AM67" s="628" t="n">
        <v>0</v>
      </c>
      <c r="AN67" s="629" t="n">
        <v>0</v>
      </c>
      <c r="AO67" s="630"/>
      <c r="AP67" s="630"/>
      <c r="AQ67" s="558"/>
      <c r="AR67" s="558"/>
      <c r="AS67" s="558"/>
      <c r="AT67" s="638"/>
    </row>
    <row r="68" customFormat="false" ht="15" hidden="false" customHeight="false" outlineLevel="0" collapsed="false">
      <c r="A68" s="637"/>
      <c r="B68" s="549"/>
      <c r="C68" s="550" t="n">
        <v>6</v>
      </c>
      <c r="D68" s="625" t="s">
        <v>334</v>
      </c>
      <c r="E68" s="626" t="n">
        <v>0</v>
      </c>
      <c r="F68" s="627"/>
      <c r="G68" s="626" t="n">
        <v>0</v>
      </c>
      <c r="H68" s="627"/>
      <c r="I68" s="626" t="n">
        <v>0</v>
      </c>
      <c r="J68" s="627"/>
      <c r="K68" s="626" t="n">
        <v>0</v>
      </c>
      <c r="L68" s="627"/>
      <c r="M68" s="626" t="n">
        <v>0</v>
      </c>
      <c r="N68" s="627"/>
      <c r="O68" s="626" t="n">
        <v>0</v>
      </c>
      <c r="P68" s="627"/>
      <c r="Q68" s="626" t="n">
        <v>0</v>
      </c>
      <c r="R68" s="627"/>
      <c r="S68" s="626" t="n">
        <v>0</v>
      </c>
      <c r="T68" s="627"/>
      <c r="U68" s="626" t="n">
        <v>0</v>
      </c>
      <c r="V68" s="627"/>
      <c r="W68" s="626" t="n">
        <v>0</v>
      </c>
      <c r="X68" s="627"/>
      <c r="Y68" s="626" t="n">
        <v>0</v>
      </c>
      <c r="Z68" s="627"/>
      <c r="AA68" s="626" t="n">
        <v>0</v>
      </c>
      <c r="AB68" s="627"/>
      <c r="AC68" s="626" t="n">
        <v>0</v>
      </c>
      <c r="AD68" s="627"/>
      <c r="AE68" s="626"/>
      <c r="AF68" s="627"/>
      <c r="AG68" s="626"/>
      <c r="AH68" s="626"/>
      <c r="AI68" s="628" t="n">
        <v>0</v>
      </c>
      <c r="AJ68" s="627"/>
      <c r="AK68" s="628" t="n">
        <v>0</v>
      </c>
      <c r="AL68" s="627"/>
      <c r="AM68" s="628" t="n">
        <v>0</v>
      </c>
      <c r="AN68" s="629" t="n">
        <v>0</v>
      </c>
      <c r="AO68" s="630"/>
      <c r="AP68" s="630"/>
      <c r="AQ68" s="558"/>
      <c r="AR68" s="558"/>
      <c r="AS68" s="558"/>
      <c r="AT68" s="638"/>
    </row>
    <row r="69" customFormat="false" ht="15" hidden="false" customHeight="false" outlineLevel="0" collapsed="false">
      <c r="A69" s="637"/>
      <c r="B69" s="549"/>
      <c r="C69" s="550" t="n">
        <v>7</v>
      </c>
      <c r="D69" s="625" t="s">
        <v>335</v>
      </c>
      <c r="E69" s="626" t="n">
        <v>0</v>
      </c>
      <c r="F69" s="627"/>
      <c r="G69" s="626" t="n">
        <v>0</v>
      </c>
      <c r="H69" s="627"/>
      <c r="I69" s="626" t="n">
        <v>0</v>
      </c>
      <c r="J69" s="627"/>
      <c r="K69" s="626" t="n">
        <v>0</v>
      </c>
      <c r="L69" s="627"/>
      <c r="M69" s="626" t="n">
        <v>0</v>
      </c>
      <c r="N69" s="627"/>
      <c r="O69" s="626" t="n">
        <v>0</v>
      </c>
      <c r="P69" s="627"/>
      <c r="Q69" s="626" t="n">
        <v>0</v>
      </c>
      <c r="R69" s="627"/>
      <c r="S69" s="626" t="n">
        <v>0</v>
      </c>
      <c r="T69" s="627"/>
      <c r="U69" s="626" t="n">
        <v>0</v>
      </c>
      <c r="V69" s="627"/>
      <c r="W69" s="626" t="n">
        <v>0</v>
      </c>
      <c r="X69" s="627"/>
      <c r="Y69" s="626" t="n">
        <v>0</v>
      </c>
      <c r="Z69" s="627"/>
      <c r="AA69" s="626" t="n">
        <v>0</v>
      </c>
      <c r="AB69" s="627"/>
      <c r="AC69" s="626" t="n">
        <v>0</v>
      </c>
      <c r="AD69" s="627"/>
      <c r="AE69" s="626"/>
      <c r="AF69" s="627"/>
      <c r="AG69" s="626"/>
      <c r="AH69" s="626"/>
      <c r="AI69" s="628" t="n">
        <v>0</v>
      </c>
      <c r="AJ69" s="627"/>
      <c r="AK69" s="628" t="n">
        <v>0</v>
      </c>
      <c r="AL69" s="627"/>
      <c r="AM69" s="628" t="n">
        <v>0</v>
      </c>
      <c r="AN69" s="629" t="n">
        <v>0</v>
      </c>
      <c r="AO69" s="630"/>
      <c r="AP69" s="630"/>
      <c r="AQ69" s="558"/>
      <c r="AR69" s="558"/>
      <c r="AS69" s="558"/>
      <c r="AT69" s="638"/>
    </row>
    <row r="70" customFormat="false" ht="15" hidden="false" customHeight="false" outlineLevel="0" collapsed="false">
      <c r="A70" s="637"/>
      <c r="B70" s="549"/>
      <c r="C70" s="550" t="n">
        <v>8</v>
      </c>
      <c r="D70" s="625" t="s">
        <v>336</v>
      </c>
      <c r="E70" s="626" t="n">
        <v>0</v>
      </c>
      <c r="F70" s="627"/>
      <c r="G70" s="626" t="n">
        <v>0</v>
      </c>
      <c r="H70" s="627"/>
      <c r="I70" s="626" t="n">
        <v>0</v>
      </c>
      <c r="J70" s="627"/>
      <c r="K70" s="626" t="n">
        <v>0</v>
      </c>
      <c r="L70" s="627"/>
      <c r="M70" s="626" t="n">
        <v>0</v>
      </c>
      <c r="N70" s="627"/>
      <c r="O70" s="626" t="n">
        <v>0</v>
      </c>
      <c r="P70" s="627"/>
      <c r="Q70" s="626" t="n">
        <v>0</v>
      </c>
      <c r="R70" s="627"/>
      <c r="S70" s="626" t="n">
        <v>0</v>
      </c>
      <c r="T70" s="627"/>
      <c r="U70" s="626" t="n">
        <v>0</v>
      </c>
      <c r="V70" s="627"/>
      <c r="W70" s="626" t="n">
        <v>0</v>
      </c>
      <c r="X70" s="627"/>
      <c r="Y70" s="626" t="n">
        <v>0</v>
      </c>
      <c r="Z70" s="627"/>
      <c r="AA70" s="626" t="n">
        <v>0</v>
      </c>
      <c r="AB70" s="627"/>
      <c r="AC70" s="626" t="n">
        <v>0</v>
      </c>
      <c r="AD70" s="627"/>
      <c r="AE70" s="626"/>
      <c r="AF70" s="627"/>
      <c r="AG70" s="626"/>
      <c r="AH70" s="626"/>
      <c r="AI70" s="628" t="n">
        <v>0</v>
      </c>
      <c r="AJ70" s="627"/>
      <c r="AK70" s="628" t="n">
        <v>0</v>
      </c>
      <c r="AL70" s="627"/>
      <c r="AM70" s="628" t="n">
        <v>0</v>
      </c>
      <c r="AN70" s="629" t="n">
        <v>0</v>
      </c>
      <c r="AO70" s="630"/>
      <c r="AP70" s="630"/>
      <c r="AQ70" s="558"/>
      <c r="AR70" s="558"/>
      <c r="AS70" s="558"/>
      <c r="AT70" s="638"/>
    </row>
    <row r="71" customFormat="false" ht="15" hidden="false" customHeight="false" outlineLevel="0" collapsed="false">
      <c r="A71" s="637"/>
      <c r="B71" s="549"/>
      <c r="C71" s="550" t="n">
        <v>8</v>
      </c>
      <c r="D71" s="625" t="s">
        <v>337</v>
      </c>
      <c r="E71" s="626" t="n">
        <v>0</v>
      </c>
      <c r="F71" s="627"/>
      <c r="G71" s="626" t="n">
        <v>0</v>
      </c>
      <c r="H71" s="627"/>
      <c r="I71" s="626" t="n">
        <v>0</v>
      </c>
      <c r="J71" s="627"/>
      <c r="K71" s="626" t="n">
        <v>0</v>
      </c>
      <c r="L71" s="627"/>
      <c r="M71" s="626" t="n">
        <v>0</v>
      </c>
      <c r="N71" s="627"/>
      <c r="O71" s="626" t="n">
        <v>0</v>
      </c>
      <c r="P71" s="627"/>
      <c r="Q71" s="626" t="n">
        <v>0</v>
      </c>
      <c r="R71" s="627"/>
      <c r="S71" s="626" t="n">
        <v>0</v>
      </c>
      <c r="T71" s="627"/>
      <c r="U71" s="626" t="n">
        <v>0</v>
      </c>
      <c r="V71" s="627"/>
      <c r="W71" s="626" t="n">
        <v>0</v>
      </c>
      <c r="X71" s="627"/>
      <c r="Y71" s="626" t="n">
        <v>0</v>
      </c>
      <c r="Z71" s="627"/>
      <c r="AA71" s="626" t="n">
        <v>0</v>
      </c>
      <c r="AB71" s="627"/>
      <c r="AC71" s="626" t="n">
        <v>0</v>
      </c>
      <c r="AD71" s="627"/>
      <c r="AE71" s="626"/>
      <c r="AF71" s="627"/>
      <c r="AG71" s="626"/>
      <c r="AH71" s="626"/>
      <c r="AI71" s="628" t="n">
        <v>0</v>
      </c>
      <c r="AJ71" s="627"/>
      <c r="AK71" s="628" t="n">
        <v>0</v>
      </c>
      <c r="AL71" s="627"/>
      <c r="AM71" s="628" t="n">
        <v>0</v>
      </c>
      <c r="AN71" s="629" t="n">
        <v>0</v>
      </c>
      <c r="AO71" s="630"/>
      <c r="AP71" s="630"/>
      <c r="AQ71" s="558"/>
      <c r="AR71" s="558"/>
      <c r="AS71" s="558"/>
      <c r="AT71" s="638"/>
    </row>
    <row r="72" customFormat="false" ht="15" hidden="false" customHeight="false" outlineLevel="0" collapsed="false">
      <c r="A72" s="637"/>
      <c r="B72" s="549"/>
      <c r="C72" s="550" t="n">
        <v>8</v>
      </c>
      <c r="D72" s="625" t="s">
        <v>338</v>
      </c>
      <c r="E72" s="626" t="n">
        <v>0</v>
      </c>
      <c r="F72" s="627"/>
      <c r="G72" s="626" t="n">
        <v>0</v>
      </c>
      <c r="H72" s="627"/>
      <c r="I72" s="626" t="n">
        <v>0</v>
      </c>
      <c r="J72" s="627"/>
      <c r="K72" s="626" t="n">
        <v>0</v>
      </c>
      <c r="L72" s="627"/>
      <c r="M72" s="626" t="n">
        <v>0</v>
      </c>
      <c r="N72" s="627"/>
      <c r="O72" s="626" t="n">
        <v>0</v>
      </c>
      <c r="P72" s="627"/>
      <c r="Q72" s="626" t="n">
        <v>0</v>
      </c>
      <c r="R72" s="627"/>
      <c r="S72" s="626" t="n">
        <v>0</v>
      </c>
      <c r="T72" s="627"/>
      <c r="U72" s="626" t="n">
        <v>0</v>
      </c>
      <c r="V72" s="627"/>
      <c r="W72" s="626" t="n">
        <v>0</v>
      </c>
      <c r="X72" s="627"/>
      <c r="Y72" s="626" t="n">
        <v>0</v>
      </c>
      <c r="Z72" s="627"/>
      <c r="AA72" s="626" t="n">
        <v>0</v>
      </c>
      <c r="AB72" s="627"/>
      <c r="AC72" s="626" t="n">
        <v>0</v>
      </c>
      <c r="AD72" s="627"/>
      <c r="AE72" s="626"/>
      <c r="AF72" s="627"/>
      <c r="AG72" s="626"/>
      <c r="AH72" s="626"/>
      <c r="AI72" s="628" t="n">
        <v>0</v>
      </c>
      <c r="AJ72" s="627"/>
      <c r="AK72" s="628" t="n">
        <v>0</v>
      </c>
      <c r="AL72" s="627"/>
      <c r="AM72" s="628" t="n">
        <v>0</v>
      </c>
      <c r="AN72" s="629" t="n">
        <v>0</v>
      </c>
      <c r="AO72" s="630"/>
      <c r="AP72" s="630"/>
      <c r="AQ72" s="558"/>
      <c r="AR72" s="558"/>
      <c r="AS72" s="558"/>
      <c r="AT72" s="638"/>
    </row>
    <row r="73" customFormat="false" ht="162" hidden="false" customHeight="true" outlineLevel="0" collapsed="false">
      <c r="A73" s="637"/>
      <c r="B73" s="549"/>
      <c r="C73" s="550" t="n">
        <v>8</v>
      </c>
      <c r="D73" s="625" t="s">
        <v>339</v>
      </c>
      <c r="E73" s="626" t="n">
        <v>31486579511</v>
      </c>
      <c r="F73" s="627"/>
      <c r="G73" s="626" t="n">
        <v>7632062103</v>
      </c>
      <c r="H73" s="627"/>
      <c r="I73" s="626" t="n">
        <v>90672922</v>
      </c>
      <c r="J73" s="627"/>
      <c r="K73" s="626" t="n">
        <v>73127262</v>
      </c>
      <c r="L73" s="627"/>
      <c r="M73" s="626" t="n">
        <v>9854675597</v>
      </c>
      <c r="N73" s="627"/>
      <c r="O73" s="626" t="n">
        <v>77654491</v>
      </c>
      <c r="P73" s="627"/>
      <c r="Q73" s="626" t="n">
        <v>61416810</v>
      </c>
      <c r="R73" s="627"/>
      <c r="S73" s="626" t="n">
        <v>-93514490</v>
      </c>
      <c r="T73" s="627"/>
      <c r="U73" s="626" t="n">
        <v>61053963</v>
      </c>
      <c r="V73" s="627"/>
      <c r="W73" s="626" t="n">
        <v>8437082472</v>
      </c>
      <c r="X73" s="627"/>
      <c r="Y73" s="626" t="n">
        <v>5131689317</v>
      </c>
      <c r="Z73" s="627"/>
      <c r="AA73" s="626" t="n">
        <v>211237706</v>
      </c>
      <c r="AB73" s="627"/>
      <c r="AC73" s="626" t="n">
        <v>-50578642</v>
      </c>
      <c r="AD73" s="627"/>
      <c r="AE73" s="626" t="n">
        <v>232125241</v>
      </c>
      <c r="AF73" s="627"/>
      <c r="AG73" s="626" t="n">
        <v>22305851563</v>
      </c>
      <c r="AH73" s="626" t="n">
        <v>-9998084733</v>
      </c>
      <c r="AI73" s="628" t="n">
        <v>18946687440</v>
      </c>
      <c r="AJ73" s="627"/>
      <c r="AK73" s="628" t="n">
        <v>10485168822</v>
      </c>
      <c r="AL73" s="627"/>
      <c r="AM73" s="628" t="n">
        <v>8461518618</v>
      </c>
      <c r="AN73" s="629" t="n">
        <v>0.80699879626602</v>
      </c>
      <c r="AO73" s="639" t="s">
        <v>2501</v>
      </c>
      <c r="AP73" s="630" t="s">
        <v>2518</v>
      </c>
      <c r="AQ73" s="558" t="s">
        <v>2612</v>
      </c>
      <c r="AR73" s="558" t="s">
        <v>2613</v>
      </c>
      <c r="AS73" s="559" t="s">
        <v>2614</v>
      </c>
      <c r="AT73" s="638"/>
    </row>
    <row r="74" customFormat="false" ht="15" hidden="false" customHeight="false" outlineLevel="0" collapsed="false">
      <c r="A74" s="637"/>
      <c r="B74" s="549"/>
      <c r="C74" s="550" t="n">
        <v>8</v>
      </c>
      <c r="D74" s="625" t="s">
        <v>340</v>
      </c>
      <c r="E74" s="626" t="n">
        <v>0</v>
      </c>
      <c r="F74" s="627"/>
      <c r="G74" s="626" t="n">
        <v>0</v>
      </c>
      <c r="H74" s="627"/>
      <c r="I74" s="626" t="n">
        <v>0</v>
      </c>
      <c r="J74" s="627"/>
      <c r="K74" s="626" t="n">
        <v>0</v>
      </c>
      <c r="L74" s="627"/>
      <c r="M74" s="626" t="n">
        <v>0</v>
      </c>
      <c r="N74" s="627"/>
      <c r="O74" s="626" t="n">
        <v>0</v>
      </c>
      <c r="P74" s="627"/>
      <c r="Q74" s="626" t="n">
        <v>0</v>
      </c>
      <c r="R74" s="627"/>
      <c r="S74" s="626" t="n">
        <v>0</v>
      </c>
      <c r="T74" s="627"/>
      <c r="U74" s="626" t="n">
        <v>0</v>
      </c>
      <c r="V74" s="627"/>
      <c r="W74" s="626" t="n">
        <v>0</v>
      </c>
      <c r="X74" s="627"/>
      <c r="Y74" s="626" t="n">
        <v>0</v>
      </c>
      <c r="Z74" s="627"/>
      <c r="AA74" s="626" t="n">
        <v>0</v>
      </c>
      <c r="AB74" s="627"/>
      <c r="AC74" s="626" t="n">
        <v>0</v>
      </c>
      <c r="AD74" s="627"/>
      <c r="AE74" s="626"/>
      <c r="AF74" s="627"/>
      <c r="AG74" s="626"/>
      <c r="AH74" s="626"/>
      <c r="AI74" s="628" t="n">
        <v>0</v>
      </c>
      <c r="AJ74" s="627"/>
      <c r="AK74" s="628" t="n">
        <v>0</v>
      </c>
      <c r="AL74" s="627"/>
      <c r="AM74" s="628" t="n">
        <v>0</v>
      </c>
      <c r="AN74" s="629" t="n">
        <v>0</v>
      </c>
      <c r="AO74" s="639"/>
      <c r="AP74" s="639"/>
      <c r="AQ74" s="558" t="s">
        <v>2615</v>
      </c>
      <c r="AR74" s="558"/>
      <c r="AS74" s="558"/>
      <c r="AT74" s="638"/>
    </row>
    <row r="75" customFormat="false" ht="15" hidden="false" customHeight="false" outlineLevel="0" collapsed="false">
      <c r="B75" s="549"/>
      <c r="C75" s="550" t="n">
        <v>8</v>
      </c>
      <c r="D75" s="625" t="s">
        <v>341</v>
      </c>
      <c r="E75" s="626" t="n">
        <v>0</v>
      </c>
      <c r="F75" s="627"/>
      <c r="G75" s="626" t="n">
        <v>0</v>
      </c>
      <c r="H75" s="627"/>
      <c r="I75" s="626" t="n">
        <v>0</v>
      </c>
      <c r="J75" s="627"/>
      <c r="K75" s="626" t="n">
        <v>0</v>
      </c>
      <c r="L75" s="627"/>
      <c r="M75" s="626" t="n">
        <v>0</v>
      </c>
      <c r="N75" s="627"/>
      <c r="O75" s="626" t="n">
        <v>0</v>
      </c>
      <c r="P75" s="627"/>
      <c r="Q75" s="626" t="n">
        <v>0</v>
      </c>
      <c r="R75" s="627"/>
      <c r="S75" s="626" t="n">
        <v>0</v>
      </c>
      <c r="T75" s="627"/>
      <c r="U75" s="626" t="n">
        <v>0</v>
      </c>
      <c r="V75" s="627"/>
      <c r="W75" s="626" t="n">
        <v>0</v>
      </c>
      <c r="X75" s="627"/>
      <c r="Y75" s="626" t="n">
        <v>0</v>
      </c>
      <c r="Z75" s="627"/>
      <c r="AA75" s="626" t="n">
        <v>0</v>
      </c>
      <c r="AB75" s="627"/>
      <c r="AC75" s="626" t="n">
        <v>0</v>
      </c>
      <c r="AD75" s="627"/>
      <c r="AE75" s="626"/>
      <c r="AF75" s="627"/>
      <c r="AG75" s="626"/>
      <c r="AH75" s="626"/>
      <c r="AI75" s="628" t="n">
        <v>0</v>
      </c>
      <c r="AJ75" s="627"/>
      <c r="AK75" s="628" t="n">
        <v>0</v>
      </c>
      <c r="AL75" s="627"/>
      <c r="AM75" s="628" t="n">
        <v>0</v>
      </c>
      <c r="AN75" s="629" t="n">
        <v>0</v>
      </c>
      <c r="AO75" s="639"/>
      <c r="AP75" s="639"/>
      <c r="AQ75" s="558"/>
      <c r="AR75" s="558"/>
      <c r="AS75" s="558"/>
      <c r="AT75" s="563"/>
    </row>
    <row r="76" customFormat="false" ht="15" hidden="false" customHeight="false" outlineLevel="0" collapsed="false">
      <c r="B76" s="549"/>
      <c r="C76" s="550" t="n">
        <v>8</v>
      </c>
      <c r="D76" s="625" t="s">
        <v>343</v>
      </c>
      <c r="E76" s="626" t="n">
        <v>0</v>
      </c>
      <c r="F76" s="627"/>
      <c r="G76" s="626" t="n">
        <v>0</v>
      </c>
      <c r="H76" s="627"/>
      <c r="I76" s="626" t="n">
        <v>0</v>
      </c>
      <c r="J76" s="627"/>
      <c r="K76" s="626" t="n">
        <v>0</v>
      </c>
      <c r="L76" s="627"/>
      <c r="M76" s="626" t="n">
        <v>0</v>
      </c>
      <c r="N76" s="627"/>
      <c r="O76" s="626" t="n">
        <v>0</v>
      </c>
      <c r="P76" s="627"/>
      <c r="Q76" s="626" t="n">
        <v>0</v>
      </c>
      <c r="R76" s="627"/>
      <c r="S76" s="626" t="n">
        <v>0</v>
      </c>
      <c r="T76" s="627"/>
      <c r="U76" s="626" t="n">
        <v>0</v>
      </c>
      <c r="V76" s="627"/>
      <c r="W76" s="626" t="n">
        <v>0</v>
      </c>
      <c r="X76" s="627"/>
      <c r="Y76" s="626" t="n">
        <v>0</v>
      </c>
      <c r="Z76" s="627"/>
      <c r="AA76" s="626" t="n">
        <v>0</v>
      </c>
      <c r="AB76" s="627"/>
      <c r="AC76" s="626" t="n">
        <v>0</v>
      </c>
      <c r="AD76" s="627"/>
      <c r="AE76" s="626"/>
      <c r="AF76" s="627"/>
      <c r="AG76" s="626"/>
      <c r="AH76" s="626"/>
      <c r="AI76" s="628" t="n">
        <v>0</v>
      </c>
      <c r="AJ76" s="627"/>
      <c r="AK76" s="628" t="n">
        <v>0</v>
      </c>
      <c r="AL76" s="627"/>
      <c r="AM76" s="628" t="n">
        <v>0</v>
      </c>
      <c r="AN76" s="629" t="n">
        <v>0</v>
      </c>
      <c r="AO76" s="639"/>
      <c r="AP76" s="639"/>
      <c r="AQ76" s="558"/>
      <c r="AR76" s="558"/>
      <c r="AS76" s="558"/>
      <c r="AT76" s="563"/>
    </row>
    <row r="77" customFormat="false" ht="25.35" hidden="false" customHeight="false" outlineLevel="0" collapsed="false">
      <c r="A77" s="604"/>
      <c r="B77" s="536" t="s">
        <v>2480</v>
      </c>
      <c r="C77" s="537" t="s">
        <v>1140</v>
      </c>
      <c r="D77" s="631"/>
      <c r="E77" s="620"/>
      <c r="F77" s="621" t="n">
        <v>-1697032289</v>
      </c>
      <c r="G77" s="620" t="n">
        <v>0</v>
      </c>
      <c r="H77" s="621" t="n">
        <v>29822290</v>
      </c>
      <c r="I77" s="620" t="n">
        <v>0</v>
      </c>
      <c r="J77" s="621" t="n">
        <v>78798733</v>
      </c>
      <c r="K77" s="620" t="n">
        <v>0</v>
      </c>
      <c r="L77" s="621" t="n">
        <v>-27203859</v>
      </c>
      <c r="M77" s="620" t="n">
        <v>0</v>
      </c>
      <c r="N77" s="621" t="n">
        <v>81702645</v>
      </c>
      <c r="O77" s="620" t="n">
        <v>0</v>
      </c>
      <c r="P77" s="621" t="n">
        <v>78693702</v>
      </c>
      <c r="Q77" s="620" t="n">
        <v>0</v>
      </c>
      <c r="R77" s="621" t="n">
        <v>110598897</v>
      </c>
      <c r="S77" s="620" t="n">
        <v>0</v>
      </c>
      <c r="T77" s="621" t="n">
        <v>333150887</v>
      </c>
      <c r="U77" s="620" t="n">
        <v>0</v>
      </c>
      <c r="V77" s="621" t="n">
        <v>27787555</v>
      </c>
      <c r="W77" s="620" t="n">
        <v>0</v>
      </c>
      <c r="X77" s="621" t="n">
        <v>-297161530</v>
      </c>
      <c r="Y77" s="620" t="n">
        <v>0</v>
      </c>
      <c r="Z77" s="621" t="n">
        <v>-1173608</v>
      </c>
      <c r="AA77" s="620" t="n">
        <v>0</v>
      </c>
      <c r="AB77" s="621" t="n">
        <v>-2174614087</v>
      </c>
      <c r="AC77" s="620" t="n">
        <v>0</v>
      </c>
      <c r="AD77" s="621" t="n">
        <v>62566086</v>
      </c>
      <c r="AE77" s="620"/>
      <c r="AF77" s="621"/>
      <c r="AG77" s="620"/>
      <c r="AH77" s="620"/>
      <c r="AI77" s="622"/>
      <c r="AJ77" s="621" t="n">
        <v>483100924</v>
      </c>
      <c r="AK77" s="622"/>
      <c r="AL77" s="621" t="n">
        <v>9015920043.0746</v>
      </c>
      <c r="AM77" s="622" t="n">
        <v>-8532819119.0746</v>
      </c>
      <c r="AN77" s="623" t="n">
        <v>-0.946416902358059</v>
      </c>
      <c r="AO77" s="624" t="s">
        <v>2501</v>
      </c>
      <c r="AP77" s="632"/>
      <c r="AQ77" s="633"/>
      <c r="AR77" s="633"/>
      <c r="AS77" s="633"/>
      <c r="AT77" s="563"/>
    </row>
    <row r="78" customFormat="false" ht="27" hidden="false" customHeight="true" outlineLevel="0" collapsed="false">
      <c r="B78" s="549"/>
      <c r="C78" s="550" t="n">
        <v>1</v>
      </c>
      <c r="D78" s="625" t="s">
        <v>345</v>
      </c>
      <c r="E78" s="626" t="n">
        <v>120511971</v>
      </c>
      <c r="F78" s="627"/>
      <c r="G78" s="626" t="n">
        <v>26517555</v>
      </c>
      <c r="H78" s="627"/>
      <c r="I78" s="626" t="n">
        <v>14421739</v>
      </c>
      <c r="J78" s="627"/>
      <c r="K78" s="626" t="n">
        <v>-58889210</v>
      </c>
      <c r="L78" s="627"/>
      <c r="M78" s="626" t="n">
        <v>9442521</v>
      </c>
      <c r="N78" s="627"/>
      <c r="O78" s="626" t="n">
        <v>11438598</v>
      </c>
      <c r="P78" s="627"/>
      <c r="Q78" s="626" t="n">
        <v>9364111</v>
      </c>
      <c r="R78" s="627"/>
      <c r="S78" s="626" t="n">
        <v>6546210</v>
      </c>
      <c r="T78" s="627"/>
      <c r="U78" s="626" t="n">
        <v>12103503</v>
      </c>
      <c r="V78" s="627"/>
      <c r="W78" s="626" t="n">
        <v>16121477</v>
      </c>
      <c r="X78" s="627"/>
      <c r="Y78" s="626" t="n">
        <v>13921935</v>
      </c>
      <c r="Z78" s="627"/>
      <c r="AA78" s="626" t="n">
        <v>30282722</v>
      </c>
      <c r="AB78" s="627"/>
      <c r="AC78" s="626" t="n">
        <v>29240810</v>
      </c>
      <c r="AD78" s="627"/>
      <c r="AE78" s="626"/>
      <c r="AF78" s="627" t="n">
        <v>-27709972</v>
      </c>
      <c r="AG78" s="626"/>
      <c r="AH78" s="626"/>
      <c r="AI78" s="628" t="n">
        <v>92801999</v>
      </c>
      <c r="AJ78" s="627"/>
      <c r="AK78" s="628" t="n">
        <v>1020288391</v>
      </c>
      <c r="AL78" s="627"/>
      <c r="AM78" s="628" t="n">
        <v>-927486392</v>
      </c>
      <c r="AN78" s="629" t="n">
        <v>-0.9090433647794</v>
      </c>
      <c r="AO78" s="639"/>
      <c r="AP78" s="630" t="s">
        <v>2502</v>
      </c>
      <c r="AQ78" s="559" t="s">
        <v>2616</v>
      </c>
      <c r="AR78" s="558"/>
      <c r="AS78" s="559" t="s">
        <v>2617</v>
      </c>
      <c r="AT78" s="563"/>
    </row>
    <row r="79" customFormat="false" ht="15" hidden="false" customHeight="false" outlineLevel="0" collapsed="false">
      <c r="B79" s="549"/>
      <c r="C79" s="550" t="n">
        <v>2</v>
      </c>
      <c r="D79" s="625" t="s">
        <v>346</v>
      </c>
      <c r="E79" s="626" t="n">
        <v>0</v>
      </c>
      <c r="F79" s="627"/>
      <c r="G79" s="626" t="n">
        <v>0</v>
      </c>
      <c r="H79" s="627"/>
      <c r="I79" s="626" t="n">
        <v>0</v>
      </c>
      <c r="J79" s="627"/>
      <c r="K79" s="626" t="n">
        <v>0</v>
      </c>
      <c r="L79" s="627"/>
      <c r="M79" s="626" t="n">
        <v>0</v>
      </c>
      <c r="N79" s="627"/>
      <c r="O79" s="626" t="n">
        <v>0</v>
      </c>
      <c r="P79" s="627"/>
      <c r="Q79" s="626" t="n">
        <v>0</v>
      </c>
      <c r="R79" s="627"/>
      <c r="S79" s="626" t="n">
        <v>0</v>
      </c>
      <c r="T79" s="627"/>
      <c r="U79" s="626" t="n">
        <v>0</v>
      </c>
      <c r="V79" s="627"/>
      <c r="W79" s="626" t="n">
        <v>0</v>
      </c>
      <c r="X79" s="627"/>
      <c r="Y79" s="626" t="n">
        <v>0</v>
      </c>
      <c r="Z79" s="627"/>
      <c r="AA79" s="626" t="n">
        <v>0</v>
      </c>
      <c r="AB79" s="627"/>
      <c r="AC79" s="626" t="n">
        <v>0</v>
      </c>
      <c r="AD79" s="627"/>
      <c r="AE79" s="626"/>
      <c r="AF79" s="627"/>
      <c r="AG79" s="626"/>
      <c r="AH79" s="626"/>
      <c r="AI79" s="628" t="n">
        <v>0</v>
      </c>
      <c r="AJ79" s="627"/>
      <c r="AK79" s="628" t="n">
        <v>0</v>
      </c>
      <c r="AL79" s="627"/>
      <c r="AM79" s="628" t="n">
        <v>0</v>
      </c>
      <c r="AN79" s="629" t="n">
        <v>0</v>
      </c>
      <c r="AO79" s="639"/>
      <c r="AP79" s="639"/>
      <c r="AQ79" s="558"/>
      <c r="AR79" s="558"/>
      <c r="AS79" s="558"/>
      <c r="AT79" s="563"/>
    </row>
    <row r="80" customFormat="false" ht="25.35" hidden="false" customHeight="false" outlineLevel="0" collapsed="false">
      <c r="B80" s="549"/>
      <c r="C80" s="550" t="n">
        <v>3</v>
      </c>
      <c r="D80" s="625" t="s">
        <v>347</v>
      </c>
      <c r="E80" s="626" t="n">
        <v>33586551</v>
      </c>
      <c r="F80" s="627"/>
      <c r="G80" s="626" t="n">
        <v>5659787</v>
      </c>
      <c r="H80" s="627"/>
      <c r="I80" s="626" t="n">
        <v>15381472</v>
      </c>
      <c r="J80" s="627"/>
      <c r="K80" s="626" t="n">
        <v>828110</v>
      </c>
      <c r="L80" s="627"/>
      <c r="M80" s="626" t="n">
        <v>3260123</v>
      </c>
      <c r="N80" s="627"/>
      <c r="O80" s="626" t="n">
        <v>-2543096</v>
      </c>
      <c r="P80" s="627"/>
      <c r="Q80" s="626" t="n">
        <v>43834786</v>
      </c>
      <c r="R80" s="627"/>
      <c r="S80" s="626" t="n">
        <v>321599697</v>
      </c>
      <c r="T80" s="627"/>
      <c r="U80" s="626" t="n">
        <v>-321253</v>
      </c>
      <c r="V80" s="627"/>
      <c r="W80" s="626" t="n">
        <v>-372283007</v>
      </c>
      <c r="X80" s="627"/>
      <c r="Y80" s="626" t="n">
        <v>1904457</v>
      </c>
      <c r="Z80" s="627"/>
      <c r="AA80" s="626" t="n">
        <v>2940201</v>
      </c>
      <c r="AB80" s="627"/>
      <c r="AC80" s="626" t="n">
        <v>13325274</v>
      </c>
      <c r="AD80" s="627"/>
      <c r="AE80" s="626"/>
      <c r="AF80" s="627"/>
      <c r="AG80" s="626"/>
      <c r="AH80" s="626"/>
      <c r="AI80" s="628" t="n">
        <v>33586551</v>
      </c>
      <c r="AJ80" s="627"/>
      <c r="AK80" s="628" t="n">
        <v>0</v>
      </c>
      <c r="AL80" s="627"/>
      <c r="AM80" s="628" t="n">
        <v>33586551</v>
      </c>
      <c r="AN80" s="629" t="n">
        <v>1</v>
      </c>
      <c r="AO80" s="639"/>
      <c r="AP80" s="630" t="s">
        <v>2518</v>
      </c>
      <c r="AQ80" s="558"/>
      <c r="AR80" s="558"/>
      <c r="AS80" s="558"/>
      <c r="AT80" s="563"/>
    </row>
    <row r="81" customFormat="false" ht="25.35" hidden="false" customHeight="false" outlineLevel="0" collapsed="false">
      <c r="B81" s="549"/>
      <c r="C81" s="550" t="n">
        <v>4</v>
      </c>
      <c r="D81" s="625" t="s">
        <v>348</v>
      </c>
      <c r="E81" s="626" t="n">
        <v>0</v>
      </c>
      <c r="F81" s="627"/>
      <c r="G81" s="626" t="n">
        <v>0</v>
      </c>
      <c r="H81" s="627"/>
      <c r="I81" s="626" t="n">
        <v>0</v>
      </c>
      <c r="J81" s="627"/>
      <c r="K81" s="626" t="n">
        <v>0</v>
      </c>
      <c r="L81" s="627"/>
      <c r="M81" s="626" t="n">
        <v>0</v>
      </c>
      <c r="N81" s="627"/>
      <c r="O81" s="626" t="n">
        <v>0</v>
      </c>
      <c r="P81" s="627"/>
      <c r="Q81" s="626" t="n">
        <v>0</v>
      </c>
      <c r="R81" s="627"/>
      <c r="S81" s="626" t="n">
        <v>0</v>
      </c>
      <c r="T81" s="627"/>
      <c r="U81" s="626" t="n">
        <v>0</v>
      </c>
      <c r="V81" s="627"/>
      <c r="W81" s="626" t="n">
        <v>0</v>
      </c>
      <c r="X81" s="627"/>
      <c r="Y81" s="626" t="n">
        <v>0</v>
      </c>
      <c r="Z81" s="627"/>
      <c r="AA81" s="626" t="n">
        <v>0</v>
      </c>
      <c r="AB81" s="627"/>
      <c r="AC81" s="626" t="n">
        <v>0</v>
      </c>
      <c r="AD81" s="627"/>
      <c r="AE81" s="626"/>
      <c r="AF81" s="627"/>
      <c r="AG81" s="626"/>
      <c r="AH81" s="626"/>
      <c r="AI81" s="628" t="n">
        <v>0</v>
      </c>
      <c r="AJ81" s="627"/>
      <c r="AK81" s="628" t="n">
        <v>37837051</v>
      </c>
      <c r="AL81" s="627"/>
      <c r="AM81" s="628" t="n">
        <v>-37837051</v>
      </c>
      <c r="AN81" s="629" t="n">
        <v>-1</v>
      </c>
      <c r="AO81" s="639"/>
      <c r="AP81" s="630" t="s">
        <v>2518</v>
      </c>
      <c r="AQ81" s="558"/>
      <c r="AR81" s="558"/>
      <c r="AS81" s="558"/>
      <c r="AT81" s="563"/>
    </row>
    <row r="82" customFormat="false" ht="25.35" hidden="false" customHeight="false" outlineLevel="0" collapsed="false">
      <c r="B82" s="549"/>
      <c r="C82" s="550" t="n">
        <v>5</v>
      </c>
      <c r="D82" s="625" t="s">
        <v>349</v>
      </c>
      <c r="E82" s="626" t="n">
        <v>259053818</v>
      </c>
      <c r="F82" s="627"/>
      <c r="G82" s="626" t="n">
        <v>0</v>
      </c>
      <c r="H82" s="627"/>
      <c r="I82" s="626" t="n">
        <v>18000000</v>
      </c>
      <c r="J82" s="627"/>
      <c r="K82" s="626" t="n">
        <v>30855618</v>
      </c>
      <c r="L82" s="627"/>
      <c r="M82" s="626" t="n">
        <v>0</v>
      </c>
      <c r="N82" s="627"/>
      <c r="O82" s="626" t="n">
        <v>69798200</v>
      </c>
      <c r="P82" s="627"/>
      <c r="Q82" s="626" t="n">
        <v>57400000</v>
      </c>
      <c r="R82" s="627"/>
      <c r="S82" s="626" t="n">
        <v>5000000</v>
      </c>
      <c r="T82" s="627"/>
      <c r="U82" s="626" t="n">
        <v>16000000</v>
      </c>
      <c r="V82" s="627"/>
      <c r="W82" s="626" t="n">
        <v>59000000</v>
      </c>
      <c r="X82" s="627"/>
      <c r="Y82" s="626" t="n">
        <v>-17000000</v>
      </c>
      <c r="Z82" s="627"/>
      <c r="AA82" s="626" t="n">
        <v>0</v>
      </c>
      <c r="AB82" s="627"/>
      <c r="AC82" s="626" t="n">
        <v>20000000</v>
      </c>
      <c r="AD82" s="627"/>
      <c r="AE82" s="626"/>
      <c r="AF82" s="627"/>
      <c r="AG82" s="626"/>
      <c r="AH82" s="626"/>
      <c r="AI82" s="628" t="n">
        <v>259053818</v>
      </c>
      <c r="AJ82" s="627"/>
      <c r="AK82" s="628" t="n">
        <v>217081607</v>
      </c>
      <c r="AL82" s="627"/>
      <c r="AM82" s="628" t="n">
        <v>41972211</v>
      </c>
      <c r="AN82" s="629" t="n">
        <v>0.193347615120612</v>
      </c>
      <c r="AO82" s="639"/>
      <c r="AP82" s="630" t="s">
        <v>2518</v>
      </c>
      <c r="AQ82" s="558"/>
      <c r="AR82" s="558"/>
      <c r="AS82" s="558"/>
      <c r="AT82" s="563"/>
    </row>
    <row r="83" customFormat="false" ht="15" hidden="false" customHeight="false" outlineLevel="0" collapsed="false">
      <c r="B83" s="549"/>
      <c r="C83" s="550" t="n">
        <v>5</v>
      </c>
      <c r="D83" s="625" t="s">
        <v>350</v>
      </c>
      <c r="E83" s="626" t="n">
        <v>0</v>
      </c>
      <c r="F83" s="627"/>
      <c r="G83" s="626" t="n">
        <v>0</v>
      </c>
      <c r="H83" s="627"/>
      <c r="I83" s="626" t="n">
        <v>0</v>
      </c>
      <c r="J83" s="627"/>
      <c r="K83" s="626" t="n">
        <v>0</v>
      </c>
      <c r="L83" s="627"/>
      <c r="M83" s="626" t="n">
        <v>0</v>
      </c>
      <c r="N83" s="627"/>
      <c r="O83" s="626" t="n">
        <v>0</v>
      </c>
      <c r="P83" s="627"/>
      <c r="Q83" s="626" t="n">
        <v>0</v>
      </c>
      <c r="R83" s="627"/>
      <c r="S83" s="626" t="n">
        <v>0</v>
      </c>
      <c r="T83" s="627"/>
      <c r="U83" s="626" t="n">
        <v>0</v>
      </c>
      <c r="V83" s="627"/>
      <c r="W83" s="626" t="n">
        <v>0</v>
      </c>
      <c r="X83" s="627"/>
      <c r="Y83" s="626" t="n">
        <v>0</v>
      </c>
      <c r="Z83" s="627"/>
      <c r="AA83" s="626" t="n">
        <v>0</v>
      </c>
      <c r="AB83" s="627"/>
      <c r="AC83" s="626" t="n">
        <v>0</v>
      </c>
      <c r="AD83" s="627"/>
      <c r="AE83" s="626"/>
      <c r="AF83" s="627"/>
      <c r="AG83" s="626"/>
      <c r="AH83" s="626"/>
      <c r="AI83" s="628" t="n">
        <v>0</v>
      </c>
      <c r="AJ83" s="627"/>
      <c r="AK83" s="628" t="n">
        <v>0</v>
      </c>
      <c r="AL83" s="627"/>
      <c r="AM83" s="628" t="n">
        <v>0</v>
      </c>
      <c r="AN83" s="629" t="n">
        <v>0</v>
      </c>
      <c r="AO83" s="639"/>
      <c r="AP83" s="639"/>
      <c r="AQ83" s="558"/>
      <c r="AR83" s="558"/>
      <c r="AS83" s="558"/>
      <c r="AT83" s="563"/>
    </row>
    <row r="84" customFormat="false" ht="40.5" hidden="false" customHeight="true" outlineLevel="0" collapsed="false">
      <c r="B84" s="549"/>
      <c r="C84" s="550" t="n">
        <v>5</v>
      </c>
      <c r="D84" s="625" t="s">
        <v>351</v>
      </c>
      <c r="E84" s="626" t="n">
        <v>0</v>
      </c>
      <c r="F84" s="627"/>
      <c r="G84" s="626" t="n">
        <v>0</v>
      </c>
      <c r="H84" s="627"/>
      <c r="I84" s="626" t="n">
        <v>0</v>
      </c>
      <c r="J84" s="627"/>
      <c r="K84" s="626" t="n">
        <v>0</v>
      </c>
      <c r="L84" s="627"/>
      <c r="M84" s="626" t="n">
        <v>0</v>
      </c>
      <c r="N84" s="627"/>
      <c r="O84" s="626" t="n">
        <v>0</v>
      </c>
      <c r="P84" s="627"/>
      <c r="Q84" s="626" t="n">
        <v>0</v>
      </c>
      <c r="R84" s="627"/>
      <c r="S84" s="626" t="n">
        <v>0</v>
      </c>
      <c r="T84" s="627"/>
      <c r="U84" s="626" t="n">
        <v>0</v>
      </c>
      <c r="V84" s="627"/>
      <c r="W84" s="626" t="n">
        <v>0</v>
      </c>
      <c r="X84" s="627"/>
      <c r="Y84" s="626" t="n">
        <v>0</v>
      </c>
      <c r="Z84" s="627"/>
      <c r="AA84" s="626" t="n">
        <v>0</v>
      </c>
      <c r="AB84" s="627"/>
      <c r="AC84" s="626" t="n">
        <v>0</v>
      </c>
      <c r="AD84" s="627"/>
      <c r="AE84" s="626"/>
      <c r="AF84" s="627"/>
      <c r="AG84" s="626"/>
      <c r="AH84" s="626"/>
      <c r="AI84" s="628" t="n">
        <v>0</v>
      </c>
      <c r="AJ84" s="627"/>
      <c r="AK84" s="628" t="n">
        <v>4446129914.0746</v>
      </c>
      <c r="AL84" s="627"/>
      <c r="AM84" s="628" t="n">
        <v>-4446129914.0746</v>
      </c>
      <c r="AN84" s="629" t="n">
        <v>-1</v>
      </c>
      <c r="AO84" s="639"/>
      <c r="AP84" s="630" t="s">
        <v>2518</v>
      </c>
      <c r="AQ84" s="559" t="s">
        <v>2618</v>
      </c>
      <c r="AR84" s="558"/>
      <c r="AS84" s="559" t="s">
        <v>2619</v>
      </c>
      <c r="AT84" s="563"/>
    </row>
    <row r="85" customFormat="false" ht="15" hidden="false" customHeight="false" outlineLevel="0" collapsed="false">
      <c r="B85" s="549"/>
      <c r="C85" s="550" t="n">
        <v>5</v>
      </c>
      <c r="D85" s="625" t="s">
        <v>352</v>
      </c>
      <c r="E85" s="626" t="n">
        <v>0</v>
      </c>
      <c r="F85" s="627"/>
      <c r="G85" s="626" t="n">
        <v>0</v>
      </c>
      <c r="H85" s="627"/>
      <c r="I85" s="626" t="n">
        <v>0</v>
      </c>
      <c r="J85" s="627"/>
      <c r="K85" s="626" t="n">
        <v>0</v>
      </c>
      <c r="L85" s="627"/>
      <c r="M85" s="626" t="n">
        <v>0</v>
      </c>
      <c r="N85" s="627"/>
      <c r="O85" s="626" t="n">
        <v>0</v>
      </c>
      <c r="P85" s="627"/>
      <c r="Q85" s="626" t="n">
        <v>0</v>
      </c>
      <c r="R85" s="627"/>
      <c r="S85" s="626" t="n">
        <v>0</v>
      </c>
      <c r="T85" s="627"/>
      <c r="U85" s="626" t="n">
        <v>0</v>
      </c>
      <c r="V85" s="627"/>
      <c r="W85" s="626" t="n">
        <v>0</v>
      </c>
      <c r="X85" s="627"/>
      <c r="Y85" s="626" t="n">
        <v>0</v>
      </c>
      <c r="Z85" s="627"/>
      <c r="AA85" s="626" t="n">
        <v>0</v>
      </c>
      <c r="AB85" s="627"/>
      <c r="AC85" s="626" t="n">
        <v>0</v>
      </c>
      <c r="AD85" s="627"/>
      <c r="AE85" s="626"/>
      <c r="AF85" s="627"/>
      <c r="AG85" s="626"/>
      <c r="AH85" s="626"/>
      <c r="AI85" s="628" t="n">
        <v>0</v>
      </c>
      <c r="AJ85" s="627"/>
      <c r="AK85" s="628" t="n">
        <v>0</v>
      </c>
      <c r="AL85" s="627"/>
      <c r="AM85" s="628" t="n">
        <v>0</v>
      </c>
      <c r="AN85" s="629" t="n">
        <v>0</v>
      </c>
      <c r="AO85" s="639"/>
      <c r="AP85" s="639"/>
      <c r="AQ85" s="558"/>
      <c r="AR85" s="558"/>
      <c r="AS85" s="558"/>
      <c r="AT85" s="563"/>
    </row>
    <row r="86" customFormat="false" ht="15" hidden="false" customHeight="false" outlineLevel="0" collapsed="false">
      <c r="B86" s="549"/>
      <c r="C86" s="550" t="n">
        <v>5</v>
      </c>
      <c r="D86" s="625" t="s">
        <v>353</v>
      </c>
      <c r="E86" s="626" t="n">
        <v>0</v>
      </c>
      <c r="F86" s="627"/>
      <c r="G86" s="626" t="n">
        <v>0</v>
      </c>
      <c r="H86" s="627"/>
      <c r="I86" s="626" t="n">
        <v>0</v>
      </c>
      <c r="J86" s="627"/>
      <c r="K86" s="626" t="n">
        <v>0</v>
      </c>
      <c r="L86" s="627"/>
      <c r="M86" s="626" t="n">
        <v>0</v>
      </c>
      <c r="N86" s="627"/>
      <c r="O86" s="626" t="n">
        <v>0</v>
      </c>
      <c r="P86" s="627"/>
      <c r="Q86" s="626" t="n">
        <v>0</v>
      </c>
      <c r="R86" s="627"/>
      <c r="S86" s="626" t="n">
        <v>0</v>
      </c>
      <c r="T86" s="627"/>
      <c r="U86" s="626" t="n">
        <v>0</v>
      </c>
      <c r="V86" s="627"/>
      <c r="W86" s="626" t="n">
        <v>0</v>
      </c>
      <c r="X86" s="627"/>
      <c r="Y86" s="626" t="n">
        <v>0</v>
      </c>
      <c r="Z86" s="627"/>
      <c r="AA86" s="626" t="n">
        <v>0</v>
      </c>
      <c r="AB86" s="627"/>
      <c r="AC86" s="626" t="n">
        <v>0</v>
      </c>
      <c r="AD86" s="627"/>
      <c r="AE86" s="626"/>
      <c r="AF86" s="627"/>
      <c r="AG86" s="626"/>
      <c r="AH86" s="626"/>
      <c r="AI86" s="628" t="n">
        <v>0</v>
      </c>
      <c r="AJ86" s="627"/>
      <c r="AK86" s="628" t="n">
        <v>0</v>
      </c>
      <c r="AL86" s="627"/>
      <c r="AM86" s="628" t="n">
        <v>0</v>
      </c>
      <c r="AN86" s="629" t="n">
        <v>0</v>
      </c>
      <c r="AO86" s="639"/>
      <c r="AP86" s="639"/>
      <c r="AQ86" s="558"/>
      <c r="AR86" s="558"/>
      <c r="AS86" s="558"/>
      <c r="AT86" s="563"/>
    </row>
    <row r="87" customFormat="false" ht="15" hidden="false" customHeight="false" outlineLevel="0" collapsed="false">
      <c r="B87" s="549"/>
      <c r="C87" s="550" t="n">
        <v>5</v>
      </c>
      <c r="D87" s="625" t="s">
        <v>354</v>
      </c>
      <c r="E87" s="626" t="n">
        <v>0</v>
      </c>
      <c r="F87" s="627"/>
      <c r="G87" s="626" t="n">
        <v>0</v>
      </c>
      <c r="H87" s="627"/>
      <c r="I87" s="626" t="n">
        <v>0</v>
      </c>
      <c r="J87" s="627"/>
      <c r="K87" s="626" t="n">
        <v>0</v>
      </c>
      <c r="L87" s="627"/>
      <c r="M87" s="626" t="n">
        <v>0</v>
      </c>
      <c r="N87" s="627"/>
      <c r="O87" s="626" t="n">
        <v>0</v>
      </c>
      <c r="P87" s="627"/>
      <c r="Q87" s="626" t="n">
        <v>0</v>
      </c>
      <c r="R87" s="627"/>
      <c r="S87" s="626" t="n">
        <v>0</v>
      </c>
      <c r="T87" s="627"/>
      <c r="U87" s="626" t="n">
        <v>0</v>
      </c>
      <c r="V87" s="627"/>
      <c r="W87" s="626" t="n">
        <v>0</v>
      </c>
      <c r="X87" s="627"/>
      <c r="Y87" s="626" t="n">
        <v>0</v>
      </c>
      <c r="Z87" s="627"/>
      <c r="AA87" s="626" t="n">
        <v>0</v>
      </c>
      <c r="AB87" s="627"/>
      <c r="AC87" s="626" t="n">
        <v>0</v>
      </c>
      <c r="AD87" s="627"/>
      <c r="AE87" s="626"/>
      <c r="AF87" s="627"/>
      <c r="AG87" s="626"/>
      <c r="AH87" s="626"/>
      <c r="AI87" s="628" t="n">
        <v>0</v>
      </c>
      <c r="AJ87" s="627"/>
      <c r="AK87" s="628" t="n">
        <v>0</v>
      </c>
      <c r="AL87" s="627"/>
      <c r="AM87" s="628" t="n">
        <v>0</v>
      </c>
      <c r="AN87" s="629" t="n">
        <v>0</v>
      </c>
      <c r="AO87" s="639"/>
      <c r="AP87" s="639"/>
      <c r="AQ87" s="558"/>
      <c r="AR87" s="558"/>
      <c r="AS87" s="558"/>
      <c r="AT87" s="563"/>
    </row>
    <row r="88" customFormat="false" ht="54" hidden="false" customHeight="true" outlineLevel="0" collapsed="false">
      <c r="B88" s="549"/>
      <c r="C88" s="550" t="n">
        <v>5</v>
      </c>
      <c r="D88" s="625" t="s">
        <v>355</v>
      </c>
      <c r="E88" s="626" t="n">
        <v>0</v>
      </c>
      <c r="F88" s="627"/>
      <c r="G88" s="626" t="n">
        <v>0</v>
      </c>
      <c r="H88" s="627"/>
      <c r="I88" s="626" t="n">
        <v>0</v>
      </c>
      <c r="J88" s="627"/>
      <c r="K88" s="626" t="n">
        <v>0</v>
      </c>
      <c r="L88" s="627"/>
      <c r="M88" s="626" t="n">
        <v>0</v>
      </c>
      <c r="N88" s="627"/>
      <c r="O88" s="626" t="n">
        <v>0</v>
      </c>
      <c r="P88" s="627"/>
      <c r="Q88" s="626" t="n">
        <v>0</v>
      </c>
      <c r="R88" s="627"/>
      <c r="S88" s="626" t="n">
        <v>0</v>
      </c>
      <c r="T88" s="627"/>
      <c r="U88" s="626" t="n">
        <v>0</v>
      </c>
      <c r="V88" s="627"/>
      <c r="W88" s="626" t="n">
        <v>0</v>
      </c>
      <c r="X88" s="627"/>
      <c r="Y88" s="626" t="n">
        <v>0</v>
      </c>
      <c r="Z88" s="627"/>
      <c r="AA88" s="626" t="n">
        <v>0</v>
      </c>
      <c r="AB88" s="627"/>
      <c r="AC88" s="626" t="n">
        <v>0</v>
      </c>
      <c r="AD88" s="627"/>
      <c r="AE88" s="626"/>
      <c r="AF88" s="627"/>
      <c r="AG88" s="626"/>
      <c r="AH88" s="626"/>
      <c r="AI88" s="628" t="n">
        <v>0</v>
      </c>
      <c r="AJ88" s="627"/>
      <c r="AK88" s="628" t="n">
        <v>0</v>
      </c>
      <c r="AL88" s="627"/>
      <c r="AM88" s="628" t="n">
        <v>0</v>
      </c>
      <c r="AN88" s="629" t="n">
        <v>0</v>
      </c>
      <c r="AO88" s="639"/>
      <c r="AP88" s="639"/>
      <c r="AQ88" s="558"/>
      <c r="AR88" s="558" t="s">
        <v>2620</v>
      </c>
      <c r="AS88" s="558"/>
      <c r="AT88" s="563"/>
    </row>
    <row r="89" customFormat="false" ht="15" hidden="false" customHeight="false" outlineLevel="0" collapsed="false">
      <c r="B89" s="549"/>
      <c r="C89" s="550" t="n">
        <v>6</v>
      </c>
      <c r="D89" s="625" t="s">
        <v>356</v>
      </c>
      <c r="E89" s="626" t="n">
        <v>0</v>
      </c>
      <c r="F89" s="627"/>
      <c r="G89" s="626" t="n">
        <v>0</v>
      </c>
      <c r="H89" s="627"/>
      <c r="I89" s="626" t="n">
        <v>0</v>
      </c>
      <c r="J89" s="627"/>
      <c r="K89" s="626" t="n">
        <v>0</v>
      </c>
      <c r="L89" s="627"/>
      <c r="M89" s="626" t="n">
        <v>0</v>
      </c>
      <c r="N89" s="627"/>
      <c r="O89" s="626" t="n">
        <v>0</v>
      </c>
      <c r="P89" s="627"/>
      <c r="Q89" s="626" t="n">
        <v>0</v>
      </c>
      <c r="R89" s="627"/>
      <c r="S89" s="626" t="n">
        <v>0</v>
      </c>
      <c r="T89" s="627"/>
      <c r="U89" s="626" t="n">
        <v>0</v>
      </c>
      <c r="V89" s="627"/>
      <c r="W89" s="626" t="n">
        <v>0</v>
      </c>
      <c r="X89" s="627"/>
      <c r="Y89" s="626" t="n">
        <v>0</v>
      </c>
      <c r="Z89" s="627"/>
      <c r="AA89" s="626" t="n">
        <v>0</v>
      </c>
      <c r="AB89" s="627"/>
      <c r="AC89" s="626" t="n">
        <v>0</v>
      </c>
      <c r="AD89" s="627"/>
      <c r="AE89" s="626"/>
      <c r="AF89" s="627"/>
      <c r="AG89" s="626"/>
      <c r="AH89" s="626"/>
      <c r="AI89" s="628" t="n">
        <v>0</v>
      </c>
      <c r="AJ89" s="627"/>
      <c r="AK89" s="628" t="n">
        <v>0</v>
      </c>
      <c r="AL89" s="627"/>
      <c r="AM89" s="628" t="n">
        <v>0</v>
      </c>
      <c r="AN89" s="629" t="n">
        <v>0</v>
      </c>
      <c r="AO89" s="639"/>
      <c r="AP89" s="639"/>
      <c r="AQ89" s="558"/>
      <c r="AR89" s="558"/>
      <c r="AS89" s="558"/>
      <c r="AT89" s="563"/>
    </row>
    <row r="90" customFormat="false" ht="15" hidden="false" customHeight="false" outlineLevel="0" collapsed="false">
      <c r="B90" s="549"/>
      <c r="C90" s="550" t="n">
        <v>7</v>
      </c>
      <c r="D90" s="625" t="s">
        <v>357</v>
      </c>
      <c r="E90" s="626" t="n">
        <v>0</v>
      </c>
      <c r="F90" s="627"/>
      <c r="G90" s="626" t="n">
        <v>0</v>
      </c>
      <c r="H90" s="627"/>
      <c r="I90" s="626" t="n">
        <v>0</v>
      </c>
      <c r="J90" s="627"/>
      <c r="K90" s="626" t="n">
        <v>0</v>
      </c>
      <c r="L90" s="627"/>
      <c r="M90" s="626" t="n">
        <v>0</v>
      </c>
      <c r="N90" s="627"/>
      <c r="O90" s="626" t="n">
        <v>0</v>
      </c>
      <c r="P90" s="627"/>
      <c r="Q90" s="626" t="n">
        <v>0</v>
      </c>
      <c r="R90" s="627"/>
      <c r="S90" s="626" t="n">
        <v>0</v>
      </c>
      <c r="T90" s="627"/>
      <c r="U90" s="626" t="n">
        <v>0</v>
      </c>
      <c r="V90" s="627"/>
      <c r="W90" s="626" t="n">
        <v>0</v>
      </c>
      <c r="X90" s="627"/>
      <c r="Y90" s="626" t="n">
        <v>0</v>
      </c>
      <c r="Z90" s="627"/>
      <c r="AA90" s="626" t="n">
        <v>0</v>
      </c>
      <c r="AB90" s="627"/>
      <c r="AC90" s="626" t="n">
        <v>0</v>
      </c>
      <c r="AD90" s="627"/>
      <c r="AE90" s="626"/>
      <c r="AF90" s="627"/>
      <c r="AG90" s="626"/>
      <c r="AH90" s="626"/>
      <c r="AI90" s="628" t="n">
        <v>0</v>
      </c>
      <c r="AJ90" s="627"/>
      <c r="AK90" s="628" t="n">
        <v>0</v>
      </c>
      <c r="AL90" s="627"/>
      <c r="AM90" s="628" t="n">
        <v>0</v>
      </c>
      <c r="AN90" s="629" t="n">
        <v>0</v>
      </c>
      <c r="AO90" s="639"/>
      <c r="AP90" s="639"/>
      <c r="AQ90" s="558"/>
      <c r="AR90" s="558"/>
      <c r="AS90" s="558"/>
      <c r="AT90" s="563"/>
    </row>
    <row r="91" customFormat="false" ht="15" hidden="false" customHeight="false" outlineLevel="0" collapsed="false">
      <c r="B91" s="549"/>
      <c r="C91" s="550" t="n">
        <v>8</v>
      </c>
      <c r="D91" s="625" t="s">
        <v>358</v>
      </c>
      <c r="E91" s="626" t="n">
        <v>0</v>
      </c>
      <c r="F91" s="627"/>
      <c r="G91" s="626" t="n">
        <v>0</v>
      </c>
      <c r="H91" s="627"/>
      <c r="I91" s="626" t="n">
        <v>0</v>
      </c>
      <c r="J91" s="627"/>
      <c r="K91" s="626" t="n">
        <v>0</v>
      </c>
      <c r="L91" s="627"/>
      <c r="M91" s="626" t="n">
        <v>0</v>
      </c>
      <c r="N91" s="627"/>
      <c r="O91" s="626" t="n">
        <v>0</v>
      </c>
      <c r="P91" s="627"/>
      <c r="Q91" s="626" t="n">
        <v>0</v>
      </c>
      <c r="R91" s="627"/>
      <c r="S91" s="626" t="n">
        <v>0</v>
      </c>
      <c r="T91" s="627"/>
      <c r="U91" s="626" t="n">
        <v>0</v>
      </c>
      <c r="V91" s="627"/>
      <c r="W91" s="626" t="n">
        <v>0</v>
      </c>
      <c r="X91" s="627"/>
      <c r="Y91" s="626" t="n">
        <v>0</v>
      </c>
      <c r="Z91" s="627"/>
      <c r="AA91" s="626" t="n">
        <v>0</v>
      </c>
      <c r="AB91" s="627"/>
      <c r="AC91" s="626" t="n">
        <v>0</v>
      </c>
      <c r="AD91" s="627"/>
      <c r="AE91" s="626"/>
      <c r="AF91" s="627"/>
      <c r="AG91" s="626"/>
      <c r="AH91" s="626"/>
      <c r="AI91" s="628" t="n">
        <v>0</v>
      </c>
      <c r="AJ91" s="627"/>
      <c r="AK91" s="628" t="n">
        <v>0</v>
      </c>
      <c r="AL91" s="627"/>
      <c r="AM91" s="628" t="n">
        <v>0</v>
      </c>
      <c r="AN91" s="629" t="n">
        <v>0</v>
      </c>
      <c r="AO91" s="639"/>
      <c r="AP91" s="639"/>
      <c r="AQ91" s="558"/>
      <c r="AR91" s="558"/>
      <c r="AS91" s="558"/>
      <c r="AT91" s="563"/>
    </row>
    <row r="92" customFormat="false" ht="27" hidden="false" customHeight="true" outlineLevel="0" collapsed="false">
      <c r="B92" s="549"/>
      <c r="C92" s="550" t="n">
        <v>9</v>
      </c>
      <c r="D92" s="625" t="s">
        <v>359</v>
      </c>
      <c r="E92" s="626" t="n">
        <v>0</v>
      </c>
      <c r="F92" s="627"/>
      <c r="G92" s="626" t="n">
        <v>0</v>
      </c>
      <c r="H92" s="627"/>
      <c r="I92" s="626" t="n">
        <v>0</v>
      </c>
      <c r="J92" s="627"/>
      <c r="K92" s="626" t="n">
        <v>0</v>
      </c>
      <c r="L92" s="627"/>
      <c r="M92" s="626" t="n">
        <v>0</v>
      </c>
      <c r="N92" s="627"/>
      <c r="O92" s="626" t="n">
        <v>0</v>
      </c>
      <c r="P92" s="627"/>
      <c r="Q92" s="626" t="n">
        <v>0</v>
      </c>
      <c r="R92" s="627"/>
      <c r="S92" s="626" t="n">
        <v>0</v>
      </c>
      <c r="T92" s="627"/>
      <c r="U92" s="626" t="n">
        <v>0</v>
      </c>
      <c r="V92" s="627"/>
      <c r="W92" s="626" t="n">
        <v>0</v>
      </c>
      <c r="X92" s="627"/>
      <c r="Y92" s="626" t="n">
        <v>0</v>
      </c>
      <c r="Z92" s="627"/>
      <c r="AA92" s="626" t="n">
        <v>0</v>
      </c>
      <c r="AB92" s="627"/>
      <c r="AC92" s="626" t="n">
        <v>0</v>
      </c>
      <c r="AD92" s="627"/>
      <c r="AE92" s="626"/>
      <c r="AF92" s="627"/>
      <c r="AG92" s="626"/>
      <c r="AH92" s="626"/>
      <c r="AI92" s="628" t="n">
        <v>0</v>
      </c>
      <c r="AJ92" s="627"/>
      <c r="AK92" s="628" t="n">
        <v>3082601054</v>
      </c>
      <c r="AL92" s="627"/>
      <c r="AM92" s="628" t="n">
        <v>-3082601054</v>
      </c>
      <c r="AN92" s="629" t="n">
        <v>-1</v>
      </c>
      <c r="AO92" s="639"/>
      <c r="AP92" s="630" t="s">
        <v>2518</v>
      </c>
      <c r="AQ92" s="559" t="s">
        <v>2621</v>
      </c>
      <c r="AR92" s="559" t="s">
        <v>2621</v>
      </c>
      <c r="AS92" s="559" t="s">
        <v>2622</v>
      </c>
      <c r="AT92" s="563"/>
    </row>
    <row r="93" customFormat="false" ht="25.35" hidden="false" customHeight="false" outlineLevel="0" collapsed="false">
      <c r="B93" s="549"/>
      <c r="C93" s="550" t="n">
        <v>10</v>
      </c>
      <c r="D93" s="625" t="s">
        <v>360</v>
      </c>
      <c r="E93" s="626" t="n">
        <v>-2110184629</v>
      </c>
      <c r="F93" s="627"/>
      <c r="G93" s="626" t="n">
        <v>-2355052</v>
      </c>
      <c r="H93" s="627"/>
      <c r="I93" s="626" t="n">
        <v>30995522</v>
      </c>
      <c r="J93" s="627"/>
      <c r="K93" s="626" t="n">
        <v>1623</v>
      </c>
      <c r="L93" s="627"/>
      <c r="M93" s="626" t="n">
        <v>69000001</v>
      </c>
      <c r="N93" s="627"/>
      <c r="O93" s="626" t="n">
        <v>0</v>
      </c>
      <c r="P93" s="627"/>
      <c r="Q93" s="626" t="n">
        <v>0</v>
      </c>
      <c r="R93" s="627"/>
      <c r="S93" s="626" t="n">
        <v>4980</v>
      </c>
      <c r="T93" s="627"/>
      <c r="U93" s="626" t="n">
        <v>5305</v>
      </c>
      <c r="V93" s="627"/>
      <c r="W93" s="626" t="n">
        <v>0</v>
      </c>
      <c r="X93" s="627"/>
      <c r="Y93" s="626" t="n">
        <v>0</v>
      </c>
      <c r="Z93" s="627"/>
      <c r="AA93" s="626" t="n">
        <v>-2207837010</v>
      </c>
      <c r="AB93" s="627"/>
      <c r="AC93" s="626" t="n">
        <v>2</v>
      </c>
      <c r="AD93" s="627"/>
      <c r="AE93" s="626" t="n">
        <v>2207843185</v>
      </c>
      <c r="AF93" s="627"/>
      <c r="AG93" s="626"/>
      <c r="AH93" s="626"/>
      <c r="AI93" s="628" t="n">
        <v>97658556</v>
      </c>
      <c r="AJ93" s="627"/>
      <c r="AK93" s="628" t="n">
        <v>211982026</v>
      </c>
      <c r="AL93" s="627"/>
      <c r="AM93" s="628" t="n">
        <v>-2207843185</v>
      </c>
      <c r="AN93" s="629" t="n">
        <v>-10.4152376815193</v>
      </c>
      <c r="AO93" s="639"/>
      <c r="AP93" s="630" t="s">
        <v>2518</v>
      </c>
      <c r="AQ93" s="558" t="s">
        <v>2623</v>
      </c>
      <c r="AR93" s="558"/>
      <c r="AS93" s="558"/>
      <c r="AT93" s="563"/>
    </row>
    <row r="94" customFormat="false" ht="25.35" hidden="false" customHeight="false" outlineLevel="0" collapsed="false">
      <c r="A94" s="604"/>
      <c r="B94" s="536" t="s">
        <v>2481</v>
      </c>
      <c r="C94" s="537" t="s">
        <v>2624</v>
      </c>
      <c r="D94" s="631"/>
      <c r="E94" s="620"/>
      <c r="F94" s="621" t="n">
        <v>48607875152</v>
      </c>
      <c r="G94" s="620"/>
      <c r="H94" s="621" t="n">
        <v>5270355199</v>
      </c>
      <c r="I94" s="620"/>
      <c r="J94" s="621" t="n">
        <v>-18447890729</v>
      </c>
      <c r="K94" s="620"/>
      <c r="L94" s="621" t="n">
        <v>-322852268</v>
      </c>
      <c r="M94" s="620"/>
      <c r="N94" s="621" t="n">
        <v>19408549316</v>
      </c>
      <c r="O94" s="620"/>
      <c r="P94" s="621" t="n">
        <v>4811899721</v>
      </c>
      <c r="Q94" s="620"/>
      <c r="R94" s="621" t="n">
        <v>5484830141</v>
      </c>
      <c r="S94" s="620"/>
      <c r="T94" s="621" t="n">
        <v>4943781138</v>
      </c>
      <c r="U94" s="620"/>
      <c r="V94" s="621" t="n">
        <v>2797413485</v>
      </c>
      <c r="W94" s="620"/>
      <c r="X94" s="621" t="n">
        <v>19688051101</v>
      </c>
      <c r="Y94" s="620"/>
      <c r="Z94" s="621" t="n">
        <v>8924358392</v>
      </c>
      <c r="AA94" s="620"/>
      <c r="AB94" s="621" t="n">
        <v>9685851396</v>
      </c>
      <c r="AC94" s="620"/>
      <c r="AD94" s="621" t="n">
        <v>4505129938</v>
      </c>
      <c r="AE94" s="620"/>
      <c r="AF94" s="621"/>
      <c r="AG94" s="620"/>
      <c r="AH94" s="620"/>
      <c r="AI94" s="622"/>
      <c r="AJ94" s="621" t="n">
        <v>48208293350</v>
      </c>
      <c r="AK94" s="622"/>
      <c r="AL94" s="621" t="n">
        <v>27470503271.9254</v>
      </c>
      <c r="AM94" s="622" t="n">
        <v>20737790078.0746</v>
      </c>
      <c r="AN94" s="623" t="n">
        <v>0.754911181378626</v>
      </c>
      <c r="AO94" s="632"/>
      <c r="AP94" s="632"/>
      <c r="AQ94" s="633"/>
      <c r="AR94" s="633"/>
      <c r="AS94" s="633"/>
      <c r="AT94" s="563"/>
    </row>
    <row r="95" customFormat="false" ht="27" hidden="false" customHeight="true" outlineLevel="0" collapsed="false">
      <c r="A95" s="604"/>
      <c r="B95" s="536" t="s">
        <v>2483</v>
      </c>
      <c r="C95" s="537" t="s">
        <v>368</v>
      </c>
      <c r="D95" s="631"/>
      <c r="E95" s="620"/>
      <c r="F95" s="621" t="n">
        <v>8748633675</v>
      </c>
      <c r="G95" s="620"/>
      <c r="H95" s="621" t="n">
        <v>637289329</v>
      </c>
      <c r="I95" s="620"/>
      <c r="J95" s="621" t="n">
        <v>-5463651592</v>
      </c>
      <c r="K95" s="620"/>
      <c r="L95" s="621" t="n">
        <v>101804192</v>
      </c>
      <c r="M95" s="620"/>
      <c r="N95" s="621" t="n">
        <v>6256525005</v>
      </c>
      <c r="O95" s="620"/>
      <c r="P95" s="621" t="n">
        <v>0</v>
      </c>
      <c r="Q95" s="620"/>
      <c r="R95" s="621" t="n">
        <v>-31</v>
      </c>
      <c r="S95" s="620"/>
      <c r="T95" s="621" t="n">
        <v>2946048228</v>
      </c>
      <c r="U95" s="620"/>
      <c r="V95" s="621" t="n">
        <v>0</v>
      </c>
      <c r="W95" s="620"/>
      <c r="X95" s="621" t="n">
        <v>-44423023</v>
      </c>
      <c r="Y95" s="620"/>
      <c r="Z95" s="621" t="n">
        <v>4197919517</v>
      </c>
      <c r="AA95" s="620"/>
      <c r="AB95" s="621" t="n">
        <v>117122050</v>
      </c>
      <c r="AC95" s="620"/>
      <c r="AD95" s="621" t="n">
        <v>0</v>
      </c>
      <c r="AE95" s="620" t="n">
        <v>2212171783</v>
      </c>
      <c r="AF95" s="621"/>
      <c r="AG95" s="620"/>
      <c r="AH95" s="620" t="n">
        <v>-712350446</v>
      </c>
      <c r="AI95" s="622"/>
      <c r="AJ95" s="621" t="n">
        <v>10248455012</v>
      </c>
      <c r="AK95" s="622"/>
      <c r="AL95" s="621" t="n">
        <v>6002740273</v>
      </c>
      <c r="AM95" s="622" t="n">
        <v>4245714739</v>
      </c>
      <c r="AN95" s="623" t="n">
        <v>0.707296092435816</v>
      </c>
      <c r="AO95" s="632"/>
      <c r="AP95" s="632" t="s">
        <v>2518</v>
      </c>
      <c r="AQ95" s="633" t="s">
        <v>2625</v>
      </c>
      <c r="AR95" s="633" t="s">
        <v>2626</v>
      </c>
      <c r="AS95" s="633" t="s">
        <v>2627</v>
      </c>
      <c r="AT95" s="563"/>
    </row>
    <row r="96" customFormat="false" ht="25.35" hidden="false" customHeight="false" outlineLevel="0" collapsed="false">
      <c r="A96" s="604"/>
      <c r="B96" s="589" t="s">
        <v>2484</v>
      </c>
      <c r="C96" s="590" t="s">
        <v>222</v>
      </c>
      <c r="D96" s="640"/>
      <c r="E96" s="641"/>
      <c r="F96" s="642" t="n">
        <v>39859241477</v>
      </c>
      <c r="G96" s="641"/>
      <c r="H96" s="642" t="n">
        <v>4633065870</v>
      </c>
      <c r="I96" s="641"/>
      <c r="J96" s="642" t="n">
        <v>-12984239137</v>
      </c>
      <c r="K96" s="641"/>
      <c r="L96" s="642" t="n">
        <v>-424656460</v>
      </c>
      <c r="M96" s="641"/>
      <c r="N96" s="642" t="n">
        <v>13152024311</v>
      </c>
      <c r="O96" s="641"/>
      <c r="P96" s="642" t="n">
        <v>4811899721</v>
      </c>
      <c r="Q96" s="641"/>
      <c r="R96" s="642" t="n">
        <v>5484830172</v>
      </c>
      <c r="S96" s="643"/>
      <c r="T96" s="642" t="n">
        <v>1997732910</v>
      </c>
      <c r="U96" s="641"/>
      <c r="V96" s="642" t="n">
        <v>2797413485</v>
      </c>
      <c r="W96" s="641"/>
      <c r="X96" s="642" t="n">
        <v>19732474124</v>
      </c>
      <c r="Y96" s="641"/>
      <c r="Z96" s="642" t="n">
        <v>4726438875</v>
      </c>
      <c r="AA96" s="641"/>
      <c r="AB96" s="642" t="n">
        <v>9568729346</v>
      </c>
      <c r="AC96" s="641"/>
      <c r="AD96" s="642" t="n">
        <v>4505129938</v>
      </c>
      <c r="AE96" s="641"/>
      <c r="AF96" s="642"/>
      <c r="AG96" s="641"/>
      <c r="AH96" s="641"/>
      <c r="AI96" s="643"/>
      <c r="AJ96" s="642" t="n">
        <v>37959838338</v>
      </c>
      <c r="AK96" s="644"/>
      <c r="AL96" s="642" t="n">
        <v>21467762998.9254</v>
      </c>
      <c r="AM96" s="644" t="n">
        <v>16492075339.0746</v>
      </c>
      <c r="AN96" s="645" t="n">
        <v>0.768225144832283</v>
      </c>
      <c r="AO96" s="646"/>
      <c r="AP96" s="646"/>
      <c r="AQ96" s="599"/>
      <c r="AR96" s="599"/>
      <c r="AS96" s="599"/>
      <c r="AT96" s="563"/>
    </row>
    <row r="97" customFormat="false" ht="25.35" hidden="false" customHeight="false" outlineLevel="0" collapsed="false">
      <c r="F97" s="647"/>
      <c r="H97" s="647"/>
      <c r="J97" s="647"/>
      <c r="L97" s="647"/>
      <c r="N97" s="647"/>
      <c r="P97" s="647"/>
      <c r="R97" s="647"/>
      <c r="T97" s="647"/>
      <c r="V97" s="647"/>
      <c r="X97" s="647"/>
      <c r="Z97" s="647"/>
      <c r="AB97" s="647"/>
      <c r="AD97" s="647"/>
      <c r="AE97" s="647" t="n">
        <v>6221334801</v>
      </c>
      <c r="AF97" s="647" t="n">
        <v>-1507428582</v>
      </c>
      <c r="AG97" s="647" t="n">
        <v>30146015321</v>
      </c>
      <c r="AH97" s="647" t="n">
        <v>-32960518402</v>
      </c>
      <c r="AI97" s="647"/>
      <c r="AJ97" s="647"/>
      <c r="AL97" s="647"/>
      <c r="AM97" s="608"/>
      <c r="AN97" s="608"/>
      <c r="AO97" s="609"/>
      <c r="AP97" s="609"/>
      <c r="AQ97" s="608"/>
      <c r="AR97" s="608"/>
      <c r="AS97" s="608"/>
      <c r="AT97" s="563"/>
    </row>
    <row r="98" customFormat="false" ht="26.1" hidden="false" customHeight="false" outlineLevel="0" collapsed="false">
      <c r="E98" s="647" t="s">
        <v>2428</v>
      </c>
      <c r="F98" s="647" t="n">
        <v>-39859241478</v>
      </c>
      <c r="H98" s="647" t="n">
        <v>2059537574</v>
      </c>
      <c r="J98" s="647" t="n">
        <v>7610996</v>
      </c>
      <c r="L98" s="647" t="n">
        <v>1169110833</v>
      </c>
      <c r="N98" s="647" t="n">
        <v>984744097</v>
      </c>
      <c r="P98" s="647" t="n">
        <v>550933639</v>
      </c>
      <c r="R98" s="647" t="n">
        <v>116276014</v>
      </c>
      <c r="T98" s="647" t="s">
        <v>2628</v>
      </c>
      <c r="V98" s="647" t="s">
        <v>2628</v>
      </c>
      <c r="X98" s="647" t="s">
        <v>2628</v>
      </c>
      <c r="Z98" s="647" t="s">
        <v>2628</v>
      </c>
      <c r="AB98" s="647" t="s">
        <v>2628</v>
      </c>
      <c r="AD98" s="647" t="s">
        <v>2628</v>
      </c>
      <c r="AE98" s="647"/>
      <c r="AF98" s="647"/>
      <c r="AG98" s="647"/>
      <c r="AH98" s="647"/>
      <c r="AI98" s="647"/>
      <c r="AJ98" s="647" t="n">
        <v>-39859241478</v>
      </c>
      <c r="AL98" s="647" t="n">
        <v>21467762998.9254</v>
      </c>
      <c r="AM98" s="608"/>
      <c r="AN98" s="608"/>
      <c r="AO98" s="609"/>
      <c r="AP98" s="609"/>
      <c r="AQ98" s="608"/>
      <c r="AR98" s="608"/>
      <c r="AS98" s="608"/>
      <c r="AT98" s="563"/>
    </row>
    <row r="99" customFormat="false" ht="26.1" hidden="false" customHeight="false" outlineLevel="0" collapsed="false">
      <c r="A99" s="648"/>
      <c r="D99" s="648"/>
      <c r="E99" s="647" t="s">
        <v>2428</v>
      </c>
      <c r="F99" s="647" t="n">
        <v>-1</v>
      </c>
      <c r="G99" s="647"/>
      <c r="H99" s="647" t="n">
        <v>6692603444</v>
      </c>
      <c r="I99" s="647"/>
      <c r="J99" s="647" t="n">
        <v>-12976628141</v>
      </c>
      <c r="K99" s="647"/>
      <c r="L99" s="647" t="n">
        <v>744454373</v>
      </c>
      <c r="M99" s="647"/>
      <c r="N99" s="647" t="n">
        <v>14136768408</v>
      </c>
      <c r="O99" s="647"/>
      <c r="P99" s="647" t="n">
        <v>5362833360</v>
      </c>
      <c r="Q99" s="647"/>
      <c r="R99" s="647" t="n">
        <v>5601106186</v>
      </c>
      <c r="S99" s="647"/>
      <c r="T99" s="647" t="s">
        <v>2628</v>
      </c>
      <c r="U99" s="647"/>
      <c r="V99" s="647" t="s">
        <v>2628</v>
      </c>
      <c r="W99" s="647"/>
      <c r="X99" s="647" t="s">
        <v>2628</v>
      </c>
      <c r="Y99" s="647"/>
      <c r="Z99" s="647" t="s">
        <v>2628</v>
      </c>
      <c r="AA99" s="647"/>
      <c r="AB99" s="647" t="s">
        <v>2628</v>
      </c>
      <c r="AC99" s="647"/>
      <c r="AD99" s="647" t="s">
        <v>2628</v>
      </c>
      <c r="AE99" s="647" t="n">
        <v>240942961</v>
      </c>
      <c r="AF99" s="647" t="n">
        <v>-1158968332</v>
      </c>
      <c r="AG99" s="647"/>
      <c r="AH99" s="647"/>
      <c r="AI99" s="647"/>
      <c r="AJ99" s="647" t="n">
        <v>-1899403140</v>
      </c>
      <c r="AK99" s="647"/>
      <c r="AL99" s="647" t="n">
        <v>0</v>
      </c>
      <c r="AM99" s="608"/>
      <c r="AN99" s="608"/>
      <c r="AO99" s="609"/>
      <c r="AP99" s="609"/>
      <c r="AQ99" s="608"/>
      <c r="AR99" s="608"/>
      <c r="AS99" s="608"/>
      <c r="AT99" s="563"/>
    </row>
    <row r="101" customFormat="false" ht="15" hidden="false" customHeight="false" outlineLevel="0" collapsed="false">
      <c r="B101" s="602" t="s">
        <v>2563</v>
      </c>
    </row>
    <row r="102" customFormat="false" ht="15" hidden="false" customHeight="false" outlineLevel="0" collapsed="false">
      <c r="B102" s="516" t="s">
        <v>2564</v>
      </c>
    </row>
    <row r="104" customFormat="false" ht="15" hidden="false" customHeight="false" outlineLevel="0" collapsed="false">
      <c r="AI104" s="649" t="s">
        <v>238</v>
      </c>
      <c r="AJ104" s="650"/>
      <c r="AK104" s="651"/>
      <c r="AT104" s="506"/>
    </row>
    <row r="105" customFormat="false" ht="15" hidden="false" customHeight="false" outlineLevel="0" collapsed="false">
      <c r="AI105" s="652" t="s">
        <v>242</v>
      </c>
      <c r="AJ105" s="653" t="s">
        <v>2629</v>
      </c>
      <c r="AK105" s="651"/>
      <c r="AT105" s="506"/>
    </row>
    <row r="106" customFormat="false" ht="25.35" hidden="false" customHeight="false" outlineLevel="0" collapsed="false">
      <c r="AI106" s="654" t="s">
        <v>245</v>
      </c>
      <c r="AJ106" s="655" t="n">
        <v>160701424589</v>
      </c>
      <c r="AK106" s="651"/>
      <c r="AL106" s="608" t="n">
        <v>64550000</v>
      </c>
      <c r="AM106" s="656" t="s">
        <v>2449</v>
      </c>
      <c r="AN106" s="656" t="n">
        <v>-266854</v>
      </c>
      <c r="AO106" s="609"/>
      <c r="AP106" s="609"/>
      <c r="AQ106" s="656"/>
      <c r="AR106" s="656"/>
      <c r="AS106" s="656"/>
    </row>
    <row r="107" customFormat="false" ht="15" hidden="false" customHeight="false" outlineLevel="0" collapsed="false">
      <c r="AI107" s="654" t="s">
        <v>247</v>
      </c>
      <c r="AJ107" s="657" t="n">
        <v>496634725832</v>
      </c>
      <c r="AK107" s="651"/>
      <c r="AL107" s="656" t="n">
        <v>68231100</v>
      </c>
      <c r="AM107" s="658" t="s">
        <v>2630</v>
      </c>
      <c r="AN107" s="656" t="n">
        <v>41876887</v>
      </c>
      <c r="AO107" s="609"/>
      <c r="AP107" s="609"/>
      <c r="AQ107" s="656"/>
      <c r="AR107" s="656"/>
      <c r="AS107" s="656"/>
    </row>
    <row r="108" customFormat="false" ht="25.35" hidden="false" customHeight="false" outlineLevel="0" collapsed="false">
      <c r="AI108" s="659" t="s">
        <v>249</v>
      </c>
      <c r="AJ108" s="657" t="n">
        <v>500932927846</v>
      </c>
      <c r="AK108" s="651" t="s">
        <v>250</v>
      </c>
      <c r="AL108" s="656" t="n">
        <v>68231300</v>
      </c>
      <c r="AM108" s="656" t="s">
        <v>2449</v>
      </c>
      <c r="AN108" s="656" t="n">
        <v>256179360</v>
      </c>
      <c r="AO108" s="609"/>
      <c r="AP108" s="609"/>
      <c r="AQ108" s="656"/>
      <c r="AR108" s="656"/>
      <c r="AS108" s="656"/>
    </row>
    <row r="109" customFormat="false" ht="26.85" hidden="false" customHeight="false" outlineLevel="0" collapsed="false">
      <c r="AI109" s="659" t="s">
        <v>260</v>
      </c>
      <c r="AJ109" s="657" t="n">
        <v>-4298202014</v>
      </c>
      <c r="AK109" s="660" t="s">
        <v>2454</v>
      </c>
      <c r="AL109" s="656"/>
      <c r="AM109" s="656"/>
      <c r="AN109" s="656" t="n">
        <v>297789393</v>
      </c>
      <c r="AO109" s="609"/>
      <c r="AP109" s="609"/>
      <c r="AQ109" s="656"/>
      <c r="AR109" s="656"/>
      <c r="AS109" s="656"/>
    </row>
    <row r="110" customFormat="false" ht="15" hidden="false" customHeight="false" outlineLevel="0" collapsed="false">
      <c r="AI110" s="654" t="s">
        <v>255</v>
      </c>
      <c r="AJ110" s="657" t="n">
        <v>501592008939</v>
      </c>
      <c r="AK110" s="651"/>
      <c r="AL110" s="656"/>
      <c r="AM110" s="656"/>
      <c r="AN110" s="656"/>
      <c r="AO110" s="609"/>
      <c r="AP110" s="609"/>
      <c r="AQ110" s="656"/>
      <c r="AR110" s="656"/>
      <c r="AS110" s="656"/>
      <c r="AT110" s="658"/>
      <c r="AU110" s="658"/>
      <c r="AV110" s="658"/>
      <c r="AW110" s="658"/>
    </row>
    <row r="111" customFormat="false" ht="15" hidden="false" customHeight="false" outlineLevel="0" collapsed="false">
      <c r="AI111" s="661" t="s">
        <v>257</v>
      </c>
      <c r="AJ111" s="662" t="n">
        <v>501294219546</v>
      </c>
      <c r="AK111" s="651" t="s">
        <v>258</v>
      </c>
      <c r="AL111" s="656"/>
      <c r="AM111" s="656"/>
      <c r="AN111" s="656"/>
      <c r="AO111" s="609"/>
      <c r="AP111" s="609"/>
      <c r="AQ111" s="656"/>
      <c r="AR111" s="656"/>
      <c r="AS111" s="656"/>
      <c r="AT111" s="658"/>
      <c r="AU111" s="658"/>
      <c r="AV111" s="658"/>
      <c r="AW111" s="658"/>
    </row>
    <row r="112" customFormat="false" ht="25.35" hidden="false" customHeight="false" outlineLevel="0" collapsed="false">
      <c r="AI112" s="659" t="s">
        <v>260</v>
      </c>
      <c r="AJ112" s="657" t="n">
        <v>297789393</v>
      </c>
      <c r="AK112" s="651" t="s">
        <v>261</v>
      </c>
      <c r="AT112" s="506"/>
      <c r="AU112" s="506"/>
      <c r="AV112" s="506"/>
      <c r="AW112" s="506"/>
    </row>
    <row r="113" customFormat="false" ht="15" hidden="false" customHeight="false" outlineLevel="0" collapsed="false">
      <c r="AI113" s="654" t="s">
        <v>263</v>
      </c>
      <c r="AJ113" s="655" t="n">
        <v>155744141482</v>
      </c>
      <c r="AK113" s="651"/>
      <c r="AT113" s="506"/>
      <c r="AU113" s="506"/>
      <c r="AV113" s="506"/>
      <c r="AW113" s="506"/>
    </row>
    <row r="114" customFormat="false" ht="15" hidden="false" customHeight="false" outlineLevel="0" collapsed="false">
      <c r="AJ114" s="663" t="n">
        <v>155744141506</v>
      </c>
    </row>
    <row r="115" customFormat="false" ht="15" hidden="false" customHeight="false" outlineLevel="0" collapsed="false">
      <c r="AJ115" s="656" t="n">
        <v>-24</v>
      </c>
    </row>
  </sheetData>
  <mergeCells count="40">
    <mergeCell ref="AE5:AF5"/>
    <mergeCell ref="AG5:AH5"/>
    <mergeCell ref="B6:D7"/>
    <mergeCell ref="E6:F7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I6:AJ7"/>
    <mergeCell ref="AK6:AL7"/>
    <mergeCell ref="AM6:AN6"/>
    <mergeCell ref="AO6:AO7"/>
    <mergeCell ref="AP6:AP7"/>
    <mergeCell ref="AQ6:AQ7"/>
    <mergeCell ref="AR6:AR7"/>
    <mergeCell ref="AS6:AS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2017-01-09T02:09:25Z</dcterms:created>
  <dc:creator>Jeon, Eun-Sun [Finance Korea]</dc:creator>
  <dc:description/>
  <dc:language>en-US</dc:language>
  <cp:lastModifiedBy>Se-Hoon Han</cp:lastModifiedBy>
  <cp:lastPrinted>2023-01-30T01:15:53Z</cp:lastPrinted>
  <dcterms:modified xsi:type="dcterms:W3CDTF">2026-10-19T05:03:01Z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0x0101006515CF14F494B9468FE030E8897A5D25</vt:lpwstr>
  </property>
  <property fmtid="{D5CDD505-2E9C-101B-9397-08002B2CF9AE}" pid="3" name="MSIP_Label_9e3dcb88-8425-4e1d-b1a3-bd5572915bbc_ActionId">
    <vt:lpwstr>3b1f5b8e-bae9-4d5d-a643-0c7d79fa91ef</vt:lpwstr>
  </property>
  <property fmtid="{D5CDD505-2E9C-101B-9397-08002B2CF9AE}" pid="4" name="MSIP_Label_9e3dcb88-8425-4e1d-b1a3-bd5572915bbc_ContentBits">
    <vt:lpwstr>1</vt:lpwstr>
  </property>
  <property fmtid="{D5CDD505-2E9C-101B-9397-08002B2CF9AE}" pid="5" name="MSIP_Label_9e3dcb88-8425-4e1d-b1a3-bd5572915bbc_Enabled">
    <vt:lpwstr>true</vt:lpwstr>
  </property>
  <property fmtid="{D5CDD505-2E9C-101B-9397-08002B2CF9AE}" pid="6" name="MSIP_Label_9e3dcb88-8425-4e1d-b1a3-bd5572915bbc_Method">
    <vt:lpwstr>Privileged</vt:lpwstr>
  </property>
  <property fmtid="{D5CDD505-2E9C-101B-9397-08002B2CF9AE}" pid="7" name="MSIP_Label_9e3dcb88-8425-4e1d-b1a3-bd5572915bbc_Name">
    <vt:lpwstr>Internal</vt:lpwstr>
  </property>
  <property fmtid="{D5CDD505-2E9C-101B-9397-08002B2CF9AE}" pid="8" name="MSIP_Label_9e3dcb88-8425-4e1d-b1a3-bd5572915bbc_SetDate">
    <vt:lpwstr>2025-10-10T00:18:16Z</vt:lpwstr>
  </property>
  <property fmtid="{D5CDD505-2E9C-101B-9397-08002B2CF9AE}" pid="9" name="MSIP_Label_9e3dcb88-8425-4e1d-b1a3-bd5572915bbc_SiteId">
    <vt:lpwstr>aca3c8d6-aa71-4e1a-a10e-03572fc58c0b</vt:lpwstr>
  </property>
  <property fmtid="{D5CDD505-2E9C-101B-9397-08002B2CF9AE}" pid="10" name="MSIP_Label_9e3dcb88-8425-4e1d-b1a3-bd5572915bbc_Tag">
    <vt:lpwstr>10, 0, 1, 1</vt:lpwstr>
  </property>
</Properties>
</file>